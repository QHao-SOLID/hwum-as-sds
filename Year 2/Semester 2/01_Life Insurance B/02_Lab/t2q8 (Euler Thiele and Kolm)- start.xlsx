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324" documentId="13_ncr:1_{9515262F-9598-4253-A15C-A903A64E202E}" xr6:coauthVersionLast="47" xr6:coauthVersionMax="47" xr10:uidLastSave="{6D49BF69-2ED1-43BF-9D54-C3ACA923D659}"/>
  <bookViews>
    <workbookView xWindow="-98" yWindow="-98" windowWidth="21795" windowHeight="12975" xr2:uid="{E3CA9242-4FE6-4FDC-92AC-E35BD9BA6A47}"/>
  </bookViews>
  <sheets>
    <sheet name="Sheet1" sheetId="1" r:id="rId1"/>
  </sheets>
  <definedNames>
    <definedName name="delta">Sheet1!$AJ$15</definedName>
    <definedName name="h_1">Sheet1!$AE$17</definedName>
    <definedName name="h_2">Sheet1!$AF$17</definedName>
    <definedName name="h_3">Sheet1!$AG$17</definedName>
    <definedName name="Prem1">Sheet1!$AO$41</definedName>
    <definedName name="Prem2">Sheet1!$AP$41</definedName>
    <definedName name="Prem3">Sheet1!$AQ$41</definedName>
    <definedName name="Table_1">Sheet1!$A$24:$C$127</definedName>
    <definedName name="Table_2">Sheet1!$I$24:$K$1054</definedName>
    <definedName name="Table_3">Sheet1!$R$24:$T$10324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0" i="1" l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K111" i="1" s="1"/>
  <c r="AK112" i="1" s="1"/>
  <c r="AK113" i="1" s="1"/>
  <c r="AK114" i="1" s="1"/>
  <c r="AK115" i="1" s="1"/>
  <c r="AK116" i="1" s="1"/>
  <c r="AK117" i="1" s="1"/>
  <c r="AK118" i="1" s="1"/>
  <c r="AK119" i="1" s="1"/>
  <c r="AK120" i="1" s="1"/>
  <c r="AK121" i="1" s="1"/>
  <c r="AK122" i="1" s="1"/>
  <c r="AK123" i="1" s="1"/>
  <c r="AK124" i="1" s="1"/>
  <c r="AK125" i="1" s="1"/>
  <c r="AK126" i="1" s="1"/>
  <c r="AK127" i="1" s="1"/>
  <c r="AK128" i="1" s="1"/>
  <c r="AK129" i="1" s="1"/>
  <c r="AK130" i="1" s="1"/>
  <c r="AK131" i="1" s="1"/>
  <c r="AK132" i="1" s="1"/>
  <c r="AK133" i="1" s="1"/>
  <c r="AK134" i="1" s="1"/>
  <c r="AK135" i="1" s="1"/>
  <c r="AK136" i="1" s="1"/>
  <c r="AK137" i="1" s="1"/>
  <c r="AK138" i="1" s="1"/>
  <c r="AK139" i="1" s="1"/>
  <c r="AK140" i="1" s="1"/>
  <c r="AK141" i="1" s="1"/>
  <c r="AK142" i="1" s="1"/>
  <c r="AK143" i="1" s="1"/>
  <c r="AK144" i="1" s="1"/>
  <c r="AK145" i="1" s="1"/>
  <c r="AK146" i="1" s="1"/>
  <c r="AK147" i="1" s="1"/>
  <c r="AK148" i="1" s="1"/>
  <c r="AK149" i="1" s="1"/>
  <c r="AK150" i="1" s="1"/>
  <c r="AK151" i="1" s="1"/>
  <c r="AK152" i="1" s="1"/>
  <c r="AK153" i="1" s="1"/>
  <c r="AK154" i="1" s="1"/>
  <c r="AK155" i="1" s="1"/>
  <c r="AK156" i="1" s="1"/>
  <c r="AK157" i="1" s="1"/>
  <c r="AK158" i="1" s="1"/>
  <c r="AK159" i="1" s="1"/>
  <c r="AK160" i="1" s="1"/>
  <c r="AK161" i="1" s="1"/>
  <c r="AK162" i="1" s="1"/>
  <c r="AK163" i="1" s="1"/>
  <c r="AK164" i="1" s="1"/>
  <c r="AK165" i="1" s="1"/>
  <c r="AK166" i="1" s="1"/>
  <c r="AK167" i="1" s="1"/>
  <c r="AK168" i="1" s="1"/>
  <c r="AK169" i="1" s="1"/>
  <c r="AK170" i="1" s="1"/>
  <c r="AK171" i="1" s="1"/>
  <c r="AK172" i="1" s="1"/>
  <c r="AK173" i="1" s="1"/>
  <c r="AK174" i="1" s="1"/>
  <c r="AK175" i="1" s="1"/>
  <c r="AK176" i="1" s="1"/>
  <c r="AK177" i="1" s="1"/>
  <c r="AK178" i="1" s="1"/>
  <c r="AK179" i="1" s="1"/>
  <c r="AK180" i="1" s="1"/>
  <c r="AK181" i="1" s="1"/>
  <c r="AK182" i="1" s="1"/>
  <c r="AK183" i="1" s="1"/>
  <c r="AK184" i="1" s="1"/>
  <c r="AK185" i="1" s="1"/>
  <c r="AK186" i="1" s="1"/>
  <c r="AK187" i="1" s="1"/>
  <c r="AK188" i="1" s="1"/>
  <c r="AK189" i="1" s="1"/>
  <c r="AK190" i="1" s="1"/>
  <c r="AK191" i="1" s="1"/>
  <c r="AK192" i="1" s="1"/>
  <c r="AK193" i="1" s="1"/>
  <c r="AK194" i="1" s="1"/>
  <c r="AK195" i="1" s="1"/>
  <c r="AK196" i="1" s="1"/>
  <c r="AK197" i="1" s="1"/>
  <c r="AK198" i="1" s="1"/>
  <c r="AK199" i="1" s="1"/>
  <c r="AK200" i="1" s="1"/>
  <c r="AK201" i="1" s="1"/>
  <c r="AK202" i="1" s="1"/>
  <c r="AK203" i="1" s="1"/>
  <c r="AK204" i="1" s="1"/>
  <c r="AK205" i="1" s="1"/>
  <c r="AK206" i="1" s="1"/>
  <c r="AK207" i="1" s="1"/>
  <c r="AK208" i="1" s="1"/>
  <c r="AK209" i="1" s="1"/>
  <c r="AK210" i="1" s="1"/>
  <c r="AK211" i="1" s="1"/>
  <c r="AK212" i="1" s="1"/>
  <c r="AK213" i="1" s="1"/>
  <c r="AK214" i="1" s="1"/>
  <c r="AK215" i="1" s="1"/>
  <c r="AK216" i="1" s="1"/>
  <c r="AK217" i="1" s="1"/>
  <c r="AK218" i="1" s="1"/>
  <c r="AK219" i="1" s="1"/>
  <c r="AK220" i="1" s="1"/>
  <c r="AK221" i="1" s="1"/>
  <c r="AK222" i="1" s="1"/>
  <c r="AK223" i="1" s="1"/>
  <c r="AK224" i="1" s="1"/>
  <c r="AK225" i="1" s="1"/>
  <c r="AK226" i="1" s="1"/>
  <c r="AK227" i="1" s="1"/>
  <c r="AK228" i="1" s="1"/>
  <c r="AK229" i="1" s="1"/>
  <c r="AK230" i="1" s="1"/>
  <c r="AK231" i="1" s="1"/>
  <c r="AK232" i="1" s="1"/>
  <c r="AK233" i="1" s="1"/>
  <c r="AK234" i="1" s="1"/>
  <c r="AK235" i="1" s="1"/>
  <c r="AK236" i="1" s="1"/>
  <c r="AK237" i="1" s="1"/>
  <c r="AK238" i="1" s="1"/>
  <c r="AK239" i="1" s="1"/>
  <c r="AK240" i="1" s="1"/>
  <c r="AK241" i="1" s="1"/>
  <c r="AK242" i="1" s="1"/>
  <c r="AK243" i="1" s="1"/>
  <c r="AK244" i="1" s="1"/>
  <c r="AK245" i="1" s="1"/>
  <c r="AK246" i="1" s="1"/>
  <c r="AK247" i="1" s="1"/>
  <c r="AK248" i="1" s="1"/>
  <c r="AK249" i="1" s="1"/>
  <c r="AK250" i="1" s="1"/>
  <c r="AK251" i="1" s="1"/>
  <c r="AK252" i="1" s="1"/>
  <c r="AK253" i="1" s="1"/>
  <c r="AK254" i="1" s="1"/>
  <c r="AK255" i="1" s="1"/>
  <c r="AK256" i="1" s="1"/>
  <c r="AK257" i="1" s="1"/>
  <c r="AK258" i="1" s="1"/>
  <c r="AK259" i="1" s="1"/>
  <c r="AK260" i="1" s="1"/>
  <c r="AK261" i="1" s="1"/>
  <c r="AK262" i="1" s="1"/>
  <c r="AK263" i="1" s="1"/>
  <c r="AK264" i="1" s="1"/>
  <c r="AK265" i="1" s="1"/>
  <c r="AK266" i="1" s="1"/>
  <c r="AK267" i="1" s="1"/>
  <c r="AK268" i="1" s="1"/>
  <c r="AK269" i="1" s="1"/>
  <c r="AK270" i="1" s="1"/>
  <c r="AK271" i="1" s="1"/>
  <c r="AK272" i="1" s="1"/>
  <c r="AK273" i="1" s="1"/>
  <c r="AK274" i="1" s="1"/>
  <c r="AK275" i="1" s="1"/>
  <c r="AK276" i="1" s="1"/>
  <c r="AK277" i="1" s="1"/>
  <c r="AK278" i="1" s="1"/>
  <c r="AK279" i="1" s="1"/>
  <c r="AK280" i="1" s="1"/>
  <c r="AK281" i="1" s="1"/>
  <c r="AK282" i="1" s="1"/>
  <c r="AK283" i="1" s="1"/>
  <c r="AK284" i="1" s="1"/>
  <c r="AK285" i="1" s="1"/>
  <c r="AK286" i="1" s="1"/>
  <c r="AK287" i="1" s="1"/>
  <c r="AK288" i="1" s="1"/>
  <c r="AK289" i="1" s="1"/>
  <c r="AK290" i="1" s="1"/>
  <c r="AK291" i="1" s="1"/>
  <c r="AK292" i="1" s="1"/>
  <c r="AK293" i="1" s="1"/>
  <c r="AK294" i="1" s="1"/>
  <c r="AK295" i="1" s="1"/>
  <c r="AK296" i="1" s="1"/>
  <c r="AK297" i="1" s="1"/>
  <c r="AK298" i="1" s="1"/>
  <c r="AK299" i="1" s="1"/>
  <c r="AK300" i="1" s="1"/>
  <c r="AK301" i="1" s="1"/>
  <c r="AK302" i="1" s="1"/>
  <c r="AK303" i="1" s="1"/>
  <c r="AK304" i="1" s="1"/>
  <c r="AK305" i="1" s="1"/>
  <c r="AK306" i="1" s="1"/>
  <c r="AK307" i="1" s="1"/>
  <c r="AK308" i="1" s="1"/>
  <c r="AK309" i="1" s="1"/>
  <c r="AK310" i="1" s="1"/>
  <c r="AK311" i="1" s="1"/>
  <c r="AK312" i="1" s="1"/>
  <c r="AK313" i="1" s="1"/>
  <c r="AK314" i="1" s="1"/>
  <c r="AK315" i="1" s="1"/>
  <c r="AK316" i="1" s="1"/>
  <c r="AK317" i="1" s="1"/>
  <c r="AK318" i="1" s="1"/>
  <c r="AK319" i="1" s="1"/>
  <c r="AK320" i="1" s="1"/>
  <c r="AK321" i="1" s="1"/>
  <c r="AK322" i="1" s="1"/>
  <c r="AK323" i="1" s="1"/>
  <c r="AK324" i="1" s="1"/>
  <c r="AK325" i="1" s="1"/>
  <c r="AK326" i="1" s="1"/>
  <c r="AK327" i="1" s="1"/>
  <c r="AK328" i="1" s="1"/>
  <c r="AK329" i="1" s="1"/>
  <c r="AK330" i="1" s="1"/>
  <c r="AK331" i="1" s="1"/>
  <c r="AK332" i="1" s="1"/>
  <c r="AK333" i="1" s="1"/>
  <c r="AK334" i="1" s="1"/>
  <c r="AK335" i="1" s="1"/>
  <c r="AK336" i="1" s="1"/>
  <c r="AK337" i="1" s="1"/>
  <c r="AK338" i="1" s="1"/>
  <c r="AK339" i="1" s="1"/>
  <c r="AK340" i="1" s="1"/>
  <c r="AK341" i="1" s="1"/>
  <c r="AK342" i="1" s="1"/>
  <c r="AK343" i="1" s="1"/>
  <c r="AK344" i="1" s="1"/>
  <c r="AK345" i="1" s="1"/>
  <c r="AK346" i="1" s="1"/>
  <c r="AK347" i="1" s="1"/>
  <c r="AK348" i="1" s="1"/>
  <c r="AK349" i="1" s="1"/>
  <c r="AK350" i="1" s="1"/>
  <c r="AK351" i="1" s="1"/>
  <c r="AK352" i="1" s="1"/>
  <c r="AK353" i="1" s="1"/>
  <c r="AK354" i="1" s="1"/>
  <c r="AK355" i="1" s="1"/>
  <c r="AK356" i="1" s="1"/>
  <c r="AK357" i="1" s="1"/>
  <c r="AK358" i="1" s="1"/>
  <c r="AK359" i="1" s="1"/>
  <c r="AK360" i="1" s="1"/>
  <c r="AK361" i="1" s="1"/>
  <c r="AK362" i="1" s="1"/>
  <c r="AK363" i="1" s="1"/>
  <c r="AK364" i="1" s="1"/>
  <c r="AK365" i="1" s="1"/>
  <c r="AK366" i="1" s="1"/>
  <c r="AK367" i="1" s="1"/>
  <c r="AK368" i="1" s="1"/>
  <c r="AK369" i="1" s="1"/>
  <c r="AK370" i="1" s="1"/>
  <c r="AK371" i="1" s="1"/>
  <c r="AK372" i="1" s="1"/>
  <c r="AK373" i="1" s="1"/>
  <c r="AK374" i="1" s="1"/>
  <c r="AK375" i="1" s="1"/>
  <c r="AK376" i="1" s="1"/>
  <c r="AK377" i="1" s="1"/>
  <c r="AK378" i="1" s="1"/>
  <c r="AK379" i="1" s="1"/>
  <c r="AK380" i="1" s="1"/>
  <c r="AK381" i="1" s="1"/>
  <c r="AK382" i="1" s="1"/>
  <c r="AK383" i="1" s="1"/>
  <c r="AK384" i="1" s="1"/>
  <c r="AK385" i="1" s="1"/>
  <c r="AK386" i="1" s="1"/>
  <c r="AK387" i="1" s="1"/>
  <c r="AK388" i="1" s="1"/>
  <c r="AK389" i="1" s="1"/>
  <c r="AK390" i="1" s="1"/>
  <c r="AK391" i="1" s="1"/>
  <c r="AK392" i="1" s="1"/>
  <c r="AK393" i="1" s="1"/>
  <c r="AK394" i="1" s="1"/>
  <c r="AK395" i="1" s="1"/>
  <c r="AK396" i="1" s="1"/>
  <c r="AK397" i="1" s="1"/>
  <c r="AK398" i="1" s="1"/>
  <c r="AK399" i="1" s="1"/>
  <c r="AK400" i="1" s="1"/>
  <c r="AK401" i="1" s="1"/>
  <c r="AK402" i="1" s="1"/>
  <c r="AK403" i="1" s="1"/>
  <c r="AK404" i="1" s="1"/>
  <c r="AK405" i="1" s="1"/>
  <c r="AK406" i="1" s="1"/>
  <c r="AK407" i="1" s="1"/>
  <c r="AK408" i="1" s="1"/>
  <c r="AK409" i="1" s="1"/>
  <c r="AK410" i="1" s="1"/>
  <c r="AK411" i="1" s="1"/>
  <c r="AK412" i="1" s="1"/>
  <c r="AK413" i="1" s="1"/>
  <c r="AK414" i="1" s="1"/>
  <c r="AK415" i="1" s="1"/>
  <c r="AK416" i="1" s="1"/>
  <c r="AK417" i="1" s="1"/>
  <c r="AK418" i="1" s="1"/>
  <c r="AK419" i="1" s="1"/>
  <c r="AK420" i="1" s="1"/>
  <c r="AK421" i="1" s="1"/>
  <c r="AK422" i="1" s="1"/>
  <c r="AK423" i="1" s="1"/>
  <c r="AK424" i="1" s="1"/>
  <c r="AK425" i="1" s="1"/>
  <c r="AK426" i="1" s="1"/>
  <c r="AK427" i="1" s="1"/>
  <c r="AK428" i="1" s="1"/>
  <c r="AK429" i="1" s="1"/>
  <c r="AK430" i="1" s="1"/>
  <c r="AK431" i="1" s="1"/>
  <c r="AK432" i="1" s="1"/>
  <c r="AK433" i="1" s="1"/>
  <c r="AK434" i="1" s="1"/>
  <c r="AK435" i="1" s="1"/>
  <c r="AK436" i="1" s="1"/>
  <c r="AK437" i="1" s="1"/>
  <c r="AK438" i="1" s="1"/>
  <c r="AK439" i="1" s="1"/>
  <c r="AK440" i="1" s="1"/>
  <c r="AK441" i="1" s="1"/>
  <c r="AK442" i="1" s="1"/>
  <c r="AK443" i="1" s="1"/>
  <c r="AK444" i="1" s="1"/>
  <c r="AK445" i="1" s="1"/>
  <c r="AK446" i="1" s="1"/>
  <c r="AK447" i="1" s="1"/>
  <c r="AK448" i="1" s="1"/>
  <c r="AK449" i="1" s="1"/>
  <c r="AK450" i="1" s="1"/>
  <c r="AK451" i="1" s="1"/>
  <c r="AK452" i="1" s="1"/>
  <c r="AK453" i="1" s="1"/>
  <c r="AK454" i="1" s="1"/>
  <c r="AK455" i="1" s="1"/>
  <c r="AK456" i="1" s="1"/>
  <c r="AK457" i="1" s="1"/>
  <c r="AK458" i="1" s="1"/>
  <c r="AK459" i="1" s="1"/>
  <c r="AK460" i="1" s="1"/>
  <c r="AK461" i="1" s="1"/>
  <c r="AK462" i="1" s="1"/>
  <c r="AK463" i="1" s="1"/>
  <c r="AK464" i="1" s="1"/>
  <c r="AK465" i="1" s="1"/>
  <c r="AK466" i="1" s="1"/>
  <c r="AK467" i="1" s="1"/>
  <c r="AK468" i="1" s="1"/>
  <c r="AK469" i="1" s="1"/>
  <c r="AK470" i="1" s="1"/>
  <c r="AK471" i="1" s="1"/>
  <c r="AK472" i="1" s="1"/>
  <c r="AK473" i="1" s="1"/>
  <c r="AK474" i="1" s="1"/>
  <c r="AK475" i="1" s="1"/>
  <c r="AK476" i="1" s="1"/>
  <c r="AK477" i="1" s="1"/>
  <c r="AK478" i="1" s="1"/>
  <c r="AK479" i="1" s="1"/>
  <c r="AK480" i="1" s="1"/>
  <c r="AK481" i="1" s="1"/>
  <c r="AK482" i="1" s="1"/>
  <c r="AK483" i="1" s="1"/>
  <c r="AK484" i="1" s="1"/>
  <c r="AK485" i="1" s="1"/>
  <c r="AK486" i="1" s="1"/>
  <c r="AK487" i="1" s="1"/>
  <c r="AK488" i="1" s="1"/>
  <c r="AK489" i="1" s="1"/>
  <c r="AK490" i="1" s="1"/>
  <c r="AK491" i="1" s="1"/>
  <c r="AK492" i="1" s="1"/>
  <c r="AK493" i="1" s="1"/>
  <c r="AK494" i="1" s="1"/>
  <c r="AK495" i="1" s="1"/>
  <c r="AK496" i="1" s="1"/>
  <c r="AK497" i="1" s="1"/>
  <c r="AK498" i="1" s="1"/>
  <c r="AK499" i="1" s="1"/>
  <c r="AK500" i="1" s="1"/>
  <c r="AK501" i="1" s="1"/>
  <c r="AK502" i="1" s="1"/>
  <c r="AK503" i="1" s="1"/>
  <c r="AK504" i="1" s="1"/>
  <c r="AK505" i="1" s="1"/>
  <c r="AK506" i="1" s="1"/>
  <c r="AK507" i="1" s="1"/>
  <c r="AK508" i="1" s="1"/>
  <c r="AK509" i="1" s="1"/>
  <c r="AK510" i="1" s="1"/>
  <c r="AK511" i="1" s="1"/>
  <c r="AK512" i="1" s="1"/>
  <c r="AK513" i="1" s="1"/>
  <c r="AK514" i="1" s="1"/>
  <c r="AK515" i="1" s="1"/>
  <c r="AK516" i="1" s="1"/>
  <c r="AK517" i="1" s="1"/>
  <c r="AK518" i="1" s="1"/>
  <c r="AK519" i="1" s="1"/>
  <c r="AK520" i="1" s="1"/>
  <c r="AK521" i="1" s="1"/>
  <c r="AK522" i="1" s="1"/>
  <c r="AK523" i="1" s="1"/>
  <c r="AK524" i="1" s="1"/>
  <c r="AK525" i="1" s="1"/>
  <c r="AK526" i="1" s="1"/>
  <c r="AK527" i="1" s="1"/>
  <c r="AK528" i="1" s="1"/>
  <c r="AK529" i="1" s="1"/>
  <c r="AK530" i="1" s="1"/>
  <c r="AK531" i="1" s="1"/>
  <c r="AK532" i="1" s="1"/>
  <c r="AK533" i="1" s="1"/>
  <c r="AK534" i="1" s="1"/>
  <c r="AK535" i="1" s="1"/>
  <c r="AK536" i="1" s="1"/>
  <c r="AK537" i="1" s="1"/>
  <c r="AK538" i="1" s="1"/>
  <c r="AK539" i="1" s="1"/>
  <c r="AK540" i="1" s="1"/>
  <c r="AK541" i="1" s="1"/>
  <c r="AK542" i="1" s="1"/>
  <c r="AK543" i="1" s="1"/>
  <c r="AK544" i="1" s="1"/>
  <c r="AK545" i="1" s="1"/>
  <c r="AK546" i="1" s="1"/>
  <c r="AK547" i="1" s="1"/>
  <c r="AK548" i="1" s="1"/>
  <c r="AK549" i="1" s="1"/>
  <c r="AK550" i="1" s="1"/>
  <c r="AK551" i="1" s="1"/>
  <c r="AK552" i="1" s="1"/>
  <c r="AK553" i="1" s="1"/>
  <c r="AK554" i="1" s="1"/>
  <c r="AK555" i="1" s="1"/>
  <c r="AK556" i="1" s="1"/>
  <c r="AK557" i="1" s="1"/>
  <c r="AK558" i="1" s="1"/>
  <c r="AK559" i="1" s="1"/>
  <c r="AK560" i="1" s="1"/>
  <c r="AK561" i="1" s="1"/>
  <c r="AK562" i="1" s="1"/>
  <c r="AK563" i="1" s="1"/>
  <c r="AK564" i="1" s="1"/>
  <c r="AK565" i="1" s="1"/>
  <c r="AK566" i="1" s="1"/>
  <c r="AK567" i="1" s="1"/>
  <c r="AK568" i="1" s="1"/>
  <c r="AK569" i="1" s="1"/>
  <c r="AK570" i="1" s="1"/>
  <c r="AK571" i="1" s="1"/>
  <c r="AK572" i="1" s="1"/>
  <c r="AK573" i="1" s="1"/>
  <c r="AK574" i="1" s="1"/>
  <c r="AK575" i="1" s="1"/>
  <c r="AK576" i="1" s="1"/>
  <c r="AK577" i="1" s="1"/>
  <c r="AK578" i="1" s="1"/>
  <c r="AK579" i="1" s="1"/>
  <c r="AK580" i="1" s="1"/>
  <c r="AK581" i="1" s="1"/>
  <c r="AK582" i="1" s="1"/>
  <c r="AK583" i="1" s="1"/>
  <c r="AK584" i="1" s="1"/>
  <c r="AK585" i="1" s="1"/>
  <c r="AK586" i="1" s="1"/>
  <c r="AK587" i="1" s="1"/>
  <c r="AK588" i="1" s="1"/>
  <c r="AK589" i="1" s="1"/>
  <c r="AK590" i="1" s="1"/>
  <c r="AK591" i="1" s="1"/>
  <c r="AK592" i="1" s="1"/>
  <c r="AK593" i="1" s="1"/>
  <c r="AK594" i="1" s="1"/>
  <c r="AK595" i="1" s="1"/>
  <c r="AK596" i="1" s="1"/>
  <c r="AK597" i="1" s="1"/>
  <c r="AK598" i="1" s="1"/>
  <c r="AK599" i="1" s="1"/>
  <c r="AK600" i="1" s="1"/>
  <c r="AK601" i="1" s="1"/>
  <c r="AK602" i="1" s="1"/>
  <c r="AK603" i="1" s="1"/>
  <c r="AK604" i="1" s="1"/>
  <c r="AK605" i="1" s="1"/>
  <c r="AK606" i="1" s="1"/>
  <c r="AK607" i="1" s="1"/>
  <c r="AK608" i="1" s="1"/>
  <c r="AK609" i="1" s="1"/>
  <c r="AK610" i="1" s="1"/>
  <c r="AK611" i="1" s="1"/>
  <c r="AK612" i="1" s="1"/>
  <c r="AK613" i="1" s="1"/>
  <c r="AK614" i="1" s="1"/>
  <c r="AK615" i="1" s="1"/>
  <c r="AK616" i="1" s="1"/>
  <c r="AK617" i="1" s="1"/>
  <c r="AK618" i="1" s="1"/>
  <c r="AK619" i="1" s="1"/>
  <c r="AK620" i="1" s="1"/>
  <c r="AK621" i="1" s="1"/>
  <c r="AK622" i="1" s="1"/>
  <c r="AK623" i="1" s="1"/>
  <c r="AK624" i="1" s="1"/>
  <c r="AK625" i="1" s="1"/>
  <c r="AK626" i="1" s="1"/>
  <c r="AK627" i="1" s="1"/>
  <c r="AK628" i="1" s="1"/>
  <c r="AK629" i="1" s="1"/>
  <c r="AK630" i="1" s="1"/>
  <c r="AK631" i="1" s="1"/>
  <c r="AK632" i="1" s="1"/>
  <c r="AK633" i="1" s="1"/>
  <c r="AK634" i="1" s="1"/>
  <c r="AK635" i="1" s="1"/>
  <c r="AK636" i="1" s="1"/>
  <c r="AK637" i="1" s="1"/>
  <c r="AK638" i="1" s="1"/>
  <c r="AK639" i="1" s="1"/>
  <c r="AK640" i="1" s="1"/>
  <c r="AK641" i="1" s="1"/>
  <c r="AK642" i="1" s="1"/>
  <c r="AK643" i="1" s="1"/>
  <c r="AK644" i="1" s="1"/>
  <c r="AK645" i="1" s="1"/>
  <c r="AK646" i="1" s="1"/>
  <c r="AK647" i="1" s="1"/>
  <c r="AK648" i="1" s="1"/>
  <c r="AK649" i="1" s="1"/>
  <c r="AK650" i="1" s="1"/>
  <c r="AK651" i="1" s="1"/>
  <c r="AK652" i="1" s="1"/>
  <c r="AK653" i="1" s="1"/>
  <c r="AK654" i="1" s="1"/>
  <c r="AK655" i="1" s="1"/>
  <c r="AK656" i="1" s="1"/>
  <c r="AK657" i="1" s="1"/>
  <c r="AK658" i="1" s="1"/>
  <c r="AK659" i="1" s="1"/>
  <c r="AK660" i="1" s="1"/>
  <c r="AK661" i="1" s="1"/>
  <c r="AK662" i="1" s="1"/>
  <c r="AK663" i="1" s="1"/>
  <c r="AK664" i="1" s="1"/>
  <c r="AK665" i="1" s="1"/>
  <c r="AK666" i="1" s="1"/>
  <c r="AK667" i="1" s="1"/>
  <c r="AK668" i="1" s="1"/>
  <c r="AK669" i="1" s="1"/>
  <c r="AK670" i="1" s="1"/>
  <c r="AK671" i="1" s="1"/>
  <c r="AK672" i="1" s="1"/>
  <c r="AK673" i="1" s="1"/>
  <c r="AK674" i="1" s="1"/>
  <c r="AK675" i="1" s="1"/>
  <c r="AK676" i="1" s="1"/>
  <c r="AK677" i="1" s="1"/>
  <c r="AK678" i="1" s="1"/>
  <c r="AK679" i="1" s="1"/>
  <c r="AK680" i="1" s="1"/>
  <c r="AK681" i="1" s="1"/>
  <c r="AK682" i="1" s="1"/>
  <c r="AK683" i="1" s="1"/>
  <c r="AK684" i="1" s="1"/>
  <c r="AK685" i="1" s="1"/>
  <c r="AK686" i="1" s="1"/>
  <c r="AK687" i="1" s="1"/>
  <c r="AK688" i="1" s="1"/>
  <c r="AK689" i="1" s="1"/>
  <c r="AK690" i="1" s="1"/>
  <c r="AK691" i="1" s="1"/>
  <c r="AK692" i="1" s="1"/>
  <c r="AK693" i="1" s="1"/>
  <c r="AK694" i="1" s="1"/>
  <c r="AK695" i="1" s="1"/>
  <c r="AK696" i="1" s="1"/>
  <c r="AK697" i="1" s="1"/>
  <c r="AK698" i="1" s="1"/>
  <c r="AK699" i="1" s="1"/>
  <c r="AK700" i="1" s="1"/>
  <c r="AK701" i="1" s="1"/>
  <c r="AK702" i="1" s="1"/>
  <c r="AK703" i="1" s="1"/>
  <c r="AK704" i="1" s="1"/>
  <c r="AK705" i="1" s="1"/>
  <c r="AK706" i="1" s="1"/>
  <c r="AK707" i="1" s="1"/>
  <c r="AK708" i="1" s="1"/>
  <c r="AK709" i="1" s="1"/>
  <c r="AK710" i="1" s="1"/>
  <c r="AK711" i="1" s="1"/>
  <c r="AK712" i="1" s="1"/>
  <c r="AK713" i="1" s="1"/>
  <c r="AK714" i="1" s="1"/>
  <c r="AK715" i="1" s="1"/>
  <c r="AK716" i="1" s="1"/>
  <c r="AK717" i="1" s="1"/>
  <c r="AK718" i="1" s="1"/>
  <c r="AK719" i="1" s="1"/>
  <c r="AK720" i="1" s="1"/>
  <c r="AK721" i="1" s="1"/>
  <c r="AK722" i="1" s="1"/>
  <c r="AK723" i="1" s="1"/>
  <c r="AK724" i="1" s="1"/>
  <c r="AK725" i="1" s="1"/>
  <c r="AK726" i="1" s="1"/>
  <c r="AK727" i="1" s="1"/>
  <c r="AK728" i="1" s="1"/>
  <c r="AK729" i="1" s="1"/>
  <c r="AK730" i="1" s="1"/>
  <c r="AK731" i="1" s="1"/>
  <c r="AK732" i="1" s="1"/>
  <c r="AK733" i="1" s="1"/>
  <c r="AK734" i="1" s="1"/>
  <c r="AK735" i="1" s="1"/>
  <c r="AK736" i="1" s="1"/>
  <c r="AK737" i="1" s="1"/>
  <c r="AK738" i="1" s="1"/>
  <c r="AK739" i="1" s="1"/>
  <c r="AK740" i="1" s="1"/>
  <c r="AK741" i="1" s="1"/>
  <c r="AK742" i="1" s="1"/>
  <c r="AK743" i="1" s="1"/>
  <c r="AK744" i="1" s="1"/>
  <c r="AK745" i="1" s="1"/>
  <c r="AK746" i="1" s="1"/>
  <c r="AK747" i="1" s="1"/>
  <c r="AK748" i="1" s="1"/>
  <c r="AK749" i="1" s="1"/>
  <c r="AK750" i="1" s="1"/>
  <c r="AK751" i="1" s="1"/>
  <c r="AK752" i="1" s="1"/>
  <c r="AK753" i="1" s="1"/>
  <c r="AK754" i="1" s="1"/>
  <c r="AK755" i="1" s="1"/>
  <c r="AK756" i="1" s="1"/>
  <c r="AK757" i="1" s="1"/>
  <c r="AK758" i="1" s="1"/>
  <c r="AK759" i="1" s="1"/>
  <c r="AK760" i="1" s="1"/>
  <c r="AK761" i="1" s="1"/>
  <c r="AK762" i="1" s="1"/>
  <c r="AK763" i="1" s="1"/>
  <c r="AK764" i="1" s="1"/>
  <c r="AK765" i="1" s="1"/>
  <c r="AK766" i="1" s="1"/>
  <c r="AK767" i="1" s="1"/>
  <c r="AK768" i="1" s="1"/>
  <c r="AK769" i="1" s="1"/>
  <c r="AK770" i="1" s="1"/>
  <c r="AK771" i="1" s="1"/>
  <c r="AK772" i="1" s="1"/>
  <c r="AK773" i="1" s="1"/>
  <c r="AK774" i="1" s="1"/>
  <c r="AK775" i="1" s="1"/>
  <c r="AK776" i="1" s="1"/>
  <c r="AK777" i="1" s="1"/>
  <c r="AK778" i="1" s="1"/>
  <c r="AK779" i="1" s="1"/>
  <c r="AK780" i="1" s="1"/>
  <c r="AK781" i="1" s="1"/>
  <c r="AK782" i="1" s="1"/>
  <c r="AK783" i="1" s="1"/>
  <c r="AK784" i="1" s="1"/>
  <c r="AK785" i="1" s="1"/>
  <c r="AK786" i="1" s="1"/>
  <c r="AK787" i="1" s="1"/>
  <c r="AK788" i="1" s="1"/>
  <c r="AK789" i="1" s="1"/>
  <c r="AK790" i="1" s="1"/>
  <c r="AK791" i="1" s="1"/>
  <c r="AK792" i="1" s="1"/>
  <c r="AK793" i="1" s="1"/>
  <c r="AK794" i="1" s="1"/>
  <c r="AK795" i="1" s="1"/>
  <c r="AK796" i="1" s="1"/>
  <c r="AK797" i="1" s="1"/>
  <c r="AK798" i="1" s="1"/>
  <c r="AK799" i="1" s="1"/>
  <c r="AK800" i="1" s="1"/>
  <c r="AK801" i="1" s="1"/>
  <c r="AK802" i="1" s="1"/>
  <c r="AK803" i="1" s="1"/>
  <c r="AK804" i="1" s="1"/>
  <c r="AK805" i="1" s="1"/>
  <c r="AK806" i="1" s="1"/>
  <c r="AK807" i="1" s="1"/>
  <c r="AK808" i="1" s="1"/>
  <c r="AK809" i="1" s="1"/>
  <c r="AK810" i="1" s="1"/>
  <c r="AK811" i="1" s="1"/>
  <c r="AK812" i="1" s="1"/>
  <c r="AK813" i="1" s="1"/>
  <c r="AK814" i="1" s="1"/>
  <c r="AK815" i="1" s="1"/>
  <c r="AK816" i="1" s="1"/>
  <c r="AK817" i="1" s="1"/>
  <c r="AK818" i="1" s="1"/>
  <c r="AK819" i="1" s="1"/>
  <c r="AK820" i="1" s="1"/>
  <c r="AK821" i="1" s="1"/>
  <c r="AK822" i="1" s="1"/>
  <c r="AK823" i="1" s="1"/>
  <c r="AK824" i="1" s="1"/>
  <c r="AK825" i="1" s="1"/>
  <c r="AK826" i="1" s="1"/>
  <c r="AK827" i="1" s="1"/>
  <c r="AK828" i="1" s="1"/>
  <c r="AK829" i="1" s="1"/>
  <c r="AK830" i="1" s="1"/>
  <c r="AK831" i="1" s="1"/>
  <c r="AK832" i="1" s="1"/>
  <c r="AK833" i="1" s="1"/>
  <c r="AK834" i="1" s="1"/>
  <c r="AK835" i="1" s="1"/>
  <c r="AK836" i="1" s="1"/>
  <c r="AK837" i="1" s="1"/>
  <c r="AK838" i="1" s="1"/>
  <c r="AK839" i="1" s="1"/>
  <c r="AK840" i="1" s="1"/>
  <c r="AK841" i="1" s="1"/>
  <c r="AK842" i="1" s="1"/>
  <c r="AK843" i="1" s="1"/>
  <c r="AK844" i="1" s="1"/>
  <c r="AK845" i="1" s="1"/>
  <c r="AK846" i="1" s="1"/>
  <c r="AK847" i="1" s="1"/>
  <c r="AK848" i="1" s="1"/>
  <c r="AK849" i="1" s="1"/>
  <c r="AK850" i="1" s="1"/>
  <c r="AK851" i="1" s="1"/>
  <c r="AK852" i="1" s="1"/>
  <c r="AK853" i="1" s="1"/>
  <c r="AK854" i="1" s="1"/>
  <c r="AK855" i="1" s="1"/>
  <c r="AK856" i="1" s="1"/>
  <c r="AK857" i="1" s="1"/>
  <c r="AK858" i="1" s="1"/>
  <c r="AK859" i="1" s="1"/>
  <c r="AK860" i="1" s="1"/>
  <c r="AK861" i="1" s="1"/>
  <c r="AK862" i="1" s="1"/>
  <c r="AK863" i="1" s="1"/>
  <c r="AK864" i="1" s="1"/>
  <c r="AK865" i="1" s="1"/>
  <c r="AK866" i="1" s="1"/>
  <c r="AK867" i="1" s="1"/>
  <c r="AK868" i="1" s="1"/>
  <c r="AK869" i="1" s="1"/>
  <c r="AK870" i="1" s="1"/>
  <c r="AK871" i="1" s="1"/>
  <c r="AK872" i="1" s="1"/>
  <c r="AK873" i="1" s="1"/>
  <c r="AK874" i="1" s="1"/>
  <c r="AK875" i="1" s="1"/>
  <c r="AK876" i="1" s="1"/>
  <c r="AK877" i="1" s="1"/>
  <c r="AK878" i="1" s="1"/>
  <c r="AK879" i="1" s="1"/>
  <c r="AK880" i="1" s="1"/>
  <c r="AK881" i="1" s="1"/>
  <c r="AK882" i="1" s="1"/>
  <c r="AK883" i="1" s="1"/>
  <c r="AK884" i="1" s="1"/>
  <c r="AK885" i="1" s="1"/>
  <c r="AK886" i="1" s="1"/>
  <c r="AK887" i="1" s="1"/>
  <c r="AK888" i="1" s="1"/>
  <c r="AK889" i="1" s="1"/>
  <c r="AK890" i="1" s="1"/>
  <c r="AK891" i="1" s="1"/>
  <c r="AK892" i="1" s="1"/>
  <c r="AK893" i="1" s="1"/>
  <c r="AK894" i="1" s="1"/>
  <c r="AK895" i="1" s="1"/>
  <c r="AK896" i="1" s="1"/>
  <c r="AK897" i="1" s="1"/>
  <c r="AK898" i="1" s="1"/>
  <c r="AK899" i="1" s="1"/>
  <c r="AK900" i="1" s="1"/>
  <c r="AK901" i="1" s="1"/>
  <c r="AK902" i="1" s="1"/>
  <c r="AK903" i="1" s="1"/>
  <c r="AK904" i="1" s="1"/>
  <c r="AK905" i="1" s="1"/>
  <c r="AK906" i="1" s="1"/>
  <c r="AK907" i="1" s="1"/>
  <c r="AK908" i="1" s="1"/>
  <c r="AK909" i="1" s="1"/>
  <c r="AK910" i="1" s="1"/>
  <c r="AK911" i="1" s="1"/>
  <c r="AK912" i="1" s="1"/>
  <c r="AK913" i="1" s="1"/>
  <c r="AK914" i="1" s="1"/>
  <c r="AK915" i="1" s="1"/>
  <c r="AK916" i="1" s="1"/>
  <c r="AK917" i="1" s="1"/>
  <c r="AK918" i="1" s="1"/>
  <c r="AK919" i="1" s="1"/>
  <c r="AK920" i="1" s="1"/>
  <c r="AK921" i="1" s="1"/>
  <c r="AK922" i="1" s="1"/>
  <c r="AK923" i="1" s="1"/>
  <c r="AK924" i="1" s="1"/>
  <c r="AK925" i="1" s="1"/>
  <c r="AK926" i="1" s="1"/>
  <c r="AK927" i="1" s="1"/>
  <c r="AK928" i="1" s="1"/>
  <c r="AK929" i="1" s="1"/>
  <c r="AK930" i="1" s="1"/>
  <c r="AK931" i="1" s="1"/>
  <c r="AK932" i="1" s="1"/>
  <c r="AK933" i="1" s="1"/>
  <c r="AK934" i="1" s="1"/>
  <c r="AK935" i="1" s="1"/>
  <c r="AK936" i="1" s="1"/>
  <c r="AK937" i="1" s="1"/>
  <c r="AK938" i="1" s="1"/>
  <c r="AK939" i="1" s="1"/>
  <c r="AK940" i="1" s="1"/>
  <c r="AK941" i="1" s="1"/>
  <c r="AK942" i="1" s="1"/>
  <c r="AK943" i="1" s="1"/>
  <c r="AK944" i="1" s="1"/>
  <c r="AK945" i="1" s="1"/>
  <c r="AK946" i="1" s="1"/>
  <c r="AK947" i="1" s="1"/>
  <c r="AK948" i="1" s="1"/>
  <c r="AK949" i="1" s="1"/>
  <c r="AK950" i="1" s="1"/>
  <c r="AK951" i="1" s="1"/>
  <c r="AK952" i="1" s="1"/>
  <c r="AK953" i="1" s="1"/>
  <c r="AK954" i="1" s="1"/>
  <c r="AK955" i="1" s="1"/>
  <c r="AK956" i="1" s="1"/>
  <c r="AK957" i="1" s="1"/>
  <c r="AK958" i="1" s="1"/>
  <c r="AK959" i="1" s="1"/>
  <c r="AK960" i="1" s="1"/>
  <c r="AK961" i="1" s="1"/>
  <c r="AK962" i="1" s="1"/>
  <c r="AK963" i="1" s="1"/>
  <c r="AK964" i="1" s="1"/>
  <c r="AK965" i="1" s="1"/>
  <c r="AK966" i="1" s="1"/>
  <c r="AK967" i="1" s="1"/>
  <c r="AK968" i="1" s="1"/>
  <c r="AK969" i="1" s="1"/>
  <c r="AK970" i="1" s="1"/>
  <c r="AK971" i="1" s="1"/>
  <c r="AK972" i="1" s="1"/>
  <c r="AK973" i="1" s="1"/>
  <c r="AK974" i="1" s="1"/>
  <c r="AK975" i="1" s="1"/>
  <c r="AK976" i="1" s="1"/>
  <c r="AK977" i="1" s="1"/>
  <c r="AK978" i="1" s="1"/>
  <c r="AK979" i="1" s="1"/>
  <c r="AK980" i="1" s="1"/>
  <c r="AK981" i="1" s="1"/>
  <c r="AK982" i="1" s="1"/>
  <c r="AK983" i="1" s="1"/>
  <c r="AK984" i="1" s="1"/>
  <c r="AK985" i="1" s="1"/>
  <c r="AK986" i="1" s="1"/>
  <c r="AK987" i="1" s="1"/>
  <c r="AK988" i="1" s="1"/>
  <c r="AK989" i="1" s="1"/>
  <c r="AK990" i="1" s="1"/>
  <c r="AK991" i="1" s="1"/>
  <c r="AK992" i="1" s="1"/>
  <c r="AK993" i="1" s="1"/>
  <c r="AK994" i="1" s="1"/>
  <c r="AK995" i="1" s="1"/>
  <c r="AK996" i="1" s="1"/>
  <c r="AK997" i="1" s="1"/>
  <c r="AK998" i="1" s="1"/>
  <c r="AK999" i="1" s="1"/>
  <c r="AK1000" i="1" s="1"/>
  <c r="AK1001" i="1" s="1"/>
  <c r="AK1002" i="1" s="1"/>
  <c r="AK1003" i="1" s="1"/>
  <c r="AK1004" i="1" s="1"/>
  <c r="AK1005" i="1" s="1"/>
  <c r="AK1006" i="1" s="1"/>
  <c r="AK1007" i="1" s="1"/>
  <c r="AK1008" i="1" s="1"/>
  <c r="AK1009" i="1" s="1"/>
  <c r="AK1010" i="1" s="1"/>
  <c r="AK1011" i="1" s="1"/>
  <c r="AK1012" i="1" s="1"/>
  <c r="AK1013" i="1" s="1"/>
  <c r="AK1014" i="1" s="1"/>
  <c r="AK1015" i="1" s="1"/>
  <c r="AK1016" i="1" s="1"/>
  <c r="AK1017" i="1" s="1"/>
  <c r="AK1018" i="1" s="1"/>
  <c r="AK1019" i="1" s="1"/>
  <c r="AK1020" i="1" s="1"/>
  <c r="AK1021" i="1" s="1"/>
  <c r="AK1022" i="1" s="1"/>
  <c r="AK1023" i="1" s="1"/>
  <c r="AK1024" i="1" s="1"/>
  <c r="AK1025" i="1" s="1"/>
  <c r="AK1026" i="1" s="1"/>
  <c r="AK1027" i="1" s="1"/>
  <c r="AK1028" i="1" s="1"/>
  <c r="AK1029" i="1" s="1"/>
  <c r="AK1030" i="1" s="1"/>
  <c r="AK1031" i="1" s="1"/>
  <c r="AK1032" i="1" s="1"/>
  <c r="AK1033" i="1" s="1"/>
  <c r="AK1034" i="1" s="1"/>
  <c r="AK1035" i="1" s="1"/>
  <c r="AK1036" i="1" s="1"/>
  <c r="AK1037" i="1" s="1"/>
  <c r="AK1038" i="1" s="1"/>
  <c r="AK1039" i="1" s="1"/>
  <c r="AK1040" i="1" s="1"/>
  <c r="AK1041" i="1" s="1"/>
  <c r="AK1042" i="1" s="1"/>
  <c r="AK1043" i="1" s="1"/>
  <c r="AK1044" i="1" s="1"/>
  <c r="AK1045" i="1" s="1"/>
  <c r="AK1046" i="1" s="1"/>
  <c r="AK1047" i="1" s="1"/>
  <c r="AK1048" i="1" s="1"/>
  <c r="AK1049" i="1" s="1"/>
  <c r="AK1050" i="1" s="1"/>
  <c r="AK1051" i="1" s="1"/>
  <c r="AK1052" i="1" s="1"/>
  <c r="AK1053" i="1" s="1"/>
  <c r="AK1054" i="1" s="1"/>
  <c r="AK1055" i="1" s="1"/>
  <c r="AK1056" i="1" s="1"/>
  <c r="AK1057" i="1" s="1"/>
  <c r="AK1058" i="1" s="1"/>
  <c r="AK1059" i="1" s="1"/>
  <c r="AK1060" i="1" s="1"/>
  <c r="AK1061" i="1" s="1"/>
  <c r="AK1062" i="1" s="1"/>
  <c r="AK1063" i="1" s="1"/>
  <c r="AK1064" i="1" s="1"/>
  <c r="AK1065" i="1" s="1"/>
  <c r="AK1066" i="1" s="1"/>
  <c r="AK1067" i="1" s="1"/>
  <c r="AK1068" i="1" s="1"/>
  <c r="AK1069" i="1" s="1"/>
  <c r="AK1070" i="1" s="1"/>
  <c r="AK1071" i="1" s="1"/>
  <c r="AK1072" i="1" s="1"/>
  <c r="AK1073" i="1" s="1"/>
  <c r="AK1074" i="1" s="1"/>
  <c r="AK1075" i="1" s="1"/>
  <c r="AK1076" i="1" s="1"/>
  <c r="AK1077" i="1" s="1"/>
  <c r="AK1078" i="1" s="1"/>
  <c r="AK1079" i="1" s="1"/>
  <c r="AK1080" i="1" s="1"/>
  <c r="AK1081" i="1" s="1"/>
  <c r="AK1082" i="1" s="1"/>
  <c r="AK1083" i="1" s="1"/>
  <c r="AK1084" i="1" s="1"/>
  <c r="AK1085" i="1" s="1"/>
  <c r="AK1086" i="1" s="1"/>
  <c r="AK1087" i="1" s="1"/>
  <c r="AK1088" i="1" s="1"/>
  <c r="AK1089" i="1" s="1"/>
  <c r="AK1090" i="1" s="1"/>
  <c r="AK1091" i="1" s="1"/>
  <c r="AK1092" i="1" s="1"/>
  <c r="AK1093" i="1" s="1"/>
  <c r="AK1094" i="1" s="1"/>
  <c r="AK1095" i="1" s="1"/>
  <c r="AK1096" i="1" s="1"/>
  <c r="AK1097" i="1" s="1"/>
  <c r="AK1098" i="1" s="1"/>
  <c r="AK1099" i="1" s="1"/>
  <c r="AK1100" i="1" s="1"/>
  <c r="AK1101" i="1" s="1"/>
  <c r="AK1102" i="1" s="1"/>
  <c r="AK1103" i="1" s="1"/>
  <c r="AK1104" i="1" s="1"/>
  <c r="AK1105" i="1" s="1"/>
  <c r="AK1106" i="1" s="1"/>
  <c r="AK1107" i="1" s="1"/>
  <c r="AK1108" i="1" s="1"/>
  <c r="AK1109" i="1" s="1"/>
  <c r="AK1110" i="1" s="1"/>
  <c r="AK1111" i="1" s="1"/>
  <c r="AK1112" i="1" s="1"/>
  <c r="AK1113" i="1" s="1"/>
  <c r="AK1114" i="1" s="1"/>
  <c r="AK1115" i="1" s="1"/>
  <c r="AK1116" i="1" s="1"/>
  <c r="AK1117" i="1" s="1"/>
  <c r="AK1118" i="1" s="1"/>
  <c r="AK1119" i="1" s="1"/>
  <c r="AK1120" i="1" s="1"/>
  <c r="AK1121" i="1" s="1"/>
  <c r="AK1122" i="1" s="1"/>
  <c r="AK1123" i="1" s="1"/>
  <c r="AK1124" i="1" s="1"/>
  <c r="AK1125" i="1" s="1"/>
  <c r="AK1126" i="1" s="1"/>
  <c r="AK1127" i="1" s="1"/>
  <c r="AK1128" i="1" s="1"/>
  <c r="AK1129" i="1" s="1"/>
  <c r="AK1130" i="1" s="1"/>
  <c r="AK1131" i="1" s="1"/>
  <c r="AK1132" i="1" s="1"/>
  <c r="AK1133" i="1" s="1"/>
  <c r="AK1134" i="1" s="1"/>
  <c r="AK1135" i="1" s="1"/>
  <c r="AK1136" i="1" s="1"/>
  <c r="AK1137" i="1" s="1"/>
  <c r="AK1138" i="1" s="1"/>
  <c r="AK1139" i="1" s="1"/>
  <c r="AK1140" i="1" s="1"/>
  <c r="AK1141" i="1" s="1"/>
  <c r="AK1142" i="1" s="1"/>
  <c r="AK1143" i="1" s="1"/>
  <c r="AK1144" i="1" s="1"/>
  <c r="AK1145" i="1" s="1"/>
  <c r="AK1146" i="1" s="1"/>
  <c r="AK1147" i="1" s="1"/>
  <c r="AK1148" i="1" s="1"/>
  <c r="AK1149" i="1" s="1"/>
  <c r="AK1150" i="1" s="1"/>
  <c r="AK1151" i="1" s="1"/>
  <c r="AK1152" i="1" s="1"/>
  <c r="AK1153" i="1" s="1"/>
  <c r="AK1154" i="1" s="1"/>
  <c r="AK1155" i="1" s="1"/>
  <c r="AK1156" i="1" s="1"/>
  <c r="AK1157" i="1" s="1"/>
  <c r="AK1158" i="1" s="1"/>
  <c r="AK1159" i="1" s="1"/>
  <c r="AK1160" i="1" s="1"/>
  <c r="AK1161" i="1" s="1"/>
  <c r="AK1162" i="1" s="1"/>
  <c r="AK1163" i="1" s="1"/>
  <c r="AK1164" i="1" s="1"/>
  <c r="AK1165" i="1" s="1"/>
  <c r="AK1166" i="1" s="1"/>
  <c r="AK1167" i="1" s="1"/>
  <c r="AK1168" i="1" s="1"/>
  <c r="AK1169" i="1" s="1"/>
  <c r="AK1170" i="1" s="1"/>
  <c r="AK1171" i="1" s="1"/>
  <c r="AK1172" i="1" s="1"/>
  <c r="AK1173" i="1" s="1"/>
  <c r="AK1174" i="1" s="1"/>
  <c r="AK1175" i="1" s="1"/>
  <c r="AK1176" i="1" s="1"/>
  <c r="AK1177" i="1" s="1"/>
  <c r="AK1178" i="1" s="1"/>
  <c r="AK1179" i="1" s="1"/>
  <c r="AK1180" i="1" s="1"/>
  <c r="AK1181" i="1" s="1"/>
  <c r="AK1182" i="1" s="1"/>
  <c r="AK1183" i="1" s="1"/>
  <c r="AK1184" i="1" s="1"/>
  <c r="AK1185" i="1" s="1"/>
  <c r="AK1186" i="1" s="1"/>
  <c r="AK1187" i="1" s="1"/>
  <c r="AK1188" i="1" s="1"/>
  <c r="AK1189" i="1" s="1"/>
  <c r="AK1190" i="1" s="1"/>
  <c r="AK1191" i="1" s="1"/>
  <c r="AK1192" i="1" s="1"/>
  <c r="AK1193" i="1" s="1"/>
  <c r="AK1194" i="1" s="1"/>
  <c r="AK1195" i="1" s="1"/>
  <c r="AK1196" i="1" s="1"/>
  <c r="AK1197" i="1" s="1"/>
  <c r="AK1198" i="1" s="1"/>
  <c r="AK1199" i="1" s="1"/>
  <c r="AK1200" i="1" s="1"/>
  <c r="AK1201" i="1" s="1"/>
  <c r="AK1202" i="1" s="1"/>
  <c r="AK1203" i="1" s="1"/>
  <c r="AK1204" i="1" s="1"/>
  <c r="AK1205" i="1" s="1"/>
  <c r="AK1206" i="1" s="1"/>
  <c r="AK1207" i="1" s="1"/>
  <c r="AK1208" i="1" s="1"/>
  <c r="AK1209" i="1" s="1"/>
  <c r="AK1210" i="1" s="1"/>
  <c r="AK1211" i="1" s="1"/>
  <c r="AK1212" i="1" s="1"/>
  <c r="AK1213" i="1" s="1"/>
  <c r="AK1214" i="1" s="1"/>
  <c r="AK1215" i="1" s="1"/>
  <c r="AK1216" i="1" s="1"/>
  <c r="AK1217" i="1" s="1"/>
  <c r="AK1218" i="1" s="1"/>
  <c r="AK1219" i="1" s="1"/>
  <c r="AK1220" i="1" s="1"/>
  <c r="AK1221" i="1" s="1"/>
  <c r="AK1222" i="1" s="1"/>
  <c r="AK1223" i="1" s="1"/>
  <c r="AK1224" i="1" s="1"/>
  <c r="AK1225" i="1" s="1"/>
  <c r="AK1226" i="1" s="1"/>
  <c r="AK1227" i="1" s="1"/>
  <c r="AK1228" i="1" s="1"/>
  <c r="AK1229" i="1" s="1"/>
  <c r="AK1230" i="1" s="1"/>
  <c r="AK1231" i="1" s="1"/>
  <c r="AK1232" i="1" s="1"/>
  <c r="AK1233" i="1" s="1"/>
  <c r="AK1234" i="1" s="1"/>
  <c r="AK1235" i="1" s="1"/>
  <c r="AK1236" i="1" s="1"/>
  <c r="AK1237" i="1" s="1"/>
  <c r="AK1238" i="1" s="1"/>
  <c r="AK1239" i="1" s="1"/>
  <c r="AK1240" i="1" s="1"/>
  <c r="AK1241" i="1" s="1"/>
  <c r="AK1242" i="1" s="1"/>
  <c r="AK1243" i="1" s="1"/>
  <c r="AK1244" i="1" s="1"/>
  <c r="AK1245" i="1" s="1"/>
  <c r="AK1246" i="1" s="1"/>
  <c r="AK1247" i="1" s="1"/>
  <c r="AK1248" i="1" s="1"/>
  <c r="AK1249" i="1" s="1"/>
  <c r="AK1250" i="1" s="1"/>
  <c r="AK1251" i="1" s="1"/>
  <c r="AK1252" i="1" s="1"/>
  <c r="AK1253" i="1" s="1"/>
  <c r="AK1254" i="1" s="1"/>
  <c r="AK1255" i="1" s="1"/>
  <c r="AK1256" i="1" s="1"/>
  <c r="AK1257" i="1" s="1"/>
  <c r="AK1258" i="1" s="1"/>
  <c r="AK1259" i="1" s="1"/>
  <c r="AK1260" i="1" s="1"/>
  <c r="AK1261" i="1" s="1"/>
  <c r="AK1262" i="1" s="1"/>
  <c r="AK1263" i="1" s="1"/>
  <c r="AK1264" i="1" s="1"/>
  <c r="AK1265" i="1" s="1"/>
  <c r="AK1266" i="1" s="1"/>
  <c r="AK1267" i="1" s="1"/>
  <c r="AK1268" i="1" s="1"/>
  <c r="AK1269" i="1" s="1"/>
  <c r="AK1270" i="1" s="1"/>
  <c r="AK1271" i="1" s="1"/>
  <c r="AK1272" i="1" s="1"/>
  <c r="AK1273" i="1" s="1"/>
  <c r="AK1274" i="1" s="1"/>
  <c r="AK1275" i="1" s="1"/>
  <c r="AK1276" i="1" s="1"/>
  <c r="AK1277" i="1" s="1"/>
  <c r="AK1278" i="1" s="1"/>
  <c r="AK1279" i="1" s="1"/>
  <c r="AK1280" i="1" s="1"/>
  <c r="AK1281" i="1" s="1"/>
  <c r="AK1282" i="1" s="1"/>
  <c r="AK1283" i="1" s="1"/>
  <c r="AK1284" i="1" s="1"/>
  <c r="AK1285" i="1" s="1"/>
  <c r="AK1286" i="1" s="1"/>
  <c r="AK1287" i="1" s="1"/>
  <c r="AK1288" i="1" s="1"/>
  <c r="AK1289" i="1" s="1"/>
  <c r="AK1290" i="1" s="1"/>
  <c r="AK1291" i="1" s="1"/>
  <c r="AK1292" i="1" s="1"/>
  <c r="AK1293" i="1" s="1"/>
  <c r="AK1294" i="1" s="1"/>
  <c r="AK1295" i="1" s="1"/>
  <c r="AK1296" i="1" s="1"/>
  <c r="AK1297" i="1" s="1"/>
  <c r="AK1298" i="1" s="1"/>
  <c r="AK1299" i="1" s="1"/>
  <c r="AK1300" i="1" s="1"/>
  <c r="AK1301" i="1" s="1"/>
  <c r="AK1302" i="1" s="1"/>
  <c r="AK1303" i="1" s="1"/>
  <c r="AK1304" i="1" s="1"/>
  <c r="AK1305" i="1" s="1"/>
  <c r="AK1306" i="1" s="1"/>
  <c r="AK1307" i="1" s="1"/>
  <c r="AK1308" i="1" s="1"/>
  <c r="AK1309" i="1" s="1"/>
  <c r="AK1310" i="1" s="1"/>
  <c r="AK1311" i="1" s="1"/>
  <c r="AK1312" i="1" s="1"/>
  <c r="AK1313" i="1" s="1"/>
  <c r="AK1314" i="1" s="1"/>
  <c r="AK1315" i="1" s="1"/>
  <c r="AK1316" i="1" s="1"/>
  <c r="AK1317" i="1" s="1"/>
  <c r="AK1318" i="1" s="1"/>
  <c r="AK1319" i="1" s="1"/>
  <c r="AK1320" i="1" s="1"/>
  <c r="AK1321" i="1" s="1"/>
  <c r="AK1322" i="1" s="1"/>
  <c r="AK1323" i="1" s="1"/>
  <c r="AK1324" i="1" s="1"/>
  <c r="AK1325" i="1" s="1"/>
  <c r="AK1326" i="1" s="1"/>
  <c r="AK1327" i="1" s="1"/>
  <c r="AK1328" i="1" s="1"/>
  <c r="AK1329" i="1" s="1"/>
  <c r="AK1330" i="1" s="1"/>
  <c r="AK1331" i="1" s="1"/>
  <c r="AK1332" i="1" s="1"/>
  <c r="AK1333" i="1" s="1"/>
  <c r="AK1334" i="1" s="1"/>
  <c r="AK1335" i="1" s="1"/>
  <c r="AK1336" i="1" s="1"/>
  <c r="AK1337" i="1" s="1"/>
  <c r="AK1338" i="1" s="1"/>
  <c r="AK1339" i="1" s="1"/>
  <c r="AK1340" i="1" s="1"/>
  <c r="AK1341" i="1" s="1"/>
  <c r="AK1342" i="1" s="1"/>
  <c r="AK1343" i="1" s="1"/>
  <c r="AK1344" i="1" s="1"/>
  <c r="AK1345" i="1" s="1"/>
  <c r="AK1346" i="1" s="1"/>
  <c r="AK1347" i="1" s="1"/>
  <c r="AK1348" i="1" s="1"/>
  <c r="AK1349" i="1" s="1"/>
  <c r="AK1350" i="1" s="1"/>
  <c r="AK1351" i="1" s="1"/>
  <c r="AK1352" i="1" s="1"/>
  <c r="AK1353" i="1" s="1"/>
  <c r="AK1354" i="1" s="1"/>
  <c r="AK1355" i="1" s="1"/>
  <c r="AK1356" i="1" s="1"/>
  <c r="AK1357" i="1" s="1"/>
  <c r="AK1358" i="1" s="1"/>
  <c r="AK1359" i="1" s="1"/>
  <c r="AK1360" i="1" s="1"/>
  <c r="AK1361" i="1" s="1"/>
  <c r="AK1362" i="1" s="1"/>
  <c r="AK1363" i="1" s="1"/>
  <c r="AK1364" i="1" s="1"/>
  <c r="AK1365" i="1" s="1"/>
  <c r="AK1366" i="1" s="1"/>
  <c r="AK1367" i="1" s="1"/>
  <c r="AK1368" i="1" s="1"/>
  <c r="AK1369" i="1" s="1"/>
  <c r="AK1370" i="1" s="1"/>
  <c r="AK1371" i="1" s="1"/>
  <c r="AK1372" i="1" s="1"/>
  <c r="AK1373" i="1" s="1"/>
  <c r="AK1374" i="1" s="1"/>
  <c r="AK1375" i="1" s="1"/>
  <c r="AK1376" i="1" s="1"/>
  <c r="AK1377" i="1" s="1"/>
  <c r="AK1378" i="1" s="1"/>
  <c r="AK1379" i="1" s="1"/>
  <c r="AK1380" i="1" s="1"/>
  <c r="AK1381" i="1" s="1"/>
  <c r="AK1382" i="1" s="1"/>
  <c r="AK1383" i="1" s="1"/>
  <c r="AK1384" i="1" s="1"/>
  <c r="AK1385" i="1" s="1"/>
  <c r="AK1386" i="1" s="1"/>
  <c r="AK1387" i="1" s="1"/>
  <c r="AK1388" i="1" s="1"/>
  <c r="AK1389" i="1" s="1"/>
  <c r="AK1390" i="1" s="1"/>
  <c r="AK1391" i="1" s="1"/>
  <c r="AK1392" i="1" s="1"/>
  <c r="AK1393" i="1" s="1"/>
  <c r="AK1394" i="1" s="1"/>
  <c r="AK1395" i="1" s="1"/>
  <c r="AK1396" i="1" s="1"/>
  <c r="AK1397" i="1" s="1"/>
  <c r="AK1398" i="1" s="1"/>
  <c r="AK1399" i="1" s="1"/>
  <c r="AK1400" i="1" s="1"/>
  <c r="AK1401" i="1" s="1"/>
  <c r="AK1402" i="1" s="1"/>
  <c r="AK1403" i="1" s="1"/>
  <c r="AK1404" i="1" s="1"/>
  <c r="AK1405" i="1" s="1"/>
  <c r="AK1406" i="1" s="1"/>
  <c r="AK1407" i="1" s="1"/>
  <c r="AK1408" i="1" s="1"/>
  <c r="AK1409" i="1" s="1"/>
  <c r="AK1410" i="1" s="1"/>
  <c r="AK1411" i="1" s="1"/>
  <c r="AK1412" i="1" s="1"/>
  <c r="AK1413" i="1" s="1"/>
  <c r="AK1414" i="1" s="1"/>
  <c r="AK1415" i="1" s="1"/>
  <c r="AK1416" i="1" s="1"/>
  <c r="AK1417" i="1" s="1"/>
  <c r="AK1418" i="1" s="1"/>
  <c r="AK1419" i="1" s="1"/>
  <c r="AK1420" i="1" s="1"/>
  <c r="AK1421" i="1" s="1"/>
  <c r="AK1422" i="1" s="1"/>
  <c r="AK1423" i="1" s="1"/>
  <c r="AK1424" i="1" s="1"/>
  <c r="AK1425" i="1" s="1"/>
  <c r="AK1426" i="1" s="1"/>
  <c r="AK1427" i="1" s="1"/>
  <c r="AK1428" i="1" s="1"/>
  <c r="AK1429" i="1" s="1"/>
  <c r="AK1430" i="1" s="1"/>
  <c r="AK1431" i="1" s="1"/>
  <c r="AK1432" i="1" s="1"/>
  <c r="AK1433" i="1" s="1"/>
  <c r="AK1434" i="1" s="1"/>
  <c r="AK1435" i="1" s="1"/>
  <c r="AK1436" i="1" s="1"/>
  <c r="AK1437" i="1" s="1"/>
  <c r="AK1438" i="1" s="1"/>
  <c r="AK1439" i="1" s="1"/>
  <c r="AK1440" i="1" s="1"/>
  <c r="AK1441" i="1" s="1"/>
  <c r="AK1442" i="1" s="1"/>
  <c r="AK1443" i="1" s="1"/>
  <c r="AK1444" i="1" s="1"/>
  <c r="AK1445" i="1" s="1"/>
  <c r="AK1446" i="1" s="1"/>
  <c r="AK1447" i="1" s="1"/>
  <c r="AK1448" i="1" s="1"/>
  <c r="AK1449" i="1" s="1"/>
  <c r="AK1450" i="1" s="1"/>
  <c r="AK1451" i="1" s="1"/>
  <c r="AK1452" i="1" s="1"/>
  <c r="AK1453" i="1" s="1"/>
  <c r="AK1454" i="1" s="1"/>
  <c r="AK1455" i="1" s="1"/>
  <c r="AK1456" i="1" s="1"/>
  <c r="AK1457" i="1" s="1"/>
  <c r="AK1458" i="1" s="1"/>
  <c r="AK1459" i="1" s="1"/>
  <c r="AK1460" i="1" s="1"/>
  <c r="AK1461" i="1" s="1"/>
  <c r="AK1462" i="1" s="1"/>
  <c r="AK1463" i="1" s="1"/>
  <c r="AK1464" i="1" s="1"/>
  <c r="AK1465" i="1" s="1"/>
  <c r="AK1466" i="1" s="1"/>
  <c r="AK1467" i="1" s="1"/>
  <c r="AK1468" i="1" s="1"/>
  <c r="AK1469" i="1" s="1"/>
  <c r="AK1470" i="1" s="1"/>
  <c r="AK1471" i="1" s="1"/>
  <c r="AK1472" i="1" s="1"/>
  <c r="AK1473" i="1" s="1"/>
  <c r="AK1474" i="1" s="1"/>
  <c r="AK1475" i="1" s="1"/>
  <c r="AK1476" i="1" s="1"/>
  <c r="AK1477" i="1" s="1"/>
  <c r="AK1478" i="1" s="1"/>
  <c r="AK1479" i="1" s="1"/>
  <c r="AK1480" i="1" s="1"/>
  <c r="AK1481" i="1" s="1"/>
  <c r="AK1482" i="1" s="1"/>
  <c r="AK1483" i="1" s="1"/>
  <c r="AK1484" i="1" s="1"/>
  <c r="AK1485" i="1" s="1"/>
  <c r="AK1486" i="1" s="1"/>
  <c r="AK1487" i="1" s="1"/>
  <c r="AK1488" i="1" s="1"/>
  <c r="AK1489" i="1" s="1"/>
  <c r="AK1490" i="1" s="1"/>
  <c r="AK1491" i="1" s="1"/>
  <c r="AK1492" i="1" s="1"/>
  <c r="AK1493" i="1" s="1"/>
  <c r="AK1494" i="1" s="1"/>
  <c r="AK1495" i="1" s="1"/>
  <c r="AK1496" i="1" s="1"/>
  <c r="AK1497" i="1" s="1"/>
  <c r="AK1498" i="1" s="1"/>
  <c r="AK1499" i="1" s="1"/>
  <c r="AK1500" i="1" s="1"/>
  <c r="AK1501" i="1" s="1"/>
  <c r="AK1502" i="1" s="1"/>
  <c r="AK1503" i="1" s="1"/>
  <c r="AK1504" i="1" s="1"/>
  <c r="AK1505" i="1" s="1"/>
  <c r="AK1506" i="1" s="1"/>
  <c r="AK1507" i="1" s="1"/>
  <c r="AK1508" i="1" s="1"/>
  <c r="AK1509" i="1" s="1"/>
  <c r="AK1510" i="1" s="1"/>
  <c r="AK1511" i="1" s="1"/>
  <c r="AK1512" i="1" s="1"/>
  <c r="AK1513" i="1" s="1"/>
  <c r="AK1514" i="1" s="1"/>
  <c r="AK1515" i="1" s="1"/>
  <c r="AK1516" i="1" s="1"/>
  <c r="AK1517" i="1" s="1"/>
  <c r="AK1518" i="1" s="1"/>
  <c r="AK1519" i="1" s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20" i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 s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J123" i="1" s="1"/>
  <c r="AJ124" i="1" s="1"/>
  <c r="AJ125" i="1" s="1"/>
  <c r="AJ126" i="1" s="1"/>
  <c r="AJ127" i="1" s="1"/>
  <c r="AJ128" i="1" s="1"/>
  <c r="AJ129" i="1" s="1"/>
  <c r="AJ130" i="1" s="1"/>
  <c r="AJ131" i="1" s="1"/>
  <c r="AJ132" i="1" s="1"/>
  <c r="AJ133" i="1" s="1"/>
  <c r="AJ134" i="1" s="1"/>
  <c r="AJ135" i="1" s="1"/>
  <c r="AJ136" i="1" s="1"/>
  <c r="AJ137" i="1" s="1"/>
  <c r="AJ138" i="1" s="1"/>
  <c r="AJ139" i="1" s="1"/>
  <c r="AJ140" i="1" s="1"/>
  <c r="AJ141" i="1" s="1"/>
  <c r="AJ142" i="1" s="1"/>
  <c r="AJ143" i="1" s="1"/>
  <c r="AJ144" i="1" s="1"/>
  <c r="AJ145" i="1" s="1"/>
  <c r="AJ146" i="1" s="1"/>
  <c r="AJ147" i="1" s="1"/>
  <c r="AJ148" i="1" s="1"/>
  <c r="AJ149" i="1" s="1"/>
  <c r="AJ150" i="1" s="1"/>
  <c r="AJ151" i="1" s="1"/>
  <c r="AJ152" i="1" s="1"/>
  <c r="AJ153" i="1" s="1"/>
  <c r="AJ154" i="1" s="1"/>
  <c r="AJ155" i="1" s="1"/>
  <c r="AJ156" i="1" s="1"/>
  <c r="AJ157" i="1" s="1"/>
  <c r="AJ158" i="1" s="1"/>
  <c r="AJ159" i="1" s="1"/>
  <c r="AJ160" i="1" s="1"/>
  <c r="AJ161" i="1" s="1"/>
  <c r="AJ162" i="1" s="1"/>
  <c r="AJ163" i="1" s="1"/>
  <c r="AJ164" i="1" s="1"/>
  <c r="AJ165" i="1" s="1"/>
  <c r="AJ166" i="1" s="1"/>
  <c r="AJ167" i="1" s="1"/>
  <c r="AJ168" i="1" s="1"/>
  <c r="AJ169" i="1" s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20" i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K19" i="1" l="1"/>
  <c r="AJ19" i="1"/>
  <c r="AI19" i="1"/>
  <c r="AP27" i="1"/>
  <c r="AP26" i="1"/>
  <c r="AP25" i="1"/>
  <c r="AC20" i="1" l="1"/>
  <c r="AD20" i="1"/>
  <c r="AC21" i="1"/>
  <c r="AD21" i="1"/>
  <c r="AC22" i="1"/>
  <c r="AD22" i="1"/>
  <c r="AC23" i="1"/>
  <c r="AD23" i="1"/>
  <c r="AC24" i="1"/>
  <c r="AD24" i="1"/>
  <c r="AC25" i="1"/>
  <c r="AD25" i="1"/>
  <c r="AC26" i="1"/>
  <c r="AD26" i="1"/>
  <c r="AC27" i="1"/>
  <c r="AD27" i="1"/>
  <c r="AC28" i="1"/>
  <c r="AD28" i="1"/>
  <c r="AC29" i="1"/>
  <c r="AD29" i="1"/>
  <c r="AC30" i="1"/>
  <c r="AD30" i="1"/>
  <c r="AC31" i="1"/>
  <c r="AD31" i="1"/>
  <c r="AC32" i="1"/>
  <c r="AD32" i="1"/>
  <c r="AC33" i="1"/>
  <c r="AD33" i="1"/>
  <c r="AC34" i="1"/>
  <c r="AD34" i="1"/>
  <c r="AC35" i="1"/>
  <c r="AD35" i="1"/>
  <c r="AC36" i="1"/>
  <c r="AD36" i="1"/>
  <c r="AC37" i="1"/>
  <c r="AD37" i="1"/>
  <c r="AC38" i="1"/>
  <c r="AD38" i="1"/>
  <c r="AC39" i="1"/>
  <c r="AD39" i="1"/>
  <c r="AC40" i="1"/>
  <c r="AD40" i="1"/>
  <c r="AC41" i="1"/>
  <c r="AD41" i="1"/>
  <c r="AC42" i="1"/>
  <c r="AD42" i="1"/>
  <c r="AC43" i="1"/>
  <c r="AD43" i="1"/>
  <c r="AC44" i="1"/>
  <c r="AD44" i="1"/>
  <c r="AC45" i="1"/>
  <c r="AD45" i="1"/>
  <c r="AC46" i="1"/>
  <c r="AD46" i="1"/>
  <c r="AC47" i="1"/>
  <c r="AD47" i="1"/>
  <c r="AC48" i="1"/>
  <c r="AD48" i="1"/>
  <c r="AC49" i="1"/>
  <c r="AD49" i="1"/>
  <c r="AC50" i="1"/>
  <c r="AD50" i="1"/>
  <c r="AC51" i="1"/>
  <c r="AD51" i="1"/>
  <c r="AC52" i="1"/>
  <c r="AD52" i="1"/>
  <c r="AC53" i="1"/>
  <c r="AD53" i="1"/>
  <c r="AC54" i="1"/>
  <c r="AD54" i="1"/>
  <c r="AC55" i="1"/>
  <c r="AD55" i="1"/>
  <c r="AC56" i="1"/>
  <c r="AD56" i="1"/>
  <c r="AC57" i="1"/>
  <c r="AD57" i="1"/>
  <c r="AC58" i="1"/>
  <c r="AD58" i="1"/>
  <c r="AC59" i="1"/>
  <c r="AD59" i="1"/>
  <c r="AC60" i="1"/>
  <c r="AD60" i="1"/>
  <c r="AC61" i="1"/>
  <c r="AD61" i="1"/>
  <c r="AC62" i="1"/>
  <c r="AD62" i="1"/>
  <c r="AC63" i="1"/>
  <c r="AD63" i="1"/>
  <c r="AC64" i="1"/>
  <c r="AD64" i="1"/>
  <c r="AC65" i="1"/>
  <c r="AD65" i="1"/>
  <c r="AC66" i="1"/>
  <c r="AD66" i="1"/>
  <c r="AC67" i="1"/>
  <c r="AD67" i="1"/>
  <c r="AC68" i="1"/>
  <c r="AD68" i="1"/>
  <c r="AC69" i="1"/>
  <c r="AD69" i="1"/>
  <c r="AC70" i="1"/>
  <c r="AD70" i="1"/>
  <c r="AC71" i="1"/>
  <c r="AD71" i="1"/>
  <c r="AC72" i="1"/>
  <c r="AD72" i="1"/>
  <c r="AC73" i="1"/>
  <c r="AD73" i="1"/>
  <c r="AC74" i="1"/>
  <c r="AD74" i="1"/>
  <c r="AC75" i="1"/>
  <c r="AD75" i="1"/>
  <c r="AC76" i="1"/>
  <c r="AD76" i="1"/>
  <c r="AC77" i="1"/>
  <c r="AD77" i="1"/>
  <c r="AC78" i="1"/>
  <c r="AD78" i="1"/>
  <c r="AC79" i="1"/>
  <c r="AD79" i="1"/>
  <c r="AC80" i="1"/>
  <c r="AD80" i="1"/>
  <c r="AC81" i="1"/>
  <c r="AD81" i="1"/>
  <c r="AC82" i="1"/>
  <c r="AD82" i="1"/>
  <c r="AC83" i="1"/>
  <c r="AD83" i="1"/>
  <c r="AC84" i="1"/>
  <c r="AD84" i="1"/>
  <c r="AC85" i="1"/>
  <c r="AD85" i="1"/>
  <c r="AC86" i="1"/>
  <c r="AD86" i="1"/>
  <c r="AC87" i="1"/>
  <c r="AD87" i="1"/>
  <c r="AC88" i="1"/>
  <c r="AD88" i="1"/>
  <c r="AC89" i="1"/>
  <c r="AD89" i="1"/>
  <c r="AC90" i="1"/>
  <c r="AD90" i="1"/>
  <c r="AC91" i="1"/>
  <c r="AD91" i="1"/>
  <c r="AC92" i="1"/>
  <c r="AD92" i="1"/>
  <c r="AC93" i="1"/>
  <c r="AD93" i="1"/>
  <c r="AC94" i="1"/>
  <c r="AD94" i="1"/>
  <c r="AC95" i="1"/>
  <c r="AD95" i="1"/>
  <c r="AC96" i="1"/>
  <c r="AD96" i="1"/>
  <c r="AC97" i="1"/>
  <c r="AD97" i="1"/>
  <c r="AC98" i="1"/>
  <c r="AD98" i="1"/>
  <c r="AC99" i="1"/>
  <c r="AD99" i="1"/>
  <c r="AC100" i="1"/>
  <c r="AD100" i="1"/>
  <c r="AC101" i="1"/>
  <c r="AD101" i="1"/>
  <c r="AC102" i="1"/>
  <c r="AD102" i="1"/>
  <c r="AC103" i="1"/>
  <c r="AD103" i="1"/>
  <c r="AC104" i="1"/>
  <c r="AD104" i="1"/>
  <c r="AC105" i="1"/>
  <c r="AD105" i="1"/>
  <c r="AC106" i="1"/>
  <c r="AD106" i="1"/>
  <c r="AC107" i="1"/>
  <c r="AD107" i="1"/>
  <c r="AC108" i="1"/>
  <c r="AD108" i="1"/>
  <c r="AC109" i="1"/>
  <c r="AD109" i="1"/>
  <c r="AC110" i="1"/>
  <c r="AD110" i="1"/>
  <c r="AC111" i="1"/>
  <c r="AD111" i="1"/>
  <c r="AC112" i="1"/>
  <c r="AD112" i="1"/>
  <c r="AC113" i="1"/>
  <c r="AD113" i="1"/>
  <c r="AC114" i="1"/>
  <c r="AD114" i="1"/>
  <c r="AC115" i="1"/>
  <c r="AD115" i="1"/>
  <c r="AC116" i="1"/>
  <c r="AD116" i="1"/>
  <c r="AC117" i="1"/>
  <c r="AD117" i="1"/>
  <c r="AC118" i="1"/>
  <c r="AD118" i="1"/>
  <c r="AC119" i="1"/>
  <c r="AD119" i="1"/>
  <c r="AC120" i="1"/>
  <c r="AD120" i="1"/>
  <c r="AC121" i="1"/>
  <c r="AD121" i="1"/>
  <c r="AC122" i="1"/>
  <c r="AD122" i="1"/>
  <c r="AC123" i="1"/>
  <c r="AD123" i="1"/>
  <c r="AC124" i="1"/>
  <c r="AD124" i="1"/>
  <c r="AC125" i="1"/>
  <c r="AD125" i="1"/>
  <c r="AC126" i="1"/>
  <c r="AD126" i="1"/>
  <c r="AC127" i="1"/>
  <c r="AD127" i="1"/>
  <c r="AC128" i="1"/>
  <c r="AD128" i="1"/>
  <c r="AC129" i="1"/>
  <c r="AD129" i="1"/>
  <c r="AC130" i="1"/>
  <c r="AD130" i="1"/>
  <c r="AC131" i="1"/>
  <c r="AD131" i="1"/>
  <c r="AC132" i="1"/>
  <c r="AD132" i="1"/>
  <c r="AC133" i="1"/>
  <c r="AD133" i="1"/>
  <c r="AC134" i="1"/>
  <c r="AD134" i="1"/>
  <c r="AC135" i="1"/>
  <c r="AD135" i="1"/>
  <c r="AC136" i="1"/>
  <c r="AD136" i="1"/>
  <c r="AC137" i="1"/>
  <c r="AD137" i="1"/>
  <c r="AC138" i="1"/>
  <c r="AD138" i="1"/>
  <c r="AC139" i="1"/>
  <c r="AD139" i="1"/>
  <c r="AC140" i="1"/>
  <c r="AD140" i="1"/>
  <c r="AC141" i="1"/>
  <c r="AD141" i="1"/>
  <c r="AC142" i="1"/>
  <c r="AD142" i="1"/>
  <c r="AC143" i="1"/>
  <c r="AD143" i="1"/>
  <c r="AC144" i="1"/>
  <c r="AD144" i="1"/>
  <c r="AC145" i="1"/>
  <c r="AD145" i="1"/>
  <c r="AC146" i="1"/>
  <c r="AD146" i="1"/>
  <c r="AC147" i="1"/>
  <c r="AD147" i="1"/>
  <c r="AC148" i="1"/>
  <c r="AD148" i="1"/>
  <c r="AC149" i="1"/>
  <c r="AD149" i="1"/>
  <c r="AC150" i="1"/>
  <c r="AD150" i="1"/>
  <c r="AC151" i="1"/>
  <c r="AD151" i="1"/>
  <c r="AC152" i="1"/>
  <c r="AD152" i="1"/>
  <c r="AC153" i="1"/>
  <c r="AD153" i="1"/>
  <c r="AC154" i="1"/>
  <c r="AD154" i="1"/>
  <c r="AC155" i="1"/>
  <c r="AD155" i="1"/>
  <c r="AC156" i="1"/>
  <c r="AD156" i="1"/>
  <c r="AC157" i="1"/>
  <c r="AD157" i="1"/>
  <c r="AC158" i="1"/>
  <c r="AD158" i="1"/>
  <c r="AC159" i="1"/>
  <c r="AD159" i="1"/>
  <c r="AC160" i="1"/>
  <c r="AD160" i="1"/>
  <c r="AC161" i="1"/>
  <c r="AD161" i="1"/>
  <c r="AC162" i="1"/>
  <c r="AD162" i="1"/>
  <c r="AC163" i="1"/>
  <c r="AD163" i="1"/>
  <c r="AC164" i="1"/>
  <c r="AD164" i="1"/>
  <c r="AC165" i="1"/>
  <c r="AD165" i="1"/>
  <c r="AC166" i="1"/>
  <c r="AD166" i="1"/>
  <c r="AC167" i="1"/>
  <c r="AD167" i="1"/>
  <c r="AC168" i="1"/>
  <c r="AD168" i="1"/>
  <c r="AC169" i="1"/>
  <c r="AD169" i="1"/>
  <c r="AC170" i="1"/>
  <c r="AF170" i="1" s="1"/>
  <c r="AD170" i="1"/>
  <c r="AC171" i="1"/>
  <c r="AF171" i="1" s="1"/>
  <c r="AD171" i="1"/>
  <c r="AC172" i="1"/>
  <c r="AF172" i="1" s="1"/>
  <c r="AD172" i="1"/>
  <c r="AC173" i="1"/>
  <c r="AF173" i="1" s="1"/>
  <c r="AD173" i="1"/>
  <c r="AC174" i="1"/>
  <c r="AF174" i="1" s="1"/>
  <c r="AD174" i="1"/>
  <c r="AC175" i="1"/>
  <c r="AF175" i="1" s="1"/>
  <c r="AD175" i="1"/>
  <c r="AC176" i="1"/>
  <c r="AF176" i="1" s="1"/>
  <c r="AD176" i="1"/>
  <c r="AC177" i="1"/>
  <c r="AF177" i="1" s="1"/>
  <c r="AD177" i="1"/>
  <c r="AC178" i="1"/>
  <c r="AF178" i="1" s="1"/>
  <c r="AD178" i="1"/>
  <c r="AC179" i="1"/>
  <c r="AF179" i="1" s="1"/>
  <c r="AD179" i="1"/>
  <c r="AC180" i="1"/>
  <c r="AF180" i="1" s="1"/>
  <c r="AD180" i="1"/>
  <c r="AC181" i="1"/>
  <c r="AF181" i="1" s="1"/>
  <c r="AD181" i="1"/>
  <c r="AC182" i="1"/>
  <c r="AF182" i="1" s="1"/>
  <c r="AD182" i="1"/>
  <c r="AC183" i="1"/>
  <c r="AF183" i="1" s="1"/>
  <c r="AD183" i="1"/>
  <c r="AC184" i="1"/>
  <c r="AF184" i="1" s="1"/>
  <c r="AD184" i="1"/>
  <c r="AC185" i="1"/>
  <c r="AF185" i="1" s="1"/>
  <c r="AD185" i="1"/>
  <c r="AC186" i="1"/>
  <c r="AF186" i="1" s="1"/>
  <c r="AD186" i="1"/>
  <c r="AC187" i="1"/>
  <c r="AF187" i="1" s="1"/>
  <c r="AD187" i="1"/>
  <c r="AC188" i="1"/>
  <c r="AF188" i="1" s="1"/>
  <c r="AD188" i="1"/>
  <c r="AC189" i="1"/>
  <c r="AF189" i="1" s="1"/>
  <c r="AD189" i="1"/>
  <c r="AC190" i="1"/>
  <c r="AF190" i="1" s="1"/>
  <c r="AD190" i="1"/>
  <c r="AC191" i="1"/>
  <c r="AF191" i="1" s="1"/>
  <c r="AD191" i="1"/>
  <c r="AC192" i="1"/>
  <c r="AF192" i="1" s="1"/>
  <c r="AD192" i="1"/>
  <c r="AC193" i="1"/>
  <c r="AF193" i="1" s="1"/>
  <c r="AD193" i="1"/>
  <c r="AC194" i="1"/>
  <c r="AF194" i="1" s="1"/>
  <c r="AD194" i="1"/>
  <c r="AC195" i="1"/>
  <c r="AF195" i="1" s="1"/>
  <c r="AD195" i="1"/>
  <c r="AC196" i="1"/>
  <c r="AF196" i="1" s="1"/>
  <c r="AD196" i="1"/>
  <c r="AC197" i="1"/>
  <c r="AF197" i="1" s="1"/>
  <c r="AD197" i="1"/>
  <c r="AC198" i="1"/>
  <c r="AF198" i="1" s="1"/>
  <c r="AD198" i="1"/>
  <c r="AC199" i="1"/>
  <c r="AF199" i="1" s="1"/>
  <c r="AD199" i="1"/>
  <c r="AC200" i="1"/>
  <c r="AF200" i="1" s="1"/>
  <c r="AD200" i="1"/>
  <c r="AC201" i="1"/>
  <c r="AF201" i="1" s="1"/>
  <c r="AD201" i="1"/>
  <c r="AC202" i="1"/>
  <c r="AF202" i="1" s="1"/>
  <c r="AD202" i="1"/>
  <c r="AC203" i="1"/>
  <c r="AF203" i="1" s="1"/>
  <c r="AD203" i="1"/>
  <c r="AC204" i="1"/>
  <c r="AF204" i="1" s="1"/>
  <c r="AD204" i="1"/>
  <c r="AC205" i="1"/>
  <c r="AF205" i="1" s="1"/>
  <c r="AD205" i="1"/>
  <c r="AC206" i="1"/>
  <c r="AF206" i="1" s="1"/>
  <c r="AD206" i="1"/>
  <c r="AC207" i="1"/>
  <c r="AF207" i="1" s="1"/>
  <c r="AD207" i="1"/>
  <c r="AC208" i="1"/>
  <c r="AF208" i="1" s="1"/>
  <c r="AD208" i="1"/>
  <c r="AC209" i="1"/>
  <c r="AF209" i="1" s="1"/>
  <c r="AD209" i="1"/>
  <c r="AC210" i="1"/>
  <c r="AF210" i="1" s="1"/>
  <c r="AD210" i="1"/>
  <c r="AC211" i="1"/>
  <c r="AF211" i="1" s="1"/>
  <c r="AD211" i="1"/>
  <c r="AC212" i="1"/>
  <c r="AF212" i="1" s="1"/>
  <c r="AD212" i="1"/>
  <c r="AC213" i="1"/>
  <c r="AF213" i="1" s="1"/>
  <c r="AD213" i="1"/>
  <c r="AC214" i="1"/>
  <c r="AF214" i="1" s="1"/>
  <c r="AD214" i="1"/>
  <c r="AC215" i="1"/>
  <c r="AF215" i="1" s="1"/>
  <c r="AD215" i="1"/>
  <c r="AC216" i="1"/>
  <c r="AF216" i="1" s="1"/>
  <c r="AD216" i="1"/>
  <c r="AC217" i="1"/>
  <c r="AF217" i="1" s="1"/>
  <c r="AD217" i="1"/>
  <c r="AC218" i="1"/>
  <c r="AF218" i="1" s="1"/>
  <c r="AD218" i="1"/>
  <c r="AC219" i="1"/>
  <c r="AF219" i="1" s="1"/>
  <c r="AD219" i="1"/>
  <c r="AC220" i="1"/>
  <c r="AF220" i="1" s="1"/>
  <c r="AD220" i="1"/>
  <c r="AC221" i="1"/>
  <c r="AF221" i="1" s="1"/>
  <c r="AD221" i="1"/>
  <c r="AC222" i="1"/>
  <c r="AF222" i="1" s="1"/>
  <c r="AD222" i="1"/>
  <c r="AC223" i="1"/>
  <c r="AF223" i="1" s="1"/>
  <c r="AD223" i="1"/>
  <c r="AC224" i="1"/>
  <c r="AF224" i="1" s="1"/>
  <c r="AD224" i="1"/>
  <c r="AC225" i="1"/>
  <c r="AF225" i="1" s="1"/>
  <c r="AD225" i="1"/>
  <c r="AC226" i="1"/>
  <c r="AF226" i="1" s="1"/>
  <c r="AD226" i="1"/>
  <c r="AC227" i="1"/>
  <c r="AF227" i="1" s="1"/>
  <c r="AD227" i="1"/>
  <c r="AC228" i="1"/>
  <c r="AF228" i="1" s="1"/>
  <c r="AD228" i="1"/>
  <c r="AC229" i="1"/>
  <c r="AF229" i="1" s="1"/>
  <c r="AD229" i="1"/>
  <c r="AC230" i="1"/>
  <c r="AF230" i="1" s="1"/>
  <c r="AD230" i="1"/>
  <c r="AC231" i="1"/>
  <c r="AF231" i="1" s="1"/>
  <c r="AD231" i="1"/>
  <c r="AC232" i="1"/>
  <c r="AF232" i="1" s="1"/>
  <c r="AD232" i="1"/>
  <c r="AC233" i="1"/>
  <c r="AF233" i="1" s="1"/>
  <c r="AD233" i="1"/>
  <c r="AC234" i="1"/>
  <c r="AF234" i="1" s="1"/>
  <c r="AD234" i="1"/>
  <c r="AC235" i="1"/>
  <c r="AF235" i="1" s="1"/>
  <c r="AD235" i="1"/>
  <c r="AC236" i="1"/>
  <c r="AF236" i="1" s="1"/>
  <c r="AD236" i="1"/>
  <c r="AC237" i="1"/>
  <c r="AF237" i="1" s="1"/>
  <c r="AD237" i="1"/>
  <c r="AC238" i="1"/>
  <c r="AF238" i="1" s="1"/>
  <c r="AD238" i="1"/>
  <c r="AC239" i="1"/>
  <c r="AF239" i="1" s="1"/>
  <c r="AD239" i="1"/>
  <c r="AC240" i="1"/>
  <c r="AF240" i="1" s="1"/>
  <c r="AD240" i="1"/>
  <c r="AC241" i="1"/>
  <c r="AF241" i="1" s="1"/>
  <c r="AD241" i="1"/>
  <c r="AC242" i="1"/>
  <c r="AF242" i="1" s="1"/>
  <c r="AD242" i="1"/>
  <c r="AC243" i="1"/>
  <c r="AF243" i="1" s="1"/>
  <c r="AD243" i="1"/>
  <c r="AC244" i="1"/>
  <c r="AF244" i="1" s="1"/>
  <c r="AD244" i="1"/>
  <c r="AC245" i="1"/>
  <c r="AF245" i="1" s="1"/>
  <c r="AD245" i="1"/>
  <c r="AC246" i="1"/>
  <c r="AF246" i="1" s="1"/>
  <c r="AD246" i="1"/>
  <c r="AC247" i="1"/>
  <c r="AF247" i="1" s="1"/>
  <c r="AD247" i="1"/>
  <c r="AC248" i="1"/>
  <c r="AF248" i="1" s="1"/>
  <c r="AD248" i="1"/>
  <c r="AC249" i="1"/>
  <c r="AF249" i="1" s="1"/>
  <c r="AD249" i="1"/>
  <c r="AC250" i="1"/>
  <c r="AF250" i="1" s="1"/>
  <c r="AD250" i="1"/>
  <c r="AC251" i="1"/>
  <c r="AF251" i="1" s="1"/>
  <c r="AD251" i="1"/>
  <c r="AC252" i="1"/>
  <c r="AF252" i="1" s="1"/>
  <c r="AD252" i="1"/>
  <c r="AC253" i="1"/>
  <c r="AF253" i="1" s="1"/>
  <c r="AD253" i="1"/>
  <c r="AC254" i="1"/>
  <c r="AF254" i="1" s="1"/>
  <c r="AD254" i="1"/>
  <c r="AC255" i="1"/>
  <c r="AF255" i="1" s="1"/>
  <c r="AD255" i="1"/>
  <c r="AC256" i="1"/>
  <c r="AF256" i="1" s="1"/>
  <c r="AD256" i="1"/>
  <c r="AC257" i="1"/>
  <c r="AF257" i="1" s="1"/>
  <c r="AD257" i="1"/>
  <c r="AC258" i="1"/>
  <c r="AF258" i="1" s="1"/>
  <c r="AD258" i="1"/>
  <c r="AC259" i="1"/>
  <c r="AF259" i="1" s="1"/>
  <c r="AD259" i="1"/>
  <c r="AC260" i="1"/>
  <c r="AF260" i="1" s="1"/>
  <c r="AD260" i="1"/>
  <c r="AC261" i="1"/>
  <c r="AF261" i="1" s="1"/>
  <c r="AD261" i="1"/>
  <c r="AC262" i="1"/>
  <c r="AF262" i="1" s="1"/>
  <c r="AD262" i="1"/>
  <c r="AC263" i="1"/>
  <c r="AF263" i="1" s="1"/>
  <c r="AD263" i="1"/>
  <c r="AC264" i="1"/>
  <c r="AF264" i="1" s="1"/>
  <c r="AD264" i="1"/>
  <c r="AC265" i="1"/>
  <c r="AF265" i="1" s="1"/>
  <c r="AD265" i="1"/>
  <c r="AC266" i="1"/>
  <c r="AF266" i="1" s="1"/>
  <c r="AD266" i="1"/>
  <c r="AC267" i="1"/>
  <c r="AF267" i="1" s="1"/>
  <c r="AD267" i="1"/>
  <c r="AC268" i="1"/>
  <c r="AF268" i="1" s="1"/>
  <c r="AD268" i="1"/>
  <c r="AC269" i="1"/>
  <c r="AF269" i="1" s="1"/>
  <c r="AD269" i="1"/>
  <c r="AC270" i="1"/>
  <c r="AF270" i="1" s="1"/>
  <c r="AD270" i="1"/>
  <c r="AC271" i="1"/>
  <c r="AF271" i="1" s="1"/>
  <c r="AD271" i="1"/>
  <c r="AC272" i="1"/>
  <c r="AF272" i="1" s="1"/>
  <c r="AD272" i="1"/>
  <c r="AC273" i="1"/>
  <c r="AF273" i="1" s="1"/>
  <c r="AD273" i="1"/>
  <c r="AC274" i="1"/>
  <c r="AF274" i="1" s="1"/>
  <c r="AD274" i="1"/>
  <c r="AC275" i="1"/>
  <c r="AF275" i="1" s="1"/>
  <c r="AD275" i="1"/>
  <c r="AC276" i="1"/>
  <c r="AF276" i="1" s="1"/>
  <c r="AD276" i="1"/>
  <c r="AC277" i="1"/>
  <c r="AF277" i="1" s="1"/>
  <c r="AD277" i="1"/>
  <c r="AC278" i="1"/>
  <c r="AF278" i="1" s="1"/>
  <c r="AD278" i="1"/>
  <c r="AC279" i="1"/>
  <c r="AF279" i="1" s="1"/>
  <c r="AD279" i="1"/>
  <c r="AC280" i="1"/>
  <c r="AF280" i="1" s="1"/>
  <c r="AD280" i="1"/>
  <c r="AC281" i="1"/>
  <c r="AF281" i="1" s="1"/>
  <c r="AD281" i="1"/>
  <c r="AC282" i="1"/>
  <c r="AF282" i="1" s="1"/>
  <c r="AD282" i="1"/>
  <c r="AC283" i="1"/>
  <c r="AF283" i="1" s="1"/>
  <c r="AD283" i="1"/>
  <c r="AC284" i="1"/>
  <c r="AF284" i="1" s="1"/>
  <c r="AD284" i="1"/>
  <c r="AC285" i="1"/>
  <c r="AF285" i="1" s="1"/>
  <c r="AD285" i="1"/>
  <c r="AC286" i="1"/>
  <c r="AF286" i="1" s="1"/>
  <c r="AD286" i="1"/>
  <c r="AC287" i="1"/>
  <c r="AF287" i="1" s="1"/>
  <c r="AD287" i="1"/>
  <c r="AC288" i="1"/>
  <c r="AF288" i="1" s="1"/>
  <c r="AD288" i="1"/>
  <c r="AC289" i="1"/>
  <c r="AF289" i="1" s="1"/>
  <c r="AD289" i="1"/>
  <c r="AC290" i="1"/>
  <c r="AF290" i="1" s="1"/>
  <c r="AD290" i="1"/>
  <c r="AC291" i="1"/>
  <c r="AF291" i="1" s="1"/>
  <c r="AD291" i="1"/>
  <c r="AC292" i="1"/>
  <c r="AF292" i="1" s="1"/>
  <c r="AD292" i="1"/>
  <c r="AC293" i="1"/>
  <c r="AF293" i="1" s="1"/>
  <c r="AD293" i="1"/>
  <c r="AC294" i="1"/>
  <c r="AF294" i="1" s="1"/>
  <c r="AD294" i="1"/>
  <c r="AC295" i="1"/>
  <c r="AF295" i="1" s="1"/>
  <c r="AD295" i="1"/>
  <c r="AC296" i="1"/>
  <c r="AF296" i="1" s="1"/>
  <c r="AD296" i="1"/>
  <c r="AC297" i="1"/>
  <c r="AF297" i="1" s="1"/>
  <c r="AD297" i="1"/>
  <c r="AC298" i="1"/>
  <c r="AF298" i="1" s="1"/>
  <c r="AD298" i="1"/>
  <c r="AC299" i="1"/>
  <c r="AF299" i="1" s="1"/>
  <c r="AD299" i="1"/>
  <c r="AC300" i="1"/>
  <c r="AF300" i="1" s="1"/>
  <c r="AD300" i="1"/>
  <c r="AC301" i="1"/>
  <c r="AF301" i="1" s="1"/>
  <c r="AD301" i="1"/>
  <c r="AC302" i="1"/>
  <c r="AF302" i="1" s="1"/>
  <c r="AD302" i="1"/>
  <c r="AC303" i="1"/>
  <c r="AF303" i="1" s="1"/>
  <c r="AD303" i="1"/>
  <c r="AC304" i="1"/>
  <c r="AF304" i="1" s="1"/>
  <c r="AD304" i="1"/>
  <c r="AC305" i="1"/>
  <c r="AF305" i="1" s="1"/>
  <c r="AD305" i="1"/>
  <c r="AC306" i="1"/>
  <c r="AF306" i="1" s="1"/>
  <c r="AD306" i="1"/>
  <c r="AC307" i="1"/>
  <c r="AF307" i="1" s="1"/>
  <c r="AD307" i="1"/>
  <c r="AC308" i="1"/>
  <c r="AF308" i="1" s="1"/>
  <c r="AD308" i="1"/>
  <c r="AC309" i="1"/>
  <c r="AF309" i="1" s="1"/>
  <c r="AD309" i="1"/>
  <c r="AC310" i="1"/>
  <c r="AF310" i="1" s="1"/>
  <c r="AD310" i="1"/>
  <c r="AC311" i="1"/>
  <c r="AF311" i="1" s="1"/>
  <c r="AD311" i="1"/>
  <c r="AC312" i="1"/>
  <c r="AF312" i="1" s="1"/>
  <c r="AD312" i="1"/>
  <c r="AC313" i="1"/>
  <c r="AF313" i="1" s="1"/>
  <c r="AD313" i="1"/>
  <c r="AC314" i="1"/>
  <c r="AF314" i="1" s="1"/>
  <c r="AD314" i="1"/>
  <c r="AC315" i="1"/>
  <c r="AF315" i="1" s="1"/>
  <c r="AD315" i="1"/>
  <c r="AC316" i="1"/>
  <c r="AF316" i="1" s="1"/>
  <c r="AD316" i="1"/>
  <c r="AC317" i="1"/>
  <c r="AF317" i="1" s="1"/>
  <c r="AD317" i="1"/>
  <c r="AC318" i="1"/>
  <c r="AF318" i="1" s="1"/>
  <c r="AD318" i="1"/>
  <c r="AC319" i="1"/>
  <c r="AF319" i="1" s="1"/>
  <c r="AD319" i="1"/>
  <c r="AC320" i="1"/>
  <c r="AF320" i="1" s="1"/>
  <c r="AD320" i="1"/>
  <c r="AC321" i="1"/>
  <c r="AF321" i="1" s="1"/>
  <c r="AD321" i="1"/>
  <c r="AC322" i="1"/>
  <c r="AF322" i="1" s="1"/>
  <c r="AD322" i="1"/>
  <c r="AC323" i="1"/>
  <c r="AF323" i="1" s="1"/>
  <c r="AD323" i="1"/>
  <c r="AC324" i="1"/>
  <c r="AF324" i="1" s="1"/>
  <c r="AD324" i="1"/>
  <c r="AC325" i="1"/>
  <c r="AF325" i="1" s="1"/>
  <c r="AD325" i="1"/>
  <c r="AC326" i="1"/>
  <c r="AF326" i="1" s="1"/>
  <c r="AD326" i="1"/>
  <c r="AC327" i="1"/>
  <c r="AF327" i="1" s="1"/>
  <c r="AD327" i="1"/>
  <c r="AC328" i="1"/>
  <c r="AF328" i="1" s="1"/>
  <c r="AD328" i="1"/>
  <c r="AC329" i="1"/>
  <c r="AF329" i="1" s="1"/>
  <c r="AD329" i="1"/>
  <c r="AC330" i="1"/>
  <c r="AF330" i="1" s="1"/>
  <c r="AD330" i="1"/>
  <c r="AC331" i="1"/>
  <c r="AF331" i="1" s="1"/>
  <c r="AD331" i="1"/>
  <c r="AC332" i="1"/>
  <c r="AF332" i="1" s="1"/>
  <c r="AD332" i="1"/>
  <c r="AC333" i="1"/>
  <c r="AF333" i="1" s="1"/>
  <c r="AD333" i="1"/>
  <c r="AC334" i="1"/>
  <c r="AF334" i="1" s="1"/>
  <c r="AD334" i="1"/>
  <c r="AC335" i="1"/>
  <c r="AF335" i="1" s="1"/>
  <c r="AD335" i="1"/>
  <c r="AC336" i="1"/>
  <c r="AF336" i="1" s="1"/>
  <c r="AD336" i="1"/>
  <c r="AC337" i="1"/>
  <c r="AF337" i="1" s="1"/>
  <c r="AD337" i="1"/>
  <c r="AC338" i="1"/>
  <c r="AF338" i="1" s="1"/>
  <c r="AD338" i="1"/>
  <c r="AC339" i="1"/>
  <c r="AF339" i="1" s="1"/>
  <c r="AD339" i="1"/>
  <c r="AC340" i="1"/>
  <c r="AF340" i="1" s="1"/>
  <c r="AD340" i="1"/>
  <c r="AC341" i="1"/>
  <c r="AF341" i="1" s="1"/>
  <c r="AD341" i="1"/>
  <c r="AC342" i="1"/>
  <c r="AF342" i="1" s="1"/>
  <c r="AD342" i="1"/>
  <c r="AC343" i="1"/>
  <c r="AF343" i="1" s="1"/>
  <c r="AD343" i="1"/>
  <c r="AC344" i="1"/>
  <c r="AF344" i="1" s="1"/>
  <c r="AD344" i="1"/>
  <c r="AC345" i="1"/>
  <c r="AF345" i="1" s="1"/>
  <c r="AD345" i="1"/>
  <c r="AC346" i="1"/>
  <c r="AF346" i="1" s="1"/>
  <c r="AD346" i="1"/>
  <c r="AC347" i="1"/>
  <c r="AF347" i="1" s="1"/>
  <c r="AD347" i="1"/>
  <c r="AC348" i="1"/>
  <c r="AF348" i="1" s="1"/>
  <c r="AD348" i="1"/>
  <c r="AC349" i="1"/>
  <c r="AF349" i="1" s="1"/>
  <c r="AD349" i="1"/>
  <c r="AC350" i="1"/>
  <c r="AF350" i="1" s="1"/>
  <c r="AD350" i="1"/>
  <c r="AC351" i="1"/>
  <c r="AF351" i="1" s="1"/>
  <c r="AD351" i="1"/>
  <c r="AC352" i="1"/>
  <c r="AF352" i="1" s="1"/>
  <c r="AD352" i="1"/>
  <c r="AC353" i="1"/>
  <c r="AF353" i="1" s="1"/>
  <c r="AD353" i="1"/>
  <c r="AC354" i="1"/>
  <c r="AF354" i="1" s="1"/>
  <c r="AD354" i="1"/>
  <c r="AC355" i="1"/>
  <c r="AF355" i="1" s="1"/>
  <c r="AD355" i="1"/>
  <c r="AC356" i="1"/>
  <c r="AF356" i="1" s="1"/>
  <c r="AD356" i="1"/>
  <c r="AC357" i="1"/>
  <c r="AF357" i="1" s="1"/>
  <c r="AD357" i="1"/>
  <c r="AC358" i="1"/>
  <c r="AF358" i="1" s="1"/>
  <c r="AD358" i="1"/>
  <c r="AC359" i="1"/>
  <c r="AF359" i="1" s="1"/>
  <c r="AD359" i="1"/>
  <c r="AC360" i="1"/>
  <c r="AF360" i="1" s="1"/>
  <c r="AD360" i="1"/>
  <c r="AC361" i="1"/>
  <c r="AF361" i="1" s="1"/>
  <c r="AD361" i="1"/>
  <c r="AC362" i="1"/>
  <c r="AF362" i="1" s="1"/>
  <c r="AD362" i="1"/>
  <c r="AC363" i="1"/>
  <c r="AF363" i="1" s="1"/>
  <c r="AD363" i="1"/>
  <c r="AC364" i="1"/>
  <c r="AF364" i="1" s="1"/>
  <c r="AD364" i="1"/>
  <c r="AC365" i="1"/>
  <c r="AF365" i="1" s="1"/>
  <c r="AD365" i="1"/>
  <c r="AC366" i="1"/>
  <c r="AF366" i="1" s="1"/>
  <c r="AD366" i="1"/>
  <c r="AC367" i="1"/>
  <c r="AF367" i="1" s="1"/>
  <c r="AD367" i="1"/>
  <c r="AC368" i="1"/>
  <c r="AF368" i="1" s="1"/>
  <c r="AD368" i="1"/>
  <c r="AC369" i="1"/>
  <c r="AF369" i="1" s="1"/>
  <c r="AD369" i="1"/>
  <c r="AC370" i="1"/>
  <c r="AF370" i="1" s="1"/>
  <c r="AD370" i="1"/>
  <c r="AC371" i="1"/>
  <c r="AF371" i="1" s="1"/>
  <c r="AD371" i="1"/>
  <c r="AC372" i="1"/>
  <c r="AF372" i="1" s="1"/>
  <c r="AD372" i="1"/>
  <c r="AC373" i="1"/>
  <c r="AF373" i="1" s="1"/>
  <c r="AD373" i="1"/>
  <c r="AC374" i="1"/>
  <c r="AF374" i="1" s="1"/>
  <c r="AD374" i="1"/>
  <c r="AC375" i="1"/>
  <c r="AF375" i="1" s="1"/>
  <c r="AD375" i="1"/>
  <c r="AC376" i="1"/>
  <c r="AF376" i="1" s="1"/>
  <c r="AD376" i="1"/>
  <c r="AC377" i="1"/>
  <c r="AF377" i="1" s="1"/>
  <c r="AD377" i="1"/>
  <c r="AC378" i="1"/>
  <c r="AF378" i="1" s="1"/>
  <c r="AD378" i="1"/>
  <c r="AC379" i="1"/>
  <c r="AF379" i="1" s="1"/>
  <c r="AD379" i="1"/>
  <c r="AC380" i="1"/>
  <c r="AF380" i="1" s="1"/>
  <c r="AD380" i="1"/>
  <c r="AC381" i="1"/>
  <c r="AF381" i="1" s="1"/>
  <c r="AD381" i="1"/>
  <c r="AC382" i="1"/>
  <c r="AF382" i="1" s="1"/>
  <c r="AD382" i="1"/>
  <c r="AC383" i="1"/>
  <c r="AF383" i="1" s="1"/>
  <c r="AD383" i="1"/>
  <c r="AC384" i="1"/>
  <c r="AF384" i="1" s="1"/>
  <c r="AD384" i="1"/>
  <c r="AC385" i="1"/>
  <c r="AF385" i="1" s="1"/>
  <c r="AD385" i="1"/>
  <c r="AC386" i="1"/>
  <c r="AF386" i="1" s="1"/>
  <c r="AD386" i="1"/>
  <c r="AC387" i="1"/>
  <c r="AF387" i="1" s="1"/>
  <c r="AD387" i="1"/>
  <c r="AC388" i="1"/>
  <c r="AF388" i="1" s="1"/>
  <c r="AD388" i="1"/>
  <c r="AC389" i="1"/>
  <c r="AF389" i="1" s="1"/>
  <c r="AD389" i="1"/>
  <c r="AC390" i="1"/>
  <c r="AF390" i="1" s="1"/>
  <c r="AD390" i="1"/>
  <c r="AC391" i="1"/>
  <c r="AF391" i="1" s="1"/>
  <c r="AD391" i="1"/>
  <c r="AC392" i="1"/>
  <c r="AF392" i="1" s="1"/>
  <c r="AD392" i="1"/>
  <c r="AC393" i="1"/>
  <c r="AF393" i="1" s="1"/>
  <c r="AD393" i="1"/>
  <c r="AC394" i="1"/>
  <c r="AF394" i="1" s="1"/>
  <c r="AD394" i="1"/>
  <c r="AC395" i="1"/>
  <c r="AF395" i="1" s="1"/>
  <c r="AD395" i="1"/>
  <c r="AC396" i="1"/>
  <c r="AF396" i="1" s="1"/>
  <c r="AD396" i="1"/>
  <c r="AC397" i="1"/>
  <c r="AF397" i="1" s="1"/>
  <c r="AD397" i="1"/>
  <c r="AC398" i="1"/>
  <c r="AF398" i="1" s="1"/>
  <c r="AD398" i="1"/>
  <c r="AC399" i="1"/>
  <c r="AF399" i="1" s="1"/>
  <c r="AD399" i="1"/>
  <c r="AC400" i="1"/>
  <c r="AF400" i="1" s="1"/>
  <c r="AD400" i="1"/>
  <c r="AC401" i="1"/>
  <c r="AF401" i="1" s="1"/>
  <c r="AD401" i="1"/>
  <c r="AC402" i="1"/>
  <c r="AF402" i="1" s="1"/>
  <c r="AD402" i="1"/>
  <c r="AC403" i="1"/>
  <c r="AF403" i="1" s="1"/>
  <c r="AD403" i="1"/>
  <c r="AC404" i="1"/>
  <c r="AF404" i="1" s="1"/>
  <c r="AD404" i="1"/>
  <c r="AC405" i="1"/>
  <c r="AF405" i="1" s="1"/>
  <c r="AD405" i="1"/>
  <c r="AC406" i="1"/>
  <c r="AF406" i="1" s="1"/>
  <c r="AD406" i="1"/>
  <c r="AC407" i="1"/>
  <c r="AF407" i="1" s="1"/>
  <c r="AD407" i="1"/>
  <c r="AC408" i="1"/>
  <c r="AF408" i="1" s="1"/>
  <c r="AD408" i="1"/>
  <c r="AC409" i="1"/>
  <c r="AF409" i="1" s="1"/>
  <c r="AD409" i="1"/>
  <c r="AC410" i="1"/>
  <c r="AF410" i="1" s="1"/>
  <c r="AD410" i="1"/>
  <c r="AC411" i="1"/>
  <c r="AF411" i="1" s="1"/>
  <c r="AD411" i="1"/>
  <c r="AC412" i="1"/>
  <c r="AF412" i="1" s="1"/>
  <c r="AD412" i="1"/>
  <c r="AC413" i="1"/>
  <c r="AF413" i="1" s="1"/>
  <c r="AD413" i="1"/>
  <c r="AC414" i="1"/>
  <c r="AF414" i="1" s="1"/>
  <c r="AD414" i="1"/>
  <c r="AC415" i="1"/>
  <c r="AF415" i="1" s="1"/>
  <c r="AD415" i="1"/>
  <c r="AC416" i="1"/>
  <c r="AF416" i="1" s="1"/>
  <c r="AD416" i="1"/>
  <c r="AC417" i="1"/>
  <c r="AF417" i="1" s="1"/>
  <c r="AD417" i="1"/>
  <c r="AC418" i="1"/>
  <c r="AF418" i="1" s="1"/>
  <c r="AD418" i="1"/>
  <c r="AC419" i="1"/>
  <c r="AF419" i="1" s="1"/>
  <c r="AD419" i="1"/>
  <c r="AC420" i="1"/>
  <c r="AF420" i="1" s="1"/>
  <c r="AD420" i="1"/>
  <c r="AC421" i="1"/>
  <c r="AF421" i="1" s="1"/>
  <c r="AD421" i="1"/>
  <c r="AC422" i="1"/>
  <c r="AF422" i="1" s="1"/>
  <c r="AD422" i="1"/>
  <c r="AC423" i="1"/>
  <c r="AF423" i="1" s="1"/>
  <c r="AD423" i="1"/>
  <c r="AC424" i="1"/>
  <c r="AF424" i="1" s="1"/>
  <c r="AD424" i="1"/>
  <c r="AC425" i="1"/>
  <c r="AF425" i="1" s="1"/>
  <c r="AD425" i="1"/>
  <c r="AC426" i="1"/>
  <c r="AF426" i="1" s="1"/>
  <c r="AD426" i="1"/>
  <c r="AC427" i="1"/>
  <c r="AF427" i="1" s="1"/>
  <c r="AD427" i="1"/>
  <c r="AC428" i="1"/>
  <c r="AF428" i="1" s="1"/>
  <c r="AD428" i="1"/>
  <c r="AC429" i="1"/>
  <c r="AF429" i="1" s="1"/>
  <c r="AD429" i="1"/>
  <c r="AC430" i="1"/>
  <c r="AF430" i="1" s="1"/>
  <c r="AD430" i="1"/>
  <c r="AC431" i="1"/>
  <c r="AF431" i="1" s="1"/>
  <c r="AD431" i="1"/>
  <c r="AC432" i="1"/>
  <c r="AF432" i="1" s="1"/>
  <c r="AD432" i="1"/>
  <c r="AC433" i="1"/>
  <c r="AF433" i="1" s="1"/>
  <c r="AD433" i="1"/>
  <c r="AC434" i="1"/>
  <c r="AF434" i="1" s="1"/>
  <c r="AD434" i="1"/>
  <c r="AC435" i="1"/>
  <c r="AF435" i="1" s="1"/>
  <c r="AD435" i="1"/>
  <c r="AC436" i="1"/>
  <c r="AF436" i="1" s="1"/>
  <c r="AD436" i="1"/>
  <c r="AC437" i="1"/>
  <c r="AF437" i="1" s="1"/>
  <c r="AD437" i="1"/>
  <c r="AC438" i="1"/>
  <c r="AF438" i="1" s="1"/>
  <c r="AD438" i="1"/>
  <c r="AC439" i="1"/>
  <c r="AF439" i="1" s="1"/>
  <c r="AD439" i="1"/>
  <c r="AC440" i="1"/>
  <c r="AF440" i="1" s="1"/>
  <c r="AD440" i="1"/>
  <c r="AC441" i="1"/>
  <c r="AF441" i="1" s="1"/>
  <c r="AD441" i="1"/>
  <c r="AC442" i="1"/>
  <c r="AF442" i="1" s="1"/>
  <c r="AD442" i="1"/>
  <c r="AC443" i="1"/>
  <c r="AF443" i="1" s="1"/>
  <c r="AD443" i="1"/>
  <c r="AC444" i="1"/>
  <c r="AF444" i="1" s="1"/>
  <c r="AD444" i="1"/>
  <c r="AC445" i="1"/>
  <c r="AF445" i="1" s="1"/>
  <c r="AD445" i="1"/>
  <c r="AC446" i="1"/>
  <c r="AF446" i="1" s="1"/>
  <c r="AD446" i="1"/>
  <c r="AC447" i="1"/>
  <c r="AF447" i="1" s="1"/>
  <c r="AD447" i="1"/>
  <c r="AC448" i="1"/>
  <c r="AF448" i="1" s="1"/>
  <c r="AD448" i="1"/>
  <c r="AC449" i="1"/>
  <c r="AF449" i="1" s="1"/>
  <c r="AD449" i="1"/>
  <c r="AC450" i="1"/>
  <c r="AF450" i="1" s="1"/>
  <c r="AD450" i="1"/>
  <c r="AC451" i="1"/>
  <c r="AF451" i="1" s="1"/>
  <c r="AD451" i="1"/>
  <c r="AC452" i="1"/>
  <c r="AF452" i="1" s="1"/>
  <c r="AD452" i="1"/>
  <c r="AC453" i="1"/>
  <c r="AF453" i="1" s="1"/>
  <c r="AD453" i="1"/>
  <c r="AC454" i="1"/>
  <c r="AF454" i="1" s="1"/>
  <c r="AD454" i="1"/>
  <c r="AC455" i="1"/>
  <c r="AF455" i="1" s="1"/>
  <c r="AD455" i="1"/>
  <c r="AC456" i="1"/>
  <c r="AF456" i="1" s="1"/>
  <c r="AD456" i="1"/>
  <c r="AC457" i="1"/>
  <c r="AF457" i="1" s="1"/>
  <c r="AD457" i="1"/>
  <c r="AC458" i="1"/>
  <c r="AF458" i="1" s="1"/>
  <c r="AD458" i="1"/>
  <c r="AC459" i="1"/>
  <c r="AF459" i="1" s="1"/>
  <c r="AD459" i="1"/>
  <c r="AC460" i="1"/>
  <c r="AF460" i="1" s="1"/>
  <c r="AD460" i="1"/>
  <c r="AC461" i="1"/>
  <c r="AF461" i="1" s="1"/>
  <c r="AD461" i="1"/>
  <c r="AC462" i="1"/>
  <c r="AF462" i="1" s="1"/>
  <c r="AD462" i="1"/>
  <c r="AC463" i="1"/>
  <c r="AF463" i="1" s="1"/>
  <c r="AD463" i="1"/>
  <c r="AC464" i="1"/>
  <c r="AF464" i="1" s="1"/>
  <c r="AD464" i="1"/>
  <c r="AC465" i="1"/>
  <c r="AF465" i="1" s="1"/>
  <c r="AD465" i="1"/>
  <c r="AC466" i="1"/>
  <c r="AF466" i="1" s="1"/>
  <c r="AD466" i="1"/>
  <c r="AC467" i="1"/>
  <c r="AF467" i="1" s="1"/>
  <c r="AD467" i="1"/>
  <c r="AC468" i="1"/>
  <c r="AF468" i="1" s="1"/>
  <c r="AD468" i="1"/>
  <c r="AC469" i="1"/>
  <c r="AF469" i="1" s="1"/>
  <c r="AD469" i="1"/>
  <c r="AC470" i="1"/>
  <c r="AF470" i="1" s="1"/>
  <c r="AD470" i="1"/>
  <c r="AC471" i="1"/>
  <c r="AF471" i="1" s="1"/>
  <c r="AD471" i="1"/>
  <c r="AC472" i="1"/>
  <c r="AF472" i="1" s="1"/>
  <c r="AD472" i="1"/>
  <c r="AC473" i="1"/>
  <c r="AF473" i="1" s="1"/>
  <c r="AD473" i="1"/>
  <c r="AC474" i="1"/>
  <c r="AF474" i="1" s="1"/>
  <c r="AD474" i="1"/>
  <c r="AC475" i="1"/>
  <c r="AF475" i="1" s="1"/>
  <c r="AD475" i="1"/>
  <c r="AC476" i="1"/>
  <c r="AF476" i="1" s="1"/>
  <c r="AD476" i="1"/>
  <c r="AC477" i="1"/>
  <c r="AF477" i="1" s="1"/>
  <c r="AD477" i="1"/>
  <c r="AC478" i="1"/>
  <c r="AF478" i="1" s="1"/>
  <c r="AD478" i="1"/>
  <c r="AC479" i="1"/>
  <c r="AF479" i="1" s="1"/>
  <c r="AD479" i="1"/>
  <c r="AC480" i="1"/>
  <c r="AF480" i="1" s="1"/>
  <c r="AD480" i="1"/>
  <c r="AC481" i="1"/>
  <c r="AF481" i="1" s="1"/>
  <c r="AD481" i="1"/>
  <c r="AC482" i="1"/>
  <c r="AF482" i="1" s="1"/>
  <c r="AD482" i="1"/>
  <c r="AC483" i="1"/>
  <c r="AF483" i="1" s="1"/>
  <c r="AD483" i="1"/>
  <c r="AC484" i="1"/>
  <c r="AF484" i="1" s="1"/>
  <c r="AD484" i="1"/>
  <c r="AC485" i="1"/>
  <c r="AF485" i="1" s="1"/>
  <c r="AD485" i="1"/>
  <c r="AC486" i="1"/>
  <c r="AF486" i="1" s="1"/>
  <c r="AD486" i="1"/>
  <c r="AC487" i="1"/>
  <c r="AF487" i="1" s="1"/>
  <c r="AD487" i="1"/>
  <c r="AC488" i="1"/>
  <c r="AF488" i="1" s="1"/>
  <c r="AD488" i="1"/>
  <c r="AC489" i="1"/>
  <c r="AF489" i="1" s="1"/>
  <c r="AD489" i="1"/>
  <c r="AC490" i="1"/>
  <c r="AF490" i="1" s="1"/>
  <c r="AD490" i="1"/>
  <c r="AC491" i="1"/>
  <c r="AF491" i="1" s="1"/>
  <c r="AD491" i="1"/>
  <c r="AC492" i="1"/>
  <c r="AF492" i="1" s="1"/>
  <c r="AD492" i="1"/>
  <c r="AC493" i="1"/>
  <c r="AF493" i="1" s="1"/>
  <c r="AD493" i="1"/>
  <c r="AC494" i="1"/>
  <c r="AF494" i="1" s="1"/>
  <c r="AD494" i="1"/>
  <c r="AC495" i="1"/>
  <c r="AF495" i="1" s="1"/>
  <c r="AD495" i="1"/>
  <c r="AC496" i="1"/>
  <c r="AF496" i="1" s="1"/>
  <c r="AD496" i="1"/>
  <c r="AC497" i="1"/>
  <c r="AF497" i="1" s="1"/>
  <c r="AD497" i="1"/>
  <c r="AC498" i="1"/>
  <c r="AF498" i="1" s="1"/>
  <c r="AD498" i="1"/>
  <c r="AC499" i="1"/>
  <c r="AF499" i="1" s="1"/>
  <c r="AD499" i="1"/>
  <c r="AC500" i="1"/>
  <c r="AF500" i="1" s="1"/>
  <c r="AD500" i="1"/>
  <c r="AC501" i="1"/>
  <c r="AF501" i="1" s="1"/>
  <c r="AD501" i="1"/>
  <c r="AC502" i="1"/>
  <c r="AF502" i="1" s="1"/>
  <c r="AD502" i="1"/>
  <c r="AC503" i="1"/>
  <c r="AF503" i="1" s="1"/>
  <c r="AD503" i="1"/>
  <c r="AC504" i="1"/>
  <c r="AF504" i="1" s="1"/>
  <c r="AD504" i="1"/>
  <c r="AC505" i="1"/>
  <c r="AF505" i="1" s="1"/>
  <c r="AD505" i="1"/>
  <c r="AC506" i="1"/>
  <c r="AF506" i="1" s="1"/>
  <c r="AD506" i="1"/>
  <c r="AC507" i="1"/>
  <c r="AF507" i="1" s="1"/>
  <c r="AD507" i="1"/>
  <c r="AC508" i="1"/>
  <c r="AF508" i="1" s="1"/>
  <c r="AD508" i="1"/>
  <c r="AC509" i="1"/>
  <c r="AF509" i="1" s="1"/>
  <c r="AD509" i="1"/>
  <c r="AC510" i="1"/>
  <c r="AF510" i="1" s="1"/>
  <c r="AD510" i="1"/>
  <c r="AC511" i="1"/>
  <c r="AF511" i="1" s="1"/>
  <c r="AD511" i="1"/>
  <c r="AC512" i="1"/>
  <c r="AF512" i="1" s="1"/>
  <c r="AD512" i="1"/>
  <c r="AC513" i="1"/>
  <c r="AF513" i="1" s="1"/>
  <c r="AD513" i="1"/>
  <c r="AC514" i="1"/>
  <c r="AF514" i="1" s="1"/>
  <c r="AD514" i="1"/>
  <c r="AC515" i="1"/>
  <c r="AF515" i="1" s="1"/>
  <c r="AD515" i="1"/>
  <c r="AC516" i="1"/>
  <c r="AF516" i="1" s="1"/>
  <c r="AD516" i="1"/>
  <c r="AC517" i="1"/>
  <c r="AF517" i="1" s="1"/>
  <c r="AD517" i="1"/>
  <c r="AC518" i="1"/>
  <c r="AF518" i="1" s="1"/>
  <c r="AD518" i="1"/>
  <c r="AC519" i="1"/>
  <c r="AF519" i="1" s="1"/>
  <c r="AD519" i="1"/>
  <c r="AC520" i="1"/>
  <c r="AF520" i="1" s="1"/>
  <c r="AD520" i="1"/>
  <c r="AC521" i="1"/>
  <c r="AF521" i="1" s="1"/>
  <c r="AD521" i="1"/>
  <c r="AC522" i="1"/>
  <c r="AF522" i="1" s="1"/>
  <c r="AD522" i="1"/>
  <c r="AC523" i="1"/>
  <c r="AF523" i="1" s="1"/>
  <c r="AD523" i="1"/>
  <c r="AC524" i="1"/>
  <c r="AF524" i="1" s="1"/>
  <c r="AD524" i="1"/>
  <c r="AC525" i="1"/>
  <c r="AF525" i="1" s="1"/>
  <c r="AD525" i="1"/>
  <c r="AC526" i="1"/>
  <c r="AF526" i="1" s="1"/>
  <c r="AD526" i="1"/>
  <c r="AC527" i="1"/>
  <c r="AF527" i="1" s="1"/>
  <c r="AD527" i="1"/>
  <c r="AC528" i="1"/>
  <c r="AF528" i="1" s="1"/>
  <c r="AD528" i="1"/>
  <c r="AC529" i="1"/>
  <c r="AF529" i="1" s="1"/>
  <c r="AD529" i="1"/>
  <c r="AC530" i="1"/>
  <c r="AF530" i="1" s="1"/>
  <c r="AD530" i="1"/>
  <c r="AC531" i="1"/>
  <c r="AF531" i="1" s="1"/>
  <c r="AD531" i="1"/>
  <c r="AC532" i="1"/>
  <c r="AF532" i="1" s="1"/>
  <c r="AD532" i="1"/>
  <c r="AC533" i="1"/>
  <c r="AF533" i="1" s="1"/>
  <c r="AD533" i="1"/>
  <c r="AC534" i="1"/>
  <c r="AF534" i="1" s="1"/>
  <c r="AD534" i="1"/>
  <c r="AC535" i="1"/>
  <c r="AF535" i="1" s="1"/>
  <c r="AD535" i="1"/>
  <c r="AC536" i="1"/>
  <c r="AF536" i="1" s="1"/>
  <c r="AD536" i="1"/>
  <c r="AC537" i="1"/>
  <c r="AF537" i="1" s="1"/>
  <c r="AD537" i="1"/>
  <c r="AC538" i="1"/>
  <c r="AF538" i="1" s="1"/>
  <c r="AD538" i="1"/>
  <c r="AC539" i="1"/>
  <c r="AF539" i="1" s="1"/>
  <c r="AD539" i="1"/>
  <c r="AC540" i="1"/>
  <c r="AF540" i="1" s="1"/>
  <c r="AD540" i="1"/>
  <c r="AC541" i="1"/>
  <c r="AF541" i="1" s="1"/>
  <c r="AD541" i="1"/>
  <c r="AC542" i="1"/>
  <c r="AF542" i="1" s="1"/>
  <c r="AD542" i="1"/>
  <c r="AC543" i="1"/>
  <c r="AF543" i="1" s="1"/>
  <c r="AD543" i="1"/>
  <c r="AC544" i="1"/>
  <c r="AF544" i="1" s="1"/>
  <c r="AD544" i="1"/>
  <c r="AC545" i="1"/>
  <c r="AF545" i="1" s="1"/>
  <c r="AD545" i="1"/>
  <c r="AC546" i="1"/>
  <c r="AF546" i="1" s="1"/>
  <c r="AD546" i="1"/>
  <c r="AC547" i="1"/>
  <c r="AF547" i="1" s="1"/>
  <c r="AD547" i="1"/>
  <c r="AC548" i="1"/>
  <c r="AF548" i="1" s="1"/>
  <c r="AD548" i="1"/>
  <c r="AC549" i="1"/>
  <c r="AF549" i="1" s="1"/>
  <c r="AD549" i="1"/>
  <c r="AC550" i="1"/>
  <c r="AF550" i="1" s="1"/>
  <c r="AD550" i="1"/>
  <c r="AC551" i="1"/>
  <c r="AF551" i="1" s="1"/>
  <c r="AD551" i="1"/>
  <c r="AC552" i="1"/>
  <c r="AF552" i="1" s="1"/>
  <c r="AD552" i="1"/>
  <c r="AC553" i="1"/>
  <c r="AF553" i="1" s="1"/>
  <c r="AD553" i="1"/>
  <c r="AC554" i="1"/>
  <c r="AF554" i="1" s="1"/>
  <c r="AD554" i="1"/>
  <c r="AC555" i="1"/>
  <c r="AF555" i="1" s="1"/>
  <c r="AD555" i="1"/>
  <c r="AC556" i="1"/>
  <c r="AF556" i="1" s="1"/>
  <c r="AD556" i="1"/>
  <c r="AC557" i="1"/>
  <c r="AF557" i="1" s="1"/>
  <c r="AD557" i="1"/>
  <c r="AC558" i="1"/>
  <c r="AF558" i="1" s="1"/>
  <c r="AD558" i="1"/>
  <c r="AC559" i="1"/>
  <c r="AF559" i="1" s="1"/>
  <c r="AD559" i="1"/>
  <c r="AC560" i="1"/>
  <c r="AF560" i="1" s="1"/>
  <c r="AD560" i="1"/>
  <c r="AC561" i="1"/>
  <c r="AF561" i="1" s="1"/>
  <c r="AD561" i="1"/>
  <c r="AC562" i="1"/>
  <c r="AF562" i="1" s="1"/>
  <c r="AD562" i="1"/>
  <c r="AC563" i="1"/>
  <c r="AF563" i="1" s="1"/>
  <c r="AD563" i="1"/>
  <c r="AC564" i="1"/>
  <c r="AF564" i="1" s="1"/>
  <c r="AD564" i="1"/>
  <c r="AC565" i="1"/>
  <c r="AF565" i="1" s="1"/>
  <c r="AD565" i="1"/>
  <c r="AC566" i="1"/>
  <c r="AF566" i="1" s="1"/>
  <c r="AD566" i="1"/>
  <c r="AC567" i="1"/>
  <c r="AF567" i="1" s="1"/>
  <c r="AD567" i="1"/>
  <c r="AC568" i="1"/>
  <c r="AF568" i="1" s="1"/>
  <c r="AD568" i="1"/>
  <c r="AC569" i="1"/>
  <c r="AF569" i="1" s="1"/>
  <c r="AD569" i="1"/>
  <c r="AC570" i="1"/>
  <c r="AF570" i="1" s="1"/>
  <c r="AD570" i="1"/>
  <c r="AC571" i="1"/>
  <c r="AF571" i="1" s="1"/>
  <c r="AD571" i="1"/>
  <c r="AC572" i="1"/>
  <c r="AF572" i="1" s="1"/>
  <c r="AD572" i="1"/>
  <c r="AC573" i="1"/>
  <c r="AF573" i="1" s="1"/>
  <c r="AD573" i="1"/>
  <c r="AC574" i="1"/>
  <c r="AF574" i="1" s="1"/>
  <c r="AD574" i="1"/>
  <c r="AC575" i="1"/>
  <c r="AF575" i="1" s="1"/>
  <c r="AD575" i="1"/>
  <c r="AC576" i="1"/>
  <c r="AF576" i="1" s="1"/>
  <c r="AD576" i="1"/>
  <c r="AC577" i="1"/>
  <c r="AF577" i="1" s="1"/>
  <c r="AD577" i="1"/>
  <c r="AC578" i="1"/>
  <c r="AF578" i="1" s="1"/>
  <c r="AD578" i="1"/>
  <c r="AC579" i="1"/>
  <c r="AF579" i="1" s="1"/>
  <c r="AD579" i="1"/>
  <c r="AC580" i="1"/>
  <c r="AF580" i="1" s="1"/>
  <c r="AD580" i="1"/>
  <c r="AC581" i="1"/>
  <c r="AF581" i="1" s="1"/>
  <c r="AD581" i="1"/>
  <c r="AC582" i="1"/>
  <c r="AF582" i="1" s="1"/>
  <c r="AD582" i="1"/>
  <c r="AC583" i="1"/>
  <c r="AF583" i="1" s="1"/>
  <c r="AD583" i="1"/>
  <c r="AC584" i="1"/>
  <c r="AF584" i="1" s="1"/>
  <c r="AD584" i="1"/>
  <c r="AC585" i="1"/>
  <c r="AF585" i="1" s="1"/>
  <c r="AD585" i="1"/>
  <c r="AC586" i="1"/>
  <c r="AF586" i="1" s="1"/>
  <c r="AD586" i="1"/>
  <c r="AC587" i="1"/>
  <c r="AF587" i="1" s="1"/>
  <c r="AD587" i="1"/>
  <c r="AC588" i="1"/>
  <c r="AF588" i="1" s="1"/>
  <c r="AD588" i="1"/>
  <c r="AC589" i="1"/>
  <c r="AF589" i="1" s="1"/>
  <c r="AD589" i="1"/>
  <c r="AC590" i="1"/>
  <c r="AF590" i="1" s="1"/>
  <c r="AD590" i="1"/>
  <c r="AC591" i="1"/>
  <c r="AF591" i="1" s="1"/>
  <c r="AD591" i="1"/>
  <c r="AC592" i="1"/>
  <c r="AF592" i="1" s="1"/>
  <c r="AD592" i="1"/>
  <c r="AC593" i="1"/>
  <c r="AF593" i="1" s="1"/>
  <c r="AD593" i="1"/>
  <c r="AC594" i="1"/>
  <c r="AF594" i="1" s="1"/>
  <c r="AD594" i="1"/>
  <c r="AC595" i="1"/>
  <c r="AF595" i="1" s="1"/>
  <c r="AD595" i="1"/>
  <c r="AC596" i="1"/>
  <c r="AF596" i="1" s="1"/>
  <c r="AD596" i="1"/>
  <c r="AC597" i="1"/>
  <c r="AF597" i="1" s="1"/>
  <c r="AD597" i="1"/>
  <c r="AC598" i="1"/>
  <c r="AF598" i="1" s="1"/>
  <c r="AD598" i="1"/>
  <c r="AC599" i="1"/>
  <c r="AF599" i="1" s="1"/>
  <c r="AD599" i="1"/>
  <c r="AC600" i="1"/>
  <c r="AF600" i="1" s="1"/>
  <c r="AD600" i="1"/>
  <c r="AC601" i="1"/>
  <c r="AF601" i="1" s="1"/>
  <c r="AD601" i="1"/>
  <c r="AC602" i="1"/>
  <c r="AF602" i="1" s="1"/>
  <c r="AD602" i="1"/>
  <c r="AC603" i="1"/>
  <c r="AF603" i="1" s="1"/>
  <c r="AD603" i="1"/>
  <c r="AC604" i="1"/>
  <c r="AF604" i="1" s="1"/>
  <c r="AD604" i="1"/>
  <c r="AC605" i="1"/>
  <c r="AF605" i="1" s="1"/>
  <c r="AD605" i="1"/>
  <c r="AC606" i="1"/>
  <c r="AF606" i="1" s="1"/>
  <c r="AD606" i="1"/>
  <c r="AC607" i="1"/>
  <c r="AF607" i="1" s="1"/>
  <c r="AD607" i="1"/>
  <c r="AC608" i="1"/>
  <c r="AF608" i="1" s="1"/>
  <c r="AD608" i="1"/>
  <c r="AC609" i="1"/>
  <c r="AF609" i="1" s="1"/>
  <c r="AD609" i="1"/>
  <c r="AC610" i="1"/>
  <c r="AF610" i="1" s="1"/>
  <c r="AD610" i="1"/>
  <c r="AC611" i="1"/>
  <c r="AF611" i="1" s="1"/>
  <c r="AD611" i="1"/>
  <c r="AC612" i="1"/>
  <c r="AF612" i="1" s="1"/>
  <c r="AD612" i="1"/>
  <c r="AC613" i="1"/>
  <c r="AF613" i="1" s="1"/>
  <c r="AD613" i="1"/>
  <c r="AC614" i="1"/>
  <c r="AF614" i="1" s="1"/>
  <c r="AD614" i="1"/>
  <c r="AC615" i="1"/>
  <c r="AF615" i="1" s="1"/>
  <c r="AD615" i="1"/>
  <c r="AC616" i="1"/>
  <c r="AF616" i="1" s="1"/>
  <c r="AD616" i="1"/>
  <c r="AC617" i="1"/>
  <c r="AF617" i="1" s="1"/>
  <c r="AD617" i="1"/>
  <c r="AC618" i="1"/>
  <c r="AF618" i="1" s="1"/>
  <c r="AD618" i="1"/>
  <c r="AC619" i="1"/>
  <c r="AF619" i="1" s="1"/>
  <c r="AD619" i="1"/>
  <c r="AC620" i="1"/>
  <c r="AF620" i="1" s="1"/>
  <c r="AD620" i="1"/>
  <c r="AC621" i="1"/>
  <c r="AF621" i="1" s="1"/>
  <c r="AD621" i="1"/>
  <c r="AC622" i="1"/>
  <c r="AF622" i="1" s="1"/>
  <c r="AD622" i="1"/>
  <c r="AC623" i="1"/>
  <c r="AF623" i="1" s="1"/>
  <c r="AD623" i="1"/>
  <c r="AC624" i="1"/>
  <c r="AF624" i="1" s="1"/>
  <c r="AD624" i="1"/>
  <c r="AC625" i="1"/>
  <c r="AF625" i="1" s="1"/>
  <c r="AD625" i="1"/>
  <c r="AC626" i="1"/>
  <c r="AF626" i="1" s="1"/>
  <c r="AD626" i="1"/>
  <c r="AC627" i="1"/>
  <c r="AF627" i="1" s="1"/>
  <c r="AD627" i="1"/>
  <c r="AC628" i="1"/>
  <c r="AF628" i="1" s="1"/>
  <c r="AD628" i="1"/>
  <c r="AC629" i="1"/>
  <c r="AF629" i="1" s="1"/>
  <c r="AD629" i="1"/>
  <c r="AC630" i="1"/>
  <c r="AF630" i="1" s="1"/>
  <c r="AD630" i="1"/>
  <c r="AC631" i="1"/>
  <c r="AF631" i="1" s="1"/>
  <c r="AD631" i="1"/>
  <c r="AC632" i="1"/>
  <c r="AF632" i="1" s="1"/>
  <c r="AD632" i="1"/>
  <c r="AC633" i="1"/>
  <c r="AF633" i="1" s="1"/>
  <c r="AD633" i="1"/>
  <c r="AC634" i="1"/>
  <c r="AF634" i="1" s="1"/>
  <c r="AD634" i="1"/>
  <c r="AC635" i="1"/>
  <c r="AF635" i="1" s="1"/>
  <c r="AD635" i="1"/>
  <c r="AC636" i="1"/>
  <c r="AF636" i="1" s="1"/>
  <c r="AD636" i="1"/>
  <c r="AC637" i="1"/>
  <c r="AF637" i="1" s="1"/>
  <c r="AD637" i="1"/>
  <c r="AC638" i="1"/>
  <c r="AF638" i="1" s="1"/>
  <c r="AD638" i="1"/>
  <c r="AC639" i="1"/>
  <c r="AF639" i="1" s="1"/>
  <c r="AD639" i="1"/>
  <c r="AC640" i="1"/>
  <c r="AF640" i="1" s="1"/>
  <c r="AD640" i="1"/>
  <c r="AC641" i="1"/>
  <c r="AF641" i="1" s="1"/>
  <c r="AD641" i="1"/>
  <c r="AC642" i="1"/>
  <c r="AF642" i="1" s="1"/>
  <c r="AD642" i="1"/>
  <c r="AC643" i="1"/>
  <c r="AF643" i="1" s="1"/>
  <c r="AD643" i="1"/>
  <c r="AC644" i="1"/>
  <c r="AF644" i="1" s="1"/>
  <c r="AD644" i="1"/>
  <c r="AC645" i="1"/>
  <c r="AF645" i="1" s="1"/>
  <c r="AD645" i="1"/>
  <c r="AC646" i="1"/>
  <c r="AF646" i="1" s="1"/>
  <c r="AD646" i="1"/>
  <c r="AC647" i="1"/>
  <c r="AF647" i="1" s="1"/>
  <c r="AD647" i="1"/>
  <c r="AC648" i="1"/>
  <c r="AF648" i="1" s="1"/>
  <c r="AD648" i="1"/>
  <c r="AC649" i="1"/>
  <c r="AF649" i="1" s="1"/>
  <c r="AD649" i="1"/>
  <c r="AC650" i="1"/>
  <c r="AF650" i="1" s="1"/>
  <c r="AD650" i="1"/>
  <c r="AC651" i="1"/>
  <c r="AF651" i="1" s="1"/>
  <c r="AD651" i="1"/>
  <c r="AC652" i="1"/>
  <c r="AF652" i="1" s="1"/>
  <c r="AD652" i="1"/>
  <c r="AC653" i="1"/>
  <c r="AF653" i="1" s="1"/>
  <c r="AD653" i="1"/>
  <c r="AC654" i="1"/>
  <c r="AF654" i="1" s="1"/>
  <c r="AD654" i="1"/>
  <c r="AC655" i="1"/>
  <c r="AF655" i="1" s="1"/>
  <c r="AD655" i="1"/>
  <c r="AC656" i="1"/>
  <c r="AF656" i="1" s="1"/>
  <c r="AD656" i="1"/>
  <c r="AC657" i="1"/>
  <c r="AF657" i="1" s="1"/>
  <c r="AD657" i="1"/>
  <c r="AC658" i="1"/>
  <c r="AF658" i="1" s="1"/>
  <c r="AD658" i="1"/>
  <c r="AC659" i="1"/>
  <c r="AF659" i="1" s="1"/>
  <c r="AD659" i="1"/>
  <c r="AC660" i="1"/>
  <c r="AF660" i="1" s="1"/>
  <c r="AD660" i="1"/>
  <c r="AC661" i="1"/>
  <c r="AF661" i="1" s="1"/>
  <c r="AD661" i="1"/>
  <c r="AC662" i="1"/>
  <c r="AF662" i="1" s="1"/>
  <c r="AD662" i="1"/>
  <c r="AC663" i="1"/>
  <c r="AF663" i="1" s="1"/>
  <c r="AD663" i="1"/>
  <c r="AC664" i="1"/>
  <c r="AF664" i="1" s="1"/>
  <c r="AD664" i="1"/>
  <c r="AC665" i="1"/>
  <c r="AF665" i="1" s="1"/>
  <c r="AD665" i="1"/>
  <c r="AC666" i="1"/>
  <c r="AF666" i="1" s="1"/>
  <c r="AD666" i="1"/>
  <c r="AC667" i="1"/>
  <c r="AF667" i="1" s="1"/>
  <c r="AD667" i="1"/>
  <c r="AC668" i="1"/>
  <c r="AF668" i="1" s="1"/>
  <c r="AD668" i="1"/>
  <c r="AC669" i="1"/>
  <c r="AF669" i="1" s="1"/>
  <c r="AD669" i="1"/>
  <c r="AC670" i="1"/>
  <c r="AF670" i="1" s="1"/>
  <c r="AD670" i="1"/>
  <c r="AC671" i="1"/>
  <c r="AF671" i="1" s="1"/>
  <c r="AD671" i="1"/>
  <c r="AC672" i="1"/>
  <c r="AF672" i="1" s="1"/>
  <c r="AD672" i="1"/>
  <c r="AC673" i="1"/>
  <c r="AF673" i="1" s="1"/>
  <c r="AD673" i="1"/>
  <c r="AC674" i="1"/>
  <c r="AF674" i="1" s="1"/>
  <c r="AD674" i="1"/>
  <c r="AC675" i="1"/>
  <c r="AF675" i="1" s="1"/>
  <c r="AD675" i="1"/>
  <c r="AC676" i="1"/>
  <c r="AF676" i="1" s="1"/>
  <c r="AD676" i="1"/>
  <c r="AC677" i="1"/>
  <c r="AF677" i="1" s="1"/>
  <c r="AD677" i="1"/>
  <c r="AC678" i="1"/>
  <c r="AF678" i="1" s="1"/>
  <c r="AD678" i="1"/>
  <c r="AC679" i="1"/>
  <c r="AF679" i="1" s="1"/>
  <c r="AD679" i="1"/>
  <c r="AC680" i="1"/>
  <c r="AF680" i="1" s="1"/>
  <c r="AD680" i="1"/>
  <c r="AC681" i="1"/>
  <c r="AF681" i="1" s="1"/>
  <c r="AD681" i="1"/>
  <c r="AC682" i="1"/>
  <c r="AF682" i="1" s="1"/>
  <c r="AD682" i="1"/>
  <c r="AC683" i="1"/>
  <c r="AF683" i="1" s="1"/>
  <c r="AD683" i="1"/>
  <c r="AC684" i="1"/>
  <c r="AF684" i="1" s="1"/>
  <c r="AD684" i="1"/>
  <c r="AC685" i="1"/>
  <c r="AF685" i="1" s="1"/>
  <c r="AD685" i="1"/>
  <c r="AC686" i="1"/>
  <c r="AF686" i="1" s="1"/>
  <c r="AD686" i="1"/>
  <c r="AC687" i="1"/>
  <c r="AF687" i="1" s="1"/>
  <c r="AD687" i="1"/>
  <c r="AC688" i="1"/>
  <c r="AF688" i="1" s="1"/>
  <c r="AD688" i="1"/>
  <c r="AC689" i="1"/>
  <c r="AF689" i="1" s="1"/>
  <c r="AD689" i="1"/>
  <c r="AC690" i="1"/>
  <c r="AF690" i="1" s="1"/>
  <c r="AD690" i="1"/>
  <c r="AC691" i="1"/>
  <c r="AF691" i="1" s="1"/>
  <c r="AD691" i="1"/>
  <c r="AC692" i="1"/>
  <c r="AF692" i="1" s="1"/>
  <c r="AD692" i="1"/>
  <c r="AC693" i="1"/>
  <c r="AF693" i="1" s="1"/>
  <c r="AD693" i="1"/>
  <c r="AC694" i="1"/>
  <c r="AF694" i="1" s="1"/>
  <c r="AD694" i="1"/>
  <c r="AC695" i="1"/>
  <c r="AF695" i="1" s="1"/>
  <c r="AD695" i="1"/>
  <c r="AC696" i="1"/>
  <c r="AF696" i="1" s="1"/>
  <c r="AD696" i="1"/>
  <c r="AC697" i="1"/>
  <c r="AF697" i="1" s="1"/>
  <c r="AD697" i="1"/>
  <c r="AC698" i="1"/>
  <c r="AF698" i="1" s="1"/>
  <c r="AD698" i="1"/>
  <c r="AC699" i="1"/>
  <c r="AF699" i="1" s="1"/>
  <c r="AD699" i="1"/>
  <c r="AC700" i="1"/>
  <c r="AF700" i="1" s="1"/>
  <c r="AD700" i="1"/>
  <c r="AC701" i="1"/>
  <c r="AF701" i="1" s="1"/>
  <c r="AD701" i="1"/>
  <c r="AC702" i="1"/>
  <c r="AF702" i="1" s="1"/>
  <c r="AD702" i="1"/>
  <c r="AC703" i="1"/>
  <c r="AF703" i="1" s="1"/>
  <c r="AD703" i="1"/>
  <c r="AC704" i="1"/>
  <c r="AF704" i="1" s="1"/>
  <c r="AD704" i="1"/>
  <c r="AC705" i="1"/>
  <c r="AF705" i="1" s="1"/>
  <c r="AD705" i="1"/>
  <c r="AC706" i="1"/>
  <c r="AF706" i="1" s="1"/>
  <c r="AD706" i="1"/>
  <c r="AC707" i="1"/>
  <c r="AF707" i="1" s="1"/>
  <c r="AD707" i="1"/>
  <c r="AC708" i="1"/>
  <c r="AF708" i="1" s="1"/>
  <c r="AD708" i="1"/>
  <c r="AC709" i="1"/>
  <c r="AF709" i="1" s="1"/>
  <c r="AD709" i="1"/>
  <c r="AC710" i="1"/>
  <c r="AF710" i="1" s="1"/>
  <c r="AD710" i="1"/>
  <c r="AC711" i="1"/>
  <c r="AF711" i="1" s="1"/>
  <c r="AD711" i="1"/>
  <c r="AC712" i="1"/>
  <c r="AF712" i="1" s="1"/>
  <c r="AD712" i="1"/>
  <c r="AC713" i="1"/>
  <c r="AF713" i="1" s="1"/>
  <c r="AD713" i="1"/>
  <c r="AC714" i="1"/>
  <c r="AF714" i="1" s="1"/>
  <c r="AD714" i="1"/>
  <c r="AC715" i="1"/>
  <c r="AF715" i="1" s="1"/>
  <c r="AD715" i="1"/>
  <c r="AC716" i="1"/>
  <c r="AF716" i="1" s="1"/>
  <c r="AD716" i="1"/>
  <c r="AC717" i="1"/>
  <c r="AF717" i="1" s="1"/>
  <c r="AD717" i="1"/>
  <c r="AC718" i="1"/>
  <c r="AF718" i="1" s="1"/>
  <c r="AD718" i="1"/>
  <c r="AC719" i="1"/>
  <c r="AF719" i="1" s="1"/>
  <c r="AD719" i="1"/>
  <c r="AC720" i="1"/>
  <c r="AF720" i="1" s="1"/>
  <c r="AD720" i="1"/>
  <c r="AC721" i="1"/>
  <c r="AF721" i="1" s="1"/>
  <c r="AD721" i="1"/>
  <c r="AC722" i="1"/>
  <c r="AF722" i="1" s="1"/>
  <c r="AD722" i="1"/>
  <c r="AC723" i="1"/>
  <c r="AF723" i="1" s="1"/>
  <c r="AD723" i="1"/>
  <c r="AC724" i="1"/>
  <c r="AF724" i="1" s="1"/>
  <c r="AD724" i="1"/>
  <c r="AC725" i="1"/>
  <c r="AF725" i="1" s="1"/>
  <c r="AD725" i="1"/>
  <c r="AC726" i="1"/>
  <c r="AF726" i="1" s="1"/>
  <c r="AD726" i="1"/>
  <c r="AC727" i="1"/>
  <c r="AF727" i="1" s="1"/>
  <c r="AD727" i="1"/>
  <c r="AC728" i="1"/>
  <c r="AF728" i="1" s="1"/>
  <c r="AD728" i="1"/>
  <c r="AC729" i="1"/>
  <c r="AF729" i="1" s="1"/>
  <c r="AD729" i="1"/>
  <c r="AC730" i="1"/>
  <c r="AF730" i="1" s="1"/>
  <c r="AD730" i="1"/>
  <c r="AC731" i="1"/>
  <c r="AF731" i="1" s="1"/>
  <c r="AD731" i="1"/>
  <c r="AC732" i="1"/>
  <c r="AF732" i="1" s="1"/>
  <c r="AD732" i="1"/>
  <c r="AC733" i="1"/>
  <c r="AF733" i="1" s="1"/>
  <c r="AD733" i="1"/>
  <c r="AC734" i="1"/>
  <c r="AF734" i="1" s="1"/>
  <c r="AD734" i="1"/>
  <c r="AC735" i="1"/>
  <c r="AF735" i="1" s="1"/>
  <c r="AD735" i="1"/>
  <c r="AC736" i="1"/>
  <c r="AF736" i="1" s="1"/>
  <c r="AD736" i="1"/>
  <c r="AC737" i="1"/>
  <c r="AF737" i="1" s="1"/>
  <c r="AD737" i="1"/>
  <c r="AC738" i="1"/>
  <c r="AF738" i="1" s="1"/>
  <c r="AD738" i="1"/>
  <c r="AC739" i="1"/>
  <c r="AF739" i="1" s="1"/>
  <c r="AD739" i="1"/>
  <c r="AC740" i="1"/>
  <c r="AF740" i="1" s="1"/>
  <c r="AD740" i="1"/>
  <c r="AC741" i="1"/>
  <c r="AF741" i="1" s="1"/>
  <c r="AD741" i="1"/>
  <c r="AC742" i="1"/>
  <c r="AF742" i="1" s="1"/>
  <c r="AD742" i="1"/>
  <c r="AC743" i="1"/>
  <c r="AF743" i="1" s="1"/>
  <c r="AD743" i="1"/>
  <c r="AC744" i="1"/>
  <c r="AF744" i="1" s="1"/>
  <c r="AD744" i="1"/>
  <c r="AC745" i="1"/>
  <c r="AF745" i="1" s="1"/>
  <c r="AD745" i="1"/>
  <c r="AC746" i="1"/>
  <c r="AF746" i="1" s="1"/>
  <c r="AD746" i="1"/>
  <c r="AC747" i="1"/>
  <c r="AF747" i="1" s="1"/>
  <c r="AD747" i="1"/>
  <c r="AC748" i="1"/>
  <c r="AF748" i="1" s="1"/>
  <c r="AD748" i="1"/>
  <c r="AC749" i="1"/>
  <c r="AF749" i="1" s="1"/>
  <c r="AD749" i="1"/>
  <c r="AC750" i="1"/>
  <c r="AF750" i="1" s="1"/>
  <c r="AD750" i="1"/>
  <c r="AC751" i="1"/>
  <c r="AF751" i="1" s="1"/>
  <c r="AD751" i="1"/>
  <c r="AC752" i="1"/>
  <c r="AF752" i="1" s="1"/>
  <c r="AD752" i="1"/>
  <c r="AC753" i="1"/>
  <c r="AF753" i="1" s="1"/>
  <c r="AD753" i="1"/>
  <c r="AC754" i="1"/>
  <c r="AF754" i="1" s="1"/>
  <c r="AD754" i="1"/>
  <c r="AC755" i="1"/>
  <c r="AF755" i="1" s="1"/>
  <c r="AD755" i="1"/>
  <c r="AC756" i="1"/>
  <c r="AF756" i="1" s="1"/>
  <c r="AD756" i="1"/>
  <c r="AC757" i="1"/>
  <c r="AF757" i="1" s="1"/>
  <c r="AD757" i="1"/>
  <c r="AC758" i="1"/>
  <c r="AF758" i="1" s="1"/>
  <c r="AD758" i="1"/>
  <c r="AC759" i="1"/>
  <c r="AF759" i="1" s="1"/>
  <c r="AD759" i="1"/>
  <c r="AC760" i="1"/>
  <c r="AF760" i="1" s="1"/>
  <c r="AD760" i="1"/>
  <c r="AC761" i="1"/>
  <c r="AF761" i="1" s="1"/>
  <c r="AD761" i="1"/>
  <c r="AC762" i="1"/>
  <c r="AF762" i="1" s="1"/>
  <c r="AD762" i="1"/>
  <c r="AC763" i="1"/>
  <c r="AF763" i="1" s="1"/>
  <c r="AD763" i="1"/>
  <c r="AC764" i="1"/>
  <c r="AF764" i="1" s="1"/>
  <c r="AD764" i="1"/>
  <c r="AC765" i="1"/>
  <c r="AF765" i="1" s="1"/>
  <c r="AD765" i="1"/>
  <c r="AC766" i="1"/>
  <c r="AF766" i="1" s="1"/>
  <c r="AD766" i="1"/>
  <c r="AC767" i="1"/>
  <c r="AF767" i="1" s="1"/>
  <c r="AD767" i="1"/>
  <c r="AC768" i="1"/>
  <c r="AF768" i="1" s="1"/>
  <c r="AD768" i="1"/>
  <c r="AC769" i="1"/>
  <c r="AF769" i="1" s="1"/>
  <c r="AD769" i="1"/>
  <c r="AC770" i="1"/>
  <c r="AF770" i="1" s="1"/>
  <c r="AD770" i="1"/>
  <c r="AC771" i="1"/>
  <c r="AF771" i="1" s="1"/>
  <c r="AD771" i="1"/>
  <c r="AC772" i="1"/>
  <c r="AF772" i="1" s="1"/>
  <c r="AD772" i="1"/>
  <c r="AC773" i="1"/>
  <c r="AF773" i="1" s="1"/>
  <c r="AD773" i="1"/>
  <c r="AC774" i="1"/>
  <c r="AF774" i="1" s="1"/>
  <c r="AD774" i="1"/>
  <c r="AC775" i="1"/>
  <c r="AF775" i="1" s="1"/>
  <c r="AD775" i="1"/>
  <c r="AC776" i="1"/>
  <c r="AF776" i="1" s="1"/>
  <c r="AD776" i="1"/>
  <c r="AC777" i="1"/>
  <c r="AF777" i="1" s="1"/>
  <c r="AD777" i="1"/>
  <c r="AC778" i="1"/>
  <c r="AF778" i="1" s="1"/>
  <c r="AD778" i="1"/>
  <c r="AC779" i="1"/>
  <c r="AF779" i="1" s="1"/>
  <c r="AD779" i="1"/>
  <c r="AC780" i="1"/>
  <c r="AF780" i="1" s="1"/>
  <c r="AD780" i="1"/>
  <c r="AC781" i="1"/>
  <c r="AF781" i="1" s="1"/>
  <c r="AD781" i="1"/>
  <c r="AC782" i="1"/>
  <c r="AF782" i="1" s="1"/>
  <c r="AD782" i="1"/>
  <c r="AC783" i="1"/>
  <c r="AF783" i="1" s="1"/>
  <c r="AD783" i="1"/>
  <c r="AC784" i="1"/>
  <c r="AF784" i="1" s="1"/>
  <c r="AD784" i="1"/>
  <c r="AC785" i="1"/>
  <c r="AF785" i="1" s="1"/>
  <c r="AD785" i="1"/>
  <c r="AC786" i="1"/>
  <c r="AF786" i="1" s="1"/>
  <c r="AD786" i="1"/>
  <c r="AC787" i="1"/>
  <c r="AF787" i="1" s="1"/>
  <c r="AD787" i="1"/>
  <c r="AC788" i="1"/>
  <c r="AF788" i="1" s="1"/>
  <c r="AD788" i="1"/>
  <c r="AC789" i="1"/>
  <c r="AF789" i="1" s="1"/>
  <c r="AD789" i="1"/>
  <c r="AC790" i="1"/>
  <c r="AF790" i="1" s="1"/>
  <c r="AD790" i="1"/>
  <c r="AC791" i="1"/>
  <c r="AF791" i="1" s="1"/>
  <c r="AD791" i="1"/>
  <c r="AC792" i="1"/>
  <c r="AF792" i="1" s="1"/>
  <c r="AD792" i="1"/>
  <c r="AC793" i="1"/>
  <c r="AF793" i="1" s="1"/>
  <c r="AD793" i="1"/>
  <c r="AC794" i="1"/>
  <c r="AF794" i="1" s="1"/>
  <c r="AD794" i="1"/>
  <c r="AC795" i="1"/>
  <c r="AF795" i="1" s="1"/>
  <c r="AD795" i="1"/>
  <c r="AC796" i="1"/>
  <c r="AF796" i="1" s="1"/>
  <c r="AD796" i="1"/>
  <c r="AC797" i="1"/>
  <c r="AF797" i="1" s="1"/>
  <c r="AD797" i="1"/>
  <c r="AC798" i="1"/>
  <c r="AF798" i="1" s="1"/>
  <c r="AD798" i="1"/>
  <c r="AC799" i="1"/>
  <c r="AF799" i="1" s="1"/>
  <c r="AD799" i="1"/>
  <c r="AC800" i="1"/>
  <c r="AF800" i="1" s="1"/>
  <c r="AD800" i="1"/>
  <c r="AC801" i="1"/>
  <c r="AF801" i="1" s="1"/>
  <c r="AD801" i="1"/>
  <c r="AC802" i="1"/>
  <c r="AF802" i="1" s="1"/>
  <c r="AD802" i="1"/>
  <c r="AC803" i="1"/>
  <c r="AF803" i="1" s="1"/>
  <c r="AD803" i="1"/>
  <c r="AC804" i="1"/>
  <c r="AF804" i="1" s="1"/>
  <c r="AD804" i="1"/>
  <c r="AC805" i="1"/>
  <c r="AF805" i="1" s="1"/>
  <c r="AD805" i="1"/>
  <c r="AC806" i="1"/>
  <c r="AF806" i="1" s="1"/>
  <c r="AD806" i="1"/>
  <c r="AC807" i="1"/>
  <c r="AF807" i="1" s="1"/>
  <c r="AD807" i="1"/>
  <c r="AC808" i="1"/>
  <c r="AF808" i="1" s="1"/>
  <c r="AD808" i="1"/>
  <c r="AC809" i="1"/>
  <c r="AF809" i="1" s="1"/>
  <c r="AD809" i="1"/>
  <c r="AC810" i="1"/>
  <c r="AF810" i="1" s="1"/>
  <c r="AD810" i="1"/>
  <c r="AC811" i="1"/>
  <c r="AF811" i="1" s="1"/>
  <c r="AD811" i="1"/>
  <c r="AC812" i="1"/>
  <c r="AF812" i="1" s="1"/>
  <c r="AD812" i="1"/>
  <c r="AC813" i="1"/>
  <c r="AF813" i="1" s="1"/>
  <c r="AD813" i="1"/>
  <c r="AC814" i="1"/>
  <c r="AF814" i="1" s="1"/>
  <c r="AD814" i="1"/>
  <c r="AC815" i="1"/>
  <c r="AF815" i="1" s="1"/>
  <c r="AD815" i="1"/>
  <c r="AC816" i="1"/>
  <c r="AF816" i="1" s="1"/>
  <c r="AD816" i="1"/>
  <c r="AC817" i="1"/>
  <c r="AF817" i="1" s="1"/>
  <c r="AD817" i="1"/>
  <c r="AC818" i="1"/>
  <c r="AF818" i="1" s="1"/>
  <c r="AD818" i="1"/>
  <c r="AC819" i="1"/>
  <c r="AF819" i="1" s="1"/>
  <c r="AD819" i="1"/>
  <c r="AC820" i="1"/>
  <c r="AF820" i="1" s="1"/>
  <c r="AD820" i="1"/>
  <c r="AC821" i="1"/>
  <c r="AF821" i="1" s="1"/>
  <c r="AD821" i="1"/>
  <c r="AC822" i="1"/>
  <c r="AF822" i="1" s="1"/>
  <c r="AD822" i="1"/>
  <c r="AC823" i="1"/>
  <c r="AF823" i="1" s="1"/>
  <c r="AD823" i="1"/>
  <c r="AC824" i="1"/>
  <c r="AF824" i="1" s="1"/>
  <c r="AD824" i="1"/>
  <c r="AC825" i="1"/>
  <c r="AF825" i="1" s="1"/>
  <c r="AD825" i="1"/>
  <c r="AC826" i="1"/>
  <c r="AF826" i="1" s="1"/>
  <c r="AD826" i="1"/>
  <c r="AC827" i="1"/>
  <c r="AF827" i="1" s="1"/>
  <c r="AD827" i="1"/>
  <c r="AC828" i="1"/>
  <c r="AF828" i="1" s="1"/>
  <c r="AD828" i="1"/>
  <c r="AC829" i="1"/>
  <c r="AF829" i="1" s="1"/>
  <c r="AD829" i="1"/>
  <c r="AC830" i="1"/>
  <c r="AF830" i="1" s="1"/>
  <c r="AD830" i="1"/>
  <c r="AC831" i="1"/>
  <c r="AF831" i="1" s="1"/>
  <c r="AD831" i="1"/>
  <c r="AC832" i="1"/>
  <c r="AF832" i="1" s="1"/>
  <c r="AD832" i="1"/>
  <c r="AC833" i="1"/>
  <c r="AF833" i="1" s="1"/>
  <c r="AD833" i="1"/>
  <c r="AC834" i="1"/>
  <c r="AF834" i="1" s="1"/>
  <c r="AD834" i="1"/>
  <c r="AC835" i="1"/>
  <c r="AF835" i="1" s="1"/>
  <c r="AD835" i="1"/>
  <c r="AC836" i="1"/>
  <c r="AF836" i="1" s="1"/>
  <c r="AD836" i="1"/>
  <c r="AC837" i="1"/>
  <c r="AF837" i="1" s="1"/>
  <c r="AD837" i="1"/>
  <c r="AC838" i="1"/>
  <c r="AF838" i="1" s="1"/>
  <c r="AD838" i="1"/>
  <c r="AC839" i="1"/>
  <c r="AF839" i="1" s="1"/>
  <c r="AD839" i="1"/>
  <c r="AC840" i="1"/>
  <c r="AF840" i="1" s="1"/>
  <c r="AD840" i="1"/>
  <c r="AC841" i="1"/>
  <c r="AF841" i="1" s="1"/>
  <c r="AD841" i="1"/>
  <c r="AC842" i="1"/>
  <c r="AF842" i="1" s="1"/>
  <c r="AD842" i="1"/>
  <c r="AC843" i="1"/>
  <c r="AF843" i="1" s="1"/>
  <c r="AD843" i="1"/>
  <c r="AC844" i="1"/>
  <c r="AF844" i="1" s="1"/>
  <c r="AD844" i="1"/>
  <c r="AC845" i="1"/>
  <c r="AF845" i="1" s="1"/>
  <c r="AD845" i="1"/>
  <c r="AC846" i="1"/>
  <c r="AF846" i="1" s="1"/>
  <c r="AD846" i="1"/>
  <c r="AC847" i="1"/>
  <c r="AF847" i="1" s="1"/>
  <c r="AD847" i="1"/>
  <c r="AC848" i="1"/>
  <c r="AF848" i="1" s="1"/>
  <c r="AD848" i="1"/>
  <c r="AC849" i="1"/>
  <c r="AF849" i="1" s="1"/>
  <c r="AD849" i="1"/>
  <c r="AC850" i="1"/>
  <c r="AF850" i="1" s="1"/>
  <c r="AD850" i="1"/>
  <c r="AC851" i="1"/>
  <c r="AF851" i="1" s="1"/>
  <c r="AD851" i="1"/>
  <c r="AC852" i="1"/>
  <c r="AF852" i="1" s="1"/>
  <c r="AD852" i="1"/>
  <c r="AC853" i="1"/>
  <c r="AF853" i="1" s="1"/>
  <c r="AD853" i="1"/>
  <c r="AC854" i="1"/>
  <c r="AF854" i="1" s="1"/>
  <c r="AD854" i="1"/>
  <c r="AC855" i="1"/>
  <c r="AF855" i="1" s="1"/>
  <c r="AD855" i="1"/>
  <c r="AC856" i="1"/>
  <c r="AF856" i="1" s="1"/>
  <c r="AD856" i="1"/>
  <c r="AC857" i="1"/>
  <c r="AF857" i="1" s="1"/>
  <c r="AD857" i="1"/>
  <c r="AC858" i="1"/>
  <c r="AF858" i="1" s="1"/>
  <c r="AD858" i="1"/>
  <c r="AC859" i="1"/>
  <c r="AF859" i="1" s="1"/>
  <c r="AD859" i="1"/>
  <c r="AC860" i="1"/>
  <c r="AF860" i="1" s="1"/>
  <c r="AD860" i="1"/>
  <c r="AC861" i="1"/>
  <c r="AF861" i="1" s="1"/>
  <c r="AD861" i="1"/>
  <c r="AC862" i="1"/>
  <c r="AF862" i="1" s="1"/>
  <c r="AD862" i="1"/>
  <c r="AC863" i="1"/>
  <c r="AF863" i="1" s="1"/>
  <c r="AD863" i="1"/>
  <c r="AC864" i="1"/>
  <c r="AF864" i="1" s="1"/>
  <c r="AD864" i="1"/>
  <c r="AC865" i="1"/>
  <c r="AF865" i="1" s="1"/>
  <c r="AD865" i="1"/>
  <c r="AC866" i="1"/>
  <c r="AF866" i="1" s="1"/>
  <c r="AD866" i="1"/>
  <c r="AC867" i="1"/>
  <c r="AF867" i="1" s="1"/>
  <c r="AD867" i="1"/>
  <c r="AC868" i="1"/>
  <c r="AF868" i="1" s="1"/>
  <c r="AD868" i="1"/>
  <c r="AC869" i="1"/>
  <c r="AF869" i="1" s="1"/>
  <c r="AD869" i="1"/>
  <c r="AC870" i="1"/>
  <c r="AF870" i="1" s="1"/>
  <c r="AD870" i="1"/>
  <c r="AC871" i="1"/>
  <c r="AF871" i="1" s="1"/>
  <c r="AD871" i="1"/>
  <c r="AC872" i="1"/>
  <c r="AF872" i="1" s="1"/>
  <c r="AD872" i="1"/>
  <c r="AC873" i="1"/>
  <c r="AF873" i="1" s="1"/>
  <c r="AD873" i="1"/>
  <c r="AC874" i="1"/>
  <c r="AF874" i="1" s="1"/>
  <c r="AD874" i="1"/>
  <c r="AC875" i="1"/>
  <c r="AF875" i="1" s="1"/>
  <c r="AD875" i="1"/>
  <c r="AC876" i="1"/>
  <c r="AF876" i="1" s="1"/>
  <c r="AD876" i="1"/>
  <c r="AC877" i="1"/>
  <c r="AF877" i="1" s="1"/>
  <c r="AD877" i="1"/>
  <c r="AC878" i="1"/>
  <c r="AF878" i="1" s="1"/>
  <c r="AD878" i="1"/>
  <c r="AC879" i="1"/>
  <c r="AF879" i="1" s="1"/>
  <c r="AD879" i="1"/>
  <c r="AC880" i="1"/>
  <c r="AF880" i="1" s="1"/>
  <c r="AD880" i="1"/>
  <c r="AC881" i="1"/>
  <c r="AF881" i="1" s="1"/>
  <c r="AD881" i="1"/>
  <c r="AC882" i="1"/>
  <c r="AF882" i="1" s="1"/>
  <c r="AD882" i="1"/>
  <c r="AC883" i="1"/>
  <c r="AF883" i="1" s="1"/>
  <c r="AD883" i="1"/>
  <c r="AC884" i="1"/>
  <c r="AF884" i="1" s="1"/>
  <c r="AD884" i="1"/>
  <c r="AC885" i="1"/>
  <c r="AF885" i="1" s="1"/>
  <c r="AD885" i="1"/>
  <c r="AC886" i="1"/>
  <c r="AF886" i="1" s="1"/>
  <c r="AD886" i="1"/>
  <c r="AC887" i="1"/>
  <c r="AF887" i="1" s="1"/>
  <c r="AD887" i="1"/>
  <c r="AC888" i="1"/>
  <c r="AF888" i="1" s="1"/>
  <c r="AD888" i="1"/>
  <c r="AC889" i="1"/>
  <c r="AF889" i="1" s="1"/>
  <c r="AD889" i="1"/>
  <c r="AC890" i="1"/>
  <c r="AF890" i="1" s="1"/>
  <c r="AD890" i="1"/>
  <c r="AC891" i="1"/>
  <c r="AF891" i="1" s="1"/>
  <c r="AD891" i="1"/>
  <c r="AC892" i="1"/>
  <c r="AF892" i="1" s="1"/>
  <c r="AD892" i="1"/>
  <c r="AC893" i="1"/>
  <c r="AF893" i="1" s="1"/>
  <c r="AD893" i="1"/>
  <c r="AC894" i="1"/>
  <c r="AF894" i="1" s="1"/>
  <c r="AD894" i="1"/>
  <c r="AC895" i="1"/>
  <c r="AF895" i="1" s="1"/>
  <c r="AD895" i="1"/>
  <c r="AC896" i="1"/>
  <c r="AF896" i="1" s="1"/>
  <c r="AD896" i="1"/>
  <c r="AC897" i="1"/>
  <c r="AF897" i="1" s="1"/>
  <c r="AD897" i="1"/>
  <c r="AC898" i="1"/>
  <c r="AF898" i="1" s="1"/>
  <c r="AD898" i="1"/>
  <c r="AC899" i="1"/>
  <c r="AF899" i="1" s="1"/>
  <c r="AD899" i="1"/>
  <c r="AC900" i="1"/>
  <c r="AF900" i="1" s="1"/>
  <c r="AD900" i="1"/>
  <c r="AC901" i="1"/>
  <c r="AF901" i="1" s="1"/>
  <c r="AD901" i="1"/>
  <c r="AC902" i="1"/>
  <c r="AF902" i="1" s="1"/>
  <c r="AD902" i="1"/>
  <c r="AC903" i="1"/>
  <c r="AF903" i="1" s="1"/>
  <c r="AD903" i="1"/>
  <c r="AC904" i="1"/>
  <c r="AF904" i="1" s="1"/>
  <c r="AD904" i="1"/>
  <c r="AC905" i="1"/>
  <c r="AF905" i="1" s="1"/>
  <c r="AD905" i="1"/>
  <c r="AC906" i="1"/>
  <c r="AF906" i="1" s="1"/>
  <c r="AD906" i="1"/>
  <c r="AC907" i="1"/>
  <c r="AF907" i="1" s="1"/>
  <c r="AD907" i="1"/>
  <c r="AC908" i="1"/>
  <c r="AF908" i="1" s="1"/>
  <c r="AD908" i="1"/>
  <c r="AC909" i="1"/>
  <c r="AF909" i="1" s="1"/>
  <c r="AD909" i="1"/>
  <c r="AC910" i="1"/>
  <c r="AF910" i="1" s="1"/>
  <c r="AD910" i="1"/>
  <c r="AC911" i="1"/>
  <c r="AF911" i="1" s="1"/>
  <c r="AD911" i="1"/>
  <c r="AC912" i="1"/>
  <c r="AF912" i="1" s="1"/>
  <c r="AD912" i="1"/>
  <c r="AC913" i="1"/>
  <c r="AF913" i="1" s="1"/>
  <c r="AD913" i="1"/>
  <c r="AC914" i="1"/>
  <c r="AF914" i="1" s="1"/>
  <c r="AD914" i="1"/>
  <c r="AC915" i="1"/>
  <c r="AF915" i="1" s="1"/>
  <c r="AD915" i="1"/>
  <c r="AC916" i="1"/>
  <c r="AF916" i="1" s="1"/>
  <c r="AD916" i="1"/>
  <c r="AC917" i="1"/>
  <c r="AF917" i="1" s="1"/>
  <c r="AD917" i="1"/>
  <c r="AC918" i="1"/>
  <c r="AF918" i="1" s="1"/>
  <c r="AD918" i="1"/>
  <c r="AC919" i="1"/>
  <c r="AF919" i="1" s="1"/>
  <c r="AD919" i="1"/>
  <c r="AC920" i="1"/>
  <c r="AF920" i="1" s="1"/>
  <c r="AD920" i="1"/>
  <c r="AC921" i="1"/>
  <c r="AF921" i="1" s="1"/>
  <c r="AD921" i="1"/>
  <c r="AC922" i="1"/>
  <c r="AF922" i="1" s="1"/>
  <c r="AD922" i="1"/>
  <c r="AC923" i="1"/>
  <c r="AF923" i="1" s="1"/>
  <c r="AD923" i="1"/>
  <c r="AC924" i="1"/>
  <c r="AF924" i="1" s="1"/>
  <c r="AD924" i="1"/>
  <c r="AC925" i="1"/>
  <c r="AF925" i="1" s="1"/>
  <c r="AD925" i="1"/>
  <c r="AC926" i="1"/>
  <c r="AF926" i="1" s="1"/>
  <c r="AD926" i="1"/>
  <c r="AC927" i="1"/>
  <c r="AF927" i="1" s="1"/>
  <c r="AD927" i="1"/>
  <c r="AC928" i="1"/>
  <c r="AF928" i="1" s="1"/>
  <c r="AD928" i="1"/>
  <c r="AC929" i="1"/>
  <c r="AF929" i="1" s="1"/>
  <c r="AD929" i="1"/>
  <c r="AC930" i="1"/>
  <c r="AF930" i="1" s="1"/>
  <c r="AD930" i="1"/>
  <c r="AC931" i="1"/>
  <c r="AF931" i="1" s="1"/>
  <c r="AD931" i="1"/>
  <c r="AC932" i="1"/>
  <c r="AF932" i="1" s="1"/>
  <c r="AD932" i="1"/>
  <c r="AC933" i="1"/>
  <c r="AF933" i="1" s="1"/>
  <c r="AD933" i="1"/>
  <c r="AC934" i="1"/>
  <c r="AF934" i="1" s="1"/>
  <c r="AD934" i="1"/>
  <c r="AC935" i="1"/>
  <c r="AF935" i="1" s="1"/>
  <c r="AD935" i="1"/>
  <c r="AC936" i="1"/>
  <c r="AF936" i="1" s="1"/>
  <c r="AD936" i="1"/>
  <c r="AC937" i="1"/>
  <c r="AF937" i="1" s="1"/>
  <c r="AD937" i="1"/>
  <c r="AC938" i="1"/>
  <c r="AF938" i="1" s="1"/>
  <c r="AD938" i="1"/>
  <c r="AC939" i="1"/>
  <c r="AF939" i="1" s="1"/>
  <c r="AD939" i="1"/>
  <c r="AC940" i="1"/>
  <c r="AF940" i="1" s="1"/>
  <c r="AD940" i="1"/>
  <c r="AC941" i="1"/>
  <c r="AF941" i="1" s="1"/>
  <c r="AD941" i="1"/>
  <c r="AC942" i="1"/>
  <c r="AF942" i="1" s="1"/>
  <c r="AD942" i="1"/>
  <c r="AC943" i="1"/>
  <c r="AF943" i="1" s="1"/>
  <c r="AD943" i="1"/>
  <c r="AC944" i="1"/>
  <c r="AF944" i="1" s="1"/>
  <c r="AD944" i="1"/>
  <c r="AC945" i="1"/>
  <c r="AF945" i="1" s="1"/>
  <c r="AD945" i="1"/>
  <c r="AC946" i="1"/>
  <c r="AF946" i="1" s="1"/>
  <c r="AD946" i="1"/>
  <c r="AC947" i="1"/>
  <c r="AF947" i="1" s="1"/>
  <c r="AD947" i="1"/>
  <c r="AC948" i="1"/>
  <c r="AF948" i="1" s="1"/>
  <c r="AD948" i="1"/>
  <c r="AC949" i="1"/>
  <c r="AF949" i="1" s="1"/>
  <c r="AD949" i="1"/>
  <c r="AC950" i="1"/>
  <c r="AF950" i="1" s="1"/>
  <c r="AD950" i="1"/>
  <c r="AC951" i="1"/>
  <c r="AF951" i="1" s="1"/>
  <c r="AD951" i="1"/>
  <c r="AC952" i="1"/>
  <c r="AF952" i="1" s="1"/>
  <c r="AD952" i="1"/>
  <c r="AC953" i="1"/>
  <c r="AF953" i="1" s="1"/>
  <c r="AD953" i="1"/>
  <c r="AC954" i="1"/>
  <c r="AF954" i="1" s="1"/>
  <c r="AD954" i="1"/>
  <c r="AC955" i="1"/>
  <c r="AF955" i="1" s="1"/>
  <c r="AD955" i="1"/>
  <c r="AC956" i="1"/>
  <c r="AF956" i="1" s="1"/>
  <c r="AD956" i="1"/>
  <c r="AC957" i="1"/>
  <c r="AF957" i="1" s="1"/>
  <c r="AD957" i="1"/>
  <c r="AC958" i="1"/>
  <c r="AF958" i="1" s="1"/>
  <c r="AD958" i="1"/>
  <c r="AC959" i="1"/>
  <c r="AF959" i="1" s="1"/>
  <c r="AD959" i="1"/>
  <c r="AC960" i="1"/>
  <c r="AF960" i="1" s="1"/>
  <c r="AD960" i="1"/>
  <c r="AC961" i="1"/>
  <c r="AF961" i="1" s="1"/>
  <c r="AD961" i="1"/>
  <c r="AC962" i="1"/>
  <c r="AF962" i="1" s="1"/>
  <c r="AD962" i="1"/>
  <c r="AC963" i="1"/>
  <c r="AF963" i="1" s="1"/>
  <c r="AD963" i="1"/>
  <c r="AC964" i="1"/>
  <c r="AF964" i="1" s="1"/>
  <c r="AD964" i="1"/>
  <c r="AC965" i="1"/>
  <c r="AF965" i="1" s="1"/>
  <c r="AD965" i="1"/>
  <c r="AC966" i="1"/>
  <c r="AF966" i="1" s="1"/>
  <c r="AD966" i="1"/>
  <c r="AC967" i="1"/>
  <c r="AF967" i="1" s="1"/>
  <c r="AD967" i="1"/>
  <c r="AC968" i="1"/>
  <c r="AF968" i="1" s="1"/>
  <c r="AD968" i="1"/>
  <c r="AC969" i="1"/>
  <c r="AF969" i="1" s="1"/>
  <c r="AD969" i="1"/>
  <c r="AC970" i="1"/>
  <c r="AF970" i="1" s="1"/>
  <c r="AD970" i="1"/>
  <c r="AC971" i="1"/>
  <c r="AF971" i="1" s="1"/>
  <c r="AD971" i="1"/>
  <c r="AC972" i="1"/>
  <c r="AF972" i="1" s="1"/>
  <c r="AD972" i="1"/>
  <c r="AC973" i="1"/>
  <c r="AF973" i="1" s="1"/>
  <c r="AD973" i="1"/>
  <c r="AC974" i="1"/>
  <c r="AF974" i="1" s="1"/>
  <c r="AD974" i="1"/>
  <c r="AC975" i="1"/>
  <c r="AF975" i="1" s="1"/>
  <c r="AD975" i="1"/>
  <c r="AC976" i="1"/>
  <c r="AF976" i="1" s="1"/>
  <c r="AD976" i="1"/>
  <c r="AC977" i="1"/>
  <c r="AF977" i="1" s="1"/>
  <c r="AD977" i="1"/>
  <c r="AC978" i="1"/>
  <c r="AF978" i="1" s="1"/>
  <c r="AD978" i="1"/>
  <c r="AC979" i="1"/>
  <c r="AF979" i="1" s="1"/>
  <c r="AD979" i="1"/>
  <c r="AC980" i="1"/>
  <c r="AF980" i="1" s="1"/>
  <c r="AD980" i="1"/>
  <c r="AC981" i="1"/>
  <c r="AF981" i="1" s="1"/>
  <c r="AD981" i="1"/>
  <c r="AC982" i="1"/>
  <c r="AF982" i="1" s="1"/>
  <c r="AD982" i="1"/>
  <c r="AC983" i="1"/>
  <c r="AF983" i="1" s="1"/>
  <c r="AD983" i="1"/>
  <c r="AC984" i="1"/>
  <c r="AF984" i="1" s="1"/>
  <c r="AD984" i="1"/>
  <c r="AC985" i="1"/>
  <c r="AF985" i="1" s="1"/>
  <c r="AD985" i="1"/>
  <c r="AC986" i="1"/>
  <c r="AF986" i="1" s="1"/>
  <c r="AD986" i="1"/>
  <c r="AC987" i="1"/>
  <c r="AF987" i="1" s="1"/>
  <c r="AD987" i="1"/>
  <c r="AC988" i="1"/>
  <c r="AF988" i="1" s="1"/>
  <c r="AD988" i="1"/>
  <c r="AC989" i="1"/>
  <c r="AF989" i="1" s="1"/>
  <c r="AD989" i="1"/>
  <c r="AC990" i="1"/>
  <c r="AF990" i="1" s="1"/>
  <c r="AD990" i="1"/>
  <c r="AC991" i="1"/>
  <c r="AF991" i="1" s="1"/>
  <c r="AD991" i="1"/>
  <c r="AC992" i="1"/>
  <c r="AF992" i="1" s="1"/>
  <c r="AD992" i="1"/>
  <c r="AC993" i="1"/>
  <c r="AF993" i="1" s="1"/>
  <c r="AD993" i="1"/>
  <c r="AC994" i="1"/>
  <c r="AF994" i="1" s="1"/>
  <c r="AD994" i="1"/>
  <c r="AC995" i="1"/>
  <c r="AF995" i="1" s="1"/>
  <c r="AD995" i="1"/>
  <c r="AC996" i="1"/>
  <c r="AF996" i="1" s="1"/>
  <c r="AD996" i="1"/>
  <c r="AC997" i="1"/>
  <c r="AF997" i="1" s="1"/>
  <c r="AD997" i="1"/>
  <c r="AC998" i="1"/>
  <c r="AF998" i="1" s="1"/>
  <c r="AD998" i="1"/>
  <c r="AC999" i="1"/>
  <c r="AF999" i="1" s="1"/>
  <c r="AD999" i="1"/>
  <c r="AC1000" i="1"/>
  <c r="AF1000" i="1" s="1"/>
  <c r="AD1000" i="1"/>
  <c r="AC1001" i="1"/>
  <c r="AF1001" i="1" s="1"/>
  <c r="AD1001" i="1"/>
  <c r="AC1002" i="1"/>
  <c r="AF1002" i="1" s="1"/>
  <c r="AD1002" i="1"/>
  <c r="AC1003" i="1"/>
  <c r="AF1003" i="1" s="1"/>
  <c r="AD1003" i="1"/>
  <c r="AC1004" i="1"/>
  <c r="AF1004" i="1" s="1"/>
  <c r="AD1004" i="1"/>
  <c r="AC1005" i="1"/>
  <c r="AF1005" i="1" s="1"/>
  <c r="AD1005" i="1"/>
  <c r="AC1006" i="1"/>
  <c r="AF1006" i="1" s="1"/>
  <c r="AD1006" i="1"/>
  <c r="AC1007" i="1"/>
  <c r="AF1007" i="1" s="1"/>
  <c r="AD1007" i="1"/>
  <c r="AC1008" i="1"/>
  <c r="AF1008" i="1" s="1"/>
  <c r="AD1008" i="1"/>
  <c r="AC1009" i="1"/>
  <c r="AF1009" i="1" s="1"/>
  <c r="AD1009" i="1"/>
  <c r="AC1010" i="1"/>
  <c r="AF1010" i="1" s="1"/>
  <c r="AD1010" i="1"/>
  <c r="AC1011" i="1"/>
  <c r="AF1011" i="1" s="1"/>
  <c r="AD1011" i="1"/>
  <c r="AC1012" i="1"/>
  <c r="AF1012" i="1" s="1"/>
  <c r="AD1012" i="1"/>
  <c r="AC1013" i="1"/>
  <c r="AF1013" i="1" s="1"/>
  <c r="AD1013" i="1"/>
  <c r="AC1014" i="1"/>
  <c r="AF1014" i="1" s="1"/>
  <c r="AD1014" i="1"/>
  <c r="AC1015" i="1"/>
  <c r="AF1015" i="1" s="1"/>
  <c r="AD1015" i="1"/>
  <c r="AC1016" i="1"/>
  <c r="AF1016" i="1" s="1"/>
  <c r="AD1016" i="1"/>
  <c r="AC1017" i="1"/>
  <c r="AF1017" i="1" s="1"/>
  <c r="AD1017" i="1"/>
  <c r="AC1018" i="1"/>
  <c r="AF1018" i="1" s="1"/>
  <c r="AD1018" i="1"/>
  <c r="AC1019" i="1"/>
  <c r="AF1019" i="1" s="1"/>
  <c r="AD1019" i="1"/>
  <c r="AC1020" i="1"/>
  <c r="AF1020" i="1" s="1"/>
  <c r="AD1020" i="1"/>
  <c r="AC1021" i="1"/>
  <c r="AF1021" i="1" s="1"/>
  <c r="AD1021" i="1"/>
  <c r="AC1022" i="1"/>
  <c r="AF1022" i="1" s="1"/>
  <c r="AD1022" i="1"/>
  <c r="AC1023" i="1"/>
  <c r="AF1023" i="1" s="1"/>
  <c r="AD1023" i="1"/>
  <c r="AC1024" i="1"/>
  <c r="AF1024" i="1" s="1"/>
  <c r="AD1024" i="1"/>
  <c r="AC1025" i="1"/>
  <c r="AF1025" i="1" s="1"/>
  <c r="AD1025" i="1"/>
  <c r="AC1026" i="1"/>
  <c r="AF1026" i="1" s="1"/>
  <c r="AD1026" i="1"/>
  <c r="AC1027" i="1"/>
  <c r="AF1027" i="1" s="1"/>
  <c r="AD1027" i="1"/>
  <c r="AC1028" i="1"/>
  <c r="AF1028" i="1" s="1"/>
  <c r="AD1028" i="1"/>
  <c r="AC1029" i="1"/>
  <c r="AF1029" i="1" s="1"/>
  <c r="AD1029" i="1"/>
  <c r="AC1030" i="1"/>
  <c r="AF1030" i="1" s="1"/>
  <c r="AD1030" i="1"/>
  <c r="AC1031" i="1"/>
  <c r="AF1031" i="1" s="1"/>
  <c r="AD1031" i="1"/>
  <c r="AC1032" i="1"/>
  <c r="AF1032" i="1" s="1"/>
  <c r="AD1032" i="1"/>
  <c r="AC1033" i="1"/>
  <c r="AF1033" i="1" s="1"/>
  <c r="AD1033" i="1"/>
  <c r="AC1034" i="1"/>
  <c r="AF1034" i="1" s="1"/>
  <c r="AD1034" i="1"/>
  <c r="AC1035" i="1"/>
  <c r="AF1035" i="1" s="1"/>
  <c r="AD1035" i="1"/>
  <c r="AC1036" i="1"/>
  <c r="AF1036" i="1" s="1"/>
  <c r="AD1036" i="1"/>
  <c r="AC1037" i="1"/>
  <c r="AF1037" i="1" s="1"/>
  <c r="AD1037" i="1"/>
  <c r="AC1038" i="1"/>
  <c r="AF1038" i="1" s="1"/>
  <c r="AD1038" i="1"/>
  <c r="AC1039" i="1"/>
  <c r="AF1039" i="1" s="1"/>
  <c r="AD1039" i="1"/>
  <c r="AC1040" i="1"/>
  <c r="AF1040" i="1" s="1"/>
  <c r="AD1040" i="1"/>
  <c r="AC1041" i="1"/>
  <c r="AF1041" i="1" s="1"/>
  <c r="AD1041" i="1"/>
  <c r="AC1042" i="1"/>
  <c r="AF1042" i="1" s="1"/>
  <c r="AD1042" i="1"/>
  <c r="AC1043" i="1"/>
  <c r="AF1043" i="1" s="1"/>
  <c r="AD1043" i="1"/>
  <c r="AC1044" i="1"/>
  <c r="AF1044" i="1" s="1"/>
  <c r="AD1044" i="1"/>
  <c r="AC1045" i="1"/>
  <c r="AF1045" i="1" s="1"/>
  <c r="AD1045" i="1"/>
  <c r="AC1046" i="1"/>
  <c r="AF1046" i="1" s="1"/>
  <c r="AD1046" i="1"/>
  <c r="AC1047" i="1"/>
  <c r="AF1047" i="1" s="1"/>
  <c r="AD1047" i="1"/>
  <c r="AC1048" i="1"/>
  <c r="AF1048" i="1" s="1"/>
  <c r="AD1048" i="1"/>
  <c r="AC1049" i="1"/>
  <c r="AF1049" i="1" s="1"/>
  <c r="AD1049" i="1"/>
  <c r="AC1050" i="1"/>
  <c r="AF1050" i="1" s="1"/>
  <c r="AD1050" i="1"/>
  <c r="AC1051" i="1"/>
  <c r="AF1051" i="1" s="1"/>
  <c r="AD1051" i="1"/>
  <c r="AC1052" i="1"/>
  <c r="AF1052" i="1" s="1"/>
  <c r="AD1052" i="1"/>
  <c r="AC1053" i="1"/>
  <c r="AF1053" i="1" s="1"/>
  <c r="AD1053" i="1"/>
  <c r="AC1054" i="1"/>
  <c r="AF1054" i="1" s="1"/>
  <c r="AD1054" i="1"/>
  <c r="AC1055" i="1"/>
  <c r="AF1055" i="1" s="1"/>
  <c r="AD1055" i="1"/>
  <c r="AC1056" i="1"/>
  <c r="AF1056" i="1" s="1"/>
  <c r="AD1056" i="1"/>
  <c r="AC1057" i="1"/>
  <c r="AF1057" i="1" s="1"/>
  <c r="AD1057" i="1"/>
  <c r="AC1058" i="1"/>
  <c r="AF1058" i="1" s="1"/>
  <c r="AD1058" i="1"/>
  <c r="AC1059" i="1"/>
  <c r="AF1059" i="1" s="1"/>
  <c r="AD1059" i="1"/>
  <c r="AC1060" i="1"/>
  <c r="AF1060" i="1" s="1"/>
  <c r="AD1060" i="1"/>
  <c r="AC1061" i="1"/>
  <c r="AF1061" i="1" s="1"/>
  <c r="AD1061" i="1"/>
  <c r="AC1062" i="1"/>
  <c r="AF1062" i="1" s="1"/>
  <c r="AD1062" i="1"/>
  <c r="AC1063" i="1"/>
  <c r="AF1063" i="1" s="1"/>
  <c r="AD1063" i="1"/>
  <c r="AC1064" i="1"/>
  <c r="AF1064" i="1" s="1"/>
  <c r="AD1064" i="1"/>
  <c r="AC1065" i="1"/>
  <c r="AF1065" i="1" s="1"/>
  <c r="AD1065" i="1"/>
  <c r="AC1066" i="1"/>
  <c r="AF1066" i="1" s="1"/>
  <c r="AD1066" i="1"/>
  <c r="AC1067" i="1"/>
  <c r="AF1067" i="1" s="1"/>
  <c r="AD1067" i="1"/>
  <c r="AC1068" i="1"/>
  <c r="AF1068" i="1" s="1"/>
  <c r="AD1068" i="1"/>
  <c r="AC1069" i="1"/>
  <c r="AF1069" i="1" s="1"/>
  <c r="AD1069" i="1"/>
  <c r="AC1070" i="1"/>
  <c r="AF1070" i="1" s="1"/>
  <c r="AD1070" i="1"/>
  <c r="AC1071" i="1"/>
  <c r="AF1071" i="1" s="1"/>
  <c r="AD1071" i="1"/>
  <c r="AC1072" i="1"/>
  <c r="AF1072" i="1" s="1"/>
  <c r="AD1072" i="1"/>
  <c r="AC1073" i="1"/>
  <c r="AF1073" i="1" s="1"/>
  <c r="AD1073" i="1"/>
  <c r="AC1074" i="1"/>
  <c r="AF1074" i="1" s="1"/>
  <c r="AD1074" i="1"/>
  <c r="AC1075" i="1"/>
  <c r="AF1075" i="1" s="1"/>
  <c r="AD1075" i="1"/>
  <c r="AC1076" i="1"/>
  <c r="AF1076" i="1" s="1"/>
  <c r="AD1076" i="1"/>
  <c r="AC1077" i="1"/>
  <c r="AF1077" i="1" s="1"/>
  <c r="AD1077" i="1"/>
  <c r="AC1078" i="1"/>
  <c r="AF1078" i="1" s="1"/>
  <c r="AD1078" i="1"/>
  <c r="AC1079" i="1"/>
  <c r="AF1079" i="1" s="1"/>
  <c r="AD1079" i="1"/>
  <c r="AC1080" i="1"/>
  <c r="AF1080" i="1" s="1"/>
  <c r="AD1080" i="1"/>
  <c r="AC1081" i="1"/>
  <c r="AF1081" i="1" s="1"/>
  <c r="AD1081" i="1"/>
  <c r="AC1082" i="1"/>
  <c r="AF1082" i="1" s="1"/>
  <c r="AD1082" i="1"/>
  <c r="AC1083" i="1"/>
  <c r="AF1083" i="1" s="1"/>
  <c r="AD1083" i="1"/>
  <c r="AC1084" i="1"/>
  <c r="AF1084" i="1" s="1"/>
  <c r="AD1084" i="1"/>
  <c r="AC1085" i="1"/>
  <c r="AF1085" i="1" s="1"/>
  <c r="AD1085" i="1"/>
  <c r="AC1086" i="1"/>
  <c r="AF1086" i="1" s="1"/>
  <c r="AD1086" i="1"/>
  <c r="AC1087" i="1"/>
  <c r="AF1087" i="1" s="1"/>
  <c r="AD1087" i="1"/>
  <c r="AC1088" i="1"/>
  <c r="AF1088" i="1" s="1"/>
  <c r="AD1088" i="1"/>
  <c r="AC1089" i="1"/>
  <c r="AF1089" i="1" s="1"/>
  <c r="AD1089" i="1"/>
  <c r="AC1090" i="1"/>
  <c r="AF1090" i="1" s="1"/>
  <c r="AD1090" i="1"/>
  <c r="AC1091" i="1"/>
  <c r="AF1091" i="1" s="1"/>
  <c r="AD1091" i="1"/>
  <c r="AC1092" i="1"/>
  <c r="AF1092" i="1" s="1"/>
  <c r="AD1092" i="1"/>
  <c r="AC1093" i="1"/>
  <c r="AF1093" i="1" s="1"/>
  <c r="AD1093" i="1"/>
  <c r="AC1094" i="1"/>
  <c r="AF1094" i="1" s="1"/>
  <c r="AD1094" i="1"/>
  <c r="AC1095" i="1"/>
  <c r="AF1095" i="1" s="1"/>
  <c r="AD1095" i="1"/>
  <c r="AC1096" i="1"/>
  <c r="AF1096" i="1" s="1"/>
  <c r="AD1096" i="1"/>
  <c r="AC1097" i="1"/>
  <c r="AF1097" i="1" s="1"/>
  <c r="AD1097" i="1"/>
  <c r="AC1098" i="1"/>
  <c r="AF1098" i="1" s="1"/>
  <c r="AD1098" i="1"/>
  <c r="AC1099" i="1"/>
  <c r="AF1099" i="1" s="1"/>
  <c r="AD1099" i="1"/>
  <c r="AC1100" i="1"/>
  <c r="AF1100" i="1" s="1"/>
  <c r="AD1100" i="1"/>
  <c r="AC1101" i="1"/>
  <c r="AF1101" i="1" s="1"/>
  <c r="AD1101" i="1"/>
  <c r="AC1102" i="1"/>
  <c r="AF1102" i="1" s="1"/>
  <c r="AD1102" i="1"/>
  <c r="AC1103" i="1"/>
  <c r="AF1103" i="1" s="1"/>
  <c r="AD1103" i="1"/>
  <c r="AC1104" i="1"/>
  <c r="AF1104" i="1" s="1"/>
  <c r="AD1104" i="1"/>
  <c r="AC1105" i="1"/>
  <c r="AF1105" i="1" s="1"/>
  <c r="AD1105" i="1"/>
  <c r="AC1106" i="1"/>
  <c r="AF1106" i="1" s="1"/>
  <c r="AD1106" i="1"/>
  <c r="AC1107" i="1"/>
  <c r="AF1107" i="1" s="1"/>
  <c r="AD1107" i="1"/>
  <c r="AC1108" i="1"/>
  <c r="AF1108" i="1" s="1"/>
  <c r="AD1108" i="1"/>
  <c r="AC1109" i="1"/>
  <c r="AF1109" i="1" s="1"/>
  <c r="AD1109" i="1"/>
  <c r="AC1110" i="1"/>
  <c r="AF1110" i="1" s="1"/>
  <c r="AD1110" i="1"/>
  <c r="AC1111" i="1"/>
  <c r="AF1111" i="1" s="1"/>
  <c r="AD1111" i="1"/>
  <c r="AC1112" i="1"/>
  <c r="AF1112" i="1" s="1"/>
  <c r="AD1112" i="1"/>
  <c r="AC1113" i="1"/>
  <c r="AF1113" i="1" s="1"/>
  <c r="AD1113" i="1"/>
  <c r="AC1114" i="1"/>
  <c r="AF1114" i="1" s="1"/>
  <c r="AD1114" i="1"/>
  <c r="AC1115" i="1"/>
  <c r="AF1115" i="1" s="1"/>
  <c r="AD1115" i="1"/>
  <c r="AC1116" i="1"/>
  <c r="AF1116" i="1" s="1"/>
  <c r="AD1116" i="1"/>
  <c r="AC1117" i="1"/>
  <c r="AF1117" i="1" s="1"/>
  <c r="AD1117" i="1"/>
  <c r="AC1118" i="1"/>
  <c r="AF1118" i="1" s="1"/>
  <c r="AD1118" i="1"/>
  <c r="AC1119" i="1"/>
  <c r="AF1119" i="1" s="1"/>
  <c r="AD1119" i="1"/>
  <c r="AC1120" i="1"/>
  <c r="AF1120" i="1" s="1"/>
  <c r="AD1120" i="1"/>
  <c r="AC1121" i="1"/>
  <c r="AF1121" i="1" s="1"/>
  <c r="AD1121" i="1"/>
  <c r="AC1122" i="1"/>
  <c r="AF1122" i="1" s="1"/>
  <c r="AD1122" i="1"/>
  <c r="AC1123" i="1"/>
  <c r="AF1123" i="1" s="1"/>
  <c r="AD1123" i="1"/>
  <c r="AC1124" i="1"/>
  <c r="AF1124" i="1" s="1"/>
  <c r="AD1124" i="1"/>
  <c r="AC1125" i="1"/>
  <c r="AF1125" i="1" s="1"/>
  <c r="AD1125" i="1"/>
  <c r="AC1126" i="1"/>
  <c r="AF1126" i="1" s="1"/>
  <c r="AD1126" i="1"/>
  <c r="AC1127" i="1"/>
  <c r="AF1127" i="1" s="1"/>
  <c r="AD1127" i="1"/>
  <c r="AC1128" i="1"/>
  <c r="AF1128" i="1" s="1"/>
  <c r="AD1128" i="1"/>
  <c r="AC1129" i="1"/>
  <c r="AF1129" i="1" s="1"/>
  <c r="AD1129" i="1"/>
  <c r="AC1130" i="1"/>
  <c r="AF1130" i="1" s="1"/>
  <c r="AD1130" i="1"/>
  <c r="AC1131" i="1"/>
  <c r="AF1131" i="1" s="1"/>
  <c r="AD1131" i="1"/>
  <c r="AC1132" i="1"/>
  <c r="AF1132" i="1" s="1"/>
  <c r="AD1132" i="1"/>
  <c r="AC1133" i="1"/>
  <c r="AF1133" i="1" s="1"/>
  <c r="AD1133" i="1"/>
  <c r="AC1134" i="1"/>
  <c r="AF1134" i="1" s="1"/>
  <c r="AD1134" i="1"/>
  <c r="AC1135" i="1"/>
  <c r="AF1135" i="1" s="1"/>
  <c r="AD1135" i="1"/>
  <c r="AC1136" i="1"/>
  <c r="AF1136" i="1" s="1"/>
  <c r="AD1136" i="1"/>
  <c r="AC1137" i="1"/>
  <c r="AF1137" i="1" s="1"/>
  <c r="AD1137" i="1"/>
  <c r="AC1138" i="1"/>
  <c r="AF1138" i="1" s="1"/>
  <c r="AD1138" i="1"/>
  <c r="AC1139" i="1"/>
  <c r="AF1139" i="1" s="1"/>
  <c r="AD1139" i="1"/>
  <c r="AC1140" i="1"/>
  <c r="AF1140" i="1" s="1"/>
  <c r="AD1140" i="1"/>
  <c r="AC1141" i="1"/>
  <c r="AF1141" i="1" s="1"/>
  <c r="AD1141" i="1"/>
  <c r="AC1142" i="1"/>
  <c r="AF1142" i="1" s="1"/>
  <c r="AD1142" i="1"/>
  <c r="AC1143" i="1"/>
  <c r="AF1143" i="1" s="1"/>
  <c r="AD1143" i="1"/>
  <c r="AC1144" i="1"/>
  <c r="AF1144" i="1" s="1"/>
  <c r="AD1144" i="1"/>
  <c r="AC1145" i="1"/>
  <c r="AF1145" i="1" s="1"/>
  <c r="AD1145" i="1"/>
  <c r="AC1146" i="1"/>
  <c r="AF1146" i="1" s="1"/>
  <c r="AD1146" i="1"/>
  <c r="AC1147" i="1"/>
  <c r="AF1147" i="1" s="1"/>
  <c r="AD1147" i="1"/>
  <c r="AC1148" i="1"/>
  <c r="AF1148" i="1" s="1"/>
  <c r="AD1148" i="1"/>
  <c r="AC1149" i="1"/>
  <c r="AF1149" i="1" s="1"/>
  <c r="AD1149" i="1"/>
  <c r="AC1150" i="1"/>
  <c r="AF1150" i="1" s="1"/>
  <c r="AD1150" i="1"/>
  <c r="AC1151" i="1"/>
  <c r="AF1151" i="1" s="1"/>
  <c r="AD1151" i="1"/>
  <c r="AC1152" i="1"/>
  <c r="AF1152" i="1" s="1"/>
  <c r="AD1152" i="1"/>
  <c r="AC1153" i="1"/>
  <c r="AF1153" i="1" s="1"/>
  <c r="AD1153" i="1"/>
  <c r="AC1154" i="1"/>
  <c r="AF1154" i="1" s="1"/>
  <c r="AD1154" i="1"/>
  <c r="AC1155" i="1"/>
  <c r="AF1155" i="1" s="1"/>
  <c r="AD1155" i="1"/>
  <c r="AC1156" i="1"/>
  <c r="AF1156" i="1" s="1"/>
  <c r="AD1156" i="1"/>
  <c r="AC1157" i="1"/>
  <c r="AF1157" i="1" s="1"/>
  <c r="AD1157" i="1"/>
  <c r="AC1158" i="1"/>
  <c r="AF1158" i="1" s="1"/>
  <c r="AD1158" i="1"/>
  <c r="AC1159" i="1"/>
  <c r="AF1159" i="1" s="1"/>
  <c r="AD1159" i="1"/>
  <c r="AC1160" i="1"/>
  <c r="AF1160" i="1" s="1"/>
  <c r="AD1160" i="1"/>
  <c r="AC1161" i="1"/>
  <c r="AF1161" i="1" s="1"/>
  <c r="AD1161" i="1"/>
  <c r="AC1162" i="1"/>
  <c r="AF1162" i="1" s="1"/>
  <c r="AD1162" i="1"/>
  <c r="AC1163" i="1"/>
  <c r="AF1163" i="1" s="1"/>
  <c r="AD1163" i="1"/>
  <c r="AC1164" i="1"/>
  <c r="AF1164" i="1" s="1"/>
  <c r="AD1164" i="1"/>
  <c r="AC1165" i="1"/>
  <c r="AF1165" i="1" s="1"/>
  <c r="AD1165" i="1"/>
  <c r="AC1166" i="1"/>
  <c r="AF1166" i="1" s="1"/>
  <c r="AD1166" i="1"/>
  <c r="AC1167" i="1"/>
  <c r="AF1167" i="1" s="1"/>
  <c r="AD1167" i="1"/>
  <c r="AC1168" i="1"/>
  <c r="AF1168" i="1" s="1"/>
  <c r="AD1168" i="1"/>
  <c r="AC1169" i="1"/>
  <c r="AF1169" i="1" s="1"/>
  <c r="AD1169" i="1"/>
  <c r="AC1170" i="1"/>
  <c r="AF1170" i="1" s="1"/>
  <c r="AD1170" i="1"/>
  <c r="AC1171" i="1"/>
  <c r="AF1171" i="1" s="1"/>
  <c r="AD1171" i="1"/>
  <c r="AC1172" i="1"/>
  <c r="AF1172" i="1" s="1"/>
  <c r="AD1172" i="1"/>
  <c r="AC1173" i="1"/>
  <c r="AF1173" i="1" s="1"/>
  <c r="AD1173" i="1"/>
  <c r="AC1174" i="1"/>
  <c r="AF1174" i="1" s="1"/>
  <c r="AD1174" i="1"/>
  <c r="AC1175" i="1"/>
  <c r="AF1175" i="1" s="1"/>
  <c r="AD1175" i="1"/>
  <c r="AC1176" i="1"/>
  <c r="AF1176" i="1" s="1"/>
  <c r="AD1176" i="1"/>
  <c r="AC1177" i="1"/>
  <c r="AF1177" i="1" s="1"/>
  <c r="AD1177" i="1"/>
  <c r="AC1178" i="1"/>
  <c r="AF1178" i="1" s="1"/>
  <c r="AD1178" i="1"/>
  <c r="AC1179" i="1"/>
  <c r="AF1179" i="1" s="1"/>
  <c r="AD1179" i="1"/>
  <c r="AC1180" i="1"/>
  <c r="AF1180" i="1" s="1"/>
  <c r="AD1180" i="1"/>
  <c r="AC1181" i="1"/>
  <c r="AF1181" i="1" s="1"/>
  <c r="AD1181" i="1"/>
  <c r="AC1182" i="1"/>
  <c r="AF1182" i="1" s="1"/>
  <c r="AD1182" i="1"/>
  <c r="AC1183" i="1"/>
  <c r="AF1183" i="1" s="1"/>
  <c r="AD1183" i="1"/>
  <c r="AC1184" i="1"/>
  <c r="AF1184" i="1" s="1"/>
  <c r="AD1184" i="1"/>
  <c r="AC1185" i="1"/>
  <c r="AF1185" i="1" s="1"/>
  <c r="AD1185" i="1"/>
  <c r="AC1186" i="1"/>
  <c r="AF1186" i="1" s="1"/>
  <c r="AD1186" i="1"/>
  <c r="AC1187" i="1"/>
  <c r="AF1187" i="1" s="1"/>
  <c r="AD1187" i="1"/>
  <c r="AC1188" i="1"/>
  <c r="AF1188" i="1" s="1"/>
  <c r="AD1188" i="1"/>
  <c r="AC1189" i="1"/>
  <c r="AF1189" i="1" s="1"/>
  <c r="AD1189" i="1"/>
  <c r="AC1190" i="1"/>
  <c r="AF1190" i="1" s="1"/>
  <c r="AD1190" i="1"/>
  <c r="AC1191" i="1"/>
  <c r="AF1191" i="1" s="1"/>
  <c r="AD1191" i="1"/>
  <c r="AC1192" i="1"/>
  <c r="AF1192" i="1" s="1"/>
  <c r="AD1192" i="1"/>
  <c r="AC1193" i="1"/>
  <c r="AF1193" i="1" s="1"/>
  <c r="AD1193" i="1"/>
  <c r="AC1194" i="1"/>
  <c r="AF1194" i="1" s="1"/>
  <c r="AD1194" i="1"/>
  <c r="AC1195" i="1"/>
  <c r="AF1195" i="1" s="1"/>
  <c r="AD1195" i="1"/>
  <c r="AC1196" i="1"/>
  <c r="AF1196" i="1" s="1"/>
  <c r="AD1196" i="1"/>
  <c r="AC1197" i="1"/>
  <c r="AF1197" i="1" s="1"/>
  <c r="AD1197" i="1"/>
  <c r="AC1198" i="1"/>
  <c r="AF1198" i="1" s="1"/>
  <c r="AD1198" i="1"/>
  <c r="AC1199" i="1"/>
  <c r="AF1199" i="1" s="1"/>
  <c r="AD1199" i="1"/>
  <c r="AC1200" i="1"/>
  <c r="AF1200" i="1" s="1"/>
  <c r="AD1200" i="1"/>
  <c r="AC1201" i="1"/>
  <c r="AF1201" i="1" s="1"/>
  <c r="AD1201" i="1"/>
  <c r="AC1202" i="1"/>
  <c r="AF1202" i="1" s="1"/>
  <c r="AD1202" i="1"/>
  <c r="AC1203" i="1"/>
  <c r="AF1203" i="1" s="1"/>
  <c r="AD1203" i="1"/>
  <c r="AC1204" i="1"/>
  <c r="AF1204" i="1" s="1"/>
  <c r="AD1204" i="1"/>
  <c r="AC1205" i="1"/>
  <c r="AF1205" i="1" s="1"/>
  <c r="AD1205" i="1"/>
  <c r="AC1206" i="1"/>
  <c r="AF1206" i="1" s="1"/>
  <c r="AD1206" i="1"/>
  <c r="AC1207" i="1"/>
  <c r="AF1207" i="1" s="1"/>
  <c r="AD1207" i="1"/>
  <c r="AC1208" i="1"/>
  <c r="AF1208" i="1" s="1"/>
  <c r="AD1208" i="1"/>
  <c r="AC1209" i="1"/>
  <c r="AF1209" i="1" s="1"/>
  <c r="AD1209" i="1"/>
  <c r="AC1210" i="1"/>
  <c r="AF1210" i="1" s="1"/>
  <c r="AD1210" i="1"/>
  <c r="AC1211" i="1"/>
  <c r="AF1211" i="1" s="1"/>
  <c r="AD1211" i="1"/>
  <c r="AC1212" i="1"/>
  <c r="AF1212" i="1" s="1"/>
  <c r="AD1212" i="1"/>
  <c r="AC1213" i="1"/>
  <c r="AF1213" i="1" s="1"/>
  <c r="AD1213" i="1"/>
  <c r="AC1214" i="1"/>
  <c r="AF1214" i="1" s="1"/>
  <c r="AD1214" i="1"/>
  <c r="AC1215" i="1"/>
  <c r="AF1215" i="1" s="1"/>
  <c r="AD1215" i="1"/>
  <c r="AC1216" i="1"/>
  <c r="AF1216" i="1" s="1"/>
  <c r="AD1216" i="1"/>
  <c r="AC1217" i="1"/>
  <c r="AF1217" i="1" s="1"/>
  <c r="AD1217" i="1"/>
  <c r="AC1218" i="1"/>
  <c r="AF1218" i="1" s="1"/>
  <c r="AD1218" i="1"/>
  <c r="AC1219" i="1"/>
  <c r="AF1219" i="1" s="1"/>
  <c r="AD1219" i="1"/>
  <c r="AC1220" i="1"/>
  <c r="AF1220" i="1" s="1"/>
  <c r="AD1220" i="1"/>
  <c r="AC1221" i="1"/>
  <c r="AF1221" i="1" s="1"/>
  <c r="AD1221" i="1"/>
  <c r="AC1222" i="1"/>
  <c r="AF1222" i="1" s="1"/>
  <c r="AD1222" i="1"/>
  <c r="AC1223" i="1"/>
  <c r="AF1223" i="1" s="1"/>
  <c r="AD1223" i="1"/>
  <c r="AC1224" i="1"/>
  <c r="AF1224" i="1" s="1"/>
  <c r="AD1224" i="1"/>
  <c r="AC1225" i="1"/>
  <c r="AF1225" i="1" s="1"/>
  <c r="AD1225" i="1"/>
  <c r="AC1226" i="1"/>
  <c r="AF1226" i="1" s="1"/>
  <c r="AD1226" i="1"/>
  <c r="AC1227" i="1"/>
  <c r="AF1227" i="1" s="1"/>
  <c r="AD1227" i="1"/>
  <c r="AC1228" i="1"/>
  <c r="AF1228" i="1" s="1"/>
  <c r="AD1228" i="1"/>
  <c r="AC1229" i="1"/>
  <c r="AF1229" i="1" s="1"/>
  <c r="AD1229" i="1"/>
  <c r="AC1230" i="1"/>
  <c r="AF1230" i="1" s="1"/>
  <c r="AD1230" i="1"/>
  <c r="AC1231" i="1"/>
  <c r="AF1231" i="1" s="1"/>
  <c r="AD1231" i="1"/>
  <c r="AC1232" i="1"/>
  <c r="AF1232" i="1" s="1"/>
  <c r="AD1232" i="1"/>
  <c r="AC1233" i="1"/>
  <c r="AF1233" i="1" s="1"/>
  <c r="AD1233" i="1"/>
  <c r="AC1234" i="1"/>
  <c r="AF1234" i="1" s="1"/>
  <c r="AD1234" i="1"/>
  <c r="AC1235" i="1"/>
  <c r="AF1235" i="1" s="1"/>
  <c r="AD1235" i="1"/>
  <c r="AC1236" i="1"/>
  <c r="AF1236" i="1" s="1"/>
  <c r="AD1236" i="1"/>
  <c r="AC1237" i="1"/>
  <c r="AF1237" i="1" s="1"/>
  <c r="AD1237" i="1"/>
  <c r="AC1238" i="1"/>
  <c r="AF1238" i="1" s="1"/>
  <c r="AD1238" i="1"/>
  <c r="AC1239" i="1"/>
  <c r="AF1239" i="1" s="1"/>
  <c r="AD1239" i="1"/>
  <c r="AC1240" i="1"/>
  <c r="AF1240" i="1" s="1"/>
  <c r="AD1240" i="1"/>
  <c r="AC1241" i="1"/>
  <c r="AF1241" i="1" s="1"/>
  <c r="AD1241" i="1"/>
  <c r="AC1242" i="1"/>
  <c r="AF1242" i="1" s="1"/>
  <c r="AD1242" i="1"/>
  <c r="AC1243" i="1"/>
  <c r="AF1243" i="1" s="1"/>
  <c r="AD1243" i="1"/>
  <c r="AC1244" i="1"/>
  <c r="AF1244" i="1" s="1"/>
  <c r="AD1244" i="1"/>
  <c r="AC1245" i="1"/>
  <c r="AF1245" i="1" s="1"/>
  <c r="AD1245" i="1"/>
  <c r="AC1246" i="1"/>
  <c r="AF1246" i="1" s="1"/>
  <c r="AD1246" i="1"/>
  <c r="AC1247" i="1"/>
  <c r="AF1247" i="1" s="1"/>
  <c r="AD1247" i="1"/>
  <c r="AC1248" i="1"/>
  <c r="AF1248" i="1" s="1"/>
  <c r="AD1248" i="1"/>
  <c r="AC1249" i="1"/>
  <c r="AF1249" i="1" s="1"/>
  <c r="AD1249" i="1"/>
  <c r="AC1250" i="1"/>
  <c r="AF1250" i="1" s="1"/>
  <c r="AD1250" i="1"/>
  <c r="AC1251" i="1"/>
  <c r="AF1251" i="1" s="1"/>
  <c r="AD1251" i="1"/>
  <c r="AC1252" i="1"/>
  <c r="AF1252" i="1" s="1"/>
  <c r="AD1252" i="1"/>
  <c r="AC1253" i="1"/>
  <c r="AF1253" i="1" s="1"/>
  <c r="AD1253" i="1"/>
  <c r="AC1254" i="1"/>
  <c r="AF1254" i="1" s="1"/>
  <c r="AD1254" i="1"/>
  <c r="AC1255" i="1"/>
  <c r="AF1255" i="1" s="1"/>
  <c r="AD1255" i="1"/>
  <c r="AC1256" i="1"/>
  <c r="AF1256" i="1" s="1"/>
  <c r="AD1256" i="1"/>
  <c r="AC1257" i="1"/>
  <c r="AF1257" i="1" s="1"/>
  <c r="AD1257" i="1"/>
  <c r="AC1258" i="1"/>
  <c r="AF1258" i="1" s="1"/>
  <c r="AD1258" i="1"/>
  <c r="AC1259" i="1"/>
  <c r="AF1259" i="1" s="1"/>
  <c r="AD1259" i="1"/>
  <c r="AC1260" i="1"/>
  <c r="AF1260" i="1" s="1"/>
  <c r="AD1260" i="1"/>
  <c r="AC1261" i="1"/>
  <c r="AF1261" i="1" s="1"/>
  <c r="AD1261" i="1"/>
  <c r="AC1262" i="1"/>
  <c r="AF1262" i="1" s="1"/>
  <c r="AD1262" i="1"/>
  <c r="AC1263" i="1"/>
  <c r="AF1263" i="1" s="1"/>
  <c r="AD1263" i="1"/>
  <c r="AC1264" i="1"/>
  <c r="AF1264" i="1" s="1"/>
  <c r="AD1264" i="1"/>
  <c r="AC1265" i="1"/>
  <c r="AF1265" i="1" s="1"/>
  <c r="AD1265" i="1"/>
  <c r="AC1266" i="1"/>
  <c r="AF1266" i="1" s="1"/>
  <c r="AD1266" i="1"/>
  <c r="AC1267" i="1"/>
  <c r="AF1267" i="1" s="1"/>
  <c r="AD1267" i="1"/>
  <c r="AC1268" i="1"/>
  <c r="AF1268" i="1" s="1"/>
  <c r="AD1268" i="1"/>
  <c r="AC1269" i="1"/>
  <c r="AF1269" i="1" s="1"/>
  <c r="AD1269" i="1"/>
  <c r="AC1270" i="1"/>
  <c r="AF1270" i="1" s="1"/>
  <c r="AD1270" i="1"/>
  <c r="AC1271" i="1"/>
  <c r="AF1271" i="1" s="1"/>
  <c r="AD1271" i="1"/>
  <c r="AC1272" i="1"/>
  <c r="AF1272" i="1" s="1"/>
  <c r="AD1272" i="1"/>
  <c r="AC1273" i="1"/>
  <c r="AF1273" i="1" s="1"/>
  <c r="AD1273" i="1"/>
  <c r="AC1274" i="1"/>
  <c r="AF1274" i="1" s="1"/>
  <c r="AD1274" i="1"/>
  <c r="AC1275" i="1"/>
  <c r="AF1275" i="1" s="1"/>
  <c r="AD1275" i="1"/>
  <c r="AC1276" i="1"/>
  <c r="AF1276" i="1" s="1"/>
  <c r="AD1276" i="1"/>
  <c r="AC1277" i="1"/>
  <c r="AF1277" i="1" s="1"/>
  <c r="AD1277" i="1"/>
  <c r="AC1278" i="1"/>
  <c r="AF1278" i="1" s="1"/>
  <c r="AD1278" i="1"/>
  <c r="AC1279" i="1"/>
  <c r="AF1279" i="1" s="1"/>
  <c r="AD1279" i="1"/>
  <c r="AC1280" i="1"/>
  <c r="AF1280" i="1" s="1"/>
  <c r="AD1280" i="1"/>
  <c r="AC1281" i="1"/>
  <c r="AF1281" i="1" s="1"/>
  <c r="AD1281" i="1"/>
  <c r="AC1282" i="1"/>
  <c r="AF1282" i="1" s="1"/>
  <c r="AD1282" i="1"/>
  <c r="AC1283" i="1"/>
  <c r="AF1283" i="1" s="1"/>
  <c r="AD1283" i="1"/>
  <c r="AC1284" i="1"/>
  <c r="AF1284" i="1" s="1"/>
  <c r="AD1284" i="1"/>
  <c r="AC1285" i="1"/>
  <c r="AF1285" i="1" s="1"/>
  <c r="AD1285" i="1"/>
  <c r="AC1286" i="1"/>
  <c r="AF1286" i="1" s="1"/>
  <c r="AD1286" i="1"/>
  <c r="AC1287" i="1"/>
  <c r="AF1287" i="1" s="1"/>
  <c r="AD1287" i="1"/>
  <c r="AC1288" i="1"/>
  <c r="AF1288" i="1" s="1"/>
  <c r="AD1288" i="1"/>
  <c r="AC1289" i="1"/>
  <c r="AF1289" i="1" s="1"/>
  <c r="AD1289" i="1"/>
  <c r="AC1290" i="1"/>
  <c r="AF1290" i="1" s="1"/>
  <c r="AD1290" i="1"/>
  <c r="AC1291" i="1"/>
  <c r="AF1291" i="1" s="1"/>
  <c r="AD1291" i="1"/>
  <c r="AC1292" i="1"/>
  <c r="AF1292" i="1" s="1"/>
  <c r="AD1292" i="1"/>
  <c r="AC1293" i="1"/>
  <c r="AF1293" i="1" s="1"/>
  <c r="AD1293" i="1"/>
  <c r="AC1294" i="1"/>
  <c r="AF1294" i="1" s="1"/>
  <c r="AD1294" i="1"/>
  <c r="AC1295" i="1"/>
  <c r="AF1295" i="1" s="1"/>
  <c r="AD1295" i="1"/>
  <c r="AC1296" i="1"/>
  <c r="AF1296" i="1" s="1"/>
  <c r="AD1296" i="1"/>
  <c r="AC1297" i="1"/>
  <c r="AF1297" i="1" s="1"/>
  <c r="AD1297" i="1"/>
  <c r="AC1298" i="1"/>
  <c r="AF1298" i="1" s="1"/>
  <c r="AD1298" i="1"/>
  <c r="AC1299" i="1"/>
  <c r="AF1299" i="1" s="1"/>
  <c r="AD1299" i="1"/>
  <c r="AC1300" i="1"/>
  <c r="AF1300" i="1" s="1"/>
  <c r="AD1300" i="1"/>
  <c r="AC1301" i="1"/>
  <c r="AF1301" i="1" s="1"/>
  <c r="AD1301" i="1"/>
  <c r="AC1302" i="1"/>
  <c r="AF1302" i="1" s="1"/>
  <c r="AD1302" i="1"/>
  <c r="AC1303" i="1"/>
  <c r="AF1303" i="1" s="1"/>
  <c r="AD1303" i="1"/>
  <c r="AC1304" i="1"/>
  <c r="AF1304" i="1" s="1"/>
  <c r="AD1304" i="1"/>
  <c r="AC1305" i="1"/>
  <c r="AF1305" i="1" s="1"/>
  <c r="AD1305" i="1"/>
  <c r="AC1306" i="1"/>
  <c r="AF1306" i="1" s="1"/>
  <c r="AD1306" i="1"/>
  <c r="AC1307" i="1"/>
  <c r="AF1307" i="1" s="1"/>
  <c r="AD1307" i="1"/>
  <c r="AC1308" i="1"/>
  <c r="AF1308" i="1" s="1"/>
  <c r="AD1308" i="1"/>
  <c r="AC1309" i="1"/>
  <c r="AF1309" i="1" s="1"/>
  <c r="AD1309" i="1"/>
  <c r="AC1310" i="1"/>
  <c r="AF1310" i="1" s="1"/>
  <c r="AD1310" i="1"/>
  <c r="AC1311" i="1"/>
  <c r="AF1311" i="1" s="1"/>
  <c r="AD1311" i="1"/>
  <c r="AC1312" i="1"/>
  <c r="AF1312" i="1" s="1"/>
  <c r="AD1312" i="1"/>
  <c r="AC1313" i="1"/>
  <c r="AF1313" i="1" s="1"/>
  <c r="AD1313" i="1"/>
  <c r="AC1314" i="1"/>
  <c r="AF1314" i="1" s="1"/>
  <c r="AD1314" i="1"/>
  <c r="AC1315" i="1"/>
  <c r="AF1315" i="1" s="1"/>
  <c r="AD1315" i="1"/>
  <c r="AC1316" i="1"/>
  <c r="AF1316" i="1" s="1"/>
  <c r="AD1316" i="1"/>
  <c r="AC1317" i="1"/>
  <c r="AF1317" i="1" s="1"/>
  <c r="AD1317" i="1"/>
  <c r="AC1318" i="1"/>
  <c r="AF1318" i="1" s="1"/>
  <c r="AD1318" i="1"/>
  <c r="AC1319" i="1"/>
  <c r="AF1319" i="1" s="1"/>
  <c r="AD1319" i="1"/>
  <c r="AC1320" i="1"/>
  <c r="AF1320" i="1" s="1"/>
  <c r="AD1320" i="1"/>
  <c r="AC1321" i="1"/>
  <c r="AF1321" i="1" s="1"/>
  <c r="AD1321" i="1"/>
  <c r="AC1322" i="1"/>
  <c r="AF1322" i="1" s="1"/>
  <c r="AD1322" i="1"/>
  <c r="AC1323" i="1"/>
  <c r="AF1323" i="1" s="1"/>
  <c r="AD1323" i="1"/>
  <c r="AC1324" i="1"/>
  <c r="AF1324" i="1" s="1"/>
  <c r="AD1324" i="1"/>
  <c r="AC1325" i="1"/>
  <c r="AF1325" i="1" s="1"/>
  <c r="AD1325" i="1"/>
  <c r="AC1326" i="1"/>
  <c r="AF1326" i="1" s="1"/>
  <c r="AD1326" i="1"/>
  <c r="AC1327" i="1"/>
  <c r="AF1327" i="1" s="1"/>
  <c r="AD1327" i="1"/>
  <c r="AC1328" i="1"/>
  <c r="AF1328" i="1" s="1"/>
  <c r="AD1328" i="1"/>
  <c r="AC1329" i="1"/>
  <c r="AF1329" i="1" s="1"/>
  <c r="AD1329" i="1"/>
  <c r="AC1330" i="1"/>
  <c r="AF1330" i="1" s="1"/>
  <c r="AD1330" i="1"/>
  <c r="AC1331" i="1"/>
  <c r="AF1331" i="1" s="1"/>
  <c r="AD1331" i="1"/>
  <c r="AC1332" i="1"/>
  <c r="AF1332" i="1" s="1"/>
  <c r="AD1332" i="1"/>
  <c r="AC1333" i="1"/>
  <c r="AF1333" i="1" s="1"/>
  <c r="AD1333" i="1"/>
  <c r="AC1334" i="1"/>
  <c r="AF1334" i="1" s="1"/>
  <c r="AD1334" i="1"/>
  <c r="AC1335" i="1"/>
  <c r="AF1335" i="1" s="1"/>
  <c r="AD1335" i="1"/>
  <c r="AC1336" i="1"/>
  <c r="AF1336" i="1" s="1"/>
  <c r="AD1336" i="1"/>
  <c r="AC1337" i="1"/>
  <c r="AF1337" i="1" s="1"/>
  <c r="AD1337" i="1"/>
  <c r="AC1338" i="1"/>
  <c r="AF1338" i="1" s="1"/>
  <c r="AD1338" i="1"/>
  <c r="AC1339" i="1"/>
  <c r="AF1339" i="1" s="1"/>
  <c r="AD1339" i="1"/>
  <c r="AC1340" i="1"/>
  <c r="AF1340" i="1" s="1"/>
  <c r="AD1340" i="1"/>
  <c r="AC1341" i="1"/>
  <c r="AF1341" i="1" s="1"/>
  <c r="AD1341" i="1"/>
  <c r="AC1342" i="1"/>
  <c r="AF1342" i="1" s="1"/>
  <c r="AD1342" i="1"/>
  <c r="AC1343" i="1"/>
  <c r="AF1343" i="1" s="1"/>
  <c r="AD1343" i="1"/>
  <c r="AC1344" i="1"/>
  <c r="AF1344" i="1" s="1"/>
  <c r="AD1344" i="1"/>
  <c r="AC1345" i="1"/>
  <c r="AF1345" i="1" s="1"/>
  <c r="AD1345" i="1"/>
  <c r="AC1346" i="1"/>
  <c r="AF1346" i="1" s="1"/>
  <c r="AD1346" i="1"/>
  <c r="AC1347" i="1"/>
  <c r="AF1347" i="1" s="1"/>
  <c r="AD1347" i="1"/>
  <c r="AC1348" i="1"/>
  <c r="AF1348" i="1" s="1"/>
  <c r="AD1348" i="1"/>
  <c r="AC1349" i="1"/>
  <c r="AF1349" i="1" s="1"/>
  <c r="AD1349" i="1"/>
  <c r="AC1350" i="1"/>
  <c r="AF1350" i="1" s="1"/>
  <c r="AD1350" i="1"/>
  <c r="AC1351" i="1"/>
  <c r="AF1351" i="1" s="1"/>
  <c r="AD1351" i="1"/>
  <c r="AC1352" i="1"/>
  <c r="AF1352" i="1" s="1"/>
  <c r="AD1352" i="1"/>
  <c r="AC1353" i="1"/>
  <c r="AF1353" i="1" s="1"/>
  <c r="AD1353" i="1"/>
  <c r="AC1354" i="1"/>
  <c r="AF1354" i="1" s="1"/>
  <c r="AD1354" i="1"/>
  <c r="AC1355" i="1"/>
  <c r="AF1355" i="1" s="1"/>
  <c r="AD1355" i="1"/>
  <c r="AC1356" i="1"/>
  <c r="AF1356" i="1" s="1"/>
  <c r="AD1356" i="1"/>
  <c r="AC1357" i="1"/>
  <c r="AF1357" i="1" s="1"/>
  <c r="AD1357" i="1"/>
  <c r="AC1358" i="1"/>
  <c r="AF1358" i="1" s="1"/>
  <c r="AD1358" i="1"/>
  <c r="AC1359" i="1"/>
  <c r="AF1359" i="1" s="1"/>
  <c r="AD1359" i="1"/>
  <c r="AC1360" i="1"/>
  <c r="AF1360" i="1" s="1"/>
  <c r="AD1360" i="1"/>
  <c r="AC1361" i="1"/>
  <c r="AF1361" i="1" s="1"/>
  <c r="AD1361" i="1"/>
  <c r="AC1362" i="1"/>
  <c r="AF1362" i="1" s="1"/>
  <c r="AD1362" i="1"/>
  <c r="AC1363" i="1"/>
  <c r="AF1363" i="1" s="1"/>
  <c r="AD1363" i="1"/>
  <c r="AC1364" i="1"/>
  <c r="AF1364" i="1" s="1"/>
  <c r="AD1364" i="1"/>
  <c r="AC1365" i="1"/>
  <c r="AF1365" i="1" s="1"/>
  <c r="AD1365" i="1"/>
  <c r="AC1366" i="1"/>
  <c r="AF1366" i="1" s="1"/>
  <c r="AD1366" i="1"/>
  <c r="AC1367" i="1"/>
  <c r="AF1367" i="1" s="1"/>
  <c r="AD1367" i="1"/>
  <c r="AC1368" i="1"/>
  <c r="AF1368" i="1" s="1"/>
  <c r="AD1368" i="1"/>
  <c r="AC1369" i="1"/>
  <c r="AF1369" i="1" s="1"/>
  <c r="AD1369" i="1"/>
  <c r="AC1370" i="1"/>
  <c r="AF1370" i="1" s="1"/>
  <c r="AD1370" i="1"/>
  <c r="AC1371" i="1"/>
  <c r="AF1371" i="1" s="1"/>
  <c r="AD1371" i="1"/>
  <c r="AC1372" i="1"/>
  <c r="AF1372" i="1" s="1"/>
  <c r="AD1372" i="1"/>
  <c r="AC1373" i="1"/>
  <c r="AF1373" i="1" s="1"/>
  <c r="AD1373" i="1"/>
  <c r="AC1374" i="1"/>
  <c r="AF1374" i="1" s="1"/>
  <c r="AD1374" i="1"/>
  <c r="AC1375" i="1"/>
  <c r="AF1375" i="1" s="1"/>
  <c r="AD1375" i="1"/>
  <c r="AC1376" i="1"/>
  <c r="AF1376" i="1" s="1"/>
  <c r="AD1376" i="1"/>
  <c r="AC1377" i="1"/>
  <c r="AF1377" i="1" s="1"/>
  <c r="AD1377" i="1"/>
  <c r="AC1378" i="1"/>
  <c r="AF1378" i="1" s="1"/>
  <c r="AD1378" i="1"/>
  <c r="AC1379" i="1"/>
  <c r="AF1379" i="1" s="1"/>
  <c r="AD1379" i="1"/>
  <c r="AC1380" i="1"/>
  <c r="AF1380" i="1" s="1"/>
  <c r="AD1380" i="1"/>
  <c r="AC1381" i="1"/>
  <c r="AF1381" i="1" s="1"/>
  <c r="AD1381" i="1"/>
  <c r="AC1382" i="1"/>
  <c r="AF1382" i="1" s="1"/>
  <c r="AD1382" i="1"/>
  <c r="AC1383" i="1"/>
  <c r="AF1383" i="1" s="1"/>
  <c r="AD1383" i="1"/>
  <c r="AC1384" i="1"/>
  <c r="AF1384" i="1" s="1"/>
  <c r="AD1384" i="1"/>
  <c r="AC1385" i="1"/>
  <c r="AF1385" i="1" s="1"/>
  <c r="AD1385" i="1"/>
  <c r="AC1386" i="1"/>
  <c r="AF1386" i="1" s="1"/>
  <c r="AD1386" i="1"/>
  <c r="AC1387" i="1"/>
  <c r="AF1387" i="1" s="1"/>
  <c r="AD1387" i="1"/>
  <c r="AC1388" i="1"/>
  <c r="AF1388" i="1" s="1"/>
  <c r="AD1388" i="1"/>
  <c r="AC1389" i="1"/>
  <c r="AF1389" i="1" s="1"/>
  <c r="AD1389" i="1"/>
  <c r="AC1390" i="1"/>
  <c r="AF1390" i="1" s="1"/>
  <c r="AD1390" i="1"/>
  <c r="AC1391" i="1"/>
  <c r="AF1391" i="1" s="1"/>
  <c r="AD1391" i="1"/>
  <c r="AC1392" i="1"/>
  <c r="AF1392" i="1" s="1"/>
  <c r="AD1392" i="1"/>
  <c r="AC1393" i="1"/>
  <c r="AF1393" i="1" s="1"/>
  <c r="AD1393" i="1"/>
  <c r="AC1394" i="1"/>
  <c r="AF1394" i="1" s="1"/>
  <c r="AD1394" i="1"/>
  <c r="AC1395" i="1"/>
  <c r="AF1395" i="1" s="1"/>
  <c r="AD1395" i="1"/>
  <c r="AC1396" i="1"/>
  <c r="AF1396" i="1" s="1"/>
  <c r="AD1396" i="1"/>
  <c r="AC1397" i="1"/>
  <c r="AF1397" i="1" s="1"/>
  <c r="AD1397" i="1"/>
  <c r="AC1398" i="1"/>
  <c r="AF1398" i="1" s="1"/>
  <c r="AD1398" i="1"/>
  <c r="AC1399" i="1"/>
  <c r="AF1399" i="1" s="1"/>
  <c r="AD1399" i="1"/>
  <c r="AC1400" i="1"/>
  <c r="AF1400" i="1" s="1"/>
  <c r="AD1400" i="1"/>
  <c r="AC1401" i="1"/>
  <c r="AF1401" i="1" s="1"/>
  <c r="AD1401" i="1"/>
  <c r="AC1402" i="1"/>
  <c r="AF1402" i="1" s="1"/>
  <c r="AD1402" i="1"/>
  <c r="AC1403" i="1"/>
  <c r="AF1403" i="1" s="1"/>
  <c r="AD1403" i="1"/>
  <c r="AC1404" i="1"/>
  <c r="AF1404" i="1" s="1"/>
  <c r="AD1404" i="1"/>
  <c r="AC1405" i="1"/>
  <c r="AF1405" i="1" s="1"/>
  <c r="AD1405" i="1"/>
  <c r="AC1406" i="1"/>
  <c r="AF1406" i="1" s="1"/>
  <c r="AD1406" i="1"/>
  <c r="AC1407" i="1"/>
  <c r="AF1407" i="1" s="1"/>
  <c r="AD1407" i="1"/>
  <c r="AC1408" i="1"/>
  <c r="AF1408" i="1" s="1"/>
  <c r="AD1408" i="1"/>
  <c r="AC1409" i="1"/>
  <c r="AF1409" i="1" s="1"/>
  <c r="AD1409" i="1"/>
  <c r="AC1410" i="1"/>
  <c r="AF1410" i="1" s="1"/>
  <c r="AD1410" i="1"/>
  <c r="AC1411" i="1"/>
  <c r="AF1411" i="1" s="1"/>
  <c r="AD1411" i="1"/>
  <c r="AC1412" i="1"/>
  <c r="AF1412" i="1" s="1"/>
  <c r="AD1412" i="1"/>
  <c r="AC1413" i="1"/>
  <c r="AF1413" i="1" s="1"/>
  <c r="AD1413" i="1"/>
  <c r="AC1414" i="1"/>
  <c r="AF1414" i="1" s="1"/>
  <c r="AD1414" i="1"/>
  <c r="AC1415" i="1"/>
  <c r="AF1415" i="1" s="1"/>
  <c r="AD1415" i="1"/>
  <c r="AC1416" i="1"/>
  <c r="AF1416" i="1" s="1"/>
  <c r="AD1416" i="1"/>
  <c r="AC1417" i="1"/>
  <c r="AF1417" i="1" s="1"/>
  <c r="AD1417" i="1"/>
  <c r="AC1418" i="1"/>
  <c r="AF1418" i="1" s="1"/>
  <c r="AD1418" i="1"/>
  <c r="AC1419" i="1"/>
  <c r="AF1419" i="1" s="1"/>
  <c r="AD1419" i="1"/>
  <c r="AC1420" i="1"/>
  <c r="AF1420" i="1" s="1"/>
  <c r="AD1420" i="1"/>
  <c r="AC1421" i="1"/>
  <c r="AF1421" i="1" s="1"/>
  <c r="AD1421" i="1"/>
  <c r="AC1422" i="1"/>
  <c r="AF1422" i="1" s="1"/>
  <c r="AD1422" i="1"/>
  <c r="AC1423" i="1"/>
  <c r="AF1423" i="1" s="1"/>
  <c r="AD1423" i="1"/>
  <c r="AC1424" i="1"/>
  <c r="AF1424" i="1" s="1"/>
  <c r="AD1424" i="1"/>
  <c r="AC1425" i="1"/>
  <c r="AF1425" i="1" s="1"/>
  <c r="AD1425" i="1"/>
  <c r="AC1426" i="1"/>
  <c r="AF1426" i="1" s="1"/>
  <c r="AD1426" i="1"/>
  <c r="AC1427" i="1"/>
  <c r="AF1427" i="1" s="1"/>
  <c r="AD1427" i="1"/>
  <c r="AC1428" i="1"/>
  <c r="AF1428" i="1" s="1"/>
  <c r="AD1428" i="1"/>
  <c r="AC1429" i="1"/>
  <c r="AF1429" i="1" s="1"/>
  <c r="AD1429" i="1"/>
  <c r="AC1430" i="1"/>
  <c r="AF1430" i="1" s="1"/>
  <c r="AD1430" i="1"/>
  <c r="AC1431" i="1"/>
  <c r="AF1431" i="1" s="1"/>
  <c r="AD1431" i="1"/>
  <c r="AC1432" i="1"/>
  <c r="AF1432" i="1" s="1"/>
  <c r="AD1432" i="1"/>
  <c r="AC1433" i="1"/>
  <c r="AF1433" i="1" s="1"/>
  <c r="AD1433" i="1"/>
  <c r="AC1434" i="1"/>
  <c r="AF1434" i="1" s="1"/>
  <c r="AD1434" i="1"/>
  <c r="AC1435" i="1"/>
  <c r="AF1435" i="1" s="1"/>
  <c r="AD1435" i="1"/>
  <c r="AC1436" i="1"/>
  <c r="AF1436" i="1" s="1"/>
  <c r="AD1436" i="1"/>
  <c r="AC1437" i="1"/>
  <c r="AF1437" i="1" s="1"/>
  <c r="AD1437" i="1"/>
  <c r="AC1438" i="1"/>
  <c r="AF1438" i="1" s="1"/>
  <c r="AD1438" i="1"/>
  <c r="AC1439" i="1"/>
  <c r="AF1439" i="1" s="1"/>
  <c r="AD1439" i="1"/>
  <c r="AC1440" i="1"/>
  <c r="AF1440" i="1" s="1"/>
  <c r="AD1440" i="1"/>
  <c r="AC1441" i="1"/>
  <c r="AF1441" i="1" s="1"/>
  <c r="AD1441" i="1"/>
  <c r="AC1442" i="1"/>
  <c r="AF1442" i="1" s="1"/>
  <c r="AD1442" i="1"/>
  <c r="AC1443" i="1"/>
  <c r="AF1443" i="1" s="1"/>
  <c r="AD1443" i="1"/>
  <c r="AC1444" i="1"/>
  <c r="AF1444" i="1" s="1"/>
  <c r="AD1444" i="1"/>
  <c r="AC1445" i="1"/>
  <c r="AF1445" i="1" s="1"/>
  <c r="AD1445" i="1"/>
  <c r="AC1446" i="1"/>
  <c r="AF1446" i="1" s="1"/>
  <c r="AD1446" i="1"/>
  <c r="AC1447" i="1"/>
  <c r="AF1447" i="1" s="1"/>
  <c r="AD1447" i="1"/>
  <c r="AC1448" i="1"/>
  <c r="AF1448" i="1" s="1"/>
  <c r="AD1448" i="1"/>
  <c r="AC1449" i="1"/>
  <c r="AF1449" i="1" s="1"/>
  <c r="AD1449" i="1"/>
  <c r="AC1450" i="1"/>
  <c r="AF1450" i="1" s="1"/>
  <c r="AD1450" i="1"/>
  <c r="AC1451" i="1"/>
  <c r="AF1451" i="1" s="1"/>
  <c r="AD1451" i="1"/>
  <c r="AC1452" i="1"/>
  <c r="AF1452" i="1" s="1"/>
  <c r="AD1452" i="1"/>
  <c r="AC1453" i="1"/>
  <c r="AF1453" i="1" s="1"/>
  <c r="AD1453" i="1"/>
  <c r="AC1454" i="1"/>
  <c r="AF1454" i="1" s="1"/>
  <c r="AD1454" i="1"/>
  <c r="AC1455" i="1"/>
  <c r="AF1455" i="1" s="1"/>
  <c r="AD1455" i="1"/>
  <c r="AC1456" i="1"/>
  <c r="AF1456" i="1" s="1"/>
  <c r="AD1456" i="1"/>
  <c r="AC1457" i="1"/>
  <c r="AF1457" i="1" s="1"/>
  <c r="AD1457" i="1"/>
  <c r="AC1458" i="1"/>
  <c r="AF1458" i="1" s="1"/>
  <c r="AD1458" i="1"/>
  <c r="AC1459" i="1"/>
  <c r="AF1459" i="1" s="1"/>
  <c r="AD1459" i="1"/>
  <c r="AC1460" i="1"/>
  <c r="AF1460" i="1" s="1"/>
  <c r="AD1460" i="1"/>
  <c r="AC1461" i="1"/>
  <c r="AF1461" i="1" s="1"/>
  <c r="AD1461" i="1"/>
  <c r="AC1462" i="1"/>
  <c r="AF1462" i="1" s="1"/>
  <c r="AD1462" i="1"/>
  <c r="AC1463" i="1"/>
  <c r="AF1463" i="1" s="1"/>
  <c r="AD1463" i="1"/>
  <c r="AC1464" i="1"/>
  <c r="AF1464" i="1" s="1"/>
  <c r="AD1464" i="1"/>
  <c r="AC1465" i="1"/>
  <c r="AF1465" i="1" s="1"/>
  <c r="AD1465" i="1"/>
  <c r="AC1466" i="1"/>
  <c r="AF1466" i="1" s="1"/>
  <c r="AD1466" i="1"/>
  <c r="AC1467" i="1"/>
  <c r="AF1467" i="1" s="1"/>
  <c r="AD1467" i="1"/>
  <c r="AC1468" i="1"/>
  <c r="AF1468" i="1" s="1"/>
  <c r="AD1468" i="1"/>
  <c r="AC1469" i="1"/>
  <c r="AF1469" i="1" s="1"/>
  <c r="AD1469" i="1"/>
  <c r="AC1470" i="1"/>
  <c r="AF1470" i="1" s="1"/>
  <c r="AD1470" i="1"/>
  <c r="AC1471" i="1"/>
  <c r="AF1471" i="1" s="1"/>
  <c r="AD1471" i="1"/>
  <c r="AC1472" i="1"/>
  <c r="AF1472" i="1" s="1"/>
  <c r="AD1472" i="1"/>
  <c r="AC1473" i="1"/>
  <c r="AF1473" i="1" s="1"/>
  <c r="AD1473" i="1"/>
  <c r="AC1474" i="1"/>
  <c r="AF1474" i="1" s="1"/>
  <c r="AD1474" i="1"/>
  <c r="AC1475" i="1"/>
  <c r="AF1475" i="1" s="1"/>
  <c r="AD1475" i="1"/>
  <c r="AC1476" i="1"/>
  <c r="AF1476" i="1" s="1"/>
  <c r="AD1476" i="1"/>
  <c r="AC1477" i="1"/>
  <c r="AF1477" i="1" s="1"/>
  <c r="AD1477" i="1"/>
  <c r="AC1478" i="1"/>
  <c r="AF1478" i="1" s="1"/>
  <c r="AD1478" i="1"/>
  <c r="AC1479" i="1"/>
  <c r="AF1479" i="1" s="1"/>
  <c r="AD1479" i="1"/>
  <c r="AC1480" i="1"/>
  <c r="AF1480" i="1" s="1"/>
  <c r="AD1480" i="1"/>
  <c r="AC1481" i="1"/>
  <c r="AF1481" i="1" s="1"/>
  <c r="AD1481" i="1"/>
  <c r="AC1482" i="1"/>
  <c r="AF1482" i="1" s="1"/>
  <c r="AD1482" i="1"/>
  <c r="AC1483" i="1"/>
  <c r="AF1483" i="1" s="1"/>
  <c r="AD1483" i="1"/>
  <c r="AC1484" i="1"/>
  <c r="AF1484" i="1" s="1"/>
  <c r="AD1484" i="1"/>
  <c r="AC1485" i="1"/>
  <c r="AF1485" i="1" s="1"/>
  <c r="AD1485" i="1"/>
  <c r="AC1486" i="1"/>
  <c r="AF1486" i="1" s="1"/>
  <c r="AD1486" i="1"/>
  <c r="AC1487" i="1"/>
  <c r="AF1487" i="1" s="1"/>
  <c r="AD1487" i="1"/>
  <c r="AC1488" i="1"/>
  <c r="AF1488" i="1" s="1"/>
  <c r="AD1488" i="1"/>
  <c r="AC1489" i="1"/>
  <c r="AF1489" i="1" s="1"/>
  <c r="AD1489" i="1"/>
  <c r="AC1490" i="1"/>
  <c r="AF1490" i="1" s="1"/>
  <c r="AD1490" i="1"/>
  <c r="AC1491" i="1"/>
  <c r="AF1491" i="1" s="1"/>
  <c r="AD1491" i="1"/>
  <c r="AC1492" i="1"/>
  <c r="AF1492" i="1" s="1"/>
  <c r="AD1492" i="1"/>
  <c r="AC1493" i="1"/>
  <c r="AF1493" i="1" s="1"/>
  <c r="AD1493" i="1"/>
  <c r="AC1494" i="1"/>
  <c r="AF1494" i="1" s="1"/>
  <c r="AD1494" i="1"/>
  <c r="AC1495" i="1"/>
  <c r="AF1495" i="1" s="1"/>
  <c r="AD1495" i="1"/>
  <c r="AC1496" i="1"/>
  <c r="AF1496" i="1" s="1"/>
  <c r="AD1496" i="1"/>
  <c r="AC1497" i="1"/>
  <c r="AF1497" i="1" s="1"/>
  <c r="AD1497" i="1"/>
  <c r="AC1498" i="1"/>
  <c r="AF1498" i="1" s="1"/>
  <c r="AD1498" i="1"/>
  <c r="AC1499" i="1"/>
  <c r="AF1499" i="1" s="1"/>
  <c r="AD1499" i="1"/>
  <c r="AC1500" i="1"/>
  <c r="AF1500" i="1" s="1"/>
  <c r="AD1500" i="1"/>
  <c r="AC1501" i="1"/>
  <c r="AF1501" i="1" s="1"/>
  <c r="AD1501" i="1"/>
  <c r="AC1502" i="1"/>
  <c r="AF1502" i="1" s="1"/>
  <c r="AD1502" i="1"/>
  <c r="AC1503" i="1"/>
  <c r="AF1503" i="1" s="1"/>
  <c r="AD1503" i="1"/>
  <c r="AC1504" i="1"/>
  <c r="AF1504" i="1" s="1"/>
  <c r="AD1504" i="1"/>
  <c r="AC1505" i="1"/>
  <c r="AF1505" i="1" s="1"/>
  <c r="AD1505" i="1"/>
  <c r="AC1506" i="1"/>
  <c r="AF1506" i="1" s="1"/>
  <c r="AD1506" i="1"/>
  <c r="AC1507" i="1"/>
  <c r="AF1507" i="1" s="1"/>
  <c r="AD1507" i="1"/>
  <c r="AC1508" i="1"/>
  <c r="AF1508" i="1" s="1"/>
  <c r="AD1508" i="1"/>
  <c r="AC1509" i="1"/>
  <c r="AF1509" i="1" s="1"/>
  <c r="AD1509" i="1"/>
  <c r="AC1510" i="1"/>
  <c r="AF1510" i="1" s="1"/>
  <c r="AD1510" i="1"/>
  <c r="AC1511" i="1"/>
  <c r="AF1511" i="1" s="1"/>
  <c r="AD1511" i="1"/>
  <c r="AC1512" i="1"/>
  <c r="AF1512" i="1" s="1"/>
  <c r="AD1512" i="1"/>
  <c r="AC1513" i="1"/>
  <c r="AF1513" i="1" s="1"/>
  <c r="AD1513" i="1"/>
  <c r="AC1514" i="1"/>
  <c r="AF1514" i="1" s="1"/>
  <c r="AD1514" i="1"/>
  <c r="AC1515" i="1"/>
  <c r="AF1515" i="1" s="1"/>
  <c r="AD1515" i="1"/>
  <c r="AC1516" i="1"/>
  <c r="AF1516" i="1" s="1"/>
  <c r="AD1516" i="1"/>
  <c r="AC1517" i="1"/>
  <c r="AF1517" i="1" s="1"/>
  <c r="AD1517" i="1"/>
  <c r="AC1518" i="1"/>
  <c r="AF1518" i="1" s="1"/>
  <c r="AD1518" i="1"/>
  <c r="AC1519" i="1"/>
  <c r="AF1519" i="1" s="1"/>
  <c r="AD1519" i="1"/>
  <c r="AD19" i="1"/>
  <c r="AC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E35" i="1" s="1"/>
  <c r="AB36" i="1"/>
  <c r="AE36" i="1" s="1"/>
  <c r="AB37" i="1"/>
  <c r="AE37" i="1" s="1"/>
  <c r="AB38" i="1"/>
  <c r="AE38" i="1" s="1"/>
  <c r="AB39" i="1"/>
  <c r="AE39" i="1" s="1"/>
  <c r="AB40" i="1"/>
  <c r="AE40" i="1" s="1"/>
  <c r="AB41" i="1"/>
  <c r="AE41" i="1" s="1"/>
  <c r="AB42" i="1"/>
  <c r="AE42" i="1" s="1"/>
  <c r="AB43" i="1"/>
  <c r="AE43" i="1" s="1"/>
  <c r="AB44" i="1"/>
  <c r="AE44" i="1" s="1"/>
  <c r="AB45" i="1"/>
  <c r="AE45" i="1" s="1"/>
  <c r="AB46" i="1"/>
  <c r="AE46" i="1" s="1"/>
  <c r="AB47" i="1"/>
  <c r="AE47" i="1" s="1"/>
  <c r="AB48" i="1"/>
  <c r="AE48" i="1" s="1"/>
  <c r="AB49" i="1"/>
  <c r="AE49" i="1" s="1"/>
  <c r="AB50" i="1"/>
  <c r="AE50" i="1" s="1"/>
  <c r="AB51" i="1"/>
  <c r="AE51" i="1" s="1"/>
  <c r="AB52" i="1"/>
  <c r="AE52" i="1" s="1"/>
  <c r="AB53" i="1"/>
  <c r="AE53" i="1" s="1"/>
  <c r="AB54" i="1"/>
  <c r="AE54" i="1" s="1"/>
  <c r="AB55" i="1"/>
  <c r="AE55" i="1" s="1"/>
  <c r="AB56" i="1"/>
  <c r="AE56" i="1" s="1"/>
  <c r="AB57" i="1"/>
  <c r="AE57" i="1" s="1"/>
  <c r="AB58" i="1"/>
  <c r="AE58" i="1" s="1"/>
  <c r="AB59" i="1"/>
  <c r="AE59" i="1" s="1"/>
  <c r="AB60" i="1"/>
  <c r="AE60" i="1" s="1"/>
  <c r="AB61" i="1"/>
  <c r="AE61" i="1" s="1"/>
  <c r="AB62" i="1"/>
  <c r="AE62" i="1" s="1"/>
  <c r="AB63" i="1"/>
  <c r="AE63" i="1" s="1"/>
  <c r="AB64" i="1"/>
  <c r="AE64" i="1" s="1"/>
  <c r="AB65" i="1"/>
  <c r="AE65" i="1" s="1"/>
  <c r="AB66" i="1"/>
  <c r="AE66" i="1" s="1"/>
  <c r="AB67" i="1"/>
  <c r="AE67" i="1" s="1"/>
  <c r="AB68" i="1"/>
  <c r="AE68" i="1" s="1"/>
  <c r="AB69" i="1"/>
  <c r="AE69" i="1" s="1"/>
  <c r="AB70" i="1"/>
  <c r="AE70" i="1" s="1"/>
  <c r="AB71" i="1"/>
  <c r="AE71" i="1" s="1"/>
  <c r="AB72" i="1"/>
  <c r="AE72" i="1" s="1"/>
  <c r="AB73" i="1"/>
  <c r="AE73" i="1" s="1"/>
  <c r="AB74" i="1"/>
  <c r="AE74" i="1" s="1"/>
  <c r="AB75" i="1"/>
  <c r="AE75" i="1" s="1"/>
  <c r="AB76" i="1"/>
  <c r="AE76" i="1" s="1"/>
  <c r="AB77" i="1"/>
  <c r="AE77" i="1" s="1"/>
  <c r="AB78" i="1"/>
  <c r="AE78" i="1" s="1"/>
  <c r="AB79" i="1"/>
  <c r="AE79" i="1" s="1"/>
  <c r="AB80" i="1"/>
  <c r="AE80" i="1" s="1"/>
  <c r="AB81" i="1"/>
  <c r="AE81" i="1" s="1"/>
  <c r="AB82" i="1"/>
  <c r="AE82" i="1" s="1"/>
  <c r="AB83" i="1"/>
  <c r="AE83" i="1" s="1"/>
  <c r="AB84" i="1"/>
  <c r="AE84" i="1" s="1"/>
  <c r="AB85" i="1"/>
  <c r="AE85" i="1" s="1"/>
  <c r="AB86" i="1"/>
  <c r="AE86" i="1" s="1"/>
  <c r="AB87" i="1"/>
  <c r="AE87" i="1" s="1"/>
  <c r="AB88" i="1"/>
  <c r="AE88" i="1" s="1"/>
  <c r="AB89" i="1"/>
  <c r="AE89" i="1" s="1"/>
  <c r="AB90" i="1"/>
  <c r="AE90" i="1" s="1"/>
  <c r="AB91" i="1"/>
  <c r="AE91" i="1" s="1"/>
  <c r="AB92" i="1"/>
  <c r="AE92" i="1" s="1"/>
  <c r="AB93" i="1"/>
  <c r="AE93" i="1" s="1"/>
  <c r="AB94" i="1"/>
  <c r="AE94" i="1" s="1"/>
  <c r="AB95" i="1"/>
  <c r="AE95" i="1" s="1"/>
  <c r="AB96" i="1"/>
  <c r="AE96" i="1" s="1"/>
  <c r="AB97" i="1"/>
  <c r="AE97" i="1" s="1"/>
  <c r="AB98" i="1"/>
  <c r="AE98" i="1" s="1"/>
  <c r="AB99" i="1"/>
  <c r="AE99" i="1" s="1"/>
  <c r="AB100" i="1"/>
  <c r="AE100" i="1" s="1"/>
  <c r="AB101" i="1"/>
  <c r="AE101" i="1" s="1"/>
  <c r="AB102" i="1"/>
  <c r="AE102" i="1" s="1"/>
  <c r="AB103" i="1"/>
  <c r="AE103" i="1" s="1"/>
  <c r="AB104" i="1"/>
  <c r="AE104" i="1" s="1"/>
  <c r="AB105" i="1"/>
  <c r="AE105" i="1" s="1"/>
  <c r="AB106" i="1"/>
  <c r="AE106" i="1" s="1"/>
  <c r="AB107" i="1"/>
  <c r="AE107" i="1" s="1"/>
  <c r="AB108" i="1"/>
  <c r="AE108" i="1" s="1"/>
  <c r="AB109" i="1"/>
  <c r="AE109" i="1" s="1"/>
  <c r="AB110" i="1"/>
  <c r="AE110" i="1" s="1"/>
  <c r="AB111" i="1"/>
  <c r="AE111" i="1" s="1"/>
  <c r="AB112" i="1"/>
  <c r="AE112" i="1" s="1"/>
  <c r="AB113" i="1"/>
  <c r="AE113" i="1" s="1"/>
  <c r="AB114" i="1"/>
  <c r="AE114" i="1" s="1"/>
  <c r="AB115" i="1"/>
  <c r="AE115" i="1" s="1"/>
  <c r="AB116" i="1"/>
  <c r="AE116" i="1" s="1"/>
  <c r="AB117" i="1"/>
  <c r="AE117" i="1" s="1"/>
  <c r="AB118" i="1"/>
  <c r="AE118" i="1" s="1"/>
  <c r="AB119" i="1"/>
  <c r="AE119" i="1" s="1"/>
  <c r="AB120" i="1"/>
  <c r="AE120" i="1" s="1"/>
  <c r="AB121" i="1"/>
  <c r="AE121" i="1" s="1"/>
  <c r="AB122" i="1"/>
  <c r="AE122" i="1" s="1"/>
  <c r="AB123" i="1"/>
  <c r="AE123" i="1" s="1"/>
  <c r="AB124" i="1"/>
  <c r="AE124" i="1" s="1"/>
  <c r="AB125" i="1"/>
  <c r="AE125" i="1" s="1"/>
  <c r="AB126" i="1"/>
  <c r="AE126" i="1" s="1"/>
  <c r="AB127" i="1"/>
  <c r="AE127" i="1" s="1"/>
  <c r="AB128" i="1"/>
  <c r="AE128" i="1" s="1"/>
  <c r="AB129" i="1"/>
  <c r="AE129" i="1" s="1"/>
  <c r="AB130" i="1"/>
  <c r="AE130" i="1" s="1"/>
  <c r="AB131" i="1"/>
  <c r="AE131" i="1" s="1"/>
  <c r="AB132" i="1"/>
  <c r="AE132" i="1" s="1"/>
  <c r="AB133" i="1"/>
  <c r="AE133" i="1" s="1"/>
  <c r="AB134" i="1"/>
  <c r="AE134" i="1" s="1"/>
  <c r="AB135" i="1"/>
  <c r="AE135" i="1" s="1"/>
  <c r="AB136" i="1"/>
  <c r="AE136" i="1" s="1"/>
  <c r="AB137" i="1"/>
  <c r="AE137" i="1" s="1"/>
  <c r="AB138" i="1"/>
  <c r="AE138" i="1" s="1"/>
  <c r="AB139" i="1"/>
  <c r="AE139" i="1" s="1"/>
  <c r="AB140" i="1"/>
  <c r="AE140" i="1" s="1"/>
  <c r="AB141" i="1"/>
  <c r="AE141" i="1" s="1"/>
  <c r="AB142" i="1"/>
  <c r="AE142" i="1" s="1"/>
  <c r="AB143" i="1"/>
  <c r="AE143" i="1" s="1"/>
  <c r="AB144" i="1"/>
  <c r="AE144" i="1" s="1"/>
  <c r="AB145" i="1"/>
  <c r="AE145" i="1" s="1"/>
  <c r="AB146" i="1"/>
  <c r="AE146" i="1" s="1"/>
  <c r="AB147" i="1"/>
  <c r="AE147" i="1" s="1"/>
  <c r="AB148" i="1"/>
  <c r="AE148" i="1" s="1"/>
  <c r="AB149" i="1"/>
  <c r="AE149" i="1" s="1"/>
  <c r="AB150" i="1"/>
  <c r="AE150" i="1" s="1"/>
  <c r="AB151" i="1"/>
  <c r="AE151" i="1" s="1"/>
  <c r="AB152" i="1"/>
  <c r="AE152" i="1" s="1"/>
  <c r="AB153" i="1"/>
  <c r="AE153" i="1" s="1"/>
  <c r="AB154" i="1"/>
  <c r="AE154" i="1" s="1"/>
  <c r="AB155" i="1"/>
  <c r="AE155" i="1" s="1"/>
  <c r="AB156" i="1"/>
  <c r="AE156" i="1" s="1"/>
  <c r="AB157" i="1"/>
  <c r="AE157" i="1" s="1"/>
  <c r="AB158" i="1"/>
  <c r="AE158" i="1" s="1"/>
  <c r="AB159" i="1"/>
  <c r="AE159" i="1" s="1"/>
  <c r="AB160" i="1"/>
  <c r="AE160" i="1" s="1"/>
  <c r="AB161" i="1"/>
  <c r="AE161" i="1" s="1"/>
  <c r="AB162" i="1"/>
  <c r="AE162" i="1" s="1"/>
  <c r="AB163" i="1"/>
  <c r="AE163" i="1" s="1"/>
  <c r="AB164" i="1"/>
  <c r="AE164" i="1" s="1"/>
  <c r="AB165" i="1"/>
  <c r="AE165" i="1" s="1"/>
  <c r="AB166" i="1"/>
  <c r="AE166" i="1" s="1"/>
  <c r="AB167" i="1"/>
  <c r="AE167" i="1" s="1"/>
  <c r="AB168" i="1"/>
  <c r="AE168" i="1" s="1"/>
  <c r="AB169" i="1"/>
  <c r="AE169" i="1" s="1"/>
  <c r="AB170" i="1"/>
  <c r="AE170" i="1" s="1"/>
  <c r="AB171" i="1"/>
  <c r="AE171" i="1" s="1"/>
  <c r="AB172" i="1"/>
  <c r="AE172" i="1" s="1"/>
  <c r="AB173" i="1"/>
  <c r="AE173" i="1" s="1"/>
  <c r="AB174" i="1"/>
  <c r="AE174" i="1" s="1"/>
  <c r="AB175" i="1"/>
  <c r="AE175" i="1" s="1"/>
  <c r="AB176" i="1"/>
  <c r="AE176" i="1" s="1"/>
  <c r="AB177" i="1"/>
  <c r="AE177" i="1" s="1"/>
  <c r="AB178" i="1"/>
  <c r="AE178" i="1" s="1"/>
  <c r="AB179" i="1"/>
  <c r="AE179" i="1" s="1"/>
  <c r="AB180" i="1"/>
  <c r="AE180" i="1" s="1"/>
  <c r="AB181" i="1"/>
  <c r="AE181" i="1" s="1"/>
  <c r="AB182" i="1"/>
  <c r="AE182" i="1" s="1"/>
  <c r="AB183" i="1"/>
  <c r="AE183" i="1" s="1"/>
  <c r="AB184" i="1"/>
  <c r="AE184" i="1" s="1"/>
  <c r="AB185" i="1"/>
  <c r="AE185" i="1" s="1"/>
  <c r="AB186" i="1"/>
  <c r="AE186" i="1" s="1"/>
  <c r="AB187" i="1"/>
  <c r="AE187" i="1" s="1"/>
  <c r="AB188" i="1"/>
  <c r="AE188" i="1" s="1"/>
  <c r="AB189" i="1"/>
  <c r="AE189" i="1" s="1"/>
  <c r="AB190" i="1"/>
  <c r="AE190" i="1" s="1"/>
  <c r="AB191" i="1"/>
  <c r="AE191" i="1" s="1"/>
  <c r="AB192" i="1"/>
  <c r="AE192" i="1" s="1"/>
  <c r="AB193" i="1"/>
  <c r="AE193" i="1" s="1"/>
  <c r="AB194" i="1"/>
  <c r="AE194" i="1" s="1"/>
  <c r="AB195" i="1"/>
  <c r="AE195" i="1" s="1"/>
  <c r="AB196" i="1"/>
  <c r="AE196" i="1" s="1"/>
  <c r="AB197" i="1"/>
  <c r="AE197" i="1" s="1"/>
  <c r="AB198" i="1"/>
  <c r="AE198" i="1" s="1"/>
  <c r="AB199" i="1"/>
  <c r="AE199" i="1" s="1"/>
  <c r="AB200" i="1"/>
  <c r="AE200" i="1" s="1"/>
  <c r="AB201" i="1"/>
  <c r="AE201" i="1" s="1"/>
  <c r="AB202" i="1"/>
  <c r="AE202" i="1" s="1"/>
  <c r="AB203" i="1"/>
  <c r="AE203" i="1" s="1"/>
  <c r="AB204" i="1"/>
  <c r="AE204" i="1" s="1"/>
  <c r="AB205" i="1"/>
  <c r="AE205" i="1" s="1"/>
  <c r="AB206" i="1"/>
  <c r="AE206" i="1" s="1"/>
  <c r="AB207" i="1"/>
  <c r="AE207" i="1" s="1"/>
  <c r="AB208" i="1"/>
  <c r="AE208" i="1" s="1"/>
  <c r="AB209" i="1"/>
  <c r="AE209" i="1" s="1"/>
  <c r="AB210" i="1"/>
  <c r="AE210" i="1" s="1"/>
  <c r="AB211" i="1"/>
  <c r="AE211" i="1" s="1"/>
  <c r="AB212" i="1"/>
  <c r="AE212" i="1" s="1"/>
  <c r="AB213" i="1"/>
  <c r="AE213" i="1" s="1"/>
  <c r="AB214" i="1"/>
  <c r="AE214" i="1" s="1"/>
  <c r="AB215" i="1"/>
  <c r="AE215" i="1" s="1"/>
  <c r="AB216" i="1"/>
  <c r="AE216" i="1" s="1"/>
  <c r="AB217" i="1"/>
  <c r="AE217" i="1" s="1"/>
  <c r="AB218" i="1"/>
  <c r="AE218" i="1" s="1"/>
  <c r="AB219" i="1"/>
  <c r="AE219" i="1" s="1"/>
  <c r="AB220" i="1"/>
  <c r="AE220" i="1" s="1"/>
  <c r="AB221" i="1"/>
  <c r="AE221" i="1" s="1"/>
  <c r="AB222" i="1"/>
  <c r="AE222" i="1" s="1"/>
  <c r="AB223" i="1"/>
  <c r="AE223" i="1" s="1"/>
  <c r="AB224" i="1"/>
  <c r="AE224" i="1" s="1"/>
  <c r="AB225" i="1"/>
  <c r="AE225" i="1" s="1"/>
  <c r="AB226" i="1"/>
  <c r="AE226" i="1" s="1"/>
  <c r="AB227" i="1"/>
  <c r="AE227" i="1" s="1"/>
  <c r="AB228" i="1"/>
  <c r="AE228" i="1" s="1"/>
  <c r="AB229" i="1"/>
  <c r="AE229" i="1" s="1"/>
  <c r="AB230" i="1"/>
  <c r="AE230" i="1" s="1"/>
  <c r="AB231" i="1"/>
  <c r="AE231" i="1" s="1"/>
  <c r="AB232" i="1"/>
  <c r="AE232" i="1" s="1"/>
  <c r="AB233" i="1"/>
  <c r="AE233" i="1" s="1"/>
  <c r="AB234" i="1"/>
  <c r="AE234" i="1" s="1"/>
  <c r="AB235" i="1"/>
  <c r="AE235" i="1" s="1"/>
  <c r="AB236" i="1"/>
  <c r="AE236" i="1" s="1"/>
  <c r="AB237" i="1"/>
  <c r="AE237" i="1" s="1"/>
  <c r="AB238" i="1"/>
  <c r="AE238" i="1" s="1"/>
  <c r="AB239" i="1"/>
  <c r="AE239" i="1" s="1"/>
  <c r="AB240" i="1"/>
  <c r="AE240" i="1" s="1"/>
  <c r="AB241" i="1"/>
  <c r="AE241" i="1" s="1"/>
  <c r="AB242" i="1"/>
  <c r="AE242" i="1" s="1"/>
  <c r="AB243" i="1"/>
  <c r="AE243" i="1" s="1"/>
  <c r="AB244" i="1"/>
  <c r="AE244" i="1" s="1"/>
  <c r="AB245" i="1"/>
  <c r="AE245" i="1" s="1"/>
  <c r="AB246" i="1"/>
  <c r="AE246" i="1" s="1"/>
  <c r="AB247" i="1"/>
  <c r="AE247" i="1" s="1"/>
  <c r="AB248" i="1"/>
  <c r="AE248" i="1" s="1"/>
  <c r="AB249" i="1"/>
  <c r="AE249" i="1" s="1"/>
  <c r="AB250" i="1"/>
  <c r="AE250" i="1" s="1"/>
  <c r="AB251" i="1"/>
  <c r="AE251" i="1" s="1"/>
  <c r="AB252" i="1"/>
  <c r="AE252" i="1" s="1"/>
  <c r="AB253" i="1"/>
  <c r="AE253" i="1" s="1"/>
  <c r="AB254" i="1"/>
  <c r="AE254" i="1" s="1"/>
  <c r="AB255" i="1"/>
  <c r="AE255" i="1" s="1"/>
  <c r="AB256" i="1"/>
  <c r="AE256" i="1" s="1"/>
  <c r="AB257" i="1"/>
  <c r="AE257" i="1" s="1"/>
  <c r="AB258" i="1"/>
  <c r="AE258" i="1" s="1"/>
  <c r="AB259" i="1"/>
  <c r="AE259" i="1" s="1"/>
  <c r="AB260" i="1"/>
  <c r="AE260" i="1" s="1"/>
  <c r="AB261" i="1"/>
  <c r="AE261" i="1" s="1"/>
  <c r="AB262" i="1"/>
  <c r="AE262" i="1" s="1"/>
  <c r="AB263" i="1"/>
  <c r="AE263" i="1" s="1"/>
  <c r="AB264" i="1"/>
  <c r="AE264" i="1" s="1"/>
  <c r="AB265" i="1"/>
  <c r="AE265" i="1" s="1"/>
  <c r="AB266" i="1"/>
  <c r="AE266" i="1" s="1"/>
  <c r="AB267" i="1"/>
  <c r="AE267" i="1" s="1"/>
  <c r="AB268" i="1"/>
  <c r="AE268" i="1" s="1"/>
  <c r="AB269" i="1"/>
  <c r="AE269" i="1" s="1"/>
  <c r="AB270" i="1"/>
  <c r="AE270" i="1" s="1"/>
  <c r="AB271" i="1"/>
  <c r="AE271" i="1" s="1"/>
  <c r="AB272" i="1"/>
  <c r="AE272" i="1" s="1"/>
  <c r="AB273" i="1"/>
  <c r="AE273" i="1" s="1"/>
  <c r="AB274" i="1"/>
  <c r="AE274" i="1" s="1"/>
  <c r="AB275" i="1"/>
  <c r="AE275" i="1" s="1"/>
  <c r="AB276" i="1"/>
  <c r="AE276" i="1" s="1"/>
  <c r="AB277" i="1"/>
  <c r="AE277" i="1" s="1"/>
  <c r="AB278" i="1"/>
  <c r="AE278" i="1" s="1"/>
  <c r="AB279" i="1"/>
  <c r="AE279" i="1" s="1"/>
  <c r="AB280" i="1"/>
  <c r="AE280" i="1" s="1"/>
  <c r="AB281" i="1"/>
  <c r="AE281" i="1" s="1"/>
  <c r="AB282" i="1"/>
  <c r="AE282" i="1" s="1"/>
  <c r="AB283" i="1"/>
  <c r="AE283" i="1" s="1"/>
  <c r="AB284" i="1"/>
  <c r="AE284" i="1" s="1"/>
  <c r="AB285" i="1"/>
  <c r="AE285" i="1" s="1"/>
  <c r="AB286" i="1"/>
  <c r="AE286" i="1" s="1"/>
  <c r="AB287" i="1"/>
  <c r="AE287" i="1" s="1"/>
  <c r="AB288" i="1"/>
  <c r="AE288" i="1" s="1"/>
  <c r="AB289" i="1"/>
  <c r="AE289" i="1" s="1"/>
  <c r="AB290" i="1"/>
  <c r="AE290" i="1" s="1"/>
  <c r="AB291" i="1"/>
  <c r="AE291" i="1" s="1"/>
  <c r="AB292" i="1"/>
  <c r="AE292" i="1" s="1"/>
  <c r="AB293" i="1"/>
  <c r="AE293" i="1" s="1"/>
  <c r="AB294" i="1"/>
  <c r="AE294" i="1" s="1"/>
  <c r="AB295" i="1"/>
  <c r="AE295" i="1" s="1"/>
  <c r="AB296" i="1"/>
  <c r="AE296" i="1" s="1"/>
  <c r="AB297" i="1"/>
  <c r="AE297" i="1" s="1"/>
  <c r="AB298" i="1"/>
  <c r="AE298" i="1" s="1"/>
  <c r="AB299" i="1"/>
  <c r="AE299" i="1" s="1"/>
  <c r="AB300" i="1"/>
  <c r="AE300" i="1" s="1"/>
  <c r="AB301" i="1"/>
  <c r="AE301" i="1" s="1"/>
  <c r="AB302" i="1"/>
  <c r="AE302" i="1" s="1"/>
  <c r="AB303" i="1"/>
  <c r="AE303" i="1" s="1"/>
  <c r="AB304" i="1"/>
  <c r="AE304" i="1" s="1"/>
  <c r="AB305" i="1"/>
  <c r="AE305" i="1" s="1"/>
  <c r="AB306" i="1"/>
  <c r="AE306" i="1" s="1"/>
  <c r="AB307" i="1"/>
  <c r="AE307" i="1" s="1"/>
  <c r="AB308" i="1"/>
  <c r="AE308" i="1" s="1"/>
  <c r="AB309" i="1"/>
  <c r="AE309" i="1" s="1"/>
  <c r="AB310" i="1"/>
  <c r="AE310" i="1" s="1"/>
  <c r="AB311" i="1"/>
  <c r="AE311" i="1" s="1"/>
  <c r="AB312" i="1"/>
  <c r="AE312" i="1" s="1"/>
  <c r="AB313" i="1"/>
  <c r="AE313" i="1" s="1"/>
  <c r="AB314" i="1"/>
  <c r="AE314" i="1" s="1"/>
  <c r="AB315" i="1"/>
  <c r="AE315" i="1" s="1"/>
  <c r="AB316" i="1"/>
  <c r="AE316" i="1" s="1"/>
  <c r="AB317" i="1"/>
  <c r="AE317" i="1" s="1"/>
  <c r="AB318" i="1"/>
  <c r="AE318" i="1" s="1"/>
  <c r="AB319" i="1"/>
  <c r="AE319" i="1" s="1"/>
  <c r="AB320" i="1"/>
  <c r="AE320" i="1" s="1"/>
  <c r="AB321" i="1"/>
  <c r="AE321" i="1" s="1"/>
  <c r="AB322" i="1"/>
  <c r="AE322" i="1" s="1"/>
  <c r="AB323" i="1"/>
  <c r="AE323" i="1" s="1"/>
  <c r="AB324" i="1"/>
  <c r="AE324" i="1" s="1"/>
  <c r="AB325" i="1"/>
  <c r="AE325" i="1" s="1"/>
  <c r="AB326" i="1"/>
  <c r="AE326" i="1" s="1"/>
  <c r="AB327" i="1"/>
  <c r="AE327" i="1" s="1"/>
  <c r="AB328" i="1"/>
  <c r="AE328" i="1" s="1"/>
  <c r="AB329" i="1"/>
  <c r="AE329" i="1" s="1"/>
  <c r="AB330" i="1"/>
  <c r="AE330" i="1" s="1"/>
  <c r="AB331" i="1"/>
  <c r="AE331" i="1" s="1"/>
  <c r="AB332" i="1"/>
  <c r="AE332" i="1" s="1"/>
  <c r="AB333" i="1"/>
  <c r="AE333" i="1" s="1"/>
  <c r="AB334" i="1"/>
  <c r="AE334" i="1" s="1"/>
  <c r="AB335" i="1"/>
  <c r="AE335" i="1" s="1"/>
  <c r="AB336" i="1"/>
  <c r="AE336" i="1" s="1"/>
  <c r="AB337" i="1"/>
  <c r="AE337" i="1" s="1"/>
  <c r="AB338" i="1"/>
  <c r="AE338" i="1" s="1"/>
  <c r="AB339" i="1"/>
  <c r="AE339" i="1" s="1"/>
  <c r="AB340" i="1"/>
  <c r="AE340" i="1" s="1"/>
  <c r="AB341" i="1"/>
  <c r="AE341" i="1" s="1"/>
  <c r="AB342" i="1"/>
  <c r="AE342" i="1" s="1"/>
  <c r="AB343" i="1"/>
  <c r="AE343" i="1" s="1"/>
  <c r="AB344" i="1"/>
  <c r="AE344" i="1" s="1"/>
  <c r="AB345" i="1"/>
  <c r="AE345" i="1" s="1"/>
  <c r="AB346" i="1"/>
  <c r="AE346" i="1" s="1"/>
  <c r="AB347" i="1"/>
  <c r="AE347" i="1" s="1"/>
  <c r="AB348" i="1"/>
  <c r="AE348" i="1" s="1"/>
  <c r="AB349" i="1"/>
  <c r="AE349" i="1" s="1"/>
  <c r="AB350" i="1"/>
  <c r="AE350" i="1" s="1"/>
  <c r="AB351" i="1"/>
  <c r="AE351" i="1" s="1"/>
  <c r="AB352" i="1"/>
  <c r="AE352" i="1" s="1"/>
  <c r="AB353" i="1"/>
  <c r="AE353" i="1" s="1"/>
  <c r="AB354" i="1"/>
  <c r="AE354" i="1" s="1"/>
  <c r="AB355" i="1"/>
  <c r="AE355" i="1" s="1"/>
  <c r="AB356" i="1"/>
  <c r="AE356" i="1" s="1"/>
  <c r="AB357" i="1"/>
  <c r="AE357" i="1" s="1"/>
  <c r="AB358" i="1"/>
  <c r="AE358" i="1" s="1"/>
  <c r="AB359" i="1"/>
  <c r="AE359" i="1" s="1"/>
  <c r="AB360" i="1"/>
  <c r="AE360" i="1" s="1"/>
  <c r="AB361" i="1"/>
  <c r="AE361" i="1" s="1"/>
  <c r="AB362" i="1"/>
  <c r="AE362" i="1" s="1"/>
  <c r="AB363" i="1"/>
  <c r="AE363" i="1" s="1"/>
  <c r="AB364" i="1"/>
  <c r="AE364" i="1" s="1"/>
  <c r="AB365" i="1"/>
  <c r="AE365" i="1" s="1"/>
  <c r="AB366" i="1"/>
  <c r="AE366" i="1" s="1"/>
  <c r="AB367" i="1"/>
  <c r="AE367" i="1" s="1"/>
  <c r="AB368" i="1"/>
  <c r="AE368" i="1" s="1"/>
  <c r="AB369" i="1"/>
  <c r="AE369" i="1" s="1"/>
  <c r="AB370" i="1"/>
  <c r="AE370" i="1" s="1"/>
  <c r="AB371" i="1"/>
  <c r="AE371" i="1" s="1"/>
  <c r="AB372" i="1"/>
  <c r="AE372" i="1" s="1"/>
  <c r="AB373" i="1"/>
  <c r="AE373" i="1" s="1"/>
  <c r="AB374" i="1"/>
  <c r="AE374" i="1" s="1"/>
  <c r="AB375" i="1"/>
  <c r="AE375" i="1" s="1"/>
  <c r="AB376" i="1"/>
  <c r="AE376" i="1" s="1"/>
  <c r="AB377" i="1"/>
  <c r="AE377" i="1" s="1"/>
  <c r="AB378" i="1"/>
  <c r="AE378" i="1" s="1"/>
  <c r="AB379" i="1"/>
  <c r="AE379" i="1" s="1"/>
  <c r="AB380" i="1"/>
  <c r="AE380" i="1" s="1"/>
  <c r="AB381" i="1"/>
  <c r="AE381" i="1" s="1"/>
  <c r="AB382" i="1"/>
  <c r="AE382" i="1" s="1"/>
  <c r="AB383" i="1"/>
  <c r="AE383" i="1" s="1"/>
  <c r="AB384" i="1"/>
  <c r="AE384" i="1" s="1"/>
  <c r="AB385" i="1"/>
  <c r="AE385" i="1" s="1"/>
  <c r="AB386" i="1"/>
  <c r="AE386" i="1" s="1"/>
  <c r="AB387" i="1"/>
  <c r="AE387" i="1" s="1"/>
  <c r="AB388" i="1"/>
  <c r="AE388" i="1" s="1"/>
  <c r="AB389" i="1"/>
  <c r="AE389" i="1" s="1"/>
  <c r="AB390" i="1"/>
  <c r="AE390" i="1" s="1"/>
  <c r="AB391" i="1"/>
  <c r="AE391" i="1" s="1"/>
  <c r="AB392" i="1"/>
  <c r="AE392" i="1" s="1"/>
  <c r="AB393" i="1"/>
  <c r="AE393" i="1" s="1"/>
  <c r="AB394" i="1"/>
  <c r="AE394" i="1" s="1"/>
  <c r="AB395" i="1"/>
  <c r="AE395" i="1" s="1"/>
  <c r="AB396" i="1"/>
  <c r="AE396" i="1" s="1"/>
  <c r="AB397" i="1"/>
  <c r="AE397" i="1" s="1"/>
  <c r="AB398" i="1"/>
  <c r="AE398" i="1" s="1"/>
  <c r="AB399" i="1"/>
  <c r="AE399" i="1" s="1"/>
  <c r="AB400" i="1"/>
  <c r="AE400" i="1" s="1"/>
  <c r="AB401" i="1"/>
  <c r="AE401" i="1" s="1"/>
  <c r="AB402" i="1"/>
  <c r="AE402" i="1" s="1"/>
  <c r="AB403" i="1"/>
  <c r="AE403" i="1" s="1"/>
  <c r="AB404" i="1"/>
  <c r="AE404" i="1" s="1"/>
  <c r="AB405" i="1"/>
  <c r="AE405" i="1" s="1"/>
  <c r="AB406" i="1"/>
  <c r="AE406" i="1" s="1"/>
  <c r="AB407" i="1"/>
  <c r="AE407" i="1" s="1"/>
  <c r="AB408" i="1"/>
  <c r="AE408" i="1" s="1"/>
  <c r="AB409" i="1"/>
  <c r="AE409" i="1" s="1"/>
  <c r="AB410" i="1"/>
  <c r="AE410" i="1" s="1"/>
  <c r="AB411" i="1"/>
  <c r="AE411" i="1" s="1"/>
  <c r="AB412" i="1"/>
  <c r="AE412" i="1" s="1"/>
  <c r="AB413" i="1"/>
  <c r="AE413" i="1" s="1"/>
  <c r="AB414" i="1"/>
  <c r="AE414" i="1" s="1"/>
  <c r="AB415" i="1"/>
  <c r="AE415" i="1" s="1"/>
  <c r="AB416" i="1"/>
  <c r="AE416" i="1" s="1"/>
  <c r="AB417" i="1"/>
  <c r="AE417" i="1" s="1"/>
  <c r="AB418" i="1"/>
  <c r="AE418" i="1" s="1"/>
  <c r="AB419" i="1"/>
  <c r="AE419" i="1" s="1"/>
  <c r="AB420" i="1"/>
  <c r="AE420" i="1" s="1"/>
  <c r="AB421" i="1"/>
  <c r="AE421" i="1" s="1"/>
  <c r="AB422" i="1"/>
  <c r="AE422" i="1" s="1"/>
  <c r="AB423" i="1"/>
  <c r="AE423" i="1" s="1"/>
  <c r="AB424" i="1"/>
  <c r="AE424" i="1" s="1"/>
  <c r="AB425" i="1"/>
  <c r="AE425" i="1" s="1"/>
  <c r="AB426" i="1"/>
  <c r="AE426" i="1" s="1"/>
  <c r="AB427" i="1"/>
  <c r="AE427" i="1" s="1"/>
  <c r="AB428" i="1"/>
  <c r="AE428" i="1" s="1"/>
  <c r="AB429" i="1"/>
  <c r="AE429" i="1" s="1"/>
  <c r="AB430" i="1"/>
  <c r="AE430" i="1" s="1"/>
  <c r="AB431" i="1"/>
  <c r="AE431" i="1" s="1"/>
  <c r="AB432" i="1"/>
  <c r="AE432" i="1" s="1"/>
  <c r="AB433" i="1"/>
  <c r="AE433" i="1" s="1"/>
  <c r="AB434" i="1"/>
  <c r="AE434" i="1" s="1"/>
  <c r="AB435" i="1"/>
  <c r="AE435" i="1" s="1"/>
  <c r="AB436" i="1"/>
  <c r="AE436" i="1" s="1"/>
  <c r="AB437" i="1"/>
  <c r="AE437" i="1" s="1"/>
  <c r="AB438" i="1"/>
  <c r="AE438" i="1" s="1"/>
  <c r="AB439" i="1"/>
  <c r="AE439" i="1" s="1"/>
  <c r="AB440" i="1"/>
  <c r="AE440" i="1" s="1"/>
  <c r="AB441" i="1"/>
  <c r="AE441" i="1" s="1"/>
  <c r="AB442" i="1"/>
  <c r="AE442" i="1" s="1"/>
  <c r="AB443" i="1"/>
  <c r="AE443" i="1" s="1"/>
  <c r="AB444" i="1"/>
  <c r="AE444" i="1" s="1"/>
  <c r="AB445" i="1"/>
  <c r="AE445" i="1" s="1"/>
  <c r="AB446" i="1"/>
  <c r="AE446" i="1" s="1"/>
  <c r="AB447" i="1"/>
  <c r="AE447" i="1" s="1"/>
  <c r="AB448" i="1"/>
  <c r="AE448" i="1" s="1"/>
  <c r="AB449" i="1"/>
  <c r="AE449" i="1" s="1"/>
  <c r="AB450" i="1"/>
  <c r="AE450" i="1" s="1"/>
  <c r="AB451" i="1"/>
  <c r="AE451" i="1" s="1"/>
  <c r="AB452" i="1"/>
  <c r="AE452" i="1" s="1"/>
  <c r="AB453" i="1"/>
  <c r="AE453" i="1" s="1"/>
  <c r="AB454" i="1"/>
  <c r="AE454" i="1" s="1"/>
  <c r="AB455" i="1"/>
  <c r="AE455" i="1" s="1"/>
  <c r="AB456" i="1"/>
  <c r="AE456" i="1" s="1"/>
  <c r="AB457" i="1"/>
  <c r="AE457" i="1" s="1"/>
  <c r="AB458" i="1"/>
  <c r="AE458" i="1" s="1"/>
  <c r="AB459" i="1"/>
  <c r="AE459" i="1" s="1"/>
  <c r="AB460" i="1"/>
  <c r="AE460" i="1" s="1"/>
  <c r="AB461" i="1"/>
  <c r="AE461" i="1" s="1"/>
  <c r="AB462" i="1"/>
  <c r="AE462" i="1" s="1"/>
  <c r="AB463" i="1"/>
  <c r="AE463" i="1" s="1"/>
  <c r="AB464" i="1"/>
  <c r="AE464" i="1" s="1"/>
  <c r="AB465" i="1"/>
  <c r="AE465" i="1" s="1"/>
  <c r="AB466" i="1"/>
  <c r="AE466" i="1" s="1"/>
  <c r="AB467" i="1"/>
  <c r="AE467" i="1" s="1"/>
  <c r="AB468" i="1"/>
  <c r="AE468" i="1" s="1"/>
  <c r="AB469" i="1"/>
  <c r="AE469" i="1" s="1"/>
  <c r="AB470" i="1"/>
  <c r="AE470" i="1" s="1"/>
  <c r="AB471" i="1"/>
  <c r="AE471" i="1" s="1"/>
  <c r="AB472" i="1"/>
  <c r="AE472" i="1" s="1"/>
  <c r="AB473" i="1"/>
  <c r="AE473" i="1" s="1"/>
  <c r="AB474" i="1"/>
  <c r="AE474" i="1" s="1"/>
  <c r="AB475" i="1"/>
  <c r="AE475" i="1" s="1"/>
  <c r="AB476" i="1"/>
  <c r="AE476" i="1" s="1"/>
  <c r="AB477" i="1"/>
  <c r="AE477" i="1" s="1"/>
  <c r="AB478" i="1"/>
  <c r="AE478" i="1" s="1"/>
  <c r="AB479" i="1"/>
  <c r="AE479" i="1" s="1"/>
  <c r="AB480" i="1"/>
  <c r="AE480" i="1" s="1"/>
  <c r="AB481" i="1"/>
  <c r="AE481" i="1" s="1"/>
  <c r="AB482" i="1"/>
  <c r="AE482" i="1" s="1"/>
  <c r="AB483" i="1"/>
  <c r="AE483" i="1" s="1"/>
  <c r="AB484" i="1"/>
  <c r="AE484" i="1" s="1"/>
  <c r="AB485" i="1"/>
  <c r="AE485" i="1" s="1"/>
  <c r="AB486" i="1"/>
  <c r="AE486" i="1" s="1"/>
  <c r="AB487" i="1"/>
  <c r="AE487" i="1" s="1"/>
  <c r="AB488" i="1"/>
  <c r="AE488" i="1" s="1"/>
  <c r="AB489" i="1"/>
  <c r="AE489" i="1" s="1"/>
  <c r="AB490" i="1"/>
  <c r="AE490" i="1" s="1"/>
  <c r="AB491" i="1"/>
  <c r="AE491" i="1" s="1"/>
  <c r="AB492" i="1"/>
  <c r="AE492" i="1" s="1"/>
  <c r="AB493" i="1"/>
  <c r="AE493" i="1" s="1"/>
  <c r="AB494" i="1"/>
  <c r="AE494" i="1" s="1"/>
  <c r="AB495" i="1"/>
  <c r="AE495" i="1" s="1"/>
  <c r="AB496" i="1"/>
  <c r="AE496" i="1" s="1"/>
  <c r="AB497" i="1"/>
  <c r="AE497" i="1" s="1"/>
  <c r="AB498" i="1"/>
  <c r="AE498" i="1" s="1"/>
  <c r="AB499" i="1"/>
  <c r="AE499" i="1" s="1"/>
  <c r="AB500" i="1"/>
  <c r="AE500" i="1" s="1"/>
  <c r="AB501" i="1"/>
  <c r="AE501" i="1" s="1"/>
  <c r="AB502" i="1"/>
  <c r="AE502" i="1" s="1"/>
  <c r="AB503" i="1"/>
  <c r="AE503" i="1" s="1"/>
  <c r="AB504" i="1"/>
  <c r="AE504" i="1" s="1"/>
  <c r="AB505" i="1"/>
  <c r="AE505" i="1" s="1"/>
  <c r="AB506" i="1"/>
  <c r="AE506" i="1" s="1"/>
  <c r="AB507" i="1"/>
  <c r="AE507" i="1" s="1"/>
  <c r="AB508" i="1"/>
  <c r="AE508" i="1" s="1"/>
  <c r="AB509" i="1"/>
  <c r="AE509" i="1" s="1"/>
  <c r="AB510" i="1"/>
  <c r="AE510" i="1" s="1"/>
  <c r="AB511" i="1"/>
  <c r="AE511" i="1" s="1"/>
  <c r="AB512" i="1"/>
  <c r="AE512" i="1" s="1"/>
  <c r="AB513" i="1"/>
  <c r="AE513" i="1" s="1"/>
  <c r="AB514" i="1"/>
  <c r="AE514" i="1" s="1"/>
  <c r="AB515" i="1"/>
  <c r="AE515" i="1" s="1"/>
  <c r="AB516" i="1"/>
  <c r="AE516" i="1" s="1"/>
  <c r="AB517" i="1"/>
  <c r="AE517" i="1" s="1"/>
  <c r="AB518" i="1"/>
  <c r="AE518" i="1" s="1"/>
  <c r="AB519" i="1"/>
  <c r="AE519" i="1" s="1"/>
  <c r="AB520" i="1"/>
  <c r="AE520" i="1" s="1"/>
  <c r="AB521" i="1"/>
  <c r="AE521" i="1" s="1"/>
  <c r="AB522" i="1"/>
  <c r="AE522" i="1" s="1"/>
  <c r="AB523" i="1"/>
  <c r="AE523" i="1" s="1"/>
  <c r="AB524" i="1"/>
  <c r="AE524" i="1" s="1"/>
  <c r="AB525" i="1"/>
  <c r="AE525" i="1" s="1"/>
  <c r="AB526" i="1"/>
  <c r="AE526" i="1" s="1"/>
  <c r="AB527" i="1"/>
  <c r="AE527" i="1" s="1"/>
  <c r="AB528" i="1"/>
  <c r="AE528" i="1" s="1"/>
  <c r="AB529" i="1"/>
  <c r="AE529" i="1" s="1"/>
  <c r="AB530" i="1"/>
  <c r="AE530" i="1" s="1"/>
  <c r="AB531" i="1"/>
  <c r="AE531" i="1" s="1"/>
  <c r="AB532" i="1"/>
  <c r="AE532" i="1" s="1"/>
  <c r="AB533" i="1"/>
  <c r="AE533" i="1" s="1"/>
  <c r="AB534" i="1"/>
  <c r="AE534" i="1" s="1"/>
  <c r="AB535" i="1"/>
  <c r="AE535" i="1" s="1"/>
  <c r="AB536" i="1"/>
  <c r="AE536" i="1" s="1"/>
  <c r="AB537" i="1"/>
  <c r="AE537" i="1" s="1"/>
  <c r="AB538" i="1"/>
  <c r="AE538" i="1" s="1"/>
  <c r="AB539" i="1"/>
  <c r="AE539" i="1" s="1"/>
  <c r="AB540" i="1"/>
  <c r="AE540" i="1" s="1"/>
  <c r="AB541" i="1"/>
  <c r="AE541" i="1" s="1"/>
  <c r="AB542" i="1"/>
  <c r="AE542" i="1" s="1"/>
  <c r="AB543" i="1"/>
  <c r="AE543" i="1" s="1"/>
  <c r="AB544" i="1"/>
  <c r="AE544" i="1" s="1"/>
  <c r="AB545" i="1"/>
  <c r="AE545" i="1" s="1"/>
  <c r="AB546" i="1"/>
  <c r="AE546" i="1" s="1"/>
  <c r="AB547" i="1"/>
  <c r="AE547" i="1" s="1"/>
  <c r="AB548" i="1"/>
  <c r="AE548" i="1" s="1"/>
  <c r="AB549" i="1"/>
  <c r="AE549" i="1" s="1"/>
  <c r="AB550" i="1"/>
  <c r="AE550" i="1" s="1"/>
  <c r="AB551" i="1"/>
  <c r="AE551" i="1" s="1"/>
  <c r="AB552" i="1"/>
  <c r="AE552" i="1" s="1"/>
  <c r="AB553" i="1"/>
  <c r="AE553" i="1" s="1"/>
  <c r="AB554" i="1"/>
  <c r="AE554" i="1" s="1"/>
  <c r="AB555" i="1"/>
  <c r="AE555" i="1" s="1"/>
  <c r="AB556" i="1"/>
  <c r="AE556" i="1" s="1"/>
  <c r="AB557" i="1"/>
  <c r="AE557" i="1" s="1"/>
  <c r="AB558" i="1"/>
  <c r="AE558" i="1" s="1"/>
  <c r="AB559" i="1"/>
  <c r="AE559" i="1" s="1"/>
  <c r="AB560" i="1"/>
  <c r="AE560" i="1" s="1"/>
  <c r="AB561" i="1"/>
  <c r="AE561" i="1" s="1"/>
  <c r="AB562" i="1"/>
  <c r="AE562" i="1" s="1"/>
  <c r="AB563" i="1"/>
  <c r="AE563" i="1" s="1"/>
  <c r="AB564" i="1"/>
  <c r="AE564" i="1" s="1"/>
  <c r="AB565" i="1"/>
  <c r="AE565" i="1" s="1"/>
  <c r="AB566" i="1"/>
  <c r="AE566" i="1" s="1"/>
  <c r="AB567" i="1"/>
  <c r="AE567" i="1" s="1"/>
  <c r="AB568" i="1"/>
  <c r="AE568" i="1" s="1"/>
  <c r="AB569" i="1"/>
  <c r="AE569" i="1" s="1"/>
  <c r="AB570" i="1"/>
  <c r="AE570" i="1" s="1"/>
  <c r="AB571" i="1"/>
  <c r="AE571" i="1" s="1"/>
  <c r="AB572" i="1"/>
  <c r="AE572" i="1" s="1"/>
  <c r="AB573" i="1"/>
  <c r="AE573" i="1" s="1"/>
  <c r="AB574" i="1"/>
  <c r="AE574" i="1" s="1"/>
  <c r="AB575" i="1"/>
  <c r="AE575" i="1" s="1"/>
  <c r="AB576" i="1"/>
  <c r="AE576" i="1" s="1"/>
  <c r="AB577" i="1"/>
  <c r="AE577" i="1" s="1"/>
  <c r="AB578" i="1"/>
  <c r="AE578" i="1" s="1"/>
  <c r="AB579" i="1"/>
  <c r="AE579" i="1" s="1"/>
  <c r="AB580" i="1"/>
  <c r="AE580" i="1" s="1"/>
  <c r="AB581" i="1"/>
  <c r="AE581" i="1" s="1"/>
  <c r="AB582" i="1"/>
  <c r="AE582" i="1" s="1"/>
  <c r="AB583" i="1"/>
  <c r="AE583" i="1" s="1"/>
  <c r="AB584" i="1"/>
  <c r="AE584" i="1" s="1"/>
  <c r="AB585" i="1"/>
  <c r="AE585" i="1" s="1"/>
  <c r="AB586" i="1"/>
  <c r="AE586" i="1" s="1"/>
  <c r="AB587" i="1"/>
  <c r="AE587" i="1" s="1"/>
  <c r="AB588" i="1"/>
  <c r="AE588" i="1" s="1"/>
  <c r="AB589" i="1"/>
  <c r="AE589" i="1" s="1"/>
  <c r="AB590" i="1"/>
  <c r="AE590" i="1" s="1"/>
  <c r="AB591" i="1"/>
  <c r="AE591" i="1" s="1"/>
  <c r="AB592" i="1"/>
  <c r="AE592" i="1" s="1"/>
  <c r="AB593" i="1"/>
  <c r="AE593" i="1" s="1"/>
  <c r="AB594" i="1"/>
  <c r="AE594" i="1" s="1"/>
  <c r="AB595" i="1"/>
  <c r="AE595" i="1" s="1"/>
  <c r="AB596" i="1"/>
  <c r="AE596" i="1" s="1"/>
  <c r="AB597" i="1"/>
  <c r="AE597" i="1" s="1"/>
  <c r="AB598" i="1"/>
  <c r="AE598" i="1" s="1"/>
  <c r="AB599" i="1"/>
  <c r="AE599" i="1" s="1"/>
  <c r="AB600" i="1"/>
  <c r="AE600" i="1" s="1"/>
  <c r="AB601" i="1"/>
  <c r="AE601" i="1" s="1"/>
  <c r="AB602" i="1"/>
  <c r="AE602" i="1" s="1"/>
  <c r="AB603" i="1"/>
  <c r="AE603" i="1" s="1"/>
  <c r="AB604" i="1"/>
  <c r="AE604" i="1" s="1"/>
  <c r="AB605" i="1"/>
  <c r="AE605" i="1" s="1"/>
  <c r="AB606" i="1"/>
  <c r="AE606" i="1" s="1"/>
  <c r="AB607" i="1"/>
  <c r="AE607" i="1" s="1"/>
  <c r="AB608" i="1"/>
  <c r="AE608" i="1" s="1"/>
  <c r="AB609" i="1"/>
  <c r="AE609" i="1" s="1"/>
  <c r="AB610" i="1"/>
  <c r="AE610" i="1" s="1"/>
  <c r="AB611" i="1"/>
  <c r="AE611" i="1" s="1"/>
  <c r="AB612" i="1"/>
  <c r="AE612" i="1" s="1"/>
  <c r="AB613" i="1"/>
  <c r="AE613" i="1" s="1"/>
  <c r="AB614" i="1"/>
  <c r="AE614" i="1" s="1"/>
  <c r="AB615" i="1"/>
  <c r="AE615" i="1" s="1"/>
  <c r="AB616" i="1"/>
  <c r="AE616" i="1" s="1"/>
  <c r="AB617" i="1"/>
  <c r="AE617" i="1" s="1"/>
  <c r="AB618" i="1"/>
  <c r="AE618" i="1" s="1"/>
  <c r="AB619" i="1"/>
  <c r="AE619" i="1" s="1"/>
  <c r="AB620" i="1"/>
  <c r="AE620" i="1" s="1"/>
  <c r="AB621" i="1"/>
  <c r="AE621" i="1" s="1"/>
  <c r="AB622" i="1"/>
  <c r="AE622" i="1" s="1"/>
  <c r="AB623" i="1"/>
  <c r="AE623" i="1" s="1"/>
  <c r="AB624" i="1"/>
  <c r="AE624" i="1" s="1"/>
  <c r="AB625" i="1"/>
  <c r="AE625" i="1" s="1"/>
  <c r="AB626" i="1"/>
  <c r="AE626" i="1" s="1"/>
  <c r="AB627" i="1"/>
  <c r="AE627" i="1" s="1"/>
  <c r="AB628" i="1"/>
  <c r="AE628" i="1" s="1"/>
  <c r="AB629" i="1"/>
  <c r="AE629" i="1" s="1"/>
  <c r="AB630" i="1"/>
  <c r="AE630" i="1" s="1"/>
  <c r="AB631" i="1"/>
  <c r="AE631" i="1" s="1"/>
  <c r="AB632" i="1"/>
  <c r="AE632" i="1" s="1"/>
  <c r="AB633" i="1"/>
  <c r="AE633" i="1" s="1"/>
  <c r="AB634" i="1"/>
  <c r="AE634" i="1" s="1"/>
  <c r="AB635" i="1"/>
  <c r="AE635" i="1" s="1"/>
  <c r="AB636" i="1"/>
  <c r="AE636" i="1" s="1"/>
  <c r="AB637" i="1"/>
  <c r="AE637" i="1" s="1"/>
  <c r="AB638" i="1"/>
  <c r="AE638" i="1" s="1"/>
  <c r="AB639" i="1"/>
  <c r="AE639" i="1" s="1"/>
  <c r="AB640" i="1"/>
  <c r="AE640" i="1" s="1"/>
  <c r="AB641" i="1"/>
  <c r="AE641" i="1" s="1"/>
  <c r="AB642" i="1"/>
  <c r="AE642" i="1" s="1"/>
  <c r="AB643" i="1"/>
  <c r="AE643" i="1" s="1"/>
  <c r="AB644" i="1"/>
  <c r="AE644" i="1" s="1"/>
  <c r="AB645" i="1"/>
  <c r="AE645" i="1" s="1"/>
  <c r="AB646" i="1"/>
  <c r="AE646" i="1" s="1"/>
  <c r="AB647" i="1"/>
  <c r="AE647" i="1" s="1"/>
  <c r="AB648" i="1"/>
  <c r="AE648" i="1" s="1"/>
  <c r="AB649" i="1"/>
  <c r="AE649" i="1" s="1"/>
  <c r="AB650" i="1"/>
  <c r="AE650" i="1" s="1"/>
  <c r="AB651" i="1"/>
  <c r="AE651" i="1" s="1"/>
  <c r="AB652" i="1"/>
  <c r="AE652" i="1" s="1"/>
  <c r="AB653" i="1"/>
  <c r="AE653" i="1" s="1"/>
  <c r="AB654" i="1"/>
  <c r="AE654" i="1" s="1"/>
  <c r="AB655" i="1"/>
  <c r="AE655" i="1" s="1"/>
  <c r="AB656" i="1"/>
  <c r="AE656" i="1" s="1"/>
  <c r="AB657" i="1"/>
  <c r="AE657" i="1" s="1"/>
  <c r="AB658" i="1"/>
  <c r="AE658" i="1" s="1"/>
  <c r="AB659" i="1"/>
  <c r="AE659" i="1" s="1"/>
  <c r="AB660" i="1"/>
  <c r="AE660" i="1" s="1"/>
  <c r="AB661" i="1"/>
  <c r="AE661" i="1" s="1"/>
  <c r="AB662" i="1"/>
  <c r="AE662" i="1" s="1"/>
  <c r="AB663" i="1"/>
  <c r="AE663" i="1" s="1"/>
  <c r="AB664" i="1"/>
  <c r="AE664" i="1" s="1"/>
  <c r="AB665" i="1"/>
  <c r="AE665" i="1" s="1"/>
  <c r="AB666" i="1"/>
  <c r="AE666" i="1" s="1"/>
  <c r="AB667" i="1"/>
  <c r="AE667" i="1" s="1"/>
  <c r="AB668" i="1"/>
  <c r="AE668" i="1" s="1"/>
  <c r="AB669" i="1"/>
  <c r="AE669" i="1" s="1"/>
  <c r="AB670" i="1"/>
  <c r="AE670" i="1" s="1"/>
  <c r="AB671" i="1"/>
  <c r="AE671" i="1" s="1"/>
  <c r="AB672" i="1"/>
  <c r="AE672" i="1" s="1"/>
  <c r="AB673" i="1"/>
  <c r="AE673" i="1" s="1"/>
  <c r="AB674" i="1"/>
  <c r="AE674" i="1" s="1"/>
  <c r="AB675" i="1"/>
  <c r="AE675" i="1" s="1"/>
  <c r="AB676" i="1"/>
  <c r="AE676" i="1" s="1"/>
  <c r="AB677" i="1"/>
  <c r="AE677" i="1" s="1"/>
  <c r="AB678" i="1"/>
  <c r="AE678" i="1" s="1"/>
  <c r="AB679" i="1"/>
  <c r="AE679" i="1" s="1"/>
  <c r="AB680" i="1"/>
  <c r="AE680" i="1" s="1"/>
  <c r="AB681" i="1"/>
  <c r="AE681" i="1" s="1"/>
  <c r="AB682" i="1"/>
  <c r="AE682" i="1" s="1"/>
  <c r="AB683" i="1"/>
  <c r="AE683" i="1" s="1"/>
  <c r="AB684" i="1"/>
  <c r="AE684" i="1" s="1"/>
  <c r="AB685" i="1"/>
  <c r="AE685" i="1" s="1"/>
  <c r="AB686" i="1"/>
  <c r="AE686" i="1" s="1"/>
  <c r="AB687" i="1"/>
  <c r="AE687" i="1" s="1"/>
  <c r="AB688" i="1"/>
  <c r="AE688" i="1" s="1"/>
  <c r="AB689" i="1"/>
  <c r="AE689" i="1" s="1"/>
  <c r="AB690" i="1"/>
  <c r="AE690" i="1" s="1"/>
  <c r="AB691" i="1"/>
  <c r="AE691" i="1" s="1"/>
  <c r="AB692" i="1"/>
  <c r="AE692" i="1" s="1"/>
  <c r="AB693" i="1"/>
  <c r="AE693" i="1" s="1"/>
  <c r="AB694" i="1"/>
  <c r="AE694" i="1" s="1"/>
  <c r="AB695" i="1"/>
  <c r="AE695" i="1" s="1"/>
  <c r="AB696" i="1"/>
  <c r="AE696" i="1" s="1"/>
  <c r="AB697" i="1"/>
  <c r="AE697" i="1" s="1"/>
  <c r="AB698" i="1"/>
  <c r="AE698" i="1" s="1"/>
  <c r="AB699" i="1"/>
  <c r="AE699" i="1" s="1"/>
  <c r="AB700" i="1"/>
  <c r="AE700" i="1" s="1"/>
  <c r="AB701" i="1"/>
  <c r="AE701" i="1" s="1"/>
  <c r="AB702" i="1"/>
  <c r="AE702" i="1" s="1"/>
  <c r="AB703" i="1"/>
  <c r="AE703" i="1" s="1"/>
  <c r="AB704" i="1"/>
  <c r="AE704" i="1" s="1"/>
  <c r="AB705" i="1"/>
  <c r="AE705" i="1" s="1"/>
  <c r="AB706" i="1"/>
  <c r="AE706" i="1" s="1"/>
  <c r="AB707" i="1"/>
  <c r="AE707" i="1" s="1"/>
  <c r="AB708" i="1"/>
  <c r="AE708" i="1" s="1"/>
  <c r="AB709" i="1"/>
  <c r="AE709" i="1" s="1"/>
  <c r="AB710" i="1"/>
  <c r="AE710" i="1" s="1"/>
  <c r="AB711" i="1"/>
  <c r="AE711" i="1" s="1"/>
  <c r="AB712" i="1"/>
  <c r="AE712" i="1" s="1"/>
  <c r="AB713" i="1"/>
  <c r="AE713" i="1" s="1"/>
  <c r="AB714" i="1"/>
  <c r="AE714" i="1" s="1"/>
  <c r="AB715" i="1"/>
  <c r="AE715" i="1" s="1"/>
  <c r="AB716" i="1"/>
  <c r="AE716" i="1" s="1"/>
  <c r="AB717" i="1"/>
  <c r="AE717" i="1" s="1"/>
  <c r="AB718" i="1"/>
  <c r="AE718" i="1" s="1"/>
  <c r="AB719" i="1"/>
  <c r="AE719" i="1" s="1"/>
  <c r="AB720" i="1"/>
  <c r="AE720" i="1" s="1"/>
  <c r="AB721" i="1"/>
  <c r="AE721" i="1" s="1"/>
  <c r="AB722" i="1"/>
  <c r="AE722" i="1" s="1"/>
  <c r="AB723" i="1"/>
  <c r="AE723" i="1" s="1"/>
  <c r="AB724" i="1"/>
  <c r="AE724" i="1" s="1"/>
  <c r="AB725" i="1"/>
  <c r="AE725" i="1" s="1"/>
  <c r="AB726" i="1"/>
  <c r="AE726" i="1" s="1"/>
  <c r="AB727" i="1"/>
  <c r="AE727" i="1" s="1"/>
  <c r="AB728" i="1"/>
  <c r="AE728" i="1" s="1"/>
  <c r="AB729" i="1"/>
  <c r="AE729" i="1" s="1"/>
  <c r="AB730" i="1"/>
  <c r="AE730" i="1" s="1"/>
  <c r="AB731" i="1"/>
  <c r="AE731" i="1" s="1"/>
  <c r="AB732" i="1"/>
  <c r="AE732" i="1" s="1"/>
  <c r="AB733" i="1"/>
  <c r="AE733" i="1" s="1"/>
  <c r="AB734" i="1"/>
  <c r="AE734" i="1" s="1"/>
  <c r="AB735" i="1"/>
  <c r="AE735" i="1" s="1"/>
  <c r="AB736" i="1"/>
  <c r="AE736" i="1" s="1"/>
  <c r="AB737" i="1"/>
  <c r="AE737" i="1" s="1"/>
  <c r="AB738" i="1"/>
  <c r="AE738" i="1" s="1"/>
  <c r="AB739" i="1"/>
  <c r="AE739" i="1" s="1"/>
  <c r="AB740" i="1"/>
  <c r="AE740" i="1" s="1"/>
  <c r="AB741" i="1"/>
  <c r="AE741" i="1" s="1"/>
  <c r="AB742" i="1"/>
  <c r="AE742" i="1" s="1"/>
  <c r="AB743" i="1"/>
  <c r="AE743" i="1" s="1"/>
  <c r="AB744" i="1"/>
  <c r="AE744" i="1" s="1"/>
  <c r="AB745" i="1"/>
  <c r="AE745" i="1" s="1"/>
  <c r="AB746" i="1"/>
  <c r="AE746" i="1" s="1"/>
  <c r="AB747" i="1"/>
  <c r="AE747" i="1" s="1"/>
  <c r="AB748" i="1"/>
  <c r="AE748" i="1" s="1"/>
  <c r="AB749" i="1"/>
  <c r="AE749" i="1" s="1"/>
  <c r="AB750" i="1"/>
  <c r="AE750" i="1" s="1"/>
  <c r="AB751" i="1"/>
  <c r="AE751" i="1" s="1"/>
  <c r="AB752" i="1"/>
  <c r="AE752" i="1" s="1"/>
  <c r="AB753" i="1"/>
  <c r="AE753" i="1" s="1"/>
  <c r="AB754" i="1"/>
  <c r="AE754" i="1" s="1"/>
  <c r="AB755" i="1"/>
  <c r="AE755" i="1" s="1"/>
  <c r="AB756" i="1"/>
  <c r="AE756" i="1" s="1"/>
  <c r="AB757" i="1"/>
  <c r="AE757" i="1" s="1"/>
  <c r="AB758" i="1"/>
  <c r="AE758" i="1" s="1"/>
  <c r="AB759" i="1"/>
  <c r="AE759" i="1" s="1"/>
  <c r="AB760" i="1"/>
  <c r="AE760" i="1" s="1"/>
  <c r="AB761" i="1"/>
  <c r="AE761" i="1" s="1"/>
  <c r="AB762" i="1"/>
  <c r="AE762" i="1" s="1"/>
  <c r="AB763" i="1"/>
  <c r="AE763" i="1" s="1"/>
  <c r="AB764" i="1"/>
  <c r="AE764" i="1" s="1"/>
  <c r="AB765" i="1"/>
  <c r="AE765" i="1" s="1"/>
  <c r="AB766" i="1"/>
  <c r="AE766" i="1" s="1"/>
  <c r="AB767" i="1"/>
  <c r="AE767" i="1" s="1"/>
  <c r="AB768" i="1"/>
  <c r="AE768" i="1" s="1"/>
  <c r="AB769" i="1"/>
  <c r="AE769" i="1" s="1"/>
  <c r="AB770" i="1"/>
  <c r="AE770" i="1" s="1"/>
  <c r="AB771" i="1"/>
  <c r="AE771" i="1" s="1"/>
  <c r="AB772" i="1"/>
  <c r="AE772" i="1" s="1"/>
  <c r="AB773" i="1"/>
  <c r="AE773" i="1" s="1"/>
  <c r="AB774" i="1"/>
  <c r="AE774" i="1" s="1"/>
  <c r="AB775" i="1"/>
  <c r="AE775" i="1" s="1"/>
  <c r="AB776" i="1"/>
  <c r="AE776" i="1" s="1"/>
  <c r="AB777" i="1"/>
  <c r="AE777" i="1" s="1"/>
  <c r="AB778" i="1"/>
  <c r="AE778" i="1" s="1"/>
  <c r="AB779" i="1"/>
  <c r="AE779" i="1" s="1"/>
  <c r="AB780" i="1"/>
  <c r="AE780" i="1" s="1"/>
  <c r="AB781" i="1"/>
  <c r="AE781" i="1" s="1"/>
  <c r="AB782" i="1"/>
  <c r="AE782" i="1" s="1"/>
  <c r="AB783" i="1"/>
  <c r="AE783" i="1" s="1"/>
  <c r="AB784" i="1"/>
  <c r="AE784" i="1" s="1"/>
  <c r="AB785" i="1"/>
  <c r="AE785" i="1" s="1"/>
  <c r="AB786" i="1"/>
  <c r="AE786" i="1" s="1"/>
  <c r="AB787" i="1"/>
  <c r="AE787" i="1" s="1"/>
  <c r="AB788" i="1"/>
  <c r="AE788" i="1" s="1"/>
  <c r="AB789" i="1"/>
  <c r="AE789" i="1" s="1"/>
  <c r="AB790" i="1"/>
  <c r="AE790" i="1" s="1"/>
  <c r="AB791" i="1"/>
  <c r="AE791" i="1" s="1"/>
  <c r="AB792" i="1"/>
  <c r="AE792" i="1" s="1"/>
  <c r="AB793" i="1"/>
  <c r="AE793" i="1" s="1"/>
  <c r="AB794" i="1"/>
  <c r="AE794" i="1" s="1"/>
  <c r="AB795" i="1"/>
  <c r="AE795" i="1" s="1"/>
  <c r="AB796" i="1"/>
  <c r="AE796" i="1" s="1"/>
  <c r="AB797" i="1"/>
  <c r="AE797" i="1" s="1"/>
  <c r="AB798" i="1"/>
  <c r="AE798" i="1" s="1"/>
  <c r="AB799" i="1"/>
  <c r="AE799" i="1" s="1"/>
  <c r="AB800" i="1"/>
  <c r="AE800" i="1" s="1"/>
  <c r="AB801" i="1"/>
  <c r="AE801" i="1" s="1"/>
  <c r="AB802" i="1"/>
  <c r="AE802" i="1" s="1"/>
  <c r="AB803" i="1"/>
  <c r="AE803" i="1" s="1"/>
  <c r="AB804" i="1"/>
  <c r="AE804" i="1" s="1"/>
  <c r="AB805" i="1"/>
  <c r="AE805" i="1" s="1"/>
  <c r="AB806" i="1"/>
  <c r="AE806" i="1" s="1"/>
  <c r="AB807" i="1"/>
  <c r="AE807" i="1" s="1"/>
  <c r="AB808" i="1"/>
  <c r="AE808" i="1" s="1"/>
  <c r="AB809" i="1"/>
  <c r="AE809" i="1" s="1"/>
  <c r="AB810" i="1"/>
  <c r="AE810" i="1" s="1"/>
  <c r="AB811" i="1"/>
  <c r="AE811" i="1" s="1"/>
  <c r="AB812" i="1"/>
  <c r="AE812" i="1" s="1"/>
  <c r="AB813" i="1"/>
  <c r="AE813" i="1" s="1"/>
  <c r="AB814" i="1"/>
  <c r="AE814" i="1" s="1"/>
  <c r="AB815" i="1"/>
  <c r="AE815" i="1" s="1"/>
  <c r="AB816" i="1"/>
  <c r="AE816" i="1" s="1"/>
  <c r="AB817" i="1"/>
  <c r="AE817" i="1" s="1"/>
  <c r="AB818" i="1"/>
  <c r="AE818" i="1" s="1"/>
  <c r="AB819" i="1"/>
  <c r="AE819" i="1" s="1"/>
  <c r="AB820" i="1"/>
  <c r="AE820" i="1" s="1"/>
  <c r="AB821" i="1"/>
  <c r="AE821" i="1" s="1"/>
  <c r="AB822" i="1"/>
  <c r="AE822" i="1" s="1"/>
  <c r="AB823" i="1"/>
  <c r="AE823" i="1" s="1"/>
  <c r="AB824" i="1"/>
  <c r="AE824" i="1" s="1"/>
  <c r="AB825" i="1"/>
  <c r="AE825" i="1" s="1"/>
  <c r="AB826" i="1"/>
  <c r="AE826" i="1" s="1"/>
  <c r="AB827" i="1"/>
  <c r="AE827" i="1" s="1"/>
  <c r="AB828" i="1"/>
  <c r="AE828" i="1" s="1"/>
  <c r="AB829" i="1"/>
  <c r="AE829" i="1" s="1"/>
  <c r="AB830" i="1"/>
  <c r="AE830" i="1" s="1"/>
  <c r="AB831" i="1"/>
  <c r="AE831" i="1" s="1"/>
  <c r="AB832" i="1"/>
  <c r="AE832" i="1" s="1"/>
  <c r="AB833" i="1"/>
  <c r="AE833" i="1" s="1"/>
  <c r="AB834" i="1"/>
  <c r="AE834" i="1" s="1"/>
  <c r="AB835" i="1"/>
  <c r="AE835" i="1" s="1"/>
  <c r="AB836" i="1"/>
  <c r="AE836" i="1" s="1"/>
  <c r="AB837" i="1"/>
  <c r="AE837" i="1" s="1"/>
  <c r="AB838" i="1"/>
  <c r="AE838" i="1" s="1"/>
  <c r="AB839" i="1"/>
  <c r="AE839" i="1" s="1"/>
  <c r="AB840" i="1"/>
  <c r="AE840" i="1" s="1"/>
  <c r="AB841" i="1"/>
  <c r="AE841" i="1" s="1"/>
  <c r="AB842" i="1"/>
  <c r="AE842" i="1" s="1"/>
  <c r="AB843" i="1"/>
  <c r="AE843" i="1" s="1"/>
  <c r="AB844" i="1"/>
  <c r="AE844" i="1" s="1"/>
  <c r="AB845" i="1"/>
  <c r="AE845" i="1" s="1"/>
  <c r="AB846" i="1"/>
  <c r="AE846" i="1" s="1"/>
  <c r="AB847" i="1"/>
  <c r="AE847" i="1" s="1"/>
  <c r="AB848" i="1"/>
  <c r="AE848" i="1" s="1"/>
  <c r="AB849" i="1"/>
  <c r="AE849" i="1" s="1"/>
  <c r="AB850" i="1"/>
  <c r="AE850" i="1" s="1"/>
  <c r="AB851" i="1"/>
  <c r="AE851" i="1" s="1"/>
  <c r="AB852" i="1"/>
  <c r="AE852" i="1" s="1"/>
  <c r="AB853" i="1"/>
  <c r="AE853" i="1" s="1"/>
  <c r="AB854" i="1"/>
  <c r="AE854" i="1" s="1"/>
  <c r="AB855" i="1"/>
  <c r="AE855" i="1" s="1"/>
  <c r="AB856" i="1"/>
  <c r="AE856" i="1" s="1"/>
  <c r="AB857" i="1"/>
  <c r="AE857" i="1" s="1"/>
  <c r="AB858" i="1"/>
  <c r="AE858" i="1" s="1"/>
  <c r="AB859" i="1"/>
  <c r="AE859" i="1" s="1"/>
  <c r="AB860" i="1"/>
  <c r="AE860" i="1" s="1"/>
  <c r="AB861" i="1"/>
  <c r="AE861" i="1" s="1"/>
  <c r="AB862" i="1"/>
  <c r="AE862" i="1" s="1"/>
  <c r="AB863" i="1"/>
  <c r="AE863" i="1" s="1"/>
  <c r="AB864" i="1"/>
  <c r="AE864" i="1" s="1"/>
  <c r="AB865" i="1"/>
  <c r="AE865" i="1" s="1"/>
  <c r="AB866" i="1"/>
  <c r="AE866" i="1" s="1"/>
  <c r="AB867" i="1"/>
  <c r="AE867" i="1" s="1"/>
  <c r="AB868" i="1"/>
  <c r="AE868" i="1" s="1"/>
  <c r="AB869" i="1"/>
  <c r="AE869" i="1" s="1"/>
  <c r="AB870" i="1"/>
  <c r="AE870" i="1" s="1"/>
  <c r="AB871" i="1"/>
  <c r="AE871" i="1" s="1"/>
  <c r="AB872" i="1"/>
  <c r="AE872" i="1" s="1"/>
  <c r="AB873" i="1"/>
  <c r="AE873" i="1" s="1"/>
  <c r="AB874" i="1"/>
  <c r="AE874" i="1" s="1"/>
  <c r="AB875" i="1"/>
  <c r="AE875" i="1" s="1"/>
  <c r="AB876" i="1"/>
  <c r="AE876" i="1" s="1"/>
  <c r="AB877" i="1"/>
  <c r="AE877" i="1" s="1"/>
  <c r="AB878" i="1"/>
  <c r="AE878" i="1" s="1"/>
  <c r="AB879" i="1"/>
  <c r="AE879" i="1" s="1"/>
  <c r="AB880" i="1"/>
  <c r="AE880" i="1" s="1"/>
  <c r="AB881" i="1"/>
  <c r="AE881" i="1" s="1"/>
  <c r="AB882" i="1"/>
  <c r="AE882" i="1" s="1"/>
  <c r="AB883" i="1"/>
  <c r="AE883" i="1" s="1"/>
  <c r="AB884" i="1"/>
  <c r="AE884" i="1" s="1"/>
  <c r="AB885" i="1"/>
  <c r="AE885" i="1" s="1"/>
  <c r="AB886" i="1"/>
  <c r="AE886" i="1" s="1"/>
  <c r="AB887" i="1"/>
  <c r="AE887" i="1" s="1"/>
  <c r="AB888" i="1"/>
  <c r="AE888" i="1" s="1"/>
  <c r="AB889" i="1"/>
  <c r="AE889" i="1" s="1"/>
  <c r="AB890" i="1"/>
  <c r="AE890" i="1" s="1"/>
  <c r="AB891" i="1"/>
  <c r="AE891" i="1" s="1"/>
  <c r="AB892" i="1"/>
  <c r="AE892" i="1" s="1"/>
  <c r="AB893" i="1"/>
  <c r="AE893" i="1" s="1"/>
  <c r="AB894" i="1"/>
  <c r="AE894" i="1" s="1"/>
  <c r="AB895" i="1"/>
  <c r="AE895" i="1" s="1"/>
  <c r="AB896" i="1"/>
  <c r="AE896" i="1" s="1"/>
  <c r="AB897" i="1"/>
  <c r="AE897" i="1" s="1"/>
  <c r="AB898" i="1"/>
  <c r="AE898" i="1" s="1"/>
  <c r="AB899" i="1"/>
  <c r="AE899" i="1" s="1"/>
  <c r="AB900" i="1"/>
  <c r="AE900" i="1" s="1"/>
  <c r="AB901" i="1"/>
  <c r="AE901" i="1" s="1"/>
  <c r="AB902" i="1"/>
  <c r="AE902" i="1" s="1"/>
  <c r="AB903" i="1"/>
  <c r="AE903" i="1" s="1"/>
  <c r="AB904" i="1"/>
  <c r="AE904" i="1" s="1"/>
  <c r="AB905" i="1"/>
  <c r="AE905" i="1" s="1"/>
  <c r="AB906" i="1"/>
  <c r="AE906" i="1" s="1"/>
  <c r="AB907" i="1"/>
  <c r="AE907" i="1" s="1"/>
  <c r="AB908" i="1"/>
  <c r="AE908" i="1" s="1"/>
  <c r="AB909" i="1"/>
  <c r="AE909" i="1" s="1"/>
  <c r="AB910" i="1"/>
  <c r="AE910" i="1" s="1"/>
  <c r="AB911" i="1"/>
  <c r="AE911" i="1" s="1"/>
  <c r="AB912" i="1"/>
  <c r="AE912" i="1" s="1"/>
  <c r="AB913" i="1"/>
  <c r="AE913" i="1" s="1"/>
  <c r="AB914" i="1"/>
  <c r="AE914" i="1" s="1"/>
  <c r="AB915" i="1"/>
  <c r="AE915" i="1" s="1"/>
  <c r="AB916" i="1"/>
  <c r="AE916" i="1" s="1"/>
  <c r="AB917" i="1"/>
  <c r="AE917" i="1" s="1"/>
  <c r="AB918" i="1"/>
  <c r="AE918" i="1" s="1"/>
  <c r="AB919" i="1"/>
  <c r="AE919" i="1" s="1"/>
  <c r="AB920" i="1"/>
  <c r="AE920" i="1" s="1"/>
  <c r="AB921" i="1"/>
  <c r="AE921" i="1" s="1"/>
  <c r="AB922" i="1"/>
  <c r="AE922" i="1" s="1"/>
  <c r="AB923" i="1"/>
  <c r="AE923" i="1" s="1"/>
  <c r="AB924" i="1"/>
  <c r="AE924" i="1" s="1"/>
  <c r="AB925" i="1"/>
  <c r="AE925" i="1" s="1"/>
  <c r="AB926" i="1"/>
  <c r="AE926" i="1" s="1"/>
  <c r="AB927" i="1"/>
  <c r="AE927" i="1" s="1"/>
  <c r="AB928" i="1"/>
  <c r="AE928" i="1" s="1"/>
  <c r="AB929" i="1"/>
  <c r="AE929" i="1" s="1"/>
  <c r="AB930" i="1"/>
  <c r="AE930" i="1" s="1"/>
  <c r="AB931" i="1"/>
  <c r="AE931" i="1" s="1"/>
  <c r="AB932" i="1"/>
  <c r="AE932" i="1" s="1"/>
  <c r="AB933" i="1"/>
  <c r="AE933" i="1" s="1"/>
  <c r="AB934" i="1"/>
  <c r="AE934" i="1" s="1"/>
  <c r="AB935" i="1"/>
  <c r="AE935" i="1" s="1"/>
  <c r="AB936" i="1"/>
  <c r="AE936" i="1" s="1"/>
  <c r="AB937" i="1"/>
  <c r="AE937" i="1" s="1"/>
  <c r="AB938" i="1"/>
  <c r="AE938" i="1" s="1"/>
  <c r="AB939" i="1"/>
  <c r="AE939" i="1" s="1"/>
  <c r="AB940" i="1"/>
  <c r="AE940" i="1" s="1"/>
  <c r="AB941" i="1"/>
  <c r="AE941" i="1" s="1"/>
  <c r="AB942" i="1"/>
  <c r="AE942" i="1" s="1"/>
  <c r="AB943" i="1"/>
  <c r="AE943" i="1" s="1"/>
  <c r="AB944" i="1"/>
  <c r="AE944" i="1" s="1"/>
  <c r="AB945" i="1"/>
  <c r="AE945" i="1" s="1"/>
  <c r="AB946" i="1"/>
  <c r="AE946" i="1" s="1"/>
  <c r="AB947" i="1"/>
  <c r="AE947" i="1" s="1"/>
  <c r="AB948" i="1"/>
  <c r="AE948" i="1" s="1"/>
  <c r="AB949" i="1"/>
  <c r="AE949" i="1" s="1"/>
  <c r="AB950" i="1"/>
  <c r="AE950" i="1" s="1"/>
  <c r="AB951" i="1"/>
  <c r="AE951" i="1" s="1"/>
  <c r="AB952" i="1"/>
  <c r="AE952" i="1" s="1"/>
  <c r="AB953" i="1"/>
  <c r="AE953" i="1" s="1"/>
  <c r="AB954" i="1"/>
  <c r="AE954" i="1" s="1"/>
  <c r="AB955" i="1"/>
  <c r="AE955" i="1" s="1"/>
  <c r="AB956" i="1"/>
  <c r="AE956" i="1" s="1"/>
  <c r="AB957" i="1"/>
  <c r="AE957" i="1" s="1"/>
  <c r="AB958" i="1"/>
  <c r="AE958" i="1" s="1"/>
  <c r="AB959" i="1"/>
  <c r="AE959" i="1" s="1"/>
  <c r="AB960" i="1"/>
  <c r="AE960" i="1" s="1"/>
  <c r="AB961" i="1"/>
  <c r="AE961" i="1" s="1"/>
  <c r="AB962" i="1"/>
  <c r="AE962" i="1" s="1"/>
  <c r="AB963" i="1"/>
  <c r="AE963" i="1" s="1"/>
  <c r="AB964" i="1"/>
  <c r="AE964" i="1" s="1"/>
  <c r="AB965" i="1"/>
  <c r="AE965" i="1" s="1"/>
  <c r="AB966" i="1"/>
  <c r="AE966" i="1" s="1"/>
  <c r="AB967" i="1"/>
  <c r="AE967" i="1" s="1"/>
  <c r="AB968" i="1"/>
  <c r="AE968" i="1" s="1"/>
  <c r="AB969" i="1"/>
  <c r="AE969" i="1" s="1"/>
  <c r="AB970" i="1"/>
  <c r="AE970" i="1" s="1"/>
  <c r="AB971" i="1"/>
  <c r="AE971" i="1" s="1"/>
  <c r="AB972" i="1"/>
  <c r="AE972" i="1" s="1"/>
  <c r="AB973" i="1"/>
  <c r="AE973" i="1" s="1"/>
  <c r="AB974" i="1"/>
  <c r="AE974" i="1" s="1"/>
  <c r="AB975" i="1"/>
  <c r="AE975" i="1" s="1"/>
  <c r="AB976" i="1"/>
  <c r="AE976" i="1" s="1"/>
  <c r="AB977" i="1"/>
  <c r="AE977" i="1" s="1"/>
  <c r="AB978" i="1"/>
  <c r="AE978" i="1" s="1"/>
  <c r="AB979" i="1"/>
  <c r="AE979" i="1" s="1"/>
  <c r="AB980" i="1"/>
  <c r="AE980" i="1" s="1"/>
  <c r="AB981" i="1"/>
  <c r="AE981" i="1" s="1"/>
  <c r="AB982" i="1"/>
  <c r="AE982" i="1" s="1"/>
  <c r="AB983" i="1"/>
  <c r="AE983" i="1" s="1"/>
  <c r="AB984" i="1"/>
  <c r="AE984" i="1" s="1"/>
  <c r="AB985" i="1"/>
  <c r="AE985" i="1" s="1"/>
  <c r="AB986" i="1"/>
  <c r="AE986" i="1" s="1"/>
  <c r="AB987" i="1"/>
  <c r="AE987" i="1" s="1"/>
  <c r="AB988" i="1"/>
  <c r="AE988" i="1" s="1"/>
  <c r="AB989" i="1"/>
  <c r="AE989" i="1" s="1"/>
  <c r="AB990" i="1"/>
  <c r="AE990" i="1" s="1"/>
  <c r="AB991" i="1"/>
  <c r="AE991" i="1" s="1"/>
  <c r="AB992" i="1"/>
  <c r="AE992" i="1" s="1"/>
  <c r="AB993" i="1"/>
  <c r="AE993" i="1" s="1"/>
  <c r="AB994" i="1"/>
  <c r="AE994" i="1" s="1"/>
  <c r="AB995" i="1"/>
  <c r="AE995" i="1" s="1"/>
  <c r="AB996" i="1"/>
  <c r="AE996" i="1" s="1"/>
  <c r="AB997" i="1"/>
  <c r="AE997" i="1" s="1"/>
  <c r="AB998" i="1"/>
  <c r="AE998" i="1" s="1"/>
  <c r="AB999" i="1"/>
  <c r="AE999" i="1" s="1"/>
  <c r="AB1000" i="1"/>
  <c r="AE1000" i="1" s="1"/>
  <c r="AB1001" i="1"/>
  <c r="AE1001" i="1" s="1"/>
  <c r="AB1002" i="1"/>
  <c r="AE1002" i="1" s="1"/>
  <c r="AB1003" i="1"/>
  <c r="AE1003" i="1" s="1"/>
  <c r="AB1004" i="1"/>
  <c r="AE1004" i="1" s="1"/>
  <c r="AB1005" i="1"/>
  <c r="AE1005" i="1" s="1"/>
  <c r="AB1006" i="1"/>
  <c r="AE1006" i="1" s="1"/>
  <c r="AB1007" i="1"/>
  <c r="AE1007" i="1" s="1"/>
  <c r="AB1008" i="1"/>
  <c r="AE1008" i="1" s="1"/>
  <c r="AB1009" i="1"/>
  <c r="AE1009" i="1" s="1"/>
  <c r="AB1010" i="1"/>
  <c r="AE1010" i="1" s="1"/>
  <c r="AB1011" i="1"/>
  <c r="AE1011" i="1" s="1"/>
  <c r="AB1012" i="1"/>
  <c r="AE1012" i="1" s="1"/>
  <c r="AB1013" i="1"/>
  <c r="AE1013" i="1" s="1"/>
  <c r="AB1014" i="1"/>
  <c r="AE1014" i="1" s="1"/>
  <c r="AB1015" i="1"/>
  <c r="AE1015" i="1" s="1"/>
  <c r="AB1016" i="1"/>
  <c r="AE1016" i="1" s="1"/>
  <c r="AB1017" i="1"/>
  <c r="AE1017" i="1" s="1"/>
  <c r="AB1018" i="1"/>
  <c r="AE1018" i="1" s="1"/>
  <c r="AB1019" i="1"/>
  <c r="AE1019" i="1" s="1"/>
  <c r="AB1020" i="1"/>
  <c r="AE1020" i="1" s="1"/>
  <c r="AB1021" i="1"/>
  <c r="AE1021" i="1" s="1"/>
  <c r="AB1022" i="1"/>
  <c r="AE1022" i="1" s="1"/>
  <c r="AB1023" i="1"/>
  <c r="AE1023" i="1" s="1"/>
  <c r="AB1024" i="1"/>
  <c r="AE1024" i="1" s="1"/>
  <c r="AB1025" i="1"/>
  <c r="AE1025" i="1" s="1"/>
  <c r="AB1026" i="1"/>
  <c r="AE1026" i="1" s="1"/>
  <c r="AB1027" i="1"/>
  <c r="AE1027" i="1" s="1"/>
  <c r="AB1028" i="1"/>
  <c r="AE1028" i="1" s="1"/>
  <c r="AB1029" i="1"/>
  <c r="AE1029" i="1" s="1"/>
  <c r="AB1030" i="1"/>
  <c r="AE1030" i="1" s="1"/>
  <c r="AB1031" i="1"/>
  <c r="AE1031" i="1" s="1"/>
  <c r="AB1032" i="1"/>
  <c r="AE1032" i="1" s="1"/>
  <c r="AB1033" i="1"/>
  <c r="AE1033" i="1" s="1"/>
  <c r="AB1034" i="1"/>
  <c r="AE1034" i="1" s="1"/>
  <c r="AB1035" i="1"/>
  <c r="AE1035" i="1" s="1"/>
  <c r="AB1036" i="1"/>
  <c r="AE1036" i="1" s="1"/>
  <c r="AB1037" i="1"/>
  <c r="AE1037" i="1" s="1"/>
  <c r="AB1038" i="1"/>
  <c r="AE1038" i="1" s="1"/>
  <c r="AB1039" i="1"/>
  <c r="AE1039" i="1" s="1"/>
  <c r="AB1040" i="1"/>
  <c r="AE1040" i="1" s="1"/>
  <c r="AB1041" i="1"/>
  <c r="AE1041" i="1" s="1"/>
  <c r="AB1042" i="1"/>
  <c r="AE1042" i="1" s="1"/>
  <c r="AB1043" i="1"/>
  <c r="AE1043" i="1" s="1"/>
  <c r="AB1044" i="1"/>
  <c r="AE1044" i="1" s="1"/>
  <c r="AB1045" i="1"/>
  <c r="AE1045" i="1" s="1"/>
  <c r="AB1046" i="1"/>
  <c r="AE1046" i="1" s="1"/>
  <c r="AB1047" i="1"/>
  <c r="AE1047" i="1" s="1"/>
  <c r="AB1048" i="1"/>
  <c r="AE1048" i="1" s="1"/>
  <c r="AB1049" i="1"/>
  <c r="AE1049" i="1" s="1"/>
  <c r="AB1050" i="1"/>
  <c r="AE1050" i="1" s="1"/>
  <c r="AB1051" i="1"/>
  <c r="AE1051" i="1" s="1"/>
  <c r="AB1052" i="1"/>
  <c r="AE1052" i="1" s="1"/>
  <c r="AB1053" i="1"/>
  <c r="AE1053" i="1" s="1"/>
  <c r="AB1054" i="1"/>
  <c r="AE1054" i="1" s="1"/>
  <c r="AB1055" i="1"/>
  <c r="AE1055" i="1" s="1"/>
  <c r="AB1056" i="1"/>
  <c r="AE1056" i="1" s="1"/>
  <c r="AB1057" i="1"/>
  <c r="AE1057" i="1" s="1"/>
  <c r="AB1058" i="1"/>
  <c r="AE1058" i="1" s="1"/>
  <c r="AB1059" i="1"/>
  <c r="AE1059" i="1" s="1"/>
  <c r="AB1060" i="1"/>
  <c r="AE1060" i="1" s="1"/>
  <c r="AB1061" i="1"/>
  <c r="AE1061" i="1" s="1"/>
  <c r="AB1062" i="1"/>
  <c r="AE1062" i="1" s="1"/>
  <c r="AB1063" i="1"/>
  <c r="AE1063" i="1" s="1"/>
  <c r="AB1064" i="1"/>
  <c r="AE1064" i="1" s="1"/>
  <c r="AB1065" i="1"/>
  <c r="AE1065" i="1" s="1"/>
  <c r="AB1066" i="1"/>
  <c r="AE1066" i="1" s="1"/>
  <c r="AB1067" i="1"/>
  <c r="AE1067" i="1" s="1"/>
  <c r="AB1068" i="1"/>
  <c r="AE1068" i="1" s="1"/>
  <c r="AB1069" i="1"/>
  <c r="AE1069" i="1" s="1"/>
  <c r="AB1070" i="1"/>
  <c r="AE1070" i="1" s="1"/>
  <c r="AB1071" i="1"/>
  <c r="AE1071" i="1" s="1"/>
  <c r="AB1072" i="1"/>
  <c r="AE1072" i="1" s="1"/>
  <c r="AB1073" i="1"/>
  <c r="AE1073" i="1" s="1"/>
  <c r="AB1074" i="1"/>
  <c r="AE1074" i="1" s="1"/>
  <c r="AB1075" i="1"/>
  <c r="AE1075" i="1" s="1"/>
  <c r="AB1076" i="1"/>
  <c r="AE1076" i="1" s="1"/>
  <c r="AB1077" i="1"/>
  <c r="AE1077" i="1" s="1"/>
  <c r="AB1078" i="1"/>
  <c r="AE1078" i="1" s="1"/>
  <c r="AB1079" i="1"/>
  <c r="AE1079" i="1" s="1"/>
  <c r="AB1080" i="1"/>
  <c r="AE1080" i="1" s="1"/>
  <c r="AB1081" i="1"/>
  <c r="AE1081" i="1" s="1"/>
  <c r="AB1082" i="1"/>
  <c r="AE1082" i="1" s="1"/>
  <c r="AB1083" i="1"/>
  <c r="AE1083" i="1" s="1"/>
  <c r="AB1084" i="1"/>
  <c r="AE1084" i="1" s="1"/>
  <c r="AB1085" i="1"/>
  <c r="AE1085" i="1" s="1"/>
  <c r="AB1086" i="1"/>
  <c r="AE1086" i="1" s="1"/>
  <c r="AB1087" i="1"/>
  <c r="AE1087" i="1" s="1"/>
  <c r="AB1088" i="1"/>
  <c r="AE1088" i="1" s="1"/>
  <c r="AB1089" i="1"/>
  <c r="AE1089" i="1" s="1"/>
  <c r="AB1090" i="1"/>
  <c r="AE1090" i="1" s="1"/>
  <c r="AB1091" i="1"/>
  <c r="AE1091" i="1" s="1"/>
  <c r="AB1092" i="1"/>
  <c r="AE1092" i="1" s="1"/>
  <c r="AB1093" i="1"/>
  <c r="AE1093" i="1" s="1"/>
  <c r="AB1094" i="1"/>
  <c r="AE1094" i="1" s="1"/>
  <c r="AB1095" i="1"/>
  <c r="AE1095" i="1" s="1"/>
  <c r="AB1096" i="1"/>
  <c r="AE1096" i="1" s="1"/>
  <c r="AB1097" i="1"/>
  <c r="AE1097" i="1" s="1"/>
  <c r="AB1098" i="1"/>
  <c r="AE1098" i="1" s="1"/>
  <c r="AB1099" i="1"/>
  <c r="AE1099" i="1" s="1"/>
  <c r="AB1100" i="1"/>
  <c r="AE1100" i="1" s="1"/>
  <c r="AB1101" i="1"/>
  <c r="AE1101" i="1" s="1"/>
  <c r="AB1102" i="1"/>
  <c r="AE1102" i="1" s="1"/>
  <c r="AB1103" i="1"/>
  <c r="AE1103" i="1" s="1"/>
  <c r="AB1104" i="1"/>
  <c r="AE1104" i="1" s="1"/>
  <c r="AB1105" i="1"/>
  <c r="AE1105" i="1" s="1"/>
  <c r="AB1106" i="1"/>
  <c r="AE1106" i="1" s="1"/>
  <c r="AB1107" i="1"/>
  <c r="AE1107" i="1" s="1"/>
  <c r="AB1108" i="1"/>
  <c r="AE1108" i="1" s="1"/>
  <c r="AB1109" i="1"/>
  <c r="AE1109" i="1" s="1"/>
  <c r="AB1110" i="1"/>
  <c r="AE1110" i="1" s="1"/>
  <c r="AB1111" i="1"/>
  <c r="AE1111" i="1" s="1"/>
  <c r="AB1112" i="1"/>
  <c r="AE1112" i="1" s="1"/>
  <c r="AB1113" i="1"/>
  <c r="AE1113" i="1" s="1"/>
  <c r="AB1114" i="1"/>
  <c r="AE1114" i="1" s="1"/>
  <c r="AB1115" i="1"/>
  <c r="AE1115" i="1" s="1"/>
  <c r="AB1116" i="1"/>
  <c r="AE1116" i="1" s="1"/>
  <c r="AB1117" i="1"/>
  <c r="AE1117" i="1" s="1"/>
  <c r="AB1118" i="1"/>
  <c r="AE1118" i="1" s="1"/>
  <c r="AB1119" i="1"/>
  <c r="AE1119" i="1" s="1"/>
  <c r="AB1120" i="1"/>
  <c r="AE1120" i="1" s="1"/>
  <c r="AB1121" i="1"/>
  <c r="AE1121" i="1" s="1"/>
  <c r="AB1122" i="1"/>
  <c r="AE1122" i="1" s="1"/>
  <c r="AB1123" i="1"/>
  <c r="AE1123" i="1" s="1"/>
  <c r="AB1124" i="1"/>
  <c r="AE1124" i="1" s="1"/>
  <c r="AB1125" i="1"/>
  <c r="AE1125" i="1" s="1"/>
  <c r="AB1126" i="1"/>
  <c r="AE1126" i="1" s="1"/>
  <c r="AB1127" i="1"/>
  <c r="AE1127" i="1" s="1"/>
  <c r="AB1128" i="1"/>
  <c r="AE1128" i="1" s="1"/>
  <c r="AB1129" i="1"/>
  <c r="AE1129" i="1" s="1"/>
  <c r="AB1130" i="1"/>
  <c r="AE1130" i="1" s="1"/>
  <c r="AB1131" i="1"/>
  <c r="AE1131" i="1" s="1"/>
  <c r="AB1132" i="1"/>
  <c r="AE1132" i="1" s="1"/>
  <c r="AB1133" i="1"/>
  <c r="AE1133" i="1" s="1"/>
  <c r="AB1134" i="1"/>
  <c r="AE1134" i="1" s="1"/>
  <c r="AB1135" i="1"/>
  <c r="AE1135" i="1" s="1"/>
  <c r="AB1136" i="1"/>
  <c r="AE1136" i="1" s="1"/>
  <c r="AB1137" i="1"/>
  <c r="AE1137" i="1" s="1"/>
  <c r="AB1138" i="1"/>
  <c r="AE1138" i="1" s="1"/>
  <c r="AB1139" i="1"/>
  <c r="AE1139" i="1" s="1"/>
  <c r="AB1140" i="1"/>
  <c r="AE1140" i="1" s="1"/>
  <c r="AB1141" i="1"/>
  <c r="AE1141" i="1" s="1"/>
  <c r="AB1142" i="1"/>
  <c r="AE1142" i="1" s="1"/>
  <c r="AB1143" i="1"/>
  <c r="AE1143" i="1" s="1"/>
  <c r="AB1144" i="1"/>
  <c r="AE1144" i="1" s="1"/>
  <c r="AB1145" i="1"/>
  <c r="AE1145" i="1" s="1"/>
  <c r="AB1146" i="1"/>
  <c r="AE1146" i="1" s="1"/>
  <c r="AB1147" i="1"/>
  <c r="AE1147" i="1" s="1"/>
  <c r="AB1148" i="1"/>
  <c r="AE1148" i="1" s="1"/>
  <c r="AB1149" i="1"/>
  <c r="AE1149" i="1" s="1"/>
  <c r="AB1150" i="1"/>
  <c r="AE1150" i="1" s="1"/>
  <c r="AB1151" i="1"/>
  <c r="AE1151" i="1" s="1"/>
  <c r="AB1152" i="1"/>
  <c r="AE1152" i="1" s="1"/>
  <c r="AB1153" i="1"/>
  <c r="AE1153" i="1" s="1"/>
  <c r="AB1154" i="1"/>
  <c r="AE1154" i="1" s="1"/>
  <c r="AB1155" i="1"/>
  <c r="AE1155" i="1" s="1"/>
  <c r="AB1156" i="1"/>
  <c r="AE1156" i="1" s="1"/>
  <c r="AB1157" i="1"/>
  <c r="AE1157" i="1" s="1"/>
  <c r="AB1158" i="1"/>
  <c r="AE1158" i="1" s="1"/>
  <c r="AB1159" i="1"/>
  <c r="AE1159" i="1" s="1"/>
  <c r="AB1160" i="1"/>
  <c r="AE1160" i="1" s="1"/>
  <c r="AB1161" i="1"/>
  <c r="AE1161" i="1" s="1"/>
  <c r="AB1162" i="1"/>
  <c r="AE1162" i="1" s="1"/>
  <c r="AB1163" i="1"/>
  <c r="AE1163" i="1" s="1"/>
  <c r="AB1164" i="1"/>
  <c r="AE1164" i="1" s="1"/>
  <c r="AB1165" i="1"/>
  <c r="AE1165" i="1" s="1"/>
  <c r="AB1166" i="1"/>
  <c r="AE1166" i="1" s="1"/>
  <c r="AB1167" i="1"/>
  <c r="AE1167" i="1" s="1"/>
  <c r="AB1168" i="1"/>
  <c r="AE1168" i="1" s="1"/>
  <c r="AB1169" i="1"/>
  <c r="AE1169" i="1" s="1"/>
  <c r="AB1170" i="1"/>
  <c r="AE1170" i="1" s="1"/>
  <c r="AB1171" i="1"/>
  <c r="AE1171" i="1" s="1"/>
  <c r="AB1172" i="1"/>
  <c r="AE1172" i="1" s="1"/>
  <c r="AB1173" i="1"/>
  <c r="AE1173" i="1" s="1"/>
  <c r="AB1174" i="1"/>
  <c r="AE1174" i="1" s="1"/>
  <c r="AB1175" i="1"/>
  <c r="AE1175" i="1" s="1"/>
  <c r="AB1176" i="1"/>
  <c r="AE1176" i="1" s="1"/>
  <c r="AB1177" i="1"/>
  <c r="AE1177" i="1" s="1"/>
  <c r="AB1178" i="1"/>
  <c r="AE1178" i="1" s="1"/>
  <c r="AB1179" i="1"/>
  <c r="AE1179" i="1" s="1"/>
  <c r="AB1180" i="1"/>
  <c r="AE1180" i="1" s="1"/>
  <c r="AB1181" i="1"/>
  <c r="AE1181" i="1" s="1"/>
  <c r="AB1182" i="1"/>
  <c r="AE1182" i="1" s="1"/>
  <c r="AB1183" i="1"/>
  <c r="AE1183" i="1" s="1"/>
  <c r="AB1184" i="1"/>
  <c r="AE1184" i="1" s="1"/>
  <c r="AB1185" i="1"/>
  <c r="AE1185" i="1" s="1"/>
  <c r="AB1186" i="1"/>
  <c r="AE1186" i="1" s="1"/>
  <c r="AB1187" i="1"/>
  <c r="AE1187" i="1" s="1"/>
  <c r="AB1188" i="1"/>
  <c r="AE1188" i="1" s="1"/>
  <c r="AB1189" i="1"/>
  <c r="AE1189" i="1" s="1"/>
  <c r="AB1190" i="1"/>
  <c r="AE1190" i="1" s="1"/>
  <c r="AB1191" i="1"/>
  <c r="AE1191" i="1" s="1"/>
  <c r="AB1192" i="1"/>
  <c r="AE1192" i="1" s="1"/>
  <c r="AB1193" i="1"/>
  <c r="AE1193" i="1" s="1"/>
  <c r="AB1194" i="1"/>
  <c r="AE1194" i="1" s="1"/>
  <c r="AB1195" i="1"/>
  <c r="AE1195" i="1" s="1"/>
  <c r="AB1196" i="1"/>
  <c r="AE1196" i="1" s="1"/>
  <c r="AB1197" i="1"/>
  <c r="AE1197" i="1" s="1"/>
  <c r="AB1198" i="1"/>
  <c r="AE1198" i="1" s="1"/>
  <c r="AB1199" i="1"/>
  <c r="AE1199" i="1" s="1"/>
  <c r="AB1200" i="1"/>
  <c r="AE1200" i="1" s="1"/>
  <c r="AB1201" i="1"/>
  <c r="AE1201" i="1" s="1"/>
  <c r="AB1202" i="1"/>
  <c r="AE1202" i="1" s="1"/>
  <c r="AB1203" i="1"/>
  <c r="AE1203" i="1" s="1"/>
  <c r="AB1204" i="1"/>
  <c r="AE1204" i="1" s="1"/>
  <c r="AB1205" i="1"/>
  <c r="AE1205" i="1" s="1"/>
  <c r="AB1206" i="1"/>
  <c r="AE1206" i="1" s="1"/>
  <c r="AB1207" i="1"/>
  <c r="AE1207" i="1" s="1"/>
  <c r="AB1208" i="1"/>
  <c r="AE1208" i="1" s="1"/>
  <c r="AB1209" i="1"/>
  <c r="AE1209" i="1" s="1"/>
  <c r="AB1210" i="1"/>
  <c r="AE1210" i="1" s="1"/>
  <c r="AB1211" i="1"/>
  <c r="AE1211" i="1" s="1"/>
  <c r="AB1212" i="1"/>
  <c r="AE1212" i="1" s="1"/>
  <c r="AB1213" i="1"/>
  <c r="AE1213" i="1" s="1"/>
  <c r="AB1214" i="1"/>
  <c r="AE1214" i="1" s="1"/>
  <c r="AB1215" i="1"/>
  <c r="AE1215" i="1" s="1"/>
  <c r="AB1216" i="1"/>
  <c r="AE1216" i="1" s="1"/>
  <c r="AB1217" i="1"/>
  <c r="AE1217" i="1" s="1"/>
  <c r="AB1218" i="1"/>
  <c r="AE1218" i="1" s="1"/>
  <c r="AB1219" i="1"/>
  <c r="AE1219" i="1" s="1"/>
  <c r="AB1220" i="1"/>
  <c r="AE1220" i="1" s="1"/>
  <c r="AB1221" i="1"/>
  <c r="AE1221" i="1" s="1"/>
  <c r="AB1222" i="1"/>
  <c r="AE1222" i="1" s="1"/>
  <c r="AB1223" i="1"/>
  <c r="AE1223" i="1" s="1"/>
  <c r="AB1224" i="1"/>
  <c r="AE1224" i="1" s="1"/>
  <c r="AB1225" i="1"/>
  <c r="AE1225" i="1" s="1"/>
  <c r="AB1226" i="1"/>
  <c r="AE1226" i="1" s="1"/>
  <c r="AB1227" i="1"/>
  <c r="AE1227" i="1" s="1"/>
  <c r="AB1228" i="1"/>
  <c r="AE1228" i="1" s="1"/>
  <c r="AB1229" i="1"/>
  <c r="AE1229" i="1" s="1"/>
  <c r="AB1230" i="1"/>
  <c r="AE1230" i="1" s="1"/>
  <c r="AB1231" i="1"/>
  <c r="AE1231" i="1" s="1"/>
  <c r="AB1232" i="1"/>
  <c r="AE1232" i="1" s="1"/>
  <c r="AB1233" i="1"/>
  <c r="AE1233" i="1" s="1"/>
  <c r="AB1234" i="1"/>
  <c r="AE1234" i="1" s="1"/>
  <c r="AB1235" i="1"/>
  <c r="AE1235" i="1" s="1"/>
  <c r="AB1236" i="1"/>
  <c r="AE1236" i="1" s="1"/>
  <c r="AB1237" i="1"/>
  <c r="AE1237" i="1" s="1"/>
  <c r="AB1238" i="1"/>
  <c r="AE1238" i="1" s="1"/>
  <c r="AB1239" i="1"/>
  <c r="AE1239" i="1" s="1"/>
  <c r="AB1240" i="1"/>
  <c r="AE1240" i="1" s="1"/>
  <c r="AB1241" i="1"/>
  <c r="AE1241" i="1" s="1"/>
  <c r="AB1242" i="1"/>
  <c r="AE1242" i="1" s="1"/>
  <c r="AB1243" i="1"/>
  <c r="AE1243" i="1" s="1"/>
  <c r="AB1244" i="1"/>
  <c r="AE1244" i="1" s="1"/>
  <c r="AB1245" i="1"/>
  <c r="AE1245" i="1" s="1"/>
  <c r="AB1246" i="1"/>
  <c r="AE1246" i="1" s="1"/>
  <c r="AB1247" i="1"/>
  <c r="AE1247" i="1" s="1"/>
  <c r="AB1248" i="1"/>
  <c r="AE1248" i="1" s="1"/>
  <c r="AB1249" i="1"/>
  <c r="AE1249" i="1" s="1"/>
  <c r="AB1250" i="1"/>
  <c r="AE1250" i="1" s="1"/>
  <c r="AB1251" i="1"/>
  <c r="AE1251" i="1" s="1"/>
  <c r="AB1252" i="1"/>
  <c r="AE1252" i="1" s="1"/>
  <c r="AB1253" i="1"/>
  <c r="AE1253" i="1" s="1"/>
  <c r="AB1254" i="1"/>
  <c r="AE1254" i="1" s="1"/>
  <c r="AB1255" i="1"/>
  <c r="AE1255" i="1" s="1"/>
  <c r="AB1256" i="1"/>
  <c r="AE1256" i="1" s="1"/>
  <c r="AB1257" i="1"/>
  <c r="AE1257" i="1" s="1"/>
  <c r="AB1258" i="1"/>
  <c r="AE1258" i="1" s="1"/>
  <c r="AB1259" i="1"/>
  <c r="AE1259" i="1" s="1"/>
  <c r="AB1260" i="1"/>
  <c r="AE1260" i="1" s="1"/>
  <c r="AB1261" i="1"/>
  <c r="AE1261" i="1" s="1"/>
  <c r="AB1262" i="1"/>
  <c r="AE1262" i="1" s="1"/>
  <c r="AB1263" i="1"/>
  <c r="AE1263" i="1" s="1"/>
  <c r="AB1264" i="1"/>
  <c r="AE1264" i="1" s="1"/>
  <c r="AB1265" i="1"/>
  <c r="AE1265" i="1" s="1"/>
  <c r="AB1266" i="1"/>
  <c r="AE1266" i="1" s="1"/>
  <c r="AB1267" i="1"/>
  <c r="AE1267" i="1" s="1"/>
  <c r="AB1268" i="1"/>
  <c r="AE1268" i="1" s="1"/>
  <c r="AB1269" i="1"/>
  <c r="AE1269" i="1" s="1"/>
  <c r="AB1270" i="1"/>
  <c r="AE1270" i="1" s="1"/>
  <c r="AB1271" i="1"/>
  <c r="AE1271" i="1" s="1"/>
  <c r="AB1272" i="1"/>
  <c r="AE1272" i="1" s="1"/>
  <c r="AB1273" i="1"/>
  <c r="AE1273" i="1" s="1"/>
  <c r="AB1274" i="1"/>
  <c r="AE1274" i="1" s="1"/>
  <c r="AB1275" i="1"/>
  <c r="AE1275" i="1" s="1"/>
  <c r="AB1276" i="1"/>
  <c r="AE1276" i="1" s="1"/>
  <c r="AB1277" i="1"/>
  <c r="AE1277" i="1" s="1"/>
  <c r="AB1278" i="1"/>
  <c r="AE1278" i="1" s="1"/>
  <c r="AB1279" i="1"/>
  <c r="AE1279" i="1" s="1"/>
  <c r="AB1280" i="1"/>
  <c r="AE1280" i="1" s="1"/>
  <c r="AB1281" i="1"/>
  <c r="AE1281" i="1" s="1"/>
  <c r="AB1282" i="1"/>
  <c r="AE1282" i="1" s="1"/>
  <c r="AB1283" i="1"/>
  <c r="AE1283" i="1" s="1"/>
  <c r="AB1284" i="1"/>
  <c r="AE1284" i="1" s="1"/>
  <c r="AB1285" i="1"/>
  <c r="AE1285" i="1" s="1"/>
  <c r="AB1286" i="1"/>
  <c r="AE1286" i="1" s="1"/>
  <c r="AB1287" i="1"/>
  <c r="AE1287" i="1" s="1"/>
  <c r="AB1288" i="1"/>
  <c r="AE1288" i="1" s="1"/>
  <c r="AB1289" i="1"/>
  <c r="AE1289" i="1" s="1"/>
  <c r="AB1290" i="1"/>
  <c r="AE1290" i="1" s="1"/>
  <c r="AB1291" i="1"/>
  <c r="AE1291" i="1" s="1"/>
  <c r="AB1292" i="1"/>
  <c r="AE1292" i="1" s="1"/>
  <c r="AB1293" i="1"/>
  <c r="AE1293" i="1" s="1"/>
  <c r="AB1294" i="1"/>
  <c r="AE1294" i="1" s="1"/>
  <c r="AB1295" i="1"/>
  <c r="AE1295" i="1" s="1"/>
  <c r="AB1296" i="1"/>
  <c r="AE1296" i="1" s="1"/>
  <c r="AB1297" i="1"/>
  <c r="AE1297" i="1" s="1"/>
  <c r="AB1298" i="1"/>
  <c r="AE1298" i="1" s="1"/>
  <c r="AB1299" i="1"/>
  <c r="AE1299" i="1" s="1"/>
  <c r="AB1300" i="1"/>
  <c r="AE1300" i="1" s="1"/>
  <c r="AB1301" i="1"/>
  <c r="AE1301" i="1" s="1"/>
  <c r="AB1302" i="1"/>
  <c r="AE1302" i="1" s="1"/>
  <c r="AB1303" i="1"/>
  <c r="AE1303" i="1" s="1"/>
  <c r="AB1304" i="1"/>
  <c r="AE1304" i="1" s="1"/>
  <c r="AB1305" i="1"/>
  <c r="AE1305" i="1" s="1"/>
  <c r="AB1306" i="1"/>
  <c r="AE1306" i="1" s="1"/>
  <c r="AB1307" i="1"/>
  <c r="AE1307" i="1" s="1"/>
  <c r="AB1308" i="1"/>
  <c r="AE1308" i="1" s="1"/>
  <c r="AB1309" i="1"/>
  <c r="AE1309" i="1" s="1"/>
  <c r="AB1310" i="1"/>
  <c r="AE1310" i="1" s="1"/>
  <c r="AB1311" i="1"/>
  <c r="AE1311" i="1" s="1"/>
  <c r="AB1312" i="1"/>
  <c r="AE1312" i="1" s="1"/>
  <c r="AB1313" i="1"/>
  <c r="AE1313" i="1" s="1"/>
  <c r="AB1314" i="1"/>
  <c r="AE1314" i="1" s="1"/>
  <c r="AB1315" i="1"/>
  <c r="AE1315" i="1" s="1"/>
  <c r="AB1316" i="1"/>
  <c r="AE1316" i="1" s="1"/>
  <c r="AB1317" i="1"/>
  <c r="AE1317" i="1" s="1"/>
  <c r="AB1318" i="1"/>
  <c r="AE1318" i="1" s="1"/>
  <c r="AB1319" i="1"/>
  <c r="AE1319" i="1" s="1"/>
  <c r="AB1320" i="1"/>
  <c r="AE1320" i="1" s="1"/>
  <c r="AB1321" i="1"/>
  <c r="AE1321" i="1" s="1"/>
  <c r="AB1322" i="1"/>
  <c r="AE1322" i="1" s="1"/>
  <c r="AB1323" i="1"/>
  <c r="AE1323" i="1" s="1"/>
  <c r="AB1324" i="1"/>
  <c r="AE1324" i="1" s="1"/>
  <c r="AB1325" i="1"/>
  <c r="AE1325" i="1" s="1"/>
  <c r="AB1326" i="1"/>
  <c r="AE1326" i="1" s="1"/>
  <c r="AB1327" i="1"/>
  <c r="AE1327" i="1" s="1"/>
  <c r="AB1328" i="1"/>
  <c r="AE1328" i="1" s="1"/>
  <c r="AB1329" i="1"/>
  <c r="AE1329" i="1" s="1"/>
  <c r="AB1330" i="1"/>
  <c r="AE1330" i="1" s="1"/>
  <c r="AB1331" i="1"/>
  <c r="AE1331" i="1" s="1"/>
  <c r="AB1332" i="1"/>
  <c r="AE1332" i="1" s="1"/>
  <c r="AB1333" i="1"/>
  <c r="AE1333" i="1" s="1"/>
  <c r="AB1334" i="1"/>
  <c r="AE1334" i="1" s="1"/>
  <c r="AB1335" i="1"/>
  <c r="AE1335" i="1" s="1"/>
  <c r="AB1336" i="1"/>
  <c r="AE1336" i="1" s="1"/>
  <c r="AB1337" i="1"/>
  <c r="AE1337" i="1" s="1"/>
  <c r="AB1338" i="1"/>
  <c r="AE1338" i="1" s="1"/>
  <c r="AB1339" i="1"/>
  <c r="AE1339" i="1" s="1"/>
  <c r="AB1340" i="1"/>
  <c r="AE1340" i="1" s="1"/>
  <c r="AB1341" i="1"/>
  <c r="AE1341" i="1" s="1"/>
  <c r="AB1342" i="1"/>
  <c r="AE1342" i="1" s="1"/>
  <c r="AB1343" i="1"/>
  <c r="AE1343" i="1" s="1"/>
  <c r="AB1344" i="1"/>
  <c r="AE1344" i="1" s="1"/>
  <c r="AB1345" i="1"/>
  <c r="AE1345" i="1" s="1"/>
  <c r="AB1346" i="1"/>
  <c r="AE1346" i="1" s="1"/>
  <c r="AB1347" i="1"/>
  <c r="AE1347" i="1" s="1"/>
  <c r="AB1348" i="1"/>
  <c r="AE1348" i="1" s="1"/>
  <c r="AB1349" i="1"/>
  <c r="AE1349" i="1" s="1"/>
  <c r="AB1350" i="1"/>
  <c r="AE1350" i="1" s="1"/>
  <c r="AB1351" i="1"/>
  <c r="AE1351" i="1" s="1"/>
  <c r="AB1352" i="1"/>
  <c r="AE1352" i="1" s="1"/>
  <c r="AB1353" i="1"/>
  <c r="AE1353" i="1" s="1"/>
  <c r="AB1354" i="1"/>
  <c r="AE1354" i="1" s="1"/>
  <c r="AB1355" i="1"/>
  <c r="AE1355" i="1" s="1"/>
  <c r="AB1356" i="1"/>
  <c r="AE1356" i="1" s="1"/>
  <c r="AB1357" i="1"/>
  <c r="AE1357" i="1" s="1"/>
  <c r="AB1358" i="1"/>
  <c r="AE1358" i="1" s="1"/>
  <c r="AB1359" i="1"/>
  <c r="AE1359" i="1" s="1"/>
  <c r="AB1360" i="1"/>
  <c r="AE1360" i="1" s="1"/>
  <c r="AB1361" i="1"/>
  <c r="AE1361" i="1" s="1"/>
  <c r="AB1362" i="1"/>
  <c r="AE1362" i="1" s="1"/>
  <c r="AB1363" i="1"/>
  <c r="AE1363" i="1" s="1"/>
  <c r="AB1364" i="1"/>
  <c r="AE1364" i="1" s="1"/>
  <c r="AB1365" i="1"/>
  <c r="AE1365" i="1" s="1"/>
  <c r="AB1366" i="1"/>
  <c r="AE1366" i="1" s="1"/>
  <c r="AB1367" i="1"/>
  <c r="AE1367" i="1" s="1"/>
  <c r="AB1368" i="1"/>
  <c r="AE1368" i="1" s="1"/>
  <c r="AB1369" i="1"/>
  <c r="AE1369" i="1" s="1"/>
  <c r="AB1370" i="1"/>
  <c r="AE1370" i="1" s="1"/>
  <c r="AB1371" i="1"/>
  <c r="AE1371" i="1" s="1"/>
  <c r="AB1372" i="1"/>
  <c r="AE1372" i="1" s="1"/>
  <c r="AB1373" i="1"/>
  <c r="AE1373" i="1" s="1"/>
  <c r="AB1374" i="1"/>
  <c r="AE1374" i="1" s="1"/>
  <c r="AB1375" i="1"/>
  <c r="AE1375" i="1" s="1"/>
  <c r="AB1376" i="1"/>
  <c r="AE1376" i="1" s="1"/>
  <c r="AB1377" i="1"/>
  <c r="AE1377" i="1" s="1"/>
  <c r="AB1378" i="1"/>
  <c r="AE1378" i="1" s="1"/>
  <c r="AB1379" i="1"/>
  <c r="AE1379" i="1" s="1"/>
  <c r="AB1380" i="1"/>
  <c r="AE1380" i="1" s="1"/>
  <c r="AB1381" i="1"/>
  <c r="AE1381" i="1" s="1"/>
  <c r="AB1382" i="1"/>
  <c r="AE1382" i="1" s="1"/>
  <c r="AB1383" i="1"/>
  <c r="AE1383" i="1" s="1"/>
  <c r="AB1384" i="1"/>
  <c r="AE1384" i="1" s="1"/>
  <c r="AB1385" i="1"/>
  <c r="AE1385" i="1" s="1"/>
  <c r="AB1386" i="1"/>
  <c r="AE1386" i="1" s="1"/>
  <c r="AB1387" i="1"/>
  <c r="AE1387" i="1" s="1"/>
  <c r="AB1388" i="1"/>
  <c r="AE1388" i="1" s="1"/>
  <c r="AB1389" i="1"/>
  <c r="AE1389" i="1" s="1"/>
  <c r="AB1390" i="1"/>
  <c r="AE1390" i="1" s="1"/>
  <c r="AB1391" i="1"/>
  <c r="AE1391" i="1" s="1"/>
  <c r="AB1392" i="1"/>
  <c r="AE1392" i="1" s="1"/>
  <c r="AB1393" i="1"/>
  <c r="AE1393" i="1" s="1"/>
  <c r="AB1394" i="1"/>
  <c r="AE1394" i="1" s="1"/>
  <c r="AB1395" i="1"/>
  <c r="AE1395" i="1" s="1"/>
  <c r="AB1396" i="1"/>
  <c r="AE1396" i="1" s="1"/>
  <c r="AB1397" i="1"/>
  <c r="AE1397" i="1" s="1"/>
  <c r="AB1398" i="1"/>
  <c r="AE1398" i="1" s="1"/>
  <c r="AB1399" i="1"/>
  <c r="AE1399" i="1" s="1"/>
  <c r="AB1400" i="1"/>
  <c r="AE1400" i="1" s="1"/>
  <c r="AB1401" i="1"/>
  <c r="AE1401" i="1" s="1"/>
  <c r="AB1402" i="1"/>
  <c r="AE1402" i="1" s="1"/>
  <c r="AB1403" i="1"/>
  <c r="AE1403" i="1" s="1"/>
  <c r="AB1404" i="1"/>
  <c r="AE1404" i="1" s="1"/>
  <c r="AB1405" i="1"/>
  <c r="AE1405" i="1" s="1"/>
  <c r="AB1406" i="1"/>
  <c r="AE1406" i="1" s="1"/>
  <c r="AB1407" i="1"/>
  <c r="AE1407" i="1" s="1"/>
  <c r="AB1408" i="1"/>
  <c r="AE1408" i="1" s="1"/>
  <c r="AB1409" i="1"/>
  <c r="AE1409" i="1" s="1"/>
  <c r="AB1410" i="1"/>
  <c r="AE1410" i="1" s="1"/>
  <c r="AB1411" i="1"/>
  <c r="AE1411" i="1" s="1"/>
  <c r="AB1412" i="1"/>
  <c r="AE1412" i="1" s="1"/>
  <c r="AB1413" i="1"/>
  <c r="AE1413" i="1" s="1"/>
  <c r="AB1414" i="1"/>
  <c r="AE1414" i="1" s="1"/>
  <c r="AB1415" i="1"/>
  <c r="AE1415" i="1" s="1"/>
  <c r="AB1416" i="1"/>
  <c r="AE1416" i="1" s="1"/>
  <c r="AB1417" i="1"/>
  <c r="AE1417" i="1" s="1"/>
  <c r="AB1418" i="1"/>
  <c r="AE1418" i="1" s="1"/>
  <c r="AB1419" i="1"/>
  <c r="AE1419" i="1" s="1"/>
  <c r="AB1420" i="1"/>
  <c r="AE1420" i="1" s="1"/>
  <c r="AB1421" i="1"/>
  <c r="AE1421" i="1" s="1"/>
  <c r="AB1422" i="1"/>
  <c r="AE1422" i="1" s="1"/>
  <c r="AB1423" i="1"/>
  <c r="AE1423" i="1" s="1"/>
  <c r="AB1424" i="1"/>
  <c r="AE1424" i="1" s="1"/>
  <c r="AB1425" i="1"/>
  <c r="AE1425" i="1" s="1"/>
  <c r="AB1426" i="1"/>
  <c r="AE1426" i="1" s="1"/>
  <c r="AB1427" i="1"/>
  <c r="AE1427" i="1" s="1"/>
  <c r="AB1428" i="1"/>
  <c r="AE1428" i="1" s="1"/>
  <c r="AB1429" i="1"/>
  <c r="AE1429" i="1" s="1"/>
  <c r="AB1430" i="1"/>
  <c r="AE1430" i="1" s="1"/>
  <c r="AB1431" i="1"/>
  <c r="AE1431" i="1" s="1"/>
  <c r="AB1432" i="1"/>
  <c r="AE1432" i="1" s="1"/>
  <c r="AB1433" i="1"/>
  <c r="AE1433" i="1" s="1"/>
  <c r="AB1434" i="1"/>
  <c r="AE1434" i="1" s="1"/>
  <c r="AB1435" i="1"/>
  <c r="AE1435" i="1" s="1"/>
  <c r="AB1436" i="1"/>
  <c r="AE1436" i="1" s="1"/>
  <c r="AB1437" i="1"/>
  <c r="AE1437" i="1" s="1"/>
  <c r="AB1438" i="1"/>
  <c r="AE1438" i="1" s="1"/>
  <c r="AB1439" i="1"/>
  <c r="AE1439" i="1" s="1"/>
  <c r="AB1440" i="1"/>
  <c r="AE1440" i="1" s="1"/>
  <c r="AB1441" i="1"/>
  <c r="AE1441" i="1" s="1"/>
  <c r="AB1442" i="1"/>
  <c r="AE1442" i="1" s="1"/>
  <c r="AB1443" i="1"/>
  <c r="AE1443" i="1" s="1"/>
  <c r="AB1444" i="1"/>
  <c r="AE1444" i="1" s="1"/>
  <c r="AB1445" i="1"/>
  <c r="AE1445" i="1" s="1"/>
  <c r="AB1446" i="1"/>
  <c r="AE1446" i="1" s="1"/>
  <c r="AB1447" i="1"/>
  <c r="AE1447" i="1" s="1"/>
  <c r="AB1448" i="1"/>
  <c r="AE1448" i="1" s="1"/>
  <c r="AB1449" i="1"/>
  <c r="AE1449" i="1" s="1"/>
  <c r="AB1450" i="1"/>
  <c r="AE1450" i="1" s="1"/>
  <c r="AB1451" i="1"/>
  <c r="AE1451" i="1" s="1"/>
  <c r="AB1452" i="1"/>
  <c r="AE1452" i="1" s="1"/>
  <c r="AB1453" i="1"/>
  <c r="AE1453" i="1" s="1"/>
  <c r="AB1454" i="1"/>
  <c r="AE1454" i="1" s="1"/>
  <c r="AB1455" i="1"/>
  <c r="AE1455" i="1" s="1"/>
  <c r="AB1456" i="1"/>
  <c r="AE1456" i="1" s="1"/>
  <c r="AB1457" i="1"/>
  <c r="AE1457" i="1" s="1"/>
  <c r="AB1458" i="1"/>
  <c r="AE1458" i="1" s="1"/>
  <c r="AB1459" i="1"/>
  <c r="AE1459" i="1" s="1"/>
  <c r="AB1460" i="1"/>
  <c r="AE1460" i="1" s="1"/>
  <c r="AB1461" i="1"/>
  <c r="AE1461" i="1" s="1"/>
  <c r="AB1462" i="1"/>
  <c r="AE1462" i="1" s="1"/>
  <c r="AB1463" i="1"/>
  <c r="AE1463" i="1" s="1"/>
  <c r="AB1464" i="1"/>
  <c r="AE1464" i="1" s="1"/>
  <c r="AB1465" i="1"/>
  <c r="AE1465" i="1" s="1"/>
  <c r="AB1466" i="1"/>
  <c r="AE1466" i="1" s="1"/>
  <c r="AB1467" i="1"/>
  <c r="AE1467" i="1" s="1"/>
  <c r="AB1468" i="1"/>
  <c r="AE1468" i="1" s="1"/>
  <c r="AB1469" i="1"/>
  <c r="AE1469" i="1" s="1"/>
  <c r="AB1470" i="1"/>
  <c r="AE1470" i="1" s="1"/>
  <c r="AB1471" i="1"/>
  <c r="AE1471" i="1" s="1"/>
  <c r="AB1472" i="1"/>
  <c r="AE1472" i="1" s="1"/>
  <c r="AB1473" i="1"/>
  <c r="AE1473" i="1" s="1"/>
  <c r="AB1474" i="1"/>
  <c r="AE1474" i="1" s="1"/>
  <c r="AB1475" i="1"/>
  <c r="AE1475" i="1" s="1"/>
  <c r="AB1476" i="1"/>
  <c r="AE1476" i="1" s="1"/>
  <c r="AB1477" i="1"/>
  <c r="AE1477" i="1" s="1"/>
  <c r="AB1478" i="1"/>
  <c r="AE1478" i="1" s="1"/>
  <c r="AB1479" i="1"/>
  <c r="AE1479" i="1" s="1"/>
  <c r="AB1480" i="1"/>
  <c r="AE1480" i="1" s="1"/>
  <c r="AB1481" i="1"/>
  <c r="AE1481" i="1" s="1"/>
  <c r="AB1482" i="1"/>
  <c r="AE1482" i="1" s="1"/>
  <c r="AB1483" i="1"/>
  <c r="AE1483" i="1" s="1"/>
  <c r="AB1484" i="1"/>
  <c r="AE1484" i="1" s="1"/>
  <c r="AB1485" i="1"/>
  <c r="AE1485" i="1" s="1"/>
  <c r="AB1486" i="1"/>
  <c r="AE1486" i="1" s="1"/>
  <c r="AB1487" i="1"/>
  <c r="AE1487" i="1" s="1"/>
  <c r="AB1488" i="1"/>
  <c r="AE1488" i="1" s="1"/>
  <c r="AB1489" i="1"/>
  <c r="AE1489" i="1" s="1"/>
  <c r="AB1490" i="1"/>
  <c r="AE1490" i="1" s="1"/>
  <c r="AB1491" i="1"/>
  <c r="AE1491" i="1" s="1"/>
  <c r="AB1492" i="1"/>
  <c r="AE1492" i="1" s="1"/>
  <c r="AB1493" i="1"/>
  <c r="AE1493" i="1" s="1"/>
  <c r="AB1494" i="1"/>
  <c r="AE1494" i="1" s="1"/>
  <c r="AB1495" i="1"/>
  <c r="AE1495" i="1" s="1"/>
  <c r="AB1496" i="1"/>
  <c r="AE1496" i="1" s="1"/>
  <c r="AB1497" i="1"/>
  <c r="AE1497" i="1" s="1"/>
  <c r="AB1498" i="1"/>
  <c r="AE1498" i="1" s="1"/>
  <c r="AB1499" i="1"/>
  <c r="AE1499" i="1" s="1"/>
  <c r="AB1500" i="1"/>
  <c r="AE1500" i="1" s="1"/>
  <c r="AB1501" i="1"/>
  <c r="AE1501" i="1" s="1"/>
  <c r="AB1502" i="1"/>
  <c r="AE1502" i="1" s="1"/>
  <c r="AB1503" i="1"/>
  <c r="AE1503" i="1" s="1"/>
  <c r="AB1504" i="1"/>
  <c r="AE1504" i="1" s="1"/>
  <c r="AB1505" i="1"/>
  <c r="AE1505" i="1" s="1"/>
  <c r="AB1506" i="1"/>
  <c r="AE1506" i="1" s="1"/>
  <c r="AB1507" i="1"/>
  <c r="AE1507" i="1" s="1"/>
  <c r="AB1508" i="1"/>
  <c r="AE1508" i="1" s="1"/>
  <c r="AB1509" i="1"/>
  <c r="AE1509" i="1" s="1"/>
  <c r="AB1510" i="1"/>
  <c r="AE1510" i="1" s="1"/>
  <c r="AB1511" i="1"/>
  <c r="AE1511" i="1" s="1"/>
  <c r="AB1512" i="1"/>
  <c r="AE1512" i="1" s="1"/>
  <c r="AB1513" i="1"/>
  <c r="AE1513" i="1" s="1"/>
  <c r="AB1514" i="1"/>
  <c r="AE1514" i="1" s="1"/>
  <c r="AB1515" i="1"/>
  <c r="AE1515" i="1" s="1"/>
  <c r="AB1516" i="1"/>
  <c r="AE1516" i="1" s="1"/>
  <c r="AB1517" i="1"/>
  <c r="AE1517" i="1" s="1"/>
  <c r="AB1518" i="1"/>
  <c r="AE1518" i="1" s="1"/>
  <c r="AB1519" i="1"/>
  <c r="AE1519" i="1" s="1"/>
  <c r="AB19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Y39" i="1"/>
  <c r="Z39" i="1"/>
  <c r="AA39" i="1"/>
  <c r="Y40" i="1"/>
  <c r="Z40" i="1"/>
  <c r="AA40" i="1"/>
  <c r="Y41" i="1"/>
  <c r="Z41" i="1"/>
  <c r="AA41" i="1"/>
  <c r="Y42" i="1"/>
  <c r="Z42" i="1"/>
  <c r="AA42" i="1"/>
  <c r="Y43" i="1"/>
  <c r="Z43" i="1"/>
  <c r="AA43" i="1"/>
  <c r="Y44" i="1"/>
  <c r="Z44" i="1"/>
  <c r="AA44" i="1"/>
  <c r="Y45" i="1"/>
  <c r="Z45" i="1"/>
  <c r="AA45" i="1"/>
  <c r="Y46" i="1"/>
  <c r="Z46" i="1"/>
  <c r="AA46" i="1"/>
  <c r="Y47" i="1"/>
  <c r="Z47" i="1"/>
  <c r="AA47" i="1"/>
  <c r="Y48" i="1"/>
  <c r="Z48" i="1"/>
  <c r="AA48" i="1"/>
  <c r="Y49" i="1"/>
  <c r="Z49" i="1"/>
  <c r="AA49" i="1"/>
  <c r="Y50" i="1"/>
  <c r="Z50" i="1"/>
  <c r="AA50" i="1"/>
  <c r="Y51" i="1"/>
  <c r="Z51" i="1"/>
  <c r="AA51" i="1"/>
  <c r="Y52" i="1"/>
  <c r="Z52" i="1"/>
  <c r="AA52" i="1"/>
  <c r="Y53" i="1"/>
  <c r="Z53" i="1"/>
  <c r="AA53" i="1"/>
  <c r="Y54" i="1"/>
  <c r="Z54" i="1"/>
  <c r="AA54" i="1"/>
  <c r="Y55" i="1"/>
  <c r="Z55" i="1"/>
  <c r="AA55" i="1"/>
  <c r="Y56" i="1"/>
  <c r="Z56" i="1"/>
  <c r="AA56" i="1"/>
  <c r="Y57" i="1"/>
  <c r="Z57" i="1"/>
  <c r="AA57" i="1"/>
  <c r="Y58" i="1"/>
  <c r="Z58" i="1"/>
  <c r="AA58" i="1"/>
  <c r="Y59" i="1"/>
  <c r="Z59" i="1"/>
  <c r="AA59" i="1"/>
  <c r="Y60" i="1"/>
  <c r="Z60" i="1"/>
  <c r="AA60" i="1"/>
  <c r="Y61" i="1"/>
  <c r="Z61" i="1"/>
  <c r="AA61" i="1"/>
  <c r="Y62" i="1"/>
  <c r="Z62" i="1"/>
  <c r="AA62" i="1"/>
  <c r="Y63" i="1"/>
  <c r="Z63" i="1"/>
  <c r="AA63" i="1"/>
  <c r="Y64" i="1"/>
  <c r="Z64" i="1"/>
  <c r="AA64" i="1"/>
  <c r="Y65" i="1"/>
  <c r="Z65" i="1"/>
  <c r="AA65" i="1"/>
  <c r="Y66" i="1"/>
  <c r="Z66" i="1"/>
  <c r="AA66" i="1"/>
  <c r="Y67" i="1"/>
  <c r="Z67" i="1"/>
  <c r="AA67" i="1"/>
  <c r="Y68" i="1"/>
  <c r="Z68" i="1"/>
  <c r="AA68" i="1"/>
  <c r="Y69" i="1"/>
  <c r="Z69" i="1"/>
  <c r="AA69" i="1"/>
  <c r="Y70" i="1"/>
  <c r="Z70" i="1"/>
  <c r="AA70" i="1"/>
  <c r="Y71" i="1"/>
  <c r="Z71" i="1"/>
  <c r="AA71" i="1"/>
  <c r="Y72" i="1"/>
  <c r="Z72" i="1"/>
  <c r="AA72" i="1"/>
  <c r="Y73" i="1"/>
  <c r="Z73" i="1"/>
  <c r="AA73" i="1"/>
  <c r="Y74" i="1"/>
  <c r="Z74" i="1"/>
  <c r="AA74" i="1"/>
  <c r="Y75" i="1"/>
  <c r="Z75" i="1"/>
  <c r="AA75" i="1"/>
  <c r="Y76" i="1"/>
  <c r="Z76" i="1"/>
  <c r="AA76" i="1"/>
  <c r="Y77" i="1"/>
  <c r="Z77" i="1"/>
  <c r="AA77" i="1"/>
  <c r="Y78" i="1"/>
  <c r="Z78" i="1"/>
  <c r="AA78" i="1"/>
  <c r="Y79" i="1"/>
  <c r="Z79" i="1"/>
  <c r="AA79" i="1"/>
  <c r="Y80" i="1"/>
  <c r="Z80" i="1"/>
  <c r="AA80" i="1"/>
  <c r="Y81" i="1"/>
  <c r="Z81" i="1"/>
  <c r="AA81" i="1"/>
  <c r="Y82" i="1"/>
  <c r="Z82" i="1"/>
  <c r="AA82" i="1"/>
  <c r="Y83" i="1"/>
  <c r="Z83" i="1"/>
  <c r="AA83" i="1"/>
  <c r="Y84" i="1"/>
  <c r="Z84" i="1"/>
  <c r="AA84" i="1"/>
  <c r="Y85" i="1"/>
  <c r="Z85" i="1"/>
  <c r="AA85" i="1"/>
  <c r="Y86" i="1"/>
  <c r="Z86" i="1"/>
  <c r="AA86" i="1"/>
  <c r="Y87" i="1"/>
  <c r="Z87" i="1"/>
  <c r="AA87" i="1"/>
  <c r="Y88" i="1"/>
  <c r="Z88" i="1"/>
  <c r="AA88" i="1"/>
  <c r="Y89" i="1"/>
  <c r="Z89" i="1"/>
  <c r="AA89" i="1"/>
  <c r="Y90" i="1"/>
  <c r="Z90" i="1"/>
  <c r="AA90" i="1"/>
  <c r="Y91" i="1"/>
  <c r="Z91" i="1"/>
  <c r="AA91" i="1"/>
  <c r="Y92" i="1"/>
  <c r="Z92" i="1"/>
  <c r="AA92" i="1"/>
  <c r="Y93" i="1"/>
  <c r="Z93" i="1"/>
  <c r="AA93" i="1"/>
  <c r="Y94" i="1"/>
  <c r="Z94" i="1"/>
  <c r="AA94" i="1"/>
  <c r="Y95" i="1"/>
  <c r="Z95" i="1"/>
  <c r="AA95" i="1"/>
  <c r="Y96" i="1"/>
  <c r="Z96" i="1"/>
  <c r="AA96" i="1"/>
  <c r="Y97" i="1"/>
  <c r="Z97" i="1"/>
  <c r="AA97" i="1"/>
  <c r="Y98" i="1"/>
  <c r="Z98" i="1"/>
  <c r="AA98" i="1"/>
  <c r="Y99" i="1"/>
  <c r="Z99" i="1"/>
  <c r="AA99" i="1"/>
  <c r="Y100" i="1"/>
  <c r="Z100" i="1"/>
  <c r="AA100" i="1"/>
  <c r="Y101" i="1"/>
  <c r="Z101" i="1"/>
  <c r="AA101" i="1"/>
  <c r="Y102" i="1"/>
  <c r="Z102" i="1"/>
  <c r="AA102" i="1"/>
  <c r="Y103" i="1"/>
  <c r="Z103" i="1"/>
  <c r="AA103" i="1"/>
  <c r="Y104" i="1"/>
  <c r="Z104" i="1"/>
  <c r="AA104" i="1"/>
  <c r="Y105" i="1"/>
  <c r="Z105" i="1"/>
  <c r="AA105" i="1"/>
  <c r="Y106" i="1"/>
  <c r="Z106" i="1"/>
  <c r="AA106" i="1"/>
  <c r="Y107" i="1"/>
  <c r="Z107" i="1"/>
  <c r="AA107" i="1"/>
  <c r="Y108" i="1"/>
  <c r="Z108" i="1"/>
  <c r="AA108" i="1"/>
  <c r="Y109" i="1"/>
  <c r="Z109" i="1"/>
  <c r="AA109" i="1"/>
  <c r="Y110" i="1"/>
  <c r="Z110" i="1"/>
  <c r="AA110" i="1"/>
  <c r="Y111" i="1"/>
  <c r="Z111" i="1"/>
  <c r="AA111" i="1"/>
  <c r="Y112" i="1"/>
  <c r="Z112" i="1"/>
  <c r="AA112" i="1"/>
  <c r="Y113" i="1"/>
  <c r="Z113" i="1"/>
  <c r="AA113" i="1"/>
  <c r="Y114" i="1"/>
  <c r="Z114" i="1"/>
  <c r="AA114" i="1"/>
  <c r="Y115" i="1"/>
  <c r="Z115" i="1"/>
  <c r="AA115" i="1"/>
  <c r="Y116" i="1"/>
  <c r="Z116" i="1"/>
  <c r="AA116" i="1"/>
  <c r="Y117" i="1"/>
  <c r="Z117" i="1"/>
  <c r="AA117" i="1"/>
  <c r="Y118" i="1"/>
  <c r="Z118" i="1"/>
  <c r="AA118" i="1"/>
  <c r="Y119" i="1"/>
  <c r="Z119" i="1"/>
  <c r="AA119" i="1"/>
  <c r="Y120" i="1"/>
  <c r="Z120" i="1"/>
  <c r="AA120" i="1"/>
  <c r="Y121" i="1"/>
  <c r="Z121" i="1"/>
  <c r="AA121" i="1"/>
  <c r="Y122" i="1"/>
  <c r="Z122" i="1"/>
  <c r="AA122" i="1"/>
  <c r="Y123" i="1"/>
  <c r="Z123" i="1"/>
  <c r="AA123" i="1"/>
  <c r="Y124" i="1"/>
  <c r="Z124" i="1"/>
  <c r="AA124" i="1"/>
  <c r="Y125" i="1"/>
  <c r="Z125" i="1"/>
  <c r="AA125" i="1"/>
  <c r="Y126" i="1"/>
  <c r="Z126" i="1"/>
  <c r="AA126" i="1"/>
  <c r="Y127" i="1"/>
  <c r="Z127" i="1"/>
  <c r="AA127" i="1"/>
  <c r="Y128" i="1"/>
  <c r="Z128" i="1"/>
  <c r="AA128" i="1"/>
  <c r="Y129" i="1"/>
  <c r="Z129" i="1"/>
  <c r="AA129" i="1"/>
  <c r="Y130" i="1"/>
  <c r="Z130" i="1"/>
  <c r="AA130" i="1"/>
  <c r="Y131" i="1"/>
  <c r="Z131" i="1"/>
  <c r="AA131" i="1"/>
  <c r="Y132" i="1"/>
  <c r="Z132" i="1"/>
  <c r="AA132" i="1"/>
  <c r="Y133" i="1"/>
  <c r="Z133" i="1"/>
  <c r="AA133" i="1"/>
  <c r="Y134" i="1"/>
  <c r="Z134" i="1"/>
  <c r="AA134" i="1"/>
  <c r="Y135" i="1"/>
  <c r="Z135" i="1"/>
  <c r="AA135" i="1"/>
  <c r="Y136" i="1"/>
  <c r="Z136" i="1"/>
  <c r="AA136" i="1"/>
  <c r="Y137" i="1"/>
  <c r="Z137" i="1"/>
  <c r="AA137" i="1"/>
  <c r="Y138" i="1"/>
  <c r="Z138" i="1"/>
  <c r="AA138" i="1"/>
  <c r="Y139" i="1"/>
  <c r="Z139" i="1"/>
  <c r="AA139" i="1"/>
  <c r="Y140" i="1"/>
  <c r="Z140" i="1"/>
  <c r="AA140" i="1"/>
  <c r="Y141" i="1"/>
  <c r="Z141" i="1"/>
  <c r="AA141" i="1"/>
  <c r="Y142" i="1"/>
  <c r="Z142" i="1"/>
  <c r="AA142" i="1"/>
  <c r="Y143" i="1"/>
  <c r="Z143" i="1"/>
  <c r="AA143" i="1"/>
  <c r="Y144" i="1"/>
  <c r="Z144" i="1"/>
  <c r="AA144" i="1"/>
  <c r="Y145" i="1"/>
  <c r="Z145" i="1"/>
  <c r="AA145" i="1"/>
  <c r="Y146" i="1"/>
  <c r="Z146" i="1"/>
  <c r="AA146" i="1"/>
  <c r="Y147" i="1"/>
  <c r="Z147" i="1"/>
  <c r="AA147" i="1"/>
  <c r="Y148" i="1"/>
  <c r="Z148" i="1"/>
  <c r="AA148" i="1"/>
  <c r="Y149" i="1"/>
  <c r="Z149" i="1"/>
  <c r="AA149" i="1"/>
  <c r="Y150" i="1"/>
  <c r="Z150" i="1"/>
  <c r="AA150" i="1"/>
  <c r="Y151" i="1"/>
  <c r="Z151" i="1"/>
  <c r="AA151" i="1"/>
  <c r="Y152" i="1"/>
  <c r="Z152" i="1"/>
  <c r="AA152" i="1"/>
  <c r="Y153" i="1"/>
  <c r="Z153" i="1"/>
  <c r="AA153" i="1"/>
  <c r="Y154" i="1"/>
  <c r="Z154" i="1"/>
  <c r="AA154" i="1"/>
  <c r="Y155" i="1"/>
  <c r="Z155" i="1"/>
  <c r="AA155" i="1"/>
  <c r="Y156" i="1"/>
  <c r="Z156" i="1"/>
  <c r="AA156" i="1"/>
  <c r="Y157" i="1"/>
  <c r="Z157" i="1"/>
  <c r="AA157" i="1"/>
  <c r="Y158" i="1"/>
  <c r="Z158" i="1"/>
  <c r="AA158" i="1"/>
  <c r="Y159" i="1"/>
  <c r="Z159" i="1"/>
  <c r="AA159" i="1"/>
  <c r="Y160" i="1"/>
  <c r="Z160" i="1"/>
  <c r="AA160" i="1"/>
  <c r="Y161" i="1"/>
  <c r="Z161" i="1"/>
  <c r="AA161" i="1"/>
  <c r="Y162" i="1"/>
  <c r="Z162" i="1"/>
  <c r="AA162" i="1"/>
  <c r="Y163" i="1"/>
  <c r="Z163" i="1"/>
  <c r="AA163" i="1"/>
  <c r="Y164" i="1"/>
  <c r="Z164" i="1"/>
  <c r="AA164" i="1"/>
  <c r="Y165" i="1"/>
  <c r="Z165" i="1"/>
  <c r="AA165" i="1"/>
  <c r="Y166" i="1"/>
  <c r="Z166" i="1"/>
  <c r="AA166" i="1"/>
  <c r="Y167" i="1"/>
  <c r="Z167" i="1"/>
  <c r="AA167" i="1"/>
  <c r="Y168" i="1"/>
  <c r="Z168" i="1"/>
  <c r="AA168" i="1"/>
  <c r="Y169" i="1"/>
  <c r="Z169" i="1"/>
  <c r="AA169" i="1"/>
  <c r="Y170" i="1"/>
  <c r="Z170" i="1"/>
  <c r="AA170" i="1"/>
  <c r="Y171" i="1"/>
  <c r="Z171" i="1"/>
  <c r="AA171" i="1"/>
  <c r="Y172" i="1"/>
  <c r="Z172" i="1"/>
  <c r="AA172" i="1"/>
  <c r="Y173" i="1"/>
  <c r="Z173" i="1"/>
  <c r="AA173" i="1"/>
  <c r="Y174" i="1"/>
  <c r="Z174" i="1"/>
  <c r="AA174" i="1"/>
  <c r="Y175" i="1"/>
  <c r="Z175" i="1"/>
  <c r="AA175" i="1"/>
  <c r="Y176" i="1"/>
  <c r="Z176" i="1"/>
  <c r="AA176" i="1"/>
  <c r="Y177" i="1"/>
  <c r="Z177" i="1"/>
  <c r="AA177" i="1"/>
  <c r="Y178" i="1"/>
  <c r="Z178" i="1"/>
  <c r="AA178" i="1"/>
  <c r="Y179" i="1"/>
  <c r="Z179" i="1"/>
  <c r="AA179" i="1"/>
  <c r="Y180" i="1"/>
  <c r="Z180" i="1"/>
  <c r="AA180" i="1"/>
  <c r="Y181" i="1"/>
  <c r="Z181" i="1"/>
  <c r="AA181" i="1"/>
  <c r="Y182" i="1"/>
  <c r="Z182" i="1"/>
  <c r="AA182" i="1"/>
  <c r="Y183" i="1"/>
  <c r="Z183" i="1"/>
  <c r="AA183" i="1"/>
  <c r="Y184" i="1"/>
  <c r="Z184" i="1"/>
  <c r="AA184" i="1"/>
  <c r="Y185" i="1"/>
  <c r="Z185" i="1"/>
  <c r="AA185" i="1"/>
  <c r="Y186" i="1"/>
  <c r="Z186" i="1"/>
  <c r="AA186" i="1"/>
  <c r="Y187" i="1"/>
  <c r="Z187" i="1"/>
  <c r="AA187" i="1"/>
  <c r="Y188" i="1"/>
  <c r="Z188" i="1"/>
  <c r="AA188" i="1"/>
  <c r="Y189" i="1"/>
  <c r="Z189" i="1"/>
  <c r="AA189" i="1"/>
  <c r="Y190" i="1"/>
  <c r="Z190" i="1"/>
  <c r="AA190" i="1"/>
  <c r="Y191" i="1"/>
  <c r="Z191" i="1"/>
  <c r="AA191" i="1"/>
  <c r="Y192" i="1"/>
  <c r="Z192" i="1"/>
  <c r="AA192" i="1"/>
  <c r="Y193" i="1"/>
  <c r="Z193" i="1"/>
  <c r="AA193" i="1"/>
  <c r="Y194" i="1"/>
  <c r="Z194" i="1"/>
  <c r="AA194" i="1"/>
  <c r="Y195" i="1"/>
  <c r="Z195" i="1"/>
  <c r="AA195" i="1"/>
  <c r="Y196" i="1"/>
  <c r="Z196" i="1"/>
  <c r="AA196" i="1"/>
  <c r="Y197" i="1"/>
  <c r="Z197" i="1"/>
  <c r="AA197" i="1"/>
  <c r="Y198" i="1"/>
  <c r="Z198" i="1"/>
  <c r="AA198" i="1"/>
  <c r="Y199" i="1"/>
  <c r="Z199" i="1"/>
  <c r="AA199" i="1"/>
  <c r="Y200" i="1"/>
  <c r="Z200" i="1"/>
  <c r="AA200" i="1"/>
  <c r="Y201" i="1"/>
  <c r="Z201" i="1"/>
  <c r="AA201" i="1"/>
  <c r="Y202" i="1"/>
  <c r="Z202" i="1"/>
  <c r="AA202" i="1"/>
  <c r="Y203" i="1"/>
  <c r="Z203" i="1"/>
  <c r="AA203" i="1"/>
  <c r="Y204" i="1"/>
  <c r="Z204" i="1"/>
  <c r="AA204" i="1"/>
  <c r="Y205" i="1"/>
  <c r="Z205" i="1"/>
  <c r="AA205" i="1"/>
  <c r="Y206" i="1"/>
  <c r="Z206" i="1"/>
  <c r="AA206" i="1"/>
  <c r="Y207" i="1"/>
  <c r="Z207" i="1"/>
  <c r="AA207" i="1"/>
  <c r="Y208" i="1"/>
  <c r="Z208" i="1"/>
  <c r="AA208" i="1"/>
  <c r="Y209" i="1"/>
  <c r="Z209" i="1"/>
  <c r="AA209" i="1"/>
  <c r="Y210" i="1"/>
  <c r="Z210" i="1"/>
  <c r="AA210" i="1"/>
  <c r="Y211" i="1"/>
  <c r="Z211" i="1"/>
  <c r="AA211" i="1"/>
  <c r="Y212" i="1"/>
  <c r="Z212" i="1"/>
  <c r="AA212" i="1"/>
  <c r="Y213" i="1"/>
  <c r="Z213" i="1"/>
  <c r="AA213" i="1"/>
  <c r="Y214" i="1"/>
  <c r="Z214" i="1"/>
  <c r="AA214" i="1"/>
  <c r="Y215" i="1"/>
  <c r="Z215" i="1"/>
  <c r="AA215" i="1"/>
  <c r="Y216" i="1"/>
  <c r="Z216" i="1"/>
  <c r="AA216" i="1"/>
  <c r="Y217" i="1"/>
  <c r="Z217" i="1"/>
  <c r="AA217" i="1"/>
  <c r="Y218" i="1"/>
  <c r="Z218" i="1"/>
  <c r="AA218" i="1"/>
  <c r="Y219" i="1"/>
  <c r="Z219" i="1"/>
  <c r="AA219" i="1"/>
  <c r="Y220" i="1"/>
  <c r="Z220" i="1"/>
  <c r="AA220" i="1"/>
  <c r="Y221" i="1"/>
  <c r="Z221" i="1"/>
  <c r="AA221" i="1"/>
  <c r="Y222" i="1"/>
  <c r="Z222" i="1"/>
  <c r="AA222" i="1"/>
  <c r="Y223" i="1"/>
  <c r="Z223" i="1"/>
  <c r="AA223" i="1"/>
  <c r="Y224" i="1"/>
  <c r="Z224" i="1"/>
  <c r="AA224" i="1"/>
  <c r="Y225" i="1"/>
  <c r="Z225" i="1"/>
  <c r="AA225" i="1"/>
  <c r="Y226" i="1"/>
  <c r="Z226" i="1"/>
  <c r="AA226" i="1"/>
  <c r="Y227" i="1"/>
  <c r="Z227" i="1"/>
  <c r="AA227" i="1"/>
  <c r="Y228" i="1"/>
  <c r="Z228" i="1"/>
  <c r="AA228" i="1"/>
  <c r="Y229" i="1"/>
  <c r="Z229" i="1"/>
  <c r="AA229" i="1"/>
  <c r="Y230" i="1"/>
  <c r="Z230" i="1"/>
  <c r="AA230" i="1"/>
  <c r="Y231" i="1"/>
  <c r="Z231" i="1"/>
  <c r="AA231" i="1"/>
  <c r="Y232" i="1"/>
  <c r="Z232" i="1"/>
  <c r="AA232" i="1"/>
  <c r="Y233" i="1"/>
  <c r="Z233" i="1"/>
  <c r="AA233" i="1"/>
  <c r="Y234" i="1"/>
  <c r="Z234" i="1"/>
  <c r="AA234" i="1"/>
  <c r="Y235" i="1"/>
  <c r="Z235" i="1"/>
  <c r="AA235" i="1"/>
  <c r="Y236" i="1"/>
  <c r="Z236" i="1"/>
  <c r="AA236" i="1"/>
  <c r="Y237" i="1"/>
  <c r="Z237" i="1"/>
  <c r="AA237" i="1"/>
  <c r="Y238" i="1"/>
  <c r="Z238" i="1"/>
  <c r="AA238" i="1"/>
  <c r="Y239" i="1"/>
  <c r="Z239" i="1"/>
  <c r="AA239" i="1"/>
  <c r="Y240" i="1"/>
  <c r="Z240" i="1"/>
  <c r="AA240" i="1"/>
  <c r="Y241" i="1"/>
  <c r="Z241" i="1"/>
  <c r="AA241" i="1"/>
  <c r="Y242" i="1"/>
  <c r="Z242" i="1"/>
  <c r="AA242" i="1"/>
  <c r="Y243" i="1"/>
  <c r="Z243" i="1"/>
  <c r="AA243" i="1"/>
  <c r="Y244" i="1"/>
  <c r="Z244" i="1"/>
  <c r="AA244" i="1"/>
  <c r="Y245" i="1"/>
  <c r="Z245" i="1"/>
  <c r="AA245" i="1"/>
  <c r="Y246" i="1"/>
  <c r="Z246" i="1"/>
  <c r="AA246" i="1"/>
  <c r="Y247" i="1"/>
  <c r="Z247" i="1"/>
  <c r="AA247" i="1"/>
  <c r="Y248" i="1"/>
  <c r="Z248" i="1"/>
  <c r="AA248" i="1"/>
  <c r="Y249" i="1"/>
  <c r="Z249" i="1"/>
  <c r="AA249" i="1"/>
  <c r="Y250" i="1"/>
  <c r="Z250" i="1"/>
  <c r="AA250" i="1"/>
  <c r="Y251" i="1"/>
  <c r="Z251" i="1"/>
  <c r="AA251" i="1"/>
  <c r="Y252" i="1"/>
  <c r="Z252" i="1"/>
  <c r="AA252" i="1"/>
  <c r="Y253" i="1"/>
  <c r="Z253" i="1"/>
  <c r="AA253" i="1"/>
  <c r="Y254" i="1"/>
  <c r="Z254" i="1"/>
  <c r="AA254" i="1"/>
  <c r="Y255" i="1"/>
  <c r="Z255" i="1"/>
  <c r="AA255" i="1"/>
  <c r="Y256" i="1"/>
  <c r="Z256" i="1"/>
  <c r="AA256" i="1"/>
  <c r="Y257" i="1"/>
  <c r="Z257" i="1"/>
  <c r="AA257" i="1"/>
  <c r="Y258" i="1"/>
  <c r="Z258" i="1"/>
  <c r="AA258" i="1"/>
  <c r="Y259" i="1"/>
  <c r="Z259" i="1"/>
  <c r="AA259" i="1"/>
  <c r="Y260" i="1"/>
  <c r="Z260" i="1"/>
  <c r="AA260" i="1"/>
  <c r="Y261" i="1"/>
  <c r="Z261" i="1"/>
  <c r="AA261" i="1"/>
  <c r="Y262" i="1"/>
  <c r="Z262" i="1"/>
  <c r="AA262" i="1"/>
  <c r="Y263" i="1"/>
  <c r="Z263" i="1"/>
  <c r="AA263" i="1"/>
  <c r="Y264" i="1"/>
  <c r="Z264" i="1"/>
  <c r="AA264" i="1"/>
  <c r="Y265" i="1"/>
  <c r="Z265" i="1"/>
  <c r="AA265" i="1"/>
  <c r="Y266" i="1"/>
  <c r="Z266" i="1"/>
  <c r="AA266" i="1"/>
  <c r="Y267" i="1"/>
  <c r="Z267" i="1"/>
  <c r="AA267" i="1"/>
  <c r="Y268" i="1"/>
  <c r="Z268" i="1"/>
  <c r="AA268" i="1"/>
  <c r="Y269" i="1"/>
  <c r="Z269" i="1"/>
  <c r="AA269" i="1"/>
  <c r="Y270" i="1"/>
  <c r="Z270" i="1"/>
  <c r="AA270" i="1"/>
  <c r="Y271" i="1"/>
  <c r="Z271" i="1"/>
  <c r="AA271" i="1"/>
  <c r="Y272" i="1"/>
  <c r="Z272" i="1"/>
  <c r="AA272" i="1"/>
  <c r="Y273" i="1"/>
  <c r="Z273" i="1"/>
  <c r="AA273" i="1"/>
  <c r="Y274" i="1"/>
  <c r="Z274" i="1"/>
  <c r="AA274" i="1"/>
  <c r="Y275" i="1"/>
  <c r="Z275" i="1"/>
  <c r="AA275" i="1"/>
  <c r="Y276" i="1"/>
  <c r="Z276" i="1"/>
  <c r="AA276" i="1"/>
  <c r="Y277" i="1"/>
  <c r="Z277" i="1"/>
  <c r="AA277" i="1"/>
  <c r="Y278" i="1"/>
  <c r="Z278" i="1"/>
  <c r="AA278" i="1"/>
  <c r="Y279" i="1"/>
  <c r="Z279" i="1"/>
  <c r="AA279" i="1"/>
  <c r="Y280" i="1"/>
  <c r="Z280" i="1"/>
  <c r="AA280" i="1"/>
  <c r="Y281" i="1"/>
  <c r="Z281" i="1"/>
  <c r="AA281" i="1"/>
  <c r="Y282" i="1"/>
  <c r="Z282" i="1"/>
  <c r="AA282" i="1"/>
  <c r="Y283" i="1"/>
  <c r="Z283" i="1"/>
  <c r="AA283" i="1"/>
  <c r="Y284" i="1"/>
  <c r="Z284" i="1"/>
  <c r="AA284" i="1"/>
  <c r="Y285" i="1"/>
  <c r="Z285" i="1"/>
  <c r="AA285" i="1"/>
  <c r="Y286" i="1"/>
  <c r="Z286" i="1"/>
  <c r="AA286" i="1"/>
  <c r="Y287" i="1"/>
  <c r="Z287" i="1"/>
  <c r="AA287" i="1"/>
  <c r="Y288" i="1"/>
  <c r="Z288" i="1"/>
  <c r="AA288" i="1"/>
  <c r="Y289" i="1"/>
  <c r="Z289" i="1"/>
  <c r="AA289" i="1"/>
  <c r="Y290" i="1"/>
  <c r="Z290" i="1"/>
  <c r="AA290" i="1"/>
  <c r="Y291" i="1"/>
  <c r="Z291" i="1"/>
  <c r="AA291" i="1"/>
  <c r="Y292" i="1"/>
  <c r="Z292" i="1"/>
  <c r="AA292" i="1"/>
  <c r="Y293" i="1"/>
  <c r="Z293" i="1"/>
  <c r="AA293" i="1"/>
  <c r="Y294" i="1"/>
  <c r="Z294" i="1"/>
  <c r="AA294" i="1"/>
  <c r="Y295" i="1"/>
  <c r="Z295" i="1"/>
  <c r="AA295" i="1"/>
  <c r="Y296" i="1"/>
  <c r="Z296" i="1"/>
  <c r="AA296" i="1"/>
  <c r="Y297" i="1"/>
  <c r="Z297" i="1"/>
  <c r="AA297" i="1"/>
  <c r="Y298" i="1"/>
  <c r="Z298" i="1"/>
  <c r="AA298" i="1"/>
  <c r="Y299" i="1"/>
  <c r="Z299" i="1"/>
  <c r="AA299" i="1"/>
  <c r="Y300" i="1"/>
  <c r="Z300" i="1"/>
  <c r="AA300" i="1"/>
  <c r="Y301" i="1"/>
  <c r="Z301" i="1"/>
  <c r="AA301" i="1"/>
  <c r="Y302" i="1"/>
  <c r="Z302" i="1"/>
  <c r="AA302" i="1"/>
  <c r="Y303" i="1"/>
  <c r="Z303" i="1"/>
  <c r="AA303" i="1"/>
  <c r="Y304" i="1"/>
  <c r="Z304" i="1"/>
  <c r="AA304" i="1"/>
  <c r="Y305" i="1"/>
  <c r="Z305" i="1"/>
  <c r="AA305" i="1"/>
  <c r="Y306" i="1"/>
  <c r="Z306" i="1"/>
  <c r="AA306" i="1"/>
  <c r="Y307" i="1"/>
  <c r="Z307" i="1"/>
  <c r="AA307" i="1"/>
  <c r="Y308" i="1"/>
  <c r="Z308" i="1"/>
  <c r="AA308" i="1"/>
  <c r="Y309" i="1"/>
  <c r="Z309" i="1"/>
  <c r="AA309" i="1"/>
  <c r="Y310" i="1"/>
  <c r="Z310" i="1"/>
  <c r="AA310" i="1"/>
  <c r="Y311" i="1"/>
  <c r="Z311" i="1"/>
  <c r="AA311" i="1"/>
  <c r="Y312" i="1"/>
  <c r="Z312" i="1"/>
  <c r="AA312" i="1"/>
  <c r="Y313" i="1"/>
  <c r="Z313" i="1"/>
  <c r="AA313" i="1"/>
  <c r="Y314" i="1"/>
  <c r="Z314" i="1"/>
  <c r="AA314" i="1"/>
  <c r="Y315" i="1"/>
  <c r="Z315" i="1"/>
  <c r="AA315" i="1"/>
  <c r="Y316" i="1"/>
  <c r="Z316" i="1"/>
  <c r="AA316" i="1"/>
  <c r="Y317" i="1"/>
  <c r="Z317" i="1"/>
  <c r="AA317" i="1"/>
  <c r="Y318" i="1"/>
  <c r="Z318" i="1"/>
  <c r="AA318" i="1"/>
  <c r="Y319" i="1"/>
  <c r="Z319" i="1"/>
  <c r="AA319" i="1"/>
  <c r="Y320" i="1"/>
  <c r="Z320" i="1"/>
  <c r="AA320" i="1"/>
  <c r="Y321" i="1"/>
  <c r="Z321" i="1"/>
  <c r="AA321" i="1"/>
  <c r="Y322" i="1"/>
  <c r="Z322" i="1"/>
  <c r="AA322" i="1"/>
  <c r="Y323" i="1"/>
  <c r="Z323" i="1"/>
  <c r="AA323" i="1"/>
  <c r="Y324" i="1"/>
  <c r="Z324" i="1"/>
  <c r="AA324" i="1"/>
  <c r="Y325" i="1"/>
  <c r="Z325" i="1"/>
  <c r="AA325" i="1"/>
  <c r="Y326" i="1"/>
  <c r="Z326" i="1"/>
  <c r="AA326" i="1"/>
  <c r="Y327" i="1"/>
  <c r="Z327" i="1"/>
  <c r="AA327" i="1"/>
  <c r="Y328" i="1"/>
  <c r="Z328" i="1"/>
  <c r="AA328" i="1"/>
  <c r="Y329" i="1"/>
  <c r="Z329" i="1"/>
  <c r="AA329" i="1"/>
  <c r="Y330" i="1"/>
  <c r="Z330" i="1"/>
  <c r="AA330" i="1"/>
  <c r="Y331" i="1"/>
  <c r="Z331" i="1"/>
  <c r="AA331" i="1"/>
  <c r="Y332" i="1"/>
  <c r="Z332" i="1"/>
  <c r="AA332" i="1"/>
  <c r="Y333" i="1"/>
  <c r="Z333" i="1"/>
  <c r="AA333" i="1"/>
  <c r="Y334" i="1"/>
  <c r="Z334" i="1"/>
  <c r="AA334" i="1"/>
  <c r="Y335" i="1"/>
  <c r="Z335" i="1"/>
  <c r="AA335" i="1"/>
  <c r="Y336" i="1"/>
  <c r="Z336" i="1"/>
  <c r="AA336" i="1"/>
  <c r="Y337" i="1"/>
  <c r="Z337" i="1"/>
  <c r="AA337" i="1"/>
  <c r="Y338" i="1"/>
  <c r="Z338" i="1"/>
  <c r="AA338" i="1"/>
  <c r="Y339" i="1"/>
  <c r="Z339" i="1"/>
  <c r="AA339" i="1"/>
  <c r="Y340" i="1"/>
  <c r="Z340" i="1"/>
  <c r="AA340" i="1"/>
  <c r="Y341" i="1"/>
  <c r="Z341" i="1"/>
  <c r="AA341" i="1"/>
  <c r="Y342" i="1"/>
  <c r="Z342" i="1"/>
  <c r="AA342" i="1"/>
  <c r="Y343" i="1"/>
  <c r="Z343" i="1"/>
  <c r="AA343" i="1"/>
  <c r="Y344" i="1"/>
  <c r="Z344" i="1"/>
  <c r="AA344" i="1"/>
  <c r="Y345" i="1"/>
  <c r="Z345" i="1"/>
  <c r="AA345" i="1"/>
  <c r="Y346" i="1"/>
  <c r="Z346" i="1"/>
  <c r="AA346" i="1"/>
  <c r="Y347" i="1"/>
  <c r="Z347" i="1"/>
  <c r="AA347" i="1"/>
  <c r="Y348" i="1"/>
  <c r="Z348" i="1"/>
  <c r="AA348" i="1"/>
  <c r="Y349" i="1"/>
  <c r="Z349" i="1"/>
  <c r="AA349" i="1"/>
  <c r="Y350" i="1"/>
  <c r="Z350" i="1"/>
  <c r="AA350" i="1"/>
  <c r="Y351" i="1"/>
  <c r="Z351" i="1"/>
  <c r="AA351" i="1"/>
  <c r="Y352" i="1"/>
  <c r="Z352" i="1"/>
  <c r="AA352" i="1"/>
  <c r="Y353" i="1"/>
  <c r="Z353" i="1"/>
  <c r="AA353" i="1"/>
  <c r="Y354" i="1"/>
  <c r="Z354" i="1"/>
  <c r="AA354" i="1"/>
  <c r="Y355" i="1"/>
  <c r="Z355" i="1"/>
  <c r="AA355" i="1"/>
  <c r="Y356" i="1"/>
  <c r="Z356" i="1"/>
  <c r="AA356" i="1"/>
  <c r="Y357" i="1"/>
  <c r="Z357" i="1"/>
  <c r="AA357" i="1"/>
  <c r="Y358" i="1"/>
  <c r="Z358" i="1"/>
  <c r="AA358" i="1"/>
  <c r="Y359" i="1"/>
  <c r="Z359" i="1"/>
  <c r="AA359" i="1"/>
  <c r="Y360" i="1"/>
  <c r="Z360" i="1"/>
  <c r="AA360" i="1"/>
  <c r="Y361" i="1"/>
  <c r="Z361" i="1"/>
  <c r="AA361" i="1"/>
  <c r="Y362" i="1"/>
  <c r="Z362" i="1"/>
  <c r="AA362" i="1"/>
  <c r="Y363" i="1"/>
  <c r="Z363" i="1"/>
  <c r="AA363" i="1"/>
  <c r="Y364" i="1"/>
  <c r="Z364" i="1"/>
  <c r="AA364" i="1"/>
  <c r="Y365" i="1"/>
  <c r="Z365" i="1"/>
  <c r="AA365" i="1"/>
  <c r="Y366" i="1"/>
  <c r="Z366" i="1"/>
  <c r="AA366" i="1"/>
  <c r="Y367" i="1"/>
  <c r="Z367" i="1"/>
  <c r="AA367" i="1"/>
  <c r="Y368" i="1"/>
  <c r="Z368" i="1"/>
  <c r="AA368" i="1"/>
  <c r="Y369" i="1"/>
  <c r="Z369" i="1"/>
  <c r="AA369" i="1"/>
  <c r="Y370" i="1"/>
  <c r="Z370" i="1"/>
  <c r="AA370" i="1"/>
  <c r="Y371" i="1"/>
  <c r="Z371" i="1"/>
  <c r="AA371" i="1"/>
  <c r="Y372" i="1"/>
  <c r="Z372" i="1"/>
  <c r="AA372" i="1"/>
  <c r="Y373" i="1"/>
  <c r="Z373" i="1"/>
  <c r="AA373" i="1"/>
  <c r="Y374" i="1"/>
  <c r="Z374" i="1"/>
  <c r="AA374" i="1"/>
  <c r="Y375" i="1"/>
  <c r="Z375" i="1"/>
  <c r="AA375" i="1"/>
  <c r="Y376" i="1"/>
  <c r="Z376" i="1"/>
  <c r="AA376" i="1"/>
  <c r="Y377" i="1"/>
  <c r="Z377" i="1"/>
  <c r="AA377" i="1"/>
  <c r="Y378" i="1"/>
  <c r="Z378" i="1"/>
  <c r="AA378" i="1"/>
  <c r="Y379" i="1"/>
  <c r="Z379" i="1"/>
  <c r="AA379" i="1"/>
  <c r="Y380" i="1"/>
  <c r="Z380" i="1"/>
  <c r="AA380" i="1"/>
  <c r="Y381" i="1"/>
  <c r="Z381" i="1"/>
  <c r="AA381" i="1"/>
  <c r="Y382" i="1"/>
  <c r="Z382" i="1"/>
  <c r="AA382" i="1"/>
  <c r="Y383" i="1"/>
  <c r="Z383" i="1"/>
  <c r="AA383" i="1"/>
  <c r="Y384" i="1"/>
  <c r="Z384" i="1"/>
  <c r="AA384" i="1"/>
  <c r="Y385" i="1"/>
  <c r="Z385" i="1"/>
  <c r="AA385" i="1"/>
  <c r="Y386" i="1"/>
  <c r="Z386" i="1"/>
  <c r="AA386" i="1"/>
  <c r="Y387" i="1"/>
  <c r="Z387" i="1"/>
  <c r="AA387" i="1"/>
  <c r="Y388" i="1"/>
  <c r="Z388" i="1"/>
  <c r="AA388" i="1"/>
  <c r="Y389" i="1"/>
  <c r="Z389" i="1"/>
  <c r="AA389" i="1"/>
  <c r="Y390" i="1"/>
  <c r="Z390" i="1"/>
  <c r="AA390" i="1"/>
  <c r="Y391" i="1"/>
  <c r="Z391" i="1"/>
  <c r="AA391" i="1"/>
  <c r="Y392" i="1"/>
  <c r="Z392" i="1"/>
  <c r="AA392" i="1"/>
  <c r="Y393" i="1"/>
  <c r="Z393" i="1"/>
  <c r="AA393" i="1"/>
  <c r="Y394" i="1"/>
  <c r="Z394" i="1"/>
  <c r="AA394" i="1"/>
  <c r="Y395" i="1"/>
  <c r="Z395" i="1"/>
  <c r="AA395" i="1"/>
  <c r="Y396" i="1"/>
  <c r="Z396" i="1"/>
  <c r="AA396" i="1"/>
  <c r="Y397" i="1"/>
  <c r="Z397" i="1"/>
  <c r="AA397" i="1"/>
  <c r="Y398" i="1"/>
  <c r="Z398" i="1"/>
  <c r="AA398" i="1"/>
  <c r="Y399" i="1"/>
  <c r="Z399" i="1"/>
  <c r="AA399" i="1"/>
  <c r="Y400" i="1"/>
  <c r="Z400" i="1"/>
  <c r="AA400" i="1"/>
  <c r="Y401" i="1"/>
  <c r="Z401" i="1"/>
  <c r="AA401" i="1"/>
  <c r="Y402" i="1"/>
  <c r="Z402" i="1"/>
  <c r="AA402" i="1"/>
  <c r="Y403" i="1"/>
  <c r="Z403" i="1"/>
  <c r="AA403" i="1"/>
  <c r="Y404" i="1"/>
  <c r="Z404" i="1"/>
  <c r="AA404" i="1"/>
  <c r="Y405" i="1"/>
  <c r="Z405" i="1"/>
  <c r="AA405" i="1"/>
  <c r="Y406" i="1"/>
  <c r="Z406" i="1"/>
  <c r="AA406" i="1"/>
  <c r="Y407" i="1"/>
  <c r="Z407" i="1"/>
  <c r="AA407" i="1"/>
  <c r="Y408" i="1"/>
  <c r="Z408" i="1"/>
  <c r="AA408" i="1"/>
  <c r="Y409" i="1"/>
  <c r="Z409" i="1"/>
  <c r="AA409" i="1"/>
  <c r="Y410" i="1"/>
  <c r="Z410" i="1"/>
  <c r="AA410" i="1"/>
  <c r="Y411" i="1"/>
  <c r="Z411" i="1"/>
  <c r="AA411" i="1"/>
  <c r="Y412" i="1"/>
  <c r="Z412" i="1"/>
  <c r="AA412" i="1"/>
  <c r="Y413" i="1"/>
  <c r="Z413" i="1"/>
  <c r="AA413" i="1"/>
  <c r="Y414" i="1"/>
  <c r="Z414" i="1"/>
  <c r="AA414" i="1"/>
  <c r="Y415" i="1"/>
  <c r="Z415" i="1"/>
  <c r="AA415" i="1"/>
  <c r="Y416" i="1"/>
  <c r="Z416" i="1"/>
  <c r="AA416" i="1"/>
  <c r="Y417" i="1"/>
  <c r="Z417" i="1"/>
  <c r="AA417" i="1"/>
  <c r="Y418" i="1"/>
  <c r="Z418" i="1"/>
  <c r="AA418" i="1"/>
  <c r="Y419" i="1"/>
  <c r="Z419" i="1"/>
  <c r="AA419" i="1"/>
  <c r="Y420" i="1"/>
  <c r="Z420" i="1"/>
  <c r="AA420" i="1"/>
  <c r="Y421" i="1"/>
  <c r="Z421" i="1"/>
  <c r="AA421" i="1"/>
  <c r="Y422" i="1"/>
  <c r="Z422" i="1"/>
  <c r="AA422" i="1"/>
  <c r="Y423" i="1"/>
  <c r="Z423" i="1"/>
  <c r="AA423" i="1"/>
  <c r="Y424" i="1"/>
  <c r="Z424" i="1"/>
  <c r="AA424" i="1"/>
  <c r="Y425" i="1"/>
  <c r="Z425" i="1"/>
  <c r="AA425" i="1"/>
  <c r="Y426" i="1"/>
  <c r="Z426" i="1"/>
  <c r="AA426" i="1"/>
  <c r="Y427" i="1"/>
  <c r="Z427" i="1"/>
  <c r="AA427" i="1"/>
  <c r="Y428" i="1"/>
  <c r="Z428" i="1"/>
  <c r="AA428" i="1"/>
  <c r="Y429" i="1"/>
  <c r="Z429" i="1"/>
  <c r="AA429" i="1"/>
  <c r="Y430" i="1"/>
  <c r="Z430" i="1"/>
  <c r="AA430" i="1"/>
  <c r="Y431" i="1"/>
  <c r="Z431" i="1"/>
  <c r="AA431" i="1"/>
  <c r="Y432" i="1"/>
  <c r="Z432" i="1"/>
  <c r="AA432" i="1"/>
  <c r="Y433" i="1"/>
  <c r="Z433" i="1"/>
  <c r="AA433" i="1"/>
  <c r="Y434" i="1"/>
  <c r="Z434" i="1"/>
  <c r="AA434" i="1"/>
  <c r="Y435" i="1"/>
  <c r="Z435" i="1"/>
  <c r="AA435" i="1"/>
  <c r="Y436" i="1"/>
  <c r="Z436" i="1"/>
  <c r="AA436" i="1"/>
  <c r="Y437" i="1"/>
  <c r="Z437" i="1"/>
  <c r="AA437" i="1"/>
  <c r="Y438" i="1"/>
  <c r="Z438" i="1"/>
  <c r="AA438" i="1"/>
  <c r="Y439" i="1"/>
  <c r="Z439" i="1"/>
  <c r="AA439" i="1"/>
  <c r="Y440" i="1"/>
  <c r="Z440" i="1"/>
  <c r="AA440" i="1"/>
  <c r="Y441" i="1"/>
  <c r="Z441" i="1"/>
  <c r="AA441" i="1"/>
  <c r="Y442" i="1"/>
  <c r="Z442" i="1"/>
  <c r="AA442" i="1"/>
  <c r="Y443" i="1"/>
  <c r="Z443" i="1"/>
  <c r="AA443" i="1"/>
  <c r="Y444" i="1"/>
  <c r="Z444" i="1"/>
  <c r="AA444" i="1"/>
  <c r="Y445" i="1"/>
  <c r="Z445" i="1"/>
  <c r="AA445" i="1"/>
  <c r="Y446" i="1"/>
  <c r="Z446" i="1"/>
  <c r="AA446" i="1"/>
  <c r="Y447" i="1"/>
  <c r="Z447" i="1"/>
  <c r="AA447" i="1"/>
  <c r="Y448" i="1"/>
  <c r="Z448" i="1"/>
  <c r="AA448" i="1"/>
  <c r="Y449" i="1"/>
  <c r="Z449" i="1"/>
  <c r="AA449" i="1"/>
  <c r="Y450" i="1"/>
  <c r="Z450" i="1"/>
  <c r="AA450" i="1"/>
  <c r="Y451" i="1"/>
  <c r="Z451" i="1"/>
  <c r="AA451" i="1"/>
  <c r="Y452" i="1"/>
  <c r="Z452" i="1"/>
  <c r="AA452" i="1"/>
  <c r="Y453" i="1"/>
  <c r="Z453" i="1"/>
  <c r="AA453" i="1"/>
  <c r="Y454" i="1"/>
  <c r="Z454" i="1"/>
  <c r="AA454" i="1"/>
  <c r="Y455" i="1"/>
  <c r="Z455" i="1"/>
  <c r="AA455" i="1"/>
  <c r="Y456" i="1"/>
  <c r="Z456" i="1"/>
  <c r="AA456" i="1"/>
  <c r="Y457" i="1"/>
  <c r="Z457" i="1"/>
  <c r="AA457" i="1"/>
  <c r="Y458" i="1"/>
  <c r="Z458" i="1"/>
  <c r="AA458" i="1"/>
  <c r="Y459" i="1"/>
  <c r="Z459" i="1"/>
  <c r="AA459" i="1"/>
  <c r="Y460" i="1"/>
  <c r="Z460" i="1"/>
  <c r="AA460" i="1"/>
  <c r="Y461" i="1"/>
  <c r="Z461" i="1"/>
  <c r="AA461" i="1"/>
  <c r="Y462" i="1"/>
  <c r="Z462" i="1"/>
  <c r="AA462" i="1"/>
  <c r="Y463" i="1"/>
  <c r="Z463" i="1"/>
  <c r="AA463" i="1"/>
  <c r="Y464" i="1"/>
  <c r="Z464" i="1"/>
  <c r="AA464" i="1"/>
  <c r="Y465" i="1"/>
  <c r="Z465" i="1"/>
  <c r="AA465" i="1"/>
  <c r="Y466" i="1"/>
  <c r="Z466" i="1"/>
  <c r="AA466" i="1"/>
  <c r="Y467" i="1"/>
  <c r="Z467" i="1"/>
  <c r="AA467" i="1"/>
  <c r="Y468" i="1"/>
  <c r="Z468" i="1"/>
  <c r="AA468" i="1"/>
  <c r="Y469" i="1"/>
  <c r="Z469" i="1"/>
  <c r="AA469" i="1"/>
  <c r="Y470" i="1"/>
  <c r="Z470" i="1"/>
  <c r="AA470" i="1"/>
  <c r="Y471" i="1"/>
  <c r="Z471" i="1"/>
  <c r="AA471" i="1"/>
  <c r="Y472" i="1"/>
  <c r="Z472" i="1"/>
  <c r="AA472" i="1"/>
  <c r="Y473" i="1"/>
  <c r="Z473" i="1"/>
  <c r="AA473" i="1"/>
  <c r="Y474" i="1"/>
  <c r="Z474" i="1"/>
  <c r="AA474" i="1"/>
  <c r="Y475" i="1"/>
  <c r="Z475" i="1"/>
  <c r="AA475" i="1"/>
  <c r="Y476" i="1"/>
  <c r="Z476" i="1"/>
  <c r="AA476" i="1"/>
  <c r="Y477" i="1"/>
  <c r="Z477" i="1"/>
  <c r="AA477" i="1"/>
  <c r="Y478" i="1"/>
  <c r="Z478" i="1"/>
  <c r="AA478" i="1"/>
  <c r="Y479" i="1"/>
  <c r="Z479" i="1"/>
  <c r="AA479" i="1"/>
  <c r="Y480" i="1"/>
  <c r="Z480" i="1"/>
  <c r="AA480" i="1"/>
  <c r="Y481" i="1"/>
  <c r="Z481" i="1"/>
  <c r="AA481" i="1"/>
  <c r="Y482" i="1"/>
  <c r="Z482" i="1"/>
  <c r="AA482" i="1"/>
  <c r="Y483" i="1"/>
  <c r="Z483" i="1"/>
  <c r="AA483" i="1"/>
  <c r="Y484" i="1"/>
  <c r="Z484" i="1"/>
  <c r="AA484" i="1"/>
  <c r="Y485" i="1"/>
  <c r="Z485" i="1"/>
  <c r="AA485" i="1"/>
  <c r="Y486" i="1"/>
  <c r="Z486" i="1"/>
  <c r="AA486" i="1"/>
  <c r="Y487" i="1"/>
  <c r="Z487" i="1"/>
  <c r="AA487" i="1"/>
  <c r="Y488" i="1"/>
  <c r="Z488" i="1"/>
  <c r="AA488" i="1"/>
  <c r="Y489" i="1"/>
  <c r="Z489" i="1"/>
  <c r="AA489" i="1"/>
  <c r="Y490" i="1"/>
  <c r="Z490" i="1"/>
  <c r="AA490" i="1"/>
  <c r="Y491" i="1"/>
  <c r="Z491" i="1"/>
  <c r="AA491" i="1"/>
  <c r="Y492" i="1"/>
  <c r="Z492" i="1"/>
  <c r="AA492" i="1"/>
  <c r="Y493" i="1"/>
  <c r="Z493" i="1"/>
  <c r="AA493" i="1"/>
  <c r="Y494" i="1"/>
  <c r="Z494" i="1"/>
  <c r="AA494" i="1"/>
  <c r="Y495" i="1"/>
  <c r="Z495" i="1"/>
  <c r="AA495" i="1"/>
  <c r="Y496" i="1"/>
  <c r="Z496" i="1"/>
  <c r="AA496" i="1"/>
  <c r="Y497" i="1"/>
  <c r="Z497" i="1"/>
  <c r="AA497" i="1"/>
  <c r="Y498" i="1"/>
  <c r="Z498" i="1"/>
  <c r="AA498" i="1"/>
  <c r="Y499" i="1"/>
  <c r="Z499" i="1"/>
  <c r="AA499" i="1"/>
  <c r="Y500" i="1"/>
  <c r="Z500" i="1"/>
  <c r="AA500" i="1"/>
  <c r="Y501" i="1"/>
  <c r="Z501" i="1"/>
  <c r="AA501" i="1"/>
  <c r="Y502" i="1"/>
  <c r="Z502" i="1"/>
  <c r="AA502" i="1"/>
  <c r="Y503" i="1"/>
  <c r="Z503" i="1"/>
  <c r="AA503" i="1"/>
  <c r="Y504" i="1"/>
  <c r="Z504" i="1"/>
  <c r="AA504" i="1"/>
  <c r="Y505" i="1"/>
  <c r="Z505" i="1"/>
  <c r="AA505" i="1"/>
  <c r="Y506" i="1"/>
  <c r="Z506" i="1"/>
  <c r="AA506" i="1"/>
  <c r="Y507" i="1"/>
  <c r="Z507" i="1"/>
  <c r="AA507" i="1"/>
  <c r="Y508" i="1"/>
  <c r="Z508" i="1"/>
  <c r="AA508" i="1"/>
  <c r="Y509" i="1"/>
  <c r="Z509" i="1"/>
  <c r="AA509" i="1"/>
  <c r="Y510" i="1"/>
  <c r="Z510" i="1"/>
  <c r="AA510" i="1"/>
  <c r="Y511" i="1"/>
  <c r="Z511" i="1"/>
  <c r="AA511" i="1"/>
  <c r="Y512" i="1"/>
  <c r="Z512" i="1"/>
  <c r="AA512" i="1"/>
  <c r="Y513" i="1"/>
  <c r="Z513" i="1"/>
  <c r="AA513" i="1"/>
  <c r="Y514" i="1"/>
  <c r="Z514" i="1"/>
  <c r="AA514" i="1"/>
  <c r="Y515" i="1"/>
  <c r="Z515" i="1"/>
  <c r="AA515" i="1"/>
  <c r="Y516" i="1"/>
  <c r="Z516" i="1"/>
  <c r="AA516" i="1"/>
  <c r="Y517" i="1"/>
  <c r="Z517" i="1"/>
  <c r="AA517" i="1"/>
  <c r="Y518" i="1"/>
  <c r="Z518" i="1"/>
  <c r="AA518" i="1"/>
  <c r="Y519" i="1"/>
  <c r="Z519" i="1"/>
  <c r="AA519" i="1"/>
  <c r="Y520" i="1"/>
  <c r="Z520" i="1"/>
  <c r="AA520" i="1"/>
  <c r="Y521" i="1"/>
  <c r="Z521" i="1"/>
  <c r="AA521" i="1"/>
  <c r="Y522" i="1"/>
  <c r="Z522" i="1"/>
  <c r="AA522" i="1"/>
  <c r="Y523" i="1"/>
  <c r="Z523" i="1"/>
  <c r="AA523" i="1"/>
  <c r="Y524" i="1"/>
  <c r="Z524" i="1"/>
  <c r="AA524" i="1"/>
  <c r="Y525" i="1"/>
  <c r="Z525" i="1"/>
  <c r="AA525" i="1"/>
  <c r="Y526" i="1"/>
  <c r="Z526" i="1"/>
  <c r="AA526" i="1"/>
  <c r="Y527" i="1"/>
  <c r="Z527" i="1"/>
  <c r="AA527" i="1"/>
  <c r="Y528" i="1"/>
  <c r="Z528" i="1"/>
  <c r="AA528" i="1"/>
  <c r="Y529" i="1"/>
  <c r="Z529" i="1"/>
  <c r="AA529" i="1"/>
  <c r="Y530" i="1"/>
  <c r="Z530" i="1"/>
  <c r="AA530" i="1"/>
  <c r="Y531" i="1"/>
  <c r="Z531" i="1"/>
  <c r="AA531" i="1"/>
  <c r="Y532" i="1"/>
  <c r="Z532" i="1"/>
  <c r="AA532" i="1"/>
  <c r="Y533" i="1"/>
  <c r="Z533" i="1"/>
  <c r="AA533" i="1"/>
  <c r="Y534" i="1"/>
  <c r="Z534" i="1"/>
  <c r="AA534" i="1"/>
  <c r="Y535" i="1"/>
  <c r="Z535" i="1"/>
  <c r="AA535" i="1"/>
  <c r="Y536" i="1"/>
  <c r="Z536" i="1"/>
  <c r="AA536" i="1"/>
  <c r="Y537" i="1"/>
  <c r="Z537" i="1"/>
  <c r="AA537" i="1"/>
  <c r="Y538" i="1"/>
  <c r="Z538" i="1"/>
  <c r="AA538" i="1"/>
  <c r="Y539" i="1"/>
  <c r="Z539" i="1"/>
  <c r="AA539" i="1"/>
  <c r="Y540" i="1"/>
  <c r="Z540" i="1"/>
  <c r="AA540" i="1"/>
  <c r="Y541" i="1"/>
  <c r="Z541" i="1"/>
  <c r="AA541" i="1"/>
  <c r="Y542" i="1"/>
  <c r="Z542" i="1"/>
  <c r="AA542" i="1"/>
  <c r="Y543" i="1"/>
  <c r="Z543" i="1"/>
  <c r="AA543" i="1"/>
  <c r="Y544" i="1"/>
  <c r="Z544" i="1"/>
  <c r="AA544" i="1"/>
  <c r="Y545" i="1"/>
  <c r="Z545" i="1"/>
  <c r="AA545" i="1"/>
  <c r="Y546" i="1"/>
  <c r="Z546" i="1"/>
  <c r="AA546" i="1"/>
  <c r="Y547" i="1"/>
  <c r="Z547" i="1"/>
  <c r="AA547" i="1"/>
  <c r="Y548" i="1"/>
  <c r="Z548" i="1"/>
  <c r="AA548" i="1"/>
  <c r="Y549" i="1"/>
  <c r="Z549" i="1"/>
  <c r="AA549" i="1"/>
  <c r="Y550" i="1"/>
  <c r="Z550" i="1"/>
  <c r="AA550" i="1"/>
  <c r="Y551" i="1"/>
  <c r="Z551" i="1"/>
  <c r="AA551" i="1"/>
  <c r="Y552" i="1"/>
  <c r="Z552" i="1"/>
  <c r="AA552" i="1"/>
  <c r="Y553" i="1"/>
  <c r="Z553" i="1"/>
  <c r="AA553" i="1"/>
  <c r="Y554" i="1"/>
  <c r="Z554" i="1"/>
  <c r="AA554" i="1"/>
  <c r="Y555" i="1"/>
  <c r="Z555" i="1"/>
  <c r="AA555" i="1"/>
  <c r="Y556" i="1"/>
  <c r="Z556" i="1"/>
  <c r="AA556" i="1"/>
  <c r="Y557" i="1"/>
  <c r="Z557" i="1"/>
  <c r="AA557" i="1"/>
  <c r="Y558" i="1"/>
  <c r="Z558" i="1"/>
  <c r="AA558" i="1"/>
  <c r="Y559" i="1"/>
  <c r="Z559" i="1"/>
  <c r="AA559" i="1"/>
  <c r="Y560" i="1"/>
  <c r="Z560" i="1"/>
  <c r="AA560" i="1"/>
  <c r="Y561" i="1"/>
  <c r="Z561" i="1"/>
  <c r="AA561" i="1"/>
  <c r="Y562" i="1"/>
  <c r="Z562" i="1"/>
  <c r="AA562" i="1"/>
  <c r="Y563" i="1"/>
  <c r="Z563" i="1"/>
  <c r="AA563" i="1"/>
  <c r="Y564" i="1"/>
  <c r="Z564" i="1"/>
  <c r="AA564" i="1"/>
  <c r="Y565" i="1"/>
  <c r="Z565" i="1"/>
  <c r="AA565" i="1"/>
  <c r="Y566" i="1"/>
  <c r="Z566" i="1"/>
  <c r="AA566" i="1"/>
  <c r="Y567" i="1"/>
  <c r="Z567" i="1"/>
  <c r="AA567" i="1"/>
  <c r="Y568" i="1"/>
  <c r="Z568" i="1"/>
  <c r="AA568" i="1"/>
  <c r="Y569" i="1"/>
  <c r="Z569" i="1"/>
  <c r="AA569" i="1"/>
  <c r="Y570" i="1"/>
  <c r="Z570" i="1"/>
  <c r="AA570" i="1"/>
  <c r="Y571" i="1"/>
  <c r="Z571" i="1"/>
  <c r="AA571" i="1"/>
  <c r="Y572" i="1"/>
  <c r="Z572" i="1"/>
  <c r="AA572" i="1"/>
  <c r="Y573" i="1"/>
  <c r="Z573" i="1"/>
  <c r="AA573" i="1"/>
  <c r="Y574" i="1"/>
  <c r="Z574" i="1"/>
  <c r="AA574" i="1"/>
  <c r="Y575" i="1"/>
  <c r="Z575" i="1"/>
  <c r="AA575" i="1"/>
  <c r="Y576" i="1"/>
  <c r="Z576" i="1"/>
  <c r="AA576" i="1"/>
  <c r="Y577" i="1"/>
  <c r="Z577" i="1"/>
  <c r="AA577" i="1"/>
  <c r="Y578" i="1"/>
  <c r="Z578" i="1"/>
  <c r="AA578" i="1"/>
  <c r="Y579" i="1"/>
  <c r="Z579" i="1"/>
  <c r="AA579" i="1"/>
  <c r="Y580" i="1"/>
  <c r="Z580" i="1"/>
  <c r="AA580" i="1"/>
  <c r="Y581" i="1"/>
  <c r="Z581" i="1"/>
  <c r="AA581" i="1"/>
  <c r="Y582" i="1"/>
  <c r="Z582" i="1"/>
  <c r="AA582" i="1"/>
  <c r="Y583" i="1"/>
  <c r="Z583" i="1"/>
  <c r="AA583" i="1"/>
  <c r="Y584" i="1"/>
  <c r="Z584" i="1"/>
  <c r="AA584" i="1"/>
  <c r="Y585" i="1"/>
  <c r="Z585" i="1"/>
  <c r="AA585" i="1"/>
  <c r="Y586" i="1"/>
  <c r="Z586" i="1"/>
  <c r="AA586" i="1"/>
  <c r="Y587" i="1"/>
  <c r="Z587" i="1"/>
  <c r="AA587" i="1"/>
  <c r="Y588" i="1"/>
  <c r="Z588" i="1"/>
  <c r="AA588" i="1"/>
  <c r="Y589" i="1"/>
  <c r="Z589" i="1"/>
  <c r="AA589" i="1"/>
  <c r="Y590" i="1"/>
  <c r="Z590" i="1"/>
  <c r="AA590" i="1"/>
  <c r="Y591" i="1"/>
  <c r="Z591" i="1"/>
  <c r="AA591" i="1"/>
  <c r="Y592" i="1"/>
  <c r="Z592" i="1"/>
  <c r="AA592" i="1"/>
  <c r="Y593" i="1"/>
  <c r="Z593" i="1"/>
  <c r="AA593" i="1"/>
  <c r="Y594" i="1"/>
  <c r="Z594" i="1"/>
  <c r="AA594" i="1"/>
  <c r="Y595" i="1"/>
  <c r="Z595" i="1"/>
  <c r="AA595" i="1"/>
  <c r="Y596" i="1"/>
  <c r="Z596" i="1"/>
  <c r="AA596" i="1"/>
  <c r="Y597" i="1"/>
  <c r="Z597" i="1"/>
  <c r="AA597" i="1"/>
  <c r="Y598" i="1"/>
  <c r="Z598" i="1"/>
  <c r="AA598" i="1"/>
  <c r="Y599" i="1"/>
  <c r="Z599" i="1"/>
  <c r="AA599" i="1"/>
  <c r="Y600" i="1"/>
  <c r="Z600" i="1"/>
  <c r="AA600" i="1"/>
  <c r="Y601" i="1"/>
  <c r="Z601" i="1"/>
  <c r="AA601" i="1"/>
  <c r="Y602" i="1"/>
  <c r="Z602" i="1"/>
  <c r="AA602" i="1"/>
  <c r="Y603" i="1"/>
  <c r="Z603" i="1"/>
  <c r="AA603" i="1"/>
  <c r="Y604" i="1"/>
  <c r="Z604" i="1"/>
  <c r="AA604" i="1"/>
  <c r="Y605" i="1"/>
  <c r="Z605" i="1"/>
  <c r="AA605" i="1"/>
  <c r="Y606" i="1"/>
  <c r="Z606" i="1"/>
  <c r="AA606" i="1"/>
  <c r="Y607" i="1"/>
  <c r="Z607" i="1"/>
  <c r="AA607" i="1"/>
  <c r="Y608" i="1"/>
  <c r="Z608" i="1"/>
  <c r="AA608" i="1"/>
  <c r="Y609" i="1"/>
  <c r="Z609" i="1"/>
  <c r="AA609" i="1"/>
  <c r="Y610" i="1"/>
  <c r="Z610" i="1"/>
  <c r="AA610" i="1"/>
  <c r="Y611" i="1"/>
  <c r="Z611" i="1"/>
  <c r="AA611" i="1"/>
  <c r="Y612" i="1"/>
  <c r="Z612" i="1"/>
  <c r="AA612" i="1"/>
  <c r="Y613" i="1"/>
  <c r="Z613" i="1"/>
  <c r="AA613" i="1"/>
  <c r="Y614" i="1"/>
  <c r="Z614" i="1"/>
  <c r="AA614" i="1"/>
  <c r="Y615" i="1"/>
  <c r="Z615" i="1"/>
  <c r="AA615" i="1"/>
  <c r="Y616" i="1"/>
  <c r="Z616" i="1"/>
  <c r="AA616" i="1"/>
  <c r="Y617" i="1"/>
  <c r="Z617" i="1"/>
  <c r="AA617" i="1"/>
  <c r="Y618" i="1"/>
  <c r="Z618" i="1"/>
  <c r="AA618" i="1"/>
  <c r="Y619" i="1"/>
  <c r="Z619" i="1"/>
  <c r="AA619" i="1"/>
  <c r="Y620" i="1"/>
  <c r="Z620" i="1"/>
  <c r="AA620" i="1"/>
  <c r="Y621" i="1"/>
  <c r="Z621" i="1"/>
  <c r="AA621" i="1"/>
  <c r="Y622" i="1"/>
  <c r="Z622" i="1"/>
  <c r="AA622" i="1"/>
  <c r="Y623" i="1"/>
  <c r="Z623" i="1"/>
  <c r="AA623" i="1"/>
  <c r="Y624" i="1"/>
  <c r="Z624" i="1"/>
  <c r="AA624" i="1"/>
  <c r="Y625" i="1"/>
  <c r="Z625" i="1"/>
  <c r="AA625" i="1"/>
  <c r="Y626" i="1"/>
  <c r="Z626" i="1"/>
  <c r="AA626" i="1"/>
  <c r="Y627" i="1"/>
  <c r="Z627" i="1"/>
  <c r="AA627" i="1"/>
  <c r="Y628" i="1"/>
  <c r="Z628" i="1"/>
  <c r="AA628" i="1"/>
  <c r="Y629" i="1"/>
  <c r="Z629" i="1"/>
  <c r="AA629" i="1"/>
  <c r="Y630" i="1"/>
  <c r="Z630" i="1"/>
  <c r="AA630" i="1"/>
  <c r="Y631" i="1"/>
  <c r="Z631" i="1"/>
  <c r="AA631" i="1"/>
  <c r="Y632" i="1"/>
  <c r="Z632" i="1"/>
  <c r="AA632" i="1"/>
  <c r="Y633" i="1"/>
  <c r="Z633" i="1"/>
  <c r="AA633" i="1"/>
  <c r="Y634" i="1"/>
  <c r="Z634" i="1"/>
  <c r="AA634" i="1"/>
  <c r="Y635" i="1"/>
  <c r="Z635" i="1"/>
  <c r="AA635" i="1"/>
  <c r="Y636" i="1"/>
  <c r="Z636" i="1"/>
  <c r="AA636" i="1"/>
  <c r="Y637" i="1"/>
  <c r="Z637" i="1"/>
  <c r="AA637" i="1"/>
  <c r="Y638" i="1"/>
  <c r="Z638" i="1"/>
  <c r="AA638" i="1"/>
  <c r="Y639" i="1"/>
  <c r="Z639" i="1"/>
  <c r="AA639" i="1"/>
  <c r="Y640" i="1"/>
  <c r="Z640" i="1"/>
  <c r="AA640" i="1"/>
  <c r="Y641" i="1"/>
  <c r="Z641" i="1"/>
  <c r="AA641" i="1"/>
  <c r="Y642" i="1"/>
  <c r="Z642" i="1"/>
  <c r="AA642" i="1"/>
  <c r="Y643" i="1"/>
  <c r="Z643" i="1"/>
  <c r="AA643" i="1"/>
  <c r="Y644" i="1"/>
  <c r="Z644" i="1"/>
  <c r="AA644" i="1"/>
  <c r="Y645" i="1"/>
  <c r="Z645" i="1"/>
  <c r="AA645" i="1"/>
  <c r="Y646" i="1"/>
  <c r="Z646" i="1"/>
  <c r="AA646" i="1"/>
  <c r="Y647" i="1"/>
  <c r="Z647" i="1"/>
  <c r="AA647" i="1"/>
  <c r="Y648" i="1"/>
  <c r="Z648" i="1"/>
  <c r="AA648" i="1"/>
  <c r="Y649" i="1"/>
  <c r="Z649" i="1"/>
  <c r="AA649" i="1"/>
  <c r="Y650" i="1"/>
  <c r="Z650" i="1"/>
  <c r="AA650" i="1"/>
  <c r="Y651" i="1"/>
  <c r="Z651" i="1"/>
  <c r="AA651" i="1"/>
  <c r="Y652" i="1"/>
  <c r="Z652" i="1"/>
  <c r="AA652" i="1"/>
  <c r="Y653" i="1"/>
  <c r="Z653" i="1"/>
  <c r="AA653" i="1"/>
  <c r="Y654" i="1"/>
  <c r="Z654" i="1"/>
  <c r="AA654" i="1"/>
  <c r="Y655" i="1"/>
  <c r="Z655" i="1"/>
  <c r="AA655" i="1"/>
  <c r="Y656" i="1"/>
  <c r="Z656" i="1"/>
  <c r="AA656" i="1"/>
  <c r="Y657" i="1"/>
  <c r="Z657" i="1"/>
  <c r="AA657" i="1"/>
  <c r="Y658" i="1"/>
  <c r="Z658" i="1"/>
  <c r="AA658" i="1"/>
  <c r="Y659" i="1"/>
  <c r="Z659" i="1"/>
  <c r="AA659" i="1"/>
  <c r="Y660" i="1"/>
  <c r="Z660" i="1"/>
  <c r="AA660" i="1"/>
  <c r="Y661" i="1"/>
  <c r="Z661" i="1"/>
  <c r="AA661" i="1"/>
  <c r="Y662" i="1"/>
  <c r="Z662" i="1"/>
  <c r="AA662" i="1"/>
  <c r="Y663" i="1"/>
  <c r="Z663" i="1"/>
  <c r="AA663" i="1"/>
  <c r="Y664" i="1"/>
  <c r="Z664" i="1"/>
  <c r="AA664" i="1"/>
  <c r="Y665" i="1"/>
  <c r="Z665" i="1"/>
  <c r="AA665" i="1"/>
  <c r="Y666" i="1"/>
  <c r="Z666" i="1"/>
  <c r="AA666" i="1"/>
  <c r="Y667" i="1"/>
  <c r="Z667" i="1"/>
  <c r="AA667" i="1"/>
  <c r="Y668" i="1"/>
  <c r="Z668" i="1"/>
  <c r="AA668" i="1"/>
  <c r="Y669" i="1"/>
  <c r="Z669" i="1"/>
  <c r="AA669" i="1"/>
  <c r="Y670" i="1"/>
  <c r="Z670" i="1"/>
  <c r="AA670" i="1"/>
  <c r="Y671" i="1"/>
  <c r="Z671" i="1"/>
  <c r="AA671" i="1"/>
  <c r="Y672" i="1"/>
  <c r="Z672" i="1"/>
  <c r="AA672" i="1"/>
  <c r="Y673" i="1"/>
  <c r="Z673" i="1"/>
  <c r="AA673" i="1"/>
  <c r="Y674" i="1"/>
  <c r="Z674" i="1"/>
  <c r="AA674" i="1"/>
  <c r="Y675" i="1"/>
  <c r="Z675" i="1"/>
  <c r="AA675" i="1"/>
  <c r="Y676" i="1"/>
  <c r="Z676" i="1"/>
  <c r="AA676" i="1"/>
  <c r="Y677" i="1"/>
  <c r="Z677" i="1"/>
  <c r="AA677" i="1"/>
  <c r="Y678" i="1"/>
  <c r="Z678" i="1"/>
  <c r="AA678" i="1"/>
  <c r="Y679" i="1"/>
  <c r="Z679" i="1"/>
  <c r="AA679" i="1"/>
  <c r="Y680" i="1"/>
  <c r="Z680" i="1"/>
  <c r="AA680" i="1"/>
  <c r="Y681" i="1"/>
  <c r="Z681" i="1"/>
  <c r="AA681" i="1"/>
  <c r="Y682" i="1"/>
  <c r="Z682" i="1"/>
  <c r="AA682" i="1"/>
  <c r="Y683" i="1"/>
  <c r="Z683" i="1"/>
  <c r="AA683" i="1"/>
  <c r="Y684" i="1"/>
  <c r="Z684" i="1"/>
  <c r="AA684" i="1"/>
  <c r="Y685" i="1"/>
  <c r="Z685" i="1"/>
  <c r="AA685" i="1"/>
  <c r="Y686" i="1"/>
  <c r="Z686" i="1"/>
  <c r="AA686" i="1"/>
  <c r="Y687" i="1"/>
  <c r="Z687" i="1"/>
  <c r="AA687" i="1"/>
  <c r="Y688" i="1"/>
  <c r="Z688" i="1"/>
  <c r="AA688" i="1"/>
  <c r="Y689" i="1"/>
  <c r="Z689" i="1"/>
  <c r="AA689" i="1"/>
  <c r="Y690" i="1"/>
  <c r="Z690" i="1"/>
  <c r="AA690" i="1"/>
  <c r="Y691" i="1"/>
  <c r="Z691" i="1"/>
  <c r="AA691" i="1"/>
  <c r="Y692" i="1"/>
  <c r="Z692" i="1"/>
  <c r="AA692" i="1"/>
  <c r="Y693" i="1"/>
  <c r="Z693" i="1"/>
  <c r="AA693" i="1"/>
  <c r="Y694" i="1"/>
  <c r="Z694" i="1"/>
  <c r="AA694" i="1"/>
  <c r="Y695" i="1"/>
  <c r="Z695" i="1"/>
  <c r="AA695" i="1"/>
  <c r="Y696" i="1"/>
  <c r="Z696" i="1"/>
  <c r="AA696" i="1"/>
  <c r="Y697" i="1"/>
  <c r="Z697" i="1"/>
  <c r="AA697" i="1"/>
  <c r="Y698" i="1"/>
  <c r="Z698" i="1"/>
  <c r="AA698" i="1"/>
  <c r="Y699" i="1"/>
  <c r="Z699" i="1"/>
  <c r="AA699" i="1"/>
  <c r="Y700" i="1"/>
  <c r="Z700" i="1"/>
  <c r="AA700" i="1"/>
  <c r="Y701" i="1"/>
  <c r="Z701" i="1"/>
  <c r="AA701" i="1"/>
  <c r="Y702" i="1"/>
  <c r="Z702" i="1"/>
  <c r="AA702" i="1"/>
  <c r="Y703" i="1"/>
  <c r="Z703" i="1"/>
  <c r="AA703" i="1"/>
  <c r="Y704" i="1"/>
  <c r="Z704" i="1"/>
  <c r="AA704" i="1"/>
  <c r="Y705" i="1"/>
  <c r="Z705" i="1"/>
  <c r="AA705" i="1"/>
  <c r="Y706" i="1"/>
  <c r="Z706" i="1"/>
  <c r="AA706" i="1"/>
  <c r="Y707" i="1"/>
  <c r="Z707" i="1"/>
  <c r="AA707" i="1"/>
  <c r="Y708" i="1"/>
  <c r="Z708" i="1"/>
  <c r="AA708" i="1"/>
  <c r="Y709" i="1"/>
  <c r="Z709" i="1"/>
  <c r="AA709" i="1"/>
  <c r="Y710" i="1"/>
  <c r="Z710" i="1"/>
  <c r="AA710" i="1"/>
  <c r="Y711" i="1"/>
  <c r="Z711" i="1"/>
  <c r="AA711" i="1"/>
  <c r="Y712" i="1"/>
  <c r="Z712" i="1"/>
  <c r="AA712" i="1"/>
  <c r="Y713" i="1"/>
  <c r="Z713" i="1"/>
  <c r="AA713" i="1"/>
  <c r="Y714" i="1"/>
  <c r="Z714" i="1"/>
  <c r="AA714" i="1"/>
  <c r="Y715" i="1"/>
  <c r="Z715" i="1"/>
  <c r="AA715" i="1"/>
  <c r="Y716" i="1"/>
  <c r="Z716" i="1"/>
  <c r="AA716" i="1"/>
  <c r="Y717" i="1"/>
  <c r="Z717" i="1"/>
  <c r="AA717" i="1"/>
  <c r="Y718" i="1"/>
  <c r="Z718" i="1"/>
  <c r="AA718" i="1"/>
  <c r="Y719" i="1"/>
  <c r="Z719" i="1"/>
  <c r="AA719" i="1"/>
  <c r="Y720" i="1"/>
  <c r="Z720" i="1"/>
  <c r="AA720" i="1"/>
  <c r="Y721" i="1"/>
  <c r="Z721" i="1"/>
  <c r="AA721" i="1"/>
  <c r="Y722" i="1"/>
  <c r="Z722" i="1"/>
  <c r="AA722" i="1"/>
  <c r="Y723" i="1"/>
  <c r="Z723" i="1"/>
  <c r="AA723" i="1"/>
  <c r="Y724" i="1"/>
  <c r="Z724" i="1"/>
  <c r="AA724" i="1"/>
  <c r="Y725" i="1"/>
  <c r="Z725" i="1"/>
  <c r="AA725" i="1"/>
  <c r="Y726" i="1"/>
  <c r="Z726" i="1"/>
  <c r="AA726" i="1"/>
  <c r="Y727" i="1"/>
  <c r="Z727" i="1"/>
  <c r="AA727" i="1"/>
  <c r="Y728" i="1"/>
  <c r="Z728" i="1"/>
  <c r="AA728" i="1"/>
  <c r="Y729" i="1"/>
  <c r="Z729" i="1"/>
  <c r="AA729" i="1"/>
  <c r="Y730" i="1"/>
  <c r="Z730" i="1"/>
  <c r="AA730" i="1"/>
  <c r="Y731" i="1"/>
  <c r="Z731" i="1"/>
  <c r="AA731" i="1"/>
  <c r="Y732" i="1"/>
  <c r="Z732" i="1"/>
  <c r="AA732" i="1"/>
  <c r="Y733" i="1"/>
  <c r="Z733" i="1"/>
  <c r="AA733" i="1"/>
  <c r="Y734" i="1"/>
  <c r="Z734" i="1"/>
  <c r="AA734" i="1"/>
  <c r="Y735" i="1"/>
  <c r="Z735" i="1"/>
  <c r="AA735" i="1"/>
  <c r="Y736" i="1"/>
  <c r="Z736" i="1"/>
  <c r="AA736" i="1"/>
  <c r="Y737" i="1"/>
  <c r="Z737" i="1"/>
  <c r="AA737" i="1"/>
  <c r="Y738" i="1"/>
  <c r="Z738" i="1"/>
  <c r="AA738" i="1"/>
  <c r="Y739" i="1"/>
  <c r="Z739" i="1"/>
  <c r="AA739" i="1"/>
  <c r="Y740" i="1"/>
  <c r="Z740" i="1"/>
  <c r="AA740" i="1"/>
  <c r="Y741" i="1"/>
  <c r="Z741" i="1"/>
  <c r="AA741" i="1"/>
  <c r="Y742" i="1"/>
  <c r="Z742" i="1"/>
  <c r="AA742" i="1"/>
  <c r="Y743" i="1"/>
  <c r="Z743" i="1"/>
  <c r="AA743" i="1"/>
  <c r="Y744" i="1"/>
  <c r="Z744" i="1"/>
  <c r="AA744" i="1"/>
  <c r="Y745" i="1"/>
  <c r="Z745" i="1"/>
  <c r="AA745" i="1"/>
  <c r="Y746" i="1"/>
  <c r="Z746" i="1"/>
  <c r="AA746" i="1"/>
  <c r="Y747" i="1"/>
  <c r="Z747" i="1"/>
  <c r="AA747" i="1"/>
  <c r="Y748" i="1"/>
  <c r="Z748" i="1"/>
  <c r="AA748" i="1"/>
  <c r="Y749" i="1"/>
  <c r="Z749" i="1"/>
  <c r="AA749" i="1"/>
  <c r="Y750" i="1"/>
  <c r="Z750" i="1"/>
  <c r="AA750" i="1"/>
  <c r="Y751" i="1"/>
  <c r="Z751" i="1"/>
  <c r="AA751" i="1"/>
  <c r="Y752" i="1"/>
  <c r="Z752" i="1"/>
  <c r="AA752" i="1"/>
  <c r="Y753" i="1"/>
  <c r="Z753" i="1"/>
  <c r="AA753" i="1"/>
  <c r="Y754" i="1"/>
  <c r="Z754" i="1"/>
  <c r="AA754" i="1"/>
  <c r="Y755" i="1"/>
  <c r="Z755" i="1"/>
  <c r="AA755" i="1"/>
  <c r="Y756" i="1"/>
  <c r="Z756" i="1"/>
  <c r="AA756" i="1"/>
  <c r="Y757" i="1"/>
  <c r="Z757" i="1"/>
  <c r="AA757" i="1"/>
  <c r="Y758" i="1"/>
  <c r="Z758" i="1"/>
  <c r="AA758" i="1"/>
  <c r="Y759" i="1"/>
  <c r="Z759" i="1"/>
  <c r="AA759" i="1"/>
  <c r="Y760" i="1"/>
  <c r="Z760" i="1"/>
  <c r="AA760" i="1"/>
  <c r="Y761" i="1"/>
  <c r="Z761" i="1"/>
  <c r="AA761" i="1"/>
  <c r="Y762" i="1"/>
  <c r="Z762" i="1"/>
  <c r="AA762" i="1"/>
  <c r="Y763" i="1"/>
  <c r="Z763" i="1"/>
  <c r="AA763" i="1"/>
  <c r="Y764" i="1"/>
  <c r="Z764" i="1"/>
  <c r="AA764" i="1"/>
  <c r="Y765" i="1"/>
  <c r="Z765" i="1"/>
  <c r="AA765" i="1"/>
  <c r="Y766" i="1"/>
  <c r="Z766" i="1"/>
  <c r="AA766" i="1"/>
  <c r="Y767" i="1"/>
  <c r="Z767" i="1"/>
  <c r="AA767" i="1"/>
  <c r="Y768" i="1"/>
  <c r="Z768" i="1"/>
  <c r="AA768" i="1"/>
  <c r="Y769" i="1"/>
  <c r="Z769" i="1"/>
  <c r="AA769" i="1"/>
  <c r="Y770" i="1"/>
  <c r="Z770" i="1"/>
  <c r="AA770" i="1"/>
  <c r="Y771" i="1"/>
  <c r="Z771" i="1"/>
  <c r="AA771" i="1"/>
  <c r="Y772" i="1"/>
  <c r="Z772" i="1"/>
  <c r="AA772" i="1"/>
  <c r="Y773" i="1"/>
  <c r="Z773" i="1"/>
  <c r="AA773" i="1"/>
  <c r="Y774" i="1"/>
  <c r="Z774" i="1"/>
  <c r="AA774" i="1"/>
  <c r="Y775" i="1"/>
  <c r="Z775" i="1"/>
  <c r="AA775" i="1"/>
  <c r="Y776" i="1"/>
  <c r="Z776" i="1"/>
  <c r="AA776" i="1"/>
  <c r="Y777" i="1"/>
  <c r="Z777" i="1"/>
  <c r="AA777" i="1"/>
  <c r="Y778" i="1"/>
  <c r="Z778" i="1"/>
  <c r="AA778" i="1"/>
  <c r="Y779" i="1"/>
  <c r="Z779" i="1"/>
  <c r="AA779" i="1"/>
  <c r="Y780" i="1"/>
  <c r="Z780" i="1"/>
  <c r="AA780" i="1"/>
  <c r="Y781" i="1"/>
  <c r="Z781" i="1"/>
  <c r="AA781" i="1"/>
  <c r="Y782" i="1"/>
  <c r="Z782" i="1"/>
  <c r="AA782" i="1"/>
  <c r="Y783" i="1"/>
  <c r="Z783" i="1"/>
  <c r="AA783" i="1"/>
  <c r="Y784" i="1"/>
  <c r="Z784" i="1"/>
  <c r="AA784" i="1"/>
  <c r="Y785" i="1"/>
  <c r="Z785" i="1"/>
  <c r="AA785" i="1"/>
  <c r="Y786" i="1"/>
  <c r="Z786" i="1"/>
  <c r="AA786" i="1"/>
  <c r="Y787" i="1"/>
  <c r="Z787" i="1"/>
  <c r="AA787" i="1"/>
  <c r="Y788" i="1"/>
  <c r="Z788" i="1"/>
  <c r="AA788" i="1"/>
  <c r="Y789" i="1"/>
  <c r="Z789" i="1"/>
  <c r="AA789" i="1"/>
  <c r="Y790" i="1"/>
  <c r="Z790" i="1"/>
  <c r="AA790" i="1"/>
  <c r="Y791" i="1"/>
  <c r="Z791" i="1"/>
  <c r="AA791" i="1"/>
  <c r="Y792" i="1"/>
  <c r="Z792" i="1"/>
  <c r="AA792" i="1"/>
  <c r="Y793" i="1"/>
  <c r="Z793" i="1"/>
  <c r="AA793" i="1"/>
  <c r="Y794" i="1"/>
  <c r="Z794" i="1"/>
  <c r="AA794" i="1"/>
  <c r="Y795" i="1"/>
  <c r="Z795" i="1"/>
  <c r="AA795" i="1"/>
  <c r="Y796" i="1"/>
  <c r="Z796" i="1"/>
  <c r="AA796" i="1"/>
  <c r="Y797" i="1"/>
  <c r="Z797" i="1"/>
  <c r="AA797" i="1"/>
  <c r="Y798" i="1"/>
  <c r="Z798" i="1"/>
  <c r="AA798" i="1"/>
  <c r="Y799" i="1"/>
  <c r="Z799" i="1"/>
  <c r="AA799" i="1"/>
  <c r="Y800" i="1"/>
  <c r="Z800" i="1"/>
  <c r="AA800" i="1"/>
  <c r="Y801" i="1"/>
  <c r="Z801" i="1"/>
  <c r="AA801" i="1"/>
  <c r="Y802" i="1"/>
  <c r="Z802" i="1"/>
  <c r="AA802" i="1"/>
  <c r="Y803" i="1"/>
  <c r="Z803" i="1"/>
  <c r="AA803" i="1"/>
  <c r="Y804" i="1"/>
  <c r="Z804" i="1"/>
  <c r="AA804" i="1"/>
  <c r="Y805" i="1"/>
  <c r="Z805" i="1"/>
  <c r="AA805" i="1"/>
  <c r="Y806" i="1"/>
  <c r="Z806" i="1"/>
  <c r="AA806" i="1"/>
  <c r="Y807" i="1"/>
  <c r="Z807" i="1"/>
  <c r="AA807" i="1"/>
  <c r="Y808" i="1"/>
  <c r="Z808" i="1"/>
  <c r="AA808" i="1"/>
  <c r="Y809" i="1"/>
  <c r="Z809" i="1"/>
  <c r="AA809" i="1"/>
  <c r="Y810" i="1"/>
  <c r="Z810" i="1"/>
  <c r="AA810" i="1"/>
  <c r="Y811" i="1"/>
  <c r="Z811" i="1"/>
  <c r="AA811" i="1"/>
  <c r="Y812" i="1"/>
  <c r="Z812" i="1"/>
  <c r="AA812" i="1"/>
  <c r="Y813" i="1"/>
  <c r="Z813" i="1"/>
  <c r="AA813" i="1"/>
  <c r="Y814" i="1"/>
  <c r="Z814" i="1"/>
  <c r="AA814" i="1"/>
  <c r="Y815" i="1"/>
  <c r="Z815" i="1"/>
  <c r="AA815" i="1"/>
  <c r="Y816" i="1"/>
  <c r="Z816" i="1"/>
  <c r="AA816" i="1"/>
  <c r="Y817" i="1"/>
  <c r="Z817" i="1"/>
  <c r="AA817" i="1"/>
  <c r="Y818" i="1"/>
  <c r="Z818" i="1"/>
  <c r="AA818" i="1"/>
  <c r="Y819" i="1"/>
  <c r="Z819" i="1"/>
  <c r="AA819" i="1"/>
  <c r="Y820" i="1"/>
  <c r="Z820" i="1"/>
  <c r="AA820" i="1"/>
  <c r="Y821" i="1"/>
  <c r="Z821" i="1"/>
  <c r="AA821" i="1"/>
  <c r="Y822" i="1"/>
  <c r="Z822" i="1"/>
  <c r="AA822" i="1"/>
  <c r="Y823" i="1"/>
  <c r="Z823" i="1"/>
  <c r="AA823" i="1"/>
  <c r="Y824" i="1"/>
  <c r="Z824" i="1"/>
  <c r="AA824" i="1"/>
  <c r="Y825" i="1"/>
  <c r="Z825" i="1"/>
  <c r="AA825" i="1"/>
  <c r="Y826" i="1"/>
  <c r="Z826" i="1"/>
  <c r="AA826" i="1"/>
  <c r="Y827" i="1"/>
  <c r="Z827" i="1"/>
  <c r="AA827" i="1"/>
  <c r="Y828" i="1"/>
  <c r="Z828" i="1"/>
  <c r="AA828" i="1"/>
  <c r="Y829" i="1"/>
  <c r="Z829" i="1"/>
  <c r="AA829" i="1"/>
  <c r="Y830" i="1"/>
  <c r="Z830" i="1"/>
  <c r="AA830" i="1"/>
  <c r="Y831" i="1"/>
  <c r="Z831" i="1"/>
  <c r="AA831" i="1"/>
  <c r="Y832" i="1"/>
  <c r="Z832" i="1"/>
  <c r="AA832" i="1"/>
  <c r="Y833" i="1"/>
  <c r="Z833" i="1"/>
  <c r="AA833" i="1"/>
  <c r="Y834" i="1"/>
  <c r="Z834" i="1"/>
  <c r="AA834" i="1"/>
  <c r="Y835" i="1"/>
  <c r="Z835" i="1"/>
  <c r="AA835" i="1"/>
  <c r="Y836" i="1"/>
  <c r="Z836" i="1"/>
  <c r="AA836" i="1"/>
  <c r="Y837" i="1"/>
  <c r="Z837" i="1"/>
  <c r="AA837" i="1"/>
  <c r="Y838" i="1"/>
  <c r="Z838" i="1"/>
  <c r="AA838" i="1"/>
  <c r="Y839" i="1"/>
  <c r="Z839" i="1"/>
  <c r="AA839" i="1"/>
  <c r="Y840" i="1"/>
  <c r="Z840" i="1"/>
  <c r="AA840" i="1"/>
  <c r="Y841" i="1"/>
  <c r="Z841" i="1"/>
  <c r="AA841" i="1"/>
  <c r="Y842" i="1"/>
  <c r="Z842" i="1"/>
  <c r="AA842" i="1"/>
  <c r="Y843" i="1"/>
  <c r="Z843" i="1"/>
  <c r="AA843" i="1"/>
  <c r="Y844" i="1"/>
  <c r="Z844" i="1"/>
  <c r="AA844" i="1"/>
  <c r="Y845" i="1"/>
  <c r="Z845" i="1"/>
  <c r="AA845" i="1"/>
  <c r="Y846" i="1"/>
  <c r="Z846" i="1"/>
  <c r="AA846" i="1"/>
  <c r="Y847" i="1"/>
  <c r="Z847" i="1"/>
  <c r="AA847" i="1"/>
  <c r="Y848" i="1"/>
  <c r="Z848" i="1"/>
  <c r="AA848" i="1"/>
  <c r="Y849" i="1"/>
  <c r="Z849" i="1"/>
  <c r="AA849" i="1"/>
  <c r="Y850" i="1"/>
  <c r="Z850" i="1"/>
  <c r="AA850" i="1"/>
  <c r="Y851" i="1"/>
  <c r="Z851" i="1"/>
  <c r="AA851" i="1"/>
  <c r="Y852" i="1"/>
  <c r="Z852" i="1"/>
  <c r="AA852" i="1"/>
  <c r="Y853" i="1"/>
  <c r="Z853" i="1"/>
  <c r="AA853" i="1"/>
  <c r="Y854" i="1"/>
  <c r="Z854" i="1"/>
  <c r="AA854" i="1"/>
  <c r="Y855" i="1"/>
  <c r="Z855" i="1"/>
  <c r="AA855" i="1"/>
  <c r="Y856" i="1"/>
  <c r="Z856" i="1"/>
  <c r="AA856" i="1"/>
  <c r="Y857" i="1"/>
  <c r="Z857" i="1"/>
  <c r="AA857" i="1"/>
  <c r="Y858" i="1"/>
  <c r="Z858" i="1"/>
  <c r="AA858" i="1"/>
  <c r="Y859" i="1"/>
  <c r="Z859" i="1"/>
  <c r="AA859" i="1"/>
  <c r="Y860" i="1"/>
  <c r="Z860" i="1"/>
  <c r="AA860" i="1"/>
  <c r="Y861" i="1"/>
  <c r="Z861" i="1"/>
  <c r="AA861" i="1"/>
  <c r="Y862" i="1"/>
  <c r="Z862" i="1"/>
  <c r="AA862" i="1"/>
  <c r="Y863" i="1"/>
  <c r="Z863" i="1"/>
  <c r="AA863" i="1"/>
  <c r="Y864" i="1"/>
  <c r="Z864" i="1"/>
  <c r="AA864" i="1"/>
  <c r="Y865" i="1"/>
  <c r="Z865" i="1"/>
  <c r="AA865" i="1"/>
  <c r="Y866" i="1"/>
  <c r="Z866" i="1"/>
  <c r="AA866" i="1"/>
  <c r="Y867" i="1"/>
  <c r="Z867" i="1"/>
  <c r="AA867" i="1"/>
  <c r="Y868" i="1"/>
  <c r="Z868" i="1"/>
  <c r="AA868" i="1"/>
  <c r="Y869" i="1"/>
  <c r="Z869" i="1"/>
  <c r="AA869" i="1"/>
  <c r="Y870" i="1"/>
  <c r="Z870" i="1"/>
  <c r="AA870" i="1"/>
  <c r="Y871" i="1"/>
  <c r="Z871" i="1"/>
  <c r="AA871" i="1"/>
  <c r="Y872" i="1"/>
  <c r="Z872" i="1"/>
  <c r="AA872" i="1"/>
  <c r="Y873" i="1"/>
  <c r="Z873" i="1"/>
  <c r="AA873" i="1"/>
  <c r="Y874" i="1"/>
  <c r="Z874" i="1"/>
  <c r="AA874" i="1"/>
  <c r="Y875" i="1"/>
  <c r="Z875" i="1"/>
  <c r="AA875" i="1"/>
  <c r="Y876" i="1"/>
  <c r="Z876" i="1"/>
  <c r="AA876" i="1"/>
  <c r="Y877" i="1"/>
  <c r="Z877" i="1"/>
  <c r="AA877" i="1"/>
  <c r="Y878" i="1"/>
  <c r="Z878" i="1"/>
  <c r="AA878" i="1"/>
  <c r="Y879" i="1"/>
  <c r="Z879" i="1"/>
  <c r="AA879" i="1"/>
  <c r="Y880" i="1"/>
  <c r="Z880" i="1"/>
  <c r="AA880" i="1"/>
  <c r="Y881" i="1"/>
  <c r="Z881" i="1"/>
  <c r="AA881" i="1"/>
  <c r="Y882" i="1"/>
  <c r="Z882" i="1"/>
  <c r="AA882" i="1"/>
  <c r="Y883" i="1"/>
  <c r="Z883" i="1"/>
  <c r="AA883" i="1"/>
  <c r="Y884" i="1"/>
  <c r="Z884" i="1"/>
  <c r="AA884" i="1"/>
  <c r="Y885" i="1"/>
  <c r="Z885" i="1"/>
  <c r="AA885" i="1"/>
  <c r="Y886" i="1"/>
  <c r="Z886" i="1"/>
  <c r="AA886" i="1"/>
  <c r="Y887" i="1"/>
  <c r="Z887" i="1"/>
  <c r="AA887" i="1"/>
  <c r="Y888" i="1"/>
  <c r="Z888" i="1"/>
  <c r="AA888" i="1"/>
  <c r="Y889" i="1"/>
  <c r="Z889" i="1"/>
  <c r="AA889" i="1"/>
  <c r="Y890" i="1"/>
  <c r="Z890" i="1"/>
  <c r="AA890" i="1"/>
  <c r="Y891" i="1"/>
  <c r="Z891" i="1"/>
  <c r="AA891" i="1"/>
  <c r="Y892" i="1"/>
  <c r="Z892" i="1"/>
  <c r="AA892" i="1"/>
  <c r="Y893" i="1"/>
  <c r="Z893" i="1"/>
  <c r="AA893" i="1"/>
  <c r="Y894" i="1"/>
  <c r="Z894" i="1"/>
  <c r="AA894" i="1"/>
  <c r="Y895" i="1"/>
  <c r="Z895" i="1"/>
  <c r="AA895" i="1"/>
  <c r="Y896" i="1"/>
  <c r="Z896" i="1"/>
  <c r="AA896" i="1"/>
  <c r="Y897" i="1"/>
  <c r="Z897" i="1"/>
  <c r="AA897" i="1"/>
  <c r="Y898" i="1"/>
  <c r="Z898" i="1"/>
  <c r="AA898" i="1"/>
  <c r="Y899" i="1"/>
  <c r="Z899" i="1"/>
  <c r="AA899" i="1"/>
  <c r="Y900" i="1"/>
  <c r="Z900" i="1"/>
  <c r="AA900" i="1"/>
  <c r="Y901" i="1"/>
  <c r="Z901" i="1"/>
  <c r="AA901" i="1"/>
  <c r="Y902" i="1"/>
  <c r="Z902" i="1"/>
  <c r="AA902" i="1"/>
  <c r="Y903" i="1"/>
  <c r="Z903" i="1"/>
  <c r="AA903" i="1"/>
  <c r="Y904" i="1"/>
  <c r="Z904" i="1"/>
  <c r="AA904" i="1"/>
  <c r="Y905" i="1"/>
  <c r="Z905" i="1"/>
  <c r="AA905" i="1"/>
  <c r="Y906" i="1"/>
  <c r="Z906" i="1"/>
  <c r="AA906" i="1"/>
  <c r="Y907" i="1"/>
  <c r="Z907" i="1"/>
  <c r="AA907" i="1"/>
  <c r="Y908" i="1"/>
  <c r="Z908" i="1"/>
  <c r="AA908" i="1"/>
  <c r="Y909" i="1"/>
  <c r="Z909" i="1"/>
  <c r="AA909" i="1"/>
  <c r="Y910" i="1"/>
  <c r="Z910" i="1"/>
  <c r="AA910" i="1"/>
  <c r="Y911" i="1"/>
  <c r="Z911" i="1"/>
  <c r="AA911" i="1"/>
  <c r="Y912" i="1"/>
  <c r="Z912" i="1"/>
  <c r="AA912" i="1"/>
  <c r="Y913" i="1"/>
  <c r="Z913" i="1"/>
  <c r="AA913" i="1"/>
  <c r="Y914" i="1"/>
  <c r="Z914" i="1"/>
  <c r="AA914" i="1"/>
  <c r="Y915" i="1"/>
  <c r="Z915" i="1"/>
  <c r="AA915" i="1"/>
  <c r="Y916" i="1"/>
  <c r="Z916" i="1"/>
  <c r="AA916" i="1"/>
  <c r="Y917" i="1"/>
  <c r="Z917" i="1"/>
  <c r="AA917" i="1"/>
  <c r="Y918" i="1"/>
  <c r="Z918" i="1"/>
  <c r="AA918" i="1"/>
  <c r="Y919" i="1"/>
  <c r="Z919" i="1"/>
  <c r="AA919" i="1"/>
  <c r="Y920" i="1"/>
  <c r="Z920" i="1"/>
  <c r="AA920" i="1"/>
  <c r="Y921" i="1"/>
  <c r="Z921" i="1"/>
  <c r="AA921" i="1"/>
  <c r="Y922" i="1"/>
  <c r="Z922" i="1"/>
  <c r="AA922" i="1"/>
  <c r="Y923" i="1"/>
  <c r="Z923" i="1"/>
  <c r="AA923" i="1"/>
  <c r="Y924" i="1"/>
  <c r="Z924" i="1"/>
  <c r="AA924" i="1"/>
  <c r="Y925" i="1"/>
  <c r="Z925" i="1"/>
  <c r="AA925" i="1"/>
  <c r="Y926" i="1"/>
  <c r="Z926" i="1"/>
  <c r="AA926" i="1"/>
  <c r="Y927" i="1"/>
  <c r="Z927" i="1"/>
  <c r="AA927" i="1"/>
  <c r="Y928" i="1"/>
  <c r="Z928" i="1"/>
  <c r="AA928" i="1"/>
  <c r="Y929" i="1"/>
  <c r="Z929" i="1"/>
  <c r="AA929" i="1"/>
  <c r="Y930" i="1"/>
  <c r="Z930" i="1"/>
  <c r="AA930" i="1"/>
  <c r="Y931" i="1"/>
  <c r="Z931" i="1"/>
  <c r="AA931" i="1"/>
  <c r="Y932" i="1"/>
  <c r="Z932" i="1"/>
  <c r="AA932" i="1"/>
  <c r="Y933" i="1"/>
  <c r="Z933" i="1"/>
  <c r="AA933" i="1"/>
  <c r="Y934" i="1"/>
  <c r="Z934" i="1"/>
  <c r="AA934" i="1"/>
  <c r="Y935" i="1"/>
  <c r="Z935" i="1"/>
  <c r="AA935" i="1"/>
  <c r="Y936" i="1"/>
  <c r="Z936" i="1"/>
  <c r="AA936" i="1"/>
  <c r="Y937" i="1"/>
  <c r="Z937" i="1"/>
  <c r="AA937" i="1"/>
  <c r="Y938" i="1"/>
  <c r="Z938" i="1"/>
  <c r="AA938" i="1"/>
  <c r="Y939" i="1"/>
  <c r="Z939" i="1"/>
  <c r="AA939" i="1"/>
  <c r="Y940" i="1"/>
  <c r="Z940" i="1"/>
  <c r="AA940" i="1"/>
  <c r="Y941" i="1"/>
  <c r="Z941" i="1"/>
  <c r="AA941" i="1"/>
  <c r="Y942" i="1"/>
  <c r="Z942" i="1"/>
  <c r="AA942" i="1"/>
  <c r="Y943" i="1"/>
  <c r="Z943" i="1"/>
  <c r="AA943" i="1"/>
  <c r="Y944" i="1"/>
  <c r="Z944" i="1"/>
  <c r="AA944" i="1"/>
  <c r="Y945" i="1"/>
  <c r="Z945" i="1"/>
  <c r="AA945" i="1"/>
  <c r="Y946" i="1"/>
  <c r="Z946" i="1"/>
  <c r="AA946" i="1"/>
  <c r="Y947" i="1"/>
  <c r="Z947" i="1"/>
  <c r="AA947" i="1"/>
  <c r="Y948" i="1"/>
  <c r="Z948" i="1"/>
  <c r="AA948" i="1"/>
  <c r="Y949" i="1"/>
  <c r="Z949" i="1"/>
  <c r="AA949" i="1"/>
  <c r="Y950" i="1"/>
  <c r="Z950" i="1"/>
  <c r="AA950" i="1"/>
  <c r="Y951" i="1"/>
  <c r="Z951" i="1"/>
  <c r="AA951" i="1"/>
  <c r="Y952" i="1"/>
  <c r="Z952" i="1"/>
  <c r="AA952" i="1"/>
  <c r="Y953" i="1"/>
  <c r="Z953" i="1"/>
  <c r="AA953" i="1"/>
  <c r="Y954" i="1"/>
  <c r="Z954" i="1"/>
  <c r="AA954" i="1"/>
  <c r="Y955" i="1"/>
  <c r="Z955" i="1"/>
  <c r="AA955" i="1"/>
  <c r="Y956" i="1"/>
  <c r="Z956" i="1"/>
  <c r="AA956" i="1"/>
  <c r="Y957" i="1"/>
  <c r="Z957" i="1"/>
  <c r="AA957" i="1"/>
  <c r="Y958" i="1"/>
  <c r="Z958" i="1"/>
  <c r="AA958" i="1"/>
  <c r="Y959" i="1"/>
  <c r="Z959" i="1"/>
  <c r="AA959" i="1"/>
  <c r="Y960" i="1"/>
  <c r="Z960" i="1"/>
  <c r="AA960" i="1"/>
  <c r="Y961" i="1"/>
  <c r="Z961" i="1"/>
  <c r="AA961" i="1"/>
  <c r="Y962" i="1"/>
  <c r="Z962" i="1"/>
  <c r="AA962" i="1"/>
  <c r="Y963" i="1"/>
  <c r="Z963" i="1"/>
  <c r="AA963" i="1"/>
  <c r="Y964" i="1"/>
  <c r="Z964" i="1"/>
  <c r="AA964" i="1"/>
  <c r="Y965" i="1"/>
  <c r="Z965" i="1"/>
  <c r="AA965" i="1"/>
  <c r="Y966" i="1"/>
  <c r="Z966" i="1"/>
  <c r="AA966" i="1"/>
  <c r="Y967" i="1"/>
  <c r="Z967" i="1"/>
  <c r="AA967" i="1"/>
  <c r="Y968" i="1"/>
  <c r="Z968" i="1"/>
  <c r="AA968" i="1"/>
  <c r="Y969" i="1"/>
  <c r="Z969" i="1"/>
  <c r="AA969" i="1"/>
  <c r="Y970" i="1"/>
  <c r="Z970" i="1"/>
  <c r="AA970" i="1"/>
  <c r="Y971" i="1"/>
  <c r="Z971" i="1"/>
  <c r="AA971" i="1"/>
  <c r="Y972" i="1"/>
  <c r="Z972" i="1"/>
  <c r="AA972" i="1"/>
  <c r="Y973" i="1"/>
  <c r="Z973" i="1"/>
  <c r="AA973" i="1"/>
  <c r="Y974" i="1"/>
  <c r="Z974" i="1"/>
  <c r="AA974" i="1"/>
  <c r="Y975" i="1"/>
  <c r="Z975" i="1"/>
  <c r="AA975" i="1"/>
  <c r="Y976" i="1"/>
  <c r="Z976" i="1"/>
  <c r="AA976" i="1"/>
  <c r="Y977" i="1"/>
  <c r="Z977" i="1"/>
  <c r="AA977" i="1"/>
  <c r="Y978" i="1"/>
  <c r="Z978" i="1"/>
  <c r="AA978" i="1"/>
  <c r="Y979" i="1"/>
  <c r="Z979" i="1"/>
  <c r="AA979" i="1"/>
  <c r="Y980" i="1"/>
  <c r="Z980" i="1"/>
  <c r="AA980" i="1"/>
  <c r="Y981" i="1"/>
  <c r="Z981" i="1"/>
  <c r="AA981" i="1"/>
  <c r="Y982" i="1"/>
  <c r="Z982" i="1"/>
  <c r="AA982" i="1"/>
  <c r="Y983" i="1"/>
  <c r="Z983" i="1"/>
  <c r="AA983" i="1"/>
  <c r="Y984" i="1"/>
  <c r="Z984" i="1"/>
  <c r="AA984" i="1"/>
  <c r="Y985" i="1"/>
  <c r="Z985" i="1"/>
  <c r="AA985" i="1"/>
  <c r="Y986" i="1"/>
  <c r="Z986" i="1"/>
  <c r="AA986" i="1"/>
  <c r="Y987" i="1"/>
  <c r="Z987" i="1"/>
  <c r="AA987" i="1"/>
  <c r="Y988" i="1"/>
  <c r="Z988" i="1"/>
  <c r="AA988" i="1"/>
  <c r="Y989" i="1"/>
  <c r="Z989" i="1"/>
  <c r="AA989" i="1"/>
  <c r="Y990" i="1"/>
  <c r="Z990" i="1"/>
  <c r="AA990" i="1"/>
  <c r="Y991" i="1"/>
  <c r="Z991" i="1"/>
  <c r="AA991" i="1"/>
  <c r="Y992" i="1"/>
  <c r="Z992" i="1"/>
  <c r="AA992" i="1"/>
  <c r="Y993" i="1"/>
  <c r="Z993" i="1"/>
  <c r="AA993" i="1"/>
  <c r="Y994" i="1"/>
  <c r="Z994" i="1"/>
  <c r="AA994" i="1"/>
  <c r="Y995" i="1"/>
  <c r="Z995" i="1"/>
  <c r="AA995" i="1"/>
  <c r="Y996" i="1"/>
  <c r="Z996" i="1"/>
  <c r="AA996" i="1"/>
  <c r="Y997" i="1"/>
  <c r="Z997" i="1"/>
  <c r="AA997" i="1"/>
  <c r="Y998" i="1"/>
  <c r="Z998" i="1"/>
  <c r="AA998" i="1"/>
  <c r="Y999" i="1"/>
  <c r="Z999" i="1"/>
  <c r="AA999" i="1"/>
  <c r="Y1000" i="1"/>
  <c r="Z1000" i="1"/>
  <c r="AA1000" i="1"/>
  <c r="Y1001" i="1"/>
  <c r="Z1001" i="1"/>
  <c r="AA1001" i="1"/>
  <c r="Y1002" i="1"/>
  <c r="Z1002" i="1"/>
  <c r="AA1002" i="1"/>
  <c r="Y1003" i="1"/>
  <c r="Z1003" i="1"/>
  <c r="AA1003" i="1"/>
  <c r="Y1004" i="1"/>
  <c r="Z1004" i="1"/>
  <c r="AA1004" i="1"/>
  <c r="Y1005" i="1"/>
  <c r="Z1005" i="1"/>
  <c r="AA1005" i="1"/>
  <c r="Y1006" i="1"/>
  <c r="Z1006" i="1"/>
  <c r="AA1006" i="1"/>
  <c r="Y1007" i="1"/>
  <c r="Z1007" i="1"/>
  <c r="AA1007" i="1"/>
  <c r="Y1008" i="1"/>
  <c r="Z1008" i="1"/>
  <c r="AA1008" i="1"/>
  <c r="Y1009" i="1"/>
  <c r="Z1009" i="1"/>
  <c r="AA1009" i="1"/>
  <c r="Y1010" i="1"/>
  <c r="Z1010" i="1"/>
  <c r="AA1010" i="1"/>
  <c r="Y1011" i="1"/>
  <c r="Z1011" i="1"/>
  <c r="AA1011" i="1"/>
  <c r="Y1012" i="1"/>
  <c r="Z1012" i="1"/>
  <c r="AA1012" i="1"/>
  <c r="Y1013" i="1"/>
  <c r="Z1013" i="1"/>
  <c r="AA1013" i="1"/>
  <c r="Y1014" i="1"/>
  <c r="Z1014" i="1"/>
  <c r="AA1014" i="1"/>
  <c r="Y1015" i="1"/>
  <c r="Z1015" i="1"/>
  <c r="AA1015" i="1"/>
  <c r="Y1016" i="1"/>
  <c r="Z1016" i="1"/>
  <c r="AA1016" i="1"/>
  <c r="Y1017" i="1"/>
  <c r="Z1017" i="1"/>
  <c r="AA1017" i="1"/>
  <c r="Y1018" i="1"/>
  <c r="Z1018" i="1"/>
  <c r="AA1018" i="1"/>
  <c r="Y1019" i="1"/>
  <c r="Z1019" i="1"/>
  <c r="AA1019" i="1"/>
  <c r="Y1020" i="1"/>
  <c r="Z1020" i="1"/>
  <c r="AA1020" i="1"/>
  <c r="Y1021" i="1"/>
  <c r="Z1021" i="1"/>
  <c r="AA1021" i="1"/>
  <c r="Y1022" i="1"/>
  <c r="Z1022" i="1"/>
  <c r="AA1022" i="1"/>
  <c r="Y1023" i="1"/>
  <c r="Z1023" i="1"/>
  <c r="AA1023" i="1"/>
  <c r="Y1024" i="1"/>
  <c r="Z1024" i="1"/>
  <c r="AA1024" i="1"/>
  <c r="Y1025" i="1"/>
  <c r="Z1025" i="1"/>
  <c r="AA1025" i="1"/>
  <c r="Y1026" i="1"/>
  <c r="Z1026" i="1"/>
  <c r="AA1026" i="1"/>
  <c r="Y1027" i="1"/>
  <c r="Z1027" i="1"/>
  <c r="AA1027" i="1"/>
  <c r="Y1028" i="1"/>
  <c r="Z1028" i="1"/>
  <c r="AA1028" i="1"/>
  <c r="Y1029" i="1"/>
  <c r="Z1029" i="1"/>
  <c r="AA1029" i="1"/>
  <c r="Y1030" i="1"/>
  <c r="Z1030" i="1"/>
  <c r="AA1030" i="1"/>
  <c r="Y1031" i="1"/>
  <c r="Z1031" i="1"/>
  <c r="AA1031" i="1"/>
  <c r="Y1032" i="1"/>
  <c r="Z1032" i="1"/>
  <c r="AA1032" i="1"/>
  <c r="Y1033" i="1"/>
  <c r="Z1033" i="1"/>
  <c r="AA1033" i="1"/>
  <c r="Y1034" i="1"/>
  <c r="Z1034" i="1"/>
  <c r="AA1034" i="1"/>
  <c r="Y1035" i="1"/>
  <c r="Z1035" i="1"/>
  <c r="AA1035" i="1"/>
  <c r="Y1036" i="1"/>
  <c r="Z1036" i="1"/>
  <c r="AA1036" i="1"/>
  <c r="Y1037" i="1"/>
  <c r="Z1037" i="1"/>
  <c r="AA1037" i="1"/>
  <c r="Y1038" i="1"/>
  <c r="Z1038" i="1"/>
  <c r="AA1038" i="1"/>
  <c r="Y1039" i="1"/>
  <c r="Z1039" i="1"/>
  <c r="AA1039" i="1"/>
  <c r="Y1040" i="1"/>
  <c r="Z1040" i="1"/>
  <c r="AA1040" i="1"/>
  <c r="Y1041" i="1"/>
  <c r="Z1041" i="1"/>
  <c r="AA1041" i="1"/>
  <c r="Y1042" i="1"/>
  <c r="Z1042" i="1"/>
  <c r="AA1042" i="1"/>
  <c r="Y1043" i="1"/>
  <c r="Z1043" i="1"/>
  <c r="AA1043" i="1"/>
  <c r="Y1044" i="1"/>
  <c r="Z1044" i="1"/>
  <c r="AA1044" i="1"/>
  <c r="Y1045" i="1"/>
  <c r="Z1045" i="1"/>
  <c r="AA1045" i="1"/>
  <c r="Y1046" i="1"/>
  <c r="Z1046" i="1"/>
  <c r="AA1046" i="1"/>
  <c r="Y1047" i="1"/>
  <c r="Z1047" i="1"/>
  <c r="AA1047" i="1"/>
  <c r="Y1048" i="1"/>
  <c r="Z1048" i="1"/>
  <c r="AA1048" i="1"/>
  <c r="Y1049" i="1"/>
  <c r="Z1049" i="1"/>
  <c r="AA1049" i="1"/>
  <c r="Y1050" i="1"/>
  <c r="Z1050" i="1"/>
  <c r="AA1050" i="1"/>
  <c r="Y1051" i="1"/>
  <c r="Z1051" i="1"/>
  <c r="AA1051" i="1"/>
  <c r="Y1052" i="1"/>
  <c r="Z1052" i="1"/>
  <c r="AA1052" i="1"/>
  <c r="Y1053" i="1"/>
  <c r="Z1053" i="1"/>
  <c r="AA1053" i="1"/>
  <c r="Y1054" i="1"/>
  <c r="Z1054" i="1"/>
  <c r="AA1054" i="1"/>
  <c r="Y1055" i="1"/>
  <c r="Z1055" i="1"/>
  <c r="AA1055" i="1"/>
  <c r="Y1056" i="1"/>
  <c r="Z1056" i="1"/>
  <c r="AA1056" i="1"/>
  <c r="Y1057" i="1"/>
  <c r="Z1057" i="1"/>
  <c r="AA1057" i="1"/>
  <c r="Y1058" i="1"/>
  <c r="Z1058" i="1"/>
  <c r="AA1058" i="1"/>
  <c r="Y1059" i="1"/>
  <c r="Z1059" i="1"/>
  <c r="AA1059" i="1"/>
  <c r="Y1060" i="1"/>
  <c r="Z1060" i="1"/>
  <c r="AA1060" i="1"/>
  <c r="Y1061" i="1"/>
  <c r="Z1061" i="1"/>
  <c r="AA1061" i="1"/>
  <c r="Y1062" i="1"/>
  <c r="Z1062" i="1"/>
  <c r="AA1062" i="1"/>
  <c r="Y1063" i="1"/>
  <c r="Z1063" i="1"/>
  <c r="AA1063" i="1"/>
  <c r="Y1064" i="1"/>
  <c r="Z1064" i="1"/>
  <c r="AA1064" i="1"/>
  <c r="Y1065" i="1"/>
  <c r="Z1065" i="1"/>
  <c r="AA1065" i="1"/>
  <c r="Y1066" i="1"/>
  <c r="Z1066" i="1"/>
  <c r="AA1066" i="1"/>
  <c r="Y1067" i="1"/>
  <c r="Z1067" i="1"/>
  <c r="AA1067" i="1"/>
  <c r="Y1068" i="1"/>
  <c r="Z1068" i="1"/>
  <c r="AA1068" i="1"/>
  <c r="Y1069" i="1"/>
  <c r="Z1069" i="1"/>
  <c r="AA1069" i="1"/>
  <c r="Y1070" i="1"/>
  <c r="Z1070" i="1"/>
  <c r="AA1070" i="1"/>
  <c r="Y1071" i="1"/>
  <c r="Z1071" i="1"/>
  <c r="AA1071" i="1"/>
  <c r="Y1072" i="1"/>
  <c r="Z1072" i="1"/>
  <c r="AA1072" i="1"/>
  <c r="Y1073" i="1"/>
  <c r="Z1073" i="1"/>
  <c r="AA1073" i="1"/>
  <c r="Y1074" i="1"/>
  <c r="Z1074" i="1"/>
  <c r="AA1074" i="1"/>
  <c r="Y1075" i="1"/>
  <c r="Z1075" i="1"/>
  <c r="AA1075" i="1"/>
  <c r="Y1076" i="1"/>
  <c r="Z1076" i="1"/>
  <c r="AA1076" i="1"/>
  <c r="Y1077" i="1"/>
  <c r="Z1077" i="1"/>
  <c r="AA1077" i="1"/>
  <c r="Y1078" i="1"/>
  <c r="Z1078" i="1"/>
  <c r="AA1078" i="1"/>
  <c r="Y1079" i="1"/>
  <c r="Z1079" i="1"/>
  <c r="AA1079" i="1"/>
  <c r="Y1080" i="1"/>
  <c r="Z1080" i="1"/>
  <c r="AA1080" i="1"/>
  <c r="Y1081" i="1"/>
  <c r="Z1081" i="1"/>
  <c r="AA1081" i="1"/>
  <c r="Y1082" i="1"/>
  <c r="Z1082" i="1"/>
  <c r="AA1082" i="1"/>
  <c r="Y1083" i="1"/>
  <c r="Z1083" i="1"/>
  <c r="AA1083" i="1"/>
  <c r="Y1084" i="1"/>
  <c r="Z1084" i="1"/>
  <c r="AA1084" i="1"/>
  <c r="Y1085" i="1"/>
  <c r="Z1085" i="1"/>
  <c r="AA1085" i="1"/>
  <c r="Y1086" i="1"/>
  <c r="Z1086" i="1"/>
  <c r="AA1086" i="1"/>
  <c r="Y1087" i="1"/>
  <c r="Z1087" i="1"/>
  <c r="AA1087" i="1"/>
  <c r="Y1088" i="1"/>
  <c r="Z1088" i="1"/>
  <c r="AA1088" i="1"/>
  <c r="Y1089" i="1"/>
  <c r="Z1089" i="1"/>
  <c r="AA1089" i="1"/>
  <c r="Y1090" i="1"/>
  <c r="Z1090" i="1"/>
  <c r="AA1090" i="1"/>
  <c r="Y1091" i="1"/>
  <c r="Z1091" i="1"/>
  <c r="AA1091" i="1"/>
  <c r="Y1092" i="1"/>
  <c r="Z1092" i="1"/>
  <c r="AA1092" i="1"/>
  <c r="Y1093" i="1"/>
  <c r="Z1093" i="1"/>
  <c r="AA1093" i="1"/>
  <c r="Y1094" i="1"/>
  <c r="Z1094" i="1"/>
  <c r="AA1094" i="1"/>
  <c r="Y1095" i="1"/>
  <c r="Z1095" i="1"/>
  <c r="AA1095" i="1"/>
  <c r="Y1096" i="1"/>
  <c r="Z1096" i="1"/>
  <c r="AA1096" i="1"/>
  <c r="Y1097" i="1"/>
  <c r="Z1097" i="1"/>
  <c r="AA1097" i="1"/>
  <c r="Y1098" i="1"/>
  <c r="Z1098" i="1"/>
  <c r="AA1098" i="1"/>
  <c r="Y1099" i="1"/>
  <c r="Z1099" i="1"/>
  <c r="AA1099" i="1"/>
  <c r="Y1100" i="1"/>
  <c r="Z1100" i="1"/>
  <c r="AA1100" i="1"/>
  <c r="Y1101" i="1"/>
  <c r="Z1101" i="1"/>
  <c r="AA1101" i="1"/>
  <c r="Y1102" i="1"/>
  <c r="Z1102" i="1"/>
  <c r="AA1102" i="1"/>
  <c r="Y1103" i="1"/>
  <c r="Z1103" i="1"/>
  <c r="AA1103" i="1"/>
  <c r="Y1104" i="1"/>
  <c r="Z1104" i="1"/>
  <c r="AA1104" i="1"/>
  <c r="Y1105" i="1"/>
  <c r="Z1105" i="1"/>
  <c r="AA1105" i="1"/>
  <c r="Y1106" i="1"/>
  <c r="Z1106" i="1"/>
  <c r="AA1106" i="1"/>
  <c r="Y1107" i="1"/>
  <c r="Z1107" i="1"/>
  <c r="AA1107" i="1"/>
  <c r="Y1108" i="1"/>
  <c r="Z1108" i="1"/>
  <c r="AA1108" i="1"/>
  <c r="Y1109" i="1"/>
  <c r="Z1109" i="1"/>
  <c r="AA1109" i="1"/>
  <c r="Y1110" i="1"/>
  <c r="Z1110" i="1"/>
  <c r="AA1110" i="1"/>
  <c r="Y1111" i="1"/>
  <c r="Z1111" i="1"/>
  <c r="AA1111" i="1"/>
  <c r="Y1112" i="1"/>
  <c r="Z1112" i="1"/>
  <c r="AA1112" i="1"/>
  <c r="Y1113" i="1"/>
  <c r="Z1113" i="1"/>
  <c r="AA1113" i="1"/>
  <c r="Y1114" i="1"/>
  <c r="Z1114" i="1"/>
  <c r="AA1114" i="1"/>
  <c r="Y1115" i="1"/>
  <c r="Z1115" i="1"/>
  <c r="AA1115" i="1"/>
  <c r="Y1116" i="1"/>
  <c r="Z1116" i="1"/>
  <c r="AA1116" i="1"/>
  <c r="Y1117" i="1"/>
  <c r="Z1117" i="1"/>
  <c r="AA1117" i="1"/>
  <c r="Y1118" i="1"/>
  <c r="Z1118" i="1"/>
  <c r="AA1118" i="1"/>
  <c r="Y1119" i="1"/>
  <c r="Z1119" i="1"/>
  <c r="AA1119" i="1"/>
  <c r="Y1120" i="1"/>
  <c r="Z1120" i="1"/>
  <c r="AA1120" i="1"/>
  <c r="Y1121" i="1"/>
  <c r="Z1121" i="1"/>
  <c r="AA1121" i="1"/>
  <c r="Y1122" i="1"/>
  <c r="Z1122" i="1"/>
  <c r="AA1122" i="1"/>
  <c r="Y1123" i="1"/>
  <c r="Z1123" i="1"/>
  <c r="AA1123" i="1"/>
  <c r="Y1124" i="1"/>
  <c r="Z1124" i="1"/>
  <c r="AA1124" i="1"/>
  <c r="Y1125" i="1"/>
  <c r="Z1125" i="1"/>
  <c r="AA1125" i="1"/>
  <c r="Y1126" i="1"/>
  <c r="Z1126" i="1"/>
  <c r="AA1126" i="1"/>
  <c r="Y1127" i="1"/>
  <c r="Z1127" i="1"/>
  <c r="AA1127" i="1"/>
  <c r="Y1128" i="1"/>
  <c r="Z1128" i="1"/>
  <c r="AA1128" i="1"/>
  <c r="Y1129" i="1"/>
  <c r="Z1129" i="1"/>
  <c r="AA1129" i="1"/>
  <c r="Y1130" i="1"/>
  <c r="Z1130" i="1"/>
  <c r="AA1130" i="1"/>
  <c r="Y1131" i="1"/>
  <c r="Z1131" i="1"/>
  <c r="AA1131" i="1"/>
  <c r="Y1132" i="1"/>
  <c r="Z1132" i="1"/>
  <c r="AA1132" i="1"/>
  <c r="Y1133" i="1"/>
  <c r="Z1133" i="1"/>
  <c r="AA1133" i="1"/>
  <c r="Y1134" i="1"/>
  <c r="Z1134" i="1"/>
  <c r="AA1134" i="1"/>
  <c r="Y1135" i="1"/>
  <c r="Z1135" i="1"/>
  <c r="AA1135" i="1"/>
  <c r="Y1136" i="1"/>
  <c r="Z1136" i="1"/>
  <c r="AA1136" i="1"/>
  <c r="Y1137" i="1"/>
  <c r="Z1137" i="1"/>
  <c r="AA1137" i="1"/>
  <c r="Y1138" i="1"/>
  <c r="Z1138" i="1"/>
  <c r="AA1138" i="1"/>
  <c r="Y1139" i="1"/>
  <c r="Z1139" i="1"/>
  <c r="AA1139" i="1"/>
  <c r="Y1140" i="1"/>
  <c r="Z1140" i="1"/>
  <c r="AA1140" i="1"/>
  <c r="Y1141" i="1"/>
  <c r="Z1141" i="1"/>
  <c r="AA1141" i="1"/>
  <c r="Y1142" i="1"/>
  <c r="Z1142" i="1"/>
  <c r="AA1142" i="1"/>
  <c r="Y1143" i="1"/>
  <c r="Z1143" i="1"/>
  <c r="AA1143" i="1"/>
  <c r="Y1144" i="1"/>
  <c r="Z1144" i="1"/>
  <c r="AA1144" i="1"/>
  <c r="Y1145" i="1"/>
  <c r="Z1145" i="1"/>
  <c r="AA1145" i="1"/>
  <c r="Y1146" i="1"/>
  <c r="Z1146" i="1"/>
  <c r="AA1146" i="1"/>
  <c r="Y1147" i="1"/>
  <c r="Z1147" i="1"/>
  <c r="AA1147" i="1"/>
  <c r="Y1148" i="1"/>
  <c r="Z1148" i="1"/>
  <c r="AA1148" i="1"/>
  <c r="Y1149" i="1"/>
  <c r="Z1149" i="1"/>
  <c r="AA1149" i="1"/>
  <c r="Y1150" i="1"/>
  <c r="Z1150" i="1"/>
  <c r="AA1150" i="1"/>
  <c r="Y1151" i="1"/>
  <c r="Z1151" i="1"/>
  <c r="AA1151" i="1"/>
  <c r="Y1152" i="1"/>
  <c r="Z1152" i="1"/>
  <c r="AA1152" i="1"/>
  <c r="Y1153" i="1"/>
  <c r="Z1153" i="1"/>
  <c r="AA1153" i="1"/>
  <c r="Y1154" i="1"/>
  <c r="Z1154" i="1"/>
  <c r="AA1154" i="1"/>
  <c r="Y1155" i="1"/>
  <c r="Z1155" i="1"/>
  <c r="AA1155" i="1"/>
  <c r="Y1156" i="1"/>
  <c r="Z1156" i="1"/>
  <c r="AA1156" i="1"/>
  <c r="Y1157" i="1"/>
  <c r="Z1157" i="1"/>
  <c r="AA1157" i="1"/>
  <c r="Y1158" i="1"/>
  <c r="Z1158" i="1"/>
  <c r="AA1158" i="1"/>
  <c r="Y1159" i="1"/>
  <c r="Z1159" i="1"/>
  <c r="AA1159" i="1"/>
  <c r="Y1160" i="1"/>
  <c r="Z1160" i="1"/>
  <c r="AA1160" i="1"/>
  <c r="Y1161" i="1"/>
  <c r="Z1161" i="1"/>
  <c r="AA1161" i="1"/>
  <c r="Y1162" i="1"/>
  <c r="Z1162" i="1"/>
  <c r="AA1162" i="1"/>
  <c r="Y1163" i="1"/>
  <c r="Z1163" i="1"/>
  <c r="AA1163" i="1"/>
  <c r="Y1164" i="1"/>
  <c r="Z1164" i="1"/>
  <c r="AA1164" i="1"/>
  <c r="Y1165" i="1"/>
  <c r="Z1165" i="1"/>
  <c r="AA1165" i="1"/>
  <c r="Y1166" i="1"/>
  <c r="Z1166" i="1"/>
  <c r="AA1166" i="1"/>
  <c r="Y1167" i="1"/>
  <c r="Z1167" i="1"/>
  <c r="AA1167" i="1"/>
  <c r="Y1168" i="1"/>
  <c r="Z1168" i="1"/>
  <c r="AA1168" i="1"/>
  <c r="Y1169" i="1"/>
  <c r="Z1169" i="1"/>
  <c r="AA1169" i="1"/>
  <c r="Y1170" i="1"/>
  <c r="Z1170" i="1"/>
  <c r="AA1170" i="1"/>
  <c r="Y1171" i="1"/>
  <c r="Z1171" i="1"/>
  <c r="AA1171" i="1"/>
  <c r="Y1172" i="1"/>
  <c r="Z1172" i="1"/>
  <c r="AA1172" i="1"/>
  <c r="Y1173" i="1"/>
  <c r="Z1173" i="1"/>
  <c r="AA1173" i="1"/>
  <c r="Y1174" i="1"/>
  <c r="Z1174" i="1"/>
  <c r="AA1174" i="1"/>
  <c r="Y1175" i="1"/>
  <c r="Z1175" i="1"/>
  <c r="AA1175" i="1"/>
  <c r="Y1176" i="1"/>
  <c r="Z1176" i="1"/>
  <c r="AA1176" i="1"/>
  <c r="Y1177" i="1"/>
  <c r="Z1177" i="1"/>
  <c r="AA1177" i="1"/>
  <c r="Y1178" i="1"/>
  <c r="Z1178" i="1"/>
  <c r="AA1178" i="1"/>
  <c r="Y1179" i="1"/>
  <c r="Z1179" i="1"/>
  <c r="AA1179" i="1"/>
  <c r="Y1180" i="1"/>
  <c r="Z1180" i="1"/>
  <c r="AA1180" i="1"/>
  <c r="Y1181" i="1"/>
  <c r="Z1181" i="1"/>
  <c r="AA1181" i="1"/>
  <c r="Y1182" i="1"/>
  <c r="Z1182" i="1"/>
  <c r="AA1182" i="1"/>
  <c r="Y1183" i="1"/>
  <c r="Z1183" i="1"/>
  <c r="AA1183" i="1"/>
  <c r="Y1184" i="1"/>
  <c r="Z1184" i="1"/>
  <c r="AA1184" i="1"/>
  <c r="Y1185" i="1"/>
  <c r="Z1185" i="1"/>
  <c r="AA1185" i="1"/>
  <c r="Y1186" i="1"/>
  <c r="Z1186" i="1"/>
  <c r="AA1186" i="1"/>
  <c r="Y1187" i="1"/>
  <c r="Z1187" i="1"/>
  <c r="AA1187" i="1"/>
  <c r="Y1188" i="1"/>
  <c r="Z1188" i="1"/>
  <c r="AA1188" i="1"/>
  <c r="Y1189" i="1"/>
  <c r="Z1189" i="1"/>
  <c r="AA1189" i="1"/>
  <c r="Y1190" i="1"/>
  <c r="Z1190" i="1"/>
  <c r="AA1190" i="1"/>
  <c r="Y1191" i="1"/>
  <c r="Z1191" i="1"/>
  <c r="AA1191" i="1"/>
  <c r="Y1192" i="1"/>
  <c r="Z1192" i="1"/>
  <c r="AA1192" i="1"/>
  <c r="Y1193" i="1"/>
  <c r="Z1193" i="1"/>
  <c r="AA1193" i="1"/>
  <c r="Y1194" i="1"/>
  <c r="Z1194" i="1"/>
  <c r="AA1194" i="1"/>
  <c r="Y1195" i="1"/>
  <c r="Z1195" i="1"/>
  <c r="AA1195" i="1"/>
  <c r="Y1196" i="1"/>
  <c r="Z1196" i="1"/>
  <c r="AA1196" i="1"/>
  <c r="Y1197" i="1"/>
  <c r="Z1197" i="1"/>
  <c r="AA1197" i="1"/>
  <c r="Y1198" i="1"/>
  <c r="Z1198" i="1"/>
  <c r="AA1198" i="1"/>
  <c r="Y1199" i="1"/>
  <c r="Z1199" i="1"/>
  <c r="AA1199" i="1"/>
  <c r="Y1200" i="1"/>
  <c r="Z1200" i="1"/>
  <c r="AA1200" i="1"/>
  <c r="Y1201" i="1"/>
  <c r="Z1201" i="1"/>
  <c r="AA1201" i="1"/>
  <c r="Y1202" i="1"/>
  <c r="Z1202" i="1"/>
  <c r="AA1202" i="1"/>
  <c r="Y1203" i="1"/>
  <c r="Z1203" i="1"/>
  <c r="AA1203" i="1"/>
  <c r="Y1204" i="1"/>
  <c r="Z1204" i="1"/>
  <c r="AA1204" i="1"/>
  <c r="Y1205" i="1"/>
  <c r="Z1205" i="1"/>
  <c r="AA1205" i="1"/>
  <c r="Y1206" i="1"/>
  <c r="Z1206" i="1"/>
  <c r="AA1206" i="1"/>
  <c r="Y1207" i="1"/>
  <c r="Z1207" i="1"/>
  <c r="AA1207" i="1"/>
  <c r="Y1208" i="1"/>
  <c r="Z1208" i="1"/>
  <c r="AA1208" i="1"/>
  <c r="Y1209" i="1"/>
  <c r="Z1209" i="1"/>
  <c r="AA1209" i="1"/>
  <c r="Y1210" i="1"/>
  <c r="Z1210" i="1"/>
  <c r="AA1210" i="1"/>
  <c r="Y1211" i="1"/>
  <c r="Z1211" i="1"/>
  <c r="AA1211" i="1"/>
  <c r="Y1212" i="1"/>
  <c r="Z1212" i="1"/>
  <c r="AA1212" i="1"/>
  <c r="Y1213" i="1"/>
  <c r="Z1213" i="1"/>
  <c r="AA1213" i="1"/>
  <c r="Y1214" i="1"/>
  <c r="Z1214" i="1"/>
  <c r="AA1214" i="1"/>
  <c r="Y1215" i="1"/>
  <c r="Z1215" i="1"/>
  <c r="AA1215" i="1"/>
  <c r="Y1216" i="1"/>
  <c r="Z1216" i="1"/>
  <c r="AA1216" i="1"/>
  <c r="Y1217" i="1"/>
  <c r="Z1217" i="1"/>
  <c r="AA1217" i="1"/>
  <c r="Y1218" i="1"/>
  <c r="Z1218" i="1"/>
  <c r="AA1218" i="1"/>
  <c r="Y1219" i="1"/>
  <c r="Z1219" i="1"/>
  <c r="AA1219" i="1"/>
  <c r="Y1220" i="1"/>
  <c r="Z1220" i="1"/>
  <c r="AA1220" i="1"/>
  <c r="Y1221" i="1"/>
  <c r="Z1221" i="1"/>
  <c r="AA1221" i="1"/>
  <c r="Y1222" i="1"/>
  <c r="Z1222" i="1"/>
  <c r="AA1222" i="1"/>
  <c r="Y1223" i="1"/>
  <c r="Z1223" i="1"/>
  <c r="AA1223" i="1"/>
  <c r="Y1224" i="1"/>
  <c r="Z1224" i="1"/>
  <c r="AA1224" i="1"/>
  <c r="Y1225" i="1"/>
  <c r="Z1225" i="1"/>
  <c r="AA1225" i="1"/>
  <c r="Y1226" i="1"/>
  <c r="Z1226" i="1"/>
  <c r="AA1226" i="1"/>
  <c r="Y1227" i="1"/>
  <c r="Z1227" i="1"/>
  <c r="AA1227" i="1"/>
  <c r="Y1228" i="1"/>
  <c r="Z1228" i="1"/>
  <c r="AA1228" i="1"/>
  <c r="Y1229" i="1"/>
  <c r="Z1229" i="1"/>
  <c r="AA1229" i="1"/>
  <c r="Y1230" i="1"/>
  <c r="Z1230" i="1"/>
  <c r="AA1230" i="1"/>
  <c r="Y1231" i="1"/>
  <c r="Z1231" i="1"/>
  <c r="AA1231" i="1"/>
  <c r="Y1232" i="1"/>
  <c r="Z1232" i="1"/>
  <c r="AA1232" i="1"/>
  <c r="Y1233" i="1"/>
  <c r="Z1233" i="1"/>
  <c r="AA1233" i="1"/>
  <c r="Y1234" i="1"/>
  <c r="Z1234" i="1"/>
  <c r="AA1234" i="1"/>
  <c r="Y1235" i="1"/>
  <c r="Z1235" i="1"/>
  <c r="AA1235" i="1"/>
  <c r="Y1236" i="1"/>
  <c r="Z1236" i="1"/>
  <c r="AA1236" i="1"/>
  <c r="Y1237" i="1"/>
  <c r="Z1237" i="1"/>
  <c r="AA1237" i="1"/>
  <c r="Y1238" i="1"/>
  <c r="Z1238" i="1"/>
  <c r="AA1238" i="1"/>
  <c r="Y1239" i="1"/>
  <c r="Z1239" i="1"/>
  <c r="AA1239" i="1"/>
  <c r="Y1240" i="1"/>
  <c r="Z1240" i="1"/>
  <c r="AA1240" i="1"/>
  <c r="Y1241" i="1"/>
  <c r="Z1241" i="1"/>
  <c r="AA1241" i="1"/>
  <c r="Y1242" i="1"/>
  <c r="Z1242" i="1"/>
  <c r="AA1242" i="1"/>
  <c r="Y1243" i="1"/>
  <c r="Z1243" i="1"/>
  <c r="AA1243" i="1"/>
  <c r="Y1244" i="1"/>
  <c r="Z1244" i="1"/>
  <c r="AA1244" i="1"/>
  <c r="Y1245" i="1"/>
  <c r="Z1245" i="1"/>
  <c r="AA1245" i="1"/>
  <c r="Y1246" i="1"/>
  <c r="Z1246" i="1"/>
  <c r="AA1246" i="1"/>
  <c r="Y1247" i="1"/>
  <c r="Z1247" i="1"/>
  <c r="AA1247" i="1"/>
  <c r="Y1248" i="1"/>
  <c r="Z1248" i="1"/>
  <c r="AA1248" i="1"/>
  <c r="Y1249" i="1"/>
  <c r="Z1249" i="1"/>
  <c r="AA1249" i="1"/>
  <c r="Y1250" i="1"/>
  <c r="Z1250" i="1"/>
  <c r="AA1250" i="1"/>
  <c r="Y1251" i="1"/>
  <c r="Z1251" i="1"/>
  <c r="AA1251" i="1"/>
  <c r="Y1252" i="1"/>
  <c r="Z1252" i="1"/>
  <c r="AA1252" i="1"/>
  <c r="Y1253" i="1"/>
  <c r="Z1253" i="1"/>
  <c r="AA1253" i="1"/>
  <c r="Y1254" i="1"/>
  <c r="Z1254" i="1"/>
  <c r="AA1254" i="1"/>
  <c r="Y1255" i="1"/>
  <c r="Z1255" i="1"/>
  <c r="AA1255" i="1"/>
  <c r="Y1256" i="1"/>
  <c r="Z1256" i="1"/>
  <c r="AA1256" i="1"/>
  <c r="Y1257" i="1"/>
  <c r="Z1257" i="1"/>
  <c r="AA1257" i="1"/>
  <c r="Y1258" i="1"/>
  <c r="Z1258" i="1"/>
  <c r="AA1258" i="1"/>
  <c r="Y1259" i="1"/>
  <c r="Z1259" i="1"/>
  <c r="AA1259" i="1"/>
  <c r="Y1260" i="1"/>
  <c r="Z1260" i="1"/>
  <c r="AA1260" i="1"/>
  <c r="Y1261" i="1"/>
  <c r="Z1261" i="1"/>
  <c r="AA1261" i="1"/>
  <c r="Y1262" i="1"/>
  <c r="Z1262" i="1"/>
  <c r="AA1262" i="1"/>
  <c r="Y1263" i="1"/>
  <c r="Z1263" i="1"/>
  <c r="AA1263" i="1"/>
  <c r="Y1264" i="1"/>
  <c r="Z1264" i="1"/>
  <c r="AA1264" i="1"/>
  <c r="Y1265" i="1"/>
  <c r="Z1265" i="1"/>
  <c r="AA1265" i="1"/>
  <c r="Y1266" i="1"/>
  <c r="Z1266" i="1"/>
  <c r="AA1266" i="1"/>
  <c r="Y1267" i="1"/>
  <c r="Z1267" i="1"/>
  <c r="AA1267" i="1"/>
  <c r="Y1268" i="1"/>
  <c r="Z1268" i="1"/>
  <c r="AA1268" i="1"/>
  <c r="Y1269" i="1"/>
  <c r="Z1269" i="1"/>
  <c r="AA1269" i="1"/>
  <c r="Y1270" i="1"/>
  <c r="Z1270" i="1"/>
  <c r="AA1270" i="1"/>
  <c r="Y1271" i="1"/>
  <c r="Z1271" i="1"/>
  <c r="AA1271" i="1"/>
  <c r="Y1272" i="1"/>
  <c r="Z1272" i="1"/>
  <c r="AA1272" i="1"/>
  <c r="Y1273" i="1"/>
  <c r="Z1273" i="1"/>
  <c r="AA1273" i="1"/>
  <c r="Y1274" i="1"/>
  <c r="Z1274" i="1"/>
  <c r="AA1274" i="1"/>
  <c r="Y1275" i="1"/>
  <c r="Z1275" i="1"/>
  <c r="AA1275" i="1"/>
  <c r="Y1276" i="1"/>
  <c r="Z1276" i="1"/>
  <c r="AA1276" i="1"/>
  <c r="Y1277" i="1"/>
  <c r="Z1277" i="1"/>
  <c r="AA1277" i="1"/>
  <c r="Y1278" i="1"/>
  <c r="Z1278" i="1"/>
  <c r="AA1278" i="1"/>
  <c r="Y1279" i="1"/>
  <c r="Z1279" i="1"/>
  <c r="AA1279" i="1"/>
  <c r="Y1280" i="1"/>
  <c r="Z1280" i="1"/>
  <c r="AA1280" i="1"/>
  <c r="Y1281" i="1"/>
  <c r="Z1281" i="1"/>
  <c r="AA1281" i="1"/>
  <c r="Y1282" i="1"/>
  <c r="Z1282" i="1"/>
  <c r="AA1282" i="1"/>
  <c r="Y1283" i="1"/>
  <c r="Z1283" i="1"/>
  <c r="AA1283" i="1"/>
  <c r="Y1284" i="1"/>
  <c r="Z1284" i="1"/>
  <c r="AA1284" i="1"/>
  <c r="Y1285" i="1"/>
  <c r="Z1285" i="1"/>
  <c r="AA1285" i="1"/>
  <c r="Y1286" i="1"/>
  <c r="Z1286" i="1"/>
  <c r="AA1286" i="1"/>
  <c r="Y1287" i="1"/>
  <c r="Z1287" i="1"/>
  <c r="AA1287" i="1"/>
  <c r="Y1288" i="1"/>
  <c r="Z1288" i="1"/>
  <c r="AA1288" i="1"/>
  <c r="Y1289" i="1"/>
  <c r="Z1289" i="1"/>
  <c r="AA1289" i="1"/>
  <c r="Y1290" i="1"/>
  <c r="Z1290" i="1"/>
  <c r="AA1290" i="1"/>
  <c r="Y1291" i="1"/>
  <c r="Z1291" i="1"/>
  <c r="AA1291" i="1"/>
  <c r="Y1292" i="1"/>
  <c r="Z1292" i="1"/>
  <c r="AA1292" i="1"/>
  <c r="Y1293" i="1"/>
  <c r="Z1293" i="1"/>
  <c r="AA1293" i="1"/>
  <c r="Y1294" i="1"/>
  <c r="Z1294" i="1"/>
  <c r="AA1294" i="1"/>
  <c r="Y1295" i="1"/>
  <c r="Z1295" i="1"/>
  <c r="AA1295" i="1"/>
  <c r="Y1296" i="1"/>
  <c r="Z1296" i="1"/>
  <c r="AA1296" i="1"/>
  <c r="Y1297" i="1"/>
  <c r="Z1297" i="1"/>
  <c r="AA1297" i="1"/>
  <c r="Y1298" i="1"/>
  <c r="Z1298" i="1"/>
  <c r="AA1298" i="1"/>
  <c r="Y1299" i="1"/>
  <c r="Z1299" i="1"/>
  <c r="AA1299" i="1"/>
  <c r="Y1300" i="1"/>
  <c r="Z1300" i="1"/>
  <c r="AA1300" i="1"/>
  <c r="Y1301" i="1"/>
  <c r="Z1301" i="1"/>
  <c r="AA1301" i="1"/>
  <c r="Y1302" i="1"/>
  <c r="Z1302" i="1"/>
  <c r="AA1302" i="1"/>
  <c r="Y1303" i="1"/>
  <c r="Z1303" i="1"/>
  <c r="AA1303" i="1"/>
  <c r="Y1304" i="1"/>
  <c r="Z1304" i="1"/>
  <c r="AA1304" i="1"/>
  <c r="Y1305" i="1"/>
  <c r="Z1305" i="1"/>
  <c r="AA1305" i="1"/>
  <c r="Y1306" i="1"/>
  <c r="Z1306" i="1"/>
  <c r="AA1306" i="1"/>
  <c r="Y1307" i="1"/>
  <c r="Z1307" i="1"/>
  <c r="AA1307" i="1"/>
  <c r="Y1308" i="1"/>
  <c r="Z1308" i="1"/>
  <c r="AA1308" i="1"/>
  <c r="Y1309" i="1"/>
  <c r="Z1309" i="1"/>
  <c r="AA1309" i="1"/>
  <c r="Y1310" i="1"/>
  <c r="Z1310" i="1"/>
  <c r="AA1310" i="1"/>
  <c r="Y1311" i="1"/>
  <c r="Z1311" i="1"/>
  <c r="AA1311" i="1"/>
  <c r="Y1312" i="1"/>
  <c r="Z1312" i="1"/>
  <c r="AA1312" i="1"/>
  <c r="Y1313" i="1"/>
  <c r="Z1313" i="1"/>
  <c r="AA1313" i="1"/>
  <c r="Y1314" i="1"/>
  <c r="Z1314" i="1"/>
  <c r="AA1314" i="1"/>
  <c r="Y1315" i="1"/>
  <c r="Z1315" i="1"/>
  <c r="AA1315" i="1"/>
  <c r="Y1316" i="1"/>
  <c r="Z1316" i="1"/>
  <c r="AA1316" i="1"/>
  <c r="Y1317" i="1"/>
  <c r="Z1317" i="1"/>
  <c r="AA1317" i="1"/>
  <c r="Y1318" i="1"/>
  <c r="Z1318" i="1"/>
  <c r="AA1318" i="1"/>
  <c r="Y1319" i="1"/>
  <c r="Z1319" i="1"/>
  <c r="AA1319" i="1"/>
  <c r="Y1320" i="1"/>
  <c r="Z1320" i="1"/>
  <c r="AA1320" i="1"/>
  <c r="Y1321" i="1"/>
  <c r="Z1321" i="1"/>
  <c r="AA1321" i="1"/>
  <c r="Y1322" i="1"/>
  <c r="Z1322" i="1"/>
  <c r="AA1322" i="1"/>
  <c r="Y1323" i="1"/>
  <c r="Z1323" i="1"/>
  <c r="AA1323" i="1"/>
  <c r="Y1324" i="1"/>
  <c r="Z1324" i="1"/>
  <c r="AA1324" i="1"/>
  <c r="Y1325" i="1"/>
  <c r="Z1325" i="1"/>
  <c r="AA1325" i="1"/>
  <c r="Y1326" i="1"/>
  <c r="Z1326" i="1"/>
  <c r="AA1326" i="1"/>
  <c r="Y1327" i="1"/>
  <c r="Z1327" i="1"/>
  <c r="AA1327" i="1"/>
  <c r="Y1328" i="1"/>
  <c r="Z1328" i="1"/>
  <c r="AA1328" i="1"/>
  <c r="Y1329" i="1"/>
  <c r="Z1329" i="1"/>
  <c r="AA1329" i="1"/>
  <c r="Y1330" i="1"/>
  <c r="Z1330" i="1"/>
  <c r="AA1330" i="1"/>
  <c r="Y1331" i="1"/>
  <c r="Z1331" i="1"/>
  <c r="AA1331" i="1"/>
  <c r="Y1332" i="1"/>
  <c r="Z1332" i="1"/>
  <c r="AA1332" i="1"/>
  <c r="Y1333" i="1"/>
  <c r="Z1333" i="1"/>
  <c r="AA1333" i="1"/>
  <c r="Y1334" i="1"/>
  <c r="Z1334" i="1"/>
  <c r="AA1334" i="1"/>
  <c r="Y1335" i="1"/>
  <c r="Z1335" i="1"/>
  <c r="AA1335" i="1"/>
  <c r="Y1336" i="1"/>
  <c r="Z1336" i="1"/>
  <c r="AA1336" i="1"/>
  <c r="Y1337" i="1"/>
  <c r="Z1337" i="1"/>
  <c r="AA1337" i="1"/>
  <c r="Y1338" i="1"/>
  <c r="Z1338" i="1"/>
  <c r="AA1338" i="1"/>
  <c r="Y1339" i="1"/>
  <c r="Z1339" i="1"/>
  <c r="AA1339" i="1"/>
  <c r="Y1340" i="1"/>
  <c r="Z1340" i="1"/>
  <c r="AA1340" i="1"/>
  <c r="Y1341" i="1"/>
  <c r="Z1341" i="1"/>
  <c r="AA1341" i="1"/>
  <c r="Y1342" i="1"/>
  <c r="Z1342" i="1"/>
  <c r="AA1342" i="1"/>
  <c r="Y1343" i="1"/>
  <c r="Z1343" i="1"/>
  <c r="AA1343" i="1"/>
  <c r="Y1344" i="1"/>
  <c r="Z1344" i="1"/>
  <c r="AA1344" i="1"/>
  <c r="Y1345" i="1"/>
  <c r="Z1345" i="1"/>
  <c r="AA1345" i="1"/>
  <c r="Y1346" i="1"/>
  <c r="Z1346" i="1"/>
  <c r="AA1346" i="1"/>
  <c r="Y1347" i="1"/>
  <c r="Z1347" i="1"/>
  <c r="AA1347" i="1"/>
  <c r="Y1348" i="1"/>
  <c r="Z1348" i="1"/>
  <c r="AA1348" i="1"/>
  <c r="Y1349" i="1"/>
  <c r="Z1349" i="1"/>
  <c r="AA1349" i="1"/>
  <c r="Y1350" i="1"/>
  <c r="Z1350" i="1"/>
  <c r="AA1350" i="1"/>
  <c r="Y1351" i="1"/>
  <c r="Z1351" i="1"/>
  <c r="AA1351" i="1"/>
  <c r="Y1352" i="1"/>
  <c r="Z1352" i="1"/>
  <c r="AA1352" i="1"/>
  <c r="Y1353" i="1"/>
  <c r="Z1353" i="1"/>
  <c r="AA1353" i="1"/>
  <c r="Y1354" i="1"/>
  <c r="Z1354" i="1"/>
  <c r="AA1354" i="1"/>
  <c r="Y1355" i="1"/>
  <c r="Z1355" i="1"/>
  <c r="AA1355" i="1"/>
  <c r="Y1356" i="1"/>
  <c r="Z1356" i="1"/>
  <c r="AA1356" i="1"/>
  <c r="Y1357" i="1"/>
  <c r="Z1357" i="1"/>
  <c r="AA1357" i="1"/>
  <c r="Y1358" i="1"/>
  <c r="Z1358" i="1"/>
  <c r="AA1358" i="1"/>
  <c r="Y1359" i="1"/>
  <c r="Z1359" i="1"/>
  <c r="AA1359" i="1"/>
  <c r="Y1360" i="1"/>
  <c r="Z1360" i="1"/>
  <c r="AA1360" i="1"/>
  <c r="Y1361" i="1"/>
  <c r="Z1361" i="1"/>
  <c r="AA1361" i="1"/>
  <c r="Y1362" i="1"/>
  <c r="Z1362" i="1"/>
  <c r="AA1362" i="1"/>
  <c r="Y1363" i="1"/>
  <c r="Z1363" i="1"/>
  <c r="AA1363" i="1"/>
  <c r="Y1364" i="1"/>
  <c r="Z1364" i="1"/>
  <c r="AA1364" i="1"/>
  <c r="Y1365" i="1"/>
  <c r="Z1365" i="1"/>
  <c r="AA1365" i="1"/>
  <c r="Y1366" i="1"/>
  <c r="Z1366" i="1"/>
  <c r="AA1366" i="1"/>
  <c r="Y1367" i="1"/>
  <c r="Z1367" i="1"/>
  <c r="AA1367" i="1"/>
  <c r="Y1368" i="1"/>
  <c r="Z1368" i="1"/>
  <c r="AA1368" i="1"/>
  <c r="Y1369" i="1"/>
  <c r="Z1369" i="1"/>
  <c r="AA1369" i="1"/>
  <c r="Y1370" i="1"/>
  <c r="Z1370" i="1"/>
  <c r="AA1370" i="1"/>
  <c r="Y1371" i="1"/>
  <c r="Z1371" i="1"/>
  <c r="AA1371" i="1"/>
  <c r="Y1372" i="1"/>
  <c r="Z1372" i="1"/>
  <c r="AA1372" i="1"/>
  <c r="Y1373" i="1"/>
  <c r="Z1373" i="1"/>
  <c r="AA1373" i="1"/>
  <c r="Y1374" i="1"/>
  <c r="Z1374" i="1"/>
  <c r="AA1374" i="1"/>
  <c r="Y1375" i="1"/>
  <c r="Z1375" i="1"/>
  <c r="AA1375" i="1"/>
  <c r="Y1376" i="1"/>
  <c r="Z1376" i="1"/>
  <c r="AA1376" i="1"/>
  <c r="Y1377" i="1"/>
  <c r="Z1377" i="1"/>
  <c r="AA1377" i="1"/>
  <c r="Y1378" i="1"/>
  <c r="Z1378" i="1"/>
  <c r="AA1378" i="1"/>
  <c r="Y1379" i="1"/>
  <c r="Z1379" i="1"/>
  <c r="AA1379" i="1"/>
  <c r="Y1380" i="1"/>
  <c r="Z1380" i="1"/>
  <c r="AA1380" i="1"/>
  <c r="Y1381" i="1"/>
  <c r="Z1381" i="1"/>
  <c r="AA1381" i="1"/>
  <c r="Y1382" i="1"/>
  <c r="Z1382" i="1"/>
  <c r="AA1382" i="1"/>
  <c r="Y1383" i="1"/>
  <c r="Z1383" i="1"/>
  <c r="AA1383" i="1"/>
  <c r="Y1384" i="1"/>
  <c r="Z1384" i="1"/>
  <c r="AA1384" i="1"/>
  <c r="Y1385" i="1"/>
  <c r="Z1385" i="1"/>
  <c r="AA1385" i="1"/>
  <c r="Y1386" i="1"/>
  <c r="Z1386" i="1"/>
  <c r="AA1386" i="1"/>
  <c r="Y1387" i="1"/>
  <c r="Z1387" i="1"/>
  <c r="AA1387" i="1"/>
  <c r="Y1388" i="1"/>
  <c r="Z1388" i="1"/>
  <c r="AA1388" i="1"/>
  <c r="Y1389" i="1"/>
  <c r="Z1389" i="1"/>
  <c r="AA1389" i="1"/>
  <c r="Y1390" i="1"/>
  <c r="Z1390" i="1"/>
  <c r="AA1390" i="1"/>
  <c r="Y1391" i="1"/>
  <c r="Z1391" i="1"/>
  <c r="AA1391" i="1"/>
  <c r="Y1392" i="1"/>
  <c r="Z1392" i="1"/>
  <c r="AA1392" i="1"/>
  <c r="Y1393" i="1"/>
  <c r="Z1393" i="1"/>
  <c r="AA1393" i="1"/>
  <c r="Y1394" i="1"/>
  <c r="Z1394" i="1"/>
  <c r="AA1394" i="1"/>
  <c r="Y1395" i="1"/>
  <c r="Z1395" i="1"/>
  <c r="AA1395" i="1"/>
  <c r="Y1396" i="1"/>
  <c r="Z1396" i="1"/>
  <c r="AA1396" i="1"/>
  <c r="Y1397" i="1"/>
  <c r="Z1397" i="1"/>
  <c r="AA1397" i="1"/>
  <c r="Y1398" i="1"/>
  <c r="Z1398" i="1"/>
  <c r="AA1398" i="1"/>
  <c r="Y1399" i="1"/>
  <c r="Z1399" i="1"/>
  <c r="AA1399" i="1"/>
  <c r="Y1400" i="1"/>
  <c r="Z1400" i="1"/>
  <c r="AA1400" i="1"/>
  <c r="Y1401" i="1"/>
  <c r="Z1401" i="1"/>
  <c r="AA1401" i="1"/>
  <c r="Y1402" i="1"/>
  <c r="Z1402" i="1"/>
  <c r="AA1402" i="1"/>
  <c r="Y1403" i="1"/>
  <c r="Z1403" i="1"/>
  <c r="AA1403" i="1"/>
  <c r="Y1404" i="1"/>
  <c r="Z1404" i="1"/>
  <c r="AA1404" i="1"/>
  <c r="Y1405" i="1"/>
  <c r="Z1405" i="1"/>
  <c r="AA1405" i="1"/>
  <c r="Y1406" i="1"/>
  <c r="Z1406" i="1"/>
  <c r="AA1406" i="1"/>
  <c r="Y1407" i="1"/>
  <c r="Z1407" i="1"/>
  <c r="AA1407" i="1"/>
  <c r="Y1408" i="1"/>
  <c r="Z1408" i="1"/>
  <c r="AA1408" i="1"/>
  <c r="Y1409" i="1"/>
  <c r="Z1409" i="1"/>
  <c r="AA1409" i="1"/>
  <c r="Y1410" i="1"/>
  <c r="Z1410" i="1"/>
  <c r="AA1410" i="1"/>
  <c r="Y1411" i="1"/>
  <c r="Z1411" i="1"/>
  <c r="AA1411" i="1"/>
  <c r="Y1412" i="1"/>
  <c r="Z1412" i="1"/>
  <c r="AA1412" i="1"/>
  <c r="Y1413" i="1"/>
  <c r="Z1413" i="1"/>
  <c r="AA1413" i="1"/>
  <c r="Y1414" i="1"/>
  <c r="Z1414" i="1"/>
  <c r="AA1414" i="1"/>
  <c r="Y1415" i="1"/>
  <c r="Z1415" i="1"/>
  <c r="AA1415" i="1"/>
  <c r="Y1416" i="1"/>
  <c r="Z1416" i="1"/>
  <c r="AA1416" i="1"/>
  <c r="Y1417" i="1"/>
  <c r="Z1417" i="1"/>
  <c r="AA1417" i="1"/>
  <c r="Y1418" i="1"/>
  <c r="Z1418" i="1"/>
  <c r="AA1418" i="1"/>
  <c r="Y1419" i="1"/>
  <c r="Z1419" i="1"/>
  <c r="AA1419" i="1"/>
  <c r="Y1420" i="1"/>
  <c r="Z1420" i="1"/>
  <c r="AA1420" i="1"/>
  <c r="Y1421" i="1"/>
  <c r="Z1421" i="1"/>
  <c r="AA1421" i="1"/>
  <c r="Y1422" i="1"/>
  <c r="Z1422" i="1"/>
  <c r="AA1422" i="1"/>
  <c r="Y1423" i="1"/>
  <c r="Z1423" i="1"/>
  <c r="AA1423" i="1"/>
  <c r="Y1424" i="1"/>
  <c r="Z1424" i="1"/>
  <c r="AA1424" i="1"/>
  <c r="Y1425" i="1"/>
  <c r="Z1425" i="1"/>
  <c r="AA1425" i="1"/>
  <c r="Y1426" i="1"/>
  <c r="Z1426" i="1"/>
  <c r="AA1426" i="1"/>
  <c r="Y1427" i="1"/>
  <c r="Z1427" i="1"/>
  <c r="AA1427" i="1"/>
  <c r="Y1428" i="1"/>
  <c r="Z1428" i="1"/>
  <c r="AA1428" i="1"/>
  <c r="Y1429" i="1"/>
  <c r="Z1429" i="1"/>
  <c r="AA1429" i="1"/>
  <c r="Y1430" i="1"/>
  <c r="Z1430" i="1"/>
  <c r="AA1430" i="1"/>
  <c r="Y1431" i="1"/>
  <c r="Z1431" i="1"/>
  <c r="AA1431" i="1"/>
  <c r="Y1432" i="1"/>
  <c r="Z1432" i="1"/>
  <c r="AA1432" i="1"/>
  <c r="Y1433" i="1"/>
  <c r="Z1433" i="1"/>
  <c r="AA1433" i="1"/>
  <c r="Y1434" i="1"/>
  <c r="Z1434" i="1"/>
  <c r="AA1434" i="1"/>
  <c r="Y1435" i="1"/>
  <c r="Z1435" i="1"/>
  <c r="AA1435" i="1"/>
  <c r="Y1436" i="1"/>
  <c r="Z1436" i="1"/>
  <c r="AA1436" i="1"/>
  <c r="Y1437" i="1"/>
  <c r="Z1437" i="1"/>
  <c r="AA1437" i="1"/>
  <c r="Y1438" i="1"/>
  <c r="Z1438" i="1"/>
  <c r="AA1438" i="1"/>
  <c r="Y1439" i="1"/>
  <c r="Z1439" i="1"/>
  <c r="AA1439" i="1"/>
  <c r="Y1440" i="1"/>
  <c r="Z1440" i="1"/>
  <c r="AA1440" i="1"/>
  <c r="Y1441" i="1"/>
  <c r="Z1441" i="1"/>
  <c r="AA1441" i="1"/>
  <c r="Y1442" i="1"/>
  <c r="Z1442" i="1"/>
  <c r="AA1442" i="1"/>
  <c r="Y1443" i="1"/>
  <c r="Z1443" i="1"/>
  <c r="AA1443" i="1"/>
  <c r="Y1444" i="1"/>
  <c r="Z1444" i="1"/>
  <c r="AA1444" i="1"/>
  <c r="Y1445" i="1"/>
  <c r="Z1445" i="1"/>
  <c r="AA1445" i="1"/>
  <c r="Y1446" i="1"/>
  <c r="Z1446" i="1"/>
  <c r="AA1446" i="1"/>
  <c r="Y1447" i="1"/>
  <c r="Z1447" i="1"/>
  <c r="AA1447" i="1"/>
  <c r="Y1448" i="1"/>
  <c r="Z1448" i="1"/>
  <c r="AA1448" i="1"/>
  <c r="Y1449" i="1"/>
  <c r="Z1449" i="1"/>
  <c r="AA1449" i="1"/>
  <c r="Y1450" i="1"/>
  <c r="Z1450" i="1"/>
  <c r="AA1450" i="1"/>
  <c r="Y1451" i="1"/>
  <c r="Z1451" i="1"/>
  <c r="AA1451" i="1"/>
  <c r="Y1452" i="1"/>
  <c r="Z1452" i="1"/>
  <c r="AA1452" i="1"/>
  <c r="Y1453" i="1"/>
  <c r="Z1453" i="1"/>
  <c r="AA1453" i="1"/>
  <c r="Y1454" i="1"/>
  <c r="Z1454" i="1"/>
  <c r="AA1454" i="1"/>
  <c r="Y1455" i="1"/>
  <c r="Z1455" i="1"/>
  <c r="AA1455" i="1"/>
  <c r="Y1456" i="1"/>
  <c r="Z1456" i="1"/>
  <c r="AA1456" i="1"/>
  <c r="Y1457" i="1"/>
  <c r="Z1457" i="1"/>
  <c r="AA1457" i="1"/>
  <c r="Y1458" i="1"/>
  <c r="Z1458" i="1"/>
  <c r="AA1458" i="1"/>
  <c r="Y1459" i="1"/>
  <c r="Z1459" i="1"/>
  <c r="AA1459" i="1"/>
  <c r="Y1460" i="1"/>
  <c r="Z1460" i="1"/>
  <c r="AA1460" i="1"/>
  <c r="Y1461" i="1"/>
  <c r="Z1461" i="1"/>
  <c r="AA1461" i="1"/>
  <c r="Y1462" i="1"/>
  <c r="Z1462" i="1"/>
  <c r="AA1462" i="1"/>
  <c r="Y1463" i="1"/>
  <c r="Z1463" i="1"/>
  <c r="AA1463" i="1"/>
  <c r="Y1464" i="1"/>
  <c r="Z1464" i="1"/>
  <c r="AA1464" i="1"/>
  <c r="Y1465" i="1"/>
  <c r="Z1465" i="1"/>
  <c r="AA1465" i="1"/>
  <c r="Y1466" i="1"/>
  <c r="Z1466" i="1"/>
  <c r="AA1466" i="1"/>
  <c r="Y1467" i="1"/>
  <c r="Z1467" i="1"/>
  <c r="AA1467" i="1"/>
  <c r="Y1468" i="1"/>
  <c r="Z1468" i="1"/>
  <c r="AA1468" i="1"/>
  <c r="Y1469" i="1"/>
  <c r="Z1469" i="1"/>
  <c r="AA1469" i="1"/>
  <c r="Y1470" i="1"/>
  <c r="Z1470" i="1"/>
  <c r="AA1470" i="1"/>
  <c r="Y1471" i="1"/>
  <c r="Z1471" i="1"/>
  <c r="AA1471" i="1"/>
  <c r="Y1472" i="1"/>
  <c r="Z1472" i="1"/>
  <c r="AA1472" i="1"/>
  <c r="Y1473" i="1"/>
  <c r="Z1473" i="1"/>
  <c r="AA1473" i="1"/>
  <c r="Y1474" i="1"/>
  <c r="Z1474" i="1"/>
  <c r="AA1474" i="1"/>
  <c r="Y1475" i="1"/>
  <c r="Z1475" i="1"/>
  <c r="AA1475" i="1"/>
  <c r="Y1476" i="1"/>
  <c r="Z1476" i="1"/>
  <c r="AA1476" i="1"/>
  <c r="Y1477" i="1"/>
  <c r="Z1477" i="1"/>
  <c r="AA1477" i="1"/>
  <c r="Y1478" i="1"/>
  <c r="Z1478" i="1"/>
  <c r="AA1478" i="1"/>
  <c r="Y1479" i="1"/>
  <c r="Z1479" i="1"/>
  <c r="AA1479" i="1"/>
  <c r="Y1480" i="1"/>
  <c r="Z1480" i="1"/>
  <c r="AA1480" i="1"/>
  <c r="Y1481" i="1"/>
  <c r="Z1481" i="1"/>
  <c r="AA1481" i="1"/>
  <c r="Y1482" i="1"/>
  <c r="Z1482" i="1"/>
  <c r="AA1482" i="1"/>
  <c r="Y1483" i="1"/>
  <c r="Z1483" i="1"/>
  <c r="AA1483" i="1"/>
  <c r="Y1484" i="1"/>
  <c r="Z1484" i="1"/>
  <c r="AA1484" i="1"/>
  <c r="Y1485" i="1"/>
  <c r="Z1485" i="1"/>
  <c r="AA1485" i="1"/>
  <c r="Y1486" i="1"/>
  <c r="Z1486" i="1"/>
  <c r="AA1486" i="1"/>
  <c r="Y1487" i="1"/>
  <c r="Z1487" i="1"/>
  <c r="AA1487" i="1"/>
  <c r="Y1488" i="1"/>
  <c r="Z1488" i="1"/>
  <c r="AA1488" i="1"/>
  <c r="Y1489" i="1"/>
  <c r="Z1489" i="1"/>
  <c r="AA1489" i="1"/>
  <c r="Y1490" i="1"/>
  <c r="Z1490" i="1"/>
  <c r="AA1490" i="1"/>
  <c r="Y1491" i="1"/>
  <c r="Z1491" i="1"/>
  <c r="AA1491" i="1"/>
  <c r="Y1492" i="1"/>
  <c r="Z1492" i="1"/>
  <c r="AA1492" i="1"/>
  <c r="Y1493" i="1"/>
  <c r="Z1493" i="1"/>
  <c r="AA1493" i="1"/>
  <c r="Y1494" i="1"/>
  <c r="Z1494" i="1"/>
  <c r="AA1494" i="1"/>
  <c r="Y1495" i="1"/>
  <c r="Z1495" i="1"/>
  <c r="AA1495" i="1"/>
  <c r="Y1496" i="1"/>
  <c r="Z1496" i="1"/>
  <c r="AA1496" i="1"/>
  <c r="Y1497" i="1"/>
  <c r="Z1497" i="1"/>
  <c r="AA1497" i="1"/>
  <c r="Y1498" i="1"/>
  <c r="Z1498" i="1"/>
  <c r="AA1498" i="1"/>
  <c r="Y1499" i="1"/>
  <c r="Z1499" i="1"/>
  <c r="AA1499" i="1"/>
  <c r="Y1500" i="1"/>
  <c r="Z1500" i="1"/>
  <c r="AA1500" i="1"/>
  <c r="Y1501" i="1"/>
  <c r="Z1501" i="1"/>
  <c r="AA1501" i="1"/>
  <c r="Y1502" i="1"/>
  <c r="Z1502" i="1"/>
  <c r="AA1502" i="1"/>
  <c r="Y1503" i="1"/>
  <c r="Z1503" i="1"/>
  <c r="AA1503" i="1"/>
  <c r="Y1504" i="1"/>
  <c r="Z1504" i="1"/>
  <c r="AA1504" i="1"/>
  <c r="Y1505" i="1"/>
  <c r="Z1505" i="1"/>
  <c r="AA1505" i="1"/>
  <c r="Y1506" i="1"/>
  <c r="Z1506" i="1"/>
  <c r="AA1506" i="1"/>
  <c r="Y1507" i="1"/>
  <c r="Z1507" i="1"/>
  <c r="AA1507" i="1"/>
  <c r="Y1508" i="1"/>
  <c r="Z1508" i="1"/>
  <c r="AA1508" i="1"/>
  <c r="Y1509" i="1"/>
  <c r="Z1509" i="1"/>
  <c r="AA1509" i="1"/>
  <c r="Y1510" i="1"/>
  <c r="Z1510" i="1"/>
  <c r="AA1510" i="1"/>
  <c r="Y1511" i="1"/>
  <c r="Z1511" i="1"/>
  <c r="AA1511" i="1"/>
  <c r="Y1512" i="1"/>
  <c r="Z1512" i="1"/>
  <c r="AA1512" i="1"/>
  <c r="Y1513" i="1"/>
  <c r="Z1513" i="1"/>
  <c r="AA1513" i="1"/>
  <c r="Y1514" i="1"/>
  <c r="Z1514" i="1"/>
  <c r="AA1514" i="1"/>
  <c r="Y1515" i="1"/>
  <c r="Z1515" i="1"/>
  <c r="AA1515" i="1"/>
  <c r="Y1516" i="1"/>
  <c r="Z1516" i="1"/>
  <c r="AA1516" i="1"/>
  <c r="Y1517" i="1"/>
  <c r="Z1517" i="1"/>
  <c r="AA1517" i="1"/>
  <c r="Y1518" i="1"/>
  <c r="Z1518" i="1"/>
  <c r="AA1518" i="1"/>
  <c r="Y1519" i="1"/>
  <c r="Z1519" i="1"/>
  <c r="AA1519" i="1"/>
  <c r="Z20" i="1"/>
  <c r="AA20" i="1"/>
  <c r="Y20" i="1"/>
  <c r="AG19" i="1"/>
  <c r="AF19" i="1"/>
  <c r="AE19" i="1"/>
  <c r="X20" i="1" a="1"/>
  <c r="X20" i="1" s="1"/>
  <c r="W20" i="1" a="1"/>
  <c r="W20" i="1" s="1"/>
  <c r="V20" i="1" a="1"/>
  <c r="V20" i="1" s="1"/>
  <c r="W19" i="1"/>
  <c r="X19" i="1"/>
  <c r="V19" i="1"/>
  <c r="Z19" i="1"/>
  <c r="AA19" i="1"/>
  <c r="Y19" i="1"/>
  <c r="AG20" i="1" l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182" i="1" s="1"/>
  <c r="AG183" i="1" s="1"/>
  <c r="AG184" i="1" s="1"/>
  <c r="AG185" i="1" s="1"/>
  <c r="AG186" i="1" s="1"/>
  <c r="AG187" i="1" s="1"/>
  <c r="AG188" i="1" s="1"/>
  <c r="AG189" i="1" s="1"/>
  <c r="AG190" i="1" s="1"/>
  <c r="AG191" i="1" s="1"/>
  <c r="AG192" i="1" s="1"/>
  <c r="AG193" i="1" s="1"/>
  <c r="AG194" i="1" s="1"/>
  <c r="AG195" i="1" s="1"/>
  <c r="AG196" i="1" s="1"/>
  <c r="AG197" i="1" s="1"/>
  <c r="AG198" i="1" s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6" i="1" s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39" i="1" s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G257" i="1" s="1"/>
  <c r="AG258" i="1" s="1"/>
  <c r="AG259" i="1" s="1"/>
  <c r="AG260" i="1" s="1"/>
  <c r="AG261" i="1" s="1"/>
  <c r="AG262" i="1" s="1"/>
  <c r="AG263" i="1" s="1"/>
  <c r="AG264" i="1" s="1"/>
  <c r="AG265" i="1" s="1"/>
  <c r="AG266" i="1" s="1"/>
  <c r="AG267" i="1" s="1"/>
  <c r="AG268" i="1" s="1"/>
  <c r="AG269" i="1" s="1"/>
  <c r="AG270" i="1" s="1"/>
  <c r="AG271" i="1" s="1"/>
  <c r="AG272" i="1" s="1"/>
  <c r="AG273" i="1" s="1"/>
  <c r="AG274" i="1" s="1"/>
  <c r="AG275" i="1" s="1"/>
  <c r="AG276" i="1" s="1"/>
  <c r="AG277" i="1" s="1"/>
  <c r="AG278" i="1" s="1"/>
  <c r="AG279" i="1" s="1"/>
  <c r="AG280" i="1" s="1"/>
  <c r="AG281" i="1" s="1"/>
  <c r="AG282" i="1" s="1"/>
  <c r="AG283" i="1" s="1"/>
  <c r="AG284" i="1" s="1"/>
  <c r="AG285" i="1" s="1"/>
  <c r="AG286" i="1" s="1"/>
  <c r="AG287" i="1" s="1"/>
  <c r="AG288" i="1" s="1"/>
  <c r="AG289" i="1" s="1"/>
  <c r="AG290" i="1" s="1"/>
  <c r="AG291" i="1" s="1"/>
  <c r="AG292" i="1" s="1"/>
  <c r="AG293" i="1" s="1"/>
  <c r="AG294" i="1" s="1"/>
  <c r="AG295" i="1" s="1"/>
  <c r="AG296" i="1" s="1"/>
  <c r="AG297" i="1" s="1"/>
  <c r="AG298" i="1" s="1"/>
  <c r="AG299" i="1" s="1"/>
  <c r="AG300" i="1" s="1"/>
  <c r="AG301" i="1" s="1"/>
  <c r="AG302" i="1" s="1"/>
  <c r="AG303" i="1" s="1"/>
  <c r="AG304" i="1" s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6" i="1" s="1"/>
  <c r="AG317" i="1" s="1"/>
  <c r="AG318" i="1" s="1"/>
  <c r="AG319" i="1" s="1"/>
  <c r="AG320" i="1" s="1"/>
  <c r="AG321" i="1" s="1"/>
  <c r="AG322" i="1" s="1"/>
  <c r="AG323" i="1" s="1"/>
  <c r="AG324" i="1" s="1"/>
  <c r="AG325" i="1" s="1"/>
  <c r="AG326" i="1" s="1"/>
  <c r="AG327" i="1" s="1"/>
  <c r="AG328" i="1" s="1"/>
  <c r="AG329" i="1" s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6" i="1" s="1"/>
  <c r="AG347" i="1" s="1"/>
  <c r="AG348" i="1" s="1"/>
  <c r="AG349" i="1" s="1"/>
  <c r="AG350" i="1" s="1"/>
  <c r="AG351" i="1" s="1"/>
  <c r="AG352" i="1" s="1"/>
  <c r="AG353" i="1" s="1"/>
  <c r="AG354" i="1" s="1"/>
  <c r="AG355" i="1" s="1"/>
  <c r="AG356" i="1" s="1"/>
  <c r="AG357" i="1" s="1"/>
  <c r="AG358" i="1" s="1"/>
  <c r="AG359" i="1" s="1"/>
  <c r="AG360" i="1" s="1"/>
  <c r="AG361" i="1" s="1"/>
  <c r="AG362" i="1" s="1"/>
  <c r="AG363" i="1" s="1"/>
  <c r="AG364" i="1" s="1"/>
  <c r="AG365" i="1" s="1"/>
  <c r="AG366" i="1" s="1"/>
  <c r="AG367" i="1" s="1"/>
  <c r="AG368" i="1" s="1"/>
  <c r="AG369" i="1" s="1"/>
  <c r="AG370" i="1" s="1"/>
  <c r="AG371" i="1" s="1"/>
  <c r="AG372" i="1" s="1"/>
  <c r="AG373" i="1" s="1"/>
  <c r="AG374" i="1" s="1"/>
  <c r="AG375" i="1" s="1"/>
  <c r="AG376" i="1" s="1"/>
  <c r="AG377" i="1" s="1"/>
  <c r="AG378" i="1" s="1"/>
  <c r="AG379" i="1" s="1"/>
  <c r="AG380" i="1" s="1"/>
  <c r="AG381" i="1" s="1"/>
  <c r="AG382" i="1" s="1"/>
  <c r="AG383" i="1" s="1"/>
  <c r="AG384" i="1" s="1"/>
  <c r="AG385" i="1" s="1"/>
  <c r="AG386" i="1" s="1"/>
  <c r="AG387" i="1" s="1"/>
  <c r="AG388" i="1" s="1"/>
  <c r="AG389" i="1" s="1"/>
  <c r="AG390" i="1" s="1"/>
  <c r="AG391" i="1" s="1"/>
  <c r="AG392" i="1" s="1"/>
  <c r="AG393" i="1" s="1"/>
  <c r="AG394" i="1" s="1"/>
  <c r="AG395" i="1" s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6" i="1" s="1"/>
  <c r="AG407" i="1" s="1"/>
  <c r="AG408" i="1" s="1"/>
  <c r="AG409" i="1" s="1"/>
  <c r="AG410" i="1" s="1"/>
  <c r="AG411" i="1" s="1"/>
  <c r="AG412" i="1" s="1"/>
  <c r="AG413" i="1" s="1"/>
  <c r="AG414" i="1" s="1"/>
  <c r="AG415" i="1" s="1"/>
  <c r="AG416" i="1" s="1"/>
  <c r="AG417" i="1" s="1"/>
  <c r="AG418" i="1" s="1"/>
  <c r="AG419" i="1" s="1"/>
  <c r="AG420" i="1" s="1"/>
  <c r="AG421" i="1" s="1"/>
  <c r="AG422" i="1" s="1"/>
  <c r="AG423" i="1" s="1"/>
  <c r="AG424" i="1" s="1"/>
  <c r="AG425" i="1" s="1"/>
  <c r="AG426" i="1" s="1"/>
  <c r="AG427" i="1" s="1"/>
  <c r="AG428" i="1" s="1"/>
  <c r="AG429" i="1" s="1"/>
  <c r="AG430" i="1" s="1"/>
  <c r="AG431" i="1" s="1"/>
  <c r="AG432" i="1" s="1"/>
  <c r="AG433" i="1" s="1"/>
  <c r="AG434" i="1" s="1"/>
  <c r="AG435" i="1" s="1"/>
  <c r="AG436" i="1" s="1"/>
  <c r="AG437" i="1" s="1"/>
  <c r="AG438" i="1" s="1"/>
  <c r="AG439" i="1" s="1"/>
  <c r="AG440" i="1" s="1"/>
  <c r="AG441" i="1" s="1"/>
  <c r="AG442" i="1" s="1"/>
  <c r="AG443" i="1" s="1"/>
  <c r="AG444" i="1" s="1"/>
  <c r="AG445" i="1" s="1"/>
  <c r="AG446" i="1" s="1"/>
  <c r="AG447" i="1" s="1"/>
  <c r="AG448" i="1" s="1"/>
  <c r="AG449" i="1" s="1"/>
  <c r="AG450" i="1" s="1"/>
  <c r="AG451" i="1" s="1"/>
  <c r="AG452" i="1" s="1"/>
  <c r="AG453" i="1" s="1"/>
  <c r="AG454" i="1" s="1"/>
  <c r="AG455" i="1" s="1"/>
  <c r="AG456" i="1" s="1"/>
  <c r="AG457" i="1" s="1"/>
  <c r="AG458" i="1" s="1"/>
  <c r="AG459" i="1" s="1"/>
  <c r="AG460" i="1" s="1"/>
  <c r="AG461" i="1" s="1"/>
  <c r="AG462" i="1" s="1"/>
  <c r="AG463" i="1" s="1"/>
  <c r="AG464" i="1" s="1"/>
  <c r="AG465" i="1" s="1"/>
  <c r="AG466" i="1" s="1"/>
  <c r="AG467" i="1" s="1"/>
  <c r="AG468" i="1" s="1"/>
  <c r="AG469" i="1" s="1"/>
  <c r="AG470" i="1" s="1"/>
  <c r="AG471" i="1" s="1"/>
  <c r="AG472" i="1" s="1"/>
  <c r="AG473" i="1" s="1"/>
  <c r="AG474" i="1" s="1"/>
  <c r="AG475" i="1" s="1"/>
  <c r="AG476" i="1" s="1"/>
  <c r="AG477" i="1" s="1"/>
  <c r="AG478" i="1" s="1"/>
  <c r="AG479" i="1" s="1"/>
  <c r="AG480" i="1" s="1"/>
  <c r="AG481" i="1" s="1"/>
  <c r="AG482" i="1" s="1"/>
  <c r="AG483" i="1" s="1"/>
  <c r="AG484" i="1" s="1"/>
  <c r="AG485" i="1" s="1"/>
  <c r="AG486" i="1" s="1"/>
  <c r="AG487" i="1" s="1"/>
  <c r="AG488" i="1" s="1"/>
  <c r="AG489" i="1" s="1"/>
  <c r="AG490" i="1" s="1"/>
  <c r="AG491" i="1" s="1"/>
  <c r="AG492" i="1" s="1"/>
  <c r="AG493" i="1" s="1"/>
  <c r="AG494" i="1" s="1"/>
  <c r="AG495" i="1" s="1"/>
  <c r="AG496" i="1" s="1"/>
  <c r="AG497" i="1" s="1"/>
  <c r="AG498" i="1" s="1"/>
  <c r="AG499" i="1" s="1"/>
  <c r="AG500" i="1" s="1"/>
  <c r="AG501" i="1" s="1"/>
  <c r="AG502" i="1" s="1"/>
  <c r="AG503" i="1" s="1"/>
  <c r="AG504" i="1" s="1"/>
  <c r="AG505" i="1" s="1"/>
  <c r="AG506" i="1" s="1"/>
  <c r="AG507" i="1" s="1"/>
  <c r="AG508" i="1" s="1"/>
  <c r="AG509" i="1" s="1"/>
  <c r="AG510" i="1" s="1"/>
  <c r="AG511" i="1" s="1"/>
  <c r="AG512" i="1" s="1"/>
  <c r="AG513" i="1" s="1"/>
  <c r="AG514" i="1" s="1"/>
  <c r="AG515" i="1" s="1"/>
  <c r="AG516" i="1" s="1"/>
  <c r="AG517" i="1" s="1"/>
  <c r="AG518" i="1" s="1"/>
  <c r="AG519" i="1" s="1"/>
  <c r="AR19" i="1" s="1"/>
  <c r="AR31" i="1" s="1"/>
  <c r="AF20" i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Q19" i="1" s="1"/>
  <c r="AQ31" i="1" s="1"/>
  <c r="AE20" i="1"/>
  <c r="AE21" i="1" s="1"/>
  <c r="AE22" i="1" s="1"/>
  <c r="AE23" i="1" s="1"/>
  <c r="AE24" i="1" s="1"/>
  <c r="AP19" i="1" s="1"/>
  <c r="AP31" i="1" s="1"/>
  <c r="AF70" i="1" l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G520" i="1"/>
  <c r="AG521" i="1" s="1"/>
  <c r="AG522" i="1" s="1"/>
  <c r="AG523" i="1" s="1"/>
  <c r="AG524" i="1" s="1"/>
  <c r="AG525" i="1" s="1"/>
  <c r="AG526" i="1" s="1"/>
  <c r="AG527" i="1" s="1"/>
  <c r="AG528" i="1" s="1"/>
  <c r="AG529" i="1" s="1"/>
  <c r="AG530" i="1" s="1"/>
  <c r="AG531" i="1" s="1"/>
  <c r="AG532" i="1" s="1"/>
  <c r="AG533" i="1" s="1"/>
  <c r="AG534" i="1" s="1"/>
  <c r="AG535" i="1" s="1"/>
  <c r="AG536" i="1" s="1"/>
  <c r="AG537" i="1" s="1"/>
  <c r="AG538" i="1" s="1"/>
  <c r="AG539" i="1" s="1"/>
  <c r="AG540" i="1" s="1"/>
  <c r="AG541" i="1" s="1"/>
  <c r="AG542" i="1" s="1"/>
  <c r="AG543" i="1" s="1"/>
  <c r="AG544" i="1" s="1"/>
  <c r="AG545" i="1" s="1"/>
  <c r="AG546" i="1" s="1"/>
  <c r="AG547" i="1" s="1"/>
  <c r="AG548" i="1" s="1"/>
  <c r="AG549" i="1" s="1"/>
  <c r="AG550" i="1" s="1"/>
  <c r="AG551" i="1" s="1"/>
  <c r="AG552" i="1" s="1"/>
  <c r="AG553" i="1" s="1"/>
  <c r="AG554" i="1" s="1"/>
  <c r="AG555" i="1" s="1"/>
  <c r="AG556" i="1" s="1"/>
  <c r="AG557" i="1" s="1"/>
  <c r="AG558" i="1" s="1"/>
  <c r="AG559" i="1" s="1"/>
  <c r="AG560" i="1" s="1"/>
  <c r="AG561" i="1" s="1"/>
  <c r="AG562" i="1" s="1"/>
  <c r="AG563" i="1" s="1"/>
  <c r="AG564" i="1" s="1"/>
  <c r="AG565" i="1" s="1"/>
  <c r="AG566" i="1" s="1"/>
  <c r="AG567" i="1" s="1"/>
  <c r="AG568" i="1" s="1"/>
  <c r="AG569" i="1" s="1"/>
  <c r="AG570" i="1" s="1"/>
  <c r="AG571" i="1" s="1"/>
  <c r="AG572" i="1" s="1"/>
  <c r="AG573" i="1" s="1"/>
  <c r="AG574" i="1" s="1"/>
  <c r="AG575" i="1" s="1"/>
  <c r="AG576" i="1" s="1"/>
  <c r="AG577" i="1" s="1"/>
  <c r="AG578" i="1" s="1"/>
  <c r="AG579" i="1" s="1"/>
  <c r="AG580" i="1" s="1"/>
  <c r="AG581" i="1" s="1"/>
  <c r="AG582" i="1" s="1"/>
  <c r="AG583" i="1" s="1"/>
  <c r="AG584" i="1" s="1"/>
  <c r="AG585" i="1" s="1"/>
  <c r="AG586" i="1" s="1"/>
  <c r="AG587" i="1" s="1"/>
  <c r="AG588" i="1" s="1"/>
  <c r="AG589" i="1" s="1"/>
  <c r="AG590" i="1" s="1"/>
  <c r="AG591" i="1" s="1"/>
  <c r="AG592" i="1" s="1"/>
  <c r="AG593" i="1" s="1"/>
  <c r="AG594" i="1" s="1"/>
  <c r="AG595" i="1" s="1"/>
  <c r="AG596" i="1" s="1"/>
  <c r="AG597" i="1" s="1"/>
  <c r="AG598" i="1" s="1"/>
  <c r="AG599" i="1" s="1"/>
  <c r="AG600" i="1" s="1"/>
  <c r="AG601" i="1" s="1"/>
  <c r="AG602" i="1" s="1"/>
  <c r="AG603" i="1" s="1"/>
  <c r="AG604" i="1" s="1"/>
  <c r="AG605" i="1" s="1"/>
  <c r="AG606" i="1" s="1"/>
  <c r="AG607" i="1" s="1"/>
  <c r="AG608" i="1" s="1"/>
  <c r="AG609" i="1" s="1"/>
  <c r="AG610" i="1" s="1"/>
  <c r="AG611" i="1" s="1"/>
  <c r="AG612" i="1" s="1"/>
  <c r="AG613" i="1" s="1"/>
  <c r="AG614" i="1" s="1"/>
  <c r="AG615" i="1" s="1"/>
  <c r="AG616" i="1" s="1"/>
  <c r="AG617" i="1" s="1"/>
  <c r="AG618" i="1" s="1"/>
  <c r="AG619" i="1" s="1"/>
  <c r="AG620" i="1" s="1"/>
  <c r="AG621" i="1" s="1"/>
  <c r="AG622" i="1" s="1"/>
  <c r="AG623" i="1" s="1"/>
  <c r="AG624" i="1" s="1"/>
  <c r="AG625" i="1" s="1"/>
  <c r="AG626" i="1" s="1"/>
  <c r="AG627" i="1" s="1"/>
  <c r="AG628" i="1" s="1"/>
  <c r="AG629" i="1" s="1"/>
  <c r="AG630" i="1" s="1"/>
  <c r="AG631" i="1" s="1"/>
  <c r="AG632" i="1" s="1"/>
  <c r="AG633" i="1" s="1"/>
  <c r="AG634" i="1" s="1"/>
  <c r="AG635" i="1" s="1"/>
  <c r="AG636" i="1" s="1"/>
  <c r="AG637" i="1" s="1"/>
  <c r="AG638" i="1" s="1"/>
  <c r="AG639" i="1" s="1"/>
  <c r="AG640" i="1" s="1"/>
  <c r="AG641" i="1" s="1"/>
  <c r="AG642" i="1" s="1"/>
  <c r="AG643" i="1" s="1"/>
  <c r="AG644" i="1" s="1"/>
  <c r="AG645" i="1" s="1"/>
  <c r="AG646" i="1" s="1"/>
  <c r="AG647" i="1" s="1"/>
  <c r="AG648" i="1" s="1"/>
  <c r="AG649" i="1" s="1"/>
  <c r="AG650" i="1" s="1"/>
  <c r="AG651" i="1" s="1"/>
  <c r="AG652" i="1" s="1"/>
  <c r="AG653" i="1" s="1"/>
  <c r="AG654" i="1" s="1"/>
  <c r="AG655" i="1" s="1"/>
  <c r="AG656" i="1" s="1"/>
  <c r="AG657" i="1" s="1"/>
  <c r="AG658" i="1" s="1"/>
  <c r="AG659" i="1" s="1"/>
  <c r="AG660" i="1" s="1"/>
  <c r="AG661" i="1" s="1"/>
  <c r="AG662" i="1" s="1"/>
  <c r="AG663" i="1" s="1"/>
  <c r="AG664" i="1" s="1"/>
  <c r="AG665" i="1" s="1"/>
  <c r="AG666" i="1" s="1"/>
  <c r="AG667" i="1" s="1"/>
  <c r="AG668" i="1" s="1"/>
  <c r="AG669" i="1" s="1"/>
  <c r="AG670" i="1" s="1"/>
  <c r="AG671" i="1" s="1"/>
  <c r="AG672" i="1" s="1"/>
  <c r="AG673" i="1" s="1"/>
  <c r="AG674" i="1" s="1"/>
  <c r="AG675" i="1" s="1"/>
  <c r="AG676" i="1" s="1"/>
  <c r="AG677" i="1" s="1"/>
  <c r="AG678" i="1" s="1"/>
  <c r="AG679" i="1" s="1"/>
  <c r="AG680" i="1" s="1"/>
  <c r="AG681" i="1" s="1"/>
  <c r="AG682" i="1" s="1"/>
  <c r="AG683" i="1" s="1"/>
  <c r="AG684" i="1" s="1"/>
  <c r="AG685" i="1" s="1"/>
  <c r="AG686" i="1" s="1"/>
  <c r="AG687" i="1" s="1"/>
  <c r="AG688" i="1" s="1"/>
  <c r="AG689" i="1" s="1"/>
  <c r="AG690" i="1" s="1"/>
  <c r="AG691" i="1" s="1"/>
  <c r="AG692" i="1" s="1"/>
  <c r="AG693" i="1" s="1"/>
  <c r="AG694" i="1" s="1"/>
  <c r="AG695" i="1" s="1"/>
  <c r="AG696" i="1" s="1"/>
  <c r="AG697" i="1" s="1"/>
  <c r="AG698" i="1" s="1"/>
  <c r="AG699" i="1" s="1"/>
  <c r="AG700" i="1" s="1"/>
  <c r="AG701" i="1" s="1"/>
  <c r="AG702" i="1" s="1"/>
  <c r="AG703" i="1" s="1"/>
  <c r="AG704" i="1" s="1"/>
  <c r="AG705" i="1" s="1"/>
  <c r="AG706" i="1" s="1"/>
  <c r="AG707" i="1" s="1"/>
  <c r="AG708" i="1" s="1"/>
  <c r="AG709" i="1" s="1"/>
  <c r="AG710" i="1" s="1"/>
  <c r="AG711" i="1" s="1"/>
  <c r="AG712" i="1" s="1"/>
  <c r="AG713" i="1" s="1"/>
  <c r="AG714" i="1" s="1"/>
  <c r="AG715" i="1" s="1"/>
  <c r="AG716" i="1" s="1"/>
  <c r="AG717" i="1" s="1"/>
  <c r="AG718" i="1" s="1"/>
  <c r="AG719" i="1" s="1"/>
  <c r="AG720" i="1" s="1"/>
  <c r="AG721" i="1" s="1"/>
  <c r="AG722" i="1" s="1"/>
  <c r="AG723" i="1" s="1"/>
  <c r="AG724" i="1" s="1"/>
  <c r="AG725" i="1" s="1"/>
  <c r="AG726" i="1" s="1"/>
  <c r="AG727" i="1" s="1"/>
  <c r="AG728" i="1" s="1"/>
  <c r="AG729" i="1" s="1"/>
  <c r="AG730" i="1" s="1"/>
  <c r="AG731" i="1" s="1"/>
  <c r="AG732" i="1" s="1"/>
  <c r="AG733" i="1" s="1"/>
  <c r="AG734" i="1" s="1"/>
  <c r="AG735" i="1" s="1"/>
  <c r="AG736" i="1" s="1"/>
  <c r="AG737" i="1" s="1"/>
  <c r="AG738" i="1" s="1"/>
  <c r="AG739" i="1" s="1"/>
  <c r="AG740" i="1" s="1"/>
  <c r="AG741" i="1" s="1"/>
  <c r="AG742" i="1" s="1"/>
  <c r="AG743" i="1" s="1"/>
  <c r="AG744" i="1" s="1"/>
  <c r="AG745" i="1" s="1"/>
  <c r="AG746" i="1" s="1"/>
  <c r="AG747" i="1" s="1"/>
  <c r="AG748" i="1" s="1"/>
  <c r="AG749" i="1" s="1"/>
  <c r="AG750" i="1" s="1"/>
  <c r="AG751" i="1" s="1"/>
  <c r="AG752" i="1" s="1"/>
  <c r="AG753" i="1" s="1"/>
  <c r="AG754" i="1" s="1"/>
  <c r="AG755" i="1" s="1"/>
  <c r="AG756" i="1" s="1"/>
  <c r="AG757" i="1" s="1"/>
  <c r="AG758" i="1" s="1"/>
  <c r="AG759" i="1" s="1"/>
  <c r="AG760" i="1" s="1"/>
  <c r="AG761" i="1" s="1"/>
  <c r="AG762" i="1" s="1"/>
  <c r="AG763" i="1" s="1"/>
  <c r="AG764" i="1" s="1"/>
  <c r="AG765" i="1" s="1"/>
  <c r="AG766" i="1" s="1"/>
  <c r="AG767" i="1" s="1"/>
  <c r="AG768" i="1" s="1"/>
  <c r="AG769" i="1" s="1"/>
  <c r="AG770" i="1" s="1"/>
  <c r="AG771" i="1" s="1"/>
  <c r="AG772" i="1" s="1"/>
  <c r="AG773" i="1" s="1"/>
  <c r="AG774" i="1" s="1"/>
  <c r="AG775" i="1" s="1"/>
  <c r="AG776" i="1" s="1"/>
  <c r="AG777" i="1" s="1"/>
  <c r="AG778" i="1" s="1"/>
  <c r="AG779" i="1" s="1"/>
  <c r="AG780" i="1" s="1"/>
  <c r="AG781" i="1" s="1"/>
  <c r="AG782" i="1" s="1"/>
  <c r="AG783" i="1" s="1"/>
  <c r="AG784" i="1" s="1"/>
  <c r="AG785" i="1" s="1"/>
  <c r="AG786" i="1" s="1"/>
  <c r="AG787" i="1" s="1"/>
  <c r="AG788" i="1" s="1"/>
  <c r="AG789" i="1" s="1"/>
  <c r="AG790" i="1" s="1"/>
  <c r="AG791" i="1" s="1"/>
  <c r="AG792" i="1" s="1"/>
  <c r="AG793" i="1" s="1"/>
  <c r="AG794" i="1" s="1"/>
  <c r="AG795" i="1" s="1"/>
  <c r="AG796" i="1" s="1"/>
  <c r="AG797" i="1" s="1"/>
  <c r="AG798" i="1" s="1"/>
  <c r="AG799" i="1" s="1"/>
  <c r="AG800" i="1" s="1"/>
  <c r="AG801" i="1" s="1"/>
  <c r="AG802" i="1" s="1"/>
  <c r="AG803" i="1" s="1"/>
  <c r="AG804" i="1" s="1"/>
  <c r="AG805" i="1" s="1"/>
  <c r="AG806" i="1" s="1"/>
  <c r="AG807" i="1" s="1"/>
  <c r="AG808" i="1" s="1"/>
  <c r="AG809" i="1" s="1"/>
  <c r="AG810" i="1" s="1"/>
  <c r="AG811" i="1" s="1"/>
  <c r="AG812" i="1" s="1"/>
  <c r="AG813" i="1" s="1"/>
  <c r="AG814" i="1" s="1"/>
  <c r="AG815" i="1" s="1"/>
  <c r="AG816" i="1" s="1"/>
  <c r="AG817" i="1" s="1"/>
  <c r="AG818" i="1" s="1"/>
  <c r="AG819" i="1" s="1"/>
  <c r="AG820" i="1" s="1"/>
  <c r="AG821" i="1" s="1"/>
  <c r="AG822" i="1" s="1"/>
  <c r="AG823" i="1" s="1"/>
  <c r="AG824" i="1" s="1"/>
  <c r="AG825" i="1" s="1"/>
  <c r="AG826" i="1" s="1"/>
  <c r="AG827" i="1" s="1"/>
  <c r="AG828" i="1" s="1"/>
  <c r="AG829" i="1" s="1"/>
  <c r="AG830" i="1" s="1"/>
  <c r="AG831" i="1" s="1"/>
  <c r="AG832" i="1" s="1"/>
  <c r="AG833" i="1" s="1"/>
  <c r="AG834" i="1" s="1"/>
  <c r="AG835" i="1" s="1"/>
  <c r="AG836" i="1" s="1"/>
  <c r="AG837" i="1" s="1"/>
  <c r="AG838" i="1" s="1"/>
  <c r="AG839" i="1" s="1"/>
  <c r="AG840" i="1" s="1"/>
  <c r="AG841" i="1" s="1"/>
  <c r="AG842" i="1" s="1"/>
  <c r="AG843" i="1" s="1"/>
  <c r="AG844" i="1" s="1"/>
  <c r="AG845" i="1" s="1"/>
  <c r="AG846" i="1" s="1"/>
  <c r="AG847" i="1" s="1"/>
  <c r="AG848" i="1" s="1"/>
  <c r="AG849" i="1" s="1"/>
  <c r="AG850" i="1" s="1"/>
  <c r="AG851" i="1" s="1"/>
  <c r="AG852" i="1" s="1"/>
  <c r="AG853" i="1" s="1"/>
  <c r="AG854" i="1" s="1"/>
  <c r="AG855" i="1" s="1"/>
  <c r="AG856" i="1" s="1"/>
  <c r="AG857" i="1" s="1"/>
  <c r="AG858" i="1" s="1"/>
  <c r="AG859" i="1" s="1"/>
  <c r="AG860" i="1" s="1"/>
  <c r="AG861" i="1" s="1"/>
  <c r="AG862" i="1" s="1"/>
  <c r="AG863" i="1" s="1"/>
  <c r="AG864" i="1" s="1"/>
  <c r="AG865" i="1" s="1"/>
  <c r="AG866" i="1" s="1"/>
  <c r="AG867" i="1" s="1"/>
  <c r="AG868" i="1" s="1"/>
  <c r="AG869" i="1" s="1"/>
  <c r="AG870" i="1" s="1"/>
  <c r="AG871" i="1" s="1"/>
  <c r="AG872" i="1" s="1"/>
  <c r="AG873" i="1" s="1"/>
  <c r="AG874" i="1" s="1"/>
  <c r="AG875" i="1" s="1"/>
  <c r="AG876" i="1" s="1"/>
  <c r="AG877" i="1" s="1"/>
  <c r="AG878" i="1" s="1"/>
  <c r="AG879" i="1" s="1"/>
  <c r="AG880" i="1" s="1"/>
  <c r="AG881" i="1" s="1"/>
  <c r="AG882" i="1" s="1"/>
  <c r="AG883" i="1" s="1"/>
  <c r="AG884" i="1" s="1"/>
  <c r="AG885" i="1" s="1"/>
  <c r="AG886" i="1" s="1"/>
  <c r="AG887" i="1" s="1"/>
  <c r="AG888" i="1" s="1"/>
  <c r="AG889" i="1" s="1"/>
  <c r="AG890" i="1" s="1"/>
  <c r="AG891" i="1" s="1"/>
  <c r="AG892" i="1" s="1"/>
  <c r="AG893" i="1" s="1"/>
  <c r="AG894" i="1" s="1"/>
  <c r="AG895" i="1" s="1"/>
  <c r="AG896" i="1" s="1"/>
  <c r="AG897" i="1" s="1"/>
  <c r="AG898" i="1" s="1"/>
  <c r="AG899" i="1" s="1"/>
  <c r="AG900" i="1" s="1"/>
  <c r="AG901" i="1" s="1"/>
  <c r="AG902" i="1" s="1"/>
  <c r="AG903" i="1" s="1"/>
  <c r="AG904" i="1" s="1"/>
  <c r="AG905" i="1" s="1"/>
  <c r="AG906" i="1" s="1"/>
  <c r="AG907" i="1" s="1"/>
  <c r="AG908" i="1" s="1"/>
  <c r="AG909" i="1" s="1"/>
  <c r="AG910" i="1" s="1"/>
  <c r="AG911" i="1" s="1"/>
  <c r="AG912" i="1" s="1"/>
  <c r="AG913" i="1" s="1"/>
  <c r="AG914" i="1" s="1"/>
  <c r="AG915" i="1" s="1"/>
  <c r="AG916" i="1" s="1"/>
  <c r="AG917" i="1" s="1"/>
  <c r="AG918" i="1" s="1"/>
  <c r="AG919" i="1" s="1"/>
  <c r="AG920" i="1" s="1"/>
  <c r="AG921" i="1" s="1"/>
  <c r="AG922" i="1" s="1"/>
  <c r="AG923" i="1" s="1"/>
  <c r="AG924" i="1" s="1"/>
  <c r="AG925" i="1" s="1"/>
  <c r="AG926" i="1" s="1"/>
  <c r="AG927" i="1" s="1"/>
  <c r="AG928" i="1" s="1"/>
  <c r="AG929" i="1" s="1"/>
  <c r="AG930" i="1" s="1"/>
  <c r="AG931" i="1" s="1"/>
  <c r="AG932" i="1" s="1"/>
  <c r="AG933" i="1" s="1"/>
  <c r="AG934" i="1" s="1"/>
  <c r="AG935" i="1" s="1"/>
  <c r="AG936" i="1" s="1"/>
  <c r="AG937" i="1" s="1"/>
  <c r="AG938" i="1" s="1"/>
  <c r="AG939" i="1" s="1"/>
  <c r="AG940" i="1" s="1"/>
  <c r="AG941" i="1" s="1"/>
  <c r="AG942" i="1" s="1"/>
  <c r="AG943" i="1" s="1"/>
  <c r="AG944" i="1" s="1"/>
  <c r="AG945" i="1" s="1"/>
  <c r="AG946" i="1" s="1"/>
  <c r="AG947" i="1" s="1"/>
  <c r="AG948" i="1" s="1"/>
  <c r="AG949" i="1" s="1"/>
  <c r="AG950" i="1" s="1"/>
  <c r="AG951" i="1" s="1"/>
  <c r="AG952" i="1" s="1"/>
  <c r="AG953" i="1" s="1"/>
  <c r="AG954" i="1" s="1"/>
  <c r="AG955" i="1" s="1"/>
  <c r="AG956" i="1" s="1"/>
  <c r="AG957" i="1" s="1"/>
  <c r="AG958" i="1" s="1"/>
  <c r="AG959" i="1" s="1"/>
  <c r="AG960" i="1" s="1"/>
  <c r="AG961" i="1" s="1"/>
  <c r="AG962" i="1" s="1"/>
  <c r="AG963" i="1" s="1"/>
  <c r="AG964" i="1" s="1"/>
  <c r="AG965" i="1" s="1"/>
  <c r="AG966" i="1" s="1"/>
  <c r="AG967" i="1" s="1"/>
  <c r="AG968" i="1" s="1"/>
  <c r="AG969" i="1" s="1"/>
  <c r="AG970" i="1" s="1"/>
  <c r="AG971" i="1" s="1"/>
  <c r="AG972" i="1" s="1"/>
  <c r="AG973" i="1" s="1"/>
  <c r="AG974" i="1" s="1"/>
  <c r="AG975" i="1" s="1"/>
  <c r="AG976" i="1" s="1"/>
  <c r="AG977" i="1" s="1"/>
  <c r="AG978" i="1" s="1"/>
  <c r="AG979" i="1" s="1"/>
  <c r="AG980" i="1" s="1"/>
  <c r="AG981" i="1" s="1"/>
  <c r="AG982" i="1" s="1"/>
  <c r="AG983" i="1" s="1"/>
  <c r="AG984" i="1" s="1"/>
  <c r="AG985" i="1" s="1"/>
  <c r="AG986" i="1" s="1"/>
  <c r="AG987" i="1" s="1"/>
  <c r="AG988" i="1" s="1"/>
  <c r="AG989" i="1" s="1"/>
  <c r="AG990" i="1" s="1"/>
  <c r="AG991" i="1" s="1"/>
  <c r="AG992" i="1" s="1"/>
  <c r="AG993" i="1" s="1"/>
  <c r="AG994" i="1" s="1"/>
  <c r="AG995" i="1" s="1"/>
  <c r="AG996" i="1" s="1"/>
  <c r="AG997" i="1" s="1"/>
  <c r="AG998" i="1" s="1"/>
  <c r="AG999" i="1" s="1"/>
  <c r="AG1000" i="1" s="1"/>
  <c r="AG1001" i="1" s="1"/>
  <c r="AG1002" i="1" s="1"/>
  <c r="AG1003" i="1" s="1"/>
  <c r="AG1004" i="1" s="1"/>
  <c r="AG1005" i="1" s="1"/>
  <c r="AG1006" i="1" s="1"/>
  <c r="AG1007" i="1" s="1"/>
  <c r="AG1008" i="1" s="1"/>
  <c r="AG1009" i="1" s="1"/>
  <c r="AG1010" i="1" s="1"/>
  <c r="AG1011" i="1" s="1"/>
  <c r="AG1012" i="1" s="1"/>
  <c r="AG1013" i="1" s="1"/>
  <c r="AG1014" i="1" s="1"/>
  <c r="AG1015" i="1" s="1"/>
  <c r="AG1016" i="1" s="1"/>
  <c r="AG1017" i="1" s="1"/>
  <c r="AG1018" i="1" s="1"/>
  <c r="AG1019" i="1" s="1"/>
  <c r="AE25" i="1"/>
  <c r="AE26" i="1" s="1"/>
  <c r="AE27" i="1" s="1"/>
  <c r="AE28" i="1" s="1"/>
  <c r="AE29" i="1" s="1"/>
  <c r="AF120" i="1" l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Q21" i="1" s="1"/>
  <c r="AQ33" i="1" s="1"/>
  <c r="AQ20" i="1"/>
  <c r="AQ32" i="1" s="1"/>
  <c r="AG1020" i="1"/>
  <c r="AG1021" i="1" s="1"/>
  <c r="AG1022" i="1" s="1"/>
  <c r="AG1023" i="1" s="1"/>
  <c r="AG1024" i="1" s="1"/>
  <c r="AG1025" i="1" s="1"/>
  <c r="AG1026" i="1" s="1"/>
  <c r="AG1027" i="1" s="1"/>
  <c r="AG1028" i="1" s="1"/>
  <c r="AG1029" i="1" s="1"/>
  <c r="AG1030" i="1" s="1"/>
  <c r="AG1031" i="1" s="1"/>
  <c r="AG1032" i="1" s="1"/>
  <c r="AG1033" i="1" s="1"/>
  <c r="AG1034" i="1" s="1"/>
  <c r="AG1035" i="1" s="1"/>
  <c r="AG1036" i="1" s="1"/>
  <c r="AG1037" i="1" s="1"/>
  <c r="AG1038" i="1" s="1"/>
  <c r="AG1039" i="1" s="1"/>
  <c r="AG1040" i="1" s="1"/>
  <c r="AG1041" i="1" s="1"/>
  <c r="AG1042" i="1" s="1"/>
  <c r="AG1043" i="1" s="1"/>
  <c r="AG1044" i="1" s="1"/>
  <c r="AG1045" i="1" s="1"/>
  <c r="AG1046" i="1" s="1"/>
  <c r="AG1047" i="1" s="1"/>
  <c r="AG1048" i="1" s="1"/>
  <c r="AG1049" i="1" s="1"/>
  <c r="AG1050" i="1" s="1"/>
  <c r="AG1051" i="1" s="1"/>
  <c r="AG1052" i="1" s="1"/>
  <c r="AG1053" i="1" s="1"/>
  <c r="AG1054" i="1" s="1"/>
  <c r="AG1055" i="1" s="1"/>
  <c r="AG1056" i="1" s="1"/>
  <c r="AG1057" i="1" s="1"/>
  <c r="AG1058" i="1" s="1"/>
  <c r="AG1059" i="1" s="1"/>
  <c r="AG1060" i="1" s="1"/>
  <c r="AG1061" i="1" s="1"/>
  <c r="AG1062" i="1" s="1"/>
  <c r="AG1063" i="1" s="1"/>
  <c r="AG1064" i="1" s="1"/>
  <c r="AG1065" i="1" s="1"/>
  <c r="AG1066" i="1" s="1"/>
  <c r="AG1067" i="1" s="1"/>
  <c r="AG1068" i="1" s="1"/>
  <c r="AG1069" i="1" s="1"/>
  <c r="AG1070" i="1" s="1"/>
  <c r="AG1071" i="1" s="1"/>
  <c r="AG1072" i="1" s="1"/>
  <c r="AG1073" i="1" s="1"/>
  <c r="AG1074" i="1" s="1"/>
  <c r="AG1075" i="1" s="1"/>
  <c r="AG1076" i="1" s="1"/>
  <c r="AG1077" i="1" s="1"/>
  <c r="AG1078" i="1" s="1"/>
  <c r="AG1079" i="1" s="1"/>
  <c r="AG1080" i="1" s="1"/>
  <c r="AG1081" i="1" s="1"/>
  <c r="AG1082" i="1" s="1"/>
  <c r="AG1083" i="1" s="1"/>
  <c r="AG1084" i="1" s="1"/>
  <c r="AG1085" i="1" s="1"/>
  <c r="AG1086" i="1" s="1"/>
  <c r="AG1087" i="1" s="1"/>
  <c r="AG1088" i="1" s="1"/>
  <c r="AG1089" i="1" s="1"/>
  <c r="AG1090" i="1" s="1"/>
  <c r="AG1091" i="1" s="1"/>
  <c r="AG1092" i="1" s="1"/>
  <c r="AG1093" i="1" s="1"/>
  <c r="AG1094" i="1" s="1"/>
  <c r="AG1095" i="1" s="1"/>
  <c r="AG1096" i="1" s="1"/>
  <c r="AG1097" i="1" s="1"/>
  <c r="AG1098" i="1" s="1"/>
  <c r="AG1099" i="1" s="1"/>
  <c r="AG1100" i="1" s="1"/>
  <c r="AG1101" i="1" s="1"/>
  <c r="AG1102" i="1" s="1"/>
  <c r="AG1103" i="1" s="1"/>
  <c r="AG1104" i="1" s="1"/>
  <c r="AG1105" i="1" s="1"/>
  <c r="AG1106" i="1" s="1"/>
  <c r="AG1107" i="1" s="1"/>
  <c r="AG1108" i="1" s="1"/>
  <c r="AG1109" i="1" s="1"/>
  <c r="AG1110" i="1" s="1"/>
  <c r="AG1111" i="1" s="1"/>
  <c r="AG1112" i="1" s="1"/>
  <c r="AG1113" i="1" s="1"/>
  <c r="AG1114" i="1" s="1"/>
  <c r="AG1115" i="1" s="1"/>
  <c r="AG1116" i="1" s="1"/>
  <c r="AG1117" i="1" s="1"/>
  <c r="AG1118" i="1" s="1"/>
  <c r="AG1119" i="1" s="1"/>
  <c r="AG1120" i="1" s="1"/>
  <c r="AG1121" i="1" s="1"/>
  <c r="AG1122" i="1" s="1"/>
  <c r="AG1123" i="1" s="1"/>
  <c r="AG1124" i="1" s="1"/>
  <c r="AG1125" i="1" s="1"/>
  <c r="AG1126" i="1" s="1"/>
  <c r="AG1127" i="1" s="1"/>
  <c r="AG1128" i="1" s="1"/>
  <c r="AG1129" i="1" s="1"/>
  <c r="AG1130" i="1" s="1"/>
  <c r="AG1131" i="1" s="1"/>
  <c r="AG1132" i="1" s="1"/>
  <c r="AG1133" i="1" s="1"/>
  <c r="AG1134" i="1" s="1"/>
  <c r="AG1135" i="1" s="1"/>
  <c r="AG1136" i="1" s="1"/>
  <c r="AG1137" i="1" s="1"/>
  <c r="AG1138" i="1" s="1"/>
  <c r="AG1139" i="1" s="1"/>
  <c r="AG1140" i="1" s="1"/>
  <c r="AG1141" i="1" s="1"/>
  <c r="AG1142" i="1" s="1"/>
  <c r="AG1143" i="1" s="1"/>
  <c r="AG1144" i="1" s="1"/>
  <c r="AG1145" i="1" s="1"/>
  <c r="AG1146" i="1" s="1"/>
  <c r="AG1147" i="1" s="1"/>
  <c r="AG1148" i="1" s="1"/>
  <c r="AG1149" i="1" s="1"/>
  <c r="AG1150" i="1" s="1"/>
  <c r="AG1151" i="1" s="1"/>
  <c r="AG1152" i="1" s="1"/>
  <c r="AG1153" i="1" s="1"/>
  <c r="AG1154" i="1" s="1"/>
  <c r="AG1155" i="1" s="1"/>
  <c r="AG1156" i="1" s="1"/>
  <c r="AG1157" i="1" s="1"/>
  <c r="AG1158" i="1" s="1"/>
  <c r="AG1159" i="1" s="1"/>
  <c r="AG1160" i="1" s="1"/>
  <c r="AG1161" i="1" s="1"/>
  <c r="AG1162" i="1" s="1"/>
  <c r="AG1163" i="1" s="1"/>
  <c r="AG1164" i="1" s="1"/>
  <c r="AG1165" i="1" s="1"/>
  <c r="AG1166" i="1" s="1"/>
  <c r="AG1167" i="1" s="1"/>
  <c r="AG1168" i="1" s="1"/>
  <c r="AG1169" i="1" s="1"/>
  <c r="AG1170" i="1" s="1"/>
  <c r="AG1171" i="1" s="1"/>
  <c r="AG1172" i="1" s="1"/>
  <c r="AG1173" i="1" s="1"/>
  <c r="AG1174" i="1" s="1"/>
  <c r="AG1175" i="1" s="1"/>
  <c r="AG1176" i="1" s="1"/>
  <c r="AG1177" i="1" s="1"/>
  <c r="AG1178" i="1" s="1"/>
  <c r="AG1179" i="1" s="1"/>
  <c r="AG1180" i="1" s="1"/>
  <c r="AG1181" i="1" s="1"/>
  <c r="AG1182" i="1" s="1"/>
  <c r="AG1183" i="1" s="1"/>
  <c r="AG1184" i="1" s="1"/>
  <c r="AG1185" i="1" s="1"/>
  <c r="AG1186" i="1" s="1"/>
  <c r="AG1187" i="1" s="1"/>
  <c r="AG1188" i="1" s="1"/>
  <c r="AG1189" i="1" s="1"/>
  <c r="AG1190" i="1" s="1"/>
  <c r="AG1191" i="1" s="1"/>
  <c r="AG1192" i="1" s="1"/>
  <c r="AG1193" i="1" s="1"/>
  <c r="AG1194" i="1" s="1"/>
  <c r="AG1195" i="1" s="1"/>
  <c r="AG1196" i="1" s="1"/>
  <c r="AG1197" i="1" s="1"/>
  <c r="AG1198" i="1" s="1"/>
  <c r="AG1199" i="1" s="1"/>
  <c r="AG1200" i="1" s="1"/>
  <c r="AG1201" i="1" s="1"/>
  <c r="AG1202" i="1" s="1"/>
  <c r="AG1203" i="1" s="1"/>
  <c r="AG1204" i="1" s="1"/>
  <c r="AG1205" i="1" s="1"/>
  <c r="AG1206" i="1" s="1"/>
  <c r="AG1207" i="1" s="1"/>
  <c r="AG1208" i="1" s="1"/>
  <c r="AG1209" i="1" s="1"/>
  <c r="AG1210" i="1" s="1"/>
  <c r="AG1211" i="1" s="1"/>
  <c r="AG1212" i="1" s="1"/>
  <c r="AG1213" i="1" s="1"/>
  <c r="AG1214" i="1" s="1"/>
  <c r="AG1215" i="1" s="1"/>
  <c r="AG1216" i="1" s="1"/>
  <c r="AG1217" i="1" s="1"/>
  <c r="AG1218" i="1" s="1"/>
  <c r="AG1219" i="1" s="1"/>
  <c r="AG1220" i="1" s="1"/>
  <c r="AG1221" i="1" s="1"/>
  <c r="AG1222" i="1" s="1"/>
  <c r="AG1223" i="1" s="1"/>
  <c r="AG1224" i="1" s="1"/>
  <c r="AG1225" i="1" s="1"/>
  <c r="AG1226" i="1" s="1"/>
  <c r="AG1227" i="1" s="1"/>
  <c r="AG1228" i="1" s="1"/>
  <c r="AG1229" i="1" s="1"/>
  <c r="AG1230" i="1" s="1"/>
  <c r="AG1231" i="1" s="1"/>
  <c r="AG1232" i="1" s="1"/>
  <c r="AG1233" i="1" s="1"/>
  <c r="AG1234" i="1" s="1"/>
  <c r="AG1235" i="1" s="1"/>
  <c r="AG1236" i="1" s="1"/>
  <c r="AG1237" i="1" s="1"/>
  <c r="AG1238" i="1" s="1"/>
  <c r="AG1239" i="1" s="1"/>
  <c r="AG1240" i="1" s="1"/>
  <c r="AG1241" i="1" s="1"/>
  <c r="AG1242" i="1" s="1"/>
  <c r="AG1243" i="1" s="1"/>
  <c r="AG1244" i="1" s="1"/>
  <c r="AG1245" i="1" s="1"/>
  <c r="AG1246" i="1" s="1"/>
  <c r="AG1247" i="1" s="1"/>
  <c r="AG1248" i="1" s="1"/>
  <c r="AG1249" i="1" s="1"/>
  <c r="AG1250" i="1" s="1"/>
  <c r="AG1251" i="1" s="1"/>
  <c r="AG1252" i="1" s="1"/>
  <c r="AG1253" i="1" s="1"/>
  <c r="AG1254" i="1" s="1"/>
  <c r="AG1255" i="1" s="1"/>
  <c r="AG1256" i="1" s="1"/>
  <c r="AG1257" i="1" s="1"/>
  <c r="AG1258" i="1" s="1"/>
  <c r="AG1259" i="1" s="1"/>
  <c r="AG1260" i="1" s="1"/>
  <c r="AG1261" i="1" s="1"/>
  <c r="AG1262" i="1" s="1"/>
  <c r="AG1263" i="1" s="1"/>
  <c r="AG1264" i="1" s="1"/>
  <c r="AG1265" i="1" s="1"/>
  <c r="AG1266" i="1" s="1"/>
  <c r="AG1267" i="1" s="1"/>
  <c r="AG1268" i="1" s="1"/>
  <c r="AG1269" i="1" s="1"/>
  <c r="AG1270" i="1" s="1"/>
  <c r="AG1271" i="1" s="1"/>
  <c r="AG1272" i="1" s="1"/>
  <c r="AG1273" i="1" s="1"/>
  <c r="AG1274" i="1" s="1"/>
  <c r="AG1275" i="1" s="1"/>
  <c r="AG1276" i="1" s="1"/>
  <c r="AG1277" i="1" s="1"/>
  <c r="AG1278" i="1" s="1"/>
  <c r="AG1279" i="1" s="1"/>
  <c r="AG1280" i="1" s="1"/>
  <c r="AG1281" i="1" s="1"/>
  <c r="AG1282" i="1" s="1"/>
  <c r="AG1283" i="1" s="1"/>
  <c r="AG1284" i="1" s="1"/>
  <c r="AG1285" i="1" s="1"/>
  <c r="AG1286" i="1" s="1"/>
  <c r="AG1287" i="1" s="1"/>
  <c r="AG1288" i="1" s="1"/>
  <c r="AG1289" i="1" s="1"/>
  <c r="AG1290" i="1" s="1"/>
  <c r="AG1291" i="1" s="1"/>
  <c r="AG1292" i="1" s="1"/>
  <c r="AG1293" i="1" s="1"/>
  <c r="AG1294" i="1" s="1"/>
  <c r="AG1295" i="1" s="1"/>
  <c r="AG1296" i="1" s="1"/>
  <c r="AG1297" i="1" s="1"/>
  <c r="AG1298" i="1" s="1"/>
  <c r="AG1299" i="1" s="1"/>
  <c r="AG1300" i="1" s="1"/>
  <c r="AG1301" i="1" s="1"/>
  <c r="AG1302" i="1" s="1"/>
  <c r="AG1303" i="1" s="1"/>
  <c r="AG1304" i="1" s="1"/>
  <c r="AG1305" i="1" s="1"/>
  <c r="AG1306" i="1" s="1"/>
  <c r="AG1307" i="1" s="1"/>
  <c r="AG1308" i="1" s="1"/>
  <c r="AG1309" i="1" s="1"/>
  <c r="AG1310" i="1" s="1"/>
  <c r="AG1311" i="1" s="1"/>
  <c r="AG1312" i="1" s="1"/>
  <c r="AG1313" i="1" s="1"/>
  <c r="AG1314" i="1" s="1"/>
  <c r="AG1315" i="1" s="1"/>
  <c r="AG1316" i="1" s="1"/>
  <c r="AG1317" i="1" s="1"/>
  <c r="AG1318" i="1" s="1"/>
  <c r="AG1319" i="1" s="1"/>
  <c r="AG1320" i="1" s="1"/>
  <c r="AG1321" i="1" s="1"/>
  <c r="AG1322" i="1" s="1"/>
  <c r="AG1323" i="1" s="1"/>
  <c r="AG1324" i="1" s="1"/>
  <c r="AG1325" i="1" s="1"/>
  <c r="AG1326" i="1" s="1"/>
  <c r="AG1327" i="1" s="1"/>
  <c r="AG1328" i="1" s="1"/>
  <c r="AG1329" i="1" s="1"/>
  <c r="AG1330" i="1" s="1"/>
  <c r="AG1331" i="1" s="1"/>
  <c r="AG1332" i="1" s="1"/>
  <c r="AG1333" i="1" s="1"/>
  <c r="AG1334" i="1" s="1"/>
  <c r="AG1335" i="1" s="1"/>
  <c r="AG1336" i="1" s="1"/>
  <c r="AG1337" i="1" s="1"/>
  <c r="AG1338" i="1" s="1"/>
  <c r="AG1339" i="1" s="1"/>
  <c r="AG1340" i="1" s="1"/>
  <c r="AG1341" i="1" s="1"/>
  <c r="AG1342" i="1" s="1"/>
  <c r="AG1343" i="1" s="1"/>
  <c r="AG1344" i="1" s="1"/>
  <c r="AG1345" i="1" s="1"/>
  <c r="AG1346" i="1" s="1"/>
  <c r="AG1347" i="1" s="1"/>
  <c r="AG1348" i="1" s="1"/>
  <c r="AG1349" i="1" s="1"/>
  <c r="AG1350" i="1" s="1"/>
  <c r="AG1351" i="1" s="1"/>
  <c r="AG1352" i="1" s="1"/>
  <c r="AG1353" i="1" s="1"/>
  <c r="AG1354" i="1" s="1"/>
  <c r="AG1355" i="1" s="1"/>
  <c r="AG1356" i="1" s="1"/>
  <c r="AG1357" i="1" s="1"/>
  <c r="AG1358" i="1" s="1"/>
  <c r="AG1359" i="1" s="1"/>
  <c r="AG1360" i="1" s="1"/>
  <c r="AG1361" i="1" s="1"/>
  <c r="AG1362" i="1" s="1"/>
  <c r="AG1363" i="1" s="1"/>
  <c r="AG1364" i="1" s="1"/>
  <c r="AG1365" i="1" s="1"/>
  <c r="AG1366" i="1" s="1"/>
  <c r="AG1367" i="1" s="1"/>
  <c r="AG1368" i="1" s="1"/>
  <c r="AG1369" i="1" s="1"/>
  <c r="AG1370" i="1" s="1"/>
  <c r="AG1371" i="1" s="1"/>
  <c r="AG1372" i="1" s="1"/>
  <c r="AG1373" i="1" s="1"/>
  <c r="AG1374" i="1" s="1"/>
  <c r="AG1375" i="1" s="1"/>
  <c r="AG1376" i="1" s="1"/>
  <c r="AG1377" i="1" s="1"/>
  <c r="AG1378" i="1" s="1"/>
  <c r="AG1379" i="1" s="1"/>
  <c r="AG1380" i="1" s="1"/>
  <c r="AG1381" i="1" s="1"/>
  <c r="AG1382" i="1" s="1"/>
  <c r="AG1383" i="1" s="1"/>
  <c r="AG1384" i="1" s="1"/>
  <c r="AG1385" i="1" s="1"/>
  <c r="AG1386" i="1" s="1"/>
  <c r="AG1387" i="1" s="1"/>
  <c r="AG1388" i="1" s="1"/>
  <c r="AG1389" i="1" s="1"/>
  <c r="AG1390" i="1" s="1"/>
  <c r="AG1391" i="1" s="1"/>
  <c r="AG1392" i="1" s="1"/>
  <c r="AG1393" i="1" s="1"/>
  <c r="AG1394" i="1" s="1"/>
  <c r="AG1395" i="1" s="1"/>
  <c r="AG1396" i="1" s="1"/>
  <c r="AG1397" i="1" s="1"/>
  <c r="AG1398" i="1" s="1"/>
  <c r="AG1399" i="1" s="1"/>
  <c r="AG1400" i="1" s="1"/>
  <c r="AG1401" i="1" s="1"/>
  <c r="AG1402" i="1" s="1"/>
  <c r="AG1403" i="1" s="1"/>
  <c r="AG1404" i="1" s="1"/>
  <c r="AG1405" i="1" s="1"/>
  <c r="AG1406" i="1" s="1"/>
  <c r="AG1407" i="1" s="1"/>
  <c r="AG1408" i="1" s="1"/>
  <c r="AG1409" i="1" s="1"/>
  <c r="AG1410" i="1" s="1"/>
  <c r="AG1411" i="1" s="1"/>
  <c r="AG1412" i="1" s="1"/>
  <c r="AG1413" i="1" s="1"/>
  <c r="AG1414" i="1" s="1"/>
  <c r="AG1415" i="1" s="1"/>
  <c r="AG1416" i="1" s="1"/>
  <c r="AG1417" i="1" s="1"/>
  <c r="AG1418" i="1" s="1"/>
  <c r="AG1419" i="1" s="1"/>
  <c r="AG1420" i="1" s="1"/>
  <c r="AG1421" i="1" s="1"/>
  <c r="AG1422" i="1" s="1"/>
  <c r="AG1423" i="1" s="1"/>
  <c r="AG1424" i="1" s="1"/>
  <c r="AG1425" i="1" s="1"/>
  <c r="AG1426" i="1" s="1"/>
  <c r="AG1427" i="1" s="1"/>
  <c r="AG1428" i="1" s="1"/>
  <c r="AG1429" i="1" s="1"/>
  <c r="AG1430" i="1" s="1"/>
  <c r="AG1431" i="1" s="1"/>
  <c r="AG1432" i="1" s="1"/>
  <c r="AG1433" i="1" s="1"/>
  <c r="AG1434" i="1" s="1"/>
  <c r="AG1435" i="1" s="1"/>
  <c r="AG1436" i="1" s="1"/>
  <c r="AG1437" i="1" s="1"/>
  <c r="AG1438" i="1" s="1"/>
  <c r="AG1439" i="1" s="1"/>
  <c r="AG1440" i="1" s="1"/>
  <c r="AG1441" i="1" s="1"/>
  <c r="AG1442" i="1" s="1"/>
  <c r="AG1443" i="1" s="1"/>
  <c r="AG1444" i="1" s="1"/>
  <c r="AG1445" i="1" s="1"/>
  <c r="AG1446" i="1" s="1"/>
  <c r="AG1447" i="1" s="1"/>
  <c r="AG1448" i="1" s="1"/>
  <c r="AG1449" i="1" s="1"/>
  <c r="AG1450" i="1" s="1"/>
  <c r="AG1451" i="1" s="1"/>
  <c r="AG1452" i="1" s="1"/>
  <c r="AG1453" i="1" s="1"/>
  <c r="AG1454" i="1" s="1"/>
  <c r="AG1455" i="1" s="1"/>
  <c r="AG1456" i="1" s="1"/>
  <c r="AG1457" i="1" s="1"/>
  <c r="AG1458" i="1" s="1"/>
  <c r="AG1459" i="1" s="1"/>
  <c r="AG1460" i="1" s="1"/>
  <c r="AG1461" i="1" s="1"/>
  <c r="AG1462" i="1" s="1"/>
  <c r="AG1463" i="1" s="1"/>
  <c r="AG1464" i="1" s="1"/>
  <c r="AG1465" i="1" s="1"/>
  <c r="AG1466" i="1" s="1"/>
  <c r="AG1467" i="1" s="1"/>
  <c r="AG1468" i="1" s="1"/>
  <c r="AG1469" i="1" s="1"/>
  <c r="AG1470" i="1" s="1"/>
  <c r="AG1471" i="1" s="1"/>
  <c r="AG1472" i="1" s="1"/>
  <c r="AG1473" i="1" s="1"/>
  <c r="AG1474" i="1" s="1"/>
  <c r="AG1475" i="1" s="1"/>
  <c r="AG1476" i="1" s="1"/>
  <c r="AG1477" i="1" s="1"/>
  <c r="AG1478" i="1" s="1"/>
  <c r="AG1479" i="1" s="1"/>
  <c r="AG1480" i="1" s="1"/>
  <c r="AG1481" i="1" s="1"/>
  <c r="AG1482" i="1" s="1"/>
  <c r="AG1483" i="1" s="1"/>
  <c r="AG1484" i="1" s="1"/>
  <c r="AG1485" i="1" s="1"/>
  <c r="AG1486" i="1" s="1"/>
  <c r="AG1487" i="1" s="1"/>
  <c r="AG1488" i="1" s="1"/>
  <c r="AG1489" i="1" s="1"/>
  <c r="AG1490" i="1" s="1"/>
  <c r="AG1491" i="1" s="1"/>
  <c r="AG1492" i="1" s="1"/>
  <c r="AG1493" i="1" s="1"/>
  <c r="AG1494" i="1" s="1"/>
  <c r="AG1495" i="1" s="1"/>
  <c r="AG1496" i="1" s="1"/>
  <c r="AG1497" i="1" s="1"/>
  <c r="AG1498" i="1" s="1"/>
  <c r="AG1499" i="1" s="1"/>
  <c r="AG1500" i="1" s="1"/>
  <c r="AG1501" i="1" s="1"/>
  <c r="AG1502" i="1" s="1"/>
  <c r="AG1503" i="1" s="1"/>
  <c r="AG1504" i="1" s="1"/>
  <c r="AG1505" i="1" s="1"/>
  <c r="AG1506" i="1" s="1"/>
  <c r="AG1507" i="1" s="1"/>
  <c r="AG1508" i="1" s="1"/>
  <c r="AG1509" i="1" s="1"/>
  <c r="AG1510" i="1" s="1"/>
  <c r="AG1511" i="1" s="1"/>
  <c r="AG1512" i="1" s="1"/>
  <c r="AG1513" i="1" s="1"/>
  <c r="AG1514" i="1" s="1"/>
  <c r="AG1515" i="1" s="1"/>
  <c r="AG1516" i="1" s="1"/>
  <c r="AG1517" i="1" s="1"/>
  <c r="AG1518" i="1" s="1"/>
  <c r="AG1519" i="1" s="1"/>
  <c r="AR21" i="1" s="1"/>
  <c r="AR33" i="1" s="1"/>
  <c r="AR20" i="1"/>
  <c r="AR32" i="1" s="1"/>
  <c r="AE30" i="1"/>
  <c r="AE31" i="1" s="1"/>
  <c r="AE32" i="1" s="1"/>
  <c r="AE33" i="1" s="1"/>
  <c r="AE34" i="1" s="1"/>
  <c r="AP21" i="1" s="1"/>
  <c r="AP33" i="1" s="1"/>
  <c r="AP20" i="1"/>
  <c r="AP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Gwee Wen Hong</author>
  </authors>
  <commentList>
    <comment ref="AQ41" authorId="0" shapeId="0" xr:uid="{2E2D1520-BD9A-4BF6-BE27-8B5DC54F224C}">
      <text>
        <r>
          <rPr>
            <b/>
            <sz val="9"/>
            <color indexed="81"/>
            <rFont val="Tahoma"/>
            <family val="2"/>
          </rPr>
          <t>Marcus Gwee Wen Hong:</t>
        </r>
        <r>
          <rPr>
            <sz val="9"/>
            <color indexed="81"/>
            <rFont val="Tahoma"/>
            <family val="2"/>
          </rPr>
          <t xml:space="preserve">
Goalseek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<sst xmlns="http://schemas.openxmlformats.org/spreadsheetml/2006/main" count="55" uniqueCount="42">
  <si>
    <t>Force of Mortality, ages 17-120, from the AM92 ultimate  and AF92 ultimate mortality tables</t>
  </si>
  <si>
    <t xml:space="preserve">1 Year Intervals </t>
  </si>
  <si>
    <t>0.1 Year Intervals</t>
  </si>
  <si>
    <t>0.01 Year Intervals</t>
  </si>
  <si>
    <t>Age</t>
  </si>
  <si>
    <t>AM92</t>
  </si>
  <si>
    <t>AF92</t>
  </si>
  <si>
    <t>t1</t>
  </si>
  <si>
    <t>t2</t>
  </si>
  <si>
    <t>t3</t>
  </si>
  <si>
    <t>x+t1</t>
  </si>
  <si>
    <t>x+t2</t>
  </si>
  <si>
    <t>x+t3</t>
  </si>
  <si>
    <t>mew_x+t1</t>
  </si>
  <si>
    <t>mew_x+t2</t>
  </si>
  <si>
    <t>mew_x+t3</t>
  </si>
  <si>
    <t>t1 px</t>
  </si>
  <si>
    <t>t2 px</t>
  </si>
  <si>
    <t>t3 px</t>
  </si>
  <si>
    <t>Step_sizes</t>
  </si>
  <si>
    <t xml:space="preserve">Results: </t>
  </si>
  <si>
    <t>t</t>
  </si>
  <si>
    <t>px (h=1)</t>
  </si>
  <si>
    <t>px (h=0.1)</t>
  </si>
  <si>
    <t>px(h=0.01)</t>
  </si>
  <si>
    <t xml:space="preserve">Actual: </t>
  </si>
  <si>
    <t>tpx</t>
  </si>
  <si>
    <t xml:space="preserve">Compare: </t>
  </si>
  <si>
    <t>(allowed buffer set between -0.0001 to 0.0001)</t>
  </si>
  <si>
    <t xml:space="preserve">Conclusion: </t>
  </si>
  <si>
    <t>h=1 is not as accurate</t>
  </si>
  <si>
    <t>h=0.1 is quite accurate</t>
  </si>
  <si>
    <t xml:space="preserve">h=0.01 is more beneficial for higher t values. </t>
  </si>
  <si>
    <t>(a)</t>
  </si>
  <si>
    <t>delta</t>
  </si>
  <si>
    <t>(b)</t>
  </si>
  <si>
    <t>V(t1)</t>
  </si>
  <si>
    <t>V(t2)</t>
  </si>
  <si>
    <t>V(t3)</t>
  </si>
  <si>
    <t>Prem (h=0.01)</t>
  </si>
  <si>
    <t>Prem2 (h=0.1)</t>
  </si>
  <si>
    <t>Prem1 (h=1)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</si>
</sst>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0" fillId="2" borderId="0" xfId="0" applyFill="1"/>
    <xf numFmtId="0" fontId="1" fillId="6" borderId="2" xfId="0" applyFont="1" applyFill="1" applyBorder="1"/>
    <xf numFmtId="0" fontId="0" fillId="3" borderId="0" xfId="0" applyFill="1"/>
    <xf numFmtId="0" fontId="0" fillId="5" borderId="0" xfId="0" applyFill="1"/>
    <xf numFmtId="0" fontId="0" fillId="3" borderId="3" xfId="0" applyFill="1" applyBorder="1"/>
    <xf numFmtId="0" fontId="0" fillId="0" borderId="3" xfId="0" applyBorder="1"/>
    <xf numFmtId="0" fontId="0" fillId="5" borderId="3" xfId="0" applyFill="1" applyBorder="1"/>
    <xf numFmtId="0" fontId="0" fillId="3" borderId="4" xfId="0" applyFill="1" applyBorder="1"/>
    <xf numFmtId="0" fontId="0" fillId="5" borderId="5" xfId="0" applyFill="1" applyBorder="1"/>
    <xf numFmtId="0" fontId="0" fillId="3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4" xfId="0" applyFill="1" applyBorder="1"/>
    <xf numFmtId="0" fontId="0" fillId="5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5" xfId="0" applyFill="1" applyBorder="1"/>
    <xf numFmtId="0" fontId="0" fillId="3" borderId="7" xfId="0" applyFill="1" applyBorder="1"/>
    <xf numFmtId="0" fontId="1" fillId="6" borderId="1" xfId="0" applyFont="1" applyFill="1" applyBorder="1"/>
    <xf numFmtId="0" fontId="3" fillId="0" borderId="0" xfId="0" applyFont="1"/>
    <xf numFmtId="0" fontId="0" fillId="0" borderId="11" xfId="0" applyBorder="1"/>
    <xf numFmtId="0" fontId="0" fillId="0" borderId="12" xfId="0" applyBorder="1"/>
    <xf numFmtId="0" fontId="1" fillId="7" borderId="1" xfId="0" applyFont="1" applyFill="1" applyBorder="1"/>
    <xf numFmtId="0" fontId="1" fillId="7" borderId="2" xfId="0" applyFont="1" applyFill="1" applyBorder="1"/>
    <xf numFmtId="165" fontId="0" fillId="0" borderId="0" xfId="0" applyNumberFormat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5" fontId="0" fillId="0" borderId="3" xfId="0" applyNumberFormat="1" applyBorder="1"/>
    <xf numFmtId="165" fontId="0" fillId="0" borderId="7" xfId="0" applyNumberFormat="1" applyBorder="1"/>
    <xf numFmtId="0" fontId="1" fillId="0" borderId="13" xfId="0" applyFont="1" applyBorder="1"/>
    <xf numFmtId="164" fontId="0" fillId="8" borderId="0" xfId="0" applyNumberFormat="1" applyFill="1"/>
    <xf numFmtId="164" fontId="0" fillId="8" borderId="5" xfId="0" applyNumberFormat="1" applyFill="1" applyBorder="1"/>
    <xf numFmtId="164" fontId="0" fillId="8" borderId="3" xfId="0" applyNumberFormat="1" applyFill="1" applyBorder="1"/>
    <xf numFmtId="164" fontId="0" fillId="8" borderId="7" xfId="0" applyNumberFormat="1" applyFill="1" applyBorder="1"/>
    <xf numFmtId="164" fontId="0" fillId="4" borderId="5" xfId="0" applyNumberFormat="1" applyFill="1" applyBorder="1"/>
    <xf numFmtId="164" fontId="0" fillId="4" borderId="7" xfId="0" applyNumberFormat="1" applyFill="1" applyBorder="1"/>
    <xf numFmtId="164" fontId="0" fillId="8" borderId="1" xfId="0" applyNumberFormat="1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0" xfId="0" applyFill="1"/>
    <xf numFmtId="0" fontId="0" fillId="8" borderId="5" xfId="0" applyFill="1" applyBorder="1"/>
    <xf numFmtId="0" fontId="0" fillId="8" borderId="3" xfId="0" applyFill="1" applyBorder="1"/>
    <xf numFmtId="0" fontId="0" fillId="8" borderId="7" xfId="0" applyFill="1" applyBorder="1"/>
    <xf numFmtId="0" fontId="0" fillId="9" borderId="0" xfId="0" applyFill="1"/>
  </cellXfs>
  <cellStyles count="1">
    <cellStyle name="Normal" xfId="0" builtinId="0"/>
  </cellStyles>
  <dxfs count="2"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397745</xdr:colOff>
      <xdr:row>15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2937E-E4DA-4EBE-8BBF-C1AFDF2BB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84145" cy="2827020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0</xdr:row>
      <xdr:rowOff>1</xdr:rowOff>
    </xdr:from>
    <xdr:to>
      <xdr:col>30</xdr:col>
      <xdr:colOff>204789</xdr:colOff>
      <xdr:row>15</xdr:row>
      <xdr:rowOff>653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360078-312B-4F28-9BF7-75121C5C0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1701" y="1"/>
          <a:ext cx="6034088" cy="2711729"/>
        </a:xfrm>
        <a:prstGeom prst="rect">
          <a:avLst/>
        </a:prstGeom>
      </xdr:spPr>
    </xdr:pic>
    <xdr:clientData/>
  </xdr:twoCellAnchor>
  <xdr:twoCellAnchor editAs="oneCell">
    <xdr:from>
      <xdr:col>39</xdr:col>
      <xdr:colOff>109613</xdr:colOff>
      <xdr:row>0</xdr:row>
      <xdr:rowOff>0</xdr:rowOff>
    </xdr:from>
    <xdr:to>
      <xdr:col>47</xdr:col>
      <xdr:colOff>98955</xdr:colOff>
      <xdr:row>15</xdr:row>
      <xdr:rowOff>652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91D0AD-EA8A-444D-ACB9-3948C3A19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95476" y="0"/>
          <a:ext cx="6021842" cy="27180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5133-D582-498A-BC12-3B3B538CC391}">
  <dimension ref="A13:AR10324"/>
  <sheetViews>
    <sheetView tabSelected="1" topLeftCell="S1" zoomScale="67" workbookViewId="0">
      <selection activeCell="AL21" sqref="AL21"/>
    </sheetView>
  </sheetViews>
  <sheetFormatPr defaultRowHeight="14.25" x14ac:dyDescent="0.45"/>
  <cols>
    <col min="21" max="21" width="9.06640625" style="4"/>
    <col min="34" max="34" width="0.86328125" style="4" customWidth="1"/>
    <col min="35" max="35" width="8.796875" customWidth="1"/>
    <col min="36" max="36" width="11.6640625" customWidth="1"/>
    <col min="37" max="38" width="12.265625" bestFit="1" customWidth="1"/>
    <col min="39" max="39" width="9.06640625" style="4"/>
    <col min="41" max="41" width="10.73046875" customWidth="1"/>
    <col min="42" max="42" width="12.1328125" customWidth="1"/>
    <col min="43" max="43" width="12.86328125" customWidth="1"/>
    <col min="44" max="44" width="12.53125" customWidth="1"/>
  </cols>
  <sheetData>
    <row r="13" spans="22:41" x14ac:dyDescent="0.45">
      <c r="AI13" t="s">
        <v>35</v>
      </c>
    </row>
    <row r="15" spans="22:41" x14ac:dyDescent="0.45">
      <c r="AI15" t="s">
        <v>34</v>
      </c>
      <c r="AJ15">
        <v>0.04</v>
      </c>
    </row>
    <row r="16" spans="22:41" x14ac:dyDescent="0.45">
      <c r="V16" s="26">
        <v>1</v>
      </c>
      <c r="W16" s="26">
        <v>2</v>
      </c>
      <c r="X16" s="26">
        <v>3</v>
      </c>
      <c r="Y16" s="26">
        <v>4</v>
      </c>
      <c r="Z16" s="26">
        <v>5</v>
      </c>
      <c r="AA16" s="26">
        <v>6</v>
      </c>
      <c r="AB16" s="26">
        <v>7</v>
      </c>
      <c r="AC16" s="26">
        <v>8</v>
      </c>
      <c r="AD16" s="26">
        <v>9</v>
      </c>
      <c r="AE16" s="26">
        <v>10</v>
      </c>
      <c r="AF16" s="26">
        <v>11</v>
      </c>
      <c r="AG16" s="26">
        <v>12</v>
      </c>
      <c r="AO16" t="s">
        <v>33</v>
      </c>
    </row>
    <row r="17" spans="1:44" x14ac:dyDescent="0.45">
      <c r="V17" t="s">
        <v>33</v>
      </c>
      <c r="AD17" s="1" t="s">
        <v>19</v>
      </c>
      <c r="AE17">
        <v>1</v>
      </c>
      <c r="AF17">
        <v>0.1</v>
      </c>
      <c r="AG17">
        <v>0.01</v>
      </c>
      <c r="AI17">
        <v>1</v>
      </c>
      <c r="AJ17">
        <v>0.1</v>
      </c>
      <c r="AK17">
        <v>0.01</v>
      </c>
      <c r="AO17" s="1" t="s">
        <v>20</v>
      </c>
    </row>
    <row r="18" spans="1:44" x14ac:dyDescent="0.45">
      <c r="B18" s="2" t="s">
        <v>0</v>
      </c>
      <c r="V18" s="25" t="s">
        <v>7</v>
      </c>
      <c r="W18" s="25" t="s">
        <v>8</v>
      </c>
      <c r="X18" s="25" t="s">
        <v>9</v>
      </c>
      <c r="Y18" s="25" t="s">
        <v>10</v>
      </c>
      <c r="Z18" s="25" t="s">
        <v>11</v>
      </c>
      <c r="AA18" s="25" t="s">
        <v>12</v>
      </c>
      <c r="AB18" s="25" t="s">
        <v>13</v>
      </c>
      <c r="AC18" s="25" t="s">
        <v>14</v>
      </c>
      <c r="AD18" s="25" t="s">
        <v>15</v>
      </c>
      <c r="AE18" s="25" t="s">
        <v>16</v>
      </c>
      <c r="AF18" s="25" t="s">
        <v>17</v>
      </c>
      <c r="AG18" s="25" t="s">
        <v>18</v>
      </c>
      <c r="AI18" s="25" t="s">
        <v>36</v>
      </c>
      <c r="AJ18" s="25" t="s">
        <v>37</v>
      </c>
      <c r="AK18" s="25" t="s">
        <v>38</v>
      </c>
      <c r="AO18" s="25" t="s">
        <v>21</v>
      </c>
      <c r="AP18" s="5" t="s">
        <v>22</v>
      </c>
      <c r="AQ18" s="25" t="s">
        <v>23</v>
      </c>
      <c r="AR18" s="25" t="s">
        <v>24</v>
      </c>
    </row>
    <row r="19" spans="1:44" x14ac:dyDescent="0.45">
      <c r="V19" s="11">
        <f>0</f>
        <v>0</v>
      </c>
      <c r="W19" s="6">
        <f>0</f>
        <v>0</v>
      </c>
      <c r="X19" s="6">
        <f>0</f>
        <v>0</v>
      </c>
      <c r="Y19" s="20">
        <f>30</f>
        <v>30</v>
      </c>
      <c r="Z19" s="21">
        <f>30</f>
        <v>30</v>
      </c>
      <c r="AA19" s="22">
        <f>30</f>
        <v>30</v>
      </c>
      <c r="AB19">
        <f t="shared" ref="AB19:AB82" si="0">IF(Y19="","",VLOOKUP(Y19,Table_1,2))</f>
        <v>5.8500000000000002E-4</v>
      </c>
      <c r="AC19">
        <f t="shared" ref="AC19:AC82" si="1">IF(Z19="","",VLOOKUP(Z19,Table_2,2))</f>
        <v>5.8500000000000002E-4</v>
      </c>
      <c r="AD19">
        <f t="shared" ref="AD19:AD82" si="2">IF(AA19="","",VLOOKUP(AA19,Table_3,2))</f>
        <v>5.8500000000000002E-4</v>
      </c>
      <c r="AE19" s="15">
        <f>1</f>
        <v>1</v>
      </c>
      <c r="AF19" s="16">
        <f>1</f>
        <v>1</v>
      </c>
      <c r="AG19" s="17">
        <f>1</f>
        <v>1</v>
      </c>
      <c r="AI19" s="54">
        <f>0</f>
        <v>0</v>
      </c>
      <c r="AJ19" s="54">
        <f>0</f>
        <v>0</v>
      </c>
      <c r="AK19" s="54">
        <f>0</f>
        <v>0</v>
      </c>
      <c r="AO19" s="27">
        <v>5</v>
      </c>
      <c r="AP19" s="41">
        <f t="shared" ref="AP19:AR21" si="3">_xlfn.XLOOKUP($AO19,V$19:V$1519,AE$19:AE$1519)</f>
        <v>0.9969407492849568</v>
      </c>
      <c r="AQ19" s="41">
        <f t="shared" si="3"/>
        <v>0.99690166333143682</v>
      </c>
      <c r="AR19" s="42">
        <f t="shared" si="3"/>
        <v>0.99689775726017937</v>
      </c>
    </row>
    <row r="20" spans="1:44" x14ac:dyDescent="0.45">
      <c r="A20" s="2"/>
      <c r="B20" s="2" t="s">
        <v>1</v>
      </c>
      <c r="C20" s="2"/>
      <c r="I20" s="2"/>
      <c r="J20" s="2" t="s">
        <v>2</v>
      </c>
      <c r="K20" s="2"/>
      <c r="R20" s="2"/>
      <c r="S20" s="2" t="s">
        <v>3</v>
      </c>
      <c r="T20" s="2"/>
      <c r="V20" s="11" cm="1">
        <f t="array" ref="V20:V34">_xlfn.SEQUENCE(15)</f>
        <v>1</v>
      </c>
      <c r="W20" s="6" cm="1">
        <f t="array" ref="W20:W169">_xlfn.SEQUENCE(150)*0.1</f>
        <v>0.1</v>
      </c>
      <c r="X20" s="6" cm="1">
        <f t="array" ref="X20:X1519">_xlfn.SEQUENCE(1500)*0.01</f>
        <v>0.01</v>
      </c>
      <c r="Y20" s="11">
        <f>IF(ISBLANK(V20),"",$Y$19+V20)</f>
        <v>31</v>
      </c>
      <c r="Z20" s="6">
        <f t="shared" ref="Z20:AA20" si="4">IF(ISBLANK(W20),"",$Y$19+W20)</f>
        <v>30.1</v>
      </c>
      <c r="AA20" s="23">
        <f t="shared" si="4"/>
        <v>30.01</v>
      </c>
      <c r="AB20">
        <f t="shared" si="0"/>
        <v>5.9599999999999996E-4</v>
      </c>
      <c r="AC20">
        <f t="shared" si="1"/>
        <v>5.8609999999999999E-4</v>
      </c>
      <c r="AD20">
        <f t="shared" si="2"/>
        <v>5.8511000000000001E-4</v>
      </c>
      <c r="AE20" s="18">
        <f t="shared" ref="AE20:AE83" si="5">IF(AB20="","",AE19+h_1*(-AE19*AB19))</f>
        <v>0.99941500000000005</v>
      </c>
      <c r="AF20" s="7">
        <f t="shared" ref="AF20:AF83" si="6">IF(AC20="","",AF19+h_2*(-AF19*AC19))</f>
        <v>0.99994150000000004</v>
      </c>
      <c r="AG20" s="12">
        <f t="shared" ref="AG20:AG83" si="7">IF(AD20="","",AG19+h_3*(-AG19*AD19))</f>
        <v>0.99999415000000003</v>
      </c>
      <c r="AI20" s="54">
        <f t="shared" ref="AI20:AI83" si="8">IF(Y20="","",AI19+AI$17*(AI19*delta+Prem1-AB19*(1-AI19)))</f>
        <v>4.9792861095206913E-2</v>
      </c>
      <c r="AJ20" s="54">
        <f t="shared" ref="AJ20:AJ83" si="9">IF(Z20="","",AJ19+AJ$17*(AJ19*delta+Prem2-AC19*(1-AJ19)))</f>
        <v>4.8622025156687164E-3</v>
      </c>
      <c r="AK20" s="54">
        <f t="shared" ref="AK20:AK83" si="10">IF(AA20="","",AK19+AK$17*(AK19*delta+Prem3-AD19*(1-AK19)))</f>
        <v>4.850418344284948E-4</v>
      </c>
      <c r="AO20" s="27">
        <v>10</v>
      </c>
      <c r="AP20" s="41">
        <f t="shared" si="3"/>
        <v>0.9932058285577563</v>
      </c>
      <c r="AQ20" s="41">
        <f t="shared" si="3"/>
        <v>0.99306625402222937</v>
      </c>
      <c r="AR20" s="42">
        <f t="shared" si="3"/>
        <v>0.9930523531574319</v>
      </c>
    </row>
    <row r="21" spans="1:44" x14ac:dyDescent="0.45">
      <c r="A21" s="2"/>
      <c r="B21" s="2"/>
      <c r="C21" s="2"/>
      <c r="I21" s="2"/>
      <c r="J21" s="2"/>
      <c r="K21" s="2"/>
      <c r="R21" s="2"/>
      <c r="S21" s="2"/>
      <c r="T21" s="2"/>
      <c r="V21" s="11">
        <v>2</v>
      </c>
      <c r="W21" s="6">
        <v>0.2</v>
      </c>
      <c r="X21" s="6">
        <v>0.02</v>
      </c>
      <c r="Y21" s="11">
        <f t="shared" ref="Y21:Y84" si="11">IF(ISBLANK(V21),"",$Y$19+V21)</f>
        <v>32</v>
      </c>
      <c r="Z21" s="6">
        <f t="shared" ref="Z21:Z84" si="12">IF(ISBLANK(W21),"",$Y$19+W21)</f>
        <v>30.2</v>
      </c>
      <c r="AA21" s="23">
        <f t="shared" ref="AA21:AA84" si="13">IF(ISBLANK(X21),"",$Y$19+X21)</f>
        <v>30.02</v>
      </c>
      <c r="AB21">
        <f t="shared" si="0"/>
        <v>6.0899999999999995E-4</v>
      </c>
      <c r="AC21">
        <f t="shared" si="1"/>
        <v>5.8719999999999996E-4</v>
      </c>
      <c r="AD21">
        <f t="shared" si="2"/>
        <v>5.8522000000000001E-4</v>
      </c>
      <c r="AE21" s="18">
        <f t="shared" si="5"/>
        <v>0.99881934866000011</v>
      </c>
      <c r="AF21" s="7">
        <f t="shared" si="6"/>
        <v>0.99988289342868508</v>
      </c>
      <c r="AG21" s="12">
        <f t="shared" si="7"/>
        <v>0.99998829893422891</v>
      </c>
      <c r="AI21" s="54">
        <f t="shared" si="8"/>
        <v>0.10159611317943484</v>
      </c>
      <c r="AJ21" s="54">
        <f t="shared" si="9"/>
        <v>9.7440288150895515E-3</v>
      </c>
      <c r="AK21" s="54">
        <f t="shared" si="10"/>
        <v>9.702794236190385E-4</v>
      </c>
      <c r="AO21" s="28">
        <v>15</v>
      </c>
      <c r="AP21" s="43">
        <f t="shared" si="3"/>
        <v>0.98790151757321831</v>
      </c>
      <c r="AQ21" s="43">
        <f t="shared" si="3"/>
        <v>0.98754658198279888</v>
      </c>
      <c r="AR21" s="44">
        <f t="shared" si="3"/>
        <v>0.98751136923578486</v>
      </c>
    </row>
    <row r="22" spans="1:44" x14ac:dyDescent="0.45">
      <c r="A22" s="2" t="s">
        <v>4</v>
      </c>
      <c r="B22" s="2" t="s">
        <v>5</v>
      </c>
      <c r="C22" s="2" t="s">
        <v>6</v>
      </c>
      <c r="I22" s="2" t="s">
        <v>4</v>
      </c>
      <c r="J22" s="2" t="s">
        <v>5</v>
      </c>
      <c r="K22" s="2" t="s">
        <v>6</v>
      </c>
      <c r="R22" s="2" t="s">
        <v>4</v>
      </c>
      <c r="S22" s="2" t="s">
        <v>5</v>
      </c>
      <c r="T22" s="2" t="s">
        <v>6</v>
      </c>
      <c r="V22" s="11">
        <v>3</v>
      </c>
      <c r="W22" s="6">
        <v>0.30000000000000004</v>
      </c>
      <c r="X22" s="6">
        <v>0.03</v>
      </c>
      <c r="Y22" s="11">
        <f t="shared" si="11"/>
        <v>33</v>
      </c>
      <c r="Z22" s="6">
        <f t="shared" si="12"/>
        <v>30.3</v>
      </c>
      <c r="AA22" s="23">
        <f t="shared" si="13"/>
        <v>30.03</v>
      </c>
      <c r="AB22">
        <f t="shared" si="0"/>
        <v>6.2600000000000004E-4</v>
      </c>
      <c r="AC22">
        <f t="shared" si="1"/>
        <v>5.8830000000000004E-4</v>
      </c>
      <c r="AD22">
        <f t="shared" si="2"/>
        <v>5.8533000000000001E-4</v>
      </c>
      <c r="AE22" s="18">
        <f t="shared" si="5"/>
        <v>0.99821106767666612</v>
      </c>
      <c r="AF22" s="7">
        <f t="shared" si="6"/>
        <v>0.99982418030518294</v>
      </c>
      <c r="AG22" s="12">
        <f t="shared" si="7"/>
        <v>0.99998244680270587</v>
      </c>
      <c r="AI22" s="54">
        <f t="shared" si="8"/>
        <v>0.15549069083474543</v>
      </c>
      <c r="AJ22" s="54">
        <f t="shared" si="9"/>
        <v>1.4645559615390649E-2</v>
      </c>
      <c r="AK22" s="54">
        <f t="shared" si="10"/>
        <v>1.4557128480862239E-3</v>
      </c>
    </row>
    <row r="23" spans="1:44" x14ac:dyDescent="0.45">
      <c r="A23" s="2"/>
      <c r="B23" s="2"/>
      <c r="C23" s="2"/>
      <c r="I23" s="2"/>
      <c r="J23" s="2"/>
      <c r="K23" s="2"/>
      <c r="R23" s="2"/>
      <c r="S23" s="2"/>
      <c r="T23" s="2"/>
      <c r="V23" s="11">
        <v>4</v>
      </c>
      <c r="W23" s="6">
        <v>0.4</v>
      </c>
      <c r="X23" s="6">
        <v>0.04</v>
      </c>
      <c r="Y23" s="11">
        <f t="shared" si="11"/>
        <v>34</v>
      </c>
      <c r="Z23" s="6">
        <f t="shared" si="12"/>
        <v>30.4</v>
      </c>
      <c r="AA23" s="23">
        <f t="shared" si="13"/>
        <v>30.04</v>
      </c>
      <c r="AB23">
        <f t="shared" si="0"/>
        <v>6.4700000000000001E-4</v>
      </c>
      <c r="AC23">
        <f t="shared" si="1"/>
        <v>5.8940000000000002E-4</v>
      </c>
      <c r="AD23">
        <f t="shared" si="2"/>
        <v>5.8544000000000001E-4</v>
      </c>
      <c r="AE23" s="18">
        <f t="shared" si="5"/>
        <v>0.99758618754830053</v>
      </c>
      <c r="AF23" s="7">
        <f t="shared" si="6"/>
        <v>0.99976536064865562</v>
      </c>
      <c r="AG23" s="12">
        <f t="shared" si="7"/>
        <v>0.99997659360544999</v>
      </c>
      <c r="AI23" s="54">
        <f t="shared" si="8"/>
        <v>0.2115595167358047</v>
      </c>
      <c r="AJ23" s="54">
        <f t="shared" si="9"/>
        <v>1.95668759677931E-2</v>
      </c>
      <c r="AK23" s="54">
        <f t="shared" si="10"/>
        <v>1.9413421883779669E-3</v>
      </c>
      <c r="AO23" s="1" t="s">
        <v>25</v>
      </c>
    </row>
    <row r="24" spans="1:44" x14ac:dyDescent="0.45">
      <c r="A24" s="2">
        <v>17</v>
      </c>
      <c r="B24" s="2">
        <v>6.0300000000000002E-4</v>
      </c>
      <c r="C24" s="2">
        <v>1.6899999999999999E-4</v>
      </c>
      <c r="I24" s="2">
        <v>17</v>
      </c>
      <c r="J24" s="2">
        <v>6.0300000000000002E-4</v>
      </c>
      <c r="K24" s="2">
        <v>1.6899999999999999E-4</v>
      </c>
      <c r="R24" s="2">
        <v>17</v>
      </c>
      <c r="S24" s="2">
        <v>6.0300000000000002E-4</v>
      </c>
      <c r="T24" s="2">
        <v>1.6899999999999999E-4</v>
      </c>
      <c r="V24" s="11">
        <v>5</v>
      </c>
      <c r="W24" s="6">
        <v>0.5</v>
      </c>
      <c r="X24" s="6">
        <v>0.05</v>
      </c>
      <c r="Y24" s="11">
        <f t="shared" si="11"/>
        <v>35</v>
      </c>
      <c r="Z24" s="6">
        <f t="shared" si="12"/>
        <v>30.5</v>
      </c>
      <c r="AA24" s="23">
        <f t="shared" si="13"/>
        <v>30.05</v>
      </c>
      <c r="AB24">
        <f t="shared" si="0"/>
        <v>6.7400000000000001E-4</v>
      </c>
      <c r="AC24">
        <f t="shared" si="1"/>
        <v>5.9049999999999999E-4</v>
      </c>
      <c r="AD24">
        <f t="shared" si="2"/>
        <v>5.8555E-4</v>
      </c>
      <c r="AE24" s="18">
        <f t="shared" si="5"/>
        <v>0.9969407492849568</v>
      </c>
      <c r="AF24" s="7">
        <f t="shared" si="6"/>
        <v>0.99970643447829899</v>
      </c>
      <c r="AG24" s="12">
        <f t="shared" si="7"/>
        <v>0.99997073934248037</v>
      </c>
      <c r="AI24" s="54">
        <f t="shared" si="8"/>
        <v>0.26988963750777184</v>
      </c>
      <c r="AJ24" s="54">
        <f t="shared" si="9"/>
        <v>2.450805925900253E-2</v>
      </c>
      <c r="AK24" s="54">
        <f t="shared" si="10"/>
        <v>2.4271675250755204E-3</v>
      </c>
      <c r="AO24" s="29" t="s">
        <v>21</v>
      </c>
      <c r="AP24" s="30" t="s">
        <v>26</v>
      </c>
    </row>
    <row r="25" spans="1:44" x14ac:dyDescent="0.45">
      <c r="A25" s="2">
        <v>18</v>
      </c>
      <c r="B25" s="2">
        <v>5.9699999999999998E-4</v>
      </c>
      <c r="C25" s="2">
        <v>1.75E-4</v>
      </c>
      <c r="I25" s="2">
        <v>17.100000000000001</v>
      </c>
      <c r="J25" s="2">
        <v>6.0240000000000001E-4</v>
      </c>
      <c r="K25" s="2">
        <v>1.696E-4</v>
      </c>
      <c r="R25" s="2">
        <v>17.010000000000002</v>
      </c>
      <c r="S25" s="2">
        <v>6.0294000000000005E-4</v>
      </c>
      <c r="T25" s="2">
        <v>1.6906000000000001E-4</v>
      </c>
      <c r="V25" s="11">
        <v>6</v>
      </c>
      <c r="W25" s="6">
        <v>0.60000000000000009</v>
      </c>
      <c r="X25" s="6">
        <v>0.06</v>
      </c>
      <c r="Y25" s="11">
        <f t="shared" si="11"/>
        <v>36</v>
      </c>
      <c r="Z25" s="6">
        <f t="shared" si="12"/>
        <v>30.6</v>
      </c>
      <c r="AA25" s="23">
        <f t="shared" si="13"/>
        <v>30.06</v>
      </c>
      <c r="AB25">
        <f t="shared" si="0"/>
        <v>7.0600000000000003E-4</v>
      </c>
      <c r="AC25">
        <f t="shared" si="1"/>
        <v>5.9159999999999996E-4</v>
      </c>
      <c r="AD25">
        <f t="shared" si="2"/>
        <v>5.8566E-4</v>
      </c>
      <c r="AE25" s="18">
        <f t="shared" si="5"/>
        <v>0.99626881121993871</v>
      </c>
      <c r="AF25" s="7">
        <f t="shared" si="6"/>
        <v>0.999647401813343</v>
      </c>
      <c r="AG25" s="12">
        <f t="shared" si="7"/>
        <v>0.99996488401381611</v>
      </c>
      <c r="AI25" s="54">
        <f t="shared" si="8"/>
        <v>0.33057098971896987</v>
      </c>
      <c r="AJ25" s="54">
        <f t="shared" si="9"/>
        <v>2.9469191212606501E-2</v>
      </c>
      <c r="AK25" s="54">
        <f t="shared" si="10"/>
        <v>2.9131889387934884E-3</v>
      </c>
      <c r="AO25" s="27">
        <v>5</v>
      </c>
      <c r="AP25" s="45">
        <f>9894.4299/9925.2094</f>
        <v>0.99689885636065267</v>
      </c>
    </row>
    <row r="26" spans="1:44" x14ac:dyDescent="0.45">
      <c r="A26" s="2">
        <v>19</v>
      </c>
      <c r="B26" s="2">
        <v>5.9100000000000005E-4</v>
      </c>
      <c r="C26" s="2">
        <v>1.8100000000000001E-4</v>
      </c>
      <c r="I26" s="2">
        <v>17.2</v>
      </c>
      <c r="J26" s="2">
        <v>6.0179999999999999E-4</v>
      </c>
      <c r="K26" s="2">
        <v>1.7019999999999999E-4</v>
      </c>
      <c r="R26" s="2">
        <v>17.02</v>
      </c>
      <c r="S26" s="2">
        <v>6.0287999999999997E-4</v>
      </c>
      <c r="T26" s="2">
        <v>1.6912000000000001E-4</v>
      </c>
      <c r="V26" s="11">
        <v>7</v>
      </c>
      <c r="W26" s="6">
        <v>0.70000000000000007</v>
      </c>
      <c r="X26" s="6">
        <v>7.0000000000000007E-2</v>
      </c>
      <c r="Y26" s="11">
        <f t="shared" si="11"/>
        <v>37</v>
      </c>
      <c r="Z26" s="6">
        <f t="shared" si="12"/>
        <v>30.7</v>
      </c>
      <c r="AA26" s="23">
        <f t="shared" si="13"/>
        <v>30.07</v>
      </c>
      <c r="AB26">
        <f t="shared" si="0"/>
        <v>7.4399999999999998E-4</v>
      </c>
      <c r="AC26">
        <f t="shared" si="1"/>
        <v>5.9270000000000004E-4</v>
      </c>
      <c r="AD26">
        <f t="shared" si="2"/>
        <v>5.8577E-4</v>
      </c>
      <c r="AE26" s="18">
        <f t="shared" si="5"/>
        <v>0.99556544543921743</v>
      </c>
      <c r="AF26" s="7">
        <f t="shared" si="6"/>
        <v>0.99958826267305168</v>
      </c>
      <c r="AG26" s="12">
        <f t="shared" si="7"/>
        <v>0.99995902761947641</v>
      </c>
      <c r="AI26" s="54">
        <f t="shared" si="8"/>
        <v>0.39369907352167716</v>
      </c>
      <c r="AJ26" s="54">
        <f t="shared" si="9"/>
        <v>3.4450353890477778E-2</v>
      </c>
      <c r="AK26" s="54">
        <f t="shared" si="10"/>
        <v>3.3994065101798396E-3</v>
      </c>
      <c r="AO26" s="27">
        <v>10</v>
      </c>
      <c r="AP26" s="45">
        <f>9856.2863/9925.2094</f>
        <v>0.99305575356425224</v>
      </c>
    </row>
    <row r="27" spans="1:44" x14ac:dyDescent="0.45">
      <c r="A27" s="2">
        <v>20</v>
      </c>
      <c r="B27" s="2">
        <v>5.8500000000000002E-4</v>
      </c>
      <c r="C27" s="2">
        <v>1.8900000000000001E-4</v>
      </c>
      <c r="I27" s="2">
        <v>17.3</v>
      </c>
      <c r="J27" s="2">
        <v>6.0119999999999998E-4</v>
      </c>
      <c r="K27" s="2">
        <v>1.708E-4</v>
      </c>
      <c r="R27" s="2">
        <v>17.03</v>
      </c>
      <c r="S27" s="2">
        <v>6.0282000000000001E-4</v>
      </c>
      <c r="T27" s="2">
        <v>1.6918E-4</v>
      </c>
      <c r="V27" s="11">
        <v>8</v>
      </c>
      <c r="W27" s="6">
        <v>0.8</v>
      </c>
      <c r="X27" s="6">
        <v>0.08</v>
      </c>
      <c r="Y27" s="11">
        <f t="shared" si="11"/>
        <v>38</v>
      </c>
      <c r="Z27" s="6">
        <f t="shared" si="12"/>
        <v>30.8</v>
      </c>
      <c r="AA27" s="23">
        <f t="shared" si="13"/>
        <v>30.08</v>
      </c>
      <c r="AB27">
        <f t="shared" si="0"/>
        <v>7.8799999999999996E-4</v>
      </c>
      <c r="AC27">
        <f t="shared" si="1"/>
        <v>5.9380000000000001E-4</v>
      </c>
      <c r="AD27">
        <f t="shared" si="2"/>
        <v>5.8587999999999999E-4</v>
      </c>
      <c r="AE27" s="18">
        <f t="shared" si="5"/>
        <v>0.99482474474781069</v>
      </c>
      <c r="AF27" s="7">
        <f t="shared" si="6"/>
        <v>0.99952901707672304</v>
      </c>
      <c r="AG27" s="12">
        <f t="shared" si="7"/>
        <v>0.99995317015948038</v>
      </c>
      <c r="AI27" s="54">
        <f t="shared" si="8"/>
        <v>0.45937380966845132</v>
      </c>
      <c r="AJ27" s="54">
        <f t="shared" si="9"/>
        <v>3.945162969418349E-2</v>
      </c>
      <c r="AK27" s="54">
        <f t="shared" si="10"/>
        <v>3.8858203199159209E-3</v>
      </c>
      <c r="AO27" s="28">
        <v>15</v>
      </c>
      <c r="AP27" s="46">
        <f>9801.3123/9925.2094</f>
        <v>0.9875169283582067</v>
      </c>
    </row>
    <row r="28" spans="1:44" x14ac:dyDescent="0.45">
      <c r="A28" s="2">
        <v>21</v>
      </c>
      <c r="B28" s="2">
        <v>5.8E-4</v>
      </c>
      <c r="C28" s="2">
        <v>1.9699999999999999E-4</v>
      </c>
      <c r="I28" s="2">
        <v>17.399999999999999</v>
      </c>
      <c r="J28" s="2">
        <v>6.0059999999999996E-4</v>
      </c>
      <c r="K28" s="2">
        <v>1.7139999999999999E-4</v>
      </c>
      <c r="R28" s="2">
        <v>17.04</v>
      </c>
      <c r="S28" s="2">
        <v>6.0276000000000004E-4</v>
      </c>
      <c r="T28" s="2">
        <v>1.6924E-4</v>
      </c>
      <c r="V28" s="11">
        <v>9</v>
      </c>
      <c r="W28" s="6">
        <v>0.9</v>
      </c>
      <c r="X28" s="6">
        <v>0.09</v>
      </c>
      <c r="Y28" s="11">
        <f t="shared" si="11"/>
        <v>39</v>
      </c>
      <c r="Z28" s="6">
        <f t="shared" si="12"/>
        <v>30.9</v>
      </c>
      <c r="AA28" s="23">
        <f t="shared" si="13"/>
        <v>30.09</v>
      </c>
      <c r="AB28">
        <f t="shared" si="0"/>
        <v>8.4000000000000003E-4</v>
      </c>
      <c r="AC28">
        <f t="shared" si="1"/>
        <v>5.9489999999999999E-4</v>
      </c>
      <c r="AD28">
        <f t="shared" si="2"/>
        <v>5.8598999999999999E-4</v>
      </c>
      <c r="AE28" s="18">
        <f t="shared" si="5"/>
        <v>0.99404082284894946</v>
      </c>
      <c r="AF28" s="7">
        <f t="shared" si="6"/>
        <v>0.99946966504368906</v>
      </c>
      <c r="AG28" s="12">
        <f t="shared" si="7"/>
        <v>0.99994731163384709</v>
      </c>
      <c r="AI28" s="54">
        <f t="shared" si="8"/>
        <v>0.52770060971241506</v>
      </c>
      <c r="AJ28" s="54">
        <f t="shared" si="9"/>
        <v>4.4473101366400182E-2</v>
      </c>
      <c r="AK28" s="54">
        <f t="shared" si="10"/>
        <v>4.372430448716472E-3</v>
      </c>
    </row>
    <row r="29" spans="1:44" x14ac:dyDescent="0.45">
      <c r="A29" s="2">
        <v>22</v>
      </c>
      <c r="B29" s="2">
        <v>5.7399999999999997E-4</v>
      </c>
      <c r="C29" s="2">
        <v>2.0699999999999999E-4</v>
      </c>
      <c r="I29" s="2">
        <v>17.5</v>
      </c>
      <c r="J29" s="3">
        <v>5.9999999999999995E-4</v>
      </c>
      <c r="K29" s="2">
        <v>1.7200000000000001E-4</v>
      </c>
      <c r="R29" s="2">
        <v>17.05</v>
      </c>
      <c r="S29" s="2">
        <v>6.0269999999999996E-4</v>
      </c>
      <c r="T29" s="2">
        <v>1.693E-4</v>
      </c>
      <c r="V29" s="11">
        <v>10</v>
      </c>
      <c r="W29" s="6">
        <v>1</v>
      </c>
      <c r="X29" s="6">
        <v>0.1</v>
      </c>
      <c r="Y29" s="11">
        <f t="shared" si="11"/>
        <v>40</v>
      </c>
      <c r="Z29" s="6">
        <f t="shared" si="12"/>
        <v>31</v>
      </c>
      <c r="AA29" s="23">
        <f t="shared" si="13"/>
        <v>30.1</v>
      </c>
      <c r="AB29">
        <f t="shared" si="0"/>
        <v>9.0200000000000002E-4</v>
      </c>
      <c r="AC29">
        <f t="shared" si="1"/>
        <v>5.9599999999999996E-4</v>
      </c>
      <c r="AD29">
        <f t="shared" si="2"/>
        <v>5.8609999999999999E-4</v>
      </c>
      <c r="AE29" s="18">
        <f t="shared" si="5"/>
        <v>0.9932058285577563</v>
      </c>
      <c r="AF29" s="7">
        <f t="shared" si="6"/>
        <v>0.99941020659331559</v>
      </c>
      <c r="AG29" s="12">
        <f t="shared" si="7"/>
        <v>0.99994145204259566</v>
      </c>
      <c r="AI29" s="54">
        <f t="shared" si="8"/>
        <v>0.59878976370827697</v>
      </c>
      <c r="AJ29" s="54">
        <f t="shared" si="9"/>
        <v>4.9514851992334789E-2</v>
      </c>
      <c r="AK29" s="54">
        <f t="shared" si="10"/>
        <v>4.8592369773296402E-3</v>
      </c>
      <c r="AO29" s="1" t="s">
        <v>27</v>
      </c>
      <c r="AP29" t="s">
        <v>28</v>
      </c>
    </row>
    <row r="30" spans="1:44" x14ac:dyDescent="0.45">
      <c r="A30" s="2">
        <v>23</v>
      </c>
      <c r="B30" s="2">
        <v>5.6999999999999998E-4</v>
      </c>
      <c r="C30" s="2">
        <v>2.1699999999999999E-4</v>
      </c>
      <c r="I30" s="2">
        <v>17.600000000000001</v>
      </c>
      <c r="J30" s="2">
        <v>5.9940000000000004E-4</v>
      </c>
      <c r="K30" s="2">
        <v>1.7259999999999999E-4</v>
      </c>
      <c r="R30" s="2">
        <v>17.059999999999999</v>
      </c>
      <c r="S30" s="2">
        <v>6.0263999999999999E-4</v>
      </c>
      <c r="T30" s="2">
        <v>1.6935999999999999E-4</v>
      </c>
      <c r="V30" s="11">
        <v>11</v>
      </c>
      <c r="W30" s="6">
        <v>1.1000000000000001</v>
      </c>
      <c r="X30" s="6">
        <v>0.11</v>
      </c>
      <c r="Y30" s="11">
        <f t="shared" si="11"/>
        <v>41</v>
      </c>
      <c r="Z30" s="6">
        <f t="shared" si="12"/>
        <v>31.1</v>
      </c>
      <c r="AA30" s="23">
        <f t="shared" si="13"/>
        <v>30.11</v>
      </c>
      <c r="AB30">
        <f t="shared" si="0"/>
        <v>9.7400000000000004E-4</v>
      </c>
      <c r="AC30">
        <f t="shared" si="1"/>
        <v>5.9730000000000004E-4</v>
      </c>
      <c r="AD30">
        <f t="shared" si="2"/>
        <v>5.8620999999999999E-4</v>
      </c>
      <c r="AE30" s="18">
        <f t="shared" si="5"/>
        <v>0.99230995690039725</v>
      </c>
      <c r="AF30" s="7">
        <f t="shared" si="6"/>
        <v>0.99935064174500265</v>
      </c>
      <c r="AG30" s="12">
        <f t="shared" si="7"/>
        <v>0.99993559138574528</v>
      </c>
      <c r="AI30" s="54">
        <f t="shared" si="8"/>
        <v>0.6727573237186798</v>
      </c>
      <c r="AJ30" s="54">
        <f t="shared" si="9"/>
        <v>5.4576965001151591E-2</v>
      </c>
      <c r="AK30" s="54">
        <f t="shared" si="10"/>
        <v>5.346239986536991E-3</v>
      </c>
      <c r="AO30" s="25" t="s">
        <v>21</v>
      </c>
      <c r="AP30" s="5" t="s">
        <v>22</v>
      </c>
      <c r="AQ30" s="25" t="s">
        <v>23</v>
      </c>
      <c r="AR30" s="25" t="s">
        <v>24</v>
      </c>
    </row>
    <row r="31" spans="1:44" x14ac:dyDescent="0.45">
      <c r="A31" s="2">
        <v>24</v>
      </c>
      <c r="B31" s="2">
        <v>5.6800000000000004E-4</v>
      </c>
      <c r="C31" s="2">
        <v>2.2900000000000001E-4</v>
      </c>
      <c r="I31" s="2">
        <v>17.7</v>
      </c>
      <c r="J31" s="2">
        <v>5.9880000000000003E-4</v>
      </c>
      <c r="K31" s="2">
        <v>1.7320000000000001E-4</v>
      </c>
      <c r="R31" s="2">
        <v>17.07</v>
      </c>
      <c r="S31" s="2">
        <v>6.0258000000000002E-4</v>
      </c>
      <c r="T31" s="2">
        <v>1.6941999999999999E-4</v>
      </c>
      <c r="V31" s="11">
        <v>12</v>
      </c>
      <c r="W31" s="6">
        <v>1.2000000000000002</v>
      </c>
      <c r="X31" s="6">
        <v>0.12</v>
      </c>
      <c r="Y31" s="11">
        <f t="shared" si="11"/>
        <v>42</v>
      </c>
      <c r="Z31" s="6">
        <f t="shared" si="12"/>
        <v>31.2</v>
      </c>
      <c r="AA31" s="23">
        <f t="shared" si="13"/>
        <v>30.12</v>
      </c>
      <c r="AB31">
        <f t="shared" si="0"/>
        <v>1.057E-3</v>
      </c>
      <c r="AC31">
        <f t="shared" si="1"/>
        <v>5.9860000000000002E-4</v>
      </c>
      <c r="AD31">
        <f t="shared" si="2"/>
        <v>5.8631999999999998E-4</v>
      </c>
      <c r="AE31" s="18">
        <f t="shared" si="5"/>
        <v>0.99134344700237631</v>
      </c>
      <c r="AF31" s="7">
        <f t="shared" si="6"/>
        <v>0.99929095053117123</v>
      </c>
      <c r="AG31" s="12">
        <f t="shared" si="7"/>
        <v>0.99992972966331506</v>
      </c>
      <c r="AI31" s="54">
        <f t="shared" si="8"/>
        <v>0.74972674339593592</v>
      </c>
      <c r="AJ31" s="54">
        <f t="shared" si="9"/>
        <v>5.9659505258944437E-2</v>
      </c>
      <c r="AK31" s="54">
        <f t="shared" si="10"/>
        <v>5.8334395571535257E-3</v>
      </c>
      <c r="AO31" s="27">
        <v>5</v>
      </c>
      <c r="AP31" s="32">
        <f t="shared" ref="AP31:AR33" si="14">AP19-$AP25</f>
        <v>4.189292430412106E-5</v>
      </c>
      <c r="AQ31" s="33">
        <f t="shared" si="14"/>
        <v>2.8069707841416047E-6</v>
      </c>
      <c r="AR31" s="34">
        <f t="shared" si="14"/>
        <v>-1.0991004733007514E-6</v>
      </c>
    </row>
    <row r="32" spans="1:44" x14ac:dyDescent="0.45">
      <c r="A32" s="2">
        <v>25</v>
      </c>
      <c r="B32" s="2">
        <v>5.6599999999999999E-4</v>
      </c>
      <c r="C32" s="2">
        <v>2.41E-4</v>
      </c>
      <c r="I32" s="2">
        <v>17.8</v>
      </c>
      <c r="J32" s="2">
        <v>5.9820000000000001E-4</v>
      </c>
      <c r="K32" s="2">
        <v>1.738E-4</v>
      </c>
      <c r="R32" s="2">
        <v>17.079999999999998</v>
      </c>
      <c r="S32" s="2">
        <v>6.0252000000000005E-4</v>
      </c>
      <c r="T32" s="2">
        <v>1.6948000000000001E-4</v>
      </c>
      <c r="V32" s="11">
        <v>13</v>
      </c>
      <c r="W32" s="6">
        <v>1.3</v>
      </c>
      <c r="X32" s="6">
        <v>0.13</v>
      </c>
      <c r="Y32" s="11">
        <f t="shared" si="11"/>
        <v>43</v>
      </c>
      <c r="Z32" s="6">
        <f t="shared" si="12"/>
        <v>31.3</v>
      </c>
      <c r="AA32" s="23">
        <f t="shared" si="13"/>
        <v>30.13</v>
      </c>
      <c r="AB32">
        <f t="shared" si="0"/>
        <v>1.1540000000000001E-3</v>
      </c>
      <c r="AC32">
        <f t="shared" si="1"/>
        <v>5.999E-4</v>
      </c>
      <c r="AD32">
        <f t="shared" si="2"/>
        <v>5.8642999999999998E-4</v>
      </c>
      <c r="AE32" s="18">
        <f t="shared" si="5"/>
        <v>0.9902955969788948</v>
      </c>
      <c r="AF32" s="7">
        <f t="shared" si="6"/>
        <v>0.99923113297487243</v>
      </c>
      <c r="AG32" s="12">
        <f t="shared" si="7"/>
        <v>0.99992386687532409</v>
      </c>
      <c r="AI32" s="54">
        <f t="shared" si="8"/>
        <v>0.82982913539474978</v>
      </c>
      <c r="AJ32" s="54">
        <f t="shared" si="9"/>
        <v>6.4762557013633731E-2</v>
      </c>
      <c r="AK32" s="54">
        <f t="shared" si="10"/>
        <v>6.3208357700276939E-3</v>
      </c>
      <c r="AO32" s="27">
        <v>10</v>
      </c>
      <c r="AP32" s="35">
        <f t="shared" si="14"/>
        <v>1.5007499350405684E-4</v>
      </c>
      <c r="AQ32" s="31">
        <f t="shared" si="14"/>
        <v>1.0500457977125066E-5</v>
      </c>
      <c r="AR32" s="36">
        <f t="shared" si="14"/>
        <v>-3.400406820341928E-6</v>
      </c>
    </row>
    <row r="33" spans="1:44" x14ac:dyDescent="0.45">
      <c r="A33" s="2">
        <v>26</v>
      </c>
      <c r="B33" s="2">
        <v>5.6599999999999999E-4</v>
      </c>
      <c r="C33" s="2">
        <v>2.5500000000000002E-4</v>
      </c>
      <c r="I33" s="2">
        <v>17.899999999999999</v>
      </c>
      <c r="J33" s="2">
        <v>5.976E-4</v>
      </c>
      <c r="K33" s="2">
        <v>1.7440000000000001E-4</v>
      </c>
      <c r="R33" s="2">
        <v>17.09</v>
      </c>
      <c r="S33" s="2">
        <v>6.0245999999999997E-4</v>
      </c>
      <c r="T33" s="2">
        <v>1.6954000000000001E-4</v>
      </c>
      <c r="V33" s="11">
        <v>14</v>
      </c>
      <c r="W33" s="6">
        <v>1.4000000000000001</v>
      </c>
      <c r="X33" s="6">
        <v>0.14000000000000001</v>
      </c>
      <c r="Y33" s="11">
        <f t="shared" si="11"/>
        <v>44</v>
      </c>
      <c r="Z33" s="6">
        <f t="shared" si="12"/>
        <v>31.4</v>
      </c>
      <c r="AA33" s="23">
        <f t="shared" si="13"/>
        <v>30.14</v>
      </c>
      <c r="AB33">
        <f t="shared" si="0"/>
        <v>1.2650000000000001E-3</v>
      </c>
      <c r="AC33">
        <f t="shared" si="1"/>
        <v>6.0119999999999998E-4</v>
      </c>
      <c r="AD33">
        <f t="shared" si="2"/>
        <v>5.8653999999999998E-4</v>
      </c>
      <c r="AE33" s="18">
        <f t="shared" si="5"/>
        <v>0.98915279585998117</v>
      </c>
      <c r="AF33" s="7">
        <f t="shared" si="6"/>
        <v>0.99917118909920521</v>
      </c>
      <c r="AG33" s="12">
        <f t="shared" si="7"/>
        <v>0.99991800302179157</v>
      </c>
      <c r="AI33" s="54">
        <f t="shared" si="8"/>
        <v>0.91320378472799224</v>
      </c>
      <c r="AJ33" s="54">
        <f t="shared" si="9"/>
        <v>6.9886204863152238E-2</v>
      </c>
      <c r="AK33" s="54">
        <f t="shared" si="10"/>
        <v>6.8084287060414059E-3</v>
      </c>
      <c r="AO33" s="28">
        <v>15</v>
      </c>
      <c r="AP33" s="37">
        <f t="shared" si="14"/>
        <v>3.8458921501161036E-4</v>
      </c>
      <c r="AQ33" s="38">
        <f t="shared" si="14"/>
        <v>2.9653624592174133E-5</v>
      </c>
      <c r="AR33" s="39">
        <f t="shared" si="14"/>
        <v>-5.559122421838758E-6</v>
      </c>
    </row>
    <row r="34" spans="1:44" x14ac:dyDescent="0.45">
      <c r="A34" s="2">
        <v>27</v>
      </c>
      <c r="B34" s="2">
        <v>5.6800000000000004E-4</v>
      </c>
      <c r="C34" s="2">
        <v>2.7099999999999997E-4</v>
      </c>
      <c r="I34" s="2">
        <v>18</v>
      </c>
      <c r="J34" s="2">
        <v>5.9699999999999998E-4</v>
      </c>
      <c r="K34" s="2">
        <v>1.75E-4</v>
      </c>
      <c r="R34" s="2">
        <v>17.100000000000001</v>
      </c>
      <c r="S34" s="2">
        <v>6.0240000000000001E-4</v>
      </c>
      <c r="T34" s="2">
        <v>1.696E-4</v>
      </c>
      <c r="V34" s="11">
        <v>15</v>
      </c>
      <c r="W34" s="6">
        <v>1.5</v>
      </c>
      <c r="X34" s="6">
        <v>0.15</v>
      </c>
      <c r="Y34" s="11">
        <f t="shared" si="11"/>
        <v>45</v>
      </c>
      <c r="Z34" s="6">
        <f t="shared" si="12"/>
        <v>31.5</v>
      </c>
      <c r="AA34" s="23">
        <f t="shared" si="13"/>
        <v>30.15</v>
      </c>
      <c r="AB34">
        <f t="shared" si="0"/>
        <v>1.3940000000000001E-3</v>
      </c>
      <c r="AC34">
        <f t="shared" si="1"/>
        <v>6.0249999999999995E-4</v>
      </c>
      <c r="AD34">
        <f t="shared" si="2"/>
        <v>5.8664999999999998E-4</v>
      </c>
      <c r="AE34" s="18">
        <f t="shared" si="5"/>
        <v>0.98790151757321831</v>
      </c>
      <c r="AF34" s="7">
        <f t="shared" si="6"/>
        <v>0.99911111892731652</v>
      </c>
      <c r="AG34" s="12">
        <f t="shared" si="7"/>
        <v>0.9999121381027366</v>
      </c>
      <c r="AI34" s="54">
        <f t="shared" si="8"/>
        <v>0.99999999999999978</v>
      </c>
      <c r="AJ34" s="54">
        <f t="shared" si="9"/>
        <v>7.5030533756909934E-2</v>
      </c>
      <c r="AK34" s="54">
        <f t="shared" si="10"/>
        <v>7.2962184461100501E-3</v>
      </c>
    </row>
    <row r="35" spans="1:44" x14ac:dyDescent="0.45">
      <c r="A35" s="2">
        <v>28</v>
      </c>
      <c r="B35" s="2">
        <v>5.7200000000000003E-4</v>
      </c>
      <c r="C35" s="2">
        <v>2.8800000000000001E-4</v>
      </c>
      <c r="I35" s="2">
        <v>18.100000000000001</v>
      </c>
      <c r="J35" s="2">
        <v>5.9639999999999997E-4</v>
      </c>
      <c r="K35" s="2">
        <v>1.7560000000000001E-4</v>
      </c>
      <c r="R35" s="2">
        <v>17.11</v>
      </c>
      <c r="S35" s="2">
        <v>6.0234000000000004E-4</v>
      </c>
      <c r="T35" s="2">
        <v>1.6966E-4</v>
      </c>
      <c r="V35" s="11"/>
      <c r="W35" s="6">
        <v>1.6</v>
      </c>
      <c r="X35" s="6">
        <v>0.16</v>
      </c>
      <c r="Y35" s="11" t="str">
        <f t="shared" si="11"/>
        <v/>
      </c>
      <c r="Z35" s="6">
        <f t="shared" si="12"/>
        <v>31.6</v>
      </c>
      <c r="AA35" s="23">
        <f t="shared" si="13"/>
        <v>30.16</v>
      </c>
      <c r="AB35" t="str">
        <f t="shared" si="0"/>
        <v/>
      </c>
      <c r="AC35">
        <f t="shared" si="1"/>
        <v>6.0380000000000004E-4</v>
      </c>
      <c r="AD35">
        <f t="shared" si="2"/>
        <v>5.8675999999999997E-4</v>
      </c>
      <c r="AE35" s="18" t="str">
        <f t="shared" si="5"/>
        <v/>
      </c>
      <c r="AF35" s="7">
        <f t="shared" si="6"/>
        <v>0.99905092248240113</v>
      </c>
      <c r="AG35" s="12">
        <f t="shared" si="7"/>
        <v>0.9999062721181784</v>
      </c>
      <c r="AI35" s="54" t="str">
        <f t="shared" si="8"/>
        <v/>
      </c>
      <c r="AJ35" s="54">
        <f t="shared" si="9"/>
        <v>8.019562899726515E-2</v>
      </c>
      <c r="AK35" s="54">
        <f t="shared" si="10"/>
        <v>7.7842050711825032E-3</v>
      </c>
      <c r="AO35" s="40" t="s">
        <v>29</v>
      </c>
      <c r="AP35" s="48" t="s">
        <v>30</v>
      </c>
      <c r="AQ35" s="48"/>
      <c r="AR35" s="49"/>
    </row>
    <row r="36" spans="1:44" x14ac:dyDescent="0.45">
      <c r="A36" s="2">
        <v>29</v>
      </c>
      <c r="B36" s="2">
        <v>5.7700000000000004E-4</v>
      </c>
      <c r="C36" s="2">
        <v>3.0699999999999998E-4</v>
      </c>
      <c r="I36" s="2">
        <v>18.2</v>
      </c>
      <c r="J36" s="2">
        <v>5.9579999999999995E-4</v>
      </c>
      <c r="K36" s="2">
        <v>1.762E-4</v>
      </c>
      <c r="R36" s="2">
        <v>17.12</v>
      </c>
      <c r="S36" s="2">
        <v>6.0227999999999996E-4</v>
      </c>
      <c r="T36" s="2">
        <v>1.6971999999999999E-4</v>
      </c>
      <c r="V36" s="11"/>
      <c r="W36" s="6">
        <v>1.7000000000000002</v>
      </c>
      <c r="X36" s="6">
        <v>0.17</v>
      </c>
      <c r="Y36" s="11" t="str">
        <f t="shared" si="11"/>
        <v/>
      </c>
      <c r="Z36" s="6">
        <f t="shared" si="12"/>
        <v>31.7</v>
      </c>
      <c r="AA36" s="23">
        <f t="shared" si="13"/>
        <v>30.17</v>
      </c>
      <c r="AB36" t="str">
        <f t="shared" si="0"/>
        <v/>
      </c>
      <c r="AC36">
        <f t="shared" si="1"/>
        <v>6.0510000000000002E-4</v>
      </c>
      <c r="AD36">
        <f t="shared" si="2"/>
        <v>5.8686999999999997E-4</v>
      </c>
      <c r="AE36" s="18" t="str">
        <f t="shared" si="5"/>
        <v/>
      </c>
      <c r="AF36" s="7">
        <f t="shared" si="6"/>
        <v>0.99899059978770166</v>
      </c>
      <c r="AG36" s="12">
        <f t="shared" si="7"/>
        <v>0.99990040506813616</v>
      </c>
      <c r="AI36" s="54" t="str">
        <f t="shared" si="8"/>
        <v/>
      </c>
      <c r="AJ36" s="54">
        <f t="shared" si="9"/>
        <v>8.5381576241001789E-2</v>
      </c>
      <c r="AK36" s="54">
        <f t="shared" si="10"/>
        <v>8.2723886622411459E-3</v>
      </c>
      <c r="AO36" s="27"/>
      <c r="AP36" s="50" t="s">
        <v>31</v>
      </c>
      <c r="AQ36" s="50"/>
      <c r="AR36" s="51"/>
    </row>
    <row r="37" spans="1:44" x14ac:dyDescent="0.45">
      <c r="A37" s="2">
        <v>30</v>
      </c>
      <c r="B37" s="2">
        <v>5.8500000000000002E-4</v>
      </c>
      <c r="C37" s="2">
        <v>3.28E-4</v>
      </c>
      <c r="I37" s="2">
        <v>18.3</v>
      </c>
      <c r="J37" s="2">
        <v>5.9520000000000005E-4</v>
      </c>
      <c r="K37" s="2">
        <v>1.7679999999999999E-4</v>
      </c>
      <c r="R37" s="2">
        <v>17.13</v>
      </c>
      <c r="S37" s="2">
        <v>6.0221999999999999E-4</v>
      </c>
      <c r="T37" s="2">
        <v>1.6977999999999999E-4</v>
      </c>
      <c r="V37" s="11"/>
      <c r="W37" s="6">
        <v>1.8</v>
      </c>
      <c r="X37" s="6">
        <v>0.18</v>
      </c>
      <c r="Y37" s="11" t="str">
        <f t="shared" si="11"/>
        <v/>
      </c>
      <c r="Z37" s="6">
        <f t="shared" si="12"/>
        <v>31.8</v>
      </c>
      <c r="AA37" s="23">
        <f t="shared" si="13"/>
        <v>30.18</v>
      </c>
      <c r="AB37" t="str">
        <f t="shared" si="0"/>
        <v/>
      </c>
      <c r="AC37">
        <f t="shared" si="1"/>
        <v>6.0639999999999999E-4</v>
      </c>
      <c r="AD37">
        <f t="shared" si="2"/>
        <v>5.8697999999999997E-4</v>
      </c>
      <c r="AE37" s="18" t="str">
        <f t="shared" si="5"/>
        <v/>
      </c>
      <c r="AF37" s="7">
        <f t="shared" si="6"/>
        <v>0.99893015086650849</v>
      </c>
      <c r="AG37" s="12">
        <f t="shared" si="7"/>
        <v>0.99989453695262898</v>
      </c>
      <c r="AI37" s="54" t="str">
        <f t="shared" si="8"/>
        <v/>
      </c>
      <c r="AJ37" s="54">
        <f t="shared" si="9"/>
        <v>9.0588461500812859E-2</v>
      </c>
      <c r="AK37" s="54">
        <f t="shared" si="10"/>
        <v>8.7607693003018787E-3</v>
      </c>
      <c r="AO37" s="28"/>
      <c r="AP37" s="52" t="s">
        <v>32</v>
      </c>
      <c r="AQ37" s="52"/>
      <c r="AR37" s="53"/>
    </row>
    <row r="38" spans="1:44" x14ac:dyDescent="0.45">
      <c r="A38" s="2">
        <v>31</v>
      </c>
      <c r="B38" s="2">
        <v>5.9599999999999996E-4</v>
      </c>
      <c r="C38" s="2">
        <v>3.5100000000000002E-4</v>
      </c>
      <c r="I38" s="2">
        <v>18.399999999999999</v>
      </c>
      <c r="J38" s="2">
        <v>5.9460000000000003E-4</v>
      </c>
      <c r="K38" s="2">
        <v>1.774E-4</v>
      </c>
      <c r="R38" s="2">
        <v>17.14</v>
      </c>
      <c r="S38" s="2">
        <v>6.0216000000000002E-4</v>
      </c>
      <c r="T38" s="2">
        <v>1.6983999999999999E-4</v>
      </c>
      <c r="V38" s="11"/>
      <c r="W38" s="6">
        <v>1.9000000000000001</v>
      </c>
      <c r="X38" s="6">
        <v>0.19</v>
      </c>
      <c r="Y38" s="11" t="str">
        <f t="shared" si="11"/>
        <v/>
      </c>
      <c r="Z38" s="6">
        <f t="shared" si="12"/>
        <v>31.9</v>
      </c>
      <c r="AA38" s="23">
        <f t="shared" si="13"/>
        <v>30.19</v>
      </c>
      <c r="AB38" t="str">
        <f t="shared" si="0"/>
        <v/>
      </c>
      <c r="AC38">
        <f t="shared" si="1"/>
        <v>6.0769999999999997E-4</v>
      </c>
      <c r="AD38">
        <f t="shared" si="2"/>
        <v>5.8708999999999996E-4</v>
      </c>
      <c r="AE38" s="18" t="str">
        <f t="shared" si="5"/>
        <v/>
      </c>
      <c r="AF38" s="7">
        <f t="shared" si="6"/>
        <v>0.99886957574215995</v>
      </c>
      <c r="AG38" s="12">
        <f t="shared" si="7"/>
        <v>0.99988866777167595</v>
      </c>
      <c r="AI38" s="54" t="str">
        <f t="shared" si="8"/>
        <v/>
      </c>
      <c r="AJ38" s="54">
        <f t="shared" si="9"/>
        <v>9.581637114679023E-2</v>
      </c>
      <c r="AK38" s="54">
        <f t="shared" si="10"/>
        <v>9.2493470664141327E-3</v>
      </c>
    </row>
    <row r="39" spans="1:44" x14ac:dyDescent="0.45">
      <c r="A39" s="2">
        <v>32</v>
      </c>
      <c r="B39" s="2">
        <v>6.0899999999999995E-4</v>
      </c>
      <c r="C39" s="2">
        <v>3.77E-4</v>
      </c>
      <c r="I39" s="2">
        <v>18.5</v>
      </c>
      <c r="J39" s="2">
        <v>5.9400000000000002E-4</v>
      </c>
      <c r="K39" s="2">
        <v>1.7799999999999999E-4</v>
      </c>
      <c r="R39" s="2">
        <v>17.149999999999999</v>
      </c>
      <c r="S39" s="2">
        <v>6.0210000000000005E-4</v>
      </c>
      <c r="T39" s="2">
        <v>1.6990000000000001E-4</v>
      </c>
      <c r="V39" s="11"/>
      <c r="W39" s="6">
        <v>2</v>
      </c>
      <c r="X39" s="6">
        <v>0.2</v>
      </c>
      <c r="Y39" s="11" t="str">
        <f t="shared" si="11"/>
        <v/>
      </c>
      <c r="Z39" s="6">
        <f t="shared" si="12"/>
        <v>32</v>
      </c>
      <c r="AA39" s="23">
        <f t="shared" si="13"/>
        <v>30.2</v>
      </c>
      <c r="AB39" t="str">
        <f t="shared" si="0"/>
        <v/>
      </c>
      <c r="AC39">
        <f t="shared" si="1"/>
        <v>6.0899999999999995E-4</v>
      </c>
      <c r="AD39">
        <f t="shared" si="2"/>
        <v>5.8719999999999996E-4</v>
      </c>
      <c r="AE39" s="18" t="str">
        <f t="shared" si="5"/>
        <v/>
      </c>
      <c r="AF39" s="7">
        <f t="shared" si="6"/>
        <v>0.99880887443804212</v>
      </c>
      <c r="AG39" s="12">
        <f t="shared" si="7"/>
        <v>0.9998827975252963</v>
      </c>
      <c r="AI39" s="54" t="str">
        <f t="shared" si="8"/>
        <v/>
      </c>
      <c r="AJ39" s="54">
        <f t="shared" si="9"/>
        <v>0.1010653919079207</v>
      </c>
      <c r="AK39" s="54">
        <f t="shared" si="10"/>
        <v>9.7381220416608849E-3</v>
      </c>
      <c r="AO39" t="s">
        <v>35</v>
      </c>
    </row>
    <row r="40" spans="1:44" x14ac:dyDescent="0.45">
      <c r="A40" s="2">
        <v>33</v>
      </c>
      <c r="B40" s="2">
        <v>6.2600000000000004E-4</v>
      </c>
      <c r="C40" s="2">
        <v>4.06E-4</v>
      </c>
      <c r="I40" s="2">
        <v>18.600000000000001</v>
      </c>
      <c r="J40" s="2">
        <v>5.934E-4</v>
      </c>
      <c r="K40" s="2">
        <v>1.786E-4</v>
      </c>
      <c r="R40" s="2">
        <v>17.16</v>
      </c>
      <c r="S40" s="2">
        <v>6.0203999999999998E-4</v>
      </c>
      <c r="T40" s="2">
        <v>1.6996000000000001E-4</v>
      </c>
      <c r="V40" s="11"/>
      <c r="W40" s="6">
        <v>2.1</v>
      </c>
      <c r="X40" s="6">
        <v>0.21</v>
      </c>
      <c r="Y40" s="11" t="str">
        <f t="shared" si="11"/>
        <v/>
      </c>
      <c r="Z40" s="6">
        <f t="shared" si="12"/>
        <v>32.1</v>
      </c>
      <c r="AA40" s="23">
        <f t="shared" si="13"/>
        <v>30.21</v>
      </c>
      <c r="AB40" t="str">
        <f t="shared" si="0"/>
        <v/>
      </c>
      <c r="AC40">
        <f t="shared" si="1"/>
        <v>6.1070000000000004E-4</v>
      </c>
      <c r="AD40">
        <f t="shared" si="2"/>
        <v>5.8730999999999996E-4</v>
      </c>
      <c r="AE40" s="18" t="str">
        <f t="shared" si="5"/>
        <v/>
      </c>
      <c r="AF40" s="7">
        <f t="shared" si="6"/>
        <v>0.99874804697758879</v>
      </c>
      <c r="AG40" s="12">
        <f t="shared" si="7"/>
        <v>0.99987692621350921</v>
      </c>
      <c r="AI40" s="54" t="str">
        <f t="shared" si="8"/>
        <v/>
      </c>
      <c r="AJ40" s="54">
        <f t="shared" si="9"/>
        <v>0.1063356108735883</v>
      </c>
      <c r="AK40" s="54">
        <f t="shared" si="10"/>
        <v>1.0227094307158673E-2</v>
      </c>
      <c r="AO40" s="29" t="s">
        <v>41</v>
      </c>
      <c r="AP40" s="29" t="s">
        <v>40</v>
      </c>
      <c r="AQ40" s="29" t="s">
        <v>39</v>
      </c>
    </row>
    <row r="41" spans="1:44" x14ac:dyDescent="0.45">
      <c r="A41" s="2">
        <v>34</v>
      </c>
      <c r="B41" s="2">
        <v>6.4700000000000001E-4</v>
      </c>
      <c r="C41" s="2">
        <v>4.3800000000000002E-4</v>
      </c>
      <c r="I41" s="2">
        <v>18.7</v>
      </c>
      <c r="J41" s="2">
        <v>5.9279999999999999E-4</v>
      </c>
      <c r="K41" s="2">
        <v>1.7919999999999999E-4</v>
      </c>
      <c r="R41" s="2">
        <v>17.170000000000002</v>
      </c>
      <c r="S41" s="2">
        <v>6.0198000000000001E-4</v>
      </c>
      <c r="T41" s="2">
        <v>1.7002E-4</v>
      </c>
      <c r="V41" s="11"/>
      <c r="W41" s="6">
        <v>2.2000000000000002</v>
      </c>
      <c r="X41" s="6">
        <v>0.22</v>
      </c>
      <c r="Y41" s="11" t="str">
        <f t="shared" si="11"/>
        <v/>
      </c>
      <c r="Z41" s="6">
        <f t="shared" si="12"/>
        <v>32.200000000000003</v>
      </c>
      <c r="AA41" s="23">
        <f t="shared" si="13"/>
        <v>30.22</v>
      </c>
      <c r="AB41" t="str">
        <f t="shared" si="0"/>
        <v/>
      </c>
      <c r="AC41">
        <f t="shared" si="1"/>
        <v>6.1240000000000003E-4</v>
      </c>
      <c r="AD41">
        <f t="shared" si="2"/>
        <v>5.8741999999999996E-4</v>
      </c>
      <c r="AE41" s="18" t="str">
        <f t="shared" si="5"/>
        <v/>
      </c>
      <c r="AF41" s="7">
        <f t="shared" si="6"/>
        <v>0.99868705343435982</v>
      </c>
      <c r="AG41" s="12">
        <f t="shared" si="7"/>
        <v>0.9998710538363339</v>
      </c>
      <c r="AI41" s="54" t="str">
        <f t="shared" si="8"/>
        <v/>
      </c>
      <c r="AJ41" s="54">
        <f t="shared" si="9"/>
        <v>0.11162707974850741</v>
      </c>
      <c r="AK41" s="54">
        <f t="shared" si="10"/>
        <v>1.0716263944057607E-2</v>
      </c>
      <c r="AO41" s="47">
        <v>5.0377861095206915E-2</v>
      </c>
      <c r="AP41" s="47">
        <v>4.9207025156687165E-2</v>
      </c>
      <c r="AQ41" s="47">
        <v>4.9089183442849481E-2</v>
      </c>
    </row>
    <row r="42" spans="1:44" x14ac:dyDescent="0.45">
      <c r="A42" s="2">
        <v>35</v>
      </c>
      <c r="B42" s="2">
        <v>6.7400000000000001E-4</v>
      </c>
      <c r="C42" s="2">
        <v>4.73E-4</v>
      </c>
      <c r="I42" s="2">
        <v>18.8</v>
      </c>
      <c r="J42" s="2">
        <v>5.9219999999999997E-4</v>
      </c>
      <c r="K42" s="2">
        <v>1.7980000000000001E-4</v>
      </c>
      <c r="R42" s="2">
        <v>17.18</v>
      </c>
      <c r="S42" s="2">
        <v>6.0192000000000004E-4</v>
      </c>
      <c r="T42" s="2">
        <v>1.7008E-4</v>
      </c>
      <c r="V42" s="11"/>
      <c r="W42" s="6">
        <v>2.3000000000000003</v>
      </c>
      <c r="X42" s="6">
        <v>0.23</v>
      </c>
      <c r="Y42" s="11" t="str">
        <f t="shared" si="11"/>
        <v/>
      </c>
      <c r="Z42" s="6">
        <f t="shared" si="12"/>
        <v>32.299999999999997</v>
      </c>
      <c r="AA42" s="23">
        <f t="shared" si="13"/>
        <v>30.23</v>
      </c>
      <c r="AB42" t="str">
        <f t="shared" si="0"/>
        <v/>
      </c>
      <c r="AC42">
        <f t="shared" si="1"/>
        <v>6.1410000000000002E-4</v>
      </c>
      <c r="AD42">
        <f t="shared" si="2"/>
        <v>5.8752999999999995E-4</v>
      </c>
      <c r="AE42" s="18" t="str">
        <f t="shared" si="5"/>
        <v/>
      </c>
      <c r="AF42" s="7">
        <f t="shared" si="6"/>
        <v>0.99862589383920752</v>
      </c>
      <c r="AG42" s="12">
        <f t="shared" si="7"/>
        <v>0.99986518039378947</v>
      </c>
      <c r="AI42" s="54" t="str">
        <f t="shared" si="8"/>
        <v/>
      </c>
      <c r="AJ42" s="54">
        <f t="shared" si="9"/>
        <v>0.11693988662553395</v>
      </c>
      <c r="AK42" s="54">
        <f t="shared" si="10"/>
        <v>1.1205631033541384E-2</v>
      </c>
    </row>
    <row r="43" spans="1:44" x14ac:dyDescent="0.45">
      <c r="A43" s="2">
        <v>36</v>
      </c>
      <c r="B43" s="2">
        <v>7.0600000000000003E-4</v>
      </c>
      <c r="C43" s="2">
        <v>5.1199999999999998E-4</v>
      </c>
      <c r="I43" s="2">
        <v>18.899999999999999</v>
      </c>
      <c r="J43" s="2">
        <v>5.9159999999999996E-4</v>
      </c>
      <c r="K43" s="2">
        <v>1.8039999999999999E-4</v>
      </c>
      <c r="R43" s="2">
        <v>17.190000000000001</v>
      </c>
      <c r="S43" s="2">
        <v>6.0185999999999996E-4</v>
      </c>
      <c r="T43" s="2">
        <v>1.7013999999999999E-4</v>
      </c>
      <c r="V43" s="11"/>
      <c r="W43" s="6">
        <v>2.4000000000000004</v>
      </c>
      <c r="X43" s="6">
        <v>0.24</v>
      </c>
      <c r="Y43" s="11" t="str">
        <f t="shared" si="11"/>
        <v/>
      </c>
      <c r="Z43" s="6">
        <f t="shared" si="12"/>
        <v>32.4</v>
      </c>
      <c r="AA43" s="23">
        <f t="shared" si="13"/>
        <v>30.24</v>
      </c>
      <c r="AB43" t="str">
        <f t="shared" si="0"/>
        <v/>
      </c>
      <c r="AC43">
        <f t="shared" si="1"/>
        <v>6.1580000000000001E-4</v>
      </c>
      <c r="AD43">
        <f t="shared" si="2"/>
        <v>5.8763999999999995E-4</v>
      </c>
      <c r="AE43" s="18" t="str">
        <f t="shared" si="5"/>
        <v/>
      </c>
      <c r="AF43" s="7">
        <f t="shared" si="6"/>
        <v>0.99856456822306683</v>
      </c>
      <c r="AG43" s="12">
        <f t="shared" si="7"/>
        <v>0.99985930588589511</v>
      </c>
      <c r="AI43" s="54" t="str">
        <f t="shared" si="8"/>
        <v/>
      </c>
      <c r="AJ43" s="54">
        <f t="shared" si="9"/>
        <v>0.12227411996614247</v>
      </c>
      <c r="AK43" s="54">
        <f t="shared" si="10"/>
        <v>1.1695195656827306E-2</v>
      </c>
    </row>
    <row r="44" spans="1:44" x14ac:dyDescent="0.45">
      <c r="A44" s="2">
        <v>37</v>
      </c>
      <c r="B44" s="2">
        <v>7.4399999999999998E-4</v>
      </c>
      <c r="C44" s="2">
        <v>5.5500000000000005E-4</v>
      </c>
      <c r="I44" s="2">
        <v>19</v>
      </c>
      <c r="J44" s="2">
        <v>5.9100000000000005E-4</v>
      </c>
      <c r="K44" s="2">
        <v>1.8100000000000001E-4</v>
      </c>
      <c r="R44" s="2">
        <v>17.2</v>
      </c>
      <c r="S44" s="2">
        <v>6.0179999999999999E-4</v>
      </c>
      <c r="T44" s="2">
        <v>1.7019999999999999E-4</v>
      </c>
      <c r="V44" s="11"/>
      <c r="W44" s="6">
        <v>2.5</v>
      </c>
      <c r="X44" s="6">
        <v>0.25</v>
      </c>
      <c r="Y44" s="11" t="str">
        <f t="shared" si="11"/>
        <v/>
      </c>
      <c r="Z44" s="6">
        <f t="shared" si="12"/>
        <v>32.5</v>
      </c>
      <c r="AA44" s="23">
        <f t="shared" si="13"/>
        <v>30.25</v>
      </c>
      <c r="AB44" t="str">
        <f t="shared" si="0"/>
        <v/>
      </c>
      <c r="AC44">
        <f t="shared" si="1"/>
        <v>6.1749999999999999E-4</v>
      </c>
      <c r="AD44">
        <f t="shared" si="2"/>
        <v>5.8774999999999995E-4</v>
      </c>
      <c r="AE44" s="18" t="str">
        <f t="shared" si="5"/>
        <v/>
      </c>
      <c r="AF44" s="7">
        <f t="shared" si="6"/>
        <v>0.9985030766169557</v>
      </c>
      <c r="AG44" s="12">
        <f t="shared" si="7"/>
        <v>0.99985343031267004</v>
      </c>
      <c r="AI44" s="54" t="str">
        <f t="shared" si="8"/>
        <v/>
      </c>
      <c r="AJ44" s="54">
        <f t="shared" si="9"/>
        <v>0.12762986860198328</v>
      </c>
      <c r="AK44" s="54">
        <f t="shared" si="10"/>
        <v>1.218495789516629E-2</v>
      </c>
    </row>
    <row r="45" spans="1:44" x14ac:dyDescent="0.45">
      <c r="A45" s="2">
        <v>38</v>
      </c>
      <c r="B45" s="2">
        <v>7.8799999999999996E-4</v>
      </c>
      <c r="C45" s="2">
        <v>6.0300000000000002E-4</v>
      </c>
      <c r="I45" s="2">
        <v>19.100000000000001</v>
      </c>
      <c r="J45" s="2">
        <v>5.9040000000000004E-4</v>
      </c>
      <c r="K45" s="2">
        <v>1.818E-4</v>
      </c>
      <c r="R45" s="2">
        <v>17.21</v>
      </c>
      <c r="S45" s="2">
        <v>6.0174000000000002E-4</v>
      </c>
      <c r="T45" s="2">
        <v>1.7026000000000001E-4</v>
      </c>
      <c r="V45" s="11"/>
      <c r="W45" s="6">
        <v>2.6</v>
      </c>
      <c r="X45" s="6">
        <v>0.26</v>
      </c>
      <c r="Y45" s="11" t="str">
        <f t="shared" si="11"/>
        <v/>
      </c>
      <c r="Z45" s="6">
        <f t="shared" si="12"/>
        <v>32.6</v>
      </c>
      <c r="AA45" s="23">
        <f t="shared" si="13"/>
        <v>30.26</v>
      </c>
      <c r="AB45" t="str">
        <f t="shared" si="0"/>
        <v/>
      </c>
      <c r="AC45">
        <f t="shared" si="1"/>
        <v>6.1919999999999998E-4</v>
      </c>
      <c r="AD45">
        <f t="shared" si="2"/>
        <v>5.8786000000000005E-4</v>
      </c>
      <c r="AE45" s="18" t="str">
        <f t="shared" si="5"/>
        <v/>
      </c>
      <c r="AF45" s="7">
        <f t="shared" si="6"/>
        <v>0.99844141905197459</v>
      </c>
      <c r="AG45" s="12">
        <f t="shared" si="7"/>
        <v>0.99984755367413336</v>
      </c>
      <c r="AI45" s="54" t="str">
        <f t="shared" si="8"/>
        <v/>
      </c>
      <c r="AJ45" s="54">
        <f t="shared" si="9"/>
        <v>0.13300722173644611</v>
      </c>
      <c r="AK45" s="54">
        <f t="shared" si="10"/>
        <v>1.2674917829842879E-2</v>
      </c>
    </row>
    <row r="46" spans="1:44" x14ac:dyDescent="0.45">
      <c r="A46" s="2">
        <v>39</v>
      </c>
      <c r="B46" s="2">
        <v>8.4000000000000003E-4</v>
      </c>
      <c r="C46" s="2">
        <v>6.5600000000000001E-4</v>
      </c>
      <c r="I46" s="2">
        <v>19.2</v>
      </c>
      <c r="J46" s="2">
        <v>5.8980000000000002E-4</v>
      </c>
      <c r="K46" s="2">
        <v>1.8259999999999999E-4</v>
      </c>
      <c r="R46" s="2">
        <v>17.22</v>
      </c>
      <c r="S46" s="2">
        <v>6.0168000000000005E-4</v>
      </c>
      <c r="T46" s="2">
        <v>1.7032000000000001E-4</v>
      </c>
      <c r="V46" s="11"/>
      <c r="W46" s="6">
        <v>2.7</v>
      </c>
      <c r="X46" s="6">
        <v>0.27</v>
      </c>
      <c r="Y46" s="11" t="str">
        <f t="shared" si="11"/>
        <v/>
      </c>
      <c r="Z46" s="6">
        <f t="shared" si="12"/>
        <v>32.700000000000003</v>
      </c>
      <c r="AA46" s="23">
        <f t="shared" si="13"/>
        <v>30.27</v>
      </c>
      <c r="AB46" t="str">
        <f t="shared" si="0"/>
        <v/>
      </c>
      <c r="AC46">
        <f t="shared" si="1"/>
        <v>6.2089999999999997E-4</v>
      </c>
      <c r="AD46">
        <f t="shared" si="2"/>
        <v>5.8797000000000005E-4</v>
      </c>
      <c r="AE46" s="18" t="str">
        <f t="shared" si="5"/>
        <v/>
      </c>
      <c r="AF46" s="7">
        <f t="shared" si="6"/>
        <v>0.99837959555930689</v>
      </c>
      <c r="AG46" s="12">
        <f t="shared" si="7"/>
        <v>0.99984167597030438</v>
      </c>
      <c r="AI46" s="54" t="str">
        <f t="shared" si="8"/>
        <v/>
      </c>
      <c r="AJ46" s="54">
        <f t="shared" si="9"/>
        <v>0.13840626894623054</v>
      </c>
      <c r="AK46" s="54">
        <f t="shared" si="10"/>
        <v>1.3165075542175267E-2</v>
      </c>
    </row>
    <row r="47" spans="1:44" x14ac:dyDescent="0.45">
      <c r="A47" s="2">
        <v>40</v>
      </c>
      <c r="B47" s="2">
        <v>9.0200000000000002E-4</v>
      </c>
      <c r="C47" s="2">
        <v>7.1500000000000003E-4</v>
      </c>
      <c r="I47" s="2">
        <v>19.3</v>
      </c>
      <c r="J47" s="2">
        <v>5.8920000000000001E-4</v>
      </c>
      <c r="K47" s="2">
        <v>1.8340000000000001E-4</v>
      </c>
      <c r="R47" s="2">
        <v>17.23</v>
      </c>
      <c r="S47" s="2">
        <v>6.0161999999999998E-4</v>
      </c>
      <c r="T47" s="2">
        <v>1.7038000000000001E-4</v>
      </c>
      <c r="V47" s="11"/>
      <c r="W47" s="6">
        <v>2.8000000000000003</v>
      </c>
      <c r="X47" s="6">
        <v>0.28000000000000003</v>
      </c>
      <c r="Y47" s="11" t="str">
        <f t="shared" si="11"/>
        <v/>
      </c>
      <c r="Z47" s="6">
        <f t="shared" si="12"/>
        <v>32.799999999999997</v>
      </c>
      <c r="AA47" s="23">
        <f t="shared" si="13"/>
        <v>30.28</v>
      </c>
      <c r="AB47" t="str">
        <f t="shared" si="0"/>
        <v/>
      </c>
      <c r="AC47">
        <f t="shared" si="1"/>
        <v>6.2259999999999995E-4</v>
      </c>
      <c r="AD47">
        <f t="shared" si="2"/>
        <v>5.8808000000000005E-4</v>
      </c>
      <c r="AE47" s="18" t="str">
        <f t="shared" si="5"/>
        <v/>
      </c>
      <c r="AF47" s="7">
        <f t="shared" si="6"/>
        <v>0.99831760617021859</v>
      </c>
      <c r="AG47" s="12">
        <f t="shared" si="7"/>
        <v>0.99983579720120219</v>
      </c>
      <c r="AI47" s="54" t="str">
        <f t="shared" si="8"/>
        <v/>
      </c>
      <c r="AJ47" s="54">
        <f t="shared" si="9"/>
        <v>0.14382710018292305</v>
      </c>
      <c r="AK47" s="54">
        <f t="shared" si="10"/>
        <v>1.3655431113515297E-2</v>
      </c>
    </row>
    <row r="48" spans="1:44" x14ac:dyDescent="0.45">
      <c r="A48" s="2">
        <v>41</v>
      </c>
      <c r="B48" s="2">
        <v>9.7400000000000004E-4</v>
      </c>
      <c r="C48" s="2">
        <v>7.8100000000000001E-4</v>
      </c>
      <c r="I48" s="2">
        <v>19.399999999999999</v>
      </c>
      <c r="J48" s="2">
        <v>5.886E-4</v>
      </c>
      <c r="K48" s="2">
        <v>1.8420000000000001E-4</v>
      </c>
      <c r="R48" s="2">
        <v>17.239999999999998</v>
      </c>
      <c r="S48" s="2">
        <v>6.0156000000000001E-4</v>
      </c>
      <c r="T48" s="2">
        <v>1.7044E-4</v>
      </c>
      <c r="V48" s="11"/>
      <c r="W48" s="6">
        <v>2.9000000000000004</v>
      </c>
      <c r="X48" s="6">
        <v>0.28999999999999998</v>
      </c>
      <c r="Y48" s="11" t="str">
        <f t="shared" si="11"/>
        <v/>
      </c>
      <c r="Z48" s="6">
        <f t="shared" si="12"/>
        <v>32.9</v>
      </c>
      <c r="AA48" s="23">
        <f t="shared" si="13"/>
        <v>30.29</v>
      </c>
      <c r="AB48" t="str">
        <f t="shared" si="0"/>
        <v/>
      </c>
      <c r="AC48">
        <f t="shared" si="1"/>
        <v>6.2430000000000005E-4</v>
      </c>
      <c r="AD48">
        <f t="shared" si="2"/>
        <v>5.8819000000000005E-4</v>
      </c>
      <c r="AE48" s="18" t="str">
        <f t="shared" si="5"/>
        <v/>
      </c>
      <c r="AF48" s="7">
        <f t="shared" si="6"/>
        <v>0.99825545091605838</v>
      </c>
      <c r="AG48" s="12">
        <f t="shared" si="7"/>
        <v>0.99982991736684601</v>
      </c>
      <c r="AI48" s="54" t="str">
        <f t="shared" si="8"/>
        <v/>
      </c>
      <c r="AJ48" s="54">
        <f t="shared" si="9"/>
        <v>0.14926980577458085</v>
      </c>
      <c r="AK48" s="54">
        <f t="shared" si="10"/>
        <v>1.414598462524849E-2</v>
      </c>
    </row>
    <row r="49" spans="1:37" x14ac:dyDescent="0.45">
      <c r="A49" s="2">
        <v>42</v>
      </c>
      <c r="B49" s="2">
        <v>1.057E-3</v>
      </c>
      <c r="C49" s="2">
        <v>8.5300000000000003E-4</v>
      </c>
      <c r="I49" s="2">
        <v>19.5</v>
      </c>
      <c r="J49" s="2">
        <v>5.8799999999999998E-4</v>
      </c>
      <c r="K49" s="2">
        <v>1.85E-4</v>
      </c>
      <c r="R49" s="2">
        <v>17.25</v>
      </c>
      <c r="S49" s="2">
        <v>6.0150000000000004E-4</v>
      </c>
      <c r="T49" s="2">
        <v>1.705E-4</v>
      </c>
      <c r="V49" s="11"/>
      <c r="W49" s="6">
        <v>3</v>
      </c>
      <c r="X49" s="6">
        <v>0.3</v>
      </c>
      <c r="Y49" s="11" t="str">
        <f t="shared" si="11"/>
        <v/>
      </c>
      <c r="Z49" s="6">
        <f t="shared" si="12"/>
        <v>33</v>
      </c>
      <c r="AA49" s="23">
        <f t="shared" si="13"/>
        <v>30.3</v>
      </c>
      <c r="AB49" t="str">
        <f t="shared" si="0"/>
        <v/>
      </c>
      <c r="AC49">
        <f t="shared" si="1"/>
        <v>6.2600000000000004E-4</v>
      </c>
      <c r="AD49">
        <f t="shared" si="2"/>
        <v>5.8830000000000004E-4</v>
      </c>
      <c r="AE49" s="18" t="str">
        <f t="shared" si="5"/>
        <v/>
      </c>
      <c r="AF49" s="7">
        <f t="shared" si="6"/>
        <v>0.9981931298282577</v>
      </c>
      <c r="AG49" s="12">
        <f t="shared" si="7"/>
        <v>0.99982403646725504</v>
      </c>
      <c r="AI49" s="54" t="str">
        <f t="shared" si="8"/>
        <v/>
      </c>
      <c r="AJ49" s="54">
        <f t="shared" si="9"/>
        <v>0.15473447642732241</v>
      </c>
      <c r="AK49" s="54">
        <f t="shared" si="10"/>
        <v>1.4636736158794052E-2</v>
      </c>
    </row>
    <row r="50" spans="1:37" x14ac:dyDescent="0.45">
      <c r="A50" s="2">
        <v>43</v>
      </c>
      <c r="B50" s="2">
        <v>1.1540000000000001E-3</v>
      </c>
      <c r="C50" s="2">
        <v>9.3400000000000004E-4</v>
      </c>
      <c r="I50" s="2">
        <v>19.600000000000001</v>
      </c>
      <c r="J50" s="2">
        <v>5.8739999999999997E-4</v>
      </c>
      <c r="K50" s="2">
        <v>1.8579999999999999E-4</v>
      </c>
      <c r="R50" s="2">
        <v>17.260000000000002</v>
      </c>
      <c r="S50" s="2">
        <v>6.0143999999999996E-4</v>
      </c>
      <c r="T50" s="2">
        <v>1.7055999999999999E-4</v>
      </c>
      <c r="V50" s="11"/>
      <c r="W50" s="6">
        <v>3.1</v>
      </c>
      <c r="X50" s="6">
        <v>0.31</v>
      </c>
      <c r="Y50" s="11" t="str">
        <f t="shared" si="11"/>
        <v/>
      </c>
      <c r="Z50" s="6">
        <f t="shared" si="12"/>
        <v>33.1</v>
      </c>
      <c r="AA50" s="23">
        <f t="shared" si="13"/>
        <v>30.31</v>
      </c>
      <c r="AB50" t="str">
        <f t="shared" si="0"/>
        <v/>
      </c>
      <c r="AC50">
        <f t="shared" si="1"/>
        <v>6.2810000000000003E-4</v>
      </c>
      <c r="AD50">
        <f t="shared" si="2"/>
        <v>5.8841000000000004E-4</v>
      </c>
      <c r="AE50" s="18" t="str">
        <f t="shared" si="5"/>
        <v/>
      </c>
      <c r="AF50" s="7">
        <f t="shared" si="6"/>
        <v>0.99813064293833043</v>
      </c>
      <c r="AG50" s="12">
        <f t="shared" si="7"/>
        <v>0.99981815450244849</v>
      </c>
      <c r="AI50" s="54" t="str">
        <f t="shared" si="8"/>
        <v/>
      </c>
      <c r="AJ50" s="54">
        <f t="shared" si="9"/>
        <v>0.16022120322692476</v>
      </c>
      <c r="AK50" s="54">
        <f t="shared" si="10"/>
        <v>1.5127685795604886E-2</v>
      </c>
    </row>
    <row r="51" spans="1:37" x14ac:dyDescent="0.45">
      <c r="A51" s="2">
        <v>44</v>
      </c>
      <c r="B51" s="2">
        <v>1.2650000000000001E-3</v>
      </c>
      <c r="C51" s="2">
        <v>1.0219999999999999E-3</v>
      </c>
      <c r="I51" s="2">
        <v>19.7</v>
      </c>
      <c r="J51" s="2">
        <v>5.8679999999999995E-4</v>
      </c>
      <c r="K51" s="2">
        <v>1.8660000000000001E-4</v>
      </c>
      <c r="R51" s="2">
        <v>17.27</v>
      </c>
      <c r="S51" s="2">
        <v>6.0137999999999999E-4</v>
      </c>
      <c r="T51" s="2">
        <v>1.7061999999999999E-4</v>
      </c>
      <c r="V51" s="11"/>
      <c r="W51" s="6">
        <v>3.2</v>
      </c>
      <c r="X51" s="6">
        <v>0.32</v>
      </c>
      <c r="Y51" s="11" t="str">
        <f t="shared" si="11"/>
        <v/>
      </c>
      <c r="Z51" s="6">
        <f t="shared" si="12"/>
        <v>33.200000000000003</v>
      </c>
      <c r="AA51" s="23">
        <f t="shared" si="13"/>
        <v>30.32</v>
      </c>
      <c r="AB51" t="str">
        <f t="shared" si="0"/>
        <v/>
      </c>
      <c r="AC51">
        <f t="shared" si="1"/>
        <v>6.3020000000000003E-4</v>
      </c>
      <c r="AD51">
        <f t="shared" si="2"/>
        <v>5.8852000000000004E-4</v>
      </c>
      <c r="AE51" s="18" t="str">
        <f t="shared" si="5"/>
        <v/>
      </c>
      <c r="AF51" s="7">
        <f t="shared" si="6"/>
        <v>0.9980679503526475</v>
      </c>
      <c r="AG51" s="12">
        <f t="shared" si="7"/>
        <v>0.99981227147244556</v>
      </c>
      <c r="AI51" s="54" t="str">
        <f t="shared" si="8"/>
        <v/>
      </c>
      <c r="AJ51" s="54">
        <f t="shared" si="9"/>
        <v>0.16573004404927585</v>
      </c>
      <c r="AK51" s="54">
        <f t="shared" si="10"/>
        <v>1.5618833617167613E-2</v>
      </c>
    </row>
    <row r="52" spans="1:37" x14ac:dyDescent="0.45">
      <c r="A52" s="2">
        <v>45</v>
      </c>
      <c r="B52" s="2">
        <v>1.3940000000000001E-3</v>
      </c>
      <c r="C52" s="2">
        <v>1.121E-3</v>
      </c>
      <c r="I52" s="2">
        <v>19.8</v>
      </c>
      <c r="J52" s="2">
        <v>5.8620000000000005E-4</v>
      </c>
      <c r="K52" s="2">
        <v>1.874E-4</v>
      </c>
      <c r="R52" s="2">
        <v>17.28</v>
      </c>
      <c r="S52" s="2">
        <v>6.0132000000000002E-4</v>
      </c>
      <c r="T52" s="2">
        <v>1.7068000000000001E-4</v>
      </c>
      <c r="V52" s="11"/>
      <c r="W52" s="6">
        <v>3.3000000000000003</v>
      </c>
      <c r="X52" s="6">
        <v>0.33</v>
      </c>
      <c r="Y52" s="11" t="str">
        <f t="shared" si="11"/>
        <v/>
      </c>
      <c r="Z52" s="6">
        <f t="shared" si="12"/>
        <v>33.299999999999997</v>
      </c>
      <c r="AA52" s="23">
        <f t="shared" si="13"/>
        <v>30.33</v>
      </c>
      <c r="AB52" t="str">
        <f t="shared" si="0"/>
        <v/>
      </c>
      <c r="AC52">
        <f t="shared" si="1"/>
        <v>6.3230000000000003E-4</v>
      </c>
      <c r="AD52">
        <f t="shared" si="2"/>
        <v>5.8863000000000003E-4</v>
      </c>
      <c r="AE52" s="18" t="str">
        <f t="shared" si="5"/>
        <v/>
      </c>
      <c r="AF52" s="7">
        <f t="shared" si="6"/>
        <v>0.99800505211041624</v>
      </c>
      <c r="AG52" s="12">
        <f t="shared" si="7"/>
        <v>0.99980638737726546</v>
      </c>
      <c r="AI52" s="54" t="str">
        <f t="shared" si="8"/>
        <v/>
      </c>
      <c r="AJ52" s="54">
        <f t="shared" si="9"/>
        <v>0.17126109104851767</v>
      </c>
      <c r="AK52" s="54">
        <f t="shared" si="10"/>
        <v>1.6110179705002579E-2</v>
      </c>
    </row>
    <row r="53" spans="1:37" x14ac:dyDescent="0.45">
      <c r="A53" s="2">
        <v>46</v>
      </c>
      <c r="B53" s="2">
        <v>1.5410000000000001E-3</v>
      </c>
      <c r="C53" s="2">
        <v>1.23E-3</v>
      </c>
      <c r="I53" s="2">
        <v>19.899999999999999</v>
      </c>
      <c r="J53" s="2">
        <v>5.8560000000000003E-4</v>
      </c>
      <c r="K53" s="2">
        <v>1.8819999999999999E-4</v>
      </c>
      <c r="R53" s="2">
        <v>17.29</v>
      </c>
      <c r="S53" s="2">
        <v>6.0126000000000005E-4</v>
      </c>
      <c r="T53" s="2">
        <v>1.7074000000000001E-4</v>
      </c>
      <c r="V53" s="11"/>
      <c r="W53" s="6">
        <v>3.4000000000000004</v>
      </c>
      <c r="X53" s="6">
        <v>0.34</v>
      </c>
      <c r="Y53" s="11" t="str">
        <f t="shared" si="11"/>
        <v/>
      </c>
      <c r="Z53" s="6">
        <f t="shared" si="12"/>
        <v>33.4</v>
      </c>
      <c r="AA53" s="23">
        <f t="shared" si="13"/>
        <v>30.34</v>
      </c>
      <c r="AB53" t="str">
        <f t="shared" si="0"/>
        <v/>
      </c>
      <c r="AC53">
        <f t="shared" si="1"/>
        <v>6.3440000000000002E-4</v>
      </c>
      <c r="AD53">
        <f t="shared" si="2"/>
        <v>5.8874000000000003E-4</v>
      </c>
      <c r="AE53" s="18" t="str">
        <f t="shared" si="5"/>
        <v/>
      </c>
      <c r="AF53" s="7">
        <f t="shared" si="6"/>
        <v>0.99794194825097127</v>
      </c>
      <c r="AG53" s="12">
        <f t="shared" si="7"/>
        <v>0.9998005022169274</v>
      </c>
      <c r="AI53" s="54" t="str">
        <f t="shared" si="8"/>
        <v/>
      </c>
      <c r="AJ53" s="54">
        <f t="shared" si="9"/>
        <v>0.17681443676716746</v>
      </c>
      <c r="AK53" s="54">
        <f t="shared" si="10"/>
        <v>1.6601724140663871E-2</v>
      </c>
    </row>
    <row r="54" spans="1:37" x14ac:dyDescent="0.45">
      <c r="A54" s="2">
        <v>47</v>
      </c>
      <c r="B54" s="2">
        <v>1.709E-3</v>
      </c>
      <c r="C54" s="2">
        <v>1.351E-3</v>
      </c>
      <c r="I54" s="2">
        <v>20</v>
      </c>
      <c r="J54" s="2">
        <v>5.8500000000000002E-4</v>
      </c>
      <c r="K54" s="2">
        <v>1.8900000000000001E-4</v>
      </c>
      <c r="R54" s="2">
        <v>17.3</v>
      </c>
      <c r="S54" s="2">
        <v>6.0119999999999998E-4</v>
      </c>
      <c r="T54" s="2">
        <v>1.708E-4</v>
      </c>
      <c r="V54" s="11"/>
      <c r="W54" s="6">
        <v>3.5</v>
      </c>
      <c r="X54" s="6">
        <v>0.35000000000000003</v>
      </c>
      <c r="Y54" s="11" t="str">
        <f t="shared" si="11"/>
        <v/>
      </c>
      <c r="Z54" s="6">
        <f t="shared" si="12"/>
        <v>33.5</v>
      </c>
      <c r="AA54" s="23">
        <f t="shared" si="13"/>
        <v>30.35</v>
      </c>
      <c r="AB54" t="str">
        <f t="shared" si="0"/>
        <v/>
      </c>
      <c r="AC54">
        <f t="shared" si="1"/>
        <v>6.3650000000000002E-4</v>
      </c>
      <c r="AD54">
        <f t="shared" si="2"/>
        <v>5.8885000000000003E-4</v>
      </c>
      <c r="AE54" s="18" t="str">
        <f t="shared" si="5"/>
        <v/>
      </c>
      <c r="AF54" s="7">
        <f t="shared" si="6"/>
        <v>0.99787863881377425</v>
      </c>
      <c r="AG54" s="12">
        <f t="shared" si="7"/>
        <v>0.9997946159914507</v>
      </c>
      <c r="AI54" s="54" t="str">
        <f t="shared" si="8"/>
        <v/>
      </c>
      <c r="AJ54" s="54">
        <f t="shared" si="9"/>
        <v>0.18239017413777336</v>
      </c>
      <c r="AK54" s="54">
        <f t="shared" si="10"/>
        <v>1.7093467005739337E-2</v>
      </c>
    </row>
    <row r="55" spans="1:37" x14ac:dyDescent="0.45">
      <c r="A55" s="2">
        <v>48</v>
      </c>
      <c r="B55" s="2">
        <v>1.902E-3</v>
      </c>
      <c r="C55" s="2">
        <v>1.485E-3</v>
      </c>
      <c r="I55" s="2">
        <v>20.100000000000001</v>
      </c>
      <c r="J55" s="2">
        <v>5.8449999999999995E-4</v>
      </c>
      <c r="K55" s="2">
        <v>1.8980000000000001E-4</v>
      </c>
      <c r="R55" s="2">
        <v>17.309999999999999</v>
      </c>
      <c r="S55" s="2">
        <v>6.0114000000000001E-4</v>
      </c>
      <c r="T55" s="2">
        <v>1.7086E-4</v>
      </c>
      <c r="V55" s="11"/>
      <c r="W55" s="6">
        <v>3.6</v>
      </c>
      <c r="X55" s="6">
        <v>0.36</v>
      </c>
      <c r="Y55" s="11" t="str">
        <f t="shared" si="11"/>
        <v/>
      </c>
      <c r="Z55" s="6">
        <f t="shared" si="12"/>
        <v>33.6</v>
      </c>
      <c r="AA55" s="23">
        <f t="shared" si="13"/>
        <v>30.36</v>
      </c>
      <c r="AB55" t="str">
        <f t="shared" si="0"/>
        <v/>
      </c>
      <c r="AC55">
        <f t="shared" si="1"/>
        <v>6.3860000000000002E-4</v>
      </c>
      <c r="AD55">
        <f t="shared" si="2"/>
        <v>5.8896000000000003E-4</v>
      </c>
      <c r="AE55" s="18" t="str">
        <f t="shared" si="5"/>
        <v/>
      </c>
      <c r="AF55" s="7">
        <f t="shared" si="6"/>
        <v>0.99781512383841375</v>
      </c>
      <c r="AG55" s="12">
        <f t="shared" si="7"/>
        <v>0.99978872870085445</v>
      </c>
      <c r="AI55" s="54" t="str">
        <f t="shared" si="8"/>
        <v/>
      </c>
      <c r="AJ55" s="54">
        <f t="shared" si="9"/>
        <v>0.18798839648457705</v>
      </c>
      <c r="AK55" s="54">
        <f t="shared" si="10"/>
        <v>1.758540838185059E-2</v>
      </c>
    </row>
    <row r="56" spans="1:37" x14ac:dyDescent="0.45">
      <c r="A56" s="2">
        <v>49</v>
      </c>
      <c r="B56" s="2">
        <v>2.1220000000000002E-3</v>
      </c>
      <c r="C56" s="2">
        <v>1.6329999999999999E-3</v>
      </c>
      <c r="I56" s="2">
        <v>20.2</v>
      </c>
      <c r="J56" s="2">
        <v>5.8399999999999999E-4</v>
      </c>
      <c r="K56" s="2">
        <v>1.906E-4</v>
      </c>
      <c r="R56" s="2">
        <v>17.32</v>
      </c>
      <c r="S56" s="2">
        <v>6.0108000000000004E-4</v>
      </c>
      <c r="T56" s="2">
        <v>1.7092E-4</v>
      </c>
      <c r="V56" s="11"/>
      <c r="W56" s="6">
        <v>3.7</v>
      </c>
      <c r="X56" s="6">
        <v>0.37</v>
      </c>
      <c r="Y56" s="11" t="str">
        <f t="shared" si="11"/>
        <v/>
      </c>
      <c r="Z56" s="6">
        <f t="shared" si="12"/>
        <v>33.700000000000003</v>
      </c>
      <c r="AA56" s="23">
        <f t="shared" si="13"/>
        <v>30.37</v>
      </c>
      <c r="AB56" t="str">
        <f t="shared" si="0"/>
        <v/>
      </c>
      <c r="AC56">
        <f t="shared" si="1"/>
        <v>6.4070000000000002E-4</v>
      </c>
      <c r="AD56">
        <f t="shared" si="2"/>
        <v>5.8907000000000002E-4</v>
      </c>
      <c r="AE56" s="18" t="str">
        <f t="shared" si="5"/>
        <v/>
      </c>
      <c r="AF56" s="7">
        <f t="shared" si="6"/>
        <v>0.99775140336460544</v>
      </c>
      <c r="AG56" s="12">
        <f t="shared" si="7"/>
        <v>0.99978284034515785</v>
      </c>
      <c r="AI56" s="54" t="str">
        <f t="shared" si="8"/>
        <v/>
      </c>
      <c r="AJ56" s="54">
        <f t="shared" si="9"/>
        <v>0.19360919752518357</v>
      </c>
      <c r="AK56" s="54">
        <f t="shared" si="10"/>
        <v>1.807754835065303E-2</v>
      </c>
    </row>
    <row r="57" spans="1:37" x14ac:dyDescent="0.45">
      <c r="A57" s="2">
        <v>50</v>
      </c>
      <c r="B57" s="2">
        <v>2.372E-3</v>
      </c>
      <c r="C57" s="2">
        <v>1.7979999999999999E-3</v>
      </c>
      <c r="I57" s="2">
        <v>20.3</v>
      </c>
      <c r="J57" s="2">
        <v>5.8350000000000003E-4</v>
      </c>
      <c r="K57" s="2">
        <v>1.9139999999999999E-4</v>
      </c>
      <c r="R57" s="2">
        <v>17.329999999999998</v>
      </c>
      <c r="S57" s="2">
        <v>6.0101999999999996E-4</v>
      </c>
      <c r="T57" s="2">
        <v>1.7097999999999999E-4</v>
      </c>
      <c r="V57" s="11"/>
      <c r="W57" s="6">
        <v>3.8000000000000003</v>
      </c>
      <c r="X57" s="6">
        <v>0.38</v>
      </c>
      <c r="Y57" s="11" t="str">
        <f t="shared" si="11"/>
        <v/>
      </c>
      <c r="Z57" s="6">
        <f t="shared" si="12"/>
        <v>33.799999999999997</v>
      </c>
      <c r="AA57" s="23">
        <f t="shared" si="13"/>
        <v>30.38</v>
      </c>
      <c r="AB57" t="str">
        <f t="shared" si="0"/>
        <v/>
      </c>
      <c r="AC57">
        <f t="shared" si="1"/>
        <v>6.4280000000000001E-4</v>
      </c>
      <c r="AD57">
        <f t="shared" si="2"/>
        <v>5.8918000000000002E-4</v>
      </c>
      <c r="AE57" s="18" t="str">
        <f t="shared" si="5"/>
        <v/>
      </c>
      <c r="AF57" s="7">
        <f t="shared" si="6"/>
        <v>0.99768747743219188</v>
      </c>
      <c r="AG57" s="12">
        <f t="shared" si="7"/>
        <v>0.99977695092438024</v>
      </c>
      <c r="AI57" s="54" t="str">
        <f t="shared" si="8"/>
        <v/>
      </c>
      <c r="AJ57" s="54">
        <f t="shared" si="9"/>
        <v>0.19925267137223845</v>
      </c>
      <c r="AK57" s="54">
        <f t="shared" si="10"/>
        <v>1.8569886993835855E-2</v>
      </c>
    </row>
    <row r="58" spans="1:37" x14ac:dyDescent="0.45">
      <c r="A58" s="2">
        <v>51</v>
      </c>
      <c r="B58" s="2">
        <v>2.6559999999999999E-3</v>
      </c>
      <c r="C58" s="2">
        <v>1.98E-3</v>
      </c>
      <c r="I58" s="2">
        <v>20.399999999999999</v>
      </c>
      <c r="J58" s="2">
        <v>5.8299999999999997E-4</v>
      </c>
      <c r="K58" s="2">
        <v>1.9220000000000001E-4</v>
      </c>
      <c r="R58" s="2">
        <v>17.34</v>
      </c>
      <c r="S58" s="2">
        <v>6.0095999999999999E-4</v>
      </c>
      <c r="T58" s="2">
        <v>1.7103999999999999E-4</v>
      </c>
      <c r="V58" s="11"/>
      <c r="W58" s="6">
        <v>3.9000000000000004</v>
      </c>
      <c r="X58" s="6">
        <v>0.39</v>
      </c>
      <c r="Y58" s="11" t="str">
        <f t="shared" si="11"/>
        <v/>
      </c>
      <c r="Z58" s="6">
        <f t="shared" si="12"/>
        <v>33.9</v>
      </c>
      <c r="AA58" s="23">
        <f t="shared" si="13"/>
        <v>30.39</v>
      </c>
      <c r="AB58" t="str">
        <f t="shared" si="0"/>
        <v/>
      </c>
      <c r="AC58">
        <f t="shared" si="1"/>
        <v>6.4490000000000001E-4</v>
      </c>
      <c r="AD58">
        <f t="shared" si="2"/>
        <v>5.8929000000000002E-4</v>
      </c>
      <c r="AE58" s="18" t="str">
        <f t="shared" si="5"/>
        <v/>
      </c>
      <c r="AF58" s="7">
        <f t="shared" si="6"/>
        <v>0.99762334608114256</v>
      </c>
      <c r="AG58" s="12">
        <f t="shared" si="7"/>
        <v>0.9997710604385408</v>
      </c>
      <c r="AI58" s="54" t="str">
        <f t="shared" si="8"/>
        <v/>
      </c>
      <c r="AJ58" s="54">
        <f t="shared" si="9"/>
        <v>0.20491891253511194</v>
      </c>
      <c r="AK58" s="54">
        <f t="shared" si="10"/>
        <v>1.9062424393122075E-2</v>
      </c>
    </row>
    <row r="59" spans="1:37" x14ac:dyDescent="0.45">
      <c r="A59" s="2">
        <v>52</v>
      </c>
      <c r="B59" s="2">
        <v>2.9780000000000002E-3</v>
      </c>
      <c r="C59" s="2">
        <v>2.1819999999999999E-3</v>
      </c>
      <c r="I59" s="2">
        <v>20.5</v>
      </c>
      <c r="J59" s="2">
        <v>5.8250000000000001E-4</v>
      </c>
      <c r="K59" s="2">
        <v>1.93E-4</v>
      </c>
      <c r="R59" s="2">
        <v>17.350000000000001</v>
      </c>
      <c r="S59" s="2">
        <v>6.0090000000000002E-4</v>
      </c>
      <c r="T59" s="2">
        <v>1.7110000000000001E-4</v>
      </c>
      <c r="V59" s="11"/>
      <c r="W59" s="6">
        <v>4</v>
      </c>
      <c r="X59" s="6">
        <v>0.4</v>
      </c>
      <c r="Y59" s="11" t="str">
        <f t="shared" si="11"/>
        <v/>
      </c>
      <c r="Z59" s="6">
        <f t="shared" si="12"/>
        <v>34</v>
      </c>
      <c r="AA59" s="23">
        <f t="shared" si="13"/>
        <v>30.4</v>
      </c>
      <c r="AB59" t="str">
        <f t="shared" si="0"/>
        <v/>
      </c>
      <c r="AC59">
        <f t="shared" si="1"/>
        <v>6.4700000000000001E-4</v>
      </c>
      <c r="AD59">
        <f t="shared" si="2"/>
        <v>5.8940000000000002E-4</v>
      </c>
      <c r="AE59" s="18" t="str">
        <f t="shared" si="5"/>
        <v/>
      </c>
      <c r="AF59" s="7">
        <f t="shared" si="6"/>
        <v>0.99755900935155384</v>
      </c>
      <c r="AG59" s="12">
        <f t="shared" si="7"/>
        <v>0.99976516888765876</v>
      </c>
      <c r="AI59" s="54" t="str">
        <f t="shared" si="8"/>
        <v/>
      </c>
      <c r="AJ59" s="54">
        <f t="shared" si="9"/>
        <v>0.21060801592159048</v>
      </c>
      <c r="AK59" s="54">
        <f t="shared" si="10"/>
        <v>1.9555160630268523E-2</v>
      </c>
    </row>
    <row r="60" spans="1:37" x14ac:dyDescent="0.45">
      <c r="A60" s="2">
        <v>53</v>
      </c>
      <c r="B60" s="2">
        <v>3.3430000000000001E-3</v>
      </c>
      <c r="C60" s="2">
        <v>2.4060000000000002E-3</v>
      </c>
      <c r="I60" s="2">
        <v>20.6</v>
      </c>
      <c r="J60" s="2">
        <v>5.8200000000000005E-4</v>
      </c>
      <c r="K60" s="2">
        <v>1.9379999999999999E-4</v>
      </c>
      <c r="R60" s="2">
        <v>17.36</v>
      </c>
      <c r="S60" s="2">
        <v>6.0083999999999995E-4</v>
      </c>
      <c r="T60" s="2">
        <v>1.7116000000000001E-4</v>
      </c>
      <c r="V60" s="11"/>
      <c r="W60" s="6">
        <v>4.1000000000000005</v>
      </c>
      <c r="X60" s="6">
        <v>0.41000000000000003</v>
      </c>
      <c r="Y60" s="11" t="str">
        <f t="shared" si="11"/>
        <v/>
      </c>
      <c r="Z60" s="6">
        <f t="shared" si="12"/>
        <v>34.1</v>
      </c>
      <c r="AA60" s="23">
        <f t="shared" si="13"/>
        <v>30.41</v>
      </c>
      <c r="AB60" t="str">
        <f t="shared" si="0"/>
        <v/>
      </c>
      <c r="AC60">
        <f t="shared" si="1"/>
        <v>6.4970000000000002E-4</v>
      </c>
      <c r="AD60">
        <f t="shared" si="2"/>
        <v>5.8951000000000001E-4</v>
      </c>
      <c r="AE60" s="18" t="str">
        <f t="shared" si="5"/>
        <v/>
      </c>
      <c r="AF60" s="7">
        <f t="shared" si="6"/>
        <v>0.99749446728364877</v>
      </c>
      <c r="AG60" s="12">
        <f t="shared" si="7"/>
        <v>0.99975927627175332</v>
      </c>
      <c r="AI60" s="54" t="str">
        <f t="shared" si="8"/>
        <v/>
      </c>
      <c r="AJ60" s="54">
        <f t="shared" si="9"/>
        <v>0.21632007683957569</v>
      </c>
      <c r="AK60" s="54">
        <f t="shared" si="10"/>
        <v>2.004809578706588E-2</v>
      </c>
    </row>
    <row r="61" spans="1:37" x14ac:dyDescent="0.45">
      <c r="A61" s="2">
        <v>54</v>
      </c>
      <c r="B61" s="2">
        <v>3.7559999999999998E-3</v>
      </c>
      <c r="C61" s="2">
        <v>2.6549999999999998E-3</v>
      </c>
      <c r="I61" s="2">
        <v>20.7</v>
      </c>
      <c r="J61" s="2">
        <v>5.8149999999999999E-4</v>
      </c>
      <c r="K61" s="2">
        <v>1.9459999999999999E-4</v>
      </c>
      <c r="R61" s="2">
        <v>17.37</v>
      </c>
      <c r="S61" s="2">
        <v>6.0077999999999998E-4</v>
      </c>
      <c r="T61" s="2">
        <v>1.7122E-4</v>
      </c>
      <c r="V61" s="11"/>
      <c r="W61" s="6">
        <v>4.2</v>
      </c>
      <c r="X61" s="6">
        <v>0.42</v>
      </c>
      <c r="Y61" s="11" t="str">
        <f t="shared" si="11"/>
        <v/>
      </c>
      <c r="Z61" s="6">
        <f t="shared" si="12"/>
        <v>34.200000000000003</v>
      </c>
      <c r="AA61" s="23">
        <f t="shared" si="13"/>
        <v>30.42</v>
      </c>
      <c r="AB61" t="str">
        <f t="shared" si="0"/>
        <v/>
      </c>
      <c r="AC61">
        <f t="shared" si="1"/>
        <v>6.5240000000000003E-4</v>
      </c>
      <c r="AD61">
        <f t="shared" si="2"/>
        <v>5.8962000000000001E-4</v>
      </c>
      <c r="AE61" s="18" t="str">
        <f t="shared" si="5"/>
        <v/>
      </c>
      <c r="AF61" s="7">
        <f t="shared" si="6"/>
        <v>0.9974296600681094</v>
      </c>
      <c r="AG61" s="12">
        <f t="shared" si="7"/>
        <v>0.99975338259084379</v>
      </c>
      <c r="AI61" s="54" t="str">
        <f t="shared" si="8"/>
        <v/>
      </c>
      <c r="AJ61" s="54">
        <f t="shared" si="9"/>
        <v>0.22205514397799497</v>
      </c>
      <c r="AK61" s="54">
        <f t="shared" si="10"/>
        <v>2.0541229945338677E-2</v>
      </c>
    </row>
    <row r="62" spans="1:37" x14ac:dyDescent="0.45">
      <c r="A62" s="2">
        <v>55</v>
      </c>
      <c r="B62" s="2">
        <v>4.2209999999999999E-3</v>
      </c>
      <c r="C62" s="2">
        <v>2.9299999999999999E-3</v>
      </c>
      <c r="I62" s="2">
        <v>20.8</v>
      </c>
      <c r="J62" s="2">
        <v>5.8100000000000003E-4</v>
      </c>
      <c r="K62" s="2">
        <v>1.9540000000000001E-4</v>
      </c>
      <c r="R62" s="2">
        <v>17.38</v>
      </c>
      <c r="S62" s="2">
        <v>6.0072000000000001E-4</v>
      </c>
      <c r="T62" s="2">
        <v>1.7128E-4</v>
      </c>
      <c r="V62" s="11"/>
      <c r="W62" s="6">
        <v>4.3</v>
      </c>
      <c r="X62" s="6">
        <v>0.43</v>
      </c>
      <c r="Y62" s="11" t="str">
        <f t="shared" si="11"/>
        <v/>
      </c>
      <c r="Z62" s="6">
        <f t="shared" si="12"/>
        <v>34.299999999999997</v>
      </c>
      <c r="AA62" s="23">
        <f t="shared" si="13"/>
        <v>30.43</v>
      </c>
      <c r="AB62" t="str">
        <f t="shared" si="0"/>
        <v/>
      </c>
      <c r="AC62">
        <f t="shared" si="1"/>
        <v>6.5510000000000004E-4</v>
      </c>
      <c r="AD62">
        <f t="shared" si="2"/>
        <v>5.8973000000000001E-4</v>
      </c>
      <c r="AE62" s="18" t="str">
        <f t="shared" si="5"/>
        <v/>
      </c>
      <c r="AF62" s="7">
        <f t="shared" si="6"/>
        <v>0.99736458775708658</v>
      </c>
      <c r="AG62" s="12">
        <f t="shared" si="7"/>
        <v>0.99974748784494938</v>
      </c>
      <c r="AI62" s="54" t="str">
        <f t="shared" si="8"/>
        <v/>
      </c>
      <c r="AJ62" s="54">
        <f t="shared" si="9"/>
        <v>0.22781331394716881</v>
      </c>
      <c r="AK62" s="54">
        <f t="shared" si="10"/>
        <v>2.1034563186945309E-2</v>
      </c>
    </row>
    <row r="63" spans="1:37" x14ac:dyDescent="0.45">
      <c r="A63" s="2">
        <v>56</v>
      </c>
      <c r="B63" s="2">
        <v>4.7470000000000004E-3</v>
      </c>
      <c r="C63" s="2">
        <v>3.235E-3</v>
      </c>
      <c r="I63" s="2">
        <v>20.9</v>
      </c>
      <c r="J63" s="2">
        <v>5.8049999999999996E-4</v>
      </c>
      <c r="K63" s="2">
        <v>1.962E-4</v>
      </c>
      <c r="R63" s="2">
        <v>17.39</v>
      </c>
      <c r="S63" s="2">
        <v>6.0066000000000004E-4</v>
      </c>
      <c r="T63" s="2">
        <v>1.7134E-4</v>
      </c>
      <c r="V63" s="11"/>
      <c r="W63" s="6">
        <v>4.4000000000000004</v>
      </c>
      <c r="X63" s="6">
        <v>0.44</v>
      </c>
      <c r="Y63" s="11" t="str">
        <f t="shared" si="11"/>
        <v/>
      </c>
      <c r="Z63" s="6">
        <f t="shared" si="12"/>
        <v>34.4</v>
      </c>
      <c r="AA63" s="23">
        <f t="shared" si="13"/>
        <v>30.44</v>
      </c>
      <c r="AB63" t="str">
        <f t="shared" si="0"/>
        <v/>
      </c>
      <c r="AC63">
        <f t="shared" si="1"/>
        <v>6.5780000000000005E-4</v>
      </c>
      <c r="AD63">
        <f t="shared" si="2"/>
        <v>5.8984E-4</v>
      </c>
      <c r="AE63" s="18" t="str">
        <f t="shared" si="5"/>
        <v/>
      </c>
      <c r="AF63" s="7">
        <f t="shared" si="6"/>
        <v>0.99729925040294265</v>
      </c>
      <c r="AG63" s="12">
        <f t="shared" si="7"/>
        <v>0.9997415920340893</v>
      </c>
      <c r="AI63" s="54" t="str">
        <f t="shared" si="8"/>
        <v/>
      </c>
      <c r="AJ63" s="54">
        <f t="shared" si="9"/>
        <v>0.23359468376882286</v>
      </c>
      <c r="AK63" s="54">
        <f t="shared" si="10"/>
        <v>2.1528095593778065E-2</v>
      </c>
    </row>
    <row r="64" spans="1:37" x14ac:dyDescent="0.45">
      <c r="A64" s="2">
        <v>57</v>
      </c>
      <c r="B64" s="2">
        <v>5.3400000000000001E-3</v>
      </c>
      <c r="C64" s="2">
        <v>3.5720000000000001E-3</v>
      </c>
      <c r="I64" s="2">
        <v>21</v>
      </c>
      <c r="J64" s="2">
        <v>5.8E-4</v>
      </c>
      <c r="K64" s="2">
        <v>1.9699999999999999E-4</v>
      </c>
      <c r="R64" s="2">
        <v>17.399999999999999</v>
      </c>
      <c r="S64" s="2">
        <v>6.0059999999999996E-4</v>
      </c>
      <c r="T64" s="2">
        <v>1.7139999999999999E-4</v>
      </c>
      <c r="V64" s="11"/>
      <c r="W64" s="6">
        <v>4.5</v>
      </c>
      <c r="X64" s="6">
        <v>0.45</v>
      </c>
      <c r="Y64" s="11" t="str">
        <f t="shared" si="11"/>
        <v/>
      </c>
      <c r="Z64" s="6">
        <f t="shared" si="12"/>
        <v>34.5</v>
      </c>
      <c r="AA64" s="23">
        <f t="shared" si="13"/>
        <v>30.45</v>
      </c>
      <c r="AB64" t="str">
        <f t="shared" si="0"/>
        <v/>
      </c>
      <c r="AC64">
        <f t="shared" si="1"/>
        <v>6.6049999999999995E-4</v>
      </c>
      <c r="AD64">
        <f t="shared" si="2"/>
        <v>5.8995E-4</v>
      </c>
      <c r="AE64" s="18" t="str">
        <f t="shared" si="5"/>
        <v/>
      </c>
      <c r="AF64" s="7">
        <f t="shared" si="6"/>
        <v>0.9972336480582511</v>
      </c>
      <c r="AG64" s="12">
        <f t="shared" si="7"/>
        <v>0.99973569515828287</v>
      </c>
      <c r="AI64" s="54" t="str">
        <f t="shared" si="8"/>
        <v/>
      </c>
      <c r="AJ64" s="54">
        <f t="shared" si="9"/>
        <v>0.23939935087786518</v>
      </c>
      <c r="AK64" s="54">
        <f t="shared" si="10"/>
        <v>2.2021827247763123E-2</v>
      </c>
    </row>
    <row r="65" spans="1:37" x14ac:dyDescent="0.45">
      <c r="A65" s="2">
        <v>58</v>
      </c>
      <c r="B65" s="2">
        <v>6.0049999999999999E-3</v>
      </c>
      <c r="C65" s="2">
        <v>3.947E-3</v>
      </c>
      <c r="I65" s="2">
        <v>21.1</v>
      </c>
      <c r="J65" s="2">
        <v>5.7939999999999999E-4</v>
      </c>
      <c r="K65" s="2">
        <v>1.9799999999999999E-4</v>
      </c>
      <c r="R65" s="2">
        <v>17.41</v>
      </c>
      <c r="S65" s="2">
        <v>6.0053999999999999E-4</v>
      </c>
      <c r="T65" s="2">
        <v>1.7145999999999999E-4</v>
      </c>
      <c r="V65" s="11"/>
      <c r="W65" s="6">
        <v>4.6000000000000005</v>
      </c>
      <c r="X65" s="6">
        <v>0.46</v>
      </c>
      <c r="Y65" s="11" t="str">
        <f t="shared" si="11"/>
        <v/>
      </c>
      <c r="Z65" s="6">
        <f t="shared" si="12"/>
        <v>34.6</v>
      </c>
      <c r="AA65" s="23">
        <f t="shared" si="13"/>
        <v>30.46</v>
      </c>
      <c r="AB65" t="str">
        <f t="shared" si="0"/>
        <v/>
      </c>
      <c r="AC65">
        <f t="shared" si="1"/>
        <v>6.6319999999999997E-4</v>
      </c>
      <c r="AD65">
        <f t="shared" si="2"/>
        <v>5.9006E-4</v>
      </c>
      <c r="AE65" s="18" t="str">
        <f t="shared" si="5"/>
        <v/>
      </c>
      <c r="AF65" s="7">
        <f t="shared" si="6"/>
        <v>0.99716778077579682</v>
      </c>
      <c r="AG65" s="12">
        <f t="shared" si="7"/>
        <v>0.99972979721754929</v>
      </c>
      <c r="AI65" s="54" t="str">
        <f t="shared" si="8"/>
        <v/>
      </c>
      <c r="AJ65" s="54">
        <f t="shared" si="9"/>
        <v>0.24522741312417085</v>
      </c>
      <c r="AK65" s="54">
        <f t="shared" si="10"/>
        <v>2.2515758230860571E-2</v>
      </c>
    </row>
    <row r="66" spans="1:37" x14ac:dyDescent="0.45">
      <c r="A66" s="2">
        <v>59</v>
      </c>
      <c r="B66" s="2">
        <v>6.7539999999999996E-3</v>
      </c>
      <c r="C66" s="2">
        <v>4.3620000000000004E-3</v>
      </c>
      <c r="I66" s="2">
        <v>21.2</v>
      </c>
      <c r="J66" s="2">
        <v>5.7879999999999997E-4</v>
      </c>
      <c r="K66" s="2">
        <v>1.9900000000000001E-4</v>
      </c>
      <c r="R66" s="2">
        <v>17.420000000000002</v>
      </c>
      <c r="S66" s="2">
        <v>6.0048000000000002E-4</v>
      </c>
      <c r="T66" s="2">
        <v>1.7152000000000001E-4</v>
      </c>
      <c r="V66" s="11"/>
      <c r="W66" s="6">
        <v>4.7</v>
      </c>
      <c r="X66" s="6">
        <v>0.47000000000000003</v>
      </c>
      <c r="Y66" s="11" t="str">
        <f t="shared" si="11"/>
        <v/>
      </c>
      <c r="Z66" s="6">
        <f t="shared" si="12"/>
        <v>34.700000000000003</v>
      </c>
      <c r="AA66" s="23">
        <f t="shared" si="13"/>
        <v>30.47</v>
      </c>
      <c r="AB66" t="str">
        <f t="shared" si="0"/>
        <v/>
      </c>
      <c r="AC66">
        <f t="shared" si="1"/>
        <v>6.6589999999999998E-4</v>
      </c>
      <c r="AD66">
        <f t="shared" si="2"/>
        <v>5.9017E-4</v>
      </c>
      <c r="AE66" s="18" t="str">
        <f t="shared" si="5"/>
        <v/>
      </c>
      <c r="AF66" s="7">
        <f t="shared" si="6"/>
        <v>0.99710164860857575</v>
      </c>
      <c r="AG66" s="12">
        <f t="shared" si="7"/>
        <v>0.99972389821190788</v>
      </c>
      <c r="AI66" s="54" t="str">
        <f t="shared" si="8"/>
        <v/>
      </c>
      <c r="AJ66" s="54">
        <f t="shared" si="9"/>
        <v>0.25107896877437463</v>
      </c>
      <c r="AK66" s="54">
        <f t="shared" si="10"/>
        <v>2.3009888625064426E-2</v>
      </c>
    </row>
    <row r="67" spans="1:37" x14ac:dyDescent="0.45">
      <c r="A67" s="2">
        <v>60</v>
      </c>
      <c r="B67" s="2">
        <v>7.5929999999999999E-3</v>
      </c>
      <c r="C67" s="2">
        <v>4.8209999999999998E-3</v>
      </c>
      <c r="I67" s="2">
        <v>21.3</v>
      </c>
      <c r="J67" s="2">
        <v>5.7819999999999996E-4</v>
      </c>
      <c r="K67" s="3">
        <v>2.0000000000000001E-4</v>
      </c>
      <c r="R67" s="2">
        <v>17.43</v>
      </c>
      <c r="S67" s="2">
        <v>6.0041999999999995E-4</v>
      </c>
      <c r="T67" s="2">
        <v>1.7158000000000001E-4</v>
      </c>
      <c r="V67" s="11"/>
      <c r="W67" s="6">
        <v>4.8000000000000007</v>
      </c>
      <c r="X67" s="6">
        <v>0.48</v>
      </c>
      <c r="Y67" s="11" t="str">
        <f t="shared" si="11"/>
        <v/>
      </c>
      <c r="Z67" s="6">
        <f t="shared" si="12"/>
        <v>34.799999999999997</v>
      </c>
      <c r="AA67" s="23">
        <f t="shared" si="13"/>
        <v>30.48</v>
      </c>
      <c r="AB67" t="str">
        <f t="shared" si="0"/>
        <v/>
      </c>
      <c r="AC67">
        <f t="shared" si="1"/>
        <v>6.6859999999999999E-4</v>
      </c>
      <c r="AD67">
        <f t="shared" si="2"/>
        <v>5.9027999999999999E-4</v>
      </c>
      <c r="AE67" s="18" t="str">
        <f t="shared" si="5"/>
        <v/>
      </c>
      <c r="AF67" s="7">
        <f t="shared" si="6"/>
        <v>0.99703525160979489</v>
      </c>
      <c r="AG67" s="12">
        <f t="shared" si="7"/>
        <v>0.99971799814137785</v>
      </c>
      <c r="AI67" s="54" t="str">
        <f t="shared" si="8"/>
        <v/>
      </c>
      <c r="AJ67" s="54">
        <f t="shared" si="9"/>
        <v>0.25695411651367156</v>
      </c>
      <c r="AK67" s="54">
        <f t="shared" si="10"/>
        <v>2.3504218512402645E-2</v>
      </c>
    </row>
    <row r="68" spans="1:37" x14ac:dyDescent="0.45">
      <c r="A68" s="2">
        <v>61</v>
      </c>
      <c r="B68" s="2">
        <v>8.5330000000000007E-3</v>
      </c>
      <c r="C68" s="2">
        <v>5.3299999999999997E-3</v>
      </c>
      <c r="I68" s="2">
        <v>21.4</v>
      </c>
      <c r="J68" s="2">
        <v>5.7760000000000005E-4</v>
      </c>
      <c r="K68" s="2">
        <v>2.0100000000000001E-4</v>
      </c>
      <c r="R68" s="2">
        <v>17.440000000000001</v>
      </c>
      <c r="S68" s="2">
        <v>6.0035999999999998E-4</v>
      </c>
      <c r="T68" s="2">
        <v>1.7164E-4</v>
      </c>
      <c r="V68" s="11"/>
      <c r="W68" s="6">
        <v>4.9000000000000004</v>
      </c>
      <c r="X68" s="6">
        <v>0.49</v>
      </c>
      <c r="Y68" s="11" t="str">
        <f t="shared" si="11"/>
        <v/>
      </c>
      <c r="Z68" s="6">
        <f t="shared" si="12"/>
        <v>34.9</v>
      </c>
      <c r="AA68" s="23">
        <f t="shared" si="13"/>
        <v>30.49</v>
      </c>
      <c r="AB68" t="str">
        <f t="shared" si="0"/>
        <v/>
      </c>
      <c r="AC68">
        <f t="shared" si="1"/>
        <v>6.713E-4</v>
      </c>
      <c r="AD68">
        <f t="shared" si="2"/>
        <v>5.9038999999999999E-4</v>
      </c>
      <c r="AE68" s="18" t="str">
        <f t="shared" si="5"/>
        <v/>
      </c>
      <c r="AF68" s="7">
        <f t="shared" si="6"/>
        <v>0.99696858983287229</v>
      </c>
      <c r="AG68" s="12">
        <f t="shared" si="7"/>
        <v>0.99971209700597841</v>
      </c>
      <c r="AI68" s="54" t="str">
        <f t="shared" si="8"/>
        <v/>
      </c>
      <c r="AJ68" s="54">
        <f t="shared" si="9"/>
        <v>0.26285295544762505</v>
      </c>
      <c r="AK68" s="54">
        <f t="shared" si="10"/>
        <v>2.3998747974937135E-2</v>
      </c>
    </row>
    <row r="69" spans="1:37" x14ac:dyDescent="0.45">
      <c r="A69" s="2">
        <v>62</v>
      </c>
      <c r="B69" s="2">
        <v>9.5860000000000008E-3</v>
      </c>
      <c r="C69" s="2">
        <v>5.8950000000000001E-3</v>
      </c>
      <c r="I69" s="2">
        <v>21.5</v>
      </c>
      <c r="J69" s="2">
        <v>5.7700000000000004E-4</v>
      </c>
      <c r="K69" s="2">
        <v>2.02E-4</v>
      </c>
      <c r="R69" s="2">
        <v>17.45</v>
      </c>
      <c r="S69" s="2">
        <v>6.0030000000000001E-4</v>
      </c>
      <c r="T69" s="2">
        <v>1.717E-4</v>
      </c>
      <c r="V69" s="11"/>
      <c r="W69" s="6">
        <v>5</v>
      </c>
      <c r="X69" s="6">
        <v>0.5</v>
      </c>
      <c r="Y69" s="11" t="str">
        <f t="shared" si="11"/>
        <v/>
      </c>
      <c r="Z69" s="6">
        <f t="shared" si="12"/>
        <v>35</v>
      </c>
      <c r="AA69" s="23">
        <f t="shared" si="13"/>
        <v>30.5</v>
      </c>
      <c r="AB69" t="str">
        <f t="shared" si="0"/>
        <v/>
      </c>
      <c r="AC69">
        <f t="shared" si="1"/>
        <v>6.7400000000000001E-4</v>
      </c>
      <c r="AD69">
        <f t="shared" si="2"/>
        <v>5.9049999999999999E-4</v>
      </c>
      <c r="AE69" s="18" t="str">
        <f t="shared" si="5"/>
        <v/>
      </c>
      <c r="AF69" s="7">
        <f t="shared" si="6"/>
        <v>0.99690166333143682</v>
      </c>
      <c r="AG69" s="12">
        <f t="shared" si="7"/>
        <v>0.99970619480572886</v>
      </c>
      <c r="AI69" s="54" t="str">
        <f t="shared" si="8"/>
        <v/>
      </c>
      <c r="AJ69" s="54">
        <f t="shared" si="9"/>
        <v>0.26877558510398347</v>
      </c>
      <c r="AK69" s="54">
        <f t="shared" si="10"/>
        <v>2.4493477094763773E-2</v>
      </c>
    </row>
    <row r="70" spans="1:37" x14ac:dyDescent="0.45">
      <c r="A70" s="2">
        <v>63</v>
      </c>
      <c r="B70" s="2">
        <v>1.0763E-2</v>
      </c>
      <c r="C70" s="2">
        <v>6.5209999999999999E-3</v>
      </c>
      <c r="I70" s="2">
        <v>21.6</v>
      </c>
      <c r="J70" s="2">
        <v>5.7640000000000002E-4</v>
      </c>
      <c r="K70" s="2">
        <v>2.03E-4</v>
      </c>
      <c r="R70" s="2">
        <v>17.46</v>
      </c>
      <c r="S70" s="2">
        <v>6.0024000000000004E-4</v>
      </c>
      <c r="T70" s="2">
        <v>1.7176E-4</v>
      </c>
      <c r="V70" s="11"/>
      <c r="W70" s="6">
        <v>5.1000000000000005</v>
      </c>
      <c r="X70" s="6">
        <v>0.51</v>
      </c>
      <c r="Y70" s="11" t="str">
        <f t="shared" si="11"/>
        <v/>
      </c>
      <c r="Z70" s="6">
        <f t="shared" si="12"/>
        <v>35.1</v>
      </c>
      <c r="AA70" s="23">
        <f t="shared" si="13"/>
        <v>30.51</v>
      </c>
      <c r="AB70" t="str">
        <f t="shared" si="0"/>
        <v/>
      </c>
      <c r="AC70">
        <f t="shared" si="1"/>
        <v>6.7719999999999998E-4</v>
      </c>
      <c r="AD70">
        <f t="shared" si="2"/>
        <v>5.9060999999999998E-4</v>
      </c>
      <c r="AE70" s="18" t="str">
        <f t="shared" si="5"/>
        <v/>
      </c>
      <c r="AF70" s="7">
        <f t="shared" si="6"/>
        <v>0.9968344721593283</v>
      </c>
      <c r="AG70" s="12">
        <f t="shared" si="7"/>
        <v>0.99970029154064854</v>
      </c>
      <c r="AI70" s="54" t="str">
        <f t="shared" si="8"/>
        <v/>
      </c>
      <c r="AJ70" s="54">
        <f t="shared" si="9"/>
        <v>0.27472210543450415</v>
      </c>
      <c r="AK70" s="54">
        <f t="shared" si="10"/>
        <v>2.4988405954012419E-2</v>
      </c>
    </row>
    <row r="71" spans="1:37" x14ac:dyDescent="0.45">
      <c r="A71" s="2">
        <v>64</v>
      </c>
      <c r="B71" s="2">
        <v>1.2078E-2</v>
      </c>
      <c r="C71" s="2">
        <v>7.2139999999999999E-3</v>
      </c>
      <c r="I71" s="2">
        <v>21.7</v>
      </c>
      <c r="J71" s="2">
        <v>5.7580000000000001E-4</v>
      </c>
      <c r="K71" s="2">
        <v>2.04E-4</v>
      </c>
      <c r="R71" s="2">
        <v>17.47</v>
      </c>
      <c r="S71" s="2">
        <v>6.0017999999999996E-4</v>
      </c>
      <c r="T71" s="2">
        <v>1.7181999999999999E-4</v>
      </c>
      <c r="V71" s="11"/>
      <c r="W71" s="6">
        <v>5.2</v>
      </c>
      <c r="X71" s="6">
        <v>0.52</v>
      </c>
      <c r="Y71" s="11" t="str">
        <f t="shared" si="11"/>
        <v/>
      </c>
      <c r="Z71" s="6">
        <f t="shared" si="12"/>
        <v>35.200000000000003</v>
      </c>
      <c r="AA71" s="23">
        <f t="shared" si="13"/>
        <v>30.52</v>
      </c>
      <c r="AB71" t="str">
        <f t="shared" si="0"/>
        <v/>
      </c>
      <c r="AC71">
        <f t="shared" si="1"/>
        <v>6.8039999999999995E-4</v>
      </c>
      <c r="AD71">
        <f t="shared" si="2"/>
        <v>5.9071999999999998E-4</v>
      </c>
      <c r="AE71" s="18" t="str">
        <f t="shared" si="5"/>
        <v/>
      </c>
      <c r="AF71" s="7">
        <f t="shared" si="6"/>
        <v>0.99676696652887364</v>
      </c>
      <c r="AG71" s="12">
        <f t="shared" si="7"/>
        <v>0.99969438721075665</v>
      </c>
      <c r="AI71" s="54" t="str">
        <f t="shared" si="8"/>
        <v/>
      </c>
      <c r="AJ71" s="54">
        <f t="shared" si="9"/>
        <v>0.28069258055289092</v>
      </c>
      <c r="AK71" s="54">
        <f t="shared" si="10"/>
        <v>2.5483534634846924E-2</v>
      </c>
    </row>
    <row r="72" spans="1:37" x14ac:dyDescent="0.45">
      <c r="A72" s="2">
        <v>65</v>
      </c>
      <c r="B72" s="2">
        <v>1.3544E-2</v>
      </c>
      <c r="C72" s="2">
        <v>7.9810000000000002E-3</v>
      </c>
      <c r="I72" s="2">
        <v>21.8</v>
      </c>
      <c r="J72" s="2">
        <v>5.752E-4</v>
      </c>
      <c r="K72" s="2">
        <v>2.05E-4</v>
      </c>
      <c r="R72" s="2">
        <v>17.48</v>
      </c>
      <c r="S72" s="2">
        <v>6.0011999999999999E-4</v>
      </c>
      <c r="T72" s="2">
        <v>1.7187999999999999E-4</v>
      </c>
      <c r="V72" s="11"/>
      <c r="W72" s="6">
        <v>5.3000000000000007</v>
      </c>
      <c r="X72" s="6">
        <v>0.53</v>
      </c>
      <c r="Y72" s="11" t="str">
        <f t="shared" si="11"/>
        <v/>
      </c>
      <c r="Z72" s="6">
        <f t="shared" si="12"/>
        <v>35.299999999999997</v>
      </c>
      <c r="AA72" s="23">
        <f t="shared" si="13"/>
        <v>30.53</v>
      </c>
      <c r="AB72" t="str">
        <f t="shared" si="0"/>
        <v/>
      </c>
      <c r="AC72">
        <f t="shared" si="1"/>
        <v>6.8360000000000003E-4</v>
      </c>
      <c r="AD72">
        <f t="shared" si="2"/>
        <v>5.9082999999999998E-4</v>
      </c>
      <c r="AE72" s="18" t="str">
        <f t="shared" si="5"/>
        <v/>
      </c>
      <c r="AF72" s="7">
        <f t="shared" si="6"/>
        <v>0.996699146504471</v>
      </c>
      <c r="AG72" s="12">
        <f t="shared" si="7"/>
        <v>0.99968848181607251</v>
      </c>
      <c r="AI72" s="54" t="str">
        <f t="shared" si="8"/>
        <v/>
      </c>
      <c r="AJ72" s="54">
        <f t="shared" si="9"/>
        <v>0.286687111713952</v>
      </c>
      <c r="AK72" s="54">
        <f t="shared" si="10"/>
        <v>2.5978863219465152E-2</v>
      </c>
    </row>
    <row r="73" spans="1:37" x14ac:dyDescent="0.45">
      <c r="A73" s="2">
        <v>66</v>
      </c>
      <c r="B73" s="2">
        <v>1.5176E-2</v>
      </c>
      <c r="C73" s="2">
        <v>8.8330000000000006E-3</v>
      </c>
      <c r="I73" s="2">
        <v>21.9</v>
      </c>
      <c r="J73" s="2">
        <v>5.7459999999999998E-4</v>
      </c>
      <c r="K73" s="2">
        <v>2.0599999999999999E-4</v>
      </c>
      <c r="R73" s="2">
        <v>17.489999999999998</v>
      </c>
      <c r="S73" s="2">
        <v>6.0006000000000002E-4</v>
      </c>
      <c r="T73" s="2">
        <v>1.7194000000000001E-4</v>
      </c>
      <c r="V73" s="11"/>
      <c r="W73" s="6">
        <v>5.4</v>
      </c>
      <c r="X73" s="6">
        <v>0.54</v>
      </c>
      <c r="Y73" s="11" t="str">
        <f t="shared" si="11"/>
        <v/>
      </c>
      <c r="Z73" s="6">
        <f t="shared" si="12"/>
        <v>35.4</v>
      </c>
      <c r="AA73" s="23">
        <f t="shared" si="13"/>
        <v>30.54</v>
      </c>
      <c r="AB73" t="str">
        <f t="shared" si="0"/>
        <v/>
      </c>
      <c r="AC73">
        <f t="shared" si="1"/>
        <v>6.868E-4</v>
      </c>
      <c r="AD73">
        <f t="shared" si="2"/>
        <v>5.9093999999999998E-4</v>
      </c>
      <c r="AE73" s="18" t="str">
        <f t="shared" si="5"/>
        <v/>
      </c>
      <c r="AF73" s="7">
        <f t="shared" si="6"/>
        <v>0.99663101215081595</v>
      </c>
      <c r="AG73" s="12">
        <f t="shared" si="7"/>
        <v>0.99968257535661542</v>
      </c>
      <c r="AI73" s="54" t="str">
        <f t="shared" si="8"/>
        <v/>
      </c>
      <c r="AJ73" s="54">
        <f t="shared" si="9"/>
        <v>0.29270580060743329</v>
      </c>
      <c r="AK73" s="54">
        <f t="shared" si="10"/>
        <v>2.6474391790098993E-2</v>
      </c>
    </row>
    <row r="74" spans="1:37" x14ac:dyDescent="0.45">
      <c r="A74" s="2">
        <v>67</v>
      </c>
      <c r="B74" s="2">
        <v>1.6993000000000001E-2</v>
      </c>
      <c r="C74" s="2">
        <v>9.7769999999999992E-3</v>
      </c>
      <c r="I74" s="2">
        <v>22</v>
      </c>
      <c r="J74" s="2">
        <v>5.7399999999999997E-4</v>
      </c>
      <c r="K74" s="2">
        <v>2.0699999999999999E-4</v>
      </c>
      <c r="R74" s="2">
        <v>17.5</v>
      </c>
      <c r="S74" s="3">
        <v>5.9999999999999995E-4</v>
      </c>
      <c r="T74" s="2">
        <v>1.7200000000000001E-4</v>
      </c>
      <c r="V74" s="11"/>
      <c r="W74" s="6">
        <v>5.5</v>
      </c>
      <c r="X74" s="6">
        <v>0.55000000000000004</v>
      </c>
      <c r="Y74" s="11" t="str">
        <f t="shared" si="11"/>
        <v/>
      </c>
      <c r="Z74" s="6">
        <f t="shared" si="12"/>
        <v>35.5</v>
      </c>
      <c r="AA74" s="23">
        <f t="shared" si="13"/>
        <v>30.55</v>
      </c>
      <c r="AB74" t="str">
        <f t="shared" si="0"/>
        <v/>
      </c>
      <c r="AC74">
        <f t="shared" si="1"/>
        <v>6.8999999999999997E-4</v>
      </c>
      <c r="AD74">
        <f t="shared" si="2"/>
        <v>5.9104999999999997E-4</v>
      </c>
      <c r="AE74" s="18" t="str">
        <f t="shared" si="5"/>
        <v/>
      </c>
      <c r="AF74" s="7">
        <f t="shared" si="6"/>
        <v>0.9965625635329014</v>
      </c>
      <c r="AG74" s="12">
        <f t="shared" si="7"/>
        <v>0.99967666783240461</v>
      </c>
      <c r="AI74" s="54" t="str">
        <f t="shared" si="8"/>
        <v/>
      </c>
      <c r="AJ74" s="54">
        <f t="shared" si="9"/>
        <v>0.29874874935991746</v>
      </c>
      <c r="AK74" s="54">
        <f t="shared" si="10"/>
        <v>2.6970120429014373E-2</v>
      </c>
    </row>
    <row r="75" spans="1:37" x14ac:dyDescent="0.45">
      <c r="A75" s="2">
        <v>68</v>
      </c>
      <c r="B75" s="2">
        <v>1.9012000000000001E-2</v>
      </c>
      <c r="C75" s="2">
        <v>1.0822E-2</v>
      </c>
      <c r="I75" s="2">
        <v>22.1</v>
      </c>
      <c r="J75" s="2">
        <v>5.7359999999999996E-4</v>
      </c>
      <c r="K75" s="2">
        <v>2.0799999999999999E-4</v>
      </c>
      <c r="R75" s="2">
        <v>17.510000000000002</v>
      </c>
      <c r="S75" s="2">
        <v>5.9993999999999998E-4</v>
      </c>
      <c r="T75" s="2">
        <v>1.7206E-4</v>
      </c>
      <c r="V75" s="11"/>
      <c r="W75" s="6">
        <v>5.6000000000000005</v>
      </c>
      <c r="X75" s="6">
        <v>0.56000000000000005</v>
      </c>
      <c r="Y75" s="11" t="str">
        <f t="shared" si="11"/>
        <v/>
      </c>
      <c r="Z75" s="6">
        <f t="shared" si="12"/>
        <v>35.6</v>
      </c>
      <c r="AA75" s="23">
        <f t="shared" si="13"/>
        <v>30.56</v>
      </c>
      <c r="AB75" t="str">
        <f t="shared" si="0"/>
        <v/>
      </c>
      <c r="AC75">
        <f t="shared" si="1"/>
        <v>6.9320000000000004E-4</v>
      </c>
      <c r="AD75">
        <f t="shared" si="2"/>
        <v>5.9115999999999997E-4</v>
      </c>
      <c r="AE75" s="18" t="str">
        <f t="shared" si="5"/>
        <v/>
      </c>
      <c r="AF75" s="7">
        <f t="shared" si="6"/>
        <v>0.99649380071601767</v>
      </c>
      <c r="AG75" s="12">
        <f t="shared" si="7"/>
        <v>0.99967075924345938</v>
      </c>
      <c r="AI75" s="54" t="str">
        <f t="shared" si="8"/>
        <v/>
      </c>
      <c r="AJ75" s="54">
        <f t="shared" si="9"/>
        <v>0.30481606053673166</v>
      </c>
      <c r="AK75" s="54">
        <f t="shared" si="10"/>
        <v>2.7466049218511267E-2</v>
      </c>
    </row>
    <row r="76" spans="1:37" x14ac:dyDescent="0.45">
      <c r="A76" s="2">
        <v>69</v>
      </c>
      <c r="B76" s="2">
        <v>2.1255E-2</v>
      </c>
      <c r="C76" s="2">
        <v>1.1981E-2</v>
      </c>
      <c r="I76" s="2">
        <v>22.2</v>
      </c>
      <c r="J76" s="2">
        <v>5.7319999999999995E-4</v>
      </c>
      <c r="K76" s="2">
        <v>2.0900000000000001E-4</v>
      </c>
      <c r="R76" s="2">
        <v>17.52</v>
      </c>
      <c r="S76" s="2">
        <v>5.9988000000000001E-4</v>
      </c>
      <c r="T76" s="2">
        <v>1.7212E-4</v>
      </c>
      <c r="V76" s="11"/>
      <c r="W76" s="6">
        <v>5.7</v>
      </c>
      <c r="X76" s="6">
        <v>0.57000000000000006</v>
      </c>
      <c r="Y76" s="11" t="str">
        <f t="shared" si="11"/>
        <v/>
      </c>
      <c r="Z76" s="6">
        <f t="shared" si="12"/>
        <v>35.700000000000003</v>
      </c>
      <c r="AA76" s="23">
        <f t="shared" si="13"/>
        <v>30.57</v>
      </c>
      <c r="AB76" t="str">
        <f t="shared" si="0"/>
        <v/>
      </c>
      <c r="AC76">
        <f t="shared" si="1"/>
        <v>6.9640000000000001E-4</v>
      </c>
      <c r="AD76">
        <f t="shared" si="2"/>
        <v>5.9126999999999997E-4</v>
      </c>
      <c r="AE76" s="18" t="str">
        <f t="shared" si="5"/>
        <v/>
      </c>
      <c r="AF76" s="7">
        <f t="shared" si="6"/>
        <v>0.99642472376575209</v>
      </c>
      <c r="AG76" s="12">
        <f t="shared" si="7"/>
        <v>0.99966484958979906</v>
      </c>
      <c r="AI76" s="54" t="str">
        <f t="shared" si="8"/>
        <v/>
      </c>
      <c r="AJ76" s="54">
        <f t="shared" si="9"/>
        <v>0.31090783714386372</v>
      </c>
      <c r="AK76" s="54">
        <f t="shared" si="10"/>
        <v>2.7962178240923726E-2</v>
      </c>
    </row>
    <row r="77" spans="1:37" x14ac:dyDescent="0.45">
      <c r="A77" s="2">
        <v>70</v>
      </c>
      <c r="B77" s="2">
        <v>2.3741000000000002E-2</v>
      </c>
      <c r="C77" s="2">
        <v>1.3265000000000001E-2</v>
      </c>
      <c r="I77" s="2">
        <v>22.3</v>
      </c>
      <c r="J77" s="2">
        <v>5.7280000000000005E-4</v>
      </c>
      <c r="K77" s="2">
        <v>2.1000000000000001E-4</v>
      </c>
      <c r="R77" s="2">
        <v>17.53</v>
      </c>
      <c r="S77" s="2">
        <v>5.9982000000000004E-4</v>
      </c>
      <c r="T77" s="2">
        <v>1.7217999999999999E-4</v>
      </c>
      <c r="V77" s="11"/>
      <c r="W77" s="6">
        <v>5.8000000000000007</v>
      </c>
      <c r="X77" s="6">
        <v>0.57999999999999996</v>
      </c>
      <c r="Y77" s="11" t="str">
        <f t="shared" si="11"/>
        <v/>
      </c>
      <c r="Z77" s="6">
        <f t="shared" si="12"/>
        <v>35.799999999999997</v>
      </c>
      <c r="AA77" s="23">
        <f t="shared" si="13"/>
        <v>30.58</v>
      </c>
      <c r="AB77" t="str">
        <f t="shared" si="0"/>
        <v/>
      </c>
      <c r="AC77">
        <f t="shared" si="1"/>
        <v>6.9959999999999998E-4</v>
      </c>
      <c r="AD77">
        <f t="shared" si="2"/>
        <v>5.9137999999999997E-4</v>
      </c>
      <c r="AE77" s="18" t="str">
        <f t="shared" si="5"/>
        <v/>
      </c>
      <c r="AF77" s="7">
        <f t="shared" si="6"/>
        <v>0.99635533274798904</v>
      </c>
      <c r="AG77" s="12">
        <f t="shared" si="7"/>
        <v>0.99965893887144286</v>
      </c>
      <c r="AI77" s="54" t="str">
        <f t="shared" si="8"/>
        <v/>
      </c>
      <c r="AJ77" s="54">
        <f t="shared" si="9"/>
        <v>0.31702418262988658</v>
      </c>
      <c r="AK77" s="54">
        <f t="shared" si="10"/>
        <v>2.8458507578619875E-2</v>
      </c>
    </row>
    <row r="78" spans="1:37" x14ac:dyDescent="0.45">
      <c r="A78" s="2">
        <v>71</v>
      </c>
      <c r="B78" s="2">
        <v>2.6495999999999999E-2</v>
      </c>
      <c r="C78" s="2">
        <v>1.4687E-2</v>
      </c>
      <c r="I78" s="2">
        <v>22.4</v>
      </c>
      <c r="J78" s="2">
        <v>5.7240000000000004E-4</v>
      </c>
      <c r="K78" s="2">
        <v>2.1100000000000001E-4</v>
      </c>
      <c r="R78" s="2">
        <v>17.54</v>
      </c>
      <c r="S78" s="2">
        <v>5.9975999999999996E-4</v>
      </c>
      <c r="T78" s="2">
        <v>1.7223999999999999E-4</v>
      </c>
      <c r="V78" s="11"/>
      <c r="W78" s="6">
        <v>5.9</v>
      </c>
      <c r="X78" s="6">
        <v>0.59</v>
      </c>
      <c r="Y78" s="11" t="str">
        <f t="shared" si="11"/>
        <v/>
      </c>
      <c r="Z78" s="6">
        <f t="shared" si="12"/>
        <v>35.9</v>
      </c>
      <c r="AA78" s="23">
        <f t="shared" si="13"/>
        <v>30.59</v>
      </c>
      <c r="AB78" t="str">
        <f t="shared" si="0"/>
        <v/>
      </c>
      <c r="AC78">
        <f t="shared" si="1"/>
        <v>7.0279999999999995E-4</v>
      </c>
      <c r="AD78">
        <f t="shared" si="2"/>
        <v>5.9148999999999996E-4</v>
      </c>
      <c r="AE78" s="18" t="str">
        <f t="shared" si="5"/>
        <v/>
      </c>
      <c r="AF78" s="7">
        <f t="shared" si="6"/>
        <v>0.99628562772890994</v>
      </c>
      <c r="AG78" s="12">
        <f t="shared" si="7"/>
        <v>0.9996530270884102</v>
      </c>
      <c r="AI78" s="54" t="str">
        <f t="shared" si="8"/>
        <v/>
      </c>
      <c r="AJ78" s="54">
        <f t="shared" si="9"/>
        <v>0.32316520088789163</v>
      </c>
      <c r="AK78" s="54">
        <f t="shared" si="10"/>
        <v>2.8955037314001935E-2</v>
      </c>
    </row>
    <row r="79" spans="1:37" x14ac:dyDescent="0.45">
      <c r="A79" s="2">
        <v>72</v>
      </c>
      <c r="B79" s="2">
        <v>2.9543E-2</v>
      </c>
      <c r="C79" s="2">
        <v>1.6264000000000001E-2</v>
      </c>
      <c r="I79" s="2">
        <v>22.5</v>
      </c>
      <c r="J79" s="2">
        <v>5.7200000000000003E-4</v>
      </c>
      <c r="K79" s="2">
        <v>2.12E-4</v>
      </c>
      <c r="R79" s="2">
        <v>17.55</v>
      </c>
      <c r="S79" s="2">
        <v>5.9969999999999999E-4</v>
      </c>
      <c r="T79" s="2">
        <v>1.7229999999999999E-4</v>
      </c>
      <c r="V79" s="11"/>
      <c r="W79" s="6">
        <v>6</v>
      </c>
      <c r="X79" s="6">
        <v>0.6</v>
      </c>
      <c r="Y79" s="11" t="str">
        <f t="shared" si="11"/>
        <v/>
      </c>
      <c r="Z79" s="6">
        <f t="shared" si="12"/>
        <v>36</v>
      </c>
      <c r="AA79" s="23">
        <f t="shared" si="13"/>
        <v>30.6</v>
      </c>
      <c r="AB79" t="str">
        <f t="shared" si="0"/>
        <v/>
      </c>
      <c r="AC79">
        <f t="shared" si="1"/>
        <v>7.0600000000000003E-4</v>
      </c>
      <c r="AD79">
        <f t="shared" si="2"/>
        <v>5.9159999999999996E-4</v>
      </c>
      <c r="AE79" s="18" t="str">
        <f t="shared" si="5"/>
        <v/>
      </c>
      <c r="AF79" s="7">
        <f t="shared" si="6"/>
        <v>0.99621560877499316</v>
      </c>
      <c r="AG79" s="12">
        <f t="shared" si="7"/>
        <v>0.99964711424072028</v>
      </c>
      <c r="AI79" s="54" t="str">
        <f t="shared" si="8"/>
        <v/>
      </c>
      <c r="AJ79" s="54">
        <f t="shared" si="9"/>
        <v>0.32933099625743034</v>
      </c>
      <c r="AK79" s="54">
        <f t="shared" si="10"/>
        <v>2.9451767529506238E-2</v>
      </c>
    </row>
    <row r="80" spans="1:37" x14ac:dyDescent="0.45">
      <c r="A80" s="2">
        <v>73</v>
      </c>
      <c r="B80" s="2">
        <v>3.2911999999999997E-2</v>
      </c>
      <c r="C80" s="2">
        <v>1.8010999999999999E-2</v>
      </c>
      <c r="I80" s="2">
        <v>22.6</v>
      </c>
      <c r="J80" s="2">
        <v>5.7160000000000002E-4</v>
      </c>
      <c r="K80" s="2">
        <v>2.13E-4</v>
      </c>
      <c r="R80" s="2">
        <v>17.559999999999999</v>
      </c>
      <c r="S80" s="2">
        <v>5.9964000000000003E-4</v>
      </c>
      <c r="T80" s="2">
        <v>1.7236000000000001E-4</v>
      </c>
      <c r="V80" s="11"/>
      <c r="W80" s="6">
        <v>6.1000000000000005</v>
      </c>
      <c r="X80" s="6">
        <v>0.61</v>
      </c>
      <c r="Y80" s="11" t="str">
        <f t="shared" si="11"/>
        <v/>
      </c>
      <c r="Z80" s="6">
        <f t="shared" si="12"/>
        <v>36.1</v>
      </c>
      <c r="AA80" s="23">
        <f t="shared" si="13"/>
        <v>30.61</v>
      </c>
      <c r="AB80" t="str">
        <f t="shared" si="0"/>
        <v/>
      </c>
      <c r="AC80">
        <f t="shared" si="1"/>
        <v>7.0980000000000001E-4</v>
      </c>
      <c r="AD80">
        <f t="shared" si="2"/>
        <v>5.9170999999999996E-4</v>
      </c>
      <c r="AE80" s="18" t="str">
        <f t="shared" si="5"/>
        <v/>
      </c>
      <c r="AF80" s="7">
        <f t="shared" si="6"/>
        <v>0.99614527595301361</v>
      </c>
      <c r="AG80" s="12">
        <f t="shared" si="7"/>
        <v>0.99964120032839243</v>
      </c>
      <c r="AI80" s="54" t="str">
        <f t="shared" si="8"/>
        <v/>
      </c>
      <c r="AJ80" s="54">
        <f t="shared" si="9"/>
        <v>0.33552167352646456</v>
      </c>
      <c r="AK80" s="54">
        <f t="shared" si="10"/>
        <v>2.9948698307603241E-2</v>
      </c>
    </row>
    <row r="81" spans="1:37" x14ac:dyDescent="0.45">
      <c r="A81" s="2">
        <v>74</v>
      </c>
      <c r="B81" s="2">
        <v>3.6630999999999997E-2</v>
      </c>
      <c r="C81" s="2">
        <v>1.9946999999999999E-2</v>
      </c>
      <c r="I81" s="2">
        <v>22.7</v>
      </c>
      <c r="J81" s="2">
        <v>5.7120000000000001E-4</v>
      </c>
      <c r="K81" s="2">
        <v>2.14E-4</v>
      </c>
      <c r="R81" s="2">
        <v>17.57</v>
      </c>
      <c r="S81" s="2">
        <v>5.9957999999999995E-4</v>
      </c>
      <c r="T81" s="2">
        <v>1.7242000000000001E-4</v>
      </c>
      <c r="V81" s="11"/>
      <c r="W81" s="6">
        <v>6.2</v>
      </c>
      <c r="X81" s="6">
        <v>0.62</v>
      </c>
      <c r="Y81" s="11" t="str">
        <f t="shared" si="11"/>
        <v/>
      </c>
      <c r="Z81" s="6">
        <f t="shared" si="12"/>
        <v>36.200000000000003</v>
      </c>
      <c r="AA81" s="23">
        <f t="shared" si="13"/>
        <v>30.62</v>
      </c>
      <c r="AB81" t="str">
        <f t="shared" si="0"/>
        <v/>
      </c>
      <c r="AC81">
        <f t="shared" si="1"/>
        <v>7.136E-4</v>
      </c>
      <c r="AD81">
        <f t="shared" si="2"/>
        <v>5.9181999999999995E-4</v>
      </c>
      <c r="AE81" s="18" t="str">
        <f t="shared" si="5"/>
        <v/>
      </c>
      <c r="AF81" s="7">
        <f t="shared" si="6"/>
        <v>0.99607456956132645</v>
      </c>
      <c r="AG81" s="12">
        <f t="shared" si="7"/>
        <v>0.99963528535144597</v>
      </c>
      <c r="AI81" s="54" t="str">
        <f t="shared" si="8"/>
        <v/>
      </c>
      <c r="AJ81" s="54">
        <f t="shared" si="9"/>
        <v>0.34173729806462605</v>
      </c>
      <c r="AK81" s="54">
        <f t="shared" si="10"/>
        <v>3.0445829730797534E-2</v>
      </c>
    </row>
    <row r="82" spans="1:37" x14ac:dyDescent="0.45">
      <c r="A82" s="2">
        <v>75</v>
      </c>
      <c r="B82" s="2">
        <v>4.0731999999999997E-2</v>
      </c>
      <c r="C82" s="2">
        <v>2.2093000000000002E-2</v>
      </c>
      <c r="I82" s="2">
        <v>22.8</v>
      </c>
      <c r="J82" s="2">
        <v>5.708E-4</v>
      </c>
      <c r="K82" s="2">
        <v>2.1499999999999999E-4</v>
      </c>
      <c r="R82" s="2">
        <v>17.579999999999998</v>
      </c>
      <c r="S82" s="2">
        <v>5.9951999999999998E-4</v>
      </c>
      <c r="T82" s="2">
        <v>1.7248E-4</v>
      </c>
      <c r="V82" s="11"/>
      <c r="W82" s="6">
        <v>6.3000000000000007</v>
      </c>
      <c r="X82" s="6">
        <v>0.63</v>
      </c>
      <c r="Y82" s="11" t="str">
        <f t="shared" si="11"/>
        <v/>
      </c>
      <c r="Z82" s="6">
        <f t="shared" si="12"/>
        <v>36.299999999999997</v>
      </c>
      <c r="AA82" s="23">
        <f t="shared" si="13"/>
        <v>30.63</v>
      </c>
      <c r="AB82" t="str">
        <f t="shared" si="0"/>
        <v/>
      </c>
      <c r="AC82">
        <f t="shared" si="1"/>
        <v>7.1739999999999998E-4</v>
      </c>
      <c r="AD82">
        <f t="shared" si="2"/>
        <v>5.9192999999999995E-4</v>
      </c>
      <c r="AE82" s="18" t="str">
        <f t="shared" si="5"/>
        <v/>
      </c>
      <c r="AF82" s="7">
        <f t="shared" si="6"/>
        <v>0.9960034896800426</v>
      </c>
      <c r="AG82" s="12">
        <f t="shared" si="7"/>
        <v>0.99962936930990021</v>
      </c>
      <c r="AI82" s="54" t="str">
        <f t="shared" si="8"/>
        <v/>
      </c>
      <c r="AJ82" s="54">
        <f t="shared" si="9"/>
        <v>0.34797797614614318</v>
      </c>
      <c r="AK82" s="54">
        <f t="shared" si="10"/>
        <v>3.0943161881627861E-2</v>
      </c>
    </row>
    <row r="83" spans="1:37" x14ac:dyDescent="0.45">
      <c r="A83" s="2">
        <v>76</v>
      </c>
      <c r="B83" s="2">
        <v>4.5251E-2</v>
      </c>
      <c r="C83" s="2">
        <v>2.4472000000000001E-2</v>
      </c>
      <c r="I83" s="2">
        <v>22.9</v>
      </c>
      <c r="J83" s="2">
        <v>5.7039999999999999E-4</v>
      </c>
      <c r="K83" s="2">
        <v>2.1599999999999999E-4</v>
      </c>
      <c r="R83" s="2">
        <v>17.59</v>
      </c>
      <c r="S83" s="2">
        <v>5.9946000000000001E-4</v>
      </c>
      <c r="T83" s="2">
        <v>1.7254E-4</v>
      </c>
      <c r="V83" s="11"/>
      <c r="W83" s="6">
        <v>6.4</v>
      </c>
      <c r="X83" s="6">
        <v>0.64</v>
      </c>
      <c r="Y83" s="11" t="str">
        <f t="shared" si="11"/>
        <v/>
      </c>
      <c r="Z83" s="6">
        <f t="shared" si="12"/>
        <v>36.4</v>
      </c>
      <c r="AA83" s="23">
        <f t="shared" si="13"/>
        <v>30.64</v>
      </c>
      <c r="AB83" t="str">
        <f t="shared" ref="AB83:AB146" si="15">IF(Y83="","",VLOOKUP(Y83,Table_1,2))</f>
        <v/>
      </c>
      <c r="AC83">
        <f t="shared" ref="AC83:AC146" si="16">IF(Z83="","",VLOOKUP(Z83,Table_2,2))</f>
        <v>7.2119999999999997E-4</v>
      </c>
      <c r="AD83">
        <f t="shared" ref="AD83:AD146" si="17">IF(AA83="","",VLOOKUP(AA83,Table_3,2))</f>
        <v>5.9203999999999995E-4</v>
      </c>
      <c r="AE83" s="18" t="str">
        <f t="shared" si="5"/>
        <v/>
      </c>
      <c r="AF83" s="7">
        <f t="shared" si="6"/>
        <v>0.99593203638969297</v>
      </c>
      <c r="AG83" s="12">
        <f t="shared" si="7"/>
        <v>0.99962345220377447</v>
      </c>
      <c r="AI83" s="54" t="str">
        <f t="shared" si="8"/>
        <v/>
      </c>
      <c r="AJ83" s="54">
        <f t="shared" si="9"/>
        <v>0.35424381450640519</v>
      </c>
      <c r="AK83" s="54">
        <f t="shared" si="10"/>
        <v>3.1440694842667136E-2</v>
      </c>
    </row>
    <row r="84" spans="1:37" x14ac:dyDescent="0.45">
      <c r="A84" s="2">
        <v>77</v>
      </c>
      <c r="B84" s="2">
        <v>5.0222999999999997E-2</v>
      </c>
      <c r="C84" s="2">
        <v>2.7106999999999999E-2</v>
      </c>
      <c r="I84" s="2">
        <v>23</v>
      </c>
      <c r="J84" s="2">
        <v>5.6999999999999998E-4</v>
      </c>
      <c r="K84" s="2">
        <v>2.1699999999999999E-4</v>
      </c>
      <c r="R84" s="2">
        <v>17.600000000000001</v>
      </c>
      <c r="S84" s="2">
        <v>5.9940000000000004E-4</v>
      </c>
      <c r="T84" s="2">
        <v>1.7259999999999999E-4</v>
      </c>
      <c r="V84" s="11"/>
      <c r="W84" s="6">
        <v>6.5</v>
      </c>
      <c r="X84" s="6">
        <v>0.65</v>
      </c>
      <c r="Y84" s="11" t="str">
        <f t="shared" si="11"/>
        <v/>
      </c>
      <c r="Z84" s="6">
        <f t="shared" si="12"/>
        <v>36.5</v>
      </c>
      <c r="AA84" s="23">
        <f t="shared" si="13"/>
        <v>30.65</v>
      </c>
      <c r="AB84" t="str">
        <f t="shared" si="15"/>
        <v/>
      </c>
      <c r="AC84">
        <f t="shared" si="16"/>
        <v>7.2499999999999995E-4</v>
      </c>
      <c r="AD84">
        <f t="shared" si="17"/>
        <v>5.9214999999999995E-4</v>
      </c>
      <c r="AE84" s="18" t="str">
        <f t="shared" ref="AE84:AE147" si="18">IF(AB84="","",AE83+h_1*(-AE83*AB83))</f>
        <v/>
      </c>
      <c r="AF84" s="7">
        <f t="shared" ref="AF84:AF147" si="19">IF(AC84="","",AF83+h_2*(-AF83*AC83))</f>
        <v>0.99586020977122858</v>
      </c>
      <c r="AG84" s="12">
        <f t="shared" ref="AG84:AG147" si="20">IF(AD84="","",AG83+h_3*(-AG83*AD83))</f>
        <v>0.99961753403308806</v>
      </c>
      <c r="AI84" s="54" t="str">
        <f t="shared" ref="AI84:AI147" si="21">IF(Y84="","",AI83+AI$17*(AI83*delta+Prem1-AB83*(1-AI83)))</f>
        <v/>
      </c>
      <c r="AJ84" s="54">
        <f t="shared" ref="AJ84:AJ147" si="22">IF(Z84="","",AJ83+AJ$17*(AJ83*delta+Prem2-AC83*(1-AJ83)))</f>
        <v>0.3605349203440017</v>
      </c>
      <c r="AK84" s="54">
        <f t="shared" ref="AK84:AK147" si="23">IF(AA84="","",AK83+AK$17*(AK83*delta+Prem3-AD83*(1-AK83)))</f>
        <v>3.1938428696522442E-2</v>
      </c>
    </row>
    <row r="85" spans="1:37" x14ac:dyDescent="0.45">
      <c r="A85" s="2">
        <v>78</v>
      </c>
      <c r="B85" s="2">
        <v>5.5689000000000002E-2</v>
      </c>
      <c r="C85" s="2">
        <v>3.0027000000000002E-2</v>
      </c>
      <c r="I85" s="2">
        <v>23.1</v>
      </c>
      <c r="J85" s="2">
        <v>5.6979999999999997E-4</v>
      </c>
      <c r="K85" s="2">
        <v>2.1819999999999999E-4</v>
      </c>
      <c r="R85" s="2">
        <v>17.61</v>
      </c>
      <c r="S85" s="2">
        <v>5.9933999999999996E-4</v>
      </c>
      <c r="T85" s="2">
        <v>1.7265999999999999E-4</v>
      </c>
      <c r="V85" s="11"/>
      <c r="W85" s="6">
        <v>6.6000000000000005</v>
      </c>
      <c r="X85" s="6">
        <v>0.66</v>
      </c>
      <c r="Y85" s="11" t="str">
        <f t="shared" ref="Y85:Y148" si="24">IF(ISBLANK(V85),"",$Y$19+V85)</f>
        <v/>
      </c>
      <c r="Z85" s="6">
        <f t="shared" ref="Z85:Z148" si="25">IF(ISBLANK(W85),"",$Y$19+W85)</f>
        <v>36.6</v>
      </c>
      <c r="AA85" s="23">
        <f t="shared" ref="AA85:AA148" si="26">IF(ISBLANK(X85),"",$Y$19+X85)</f>
        <v>30.66</v>
      </c>
      <c r="AB85" t="str">
        <f t="shared" si="15"/>
        <v/>
      </c>
      <c r="AC85">
        <f t="shared" si="16"/>
        <v>7.2880000000000004E-4</v>
      </c>
      <c r="AD85">
        <f t="shared" si="17"/>
        <v>5.9226000000000005E-4</v>
      </c>
      <c r="AE85" s="18" t="str">
        <f t="shared" si="18"/>
        <v/>
      </c>
      <c r="AF85" s="7">
        <f t="shared" si="19"/>
        <v>0.99578800990602012</v>
      </c>
      <c r="AG85" s="12">
        <f t="shared" si="20"/>
        <v>0.99961161479786032</v>
      </c>
      <c r="AI85" s="54" t="str">
        <f t="shared" si="21"/>
        <v/>
      </c>
      <c r="AJ85" s="54">
        <f t="shared" si="22"/>
        <v>0.36685140132277139</v>
      </c>
      <c r="AK85" s="54">
        <f t="shared" si="23"/>
        <v>3.2436363525835073E-2</v>
      </c>
    </row>
    <row r="86" spans="1:37" x14ac:dyDescent="0.45">
      <c r="A86" s="2">
        <v>79</v>
      </c>
      <c r="B86" s="2">
        <v>6.1689000000000001E-2</v>
      </c>
      <c r="C86" s="2">
        <v>3.3263000000000001E-2</v>
      </c>
      <c r="I86" s="2">
        <v>23.2</v>
      </c>
      <c r="J86" s="2">
        <v>5.6959999999999997E-4</v>
      </c>
      <c r="K86" s="2">
        <v>2.1939999999999999E-4</v>
      </c>
      <c r="R86" s="2">
        <v>17.62</v>
      </c>
      <c r="S86" s="2">
        <v>5.9927999999999999E-4</v>
      </c>
      <c r="T86" s="2">
        <v>1.7272000000000001E-4</v>
      </c>
      <c r="V86" s="11"/>
      <c r="W86" s="6">
        <v>6.7</v>
      </c>
      <c r="X86" s="6">
        <v>0.67</v>
      </c>
      <c r="Y86" s="11" t="str">
        <f t="shared" si="24"/>
        <v/>
      </c>
      <c r="Z86" s="6">
        <f t="shared" si="25"/>
        <v>36.700000000000003</v>
      </c>
      <c r="AA86" s="23">
        <f t="shared" si="26"/>
        <v>30.67</v>
      </c>
      <c r="AB86" t="str">
        <f t="shared" si="15"/>
        <v/>
      </c>
      <c r="AC86">
        <f t="shared" si="16"/>
        <v>7.3260000000000003E-4</v>
      </c>
      <c r="AD86">
        <f t="shared" si="17"/>
        <v>5.9237000000000005E-4</v>
      </c>
      <c r="AE86" s="18" t="str">
        <f t="shared" si="18"/>
        <v/>
      </c>
      <c r="AF86" s="7">
        <f t="shared" si="19"/>
        <v>0.99571543687585817</v>
      </c>
      <c r="AG86" s="12">
        <f t="shared" si="20"/>
        <v>0.99960569449811054</v>
      </c>
      <c r="AI86" s="54" t="str">
        <f t="shared" si="21"/>
        <v/>
      </c>
      <c r="AJ86" s="54">
        <f t="shared" si="22"/>
        <v>0.37319336557385957</v>
      </c>
      <c r="AK86" s="54">
        <f t="shared" si="23"/>
        <v>3.293449941328052E-2</v>
      </c>
    </row>
    <row r="87" spans="1:37" x14ac:dyDescent="0.45">
      <c r="A87" s="2">
        <v>80</v>
      </c>
      <c r="B87" s="2">
        <v>6.8270999999999998E-2</v>
      </c>
      <c r="C87" s="2">
        <v>3.6849E-2</v>
      </c>
      <c r="I87" s="2">
        <v>23.3</v>
      </c>
      <c r="J87" s="2">
        <v>5.6939999999999996E-4</v>
      </c>
      <c r="K87" s="2">
        <v>2.206E-4</v>
      </c>
      <c r="R87" s="2">
        <v>17.63</v>
      </c>
      <c r="S87" s="2">
        <v>5.9922000000000003E-4</v>
      </c>
      <c r="T87" s="2">
        <v>1.7278000000000001E-4</v>
      </c>
      <c r="V87" s="11"/>
      <c r="W87" s="6">
        <v>6.8000000000000007</v>
      </c>
      <c r="X87" s="6">
        <v>0.68</v>
      </c>
      <c r="Y87" s="11" t="str">
        <f t="shared" si="24"/>
        <v/>
      </c>
      <c r="Z87" s="6">
        <f t="shared" si="25"/>
        <v>36.799999999999997</v>
      </c>
      <c r="AA87" s="23">
        <f t="shared" si="26"/>
        <v>30.68</v>
      </c>
      <c r="AB87" t="str">
        <f t="shared" si="15"/>
        <v/>
      </c>
      <c r="AC87">
        <f t="shared" si="16"/>
        <v>7.3640000000000001E-4</v>
      </c>
      <c r="AD87">
        <f t="shared" si="17"/>
        <v>5.9248000000000005E-4</v>
      </c>
      <c r="AE87" s="18" t="str">
        <f t="shared" si="18"/>
        <v/>
      </c>
      <c r="AF87" s="7">
        <f t="shared" si="19"/>
        <v>0.99564249076295264</v>
      </c>
      <c r="AG87" s="12">
        <f t="shared" si="20"/>
        <v>0.99959977313385806</v>
      </c>
      <c r="AI87" s="54" t="str">
        <f t="shared" si="21"/>
        <v/>
      </c>
      <c r="AJ87" s="54">
        <f t="shared" si="22"/>
        <v>0.37956092169778566</v>
      </c>
      <c r="AK87" s="54">
        <f t="shared" si="23"/>
        <v>3.3432836441568504E-2</v>
      </c>
    </row>
    <row r="88" spans="1:37" x14ac:dyDescent="0.45">
      <c r="A88" s="2">
        <v>81</v>
      </c>
      <c r="B88" s="2">
        <v>7.5481000000000006E-2</v>
      </c>
      <c r="C88" s="2">
        <v>4.0822999999999998E-2</v>
      </c>
      <c r="I88" s="2">
        <v>23.4</v>
      </c>
      <c r="J88" s="2">
        <v>5.6919999999999996E-4</v>
      </c>
      <c r="K88" s="2">
        <v>2.218E-4</v>
      </c>
      <c r="R88" s="2">
        <v>17.64</v>
      </c>
      <c r="S88" s="2">
        <v>5.9915999999999995E-4</v>
      </c>
      <c r="T88" s="2">
        <v>1.7284000000000001E-4</v>
      </c>
      <c r="V88" s="11"/>
      <c r="W88" s="6">
        <v>6.9</v>
      </c>
      <c r="X88" s="6">
        <v>0.69000000000000006</v>
      </c>
      <c r="Y88" s="11" t="str">
        <f t="shared" si="24"/>
        <v/>
      </c>
      <c r="Z88" s="6">
        <f t="shared" si="25"/>
        <v>36.9</v>
      </c>
      <c r="AA88" s="23">
        <f t="shared" si="26"/>
        <v>30.69</v>
      </c>
      <c r="AB88" t="str">
        <f t="shared" si="15"/>
        <v/>
      </c>
      <c r="AC88">
        <f t="shared" si="16"/>
        <v>7.4019999999999999E-4</v>
      </c>
      <c r="AD88">
        <f t="shared" si="17"/>
        <v>5.9259000000000004E-4</v>
      </c>
      <c r="AE88" s="18" t="str">
        <f t="shared" si="18"/>
        <v/>
      </c>
      <c r="AF88" s="7">
        <f t="shared" si="19"/>
        <v>0.99556917164993286</v>
      </c>
      <c r="AG88" s="12">
        <f t="shared" si="20"/>
        <v>0.99959385070512219</v>
      </c>
      <c r="AI88" s="54" t="str">
        <f t="shared" si="21"/>
        <v/>
      </c>
      <c r="AJ88" s="54">
        <f t="shared" si="22"/>
        <v>0.38595417876651933</v>
      </c>
      <c r="AK88" s="54">
        <f t="shared" si="23"/>
        <v>3.3931374693442977E-2</v>
      </c>
    </row>
    <row r="89" spans="1:37" x14ac:dyDescent="0.45">
      <c r="A89" s="2">
        <v>82</v>
      </c>
      <c r="B89" s="2">
        <v>8.3372000000000002E-2</v>
      </c>
      <c r="C89" s="2">
        <v>4.5227999999999997E-2</v>
      </c>
      <c r="I89" s="2">
        <v>23.5</v>
      </c>
      <c r="J89" s="2">
        <v>5.6899999999999995E-4</v>
      </c>
      <c r="K89" s="2">
        <v>2.23E-4</v>
      </c>
      <c r="R89" s="2">
        <v>17.649999999999999</v>
      </c>
      <c r="S89" s="2">
        <v>5.9909999999999998E-4</v>
      </c>
      <c r="T89" s="2">
        <v>1.729E-4</v>
      </c>
      <c r="V89" s="11"/>
      <c r="W89" s="6">
        <v>7</v>
      </c>
      <c r="X89" s="6">
        <v>0.70000000000000007</v>
      </c>
      <c r="Y89" s="11" t="str">
        <f t="shared" si="24"/>
        <v/>
      </c>
      <c r="Z89" s="6">
        <f t="shared" si="25"/>
        <v>37</v>
      </c>
      <c r="AA89" s="23">
        <f t="shared" si="26"/>
        <v>30.7</v>
      </c>
      <c r="AB89" t="str">
        <f t="shared" si="15"/>
        <v/>
      </c>
      <c r="AC89">
        <f t="shared" si="16"/>
        <v>7.4399999999999998E-4</v>
      </c>
      <c r="AD89">
        <f t="shared" si="17"/>
        <v>5.9270000000000004E-4</v>
      </c>
      <c r="AE89" s="18" t="str">
        <f t="shared" si="18"/>
        <v/>
      </c>
      <c r="AF89" s="7">
        <f t="shared" si="19"/>
        <v>0.9954954796198473</v>
      </c>
      <c r="AG89" s="12">
        <f t="shared" si="20"/>
        <v>0.99958792721192224</v>
      </c>
      <c r="AI89" s="54" t="str">
        <f t="shared" si="21"/>
        <v/>
      </c>
      <c r="AJ89" s="54">
        <f t="shared" si="22"/>
        <v>0.39237324632556642</v>
      </c>
      <c r="AK89" s="54">
        <f t="shared" si="23"/>
        <v>3.4430114251682145E-2</v>
      </c>
    </row>
    <row r="90" spans="1:37" x14ac:dyDescent="0.45">
      <c r="A90" s="2">
        <v>83</v>
      </c>
      <c r="B90" s="2">
        <v>9.1998999999999997E-2</v>
      </c>
      <c r="C90" s="2">
        <v>5.0108E-2</v>
      </c>
      <c r="I90" s="2">
        <v>23.6</v>
      </c>
      <c r="J90" s="2">
        <v>5.6879999999999995E-4</v>
      </c>
      <c r="K90" s="2">
        <v>2.242E-4</v>
      </c>
      <c r="R90" s="2">
        <v>17.66</v>
      </c>
      <c r="S90" s="2">
        <v>5.9904000000000001E-4</v>
      </c>
      <c r="T90" s="2">
        <v>1.7296E-4</v>
      </c>
      <c r="V90" s="11"/>
      <c r="W90" s="6">
        <v>7.1000000000000005</v>
      </c>
      <c r="X90" s="6">
        <v>0.71</v>
      </c>
      <c r="Y90" s="11" t="str">
        <f t="shared" si="24"/>
        <v/>
      </c>
      <c r="Z90" s="6">
        <f t="shared" si="25"/>
        <v>37.1</v>
      </c>
      <c r="AA90" s="23">
        <f t="shared" si="26"/>
        <v>30.71</v>
      </c>
      <c r="AB90" t="str">
        <f t="shared" si="15"/>
        <v/>
      </c>
      <c r="AC90">
        <f t="shared" si="16"/>
        <v>7.4839999999999998E-4</v>
      </c>
      <c r="AD90">
        <f t="shared" si="17"/>
        <v>5.9281000000000004E-4</v>
      </c>
      <c r="AE90" s="18" t="str">
        <f t="shared" si="18"/>
        <v/>
      </c>
      <c r="AF90" s="7">
        <f t="shared" si="19"/>
        <v>0.99542141475616364</v>
      </c>
      <c r="AG90" s="12">
        <f t="shared" si="20"/>
        <v>0.99958200265427766</v>
      </c>
      <c r="AI90" s="54" t="str">
        <f t="shared" si="21"/>
        <v/>
      </c>
      <c r="AJ90" s="54">
        <f t="shared" si="22"/>
        <v>0.39881823439606401</v>
      </c>
      <c r="AK90" s="54">
        <f t="shared" si="23"/>
        <v>3.4929055199098481E-2</v>
      </c>
    </row>
    <row r="91" spans="1:37" x14ac:dyDescent="0.45">
      <c r="A91" s="2">
        <v>84</v>
      </c>
      <c r="B91" s="2">
        <v>0.10141699999999999</v>
      </c>
      <c r="C91" s="2">
        <v>5.5516000000000003E-2</v>
      </c>
      <c r="I91" s="2">
        <v>23.7</v>
      </c>
      <c r="J91" s="2">
        <v>5.6860000000000005E-4</v>
      </c>
      <c r="K91" s="2">
        <v>2.254E-4</v>
      </c>
      <c r="R91" s="2">
        <v>17.670000000000002</v>
      </c>
      <c r="S91" s="2">
        <v>5.9898000000000004E-4</v>
      </c>
      <c r="T91" s="2">
        <v>1.7301999999999999E-4</v>
      </c>
      <c r="V91" s="11"/>
      <c r="W91" s="6">
        <v>7.2</v>
      </c>
      <c r="X91" s="6">
        <v>0.72</v>
      </c>
      <c r="Y91" s="11" t="str">
        <f t="shared" si="24"/>
        <v/>
      </c>
      <c r="Z91" s="6">
        <f t="shared" si="25"/>
        <v>37.200000000000003</v>
      </c>
      <c r="AA91" s="23">
        <f t="shared" si="26"/>
        <v>30.72</v>
      </c>
      <c r="AB91" t="str">
        <f t="shared" si="15"/>
        <v/>
      </c>
      <c r="AC91">
        <f t="shared" si="16"/>
        <v>7.5279999999999998E-4</v>
      </c>
      <c r="AD91">
        <f t="shared" si="17"/>
        <v>5.9292000000000004E-4</v>
      </c>
      <c r="AE91" s="18" t="str">
        <f t="shared" si="18"/>
        <v/>
      </c>
      <c r="AF91" s="7">
        <f t="shared" si="19"/>
        <v>0.99534691741748327</v>
      </c>
      <c r="AG91" s="12">
        <f t="shared" si="20"/>
        <v>0.99957607703220774</v>
      </c>
      <c r="AI91" s="54" t="str">
        <f t="shared" si="21"/>
        <v/>
      </c>
      <c r="AJ91" s="54">
        <f t="shared" si="22"/>
        <v>0.40528921740597917</v>
      </c>
      <c r="AK91" s="54">
        <f t="shared" si="23"/>
        <v>3.5428197618538743E-2</v>
      </c>
    </row>
    <row r="92" spans="1:37" x14ac:dyDescent="0.45">
      <c r="A92" s="2">
        <v>85</v>
      </c>
      <c r="B92" s="2">
        <v>0.111691</v>
      </c>
      <c r="C92" s="2">
        <v>6.1510000000000002E-2</v>
      </c>
      <c r="I92" s="2">
        <v>23.8</v>
      </c>
      <c r="J92" s="2">
        <v>5.6840000000000005E-4</v>
      </c>
      <c r="K92" s="2">
        <v>2.2660000000000001E-4</v>
      </c>
      <c r="R92" s="2">
        <v>17.68</v>
      </c>
      <c r="S92" s="2">
        <v>5.9891999999999996E-4</v>
      </c>
      <c r="T92" s="2">
        <v>1.7307999999999999E-4</v>
      </c>
      <c r="V92" s="11"/>
      <c r="W92" s="6">
        <v>7.3000000000000007</v>
      </c>
      <c r="X92" s="6">
        <v>0.73</v>
      </c>
      <c r="Y92" s="11" t="str">
        <f t="shared" si="24"/>
        <v/>
      </c>
      <c r="Z92" s="6">
        <f t="shared" si="25"/>
        <v>37.299999999999997</v>
      </c>
      <c r="AA92" s="23">
        <f t="shared" si="26"/>
        <v>30.73</v>
      </c>
      <c r="AB92" t="str">
        <f t="shared" si="15"/>
        <v/>
      </c>
      <c r="AC92">
        <f t="shared" si="16"/>
        <v>7.5719999999999997E-4</v>
      </c>
      <c r="AD92">
        <f t="shared" si="17"/>
        <v>5.9303000000000003E-4</v>
      </c>
      <c r="AE92" s="18" t="str">
        <f t="shared" si="18"/>
        <v/>
      </c>
      <c r="AF92" s="7">
        <f t="shared" si="19"/>
        <v>0.99527198770154013</v>
      </c>
      <c r="AG92" s="12">
        <f t="shared" si="20"/>
        <v>0.99957015034573182</v>
      </c>
      <c r="AI92" s="54" t="str">
        <f t="shared" si="21"/>
        <v/>
      </c>
      <c r="AJ92" s="54">
        <f t="shared" si="22"/>
        <v>0.41178630696355811</v>
      </c>
      <c r="AK92" s="54">
        <f t="shared" si="23"/>
        <v>3.5927541592883971E-2</v>
      </c>
    </row>
    <row r="93" spans="1:37" x14ac:dyDescent="0.45">
      <c r="A93" s="2">
        <v>86</v>
      </c>
      <c r="B93" s="2">
        <v>0.12288399999999999</v>
      </c>
      <c r="C93" s="2">
        <v>6.8152000000000004E-2</v>
      </c>
      <c r="I93" s="2">
        <v>23.9</v>
      </c>
      <c r="J93" s="2">
        <v>5.6820000000000004E-4</v>
      </c>
      <c r="K93" s="2">
        <v>2.2780000000000001E-4</v>
      </c>
      <c r="R93" s="2">
        <v>17.690000000000001</v>
      </c>
      <c r="S93" s="2">
        <v>5.9886E-4</v>
      </c>
      <c r="T93" s="2">
        <v>1.7314000000000001E-4</v>
      </c>
      <c r="V93" s="11"/>
      <c r="W93" s="6">
        <v>7.4</v>
      </c>
      <c r="X93" s="6">
        <v>0.74</v>
      </c>
      <c r="Y93" s="11" t="str">
        <f t="shared" si="24"/>
        <v/>
      </c>
      <c r="Z93" s="6">
        <f t="shared" si="25"/>
        <v>37.4</v>
      </c>
      <c r="AA93" s="23">
        <f t="shared" si="26"/>
        <v>30.74</v>
      </c>
      <c r="AB93" t="str">
        <f t="shared" si="15"/>
        <v/>
      </c>
      <c r="AC93">
        <f t="shared" si="16"/>
        <v>7.6159999999999997E-4</v>
      </c>
      <c r="AD93">
        <f t="shared" si="17"/>
        <v>5.9314000000000003E-4</v>
      </c>
      <c r="AE93" s="18" t="str">
        <f t="shared" si="18"/>
        <v/>
      </c>
      <c r="AF93" s="7">
        <f t="shared" si="19"/>
        <v>0.99519662570663137</v>
      </c>
      <c r="AG93" s="12">
        <f t="shared" si="20"/>
        <v>0.99956422259486921</v>
      </c>
      <c r="AI93" s="54" t="str">
        <f t="shared" si="21"/>
        <v/>
      </c>
      <c r="AJ93" s="54">
        <f t="shared" si="22"/>
        <v>0.41830961516624432</v>
      </c>
      <c r="AK93" s="54">
        <f t="shared" si="23"/>
        <v>3.642708720504953E-2</v>
      </c>
    </row>
    <row r="94" spans="1:37" x14ac:dyDescent="0.45">
      <c r="A94" s="2">
        <v>87</v>
      </c>
      <c r="B94" s="2">
        <v>0.13506599999999999</v>
      </c>
      <c r="C94" s="2">
        <v>7.5511999999999996E-2</v>
      </c>
      <c r="I94" s="2">
        <v>24</v>
      </c>
      <c r="J94" s="2">
        <v>5.6800000000000004E-4</v>
      </c>
      <c r="K94" s="2">
        <v>2.2900000000000001E-4</v>
      </c>
      <c r="R94" s="2">
        <v>17.7</v>
      </c>
      <c r="S94" s="2">
        <v>5.9880000000000003E-4</v>
      </c>
      <c r="T94" s="2">
        <v>1.7320000000000001E-4</v>
      </c>
      <c r="V94" s="11"/>
      <c r="W94" s="6">
        <v>7.5</v>
      </c>
      <c r="X94" s="6">
        <v>0.75</v>
      </c>
      <c r="Y94" s="11" t="str">
        <f t="shared" si="24"/>
        <v/>
      </c>
      <c r="Z94" s="6">
        <f t="shared" si="25"/>
        <v>37.5</v>
      </c>
      <c r="AA94" s="23">
        <f t="shared" si="26"/>
        <v>30.75</v>
      </c>
      <c r="AB94" t="str">
        <f t="shared" si="15"/>
        <v/>
      </c>
      <c r="AC94">
        <f t="shared" si="16"/>
        <v>7.6599999999999997E-4</v>
      </c>
      <c r="AD94">
        <f t="shared" si="17"/>
        <v>5.9325000000000003E-4</v>
      </c>
      <c r="AE94" s="18" t="str">
        <f t="shared" si="18"/>
        <v/>
      </c>
      <c r="AF94" s="7">
        <f t="shared" si="19"/>
        <v>0.99512083153161757</v>
      </c>
      <c r="AG94" s="12">
        <f t="shared" si="20"/>
        <v>0.99955829377963934</v>
      </c>
      <c r="AI94" s="54" t="str">
        <f t="shared" si="21"/>
        <v/>
      </c>
      <c r="AJ94" s="54">
        <f t="shared" si="22"/>
        <v>0.42485925460286905</v>
      </c>
      <c r="AK94" s="54">
        <f t="shared" si="23"/>
        <v>3.6926834537985093E-2</v>
      </c>
    </row>
    <row r="95" spans="1:37" x14ac:dyDescent="0.45">
      <c r="A95" s="2">
        <v>88</v>
      </c>
      <c r="B95" s="2">
        <v>0.148309</v>
      </c>
      <c r="C95" s="2">
        <v>8.3668000000000006E-2</v>
      </c>
      <c r="I95" s="2">
        <v>24.1</v>
      </c>
      <c r="J95" s="2">
        <v>5.6780000000000003E-4</v>
      </c>
      <c r="K95" s="2">
        <v>2.3020000000000001E-4</v>
      </c>
      <c r="R95" s="2">
        <v>17.71</v>
      </c>
      <c r="S95" s="2">
        <v>5.9873999999999995E-4</v>
      </c>
      <c r="T95" s="2">
        <v>1.7326E-4</v>
      </c>
      <c r="V95" s="11"/>
      <c r="W95" s="6">
        <v>7.6000000000000005</v>
      </c>
      <c r="X95" s="6">
        <v>0.76</v>
      </c>
      <c r="Y95" s="11" t="str">
        <f t="shared" si="24"/>
        <v/>
      </c>
      <c r="Z95" s="6">
        <f t="shared" si="25"/>
        <v>37.6</v>
      </c>
      <c r="AA95" s="23">
        <f t="shared" si="26"/>
        <v>30.76</v>
      </c>
      <c r="AB95" t="str">
        <f t="shared" si="15"/>
        <v/>
      </c>
      <c r="AC95">
        <f t="shared" si="16"/>
        <v>7.7039999999999997E-4</v>
      </c>
      <c r="AD95">
        <f t="shared" si="17"/>
        <v>5.9336000000000002E-4</v>
      </c>
      <c r="AE95" s="18" t="str">
        <f t="shared" si="18"/>
        <v/>
      </c>
      <c r="AF95" s="7">
        <f t="shared" si="19"/>
        <v>0.9950446052759222</v>
      </c>
      <c r="AG95" s="12">
        <f t="shared" si="20"/>
        <v>0.99955236390006152</v>
      </c>
      <c r="AI95" s="54" t="str">
        <f t="shared" si="21"/>
        <v/>
      </c>
      <c r="AJ95" s="54">
        <f t="shared" si="22"/>
        <v>0.43143533835585185</v>
      </c>
      <c r="AK95" s="54">
        <f t="shared" si="23"/>
        <v>3.7426783674674675E-2</v>
      </c>
    </row>
    <row r="96" spans="1:37" x14ac:dyDescent="0.45">
      <c r="A96" s="2">
        <v>89</v>
      </c>
      <c r="B96" s="2">
        <v>0.162691</v>
      </c>
      <c r="C96" s="2">
        <v>9.2706999999999998E-2</v>
      </c>
      <c r="I96" s="2">
        <v>24.2</v>
      </c>
      <c r="J96" s="2">
        <v>5.6760000000000003E-4</v>
      </c>
      <c r="K96" s="2">
        <v>2.3139999999999999E-4</v>
      </c>
      <c r="R96" s="2">
        <v>17.72</v>
      </c>
      <c r="S96" s="2">
        <v>5.9867999999999998E-4</v>
      </c>
      <c r="T96" s="2">
        <v>1.7332E-4</v>
      </c>
      <c r="V96" s="11"/>
      <c r="W96" s="6">
        <v>7.7</v>
      </c>
      <c r="X96" s="6">
        <v>0.77</v>
      </c>
      <c r="Y96" s="11" t="str">
        <f t="shared" si="24"/>
        <v/>
      </c>
      <c r="Z96" s="6">
        <f t="shared" si="25"/>
        <v>37.700000000000003</v>
      </c>
      <c r="AA96" s="23">
        <f t="shared" si="26"/>
        <v>30.77</v>
      </c>
      <c r="AB96" t="str">
        <f t="shared" si="15"/>
        <v/>
      </c>
      <c r="AC96">
        <f t="shared" si="16"/>
        <v>7.7479999999999997E-4</v>
      </c>
      <c r="AD96">
        <f t="shared" si="17"/>
        <v>5.9347000000000002E-4</v>
      </c>
      <c r="AE96" s="18" t="str">
        <f t="shared" si="18"/>
        <v/>
      </c>
      <c r="AF96" s="7">
        <f t="shared" si="19"/>
        <v>0.99496794703953173</v>
      </c>
      <c r="AG96" s="12">
        <f t="shared" si="20"/>
        <v>0.99954643295615508</v>
      </c>
      <c r="AI96" s="54" t="str">
        <f t="shared" si="21"/>
        <v/>
      </c>
      <c r="AJ96" s="54">
        <f t="shared" si="22"/>
        <v>0.43803798000341093</v>
      </c>
      <c r="AK96" s="54">
        <f t="shared" si="23"/>
        <v>3.7926934698136655E-2</v>
      </c>
    </row>
    <row r="97" spans="1:37" x14ac:dyDescent="0.45">
      <c r="A97" s="2">
        <v>90</v>
      </c>
      <c r="B97" s="2">
        <v>0.178289</v>
      </c>
      <c r="C97" s="2">
        <v>0.102724</v>
      </c>
      <c r="I97" s="2">
        <v>24.3</v>
      </c>
      <c r="J97" s="2">
        <v>5.6740000000000002E-4</v>
      </c>
      <c r="K97" s="2">
        <v>2.3259999999999999E-4</v>
      </c>
      <c r="R97" s="2">
        <v>17.73</v>
      </c>
      <c r="S97" s="2">
        <v>5.9862000000000001E-4</v>
      </c>
      <c r="T97" s="2">
        <v>1.7338E-4</v>
      </c>
      <c r="V97" s="11"/>
      <c r="W97" s="6">
        <v>7.8000000000000007</v>
      </c>
      <c r="X97" s="6">
        <v>0.78</v>
      </c>
      <c r="Y97" s="11" t="str">
        <f t="shared" si="24"/>
        <v/>
      </c>
      <c r="Z97" s="6">
        <f t="shared" si="25"/>
        <v>37.799999999999997</v>
      </c>
      <c r="AA97" s="23">
        <f t="shared" si="26"/>
        <v>30.78</v>
      </c>
      <c r="AB97" t="str">
        <f t="shared" si="15"/>
        <v/>
      </c>
      <c r="AC97">
        <f t="shared" si="16"/>
        <v>7.7919999999999997E-4</v>
      </c>
      <c r="AD97">
        <f t="shared" si="17"/>
        <v>5.9358000000000002E-4</v>
      </c>
      <c r="AE97" s="18" t="str">
        <f t="shared" si="18"/>
        <v/>
      </c>
      <c r="AF97" s="7">
        <f t="shared" si="19"/>
        <v>0.99489085692299506</v>
      </c>
      <c r="AG97" s="12">
        <f t="shared" si="20"/>
        <v>0.99954050094793945</v>
      </c>
      <c r="AI97" s="54" t="str">
        <f t="shared" si="21"/>
        <v/>
      </c>
      <c r="AJ97" s="54">
        <f t="shared" si="22"/>
        <v>0.44466729362178398</v>
      </c>
      <c r="AK97" s="54">
        <f t="shared" si="23"/>
        <v>3.8427287691423756E-2</v>
      </c>
    </row>
    <row r="98" spans="1:37" x14ac:dyDescent="0.45">
      <c r="A98" s="2">
        <v>91</v>
      </c>
      <c r="B98" s="2">
        <v>0.19519</v>
      </c>
      <c r="C98" s="2">
        <v>0.11382399999999999</v>
      </c>
      <c r="I98" s="2">
        <v>24.4</v>
      </c>
      <c r="J98" s="2">
        <v>5.6720000000000002E-4</v>
      </c>
      <c r="K98" s="2">
        <v>2.3379999999999999E-4</v>
      </c>
      <c r="R98" s="2">
        <v>17.739999999999998</v>
      </c>
      <c r="S98" s="2">
        <v>5.9856000000000004E-4</v>
      </c>
      <c r="T98" s="2">
        <v>1.7343999999999999E-4</v>
      </c>
      <c r="V98" s="11"/>
      <c r="W98" s="6">
        <v>7.9</v>
      </c>
      <c r="X98" s="6">
        <v>0.79</v>
      </c>
      <c r="Y98" s="11" t="str">
        <f t="shared" si="24"/>
        <v/>
      </c>
      <c r="Z98" s="6">
        <f t="shared" si="25"/>
        <v>37.9</v>
      </c>
      <c r="AA98" s="23">
        <f t="shared" si="26"/>
        <v>30.79</v>
      </c>
      <c r="AB98" t="str">
        <f t="shared" si="15"/>
        <v/>
      </c>
      <c r="AC98">
        <f t="shared" si="16"/>
        <v>7.8359999999999996E-4</v>
      </c>
      <c r="AD98">
        <f t="shared" si="17"/>
        <v>5.9369000000000002E-4</v>
      </c>
      <c r="AE98" s="18" t="str">
        <f t="shared" si="18"/>
        <v/>
      </c>
      <c r="AF98" s="7">
        <f t="shared" si="19"/>
        <v>0.99481333502742364</v>
      </c>
      <c r="AG98" s="12">
        <f t="shared" si="20"/>
        <v>0.99953456787543393</v>
      </c>
      <c r="AI98" s="54" t="str">
        <f t="shared" si="21"/>
        <v/>
      </c>
      <c r="AJ98" s="54">
        <f t="shared" si="22"/>
        <v>0.45132339378745884</v>
      </c>
      <c r="AK98" s="54">
        <f t="shared" si="23"/>
        <v>3.8927842737623099E-2</v>
      </c>
    </row>
    <row r="99" spans="1:37" x14ac:dyDescent="0.45">
      <c r="A99" s="2">
        <v>92</v>
      </c>
      <c r="B99" s="2">
        <v>0.21348200000000001</v>
      </c>
      <c r="C99" s="2">
        <v>0.12612499999999999</v>
      </c>
      <c r="I99" s="2">
        <v>24.5</v>
      </c>
      <c r="J99" s="2">
        <v>5.6700000000000001E-4</v>
      </c>
      <c r="K99" s="2">
        <v>2.3499999999999999E-4</v>
      </c>
      <c r="R99" s="2">
        <v>17.75</v>
      </c>
      <c r="S99" s="2">
        <v>5.9849999999999997E-4</v>
      </c>
      <c r="T99" s="2">
        <v>1.7349999999999999E-4</v>
      </c>
      <c r="V99" s="11"/>
      <c r="W99" s="6">
        <v>8</v>
      </c>
      <c r="X99" s="6">
        <v>0.8</v>
      </c>
      <c r="Y99" s="11" t="str">
        <f t="shared" si="24"/>
        <v/>
      </c>
      <c r="Z99" s="6">
        <f t="shared" si="25"/>
        <v>38</v>
      </c>
      <c r="AA99" s="23">
        <f t="shared" si="26"/>
        <v>30.8</v>
      </c>
      <c r="AB99" t="str">
        <f t="shared" si="15"/>
        <v/>
      </c>
      <c r="AC99">
        <f t="shared" si="16"/>
        <v>7.8799999999999996E-4</v>
      </c>
      <c r="AD99">
        <f t="shared" si="17"/>
        <v>5.9380000000000001E-4</v>
      </c>
      <c r="AE99" s="18" t="str">
        <f t="shared" si="18"/>
        <v/>
      </c>
      <c r="AF99" s="7">
        <f t="shared" si="19"/>
        <v>0.99473538145449092</v>
      </c>
      <c r="AG99" s="12">
        <f t="shared" si="20"/>
        <v>0.99952863373865797</v>
      </c>
      <c r="AI99" s="54" t="str">
        <f t="shared" si="21"/>
        <v/>
      </c>
      <c r="AJ99" s="54">
        <f t="shared" si="22"/>
        <v>0.45800639557941458</v>
      </c>
      <c r="AK99" s="54">
        <f t="shared" si="23"/>
        <v>3.9428599919856193E-2</v>
      </c>
    </row>
    <row r="100" spans="1:37" x14ac:dyDescent="0.45">
      <c r="A100" s="2">
        <v>93</v>
      </c>
      <c r="B100" s="2">
        <v>0.23325699999999999</v>
      </c>
      <c r="C100" s="2">
        <v>0.13975599999999999</v>
      </c>
      <c r="I100" s="2">
        <v>24.6</v>
      </c>
      <c r="J100" s="2">
        <v>5.6680000000000001E-4</v>
      </c>
      <c r="K100" s="2">
        <v>2.362E-4</v>
      </c>
      <c r="R100" s="2">
        <v>17.760000000000002</v>
      </c>
      <c r="S100" s="2">
        <v>5.9844E-4</v>
      </c>
      <c r="T100" s="2">
        <v>1.7356000000000001E-4</v>
      </c>
      <c r="V100" s="11"/>
      <c r="W100" s="6">
        <v>8.1</v>
      </c>
      <c r="X100" s="6">
        <v>0.81</v>
      </c>
      <c r="Y100" s="11" t="str">
        <f t="shared" si="24"/>
        <v/>
      </c>
      <c r="Z100" s="6">
        <f t="shared" si="25"/>
        <v>38.1</v>
      </c>
      <c r="AA100" s="23">
        <f t="shared" si="26"/>
        <v>30.81</v>
      </c>
      <c r="AB100" t="str">
        <f t="shared" si="15"/>
        <v/>
      </c>
      <c r="AC100">
        <f t="shared" si="16"/>
        <v>7.9319999999999998E-4</v>
      </c>
      <c r="AD100">
        <f t="shared" si="17"/>
        <v>5.9391000000000001E-4</v>
      </c>
      <c r="AE100" s="18" t="str">
        <f t="shared" si="18"/>
        <v/>
      </c>
      <c r="AF100" s="7">
        <f t="shared" si="19"/>
        <v>0.99465699630643234</v>
      </c>
      <c r="AG100" s="12">
        <f t="shared" si="20"/>
        <v>0.99952269853763087</v>
      </c>
      <c r="AI100" s="54" t="str">
        <f t="shared" si="21"/>
        <v/>
      </c>
      <c r="AJ100" s="54">
        <f t="shared" si="22"/>
        <v>0.46471641458137264</v>
      </c>
      <c r="AK100" s="54">
        <f t="shared" si="23"/>
        <v>3.9929559321278951E-2</v>
      </c>
    </row>
    <row r="101" spans="1:37" x14ac:dyDescent="0.45">
      <c r="A101" s="2">
        <v>94</v>
      </c>
      <c r="B101" s="2">
        <v>0.25461</v>
      </c>
      <c r="C101" s="2">
        <v>0.154863</v>
      </c>
      <c r="I101" s="2">
        <v>24.7</v>
      </c>
      <c r="J101" s="2">
        <v>5.666E-4</v>
      </c>
      <c r="K101" s="2">
        <v>2.374E-4</v>
      </c>
      <c r="R101" s="2">
        <v>17.77</v>
      </c>
      <c r="S101" s="2">
        <v>5.9838000000000003E-4</v>
      </c>
      <c r="T101" s="2">
        <v>1.7362000000000001E-4</v>
      </c>
      <c r="V101" s="11"/>
      <c r="W101" s="6">
        <v>8.2000000000000011</v>
      </c>
      <c r="X101" s="6">
        <v>0.82000000000000006</v>
      </c>
      <c r="Y101" s="11" t="str">
        <f t="shared" si="24"/>
        <v/>
      </c>
      <c r="Z101" s="6">
        <f t="shared" si="25"/>
        <v>38.200000000000003</v>
      </c>
      <c r="AA101" s="23">
        <f t="shared" si="26"/>
        <v>30.82</v>
      </c>
      <c r="AB101" t="str">
        <f t="shared" si="15"/>
        <v/>
      </c>
      <c r="AC101">
        <f t="shared" si="16"/>
        <v>7.984E-4</v>
      </c>
      <c r="AD101">
        <f t="shared" si="17"/>
        <v>5.9402000000000001E-4</v>
      </c>
      <c r="AE101" s="18" t="str">
        <f t="shared" si="18"/>
        <v/>
      </c>
      <c r="AF101" s="7">
        <f t="shared" si="19"/>
        <v>0.99457810011348535</v>
      </c>
      <c r="AG101" s="12">
        <f t="shared" si="20"/>
        <v>0.99951676227237196</v>
      </c>
      <c r="AI101" s="54" t="str">
        <f t="shared" si="21"/>
        <v/>
      </c>
      <c r="AJ101" s="54">
        <f t="shared" si="22"/>
        <v>0.47145352406137142</v>
      </c>
      <c r="AK101" s="54">
        <f t="shared" si="23"/>
        <v>4.0430721025081724E-2</v>
      </c>
    </row>
    <row r="102" spans="1:37" x14ac:dyDescent="0.45">
      <c r="A102" s="2">
        <v>95</v>
      </c>
      <c r="B102" s="2">
        <v>0.27764499999999998</v>
      </c>
      <c r="C102" s="2">
        <v>0.17160400000000001</v>
      </c>
      <c r="I102" s="2">
        <v>24.8</v>
      </c>
      <c r="J102" s="2">
        <v>5.664E-4</v>
      </c>
      <c r="K102" s="2">
        <v>2.386E-4</v>
      </c>
      <c r="R102" s="2">
        <v>17.78</v>
      </c>
      <c r="S102" s="2">
        <v>5.9831999999999995E-4</v>
      </c>
      <c r="T102" s="2">
        <v>1.7368E-4</v>
      </c>
      <c r="V102" s="11"/>
      <c r="W102" s="6">
        <v>8.3000000000000007</v>
      </c>
      <c r="X102" s="6">
        <v>0.83000000000000007</v>
      </c>
      <c r="Y102" s="11" t="str">
        <f t="shared" si="24"/>
        <v/>
      </c>
      <c r="Z102" s="6">
        <f t="shared" si="25"/>
        <v>38.299999999999997</v>
      </c>
      <c r="AA102" s="23">
        <f t="shared" si="26"/>
        <v>30.83</v>
      </c>
      <c r="AB102" t="str">
        <f t="shared" si="15"/>
        <v/>
      </c>
      <c r="AC102">
        <f t="shared" si="16"/>
        <v>8.0360000000000002E-4</v>
      </c>
      <c r="AD102">
        <f t="shared" si="17"/>
        <v>5.9413000000000001E-4</v>
      </c>
      <c r="AE102" s="18" t="str">
        <f t="shared" si="18"/>
        <v/>
      </c>
      <c r="AF102" s="7">
        <f t="shared" si="19"/>
        <v>0.99449869299797233</v>
      </c>
      <c r="AG102" s="12">
        <f t="shared" si="20"/>
        <v>0.99951082494290067</v>
      </c>
      <c r="AI102" s="54" t="str">
        <f t="shared" si="21"/>
        <v/>
      </c>
      <c r="AJ102" s="54">
        <f t="shared" si="22"/>
        <v>0.47821784152264668</v>
      </c>
      <c r="AK102" s="54">
        <f t="shared" si="23"/>
        <v>4.0932085114489286E-2</v>
      </c>
    </row>
    <row r="103" spans="1:37" x14ac:dyDescent="0.45">
      <c r="A103" s="2">
        <v>96</v>
      </c>
      <c r="B103" s="2">
        <v>0.30246200000000001</v>
      </c>
      <c r="C103" s="2">
        <v>0.19015499999999999</v>
      </c>
      <c r="I103" s="2">
        <v>24.9</v>
      </c>
      <c r="J103" s="2">
        <v>5.6619999999999999E-4</v>
      </c>
      <c r="K103" s="2">
        <v>2.398E-4</v>
      </c>
      <c r="R103" s="2">
        <v>17.79</v>
      </c>
      <c r="S103" s="2">
        <v>5.9825999999999998E-4</v>
      </c>
      <c r="T103" s="2">
        <v>1.7374E-4</v>
      </c>
      <c r="V103" s="11"/>
      <c r="W103" s="6">
        <v>8.4</v>
      </c>
      <c r="X103" s="6">
        <v>0.84</v>
      </c>
      <c r="Y103" s="11" t="str">
        <f t="shared" si="24"/>
        <v/>
      </c>
      <c r="Z103" s="6">
        <f t="shared" si="25"/>
        <v>38.4</v>
      </c>
      <c r="AA103" s="23">
        <f t="shared" si="26"/>
        <v>30.84</v>
      </c>
      <c r="AB103" t="str">
        <f t="shared" si="15"/>
        <v/>
      </c>
      <c r="AC103">
        <f t="shared" si="16"/>
        <v>8.0880000000000004E-4</v>
      </c>
      <c r="AD103">
        <f t="shared" si="17"/>
        <v>5.9424E-4</v>
      </c>
      <c r="AE103" s="18" t="str">
        <f t="shared" si="18"/>
        <v/>
      </c>
      <c r="AF103" s="7">
        <f t="shared" si="19"/>
        <v>0.99441877508300303</v>
      </c>
      <c r="AG103" s="12">
        <f t="shared" si="20"/>
        <v>0.99950488654923642</v>
      </c>
      <c r="AI103" s="54" t="str">
        <f t="shared" si="21"/>
        <v/>
      </c>
      <c r="AJ103" s="54">
        <f t="shared" si="22"/>
        <v>0.48500948499015073</v>
      </c>
      <c r="AK103" s="54">
        <f t="shared" si="23"/>
        <v>4.143365167276087E-2</v>
      </c>
    </row>
    <row r="104" spans="1:37" x14ac:dyDescent="0.45">
      <c r="A104" s="2">
        <v>97</v>
      </c>
      <c r="B104" s="2">
        <v>0.32917000000000002</v>
      </c>
      <c r="C104" s="2">
        <v>0.21071300000000001</v>
      </c>
      <c r="I104" s="2">
        <v>25</v>
      </c>
      <c r="J104" s="2">
        <v>5.6599999999999999E-4</v>
      </c>
      <c r="K104" s="2">
        <v>2.41E-4</v>
      </c>
      <c r="R104" s="2">
        <v>17.8</v>
      </c>
      <c r="S104" s="2">
        <v>5.9820000000000001E-4</v>
      </c>
      <c r="T104" s="2">
        <v>1.738E-4</v>
      </c>
      <c r="V104" s="11"/>
      <c r="W104" s="6">
        <v>8.5</v>
      </c>
      <c r="X104" s="6">
        <v>0.85</v>
      </c>
      <c r="Y104" s="11" t="str">
        <f t="shared" si="24"/>
        <v/>
      </c>
      <c r="Z104" s="6">
        <f t="shared" si="25"/>
        <v>38.5</v>
      </c>
      <c r="AA104" s="23">
        <f t="shared" si="26"/>
        <v>30.85</v>
      </c>
      <c r="AB104" t="str">
        <f t="shared" si="15"/>
        <v/>
      </c>
      <c r="AC104">
        <f t="shared" si="16"/>
        <v>8.1400000000000005E-4</v>
      </c>
      <c r="AD104">
        <f t="shared" si="17"/>
        <v>5.9435E-4</v>
      </c>
      <c r="AE104" s="18" t="str">
        <f t="shared" si="18"/>
        <v/>
      </c>
      <c r="AF104" s="7">
        <f t="shared" si="19"/>
        <v>0.99433834649247432</v>
      </c>
      <c r="AG104" s="12">
        <f t="shared" si="20"/>
        <v>0.99949894709139864</v>
      </c>
      <c r="AI104" s="54" t="str">
        <f t="shared" si="21"/>
        <v/>
      </c>
      <c r="AJ104" s="54">
        <f t="shared" si="22"/>
        <v>0.49182857301292604</v>
      </c>
      <c r="AK104" s="54">
        <f t="shared" si="23"/>
        <v>4.1935420783190167E-2</v>
      </c>
    </row>
    <row r="105" spans="1:37" x14ac:dyDescent="0.45">
      <c r="A105" s="2">
        <v>98</v>
      </c>
      <c r="B105" s="2">
        <v>0.35788199999999998</v>
      </c>
      <c r="C105" s="2">
        <v>0.23349500000000001</v>
      </c>
      <c r="I105" s="2">
        <v>25.1</v>
      </c>
      <c r="J105" s="2">
        <v>5.6599999999999999E-4</v>
      </c>
      <c r="K105" s="2">
        <v>2.4240000000000001E-4</v>
      </c>
      <c r="R105" s="2">
        <v>17.809999999999999</v>
      </c>
      <c r="S105" s="2">
        <v>5.9814000000000004E-4</v>
      </c>
      <c r="T105" s="2">
        <v>1.7385999999999999E-4</v>
      </c>
      <c r="V105" s="11"/>
      <c r="W105" s="6">
        <v>8.6</v>
      </c>
      <c r="X105" s="6">
        <v>0.86</v>
      </c>
      <c r="Y105" s="11" t="str">
        <f t="shared" si="24"/>
        <v/>
      </c>
      <c r="Z105" s="6">
        <f t="shared" si="25"/>
        <v>38.6</v>
      </c>
      <c r="AA105" s="23">
        <f t="shared" si="26"/>
        <v>30.86</v>
      </c>
      <c r="AB105" t="str">
        <f t="shared" si="15"/>
        <v/>
      </c>
      <c r="AC105">
        <f t="shared" si="16"/>
        <v>8.1919999999999996E-4</v>
      </c>
      <c r="AD105">
        <f t="shared" si="17"/>
        <v>5.9446E-4</v>
      </c>
      <c r="AE105" s="18" t="str">
        <f t="shared" si="18"/>
        <v/>
      </c>
      <c r="AF105" s="7">
        <f t="shared" si="19"/>
        <v>0.99425740735106982</v>
      </c>
      <c r="AG105" s="12">
        <f t="shared" si="20"/>
        <v>0.99949300656940665</v>
      </c>
      <c r="AI105" s="54" t="str">
        <f t="shared" si="21"/>
        <v/>
      </c>
      <c r="AJ105" s="54">
        <f t="shared" si="22"/>
        <v>0.49867522466648972</v>
      </c>
      <c r="AK105" s="54">
        <f t="shared" si="23"/>
        <v>4.2437392529105361E-2</v>
      </c>
    </row>
    <row r="106" spans="1:37" x14ac:dyDescent="0.45">
      <c r="A106" s="2">
        <v>99</v>
      </c>
      <c r="B106" s="2">
        <v>0.38871099999999997</v>
      </c>
      <c r="C106" s="2">
        <v>0.258741</v>
      </c>
      <c r="I106" s="2">
        <v>25.2</v>
      </c>
      <c r="J106" s="2">
        <v>5.6599999999999999E-4</v>
      </c>
      <c r="K106" s="2">
        <v>2.4379999999999999E-4</v>
      </c>
      <c r="R106" s="2">
        <v>17.82</v>
      </c>
      <c r="S106" s="2">
        <v>5.9807999999999997E-4</v>
      </c>
      <c r="T106" s="2">
        <v>1.7391999999999999E-4</v>
      </c>
      <c r="V106" s="11"/>
      <c r="W106" s="6">
        <v>8.7000000000000011</v>
      </c>
      <c r="X106" s="6">
        <v>0.87</v>
      </c>
      <c r="Y106" s="11" t="str">
        <f t="shared" si="24"/>
        <v/>
      </c>
      <c r="Z106" s="6">
        <f t="shared" si="25"/>
        <v>38.700000000000003</v>
      </c>
      <c r="AA106" s="23">
        <f t="shared" si="26"/>
        <v>30.87</v>
      </c>
      <c r="AB106" t="str">
        <f t="shared" si="15"/>
        <v/>
      </c>
      <c r="AC106">
        <f t="shared" si="16"/>
        <v>8.2439999999999998E-4</v>
      </c>
      <c r="AD106">
        <f t="shared" si="17"/>
        <v>5.9456999999999999E-4</v>
      </c>
      <c r="AE106" s="18" t="str">
        <f t="shared" si="18"/>
        <v/>
      </c>
      <c r="AF106" s="7">
        <f t="shared" si="19"/>
        <v>0.9941759577842596</v>
      </c>
      <c r="AG106" s="12">
        <f t="shared" si="20"/>
        <v>0.99948706498327977</v>
      </c>
      <c r="AI106" s="54" t="str">
        <f t="shared" si="21"/>
        <v/>
      </c>
      <c r="AJ106" s="54">
        <f t="shared" si="22"/>
        <v>0.50554955955522907</v>
      </c>
      <c r="AK106" s="54">
        <f t="shared" si="23"/>
        <v>4.2939566993869124E-2</v>
      </c>
    </row>
    <row r="107" spans="1:37" x14ac:dyDescent="0.45">
      <c r="A107" s="2">
        <v>100</v>
      </c>
      <c r="B107" s="2">
        <v>0.42177700000000001</v>
      </c>
      <c r="C107" s="2">
        <v>0.286719</v>
      </c>
      <c r="I107" s="2">
        <v>25.3</v>
      </c>
      <c r="J107" s="2">
        <v>5.6599999999999999E-4</v>
      </c>
      <c r="K107" s="2">
        <v>2.452E-4</v>
      </c>
      <c r="R107" s="2">
        <v>17.829999999999998</v>
      </c>
      <c r="S107" s="2">
        <v>5.9802E-4</v>
      </c>
      <c r="T107" s="2">
        <v>1.7398000000000001E-4</v>
      </c>
      <c r="V107" s="11"/>
      <c r="W107" s="6">
        <v>8.8000000000000007</v>
      </c>
      <c r="X107" s="6">
        <v>0.88</v>
      </c>
      <c r="Y107" s="11" t="str">
        <f t="shared" si="24"/>
        <v/>
      </c>
      <c r="Z107" s="6">
        <f t="shared" si="25"/>
        <v>38.799999999999997</v>
      </c>
      <c r="AA107" s="23">
        <f t="shared" si="26"/>
        <v>30.88</v>
      </c>
      <c r="AB107" t="str">
        <f t="shared" si="15"/>
        <v/>
      </c>
      <c r="AC107">
        <f t="shared" si="16"/>
        <v>8.296E-4</v>
      </c>
      <c r="AD107">
        <f t="shared" si="17"/>
        <v>5.9467999999999999E-4</v>
      </c>
      <c r="AE107" s="18" t="str">
        <f t="shared" si="18"/>
        <v/>
      </c>
      <c r="AF107" s="7">
        <f t="shared" si="19"/>
        <v>0.99409399791829989</v>
      </c>
      <c r="AG107" s="12">
        <f t="shared" si="20"/>
        <v>0.99948112233303754</v>
      </c>
      <c r="AI107" s="54" t="str">
        <f t="shared" si="21"/>
        <v/>
      </c>
      <c r="AJ107" s="54">
        <f t="shared" si="22"/>
        <v>0.51245169781480848</v>
      </c>
      <c r="AK107" s="54">
        <f t="shared" si="23"/>
        <v>4.3441944260878641E-2</v>
      </c>
    </row>
    <row r="108" spans="1:37" x14ac:dyDescent="0.45">
      <c r="A108" s="2">
        <v>101</v>
      </c>
      <c r="B108" s="2">
        <v>0.457202</v>
      </c>
      <c r="C108" s="2">
        <v>0.31772400000000001</v>
      </c>
      <c r="I108" s="2">
        <v>25.4</v>
      </c>
      <c r="J108" s="2">
        <v>5.6599999999999999E-4</v>
      </c>
      <c r="K108" s="2">
        <v>2.4659999999999998E-4</v>
      </c>
      <c r="R108" s="2">
        <v>17.84</v>
      </c>
      <c r="S108" s="2">
        <v>5.9796000000000003E-4</v>
      </c>
      <c r="T108" s="2">
        <v>1.7404000000000001E-4</v>
      </c>
      <c r="V108" s="11"/>
      <c r="W108" s="6">
        <v>8.9</v>
      </c>
      <c r="X108" s="6">
        <v>0.89</v>
      </c>
      <c r="Y108" s="11" t="str">
        <f t="shared" si="24"/>
        <v/>
      </c>
      <c r="Z108" s="6">
        <f t="shared" si="25"/>
        <v>38.9</v>
      </c>
      <c r="AA108" s="23">
        <f t="shared" si="26"/>
        <v>30.89</v>
      </c>
      <c r="AB108" t="str">
        <f t="shared" si="15"/>
        <v/>
      </c>
      <c r="AC108">
        <f t="shared" si="16"/>
        <v>8.3480000000000002E-4</v>
      </c>
      <c r="AD108">
        <f t="shared" si="17"/>
        <v>5.9478999999999999E-4</v>
      </c>
      <c r="AE108" s="18" t="str">
        <f t="shared" si="18"/>
        <v/>
      </c>
      <c r="AF108" s="7">
        <f t="shared" si="19"/>
        <v>0.99401152788023261</v>
      </c>
      <c r="AG108" s="12">
        <f t="shared" si="20"/>
        <v>0.99947517861869928</v>
      </c>
      <c r="AI108" s="54" t="str">
        <f t="shared" si="21"/>
        <v/>
      </c>
      <c r="AJ108" s="54">
        <f t="shared" si="22"/>
        <v>0.51938176011458714</v>
      </c>
      <c r="AK108" s="54">
        <f t="shared" si="23"/>
        <v>4.3944524413565618E-2</v>
      </c>
    </row>
    <row r="109" spans="1:37" x14ac:dyDescent="0.45">
      <c r="A109" s="2">
        <v>102</v>
      </c>
      <c r="B109" s="2">
        <v>0.49511100000000002</v>
      </c>
      <c r="C109" s="2">
        <v>0.35208200000000001</v>
      </c>
      <c r="I109" s="2">
        <v>25.5</v>
      </c>
      <c r="J109" s="2">
        <v>5.6599999999999999E-4</v>
      </c>
      <c r="K109" s="2">
        <v>2.4800000000000001E-4</v>
      </c>
      <c r="R109" s="2">
        <v>17.850000000000001</v>
      </c>
      <c r="S109" s="2">
        <v>5.9789999999999995E-4</v>
      </c>
      <c r="T109" s="2">
        <v>1.741E-4</v>
      </c>
      <c r="V109" s="11"/>
      <c r="W109" s="6">
        <v>9</v>
      </c>
      <c r="X109" s="6">
        <v>0.9</v>
      </c>
      <c r="Y109" s="11" t="str">
        <f t="shared" si="24"/>
        <v/>
      </c>
      <c r="Z109" s="6">
        <f t="shared" si="25"/>
        <v>39</v>
      </c>
      <c r="AA109" s="23">
        <f t="shared" si="26"/>
        <v>30.9</v>
      </c>
      <c r="AB109" t="str">
        <f t="shared" si="15"/>
        <v/>
      </c>
      <c r="AC109">
        <f t="shared" si="16"/>
        <v>8.4000000000000003E-4</v>
      </c>
      <c r="AD109">
        <f t="shared" si="17"/>
        <v>5.9489999999999999E-4</v>
      </c>
      <c r="AE109" s="18" t="str">
        <f t="shared" si="18"/>
        <v/>
      </c>
      <c r="AF109" s="7">
        <f t="shared" si="19"/>
        <v>0.9939285477978852</v>
      </c>
      <c r="AG109" s="12">
        <f t="shared" si="20"/>
        <v>0.99946923384028441</v>
      </c>
      <c r="AI109" s="54" t="str">
        <f t="shared" si="21"/>
        <v/>
      </c>
      <c r="AJ109" s="54">
        <f t="shared" si="22"/>
        <v>0.52633986766004859</v>
      </c>
      <c r="AK109" s="54">
        <f t="shared" si="23"/>
        <v>4.4447307535396295E-2</v>
      </c>
    </row>
    <row r="110" spans="1:37" x14ac:dyDescent="0.45">
      <c r="A110" s="2">
        <v>103</v>
      </c>
      <c r="B110" s="2">
        <v>0.53563099999999997</v>
      </c>
      <c r="C110" s="2">
        <v>0.39015699999999998</v>
      </c>
      <c r="I110" s="2">
        <v>25.6</v>
      </c>
      <c r="J110" s="2">
        <v>5.6599999999999999E-4</v>
      </c>
      <c r="K110" s="2">
        <v>2.4939999999999999E-4</v>
      </c>
      <c r="R110" s="2">
        <v>17.86</v>
      </c>
      <c r="S110" s="2">
        <v>5.9783999999999998E-4</v>
      </c>
      <c r="T110" s="2">
        <v>1.7416E-4</v>
      </c>
      <c r="V110" s="11"/>
      <c r="W110" s="6">
        <v>9.1</v>
      </c>
      <c r="X110" s="6">
        <v>0.91</v>
      </c>
      <c r="Y110" s="11" t="str">
        <f t="shared" si="24"/>
        <v/>
      </c>
      <c r="Z110" s="6">
        <f t="shared" si="25"/>
        <v>39.1</v>
      </c>
      <c r="AA110" s="23">
        <f t="shared" si="26"/>
        <v>30.91</v>
      </c>
      <c r="AB110" t="str">
        <f t="shared" si="15"/>
        <v/>
      </c>
      <c r="AC110">
        <f t="shared" si="16"/>
        <v>8.4619999999999997E-4</v>
      </c>
      <c r="AD110">
        <f t="shared" si="17"/>
        <v>5.9500999999999998E-4</v>
      </c>
      <c r="AE110" s="18" t="str">
        <f t="shared" si="18"/>
        <v/>
      </c>
      <c r="AF110" s="7">
        <f t="shared" si="19"/>
        <v>0.9938450577998702</v>
      </c>
      <c r="AG110" s="12">
        <f t="shared" si="20"/>
        <v>0.99946328799781226</v>
      </c>
      <c r="AI110" s="54" t="str">
        <f t="shared" si="21"/>
        <v/>
      </c>
      <c r="AJ110" s="54">
        <f t="shared" si="22"/>
        <v>0.53332614219524099</v>
      </c>
      <c r="AK110" s="54">
        <f t="shared" si="23"/>
        <v>4.4950293709871476E-2</v>
      </c>
    </row>
    <row r="111" spans="1:37" x14ac:dyDescent="0.45">
      <c r="A111" s="2">
        <v>104</v>
      </c>
      <c r="B111" s="2">
        <v>0.57889000000000002</v>
      </c>
      <c r="C111" s="2">
        <v>0.43235099999999999</v>
      </c>
      <c r="I111" s="2">
        <v>25.7</v>
      </c>
      <c r="J111" s="2">
        <v>5.6599999999999999E-4</v>
      </c>
      <c r="K111" s="2">
        <v>2.5080000000000002E-4</v>
      </c>
      <c r="R111" s="2">
        <v>17.87</v>
      </c>
      <c r="S111" s="2">
        <v>5.9778000000000001E-4</v>
      </c>
      <c r="T111" s="2">
        <v>1.7422E-4</v>
      </c>
      <c r="V111" s="11"/>
      <c r="W111" s="6">
        <v>9.2000000000000011</v>
      </c>
      <c r="X111" s="6">
        <v>0.92</v>
      </c>
      <c r="Y111" s="11" t="str">
        <f t="shared" si="24"/>
        <v/>
      </c>
      <c r="Z111" s="6">
        <f t="shared" si="25"/>
        <v>39.200000000000003</v>
      </c>
      <c r="AA111" s="23">
        <f t="shared" si="26"/>
        <v>30.92</v>
      </c>
      <c r="AB111" t="str">
        <f t="shared" si="15"/>
        <v/>
      </c>
      <c r="AC111">
        <f t="shared" si="16"/>
        <v>8.5240000000000001E-4</v>
      </c>
      <c r="AD111">
        <f t="shared" si="17"/>
        <v>5.9511999999999998E-4</v>
      </c>
      <c r="AE111" s="18" t="str">
        <f t="shared" si="18"/>
        <v/>
      </c>
      <c r="AF111" s="7">
        <f t="shared" si="19"/>
        <v>0.99376095863107916</v>
      </c>
      <c r="AG111" s="12">
        <f t="shared" si="20"/>
        <v>0.99945734109130235</v>
      </c>
      <c r="AI111" s="54" t="str">
        <f t="shared" si="21"/>
        <v/>
      </c>
      <c r="AJ111" s="54">
        <f t="shared" si="22"/>
        <v>0.54034065933784325</v>
      </c>
      <c r="AK111" s="54">
        <f t="shared" si="23"/>
        <v>4.5453483020526521E-2</v>
      </c>
    </row>
    <row r="112" spans="1:37" x14ac:dyDescent="0.45">
      <c r="A112" s="2">
        <v>105</v>
      </c>
      <c r="B112" s="2">
        <v>0.625023</v>
      </c>
      <c r="C112" s="2">
        <v>0.47910900000000001</v>
      </c>
      <c r="I112" s="2">
        <v>25.8</v>
      </c>
      <c r="J112" s="2">
        <v>5.6599999999999999E-4</v>
      </c>
      <c r="K112" s="2">
        <v>2.522E-4</v>
      </c>
      <c r="R112" s="2">
        <v>17.88</v>
      </c>
      <c r="S112" s="2">
        <v>5.9772000000000004E-4</v>
      </c>
      <c r="T112" s="2">
        <v>1.7427999999999999E-4</v>
      </c>
      <c r="V112" s="11"/>
      <c r="W112" s="6">
        <v>9.3000000000000007</v>
      </c>
      <c r="X112" s="6">
        <v>0.93</v>
      </c>
      <c r="Y112" s="11" t="str">
        <f t="shared" si="24"/>
        <v/>
      </c>
      <c r="Z112" s="6">
        <f t="shared" si="25"/>
        <v>39.299999999999997</v>
      </c>
      <c r="AA112" s="23">
        <f t="shared" si="26"/>
        <v>30.93</v>
      </c>
      <c r="AB112" t="str">
        <f t="shared" si="15"/>
        <v/>
      </c>
      <c r="AC112">
        <f t="shared" si="16"/>
        <v>8.5860000000000005E-4</v>
      </c>
      <c r="AD112">
        <f t="shared" si="17"/>
        <v>5.9522999999999998E-4</v>
      </c>
      <c r="AE112" s="18" t="str">
        <f t="shared" si="18"/>
        <v/>
      </c>
      <c r="AF112" s="7">
        <f t="shared" si="19"/>
        <v>0.99367625044696539</v>
      </c>
      <c r="AG112" s="12">
        <f t="shared" si="20"/>
        <v>0.99945139312077402</v>
      </c>
      <c r="AI112" s="54" t="str">
        <f t="shared" si="21"/>
        <v/>
      </c>
      <c r="AJ112" s="54">
        <f t="shared" si="22"/>
        <v>0.54738354312866533</v>
      </c>
      <c r="AK112" s="54">
        <f t="shared" si="23"/>
        <v>4.5956875550931378E-2</v>
      </c>
    </row>
    <row r="113" spans="1:37" x14ac:dyDescent="0.45">
      <c r="A113" s="2">
        <v>106</v>
      </c>
      <c r="B113" s="2">
        <v>0.67416200000000004</v>
      </c>
      <c r="C113" s="2">
        <v>0.53092499999999998</v>
      </c>
      <c r="I113" s="2">
        <v>25.9</v>
      </c>
      <c r="J113" s="2">
        <v>5.6599999999999999E-4</v>
      </c>
      <c r="K113" s="2">
        <v>2.5359999999999998E-4</v>
      </c>
      <c r="R113" s="2">
        <v>17.89</v>
      </c>
      <c r="S113" s="2">
        <v>5.9765999999999997E-4</v>
      </c>
      <c r="T113" s="2">
        <v>1.7433999999999999E-4</v>
      </c>
      <c r="V113" s="11"/>
      <c r="W113" s="6">
        <v>9.4</v>
      </c>
      <c r="X113" s="6">
        <v>0.94000000000000006</v>
      </c>
      <c r="Y113" s="11" t="str">
        <f t="shared" si="24"/>
        <v/>
      </c>
      <c r="Z113" s="6">
        <f t="shared" si="25"/>
        <v>39.4</v>
      </c>
      <c r="AA113" s="23">
        <f t="shared" si="26"/>
        <v>30.94</v>
      </c>
      <c r="AB113" t="str">
        <f t="shared" si="15"/>
        <v/>
      </c>
      <c r="AC113">
        <f t="shared" si="16"/>
        <v>8.6479999999999999E-4</v>
      </c>
      <c r="AD113">
        <f t="shared" si="17"/>
        <v>5.9533999999999998E-4</v>
      </c>
      <c r="AE113" s="18" t="str">
        <f t="shared" si="18"/>
        <v/>
      </c>
      <c r="AF113" s="7">
        <f t="shared" si="19"/>
        <v>0.99359093340410198</v>
      </c>
      <c r="AG113" s="12">
        <f t="shared" si="20"/>
        <v>0.9994454440862468</v>
      </c>
      <c r="AI113" s="54" t="str">
        <f t="shared" si="21"/>
        <v/>
      </c>
      <c r="AJ113" s="54">
        <f t="shared" si="22"/>
        <v>0.55445491816786174</v>
      </c>
      <c r="AK113" s="54">
        <f t="shared" si="23"/>
        <v>4.6460471384690588E-2</v>
      </c>
    </row>
    <row r="114" spans="1:37" x14ac:dyDescent="0.45">
      <c r="A114" s="2">
        <v>107</v>
      </c>
      <c r="B114" s="2">
        <v>0.72644299999999995</v>
      </c>
      <c r="C114" s="2">
        <v>0.58834600000000004</v>
      </c>
      <c r="I114" s="2">
        <v>26</v>
      </c>
      <c r="J114" s="2">
        <v>5.6599999999999999E-4</v>
      </c>
      <c r="K114" s="2">
        <v>2.5500000000000002E-4</v>
      </c>
      <c r="R114" s="2">
        <v>17.899999999999999</v>
      </c>
      <c r="S114" s="2">
        <v>5.976E-4</v>
      </c>
      <c r="T114" s="2">
        <v>1.7440000000000001E-4</v>
      </c>
      <c r="V114" s="11"/>
      <c r="W114" s="6">
        <v>9.5</v>
      </c>
      <c r="X114" s="6">
        <v>0.95000000000000007</v>
      </c>
      <c r="Y114" s="11" t="str">
        <f t="shared" si="24"/>
        <v/>
      </c>
      <c r="Z114" s="6">
        <f t="shared" si="25"/>
        <v>39.5</v>
      </c>
      <c r="AA114" s="23">
        <f t="shared" si="26"/>
        <v>30.95</v>
      </c>
      <c r="AB114" t="str">
        <f t="shared" si="15"/>
        <v/>
      </c>
      <c r="AC114">
        <f t="shared" si="16"/>
        <v>8.7100000000000003E-4</v>
      </c>
      <c r="AD114">
        <f t="shared" si="17"/>
        <v>5.9544999999999997E-4</v>
      </c>
      <c r="AE114" s="18" t="str">
        <f t="shared" si="18"/>
        <v/>
      </c>
      <c r="AF114" s="7">
        <f t="shared" si="19"/>
        <v>0.99350500766018124</v>
      </c>
      <c r="AG114" s="12">
        <f t="shared" si="20"/>
        <v>0.99943949398774001</v>
      </c>
      <c r="AI114" s="54" t="str">
        <f t="shared" si="21"/>
        <v/>
      </c>
      <c r="AJ114" s="54">
        <f t="shared" si="22"/>
        <v>0.56155490961752508</v>
      </c>
      <c r="AK114" s="54">
        <f t="shared" si="23"/>
        <v>4.6964270605443302E-2</v>
      </c>
    </row>
    <row r="115" spans="1:37" x14ac:dyDescent="0.45">
      <c r="A115" s="2">
        <v>108</v>
      </c>
      <c r="B115" s="2">
        <v>0.78200199999999997</v>
      </c>
      <c r="C115" s="2">
        <v>0.65197899999999998</v>
      </c>
      <c r="I115" s="2">
        <v>26.1</v>
      </c>
      <c r="J115" s="2">
        <v>5.6619999999999999E-4</v>
      </c>
      <c r="K115" s="2">
        <v>2.566E-4</v>
      </c>
      <c r="R115" s="2">
        <v>17.91</v>
      </c>
      <c r="S115" s="2">
        <v>5.9754000000000003E-4</v>
      </c>
      <c r="T115" s="2">
        <v>1.7446000000000001E-4</v>
      </c>
      <c r="V115" s="11"/>
      <c r="W115" s="6">
        <v>9.6000000000000014</v>
      </c>
      <c r="X115" s="6">
        <v>0.96</v>
      </c>
      <c r="Y115" s="11" t="str">
        <f t="shared" si="24"/>
        <v/>
      </c>
      <c r="Z115" s="6">
        <f t="shared" si="25"/>
        <v>39.6</v>
      </c>
      <c r="AA115" s="23">
        <f t="shared" si="26"/>
        <v>30.96</v>
      </c>
      <c r="AB115" t="str">
        <f t="shared" si="15"/>
        <v/>
      </c>
      <c r="AC115">
        <f t="shared" si="16"/>
        <v>8.7719999999999996E-4</v>
      </c>
      <c r="AD115">
        <f t="shared" si="17"/>
        <v>5.9555999999999997E-4</v>
      </c>
      <c r="AE115" s="18" t="str">
        <f t="shared" si="18"/>
        <v/>
      </c>
      <c r="AF115" s="7">
        <f t="shared" si="19"/>
        <v>0.99341847337401401</v>
      </c>
      <c r="AG115" s="12">
        <f t="shared" si="20"/>
        <v>0.99943354282527308</v>
      </c>
      <c r="AI115" s="54" t="str">
        <f t="shared" si="21"/>
        <v/>
      </c>
      <c r="AJ115" s="54">
        <f t="shared" si="22"/>
        <v>0.56868364320429154</v>
      </c>
      <c r="AK115" s="54">
        <f t="shared" si="23"/>
        <v>4.7468273296863296E-2</v>
      </c>
    </row>
    <row r="116" spans="1:37" x14ac:dyDescent="0.45">
      <c r="A116" s="2">
        <v>109</v>
      </c>
      <c r="B116" s="2">
        <v>0.84097299999999997</v>
      </c>
      <c r="C116" s="2">
        <v>0.72249600000000003</v>
      </c>
      <c r="I116" s="2">
        <v>26.2</v>
      </c>
      <c r="J116" s="2">
        <v>5.664E-4</v>
      </c>
      <c r="K116" s="2">
        <v>2.5819999999999999E-4</v>
      </c>
      <c r="R116" s="2">
        <v>17.920000000000002</v>
      </c>
      <c r="S116" s="2">
        <v>5.9747999999999995E-4</v>
      </c>
      <c r="T116" s="2">
        <v>1.7452E-4</v>
      </c>
      <c r="V116" s="11"/>
      <c r="W116" s="6">
        <v>9.7000000000000011</v>
      </c>
      <c r="X116" s="6">
        <v>0.97</v>
      </c>
      <c r="Y116" s="11" t="str">
        <f t="shared" si="24"/>
        <v/>
      </c>
      <c r="Z116" s="6">
        <f t="shared" si="25"/>
        <v>39.700000000000003</v>
      </c>
      <c r="AA116" s="23">
        <f t="shared" si="26"/>
        <v>30.97</v>
      </c>
      <c r="AB116" t="str">
        <f t="shared" si="15"/>
        <v/>
      </c>
      <c r="AC116">
        <f t="shared" si="16"/>
        <v>8.8340000000000001E-4</v>
      </c>
      <c r="AD116">
        <f t="shared" si="17"/>
        <v>5.9566999999999997E-4</v>
      </c>
      <c r="AE116" s="18" t="str">
        <f t="shared" si="18"/>
        <v/>
      </c>
      <c r="AF116" s="7">
        <f t="shared" si="19"/>
        <v>0.99333133070552959</v>
      </c>
      <c r="AG116" s="12">
        <f t="shared" si="20"/>
        <v>0.99942759059886543</v>
      </c>
      <c r="AI116" s="54" t="str">
        <f t="shared" si="21"/>
        <v/>
      </c>
      <c r="AJ116" s="54">
        <f t="shared" si="22"/>
        <v>0.57584124522195934</v>
      </c>
      <c r="AK116" s="54">
        <f t="shared" si="23"/>
        <v>4.7972479542658986E-2</v>
      </c>
    </row>
    <row r="117" spans="1:37" x14ac:dyDescent="0.45">
      <c r="A117" s="2">
        <v>110</v>
      </c>
      <c r="B117" s="2">
        <v>0.90349400000000002</v>
      </c>
      <c r="C117" s="2">
        <v>0.80064199999999996</v>
      </c>
      <c r="I117" s="2">
        <v>26.3</v>
      </c>
      <c r="J117" s="2">
        <v>5.666E-4</v>
      </c>
      <c r="K117" s="2">
        <v>2.5980000000000003E-4</v>
      </c>
      <c r="R117" s="2">
        <v>17.93</v>
      </c>
      <c r="S117" s="2">
        <v>5.9741999999999998E-4</v>
      </c>
      <c r="T117" s="2">
        <v>1.7458E-4</v>
      </c>
      <c r="V117" s="11"/>
      <c r="W117" s="6">
        <v>9.8000000000000007</v>
      </c>
      <c r="X117" s="6">
        <v>0.98</v>
      </c>
      <c r="Y117" s="11" t="str">
        <f t="shared" si="24"/>
        <v/>
      </c>
      <c r="Z117" s="6">
        <f t="shared" si="25"/>
        <v>39.799999999999997</v>
      </c>
      <c r="AA117" s="23">
        <f t="shared" si="26"/>
        <v>30.98</v>
      </c>
      <c r="AB117" t="str">
        <f t="shared" si="15"/>
        <v/>
      </c>
      <c r="AC117">
        <f t="shared" si="16"/>
        <v>8.8960000000000005E-4</v>
      </c>
      <c r="AD117">
        <f t="shared" si="17"/>
        <v>5.9577999999999996E-4</v>
      </c>
      <c r="AE117" s="18" t="str">
        <f t="shared" si="18"/>
        <v/>
      </c>
      <c r="AF117" s="7">
        <f t="shared" si="19"/>
        <v>0.99324357981577505</v>
      </c>
      <c r="AG117" s="12">
        <f t="shared" si="20"/>
        <v>0.9994216373085365</v>
      </c>
      <c r="AI117" s="54" t="str">
        <f t="shared" si="21"/>
        <v/>
      </c>
      <c r="AJ117" s="54">
        <f t="shared" si="22"/>
        <v>0.58302784253411877</v>
      </c>
      <c r="AK117" s="54">
        <f t="shared" si="23"/>
        <v>4.8476889426573438E-2</v>
      </c>
    </row>
    <row r="118" spans="1:37" x14ac:dyDescent="0.45">
      <c r="A118" s="2">
        <v>111</v>
      </c>
      <c r="B118" s="2">
        <v>0.96970000000000001</v>
      </c>
      <c r="C118" s="2">
        <v>0.88724099999999995</v>
      </c>
      <c r="I118" s="2">
        <v>26.4</v>
      </c>
      <c r="J118" s="2">
        <v>5.6680000000000001E-4</v>
      </c>
      <c r="K118" s="2">
        <v>2.6140000000000001E-4</v>
      </c>
      <c r="R118" s="2">
        <v>17.940000000000001</v>
      </c>
      <c r="S118" s="2">
        <v>5.9736000000000001E-4</v>
      </c>
      <c r="T118" s="2">
        <v>1.7463999999999999E-4</v>
      </c>
      <c r="V118" s="11"/>
      <c r="W118" s="6">
        <v>9.9</v>
      </c>
      <c r="X118" s="6">
        <v>0.99</v>
      </c>
      <c r="Y118" s="11" t="str">
        <f t="shared" si="24"/>
        <v/>
      </c>
      <c r="Z118" s="6">
        <f t="shared" si="25"/>
        <v>39.9</v>
      </c>
      <c r="AA118" s="23">
        <f t="shared" si="26"/>
        <v>30.99</v>
      </c>
      <c r="AB118" t="str">
        <f t="shared" si="15"/>
        <v/>
      </c>
      <c r="AC118">
        <f t="shared" si="16"/>
        <v>8.9579999999999998E-4</v>
      </c>
      <c r="AD118">
        <f t="shared" si="17"/>
        <v>5.9588999999999996E-4</v>
      </c>
      <c r="AE118" s="18" t="str">
        <f t="shared" si="18"/>
        <v/>
      </c>
      <c r="AF118" s="7">
        <f t="shared" si="19"/>
        <v>0.99315522086691466</v>
      </c>
      <c r="AG118" s="12">
        <f t="shared" si="20"/>
        <v>0.99941568295430572</v>
      </c>
      <c r="AI118" s="54" t="str">
        <f t="shared" si="21"/>
        <v/>
      </c>
      <c r="AJ118" s="54">
        <f t="shared" si="22"/>
        <v>0.59024356257679578</v>
      </c>
      <c r="AK118" s="54">
        <f t="shared" si="23"/>
        <v>4.8981503032384389E-2</v>
      </c>
    </row>
    <row r="119" spans="1:37" x14ac:dyDescent="0.45">
      <c r="A119" s="2">
        <v>112</v>
      </c>
      <c r="B119" s="2">
        <v>1.03972</v>
      </c>
      <c r="C119" s="2">
        <v>0.98320700000000005</v>
      </c>
      <c r="I119" s="2">
        <v>26.5</v>
      </c>
      <c r="J119" s="2">
        <v>5.6700000000000001E-4</v>
      </c>
      <c r="K119" s="2">
        <v>2.63E-4</v>
      </c>
      <c r="R119" s="2">
        <v>17.95</v>
      </c>
      <c r="S119" s="2">
        <v>5.9730000000000004E-4</v>
      </c>
      <c r="T119" s="2">
        <v>1.7469999999999999E-4</v>
      </c>
      <c r="V119" s="11"/>
      <c r="W119" s="6">
        <v>10</v>
      </c>
      <c r="X119" s="6">
        <v>1</v>
      </c>
      <c r="Y119" s="11" t="str">
        <f t="shared" si="24"/>
        <v/>
      </c>
      <c r="Z119" s="6">
        <f t="shared" si="25"/>
        <v>40</v>
      </c>
      <c r="AA119" s="23">
        <f t="shared" si="26"/>
        <v>31</v>
      </c>
      <c r="AB119" t="str">
        <f t="shared" si="15"/>
        <v/>
      </c>
      <c r="AC119">
        <f t="shared" si="16"/>
        <v>9.0200000000000002E-4</v>
      </c>
      <c r="AD119">
        <f t="shared" si="17"/>
        <v>5.9599999999999996E-4</v>
      </c>
      <c r="AE119" s="18" t="str">
        <f t="shared" si="18"/>
        <v/>
      </c>
      <c r="AF119" s="7">
        <f t="shared" si="19"/>
        <v>0.99306625402222937</v>
      </c>
      <c r="AG119" s="12">
        <f t="shared" si="20"/>
        <v>0.99940972753619262</v>
      </c>
      <c r="AI119" s="54" t="str">
        <f t="shared" si="21"/>
        <v/>
      </c>
      <c r="AJ119" s="54">
        <f t="shared" si="22"/>
        <v>0.5974885333611073</v>
      </c>
      <c r="AK119" s="54">
        <f t="shared" si="23"/>
        <v>4.9486320443904261E-2</v>
      </c>
    </row>
    <row r="120" spans="1:37" x14ac:dyDescent="0.45">
      <c r="A120" s="2">
        <v>113</v>
      </c>
      <c r="B120" s="2">
        <v>1.1136900000000001</v>
      </c>
      <c r="C120" s="2">
        <v>1.08955</v>
      </c>
      <c r="I120" s="2">
        <v>26.6</v>
      </c>
      <c r="J120" s="2">
        <v>5.6720000000000002E-4</v>
      </c>
      <c r="K120" s="2">
        <v>2.6459999999999998E-4</v>
      </c>
      <c r="R120" s="2">
        <v>17.96</v>
      </c>
      <c r="S120" s="2">
        <v>5.9723999999999997E-4</v>
      </c>
      <c r="T120" s="2">
        <v>1.7475999999999999E-4</v>
      </c>
      <c r="V120" s="11"/>
      <c r="W120" s="6">
        <v>10.100000000000001</v>
      </c>
      <c r="X120" s="6">
        <v>1.01</v>
      </c>
      <c r="Y120" s="11" t="str">
        <f t="shared" si="24"/>
        <v/>
      </c>
      <c r="Z120" s="6">
        <f t="shared" si="25"/>
        <v>40.1</v>
      </c>
      <c r="AA120" s="23">
        <f t="shared" si="26"/>
        <v>31.01</v>
      </c>
      <c r="AB120" t="str">
        <f t="shared" si="15"/>
        <v/>
      </c>
      <c r="AC120">
        <f t="shared" si="16"/>
        <v>9.0919999999999998E-4</v>
      </c>
      <c r="AD120">
        <f t="shared" si="17"/>
        <v>5.9613000000000005E-4</v>
      </c>
      <c r="AE120" s="18" t="str">
        <f t="shared" si="18"/>
        <v/>
      </c>
      <c r="AF120" s="7">
        <f t="shared" si="19"/>
        <v>0.99297667944611656</v>
      </c>
      <c r="AG120" s="12">
        <f t="shared" si="20"/>
        <v>0.99940377105421652</v>
      </c>
      <c r="AI120" s="54" t="str">
        <f t="shared" si="21"/>
        <v/>
      </c>
      <c r="AJ120" s="54">
        <f t="shared" si="22"/>
        <v>0.60476288347592966</v>
      </c>
      <c r="AK120" s="54">
        <f t="shared" si="23"/>
        <v>4.9991341744980163E-2</v>
      </c>
    </row>
    <row r="121" spans="1:37" x14ac:dyDescent="0.45">
      <c r="A121" s="2">
        <v>114</v>
      </c>
      <c r="B121" s="2">
        <v>1.19174</v>
      </c>
      <c r="C121" s="2">
        <v>1.2074100000000001</v>
      </c>
      <c r="I121" s="2">
        <v>26.7</v>
      </c>
      <c r="J121" s="2">
        <v>5.6740000000000002E-4</v>
      </c>
      <c r="K121" s="2">
        <v>2.6620000000000002E-4</v>
      </c>
      <c r="R121" s="2">
        <v>17.97</v>
      </c>
      <c r="S121" s="2">
        <v>5.9718E-4</v>
      </c>
      <c r="T121" s="2">
        <v>1.7482000000000001E-4</v>
      </c>
      <c r="V121" s="11"/>
      <c r="W121" s="6">
        <v>10.200000000000001</v>
      </c>
      <c r="X121" s="6">
        <v>1.02</v>
      </c>
      <c r="Y121" s="11" t="str">
        <f t="shared" si="24"/>
        <v/>
      </c>
      <c r="Z121" s="6">
        <f t="shared" si="25"/>
        <v>40.200000000000003</v>
      </c>
      <c r="AA121" s="23">
        <f t="shared" si="26"/>
        <v>31.02</v>
      </c>
      <c r="AB121" t="str">
        <f t="shared" si="15"/>
        <v/>
      </c>
      <c r="AC121">
        <f t="shared" si="16"/>
        <v>9.1640000000000005E-4</v>
      </c>
      <c r="AD121">
        <f t="shared" si="17"/>
        <v>5.9626000000000004E-4</v>
      </c>
      <c r="AE121" s="18" t="str">
        <f t="shared" si="18"/>
        <v/>
      </c>
      <c r="AF121" s="7">
        <f t="shared" si="19"/>
        <v>0.99288639800642131</v>
      </c>
      <c r="AG121" s="12">
        <f t="shared" si="20"/>
        <v>0.99939781330851618</v>
      </c>
      <c r="AI121" s="54" t="str">
        <f t="shared" si="21"/>
        <v/>
      </c>
      <c r="AJ121" s="54">
        <f t="shared" si="22"/>
        <v>0.61206670256686768</v>
      </c>
      <c r="AK121" s="54">
        <f t="shared" si="23"/>
        <v>5.0496566829492197E-2</v>
      </c>
    </row>
    <row r="122" spans="1:37" x14ac:dyDescent="0.45">
      <c r="A122" s="2">
        <v>115</v>
      </c>
      <c r="B122" s="2">
        <v>1.274</v>
      </c>
      <c r="C122" s="2">
        <v>1.3380099999999999</v>
      </c>
      <c r="I122" s="2">
        <v>26.8</v>
      </c>
      <c r="J122" s="2">
        <v>5.6760000000000003E-4</v>
      </c>
      <c r="K122" s="2">
        <v>2.678E-4</v>
      </c>
      <c r="R122" s="2">
        <v>17.98</v>
      </c>
      <c r="S122" s="2">
        <v>5.9712000000000003E-4</v>
      </c>
      <c r="T122" s="2">
        <v>1.7488000000000001E-4</v>
      </c>
      <c r="V122" s="11"/>
      <c r="W122" s="6">
        <v>10.3</v>
      </c>
      <c r="X122" s="6">
        <v>1.03</v>
      </c>
      <c r="Y122" s="11" t="str">
        <f t="shared" si="24"/>
        <v/>
      </c>
      <c r="Z122" s="6">
        <f t="shared" si="25"/>
        <v>40.299999999999997</v>
      </c>
      <c r="AA122" s="23">
        <f t="shared" si="26"/>
        <v>31.03</v>
      </c>
      <c r="AB122" t="str">
        <f t="shared" si="15"/>
        <v/>
      </c>
      <c r="AC122">
        <f t="shared" si="16"/>
        <v>9.2360000000000001E-4</v>
      </c>
      <c r="AD122">
        <f t="shared" si="17"/>
        <v>5.9639000000000003E-4</v>
      </c>
      <c r="AE122" s="18" t="str">
        <f t="shared" si="18"/>
        <v/>
      </c>
      <c r="AF122" s="7">
        <f t="shared" si="19"/>
        <v>0.99279540989690795</v>
      </c>
      <c r="AG122" s="12">
        <f t="shared" si="20"/>
        <v>0.99939185429911459</v>
      </c>
      <c r="AI122" s="54" t="str">
        <f t="shared" si="21"/>
        <v/>
      </c>
      <c r="AJ122" s="54">
        <f t="shared" si="22"/>
        <v>0.61940012168542713</v>
      </c>
      <c r="AK122" s="54">
        <f t="shared" si="23"/>
        <v>5.1001995781481867E-2</v>
      </c>
    </row>
    <row r="123" spans="1:37" x14ac:dyDescent="0.45">
      <c r="A123" s="2">
        <v>116</v>
      </c>
      <c r="B123" s="2">
        <v>1.3605799999999999</v>
      </c>
      <c r="C123" s="2">
        <v>1.4827399999999999</v>
      </c>
      <c r="I123" s="2">
        <v>26.9</v>
      </c>
      <c r="J123" s="2">
        <v>5.6780000000000003E-4</v>
      </c>
      <c r="K123" s="2">
        <v>2.6939999999999999E-4</v>
      </c>
      <c r="R123" s="2">
        <v>17.989999999999998</v>
      </c>
      <c r="S123" s="2">
        <v>5.9705999999999995E-4</v>
      </c>
      <c r="T123" s="2">
        <v>1.7494E-4</v>
      </c>
      <c r="V123" s="11"/>
      <c r="W123" s="6">
        <v>10.4</v>
      </c>
      <c r="X123" s="6">
        <v>1.04</v>
      </c>
      <c r="Y123" s="11" t="str">
        <f t="shared" si="24"/>
        <v/>
      </c>
      <c r="Z123" s="6">
        <f t="shared" si="25"/>
        <v>40.4</v>
      </c>
      <c r="AA123" s="23">
        <f t="shared" si="26"/>
        <v>31.04</v>
      </c>
      <c r="AB123" t="str">
        <f t="shared" si="15"/>
        <v/>
      </c>
      <c r="AC123">
        <f t="shared" si="16"/>
        <v>9.3079999999999997E-4</v>
      </c>
      <c r="AD123">
        <f t="shared" si="17"/>
        <v>5.9652000000000001E-4</v>
      </c>
      <c r="AE123" s="18" t="str">
        <f t="shared" si="18"/>
        <v/>
      </c>
      <c r="AF123" s="7">
        <f t="shared" si="19"/>
        <v>0.99270371531284984</v>
      </c>
      <c r="AG123" s="12">
        <f t="shared" si="20"/>
        <v>0.99938589402603473</v>
      </c>
      <c r="AI123" s="54" t="str">
        <f t="shared" si="21"/>
        <v/>
      </c>
      <c r="AJ123" s="54">
        <f t="shared" si="22"/>
        <v>0.62676327248307639</v>
      </c>
      <c r="AK123" s="54">
        <f t="shared" si="23"/>
        <v>5.1507628685025598E-2</v>
      </c>
    </row>
    <row r="124" spans="1:37" x14ac:dyDescent="0.45">
      <c r="A124" s="2">
        <v>117</v>
      </c>
      <c r="B124" s="2">
        <v>1.4516</v>
      </c>
      <c r="C124" s="2">
        <v>1.6431199999999999</v>
      </c>
      <c r="I124" s="2">
        <v>27</v>
      </c>
      <c r="J124" s="2">
        <v>5.6800000000000004E-4</v>
      </c>
      <c r="K124" s="2">
        <v>2.7099999999999997E-4</v>
      </c>
      <c r="R124" s="2">
        <v>18</v>
      </c>
      <c r="S124" s="2">
        <v>5.9699999999999998E-4</v>
      </c>
      <c r="T124" s="2">
        <v>1.75E-4</v>
      </c>
      <c r="V124" s="11"/>
      <c r="W124" s="6">
        <v>10.5</v>
      </c>
      <c r="X124" s="6">
        <v>1.05</v>
      </c>
      <c r="Y124" s="11" t="str">
        <f t="shared" si="24"/>
        <v/>
      </c>
      <c r="Z124" s="6">
        <f t="shared" si="25"/>
        <v>40.5</v>
      </c>
      <c r="AA124" s="23">
        <f t="shared" si="26"/>
        <v>31.05</v>
      </c>
      <c r="AB124" t="str">
        <f t="shared" si="15"/>
        <v/>
      </c>
      <c r="AC124">
        <f t="shared" si="16"/>
        <v>9.3800000000000003E-4</v>
      </c>
      <c r="AD124">
        <f t="shared" si="17"/>
        <v>5.9665E-4</v>
      </c>
      <c r="AE124" s="18" t="str">
        <f t="shared" si="18"/>
        <v/>
      </c>
      <c r="AF124" s="7">
        <f t="shared" si="19"/>
        <v>0.99261131445102857</v>
      </c>
      <c r="AG124" s="12">
        <f t="shared" si="20"/>
        <v>0.99937993248929968</v>
      </c>
      <c r="AI124" s="54" t="str">
        <f t="shared" si="21"/>
        <v/>
      </c>
      <c r="AJ124" s="54">
        <f t="shared" si="22"/>
        <v>0.63415628721408013</v>
      </c>
      <c r="AK124" s="54">
        <f t="shared" si="23"/>
        <v>5.2013465624234735E-2</v>
      </c>
    </row>
    <row r="125" spans="1:37" x14ac:dyDescent="0.45">
      <c r="A125" s="2">
        <v>118</v>
      </c>
      <c r="B125" s="2">
        <v>1.54718</v>
      </c>
      <c r="C125" s="2">
        <v>1.8208599999999999</v>
      </c>
      <c r="I125" s="2">
        <v>27.1</v>
      </c>
      <c r="J125" s="2">
        <v>5.6840000000000005E-4</v>
      </c>
      <c r="K125" s="2">
        <v>2.7270000000000001E-4</v>
      </c>
      <c r="R125" s="2">
        <v>18.010000000000002</v>
      </c>
      <c r="S125" s="2">
        <v>5.9694000000000001E-4</v>
      </c>
      <c r="T125" s="2">
        <v>1.7505999999999999E-4</v>
      </c>
      <c r="V125" s="11"/>
      <c r="W125" s="6">
        <v>10.600000000000001</v>
      </c>
      <c r="X125" s="6">
        <v>1.06</v>
      </c>
      <c r="Y125" s="11" t="str">
        <f t="shared" si="24"/>
        <v/>
      </c>
      <c r="Z125" s="6">
        <f t="shared" si="25"/>
        <v>40.6</v>
      </c>
      <c r="AA125" s="23">
        <f t="shared" si="26"/>
        <v>31.06</v>
      </c>
      <c r="AB125" t="str">
        <f t="shared" si="15"/>
        <v/>
      </c>
      <c r="AC125">
        <f t="shared" si="16"/>
        <v>9.4519999999999999E-4</v>
      </c>
      <c r="AD125">
        <f t="shared" si="17"/>
        <v>5.9677999999999999E-4</v>
      </c>
      <c r="AE125" s="18" t="str">
        <f t="shared" si="18"/>
        <v/>
      </c>
      <c r="AF125" s="7">
        <f t="shared" si="19"/>
        <v>0.99251820750973307</v>
      </c>
      <c r="AG125" s="12">
        <f t="shared" si="20"/>
        <v>0.99937396968893244</v>
      </c>
      <c r="AI125" s="54" t="str">
        <f t="shared" si="21"/>
        <v/>
      </c>
      <c r="AJ125" s="54">
        <f t="shared" si="22"/>
        <v>0.64157929873834585</v>
      </c>
      <c r="AK125" s="54">
        <f t="shared" si="23"/>
        <v>5.2519506683255571E-2</v>
      </c>
    </row>
    <row r="126" spans="1:37" x14ac:dyDescent="0.45">
      <c r="A126" s="2">
        <v>119</v>
      </c>
      <c r="B126" s="2">
        <v>1.6474200000000001</v>
      </c>
      <c r="C126" s="2">
        <v>2.0180099999999999</v>
      </c>
      <c r="I126" s="2">
        <v>27.2</v>
      </c>
      <c r="J126" s="2">
        <v>5.6879999999999995E-4</v>
      </c>
      <c r="K126" s="2">
        <v>2.744E-4</v>
      </c>
      <c r="R126" s="2">
        <v>18.02</v>
      </c>
      <c r="S126" s="2">
        <v>5.9688000000000005E-4</v>
      </c>
      <c r="T126" s="2">
        <v>1.7511999999999999E-4</v>
      </c>
      <c r="V126" s="11"/>
      <c r="W126" s="6">
        <v>10.700000000000001</v>
      </c>
      <c r="X126" s="6">
        <v>1.07</v>
      </c>
      <c r="Y126" s="11" t="str">
        <f t="shared" si="24"/>
        <v/>
      </c>
      <c r="Z126" s="6">
        <f t="shared" si="25"/>
        <v>40.700000000000003</v>
      </c>
      <c r="AA126" s="23">
        <f t="shared" si="26"/>
        <v>31.07</v>
      </c>
      <c r="AB126" t="str">
        <f t="shared" si="15"/>
        <v/>
      </c>
      <c r="AC126">
        <f t="shared" si="16"/>
        <v>9.5239999999999995E-4</v>
      </c>
      <c r="AD126">
        <f t="shared" si="17"/>
        <v>5.9690999999999998E-4</v>
      </c>
      <c r="AE126" s="18" t="str">
        <f t="shared" si="18"/>
        <v/>
      </c>
      <c r="AF126" s="7">
        <f t="shared" si="19"/>
        <v>0.9924243946887592</v>
      </c>
      <c r="AG126" s="12">
        <f t="shared" si="20"/>
        <v>0.99936800562495609</v>
      </c>
      <c r="AI126" s="54" t="str">
        <f t="shared" si="21"/>
        <v/>
      </c>
      <c r="AJ126" s="54">
        <f t="shared" si="22"/>
        <v>0.64903244052428466</v>
      </c>
      <c r="AK126" s="54">
        <f t="shared" si="23"/>
        <v>5.3025751946269351E-2</v>
      </c>
    </row>
    <row r="127" spans="1:37" x14ac:dyDescent="0.45">
      <c r="A127" s="2">
        <v>120</v>
      </c>
      <c r="B127" s="2">
        <v>2</v>
      </c>
      <c r="C127" s="2">
        <v>3</v>
      </c>
      <c r="I127" s="2">
        <v>27.3</v>
      </c>
      <c r="J127" s="2">
        <v>5.6919999999999996E-4</v>
      </c>
      <c r="K127" s="2">
        <v>2.7609999999999999E-4</v>
      </c>
      <c r="R127" s="2">
        <v>18.03</v>
      </c>
      <c r="S127" s="2">
        <v>5.9681999999999997E-4</v>
      </c>
      <c r="T127" s="2">
        <v>1.7518000000000001E-4</v>
      </c>
      <c r="V127" s="11"/>
      <c r="W127" s="6">
        <v>10.8</v>
      </c>
      <c r="X127" s="6">
        <v>1.08</v>
      </c>
      <c r="Y127" s="11" t="str">
        <f t="shared" si="24"/>
        <v/>
      </c>
      <c r="Z127" s="6">
        <f t="shared" si="25"/>
        <v>40.799999999999997</v>
      </c>
      <c r="AA127" s="23">
        <f t="shared" si="26"/>
        <v>31.08</v>
      </c>
      <c r="AB127" t="str">
        <f t="shared" si="15"/>
        <v/>
      </c>
      <c r="AC127">
        <f t="shared" si="16"/>
        <v>9.5960000000000001E-4</v>
      </c>
      <c r="AD127">
        <f t="shared" si="17"/>
        <v>5.9703999999999996E-4</v>
      </c>
      <c r="AE127" s="18" t="str">
        <f t="shared" si="18"/>
        <v/>
      </c>
      <c r="AF127" s="7">
        <f t="shared" si="19"/>
        <v>0.99232987618940904</v>
      </c>
      <c r="AG127" s="12">
        <f t="shared" si="20"/>
        <v>0.99936204029739373</v>
      </c>
      <c r="AI127" s="54" t="str">
        <f t="shared" si="21"/>
        <v/>
      </c>
      <c r="AJ127" s="54">
        <f t="shared" si="22"/>
        <v>0.65651584665168605</v>
      </c>
      <c r="AK127" s="54">
        <f t="shared" si="23"/>
        <v>5.3532201497492299E-2</v>
      </c>
    </row>
    <row r="128" spans="1:37" x14ac:dyDescent="0.45">
      <c r="I128" s="2">
        <v>27.4</v>
      </c>
      <c r="J128" s="2">
        <v>5.6959999999999997E-4</v>
      </c>
      <c r="K128" s="2">
        <v>2.7779999999999998E-4</v>
      </c>
      <c r="R128" s="2">
        <v>18.04</v>
      </c>
      <c r="S128" s="2">
        <v>5.9676E-4</v>
      </c>
      <c r="T128" s="2">
        <v>1.7524000000000001E-4</v>
      </c>
      <c r="V128" s="11"/>
      <c r="W128" s="6">
        <v>10.9</v>
      </c>
      <c r="X128" s="6">
        <v>1.0900000000000001</v>
      </c>
      <c r="Y128" s="11" t="str">
        <f t="shared" si="24"/>
        <v/>
      </c>
      <c r="Z128" s="6">
        <f t="shared" si="25"/>
        <v>40.9</v>
      </c>
      <c r="AA128" s="23">
        <f t="shared" si="26"/>
        <v>31.09</v>
      </c>
      <c r="AB128" t="str">
        <f t="shared" si="15"/>
        <v/>
      </c>
      <c r="AC128">
        <f t="shared" si="16"/>
        <v>9.6679999999999997E-4</v>
      </c>
      <c r="AD128">
        <f t="shared" si="17"/>
        <v>5.9716999999999995E-4</v>
      </c>
      <c r="AE128" s="18" t="str">
        <f t="shared" si="18"/>
        <v/>
      </c>
      <c r="AF128" s="7">
        <f t="shared" si="19"/>
        <v>0.99223465221448992</v>
      </c>
      <c r="AG128" s="12">
        <f t="shared" si="20"/>
        <v>0.99935607370626833</v>
      </c>
      <c r="AI128" s="54" t="str">
        <f t="shared" si="21"/>
        <v/>
      </c>
      <c r="AJ128" s="54">
        <f t="shared" si="22"/>
        <v>0.66402965181460616</v>
      </c>
      <c r="AK128" s="54">
        <f t="shared" si="23"/>
        <v>5.4038855421175612E-2</v>
      </c>
    </row>
    <row r="129" spans="9:37" x14ac:dyDescent="0.45">
      <c r="I129" s="2">
        <v>27.5</v>
      </c>
      <c r="J129" s="2">
        <v>5.6999999999999998E-4</v>
      </c>
      <c r="K129" s="2">
        <v>2.7950000000000002E-4</v>
      </c>
      <c r="R129" s="2">
        <v>18.05</v>
      </c>
      <c r="S129" s="2">
        <v>5.9670000000000003E-4</v>
      </c>
      <c r="T129" s="2">
        <v>1.7530000000000001E-4</v>
      </c>
      <c r="V129" s="11"/>
      <c r="W129" s="6">
        <v>11</v>
      </c>
      <c r="X129" s="6">
        <v>1.1000000000000001</v>
      </c>
      <c r="Y129" s="11" t="str">
        <f t="shared" si="24"/>
        <v/>
      </c>
      <c r="Z129" s="6">
        <f t="shared" si="25"/>
        <v>41</v>
      </c>
      <c r="AA129" s="23">
        <f t="shared" si="26"/>
        <v>31.1</v>
      </c>
      <c r="AB129" t="str">
        <f t="shared" si="15"/>
        <v/>
      </c>
      <c r="AC129">
        <f t="shared" si="16"/>
        <v>9.7400000000000004E-4</v>
      </c>
      <c r="AD129">
        <f t="shared" si="17"/>
        <v>5.9730000000000004E-4</v>
      </c>
      <c r="AE129" s="18" t="str">
        <f t="shared" si="18"/>
        <v/>
      </c>
      <c r="AF129" s="7">
        <f t="shared" si="19"/>
        <v>0.99213872296831385</v>
      </c>
      <c r="AG129" s="12">
        <f t="shared" si="20"/>
        <v>0.999350105851603</v>
      </c>
      <c r="AI129" s="54" t="str">
        <f t="shared" si="21"/>
        <v/>
      </c>
      <c r="AJ129" s="54">
        <f t="shared" si="22"/>
        <v>0.67157399132427076</v>
      </c>
      <c r="AK129" s="54">
        <f t="shared" si="23"/>
        <v>5.4545713801605493E-2</v>
      </c>
    </row>
    <row r="130" spans="9:37" x14ac:dyDescent="0.45">
      <c r="I130" s="2">
        <v>27.6</v>
      </c>
      <c r="J130" s="2">
        <v>5.7039999999999999E-4</v>
      </c>
      <c r="K130" s="2">
        <v>2.812E-4</v>
      </c>
      <c r="R130" s="2">
        <v>18.059999999999999</v>
      </c>
      <c r="S130" s="2">
        <v>5.9663999999999995E-4</v>
      </c>
      <c r="T130" s="2">
        <v>1.7536E-4</v>
      </c>
      <c r="V130" s="11"/>
      <c r="W130" s="6">
        <v>11.100000000000001</v>
      </c>
      <c r="X130" s="6">
        <v>1.1100000000000001</v>
      </c>
      <c r="Y130" s="11" t="str">
        <f t="shared" si="24"/>
        <v/>
      </c>
      <c r="Z130" s="6">
        <f t="shared" si="25"/>
        <v>41.1</v>
      </c>
      <c r="AA130" s="23">
        <f t="shared" si="26"/>
        <v>31.11</v>
      </c>
      <c r="AB130" t="str">
        <f t="shared" si="15"/>
        <v/>
      </c>
      <c r="AC130">
        <f t="shared" si="16"/>
        <v>9.8229999999999997E-4</v>
      </c>
      <c r="AD130">
        <f t="shared" si="17"/>
        <v>5.9743000000000003E-4</v>
      </c>
      <c r="AE130" s="18" t="str">
        <f t="shared" si="18"/>
        <v/>
      </c>
      <c r="AF130" s="7">
        <f t="shared" si="19"/>
        <v>0.99204208865669674</v>
      </c>
      <c r="AG130" s="12">
        <f t="shared" si="20"/>
        <v>0.99934413673342071</v>
      </c>
      <c r="AI130" s="54" t="str">
        <f t="shared" si="21"/>
        <v/>
      </c>
      <c r="AJ130" s="54">
        <f t="shared" si="22"/>
        <v>0.6791490011119915</v>
      </c>
      <c r="AK130" s="54">
        <f t="shared" si="23"/>
        <v>5.5052776723103165E-2</v>
      </c>
    </row>
    <row r="131" spans="9:37" x14ac:dyDescent="0.45">
      <c r="I131" s="2">
        <v>27.7</v>
      </c>
      <c r="J131" s="2">
        <v>5.708E-4</v>
      </c>
      <c r="K131" s="2">
        <v>2.8289999999999999E-4</v>
      </c>
      <c r="R131" s="2">
        <v>18.07</v>
      </c>
      <c r="S131" s="2">
        <v>5.9657999999999998E-4</v>
      </c>
      <c r="T131" s="2">
        <v>1.7542E-4</v>
      </c>
      <c r="V131" s="11"/>
      <c r="W131" s="6">
        <v>11.200000000000001</v>
      </c>
      <c r="X131" s="6">
        <v>1.1200000000000001</v>
      </c>
      <c r="Y131" s="11" t="str">
        <f t="shared" si="24"/>
        <v/>
      </c>
      <c r="Z131" s="6">
        <f t="shared" si="25"/>
        <v>41.2</v>
      </c>
      <c r="AA131" s="23">
        <f t="shared" si="26"/>
        <v>31.12</v>
      </c>
      <c r="AB131" t="str">
        <f t="shared" si="15"/>
        <v/>
      </c>
      <c r="AC131">
        <f t="shared" si="16"/>
        <v>9.905999999999999E-4</v>
      </c>
      <c r="AD131">
        <f t="shared" si="17"/>
        <v>5.9756000000000002E-4</v>
      </c>
      <c r="AE131" s="18" t="str">
        <f t="shared" si="18"/>
        <v/>
      </c>
      <c r="AF131" s="7">
        <f t="shared" si="19"/>
        <v>0.99194464036232799</v>
      </c>
      <c r="AG131" s="12">
        <f t="shared" si="20"/>
        <v>0.99933816635174466</v>
      </c>
      <c r="AI131" s="54" t="str">
        <f t="shared" si="21"/>
        <v/>
      </c>
      <c r="AJ131" s="54">
        <f t="shared" si="22"/>
        <v>0.68675478243848742</v>
      </c>
      <c r="AK131" s="54">
        <f t="shared" si="23"/>
        <v>5.556004427002488E-2</v>
      </c>
    </row>
    <row r="132" spans="9:37" x14ac:dyDescent="0.45">
      <c r="I132" s="2">
        <v>27.8</v>
      </c>
      <c r="J132" s="2">
        <v>5.7120000000000001E-4</v>
      </c>
      <c r="K132" s="2">
        <v>2.8459999999999998E-4</v>
      </c>
      <c r="R132" s="2">
        <v>18.079999999999998</v>
      </c>
      <c r="S132" s="2">
        <v>5.9652000000000001E-4</v>
      </c>
      <c r="T132" s="2">
        <v>1.7547999999999999E-4</v>
      </c>
      <c r="V132" s="11"/>
      <c r="W132" s="6">
        <v>11.3</v>
      </c>
      <c r="X132" s="6">
        <v>1.1300000000000001</v>
      </c>
      <c r="Y132" s="11" t="str">
        <f t="shared" si="24"/>
        <v/>
      </c>
      <c r="Z132" s="6">
        <f t="shared" si="25"/>
        <v>41.3</v>
      </c>
      <c r="AA132" s="23">
        <f t="shared" si="26"/>
        <v>31.13</v>
      </c>
      <c r="AB132" t="str">
        <f t="shared" si="15"/>
        <v/>
      </c>
      <c r="AC132">
        <f t="shared" si="16"/>
        <v>9.9890000000000005E-4</v>
      </c>
      <c r="AD132">
        <f t="shared" si="17"/>
        <v>5.9769000000000001E-4</v>
      </c>
      <c r="AE132" s="18" t="str">
        <f t="shared" si="18"/>
        <v/>
      </c>
      <c r="AF132" s="7">
        <f t="shared" si="19"/>
        <v>0.99184637832625366</v>
      </c>
      <c r="AG132" s="12">
        <f t="shared" si="20"/>
        <v>0.99933219470659784</v>
      </c>
      <c r="AI132" s="54" t="str">
        <f t="shared" si="21"/>
        <v/>
      </c>
      <c r="AJ132" s="54">
        <f t="shared" si="22"/>
        <v>0.69439147401265844</v>
      </c>
      <c r="AK132" s="54">
        <f t="shared" si="23"/>
        <v>5.6067516526761924E-2</v>
      </c>
    </row>
    <row r="133" spans="9:37" x14ac:dyDescent="0.45">
      <c r="I133" s="2">
        <v>27.9</v>
      </c>
      <c r="J133" s="2">
        <v>5.7160000000000002E-4</v>
      </c>
      <c r="K133" s="2">
        <v>2.8630000000000002E-4</v>
      </c>
      <c r="R133" s="2">
        <v>18.09</v>
      </c>
      <c r="S133" s="2">
        <v>5.9646000000000005E-4</v>
      </c>
      <c r="T133" s="2">
        <v>1.7553999999999999E-4</v>
      </c>
      <c r="V133" s="11"/>
      <c r="W133" s="6">
        <v>11.4</v>
      </c>
      <c r="X133" s="6">
        <v>1.1400000000000001</v>
      </c>
      <c r="Y133" s="11" t="str">
        <f t="shared" si="24"/>
        <v/>
      </c>
      <c r="Z133" s="6">
        <f t="shared" si="25"/>
        <v>41.4</v>
      </c>
      <c r="AA133" s="23">
        <f t="shared" si="26"/>
        <v>31.14</v>
      </c>
      <c r="AB133" t="str">
        <f t="shared" si="15"/>
        <v/>
      </c>
      <c r="AC133">
        <f t="shared" si="16"/>
        <v>1.0072E-3</v>
      </c>
      <c r="AD133">
        <f t="shared" si="17"/>
        <v>5.9781999999999999E-4</v>
      </c>
      <c r="AE133" s="18" t="str">
        <f t="shared" si="18"/>
        <v/>
      </c>
      <c r="AF133" s="7">
        <f t="shared" si="19"/>
        <v>0.99174730279152268</v>
      </c>
      <c r="AG133" s="12">
        <f t="shared" si="20"/>
        <v>0.99932622179800334</v>
      </c>
      <c r="AI133" s="54" t="str">
        <f t="shared" si="21"/>
        <v/>
      </c>
      <c r="AJ133" s="54">
        <f t="shared" si="22"/>
        <v>0.70205921518871695</v>
      </c>
      <c r="AK133" s="54">
        <f t="shared" si="23"/>
        <v>5.657519357774065E-2</v>
      </c>
    </row>
    <row r="134" spans="9:37" x14ac:dyDescent="0.45">
      <c r="I134" s="2">
        <v>28</v>
      </c>
      <c r="J134" s="2">
        <v>5.7200000000000003E-4</v>
      </c>
      <c r="K134" s="2">
        <v>2.8800000000000001E-4</v>
      </c>
      <c r="R134" s="2">
        <v>18.100000000000001</v>
      </c>
      <c r="S134" s="2">
        <v>5.9639999999999997E-4</v>
      </c>
      <c r="T134" s="2">
        <v>1.7560000000000001E-4</v>
      </c>
      <c r="V134" s="11"/>
      <c r="W134" s="6">
        <v>11.5</v>
      </c>
      <c r="X134" s="6">
        <v>1.1500000000000001</v>
      </c>
      <c r="Y134" s="11" t="str">
        <f t="shared" si="24"/>
        <v/>
      </c>
      <c r="Z134" s="6">
        <f t="shared" si="25"/>
        <v>41.5</v>
      </c>
      <c r="AA134" s="23">
        <f t="shared" si="26"/>
        <v>31.15</v>
      </c>
      <c r="AB134" t="str">
        <f t="shared" si="15"/>
        <v/>
      </c>
      <c r="AC134">
        <f t="shared" si="16"/>
        <v>1.0154999999999999E-3</v>
      </c>
      <c r="AD134">
        <f t="shared" si="17"/>
        <v>5.9794999999999998E-4</v>
      </c>
      <c r="AE134" s="18" t="str">
        <f t="shared" si="18"/>
        <v/>
      </c>
      <c r="AF134" s="7">
        <f t="shared" si="19"/>
        <v>0.99164741400318557</v>
      </c>
      <c r="AG134" s="12">
        <f t="shared" si="20"/>
        <v>0.99932024762598415</v>
      </c>
      <c r="AI134" s="54" t="str">
        <f t="shared" si="21"/>
        <v/>
      </c>
      <c r="AJ134" s="54">
        <f t="shared" si="22"/>
        <v>0.70975814596929432</v>
      </c>
      <c r="AK134" s="54">
        <f t="shared" si="23"/>
        <v>5.708307550742249E-2</v>
      </c>
    </row>
    <row r="135" spans="9:37" x14ac:dyDescent="0.45">
      <c r="I135" s="2">
        <v>28.1</v>
      </c>
      <c r="J135" s="2">
        <v>5.7249999999999998E-4</v>
      </c>
      <c r="K135" s="2">
        <v>2.899E-4</v>
      </c>
      <c r="R135" s="2">
        <v>18.11</v>
      </c>
      <c r="S135" s="2">
        <v>5.9634E-4</v>
      </c>
      <c r="T135" s="2">
        <v>1.7566000000000001E-4</v>
      </c>
      <c r="V135" s="11"/>
      <c r="W135" s="6">
        <v>11.600000000000001</v>
      </c>
      <c r="X135" s="6">
        <v>1.1599999999999999</v>
      </c>
      <c r="Y135" s="11" t="str">
        <f t="shared" si="24"/>
        <v/>
      </c>
      <c r="Z135" s="6">
        <f t="shared" si="25"/>
        <v>41.6</v>
      </c>
      <c r="AA135" s="23">
        <f t="shared" si="26"/>
        <v>31.16</v>
      </c>
      <c r="AB135" t="str">
        <f t="shared" si="15"/>
        <v/>
      </c>
      <c r="AC135">
        <f t="shared" si="16"/>
        <v>1.0238000000000001E-3</v>
      </c>
      <c r="AD135">
        <f t="shared" si="17"/>
        <v>5.9807999999999997E-4</v>
      </c>
      <c r="AE135" s="18" t="str">
        <f t="shared" si="18"/>
        <v/>
      </c>
      <c r="AF135" s="7">
        <f t="shared" si="19"/>
        <v>0.99154671220829349</v>
      </c>
      <c r="AG135" s="12">
        <f t="shared" si="20"/>
        <v>0.99931427219056346</v>
      </c>
      <c r="AI135" s="54" t="str">
        <f t="shared" si="21"/>
        <v/>
      </c>
      <c r="AJ135" s="54">
        <f t="shared" si="22"/>
        <v>0.71748840700856342</v>
      </c>
      <c r="AK135" s="54">
        <f t="shared" si="23"/>
        <v>5.7591162400303951E-2</v>
      </c>
    </row>
    <row r="136" spans="9:37" x14ac:dyDescent="0.45">
      <c r="I136" s="2">
        <v>28.2</v>
      </c>
      <c r="J136" s="2">
        <v>5.7300000000000005E-4</v>
      </c>
      <c r="K136" s="2">
        <v>2.9179999999999999E-4</v>
      </c>
      <c r="R136" s="2">
        <v>18.12</v>
      </c>
      <c r="S136" s="2">
        <v>5.9628000000000003E-4</v>
      </c>
      <c r="T136" s="2">
        <v>1.7572E-4</v>
      </c>
      <c r="V136" s="11"/>
      <c r="W136" s="6">
        <v>11.700000000000001</v>
      </c>
      <c r="X136" s="6">
        <v>1.17</v>
      </c>
      <c r="Y136" s="11" t="str">
        <f t="shared" si="24"/>
        <v/>
      </c>
      <c r="Z136" s="6">
        <f t="shared" si="25"/>
        <v>41.7</v>
      </c>
      <c r="AA136" s="23">
        <f t="shared" si="26"/>
        <v>31.17</v>
      </c>
      <c r="AB136" t="str">
        <f t="shared" si="15"/>
        <v/>
      </c>
      <c r="AC136">
        <f t="shared" si="16"/>
        <v>1.0321E-3</v>
      </c>
      <c r="AD136">
        <f t="shared" si="17"/>
        <v>5.9820999999999995E-4</v>
      </c>
      <c r="AE136" s="18" t="str">
        <f t="shared" si="18"/>
        <v/>
      </c>
      <c r="AF136" s="7">
        <f t="shared" si="19"/>
        <v>0.99144519765589756</v>
      </c>
      <c r="AG136" s="12">
        <f t="shared" si="20"/>
        <v>0.99930829549176436</v>
      </c>
      <c r="AI136" s="54" t="str">
        <f t="shared" si="21"/>
        <v/>
      </c>
      <c r="AJ136" s="54">
        <f t="shared" si="22"/>
        <v>0.72525013961537588</v>
      </c>
      <c r="AK136" s="54">
        <f t="shared" si="23"/>
        <v>5.8099454340916651E-2</v>
      </c>
    </row>
    <row r="137" spans="9:37" x14ac:dyDescent="0.45">
      <c r="I137" s="2">
        <v>28.3</v>
      </c>
      <c r="J137" s="2">
        <v>5.7350000000000001E-4</v>
      </c>
      <c r="K137" s="2">
        <v>2.9369999999999998E-4</v>
      </c>
      <c r="R137" s="2">
        <v>18.13</v>
      </c>
      <c r="S137" s="2">
        <v>5.9621999999999995E-4</v>
      </c>
      <c r="T137" s="2">
        <v>1.7578E-4</v>
      </c>
      <c r="V137" s="11"/>
      <c r="W137" s="6">
        <v>11.8</v>
      </c>
      <c r="X137" s="6">
        <v>1.18</v>
      </c>
      <c r="Y137" s="11" t="str">
        <f t="shared" si="24"/>
        <v/>
      </c>
      <c r="Z137" s="6">
        <f t="shared" si="25"/>
        <v>41.8</v>
      </c>
      <c r="AA137" s="23">
        <f t="shared" si="26"/>
        <v>31.18</v>
      </c>
      <c r="AB137" t="str">
        <f t="shared" si="15"/>
        <v/>
      </c>
      <c r="AC137">
        <f t="shared" si="16"/>
        <v>1.0403999999999999E-3</v>
      </c>
      <c r="AD137">
        <f t="shared" si="17"/>
        <v>5.9834000000000005E-4</v>
      </c>
      <c r="AE137" s="18" t="str">
        <f t="shared" si="18"/>
        <v/>
      </c>
      <c r="AF137" s="7">
        <f t="shared" si="19"/>
        <v>0.99134287059704751</v>
      </c>
      <c r="AG137" s="12">
        <f t="shared" si="20"/>
        <v>0.99930231752960985</v>
      </c>
      <c r="AI137" s="54" t="str">
        <f t="shared" si="21"/>
        <v/>
      </c>
      <c r="AJ137" s="54">
        <f t="shared" si="22"/>
        <v>0.73304348575641576</v>
      </c>
      <c r="AK137" s="54">
        <f t="shared" si="23"/>
        <v>5.8607951413827325E-2</v>
      </c>
    </row>
    <row r="138" spans="9:37" x14ac:dyDescent="0.45">
      <c r="I138" s="2">
        <v>28.4</v>
      </c>
      <c r="J138" s="2">
        <v>5.7399999999999997E-4</v>
      </c>
      <c r="K138" s="2">
        <v>2.9559999999999998E-4</v>
      </c>
      <c r="R138" s="2">
        <v>18.14</v>
      </c>
      <c r="S138" s="2">
        <v>5.9615999999999998E-4</v>
      </c>
      <c r="T138" s="2">
        <v>1.7584E-4</v>
      </c>
      <c r="V138" s="11"/>
      <c r="W138" s="6">
        <v>11.9</v>
      </c>
      <c r="X138" s="6">
        <v>1.19</v>
      </c>
      <c r="Y138" s="11" t="str">
        <f t="shared" si="24"/>
        <v/>
      </c>
      <c r="Z138" s="6">
        <f t="shared" si="25"/>
        <v>41.9</v>
      </c>
      <c r="AA138" s="23">
        <f t="shared" si="26"/>
        <v>31.19</v>
      </c>
      <c r="AB138" t="str">
        <f t="shared" si="15"/>
        <v/>
      </c>
      <c r="AC138">
        <f t="shared" si="16"/>
        <v>1.0487000000000001E-3</v>
      </c>
      <c r="AD138">
        <f t="shared" si="17"/>
        <v>5.9847000000000003E-4</v>
      </c>
      <c r="AE138" s="18" t="str">
        <f t="shared" si="18"/>
        <v/>
      </c>
      <c r="AF138" s="7">
        <f t="shared" si="19"/>
        <v>0.99123973128479059</v>
      </c>
      <c r="AG138" s="12">
        <f t="shared" si="20"/>
        <v>0.99929633830412312</v>
      </c>
      <c r="AI138" s="54" t="str">
        <f t="shared" si="21"/>
        <v/>
      </c>
      <c r="AJ138" s="54">
        <f t="shared" si="22"/>
        <v>0.74086858805936828</v>
      </c>
      <c r="AK138" s="54">
        <f t="shared" si="23"/>
        <v>5.9116653703637841E-2</v>
      </c>
    </row>
    <row r="139" spans="9:37" x14ac:dyDescent="0.45">
      <c r="I139" s="2">
        <v>28.5</v>
      </c>
      <c r="J139" s="2">
        <v>5.7450000000000003E-4</v>
      </c>
      <c r="K139" s="2">
        <v>2.9750000000000002E-4</v>
      </c>
      <c r="R139" s="2">
        <v>18.149999999999999</v>
      </c>
      <c r="S139" s="2">
        <v>5.9610000000000002E-4</v>
      </c>
      <c r="T139" s="2">
        <v>1.7589999999999999E-4</v>
      </c>
      <c r="V139" s="11"/>
      <c r="W139" s="6">
        <v>12</v>
      </c>
      <c r="X139" s="6">
        <v>1.2</v>
      </c>
      <c r="Y139" s="11" t="str">
        <f t="shared" si="24"/>
        <v/>
      </c>
      <c r="Z139" s="6">
        <f t="shared" si="25"/>
        <v>42</v>
      </c>
      <c r="AA139" s="23">
        <f t="shared" si="26"/>
        <v>31.2</v>
      </c>
      <c r="AB139" t="str">
        <f t="shared" si="15"/>
        <v/>
      </c>
      <c r="AC139">
        <f t="shared" si="16"/>
        <v>1.057E-3</v>
      </c>
      <c r="AD139">
        <f t="shared" si="17"/>
        <v>5.9860000000000002E-4</v>
      </c>
      <c r="AE139" s="18" t="str">
        <f t="shared" si="18"/>
        <v/>
      </c>
      <c r="AF139" s="7">
        <f t="shared" si="19"/>
        <v>0.99113577997417079</v>
      </c>
      <c r="AG139" s="12">
        <f t="shared" si="20"/>
        <v>0.99929035781532727</v>
      </c>
      <c r="AI139" s="54" t="str">
        <f t="shared" si="21"/>
        <v/>
      </c>
      <c r="AJ139" s="54">
        <f t="shared" si="22"/>
        <v>0.74872558981610426</v>
      </c>
      <c r="AK139" s="54">
        <f t="shared" si="23"/>
        <v>5.962556129498521E-2</v>
      </c>
    </row>
    <row r="140" spans="9:37" x14ac:dyDescent="0.45">
      <c r="I140" s="2">
        <v>28.6</v>
      </c>
      <c r="J140" s="2">
        <v>5.7499999999999999E-4</v>
      </c>
      <c r="K140" s="2">
        <v>2.9940000000000001E-4</v>
      </c>
      <c r="R140" s="2">
        <v>18.16</v>
      </c>
      <c r="S140" s="2">
        <v>5.9604000000000005E-4</v>
      </c>
      <c r="T140" s="2">
        <v>1.7595999999999999E-4</v>
      </c>
      <c r="V140" s="11"/>
      <c r="W140" s="6">
        <v>12.100000000000001</v>
      </c>
      <c r="X140" s="6">
        <v>1.21</v>
      </c>
      <c r="Y140" s="11" t="str">
        <f t="shared" si="24"/>
        <v/>
      </c>
      <c r="Z140" s="6">
        <f t="shared" si="25"/>
        <v>42.1</v>
      </c>
      <c r="AA140" s="23">
        <f t="shared" si="26"/>
        <v>31.21</v>
      </c>
      <c r="AB140" t="str">
        <f t="shared" si="15"/>
        <v/>
      </c>
      <c r="AC140">
        <f t="shared" si="16"/>
        <v>1.0667000000000001E-3</v>
      </c>
      <c r="AD140">
        <f t="shared" si="17"/>
        <v>5.9873000000000001E-4</v>
      </c>
      <c r="AE140" s="18" t="str">
        <f t="shared" si="18"/>
        <v/>
      </c>
      <c r="AF140" s="7">
        <f t="shared" si="19"/>
        <v>0.9910310169222275</v>
      </c>
      <c r="AG140" s="12">
        <f t="shared" si="20"/>
        <v>0.99928437606324538</v>
      </c>
      <c r="AI140" s="54" t="str">
        <f t="shared" si="21"/>
        <v/>
      </c>
      <c r="AJ140" s="54">
        <f t="shared" si="22"/>
        <v>0.756614634985881</v>
      </c>
      <c r="AK140" s="54">
        <f t="shared" si="23"/>
        <v>6.0134674272541613E-2</v>
      </c>
    </row>
    <row r="141" spans="9:37" x14ac:dyDescent="0.45">
      <c r="I141" s="2">
        <v>28.7</v>
      </c>
      <c r="J141" s="2">
        <v>5.7549999999999995E-4</v>
      </c>
      <c r="K141" s="2">
        <v>3.0130000000000001E-4</v>
      </c>
      <c r="R141" s="2">
        <v>18.170000000000002</v>
      </c>
      <c r="S141" s="2">
        <v>5.9597999999999997E-4</v>
      </c>
      <c r="T141" s="2">
        <v>1.7602000000000001E-4</v>
      </c>
      <c r="V141" s="11"/>
      <c r="W141" s="6">
        <v>12.200000000000001</v>
      </c>
      <c r="X141" s="6">
        <v>1.22</v>
      </c>
      <c r="Y141" s="11" t="str">
        <f t="shared" si="24"/>
        <v/>
      </c>
      <c r="Z141" s="6">
        <f t="shared" si="25"/>
        <v>42.2</v>
      </c>
      <c r="AA141" s="23">
        <f t="shared" si="26"/>
        <v>31.22</v>
      </c>
      <c r="AB141" t="str">
        <f t="shared" si="15"/>
        <v/>
      </c>
      <c r="AC141">
        <f t="shared" si="16"/>
        <v>1.0763999999999999E-3</v>
      </c>
      <c r="AD141">
        <f t="shared" si="17"/>
        <v>5.9886E-4</v>
      </c>
      <c r="AE141" s="18" t="str">
        <f t="shared" si="18"/>
        <v/>
      </c>
      <c r="AF141" s="7">
        <f t="shared" si="19"/>
        <v>0.99092530364365239</v>
      </c>
      <c r="AG141" s="12">
        <f t="shared" si="20"/>
        <v>0.99927839304790056</v>
      </c>
      <c r="AI141" s="54" t="str">
        <f t="shared" si="21"/>
        <v/>
      </c>
      <c r="AJ141" s="54">
        <f t="shared" si="22"/>
        <v>0.76453583412460713</v>
      </c>
      <c r="AK141" s="54">
        <f t="shared" si="23"/>
        <v>6.0643992721014395E-2</v>
      </c>
    </row>
    <row r="142" spans="9:37" x14ac:dyDescent="0.45">
      <c r="I142" s="2">
        <v>28.8</v>
      </c>
      <c r="J142" s="2">
        <v>5.7600000000000001E-4</v>
      </c>
      <c r="K142" s="2">
        <v>3.032E-4</v>
      </c>
      <c r="R142" s="2">
        <v>18.18</v>
      </c>
      <c r="S142" s="2">
        <v>5.9592E-4</v>
      </c>
      <c r="T142" s="2">
        <v>1.7608000000000001E-4</v>
      </c>
      <c r="V142" s="11"/>
      <c r="W142" s="6">
        <v>12.3</v>
      </c>
      <c r="X142" s="6">
        <v>1.23</v>
      </c>
      <c r="Y142" s="11" t="str">
        <f t="shared" si="24"/>
        <v/>
      </c>
      <c r="Z142" s="6">
        <f t="shared" si="25"/>
        <v>42.3</v>
      </c>
      <c r="AA142" s="23">
        <f t="shared" si="26"/>
        <v>31.23</v>
      </c>
      <c r="AB142" t="str">
        <f t="shared" si="15"/>
        <v/>
      </c>
      <c r="AC142">
        <f t="shared" si="16"/>
        <v>1.0861E-3</v>
      </c>
      <c r="AD142">
        <f t="shared" si="17"/>
        <v>5.9898999999999998E-4</v>
      </c>
      <c r="AE142" s="18" t="str">
        <f t="shared" si="18"/>
        <v/>
      </c>
      <c r="AF142" s="7">
        <f t="shared" si="19"/>
        <v>0.99081864044396817</v>
      </c>
      <c r="AG142" s="12">
        <f t="shared" si="20"/>
        <v>0.999272408769316</v>
      </c>
      <c r="AI142" s="54" t="str">
        <f t="shared" si="21"/>
        <v/>
      </c>
      <c r="AJ142" s="54">
        <f t="shared" si="22"/>
        <v>0.77248933461395941</v>
      </c>
      <c r="AK142" s="54">
        <f t="shared" si="23"/>
        <v>6.1153516725146101E-2</v>
      </c>
    </row>
    <row r="143" spans="9:37" x14ac:dyDescent="0.45">
      <c r="I143" s="2">
        <v>28.9</v>
      </c>
      <c r="J143" s="2">
        <v>5.7649999999999997E-4</v>
      </c>
      <c r="K143" s="2">
        <v>3.0509999999999999E-4</v>
      </c>
      <c r="R143" s="2">
        <v>18.190000000000001</v>
      </c>
      <c r="S143" s="2">
        <v>5.9586000000000003E-4</v>
      </c>
      <c r="T143" s="2">
        <v>1.7614E-4</v>
      </c>
      <c r="V143" s="11"/>
      <c r="W143" s="6">
        <v>12.4</v>
      </c>
      <c r="X143" s="6">
        <v>1.24</v>
      </c>
      <c r="Y143" s="11" t="str">
        <f t="shared" si="24"/>
        <v/>
      </c>
      <c r="Z143" s="6">
        <f t="shared" si="25"/>
        <v>42.4</v>
      </c>
      <c r="AA143" s="23">
        <f t="shared" si="26"/>
        <v>31.24</v>
      </c>
      <c r="AB143" t="str">
        <f t="shared" si="15"/>
        <v/>
      </c>
      <c r="AC143">
        <f t="shared" si="16"/>
        <v>1.0958000000000001E-3</v>
      </c>
      <c r="AD143">
        <f t="shared" si="17"/>
        <v>5.9911999999999997E-4</v>
      </c>
      <c r="AE143" s="18" t="str">
        <f t="shared" si="18"/>
        <v/>
      </c>
      <c r="AF143" s="7">
        <f t="shared" si="19"/>
        <v>0.9907110276314296</v>
      </c>
      <c r="AG143" s="12">
        <f t="shared" si="20"/>
        <v>0.99926642322751469</v>
      </c>
      <c r="AI143" s="54" t="str">
        <f t="shared" si="21"/>
        <v/>
      </c>
      <c r="AJ143" s="54">
        <f t="shared" si="22"/>
        <v>0.78047528453471637</v>
      </c>
      <c r="AK143" s="54">
        <f t="shared" si="23"/>
        <v>6.1663246369714486E-2</v>
      </c>
    </row>
    <row r="144" spans="9:37" x14ac:dyDescent="0.45">
      <c r="I144" s="2">
        <v>29</v>
      </c>
      <c r="J144" s="2">
        <v>5.7700000000000004E-4</v>
      </c>
      <c r="K144" s="2">
        <v>3.0699999999999998E-4</v>
      </c>
      <c r="R144" s="2">
        <v>18.2</v>
      </c>
      <c r="S144" s="2">
        <v>5.9579999999999995E-4</v>
      </c>
      <c r="T144" s="2">
        <v>1.762E-4</v>
      </c>
      <c r="V144" s="11"/>
      <c r="W144" s="6">
        <v>12.5</v>
      </c>
      <c r="X144" s="6">
        <v>1.25</v>
      </c>
      <c r="Y144" s="11" t="str">
        <f t="shared" si="24"/>
        <v/>
      </c>
      <c r="Z144" s="6">
        <f t="shared" si="25"/>
        <v>42.5</v>
      </c>
      <c r="AA144" s="23">
        <f t="shared" si="26"/>
        <v>31.25</v>
      </c>
      <c r="AB144" t="str">
        <f t="shared" si="15"/>
        <v/>
      </c>
      <c r="AC144">
        <f t="shared" si="16"/>
        <v>1.1054999999999999E-3</v>
      </c>
      <c r="AD144">
        <f t="shared" si="17"/>
        <v>5.9924999999999996E-4</v>
      </c>
      <c r="AE144" s="18" t="str">
        <f t="shared" si="18"/>
        <v/>
      </c>
      <c r="AF144" s="7">
        <f t="shared" si="19"/>
        <v>0.99060246551702169</v>
      </c>
      <c r="AG144" s="12">
        <f t="shared" si="20"/>
        <v>0.99926043642251983</v>
      </c>
      <c r="AI144" s="54" t="str">
        <f t="shared" si="21"/>
        <v/>
      </c>
      <c r="AJ144" s="54">
        <f t="shared" si="22"/>
        <v>0.78849383267020323</v>
      </c>
      <c r="AK144" s="54">
        <f t="shared" si="23"/>
        <v>6.217318173953252E-2</v>
      </c>
    </row>
    <row r="145" spans="9:37" x14ac:dyDescent="0.45">
      <c r="I145" s="2">
        <v>29.1</v>
      </c>
      <c r="J145" s="2">
        <v>5.7779999999999995E-4</v>
      </c>
      <c r="K145" s="2">
        <v>3.0909999999999998E-4</v>
      </c>
      <c r="R145" s="2">
        <v>18.21</v>
      </c>
      <c r="S145" s="2">
        <v>5.9573999999999998E-4</v>
      </c>
      <c r="T145" s="2">
        <v>1.7626E-4</v>
      </c>
      <c r="V145" s="11"/>
      <c r="W145" s="6">
        <v>12.600000000000001</v>
      </c>
      <c r="X145" s="6">
        <v>1.26</v>
      </c>
      <c r="Y145" s="11" t="str">
        <f t="shared" si="24"/>
        <v/>
      </c>
      <c r="Z145" s="6">
        <f t="shared" si="25"/>
        <v>42.6</v>
      </c>
      <c r="AA145" s="23">
        <f t="shared" si="26"/>
        <v>31.26</v>
      </c>
      <c r="AB145" t="str">
        <f t="shared" si="15"/>
        <v/>
      </c>
      <c r="AC145">
        <f t="shared" si="16"/>
        <v>1.1152E-3</v>
      </c>
      <c r="AD145">
        <f t="shared" si="17"/>
        <v>5.9938000000000005E-4</v>
      </c>
      <c r="AE145" s="18" t="str">
        <f t="shared" si="18"/>
        <v/>
      </c>
      <c r="AF145" s="7">
        <f t="shared" si="19"/>
        <v>0.99049295441445884</v>
      </c>
      <c r="AG145" s="12">
        <f t="shared" si="20"/>
        <v>0.99925444835435462</v>
      </c>
      <c r="AI145" s="54" t="str">
        <f t="shared" si="21"/>
        <v/>
      </c>
      <c r="AJ145" s="54">
        <f t="shared" si="22"/>
        <v>0.79654512850975445</v>
      </c>
      <c r="AK145" s="54">
        <f t="shared" si="23"/>
        <v>6.2683322919448406E-2</v>
      </c>
    </row>
    <row r="146" spans="9:37" x14ac:dyDescent="0.45">
      <c r="I146" s="2">
        <v>29.2</v>
      </c>
      <c r="J146" s="2">
        <v>5.7859999999999997E-4</v>
      </c>
      <c r="K146" s="2">
        <v>3.1119999999999997E-4</v>
      </c>
      <c r="R146" s="2">
        <v>18.22</v>
      </c>
      <c r="S146" s="2">
        <v>5.9568000000000002E-4</v>
      </c>
      <c r="T146" s="2">
        <v>1.7631999999999999E-4</v>
      </c>
      <c r="V146" s="11"/>
      <c r="W146" s="6">
        <v>12.700000000000001</v>
      </c>
      <c r="X146" s="6">
        <v>1.27</v>
      </c>
      <c r="Y146" s="11" t="str">
        <f t="shared" si="24"/>
        <v/>
      </c>
      <c r="Z146" s="6">
        <f t="shared" si="25"/>
        <v>42.7</v>
      </c>
      <c r="AA146" s="23">
        <f t="shared" si="26"/>
        <v>31.27</v>
      </c>
      <c r="AB146" t="str">
        <f t="shared" si="15"/>
        <v/>
      </c>
      <c r="AC146">
        <f t="shared" si="16"/>
        <v>1.1249000000000001E-3</v>
      </c>
      <c r="AD146">
        <f t="shared" si="17"/>
        <v>5.9951000000000004E-4</v>
      </c>
      <c r="AE146" s="18" t="str">
        <f t="shared" si="18"/>
        <v/>
      </c>
      <c r="AF146" s="7">
        <f t="shared" si="19"/>
        <v>0.99038249464018258</v>
      </c>
      <c r="AG146" s="12">
        <f t="shared" si="20"/>
        <v>0.99924845902304205</v>
      </c>
      <c r="AI146" s="54" t="str">
        <f t="shared" si="21"/>
        <v/>
      </c>
      <c r="AJ146" s="54">
        <f t="shared" si="22"/>
        <v>0.80462932225219364</v>
      </c>
      <c r="AK146" s="54">
        <f t="shared" si="23"/>
        <v>6.31936699943456E-2</v>
      </c>
    </row>
    <row r="147" spans="9:37" x14ac:dyDescent="0.45">
      <c r="I147" s="2">
        <v>29.3</v>
      </c>
      <c r="J147" s="2">
        <v>5.7939999999999999E-4</v>
      </c>
      <c r="K147" s="2">
        <v>3.1330000000000003E-4</v>
      </c>
      <c r="R147" s="2">
        <v>18.23</v>
      </c>
      <c r="S147" s="2">
        <v>5.9562000000000005E-4</v>
      </c>
      <c r="T147" s="2">
        <v>1.7637999999999999E-4</v>
      </c>
      <c r="V147" s="11"/>
      <c r="W147" s="6">
        <v>12.8</v>
      </c>
      <c r="X147" s="6">
        <v>1.28</v>
      </c>
      <c r="Y147" s="11" t="str">
        <f t="shared" si="24"/>
        <v/>
      </c>
      <c r="Z147" s="6">
        <f t="shared" si="25"/>
        <v>42.8</v>
      </c>
      <c r="AA147" s="23">
        <f t="shared" si="26"/>
        <v>31.28</v>
      </c>
      <c r="AB147" t="str">
        <f t="shared" ref="AB147:AB210" si="27">IF(Y147="","",VLOOKUP(Y147,Table_1,2))</f>
        <v/>
      </c>
      <c r="AC147">
        <f t="shared" ref="AC147:AC210" si="28">IF(Z147="","",VLOOKUP(Z147,Table_2,2))</f>
        <v>1.1345999999999999E-3</v>
      </c>
      <c r="AD147">
        <f t="shared" ref="AD147:AD210" si="29">IF(AA147="","",VLOOKUP(AA147,Table_3,2))</f>
        <v>5.9964000000000003E-4</v>
      </c>
      <c r="AE147" s="18" t="str">
        <f t="shared" si="18"/>
        <v/>
      </c>
      <c r="AF147" s="7">
        <f t="shared" si="19"/>
        <v>0.99027108651336049</v>
      </c>
      <c r="AG147" s="12">
        <f t="shared" si="20"/>
        <v>0.99924246842860531</v>
      </c>
      <c r="AI147" s="54" t="str">
        <f t="shared" si="21"/>
        <v/>
      </c>
      <c r="AJ147" s="54">
        <f t="shared" si="22"/>
        <v>0.81274656480933127</v>
      </c>
      <c r="AK147" s="54">
        <f t="shared" si="23"/>
        <v>6.3704223049142819E-2</v>
      </c>
    </row>
    <row r="148" spans="9:37" x14ac:dyDescent="0.45">
      <c r="I148" s="2">
        <v>29.4</v>
      </c>
      <c r="J148" s="2">
        <v>5.8020000000000001E-4</v>
      </c>
      <c r="K148" s="2">
        <v>3.1540000000000002E-4</v>
      </c>
      <c r="R148" s="2">
        <v>18.239999999999998</v>
      </c>
      <c r="S148" s="2">
        <v>5.9555999999999997E-4</v>
      </c>
      <c r="T148" s="2">
        <v>1.7644000000000001E-4</v>
      </c>
      <c r="V148" s="11"/>
      <c r="W148" s="6">
        <v>12.9</v>
      </c>
      <c r="X148" s="6">
        <v>1.29</v>
      </c>
      <c r="Y148" s="11" t="str">
        <f t="shared" si="24"/>
        <v/>
      </c>
      <c r="Z148" s="6">
        <f t="shared" si="25"/>
        <v>42.9</v>
      </c>
      <c r="AA148" s="23">
        <f t="shared" si="26"/>
        <v>31.29</v>
      </c>
      <c r="AB148" t="str">
        <f t="shared" si="27"/>
        <v/>
      </c>
      <c r="AC148">
        <f t="shared" si="28"/>
        <v>1.1443E-3</v>
      </c>
      <c r="AD148">
        <f t="shared" si="29"/>
        <v>5.9977000000000001E-4</v>
      </c>
      <c r="AE148" s="18" t="str">
        <f t="shared" ref="AE148:AE211" si="30">IF(AB148="","",AE147+h_1*(-AE147*AB147))</f>
        <v/>
      </c>
      <c r="AF148" s="7">
        <f t="shared" ref="AF148:AF211" si="31">IF(AC148="","",AF147+h_2*(-AF147*AC147))</f>
        <v>0.99015873035588464</v>
      </c>
      <c r="AG148" s="12">
        <f t="shared" ref="AG148:AG211" si="32">IF(AD148="","",AG147+h_3*(-AG147*AD147))</f>
        <v>0.99923647657106762</v>
      </c>
      <c r="AI148" s="54" t="str">
        <f t="shared" ref="AI148:AI211" si="33">IF(Y148="","",AI147+AI$17*(AI147*delta+Prem1-AB147*(1-AI147)))</f>
        <v/>
      </c>
      <c r="AJ148" s="54">
        <f t="shared" ref="AJ148:AJ211" si="34">IF(Z148="","",AJ147+AJ$17*(AJ147*delta+Prem2-AC147*(1-AJ147)))</f>
        <v>0.82089700780948061</v>
      </c>
      <c r="AK148" s="54">
        <f t="shared" ref="AK148:AK211" si="35">IF(AA148="","",AK147+AK$17*(AK147*delta+Prem3-AD147*(1-AK147)))</f>
        <v>6.4214982168794066E-2</v>
      </c>
    </row>
    <row r="149" spans="9:37" x14ac:dyDescent="0.45">
      <c r="I149" s="2">
        <v>29.5</v>
      </c>
      <c r="J149" s="2">
        <v>5.8100000000000003E-4</v>
      </c>
      <c r="K149" s="2">
        <v>3.1750000000000002E-4</v>
      </c>
      <c r="R149" s="2">
        <v>18.25</v>
      </c>
      <c r="S149" s="2">
        <v>5.955E-4</v>
      </c>
      <c r="T149" s="2">
        <v>1.7650000000000001E-4</v>
      </c>
      <c r="V149" s="11"/>
      <c r="W149" s="6">
        <v>13</v>
      </c>
      <c r="X149" s="6">
        <v>1.3</v>
      </c>
      <c r="Y149" s="11" t="str">
        <f t="shared" ref="Y149:Y212" si="36">IF(ISBLANK(V149),"",$Y$19+V149)</f>
        <v/>
      </c>
      <c r="Z149" s="6">
        <f t="shared" ref="Z149:Z212" si="37">IF(ISBLANK(W149),"",$Y$19+W149)</f>
        <v>43</v>
      </c>
      <c r="AA149" s="23">
        <f t="shared" ref="AA149:AA212" si="38">IF(ISBLANK(X149),"",$Y$19+X149)</f>
        <v>31.3</v>
      </c>
      <c r="AB149" t="str">
        <f t="shared" si="27"/>
        <v/>
      </c>
      <c r="AC149">
        <f t="shared" si="28"/>
        <v>1.1540000000000001E-3</v>
      </c>
      <c r="AD149">
        <f t="shared" si="29"/>
        <v>5.999E-4</v>
      </c>
      <c r="AE149" s="18" t="str">
        <f t="shared" si="30"/>
        <v/>
      </c>
      <c r="AF149" s="7">
        <f t="shared" si="31"/>
        <v>0.99004542649237004</v>
      </c>
      <c r="AG149" s="12">
        <f t="shared" si="32"/>
        <v>0.99923048345045207</v>
      </c>
      <c r="AI149" s="54" t="str">
        <f t="shared" si="33"/>
        <v/>
      </c>
      <c r="AJ149" s="54">
        <f t="shared" si="34"/>
        <v>0.8290808036009909</v>
      </c>
      <c r="AK149" s="54">
        <f t="shared" si="35"/>
        <v>6.4725947438288634E-2</v>
      </c>
    </row>
    <row r="150" spans="9:37" x14ac:dyDescent="0.45">
      <c r="I150" s="2">
        <v>29.6</v>
      </c>
      <c r="J150" s="2">
        <v>5.8180000000000005E-4</v>
      </c>
      <c r="K150" s="2">
        <v>3.1960000000000002E-4</v>
      </c>
      <c r="R150" s="2">
        <v>18.260000000000002</v>
      </c>
      <c r="S150" s="2">
        <v>5.9544000000000003E-4</v>
      </c>
      <c r="T150" s="2">
        <v>1.7656E-4</v>
      </c>
      <c r="V150" s="11"/>
      <c r="W150" s="6">
        <v>13.100000000000001</v>
      </c>
      <c r="X150" s="6">
        <v>1.31</v>
      </c>
      <c r="Y150" s="11" t="str">
        <f t="shared" si="36"/>
        <v/>
      </c>
      <c r="Z150" s="6">
        <f t="shared" si="37"/>
        <v>43.1</v>
      </c>
      <c r="AA150" s="23">
        <f t="shared" si="38"/>
        <v>31.31</v>
      </c>
      <c r="AB150" t="str">
        <f t="shared" si="27"/>
        <v/>
      </c>
      <c r="AC150">
        <f t="shared" si="28"/>
        <v>1.1651000000000001E-3</v>
      </c>
      <c r="AD150">
        <f t="shared" si="29"/>
        <v>6.0002999999999999E-4</v>
      </c>
      <c r="AE150" s="18" t="str">
        <f t="shared" si="30"/>
        <v/>
      </c>
      <c r="AF150" s="7">
        <f t="shared" si="31"/>
        <v>0.98993117525015284</v>
      </c>
      <c r="AG150" s="12">
        <f t="shared" si="32"/>
        <v>0.99922448906678185</v>
      </c>
      <c r="AI150" s="54" t="str">
        <f t="shared" si="33"/>
        <v/>
      </c>
      <c r="AJ150" s="54">
        <f t="shared" si="34"/>
        <v>0.83729810525579917</v>
      </c>
      <c r="AK150" s="54">
        <f t="shared" si="35"/>
        <v>6.5237118942651121E-2</v>
      </c>
    </row>
    <row r="151" spans="9:37" x14ac:dyDescent="0.45">
      <c r="I151" s="2">
        <v>29.7</v>
      </c>
      <c r="J151" s="2">
        <v>5.8259999999999996E-4</v>
      </c>
      <c r="K151" s="2">
        <v>3.2170000000000001E-4</v>
      </c>
      <c r="R151" s="2">
        <v>18.27</v>
      </c>
      <c r="S151" s="2">
        <v>5.9537999999999995E-4</v>
      </c>
      <c r="T151" s="2">
        <v>1.7662E-4</v>
      </c>
      <c r="V151" s="11"/>
      <c r="W151" s="6">
        <v>13.200000000000001</v>
      </c>
      <c r="X151" s="6">
        <v>1.32</v>
      </c>
      <c r="Y151" s="11" t="str">
        <f t="shared" si="36"/>
        <v/>
      </c>
      <c r="Z151" s="6">
        <f t="shared" si="37"/>
        <v>43.2</v>
      </c>
      <c r="AA151" s="23">
        <f t="shared" si="38"/>
        <v>31.32</v>
      </c>
      <c r="AB151" t="str">
        <f t="shared" si="27"/>
        <v/>
      </c>
      <c r="AC151">
        <f t="shared" si="28"/>
        <v>1.1762000000000001E-3</v>
      </c>
      <c r="AD151">
        <f t="shared" si="29"/>
        <v>6.0015999999999997E-4</v>
      </c>
      <c r="AE151" s="18" t="str">
        <f t="shared" si="30"/>
        <v/>
      </c>
      <c r="AF151" s="7">
        <f t="shared" si="31"/>
        <v>0.98981583836892439</v>
      </c>
      <c r="AG151" s="12">
        <f t="shared" si="32"/>
        <v>0.99921849342008007</v>
      </c>
      <c r="AI151" s="54" t="str">
        <f t="shared" si="33"/>
        <v/>
      </c>
      <c r="AJ151" s="54">
        <f t="shared" si="34"/>
        <v>0.84554904379473439</v>
      </c>
      <c r="AK151" s="54">
        <f t="shared" si="35"/>
        <v>6.5748496766941472E-2</v>
      </c>
    </row>
    <row r="152" spans="9:37" x14ac:dyDescent="0.45">
      <c r="I152" s="2">
        <v>29.8</v>
      </c>
      <c r="J152" s="2">
        <v>5.8339999999999998E-4</v>
      </c>
      <c r="K152" s="2">
        <v>3.2380000000000001E-4</v>
      </c>
      <c r="R152" s="2">
        <v>18.28</v>
      </c>
      <c r="S152" s="2">
        <v>5.9531999999999999E-4</v>
      </c>
      <c r="T152" s="2">
        <v>1.7668E-4</v>
      </c>
      <c r="V152" s="11"/>
      <c r="W152" s="6">
        <v>13.3</v>
      </c>
      <c r="X152" s="6">
        <v>1.33</v>
      </c>
      <c r="Y152" s="11" t="str">
        <f t="shared" si="36"/>
        <v/>
      </c>
      <c r="Z152" s="6">
        <f t="shared" si="37"/>
        <v>43.3</v>
      </c>
      <c r="AA152" s="23">
        <f t="shared" si="38"/>
        <v>31.33</v>
      </c>
      <c r="AB152" t="str">
        <f t="shared" si="27"/>
        <v/>
      </c>
      <c r="AC152">
        <f t="shared" si="28"/>
        <v>1.1873000000000001E-3</v>
      </c>
      <c r="AD152">
        <f t="shared" si="29"/>
        <v>6.0028999999999996E-4</v>
      </c>
      <c r="AE152" s="18" t="str">
        <f t="shared" si="30"/>
        <v/>
      </c>
      <c r="AF152" s="7">
        <f t="shared" si="31"/>
        <v>0.98969941623001545</v>
      </c>
      <c r="AG152" s="12">
        <f t="shared" si="32"/>
        <v>0.99921249651036992</v>
      </c>
      <c r="AI152" s="54" t="str">
        <f t="shared" si="33"/>
        <v/>
      </c>
      <c r="AJ152" s="54">
        <f t="shared" si="34"/>
        <v>0.85383377596411314</v>
      </c>
      <c r="AK152" s="54">
        <f t="shared" si="35"/>
        <v>6.6260080996254939E-2</v>
      </c>
    </row>
    <row r="153" spans="9:37" x14ac:dyDescent="0.45">
      <c r="I153" s="2">
        <v>29.9</v>
      </c>
      <c r="J153" s="2">
        <v>5.842E-4</v>
      </c>
      <c r="K153" s="2">
        <v>3.2590000000000001E-4</v>
      </c>
      <c r="R153" s="2">
        <v>18.29</v>
      </c>
      <c r="S153" s="2">
        <v>5.9526000000000002E-4</v>
      </c>
      <c r="T153" s="2">
        <v>1.7673999999999999E-4</v>
      </c>
      <c r="V153" s="11"/>
      <c r="W153" s="6">
        <v>13.4</v>
      </c>
      <c r="X153" s="6">
        <v>1.34</v>
      </c>
      <c r="Y153" s="11" t="str">
        <f t="shared" si="36"/>
        <v/>
      </c>
      <c r="Z153" s="6">
        <f t="shared" si="37"/>
        <v>43.4</v>
      </c>
      <c r="AA153" s="23">
        <f t="shared" si="38"/>
        <v>31.34</v>
      </c>
      <c r="AB153" t="str">
        <f t="shared" si="27"/>
        <v/>
      </c>
      <c r="AC153">
        <f t="shared" si="28"/>
        <v>1.1984000000000001E-3</v>
      </c>
      <c r="AD153">
        <f t="shared" si="29"/>
        <v>6.0041999999999995E-4</v>
      </c>
      <c r="AE153" s="18" t="str">
        <f t="shared" si="30"/>
        <v/>
      </c>
      <c r="AF153" s="7">
        <f t="shared" si="31"/>
        <v>0.98958190921832645</v>
      </c>
      <c r="AG153" s="12">
        <f t="shared" si="32"/>
        <v>0.99920649833767461</v>
      </c>
      <c r="AI153" s="54" t="str">
        <f t="shared" si="33"/>
        <v/>
      </c>
      <c r="AJ153" s="54">
        <f t="shared" si="34"/>
        <v>0.86215245926785855</v>
      </c>
      <c r="AK153" s="54">
        <f t="shared" si="35"/>
        <v>6.6771871715722145E-2</v>
      </c>
    </row>
    <row r="154" spans="9:37" x14ac:dyDescent="0.45">
      <c r="I154" s="2">
        <v>30</v>
      </c>
      <c r="J154" s="2">
        <v>5.8500000000000002E-4</v>
      </c>
      <c r="K154" s="2">
        <v>3.28E-4</v>
      </c>
      <c r="R154" s="2">
        <v>18.3</v>
      </c>
      <c r="S154" s="2">
        <v>5.9520000000000005E-4</v>
      </c>
      <c r="T154" s="2">
        <v>1.7679999999999999E-4</v>
      </c>
      <c r="V154" s="11"/>
      <c r="W154" s="6">
        <v>13.5</v>
      </c>
      <c r="X154" s="6">
        <v>1.35</v>
      </c>
      <c r="Y154" s="11" t="str">
        <f t="shared" si="36"/>
        <v/>
      </c>
      <c r="Z154" s="6">
        <f t="shared" si="37"/>
        <v>43.5</v>
      </c>
      <c r="AA154" s="23">
        <f t="shared" si="38"/>
        <v>31.35</v>
      </c>
      <c r="AB154" t="str">
        <f t="shared" si="27"/>
        <v/>
      </c>
      <c r="AC154">
        <f t="shared" si="28"/>
        <v>1.2095000000000001E-3</v>
      </c>
      <c r="AD154">
        <f t="shared" si="29"/>
        <v>6.0055000000000004E-4</v>
      </c>
      <c r="AE154" s="18" t="str">
        <f t="shared" si="30"/>
        <v/>
      </c>
      <c r="AF154" s="7">
        <f t="shared" si="31"/>
        <v>0.98946331772232576</v>
      </c>
      <c r="AG154" s="12">
        <f t="shared" si="32"/>
        <v>0.99920049890201734</v>
      </c>
      <c r="AI154" s="54" t="str">
        <f t="shared" si="33"/>
        <v/>
      </c>
      <c r="AJ154" s="54">
        <f t="shared" si="34"/>
        <v>0.87050525197131734</v>
      </c>
      <c r="AK154" s="54">
        <f t="shared" si="35"/>
        <v>6.728386901050909E-2</v>
      </c>
    </row>
    <row r="155" spans="9:37" x14ac:dyDescent="0.45">
      <c r="I155" s="2">
        <v>30.1</v>
      </c>
      <c r="J155" s="2">
        <v>5.8609999999999999E-4</v>
      </c>
      <c r="K155" s="2">
        <v>3.3030000000000001E-4</v>
      </c>
      <c r="R155" s="2">
        <v>18.309999999999999</v>
      </c>
      <c r="S155" s="2">
        <v>5.9513999999999997E-4</v>
      </c>
      <c r="T155" s="2">
        <v>1.7686000000000001E-4</v>
      </c>
      <c r="V155" s="11"/>
      <c r="W155" s="6">
        <v>13.600000000000001</v>
      </c>
      <c r="X155" s="6">
        <v>1.36</v>
      </c>
      <c r="Y155" s="11" t="str">
        <f t="shared" si="36"/>
        <v/>
      </c>
      <c r="Z155" s="6">
        <f t="shared" si="37"/>
        <v>43.6</v>
      </c>
      <c r="AA155" s="23">
        <f t="shared" si="38"/>
        <v>31.36</v>
      </c>
      <c r="AB155" t="str">
        <f t="shared" si="27"/>
        <v/>
      </c>
      <c r="AC155">
        <f t="shared" si="28"/>
        <v>1.2206000000000001E-3</v>
      </c>
      <c r="AD155">
        <f t="shared" si="29"/>
        <v>6.0068000000000003E-4</v>
      </c>
      <c r="AE155" s="18" t="str">
        <f t="shared" si="30"/>
        <v/>
      </c>
      <c r="AF155" s="7">
        <f t="shared" si="31"/>
        <v>0.98934364213404724</v>
      </c>
      <c r="AG155" s="12">
        <f t="shared" si="32"/>
        <v>0.99919449820342121</v>
      </c>
      <c r="AI155" s="54" t="str">
        <f t="shared" si="33"/>
        <v/>
      </c>
      <c r="AJ155" s="54">
        <f t="shared" si="34"/>
        <v>0.8788923131050973</v>
      </c>
      <c r="AK155" s="54">
        <f t="shared" si="35"/>
        <v>6.7796072965817133E-2</v>
      </c>
    </row>
    <row r="156" spans="9:37" x14ac:dyDescent="0.45">
      <c r="I156" s="2">
        <v>30.2</v>
      </c>
      <c r="J156" s="2">
        <v>5.8719999999999996E-4</v>
      </c>
      <c r="K156" s="2">
        <v>3.3260000000000001E-4</v>
      </c>
      <c r="R156" s="2">
        <v>18.32</v>
      </c>
      <c r="S156" s="2">
        <v>5.9508E-4</v>
      </c>
      <c r="T156" s="2">
        <v>1.7692000000000001E-4</v>
      </c>
      <c r="V156" s="11"/>
      <c r="W156" s="6">
        <v>13.700000000000001</v>
      </c>
      <c r="X156" s="6">
        <v>1.37</v>
      </c>
      <c r="Y156" s="11" t="str">
        <f t="shared" si="36"/>
        <v/>
      </c>
      <c r="Z156" s="6">
        <f t="shared" si="37"/>
        <v>43.7</v>
      </c>
      <c r="AA156" s="23">
        <f t="shared" si="38"/>
        <v>31.37</v>
      </c>
      <c r="AB156" t="str">
        <f t="shared" si="27"/>
        <v/>
      </c>
      <c r="AC156">
        <f t="shared" si="28"/>
        <v>1.2317000000000001E-3</v>
      </c>
      <c r="AD156">
        <f t="shared" si="29"/>
        <v>6.0081000000000002E-4</v>
      </c>
      <c r="AE156" s="18" t="str">
        <f t="shared" si="30"/>
        <v/>
      </c>
      <c r="AF156" s="7">
        <f t="shared" si="31"/>
        <v>0.98922288284908833</v>
      </c>
      <c r="AG156" s="12">
        <f t="shared" si="32"/>
        <v>0.99918849624190942</v>
      </c>
      <c r="AI156" s="54" t="str">
        <f t="shared" si="33"/>
        <v/>
      </c>
      <c r="AJ156" s="54">
        <f t="shared" si="34"/>
        <v>0.887313802468924</v>
      </c>
      <c r="AK156" s="54">
        <f t="shared" si="35"/>
        <v>6.8308483666883052E-2</v>
      </c>
    </row>
    <row r="157" spans="9:37" x14ac:dyDescent="0.45">
      <c r="I157" s="2">
        <v>30.3</v>
      </c>
      <c r="J157" s="2">
        <v>5.8830000000000004E-4</v>
      </c>
      <c r="K157" s="2">
        <v>3.3490000000000001E-4</v>
      </c>
      <c r="R157" s="2">
        <v>18.329999999999998</v>
      </c>
      <c r="S157" s="2">
        <v>5.9502000000000003E-4</v>
      </c>
      <c r="T157" s="2">
        <v>1.7698E-4</v>
      </c>
      <c r="V157" s="11"/>
      <c r="W157" s="6">
        <v>13.8</v>
      </c>
      <c r="X157" s="6">
        <v>1.3800000000000001</v>
      </c>
      <c r="Y157" s="11" t="str">
        <f t="shared" si="36"/>
        <v/>
      </c>
      <c r="Z157" s="6">
        <f t="shared" si="37"/>
        <v>43.8</v>
      </c>
      <c r="AA157" s="23">
        <f t="shared" si="38"/>
        <v>31.38</v>
      </c>
      <c r="AB157" t="str">
        <f t="shared" si="27"/>
        <v/>
      </c>
      <c r="AC157">
        <f t="shared" si="28"/>
        <v>1.2428000000000001E-3</v>
      </c>
      <c r="AD157">
        <f t="shared" si="29"/>
        <v>6.0094E-4</v>
      </c>
      <c r="AE157" s="18" t="str">
        <f t="shared" si="30"/>
        <v/>
      </c>
      <c r="AF157" s="7">
        <f t="shared" si="31"/>
        <v>0.98910104026660783</v>
      </c>
      <c r="AG157" s="12">
        <f t="shared" si="32"/>
        <v>0.99918249301750517</v>
      </c>
      <c r="AI157" s="54" t="str">
        <f t="shared" si="33"/>
        <v/>
      </c>
      <c r="AJ157" s="54">
        <f t="shared" si="34"/>
        <v>0.89576988063551855</v>
      </c>
      <c r="AK157" s="54">
        <f t="shared" si="35"/>
        <v>6.8821101198979023E-2</v>
      </c>
    </row>
    <row r="158" spans="9:37" x14ac:dyDescent="0.45">
      <c r="I158" s="2">
        <v>30.4</v>
      </c>
      <c r="J158" s="2">
        <v>5.8940000000000002E-4</v>
      </c>
      <c r="K158" s="2">
        <v>3.3720000000000001E-4</v>
      </c>
      <c r="R158" s="2">
        <v>18.34</v>
      </c>
      <c r="S158" s="2">
        <v>5.9495999999999996E-4</v>
      </c>
      <c r="T158" s="2">
        <v>1.7704E-4</v>
      </c>
      <c r="V158" s="11"/>
      <c r="W158" s="6">
        <v>13.9</v>
      </c>
      <c r="X158" s="6">
        <v>1.3900000000000001</v>
      </c>
      <c r="Y158" s="11" t="str">
        <f t="shared" si="36"/>
        <v/>
      </c>
      <c r="Z158" s="6">
        <f t="shared" si="37"/>
        <v>43.9</v>
      </c>
      <c r="AA158" s="23">
        <f t="shared" si="38"/>
        <v>31.39</v>
      </c>
      <c r="AB158" t="str">
        <f t="shared" si="27"/>
        <v/>
      </c>
      <c r="AC158">
        <f t="shared" si="28"/>
        <v>1.2539000000000001E-3</v>
      </c>
      <c r="AD158">
        <f t="shared" si="29"/>
        <v>6.0106999999999999E-4</v>
      </c>
      <c r="AE158" s="18" t="str">
        <f t="shared" si="30"/>
        <v/>
      </c>
      <c r="AF158" s="7">
        <f t="shared" si="31"/>
        <v>0.98897811478932351</v>
      </c>
      <c r="AG158" s="12">
        <f t="shared" si="32"/>
        <v>0.99917648853023167</v>
      </c>
      <c r="AI158" s="54" t="str">
        <f t="shared" si="33"/>
        <v/>
      </c>
      <c r="AJ158" s="54">
        <f t="shared" si="34"/>
        <v>0.90426070895449473</v>
      </c>
      <c r="AK158" s="54">
        <f t="shared" si="35"/>
        <v>6.9333925647412656E-2</v>
      </c>
    </row>
    <row r="159" spans="9:37" x14ac:dyDescent="0.45">
      <c r="I159" s="2">
        <v>30.5</v>
      </c>
      <c r="J159" s="2">
        <v>5.9049999999999999E-4</v>
      </c>
      <c r="K159" s="2">
        <v>3.3950000000000001E-4</v>
      </c>
      <c r="R159" s="2">
        <v>18.350000000000001</v>
      </c>
      <c r="S159" s="2">
        <v>5.9489999999999999E-4</v>
      </c>
      <c r="T159" s="2">
        <v>1.771E-4</v>
      </c>
      <c r="V159" s="11"/>
      <c r="W159" s="6">
        <v>14</v>
      </c>
      <c r="X159" s="6">
        <v>1.4000000000000001</v>
      </c>
      <c r="Y159" s="11" t="str">
        <f t="shared" si="36"/>
        <v/>
      </c>
      <c r="Z159" s="6">
        <f t="shared" si="37"/>
        <v>44</v>
      </c>
      <c r="AA159" s="23">
        <f t="shared" si="38"/>
        <v>31.4</v>
      </c>
      <c r="AB159" t="str">
        <f t="shared" si="27"/>
        <v/>
      </c>
      <c r="AC159">
        <f t="shared" si="28"/>
        <v>1.2650000000000001E-3</v>
      </c>
      <c r="AD159">
        <f t="shared" si="29"/>
        <v>6.0119999999999998E-4</v>
      </c>
      <c r="AE159" s="18" t="str">
        <f t="shared" si="30"/>
        <v/>
      </c>
      <c r="AF159" s="7">
        <f t="shared" si="31"/>
        <v>0.98885410682351005</v>
      </c>
      <c r="AG159" s="12">
        <f t="shared" si="32"/>
        <v>0.999170482780112</v>
      </c>
      <c r="AI159" s="54" t="str">
        <f t="shared" si="33"/>
        <v/>
      </c>
      <c r="AJ159" s="54">
        <f t="shared" si="34"/>
        <v>0.91278644955627719</v>
      </c>
      <c r="AK159" s="54">
        <f t="shared" si="35"/>
        <v>6.9846957097527002E-2</v>
      </c>
    </row>
    <row r="160" spans="9:37" x14ac:dyDescent="0.45">
      <c r="I160" s="2">
        <v>30.6</v>
      </c>
      <c r="J160" s="2">
        <v>5.9159999999999996E-4</v>
      </c>
      <c r="K160" s="2">
        <v>3.4180000000000001E-4</v>
      </c>
      <c r="R160" s="2">
        <v>18.36</v>
      </c>
      <c r="S160" s="2">
        <v>5.9484000000000002E-4</v>
      </c>
      <c r="T160" s="2">
        <v>1.7715999999999999E-4</v>
      </c>
      <c r="V160" s="11"/>
      <c r="W160" s="6">
        <v>14.100000000000001</v>
      </c>
      <c r="X160" s="6">
        <v>1.41</v>
      </c>
      <c r="Y160" s="11" t="str">
        <f t="shared" si="36"/>
        <v/>
      </c>
      <c r="Z160" s="6">
        <f t="shared" si="37"/>
        <v>44.1</v>
      </c>
      <c r="AA160" s="23">
        <f t="shared" si="38"/>
        <v>31.41</v>
      </c>
      <c r="AB160" t="str">
        <f t="shared" si="27"/>
        <v/>
      </c>
      <c r="AC160">
        <f t="shared" si="28"/>
        <v>1.2779E-3</v>
      </c>
      <c r="AD160">
        <f t="shared" si="29"/>
        <v>6.0132999999999996E-4</v>
      </c>
      <c r="AE160" s="18" t="str">
        <f t="shared" si="30"/>
        <v/>
      </c>
      <c r="AF160" s="7">
        <f t="shared" si="31"/>
        <v>0.98872901677899683</v>
      </c>
      <c r="AG160" s="12">
        <f t="shared" si="32"/>
        <v>0.99916447576716949</v>
      </c>
      <c r="AI160" s="54" t="str">
        <f t="shared" si="33"/>
        <v/>
      </c>
      <c r="AJ160" s="54">
        <f t="shared" si="34"/>
        <v>0.92134726535603984</v>
      </c>
      <c r="AK160" s="54">
        <f t="shared" si="35"/>
        <v>7.0360195634700584E-2</v>
      </c>
    </row>
    <row r="161" spans="9:37" x14ac:dyDescent="0.45">
      <c r="I161" s="2">
        <v>30.7</v>
      </c>
      <c r="J161" s="2">
        <v>5.9270000000000004E-4</v>
      </c>
      <c r="K161" s="2">
        <v>3.4410000000000002E-4</v>
      </c>
      <c r="R161" s="2">
        <v>18.37</v>
      </c>
      <c r="S161" s="2">
        <v>5.9478000000000005E-4</v>
      </c>
      <c r="T161" s="2">
        <v>1.7721999999999999E-4</v>
      </c>
      <c r="V161" s="11"/>
      <c r="W161" s="6">
        <v>14.200000000000001</v>
      </c>
      <c r="X161" s="6">
        <v>1.42</v>
      </c>
      <c r="Y161" s="11" t="str">
        <f t="shared" si="36"/>
        <v/>
      </c>
      <c r="Z161" s="6">
        <f t="shared" si="37"/>
        <v>44.2</v>
      </c>
      <c r="AA161" s="23">
        <f t="shared" si="38"/>
        <v>31.42</v>
      </c>
      <c r="AB161" t="str">
        <f t="shared" si="27"/>
        <v/>
      </c>
      <c r="AC161">
        <f t="shared" si="28"/>
        <v>1.2907999999999999E-3</v>
      </c>
      <c r="AD161">
        <f t="shared" si="29"/>
        <v>6.0145999999999995E-4</v>
      </c>
      <c r="AE161" s="18" t="str">
        <f t="shared" si="30"/>
        <v/>
      </c>
      <c r="AF161" s="7">
        <f t="shared" si="31"/>
        <v>0.98860266709794264</v>
      </c>
      <c r="AG161" s="12">
        <f t="shared" si="32"/>
        <v>0.99915846749142734</v>
      </c>
      <c r="AI161" s="54" t="str">
        <f t="shared" si="33"/>
        <v/>
      </c>
      <c r="AJ161" s="54">
        <f t="shared" si="34"/>
        <v>0.9299433059001726</v>
      </c>
      <c r="AK161" s="54">
        <f t="shared" si="35"/>
        <v>7.0873641344347371E-2</v>
      </c>
    </row>
    <row r="162" spans="9:37" x14ac:dyDescent="0.45">
      <c r="I162" s="2">
        <v>30.8</v>
      </c>
      <c r="J162" s="2">
        <v>5.9380000000000001E-4</v>
      </c>
      <c r="K162" s="2">
        <v>3.4640000000000002E-4</v>
      </c>
      <c r="R162" s="2">
        <v>18.38</v>
      </c>
      <c r="S162" s="2">
        <v>5.9471999999999997E-4</v>
      </c>
      <c r="T162" s="2">
        <v>1.7728000000000001E-4</v>
      </c>
      <c r="V162" s="11"/>
      <c r="W162" s="6">
        <v>14.3</v>
      </c>
      <c r="X162" s="6">
        <v>1.43</v>
      </c>
      <c r="Y162" s="11" t="str">
        <f t="shared" si="36"/>
        <v/>
      </c>
      <c r="Z162" s="6">
        <f t="shared" si="37"/>
        <v>44.3</v>
      </c>
      <c r="AA162" s="23">
        <f t="shared" si="38"/>
        <v>31.43</v>
      </c>
      <c r="AB162" t="str">
        <f t="shared" si="27"/>
        <v/>
      </c>
      <c r="AC162">
        <f t="shared" si="28"/>
        <v>1.3037000000000001E-3</v>
      </c>
      <c r="AD162">
        <f t="shared" si="29"/>
        <v>6.0159000000000005E-4</v>
      </c>
      <c r="AE162" s="18" t="str">
        <f t="shared" si="30"/>
        <v/>
      </c>
      <c r="AF162" s="7">
        <f t="shared" si="31"/>
        <v>0.98847505826567361</v>
      </c>
      <c r="AG162" s="12">
        <f t="shared" si="32"/>
        <v>0.99915245795290875</v>
      </c>
      <c r="AI162" s="54" t="str">
        <f t="shared" si="33"/>
        <v/>
      </c>
      <c r="AJ162" s="54">
        <f t="shared" si="34"/>
        <v>0.93857473872136765</v>
      </c>
      <c r="AK162" s="54">
        <f t="shared" si="35"/>
        <v>7.138729431191683E-2</v>
      </c>
    </row>
    <row r="163" spans="9:37" x14ac:dyDescent="0.45">
      <c r="I163" s="2">
        <v>30.9</v>
      </c>
      <c r="J163" s="2">
        <v>5.9489999999999999E-4</v>
      </c>
      <c r="K163" s="2">
        <v>3.4870000000000002E-4</v>
      </c>
      <c r="R163" s="2">
        <v>18.39</v>
      </c>
      <c r="S163" s="2">
        <v>5.9466E-4</v>
      </c>
      <c r="T163" s="2">
        <v>1.7734000000000001E-4</v>
      </c>
      <c r="V163" s="11"/>
      <c r="W163" s="6">
        <v>14.4</v>
      </c>
      <c r="X163" s="6">
        <v>1.44</v>
      </c>
      <c r="Y163" s="11" t="str">
        <f t="shared" si="36"/>
        <v/>
      </c>
      <c r="Z163" s="6">
        <f t="shared" si="37"/>
        <v>44.4</v>
      </c>
      <c r="AA163" s="23">
        <f t="shared" si="38"/>
        <v>31.44</v>
      </c>
      <c r="AB163" t="str">
        <f t="shared" si="27"/>
        <v/>
      </c>
      <c r="AC163">
        <f t="shared" si="28"/>
        <v>1.3166E-3</v>
      </c>
      <c r="AD163">
        <f t="shared" si="29"/>
        <v>6.0172000000000003E-4</v>
      </c>
      <c r="AE163" s="18" t="str">
        <f t="shared" si="30"/>
        <v/>
      </c>
      <c r="AF163" s="7">
        <f t="shared" si="31"/>
        <v>0.98834619077232755</v>
      </c>
      <c r="AG163" s="12">
        <f t="shared" si="32"/>
        <v>0.99914644715163692</v>
      </c>
      <c r="AI163" s="54" t="str">
        <f t="shared" si="33"/>
        <v/>
      </c>
      <c r="AJ163" s="54">
        <f t="shared" si="34"/>
        <v>0.94724173218060892</v>
      </c>
      <c r="AK163" s="54">
        <f t="shared" si="35"/>
        <v>7.190115462289394E-2</v>
      </c>
    </row>
    <row r="164" spans="9:37" x14ac:dyDescent="0.45">
      <c r="I164" s="2">
        <v>31</v>
      </c>
      <c r="J164" s="2">
        <v>5.9599999999999996E-4</v>
      </c>
      <c r="K164" s="2">
        <v>3.5100000000000002E-4</v>
      </c>
      <c r="R164" s="2">
        <v>18.399999999999999</v>
      </c>
      <c r="S164" s="2">
        <v>5.9460000000000003E-4</v>
      </c>
      <c r="T164" s="2">
        <v>1.774E-4</v>
      </c>
      <c r="V164" s="11"/>
      <c r="W164" s="6">
        <v>14.5</v>
      </c>
      <c r="X164" s="6">
        <v>1.45</v>
      </c>
      <c r="Y164" s="11" t="str">
        <f t="shared" si="36"/>
        <v/>
      </c>
      <c r="Z164" s="6">
        <f t="shared" si="37"/>
        <v>44.5</v>
      </c>
      <c r="AA164" s="23">
        <f t="shared" si="38"/>
        <v>31.45</v>
      </c>
      <c r="AB164" t="str">
        <f t="shared" si="27"/>
        <v/>
      </c>
      <c r="AC164">
        <f t="shared" si="28"/>
        <v>1.3295E-3</v>
      </c>
      <c r="AD164">
        <f t="shared" si="29"/>
        <v>6.0185000000000002E-4</v>
      </c>
      <c r="AE164" s="18" t="str">
        <f t="shared" si="30"/>
        <v/>
      </c>
      <c r="AF164" s="7">
        <f t="shared" si="31"/>
        <v>0.98821606511285043</v>
      </c>
      <c r="AG164" s="12">
        <f t="shared" si="32"/>
        <v>0.99914043508763517</v>
      </c>
      <c r="AI164" s="54" t="str">
        <f t="shared" si="33"/>
        <v/>
      </c>
      <c r="AJ164" s="54">
        <f t="shared" si="34"/>
        <v>0.95594445547145901</v>
      </c>
      <c r="AK164" s="54">
        <f t="shared" si="35"/>
        <v>7.2415222362799195E-2</v>
      </c>
    </row>
    <row r="165" spans="9:37" x14ac:dyDescent="0.45">
      <c r="I165" s="2">
        <v>31.1</v>
      </c>
      <c r="J165" s="2">
        <v>5.9730000000000004E-4</v>
      </c>
      <c r="K165" s="2">
        <v>3.5359999999999998E-4</v>
      </c>
      <c r="R165" s="2">
        <v>18.41</v>
      </c>
      <c r="S165" s="2">
        <v>5.9453999999999996E-4</v>
      </c>
      <c r="T165" s="2">
        <v>1.7746E-4</v>
      </c>
      <c r="V165" s="11"/>
      <c r="W165" s="6">
        <v>14.600000000000001</v>
      </c>
      <c r="X165" s="6">
        <v>1.46</v>
      </c>
      <c r="Y165" s="11" t="str">
        <f t="shared" si="36"/>
        <v/>
      </c>
      <c r="Z165" s="6">
        <f t="shared" si="37"/>
        <v>44.6</v>
      </c>
      <c r="AA165" s="23">
        <f t="shared" si="38"/>
        <v>31.46</v>
      </c>
      <c r="AB165" t="str">
        <f t="shared" si="27"/>
        <v/>
      </c>
      <c r="AC165">
        <f t="shared" si="28"/>
        <v>1.3424000000000001E-3</v>
      </c>
      <c r="AD165">
        <f t="shared" si="29"/>
        <v>6.0198000000000001E-4</v>
      </c>
      <c r="AE165" s="18" t="str">
        <f t="shared" si="30"/>
        <v/>
      </c>
      <c r="AF165" s="7">
        <f t="shared" si="31"/>
        <v>0.98808468178699371</v>
      </c>
      <c r="AG165" s="12">
        <f t="shared" si="32"/>
        <v>0.99913442176092659</v>
      </c>
      <c r="AI165" s="54" t="str">
        <f t="shared" si="33"/>
        <v/>
      </c>
      <c r="AJ165" s="54">
        <f t="shared" si="34"/>
        <v>0.96468307862436853</v>
      </c>
      <c r="AK165" s="54">
        <f t="shared" si="35"/>
        <v>7.2929497617188602E-2</v>
      </c>
    </row>
    <row r="166" spans="9:37" x14ac:dyDescent="0.45">
      <c r="I166" s="2">
        <v>31.2</v>
      </c>
      <c r="J166" s="2">
        <v>5.9860000000000002E-4</v>
      </c>
      <c r="K166" s="2">
        <v>3.5619999999999998E-4</v>
      </c>
      <c r="R166" s="2">
        <v>18.420000000000002</v>
      </c>
      <c r="S166" s="2">
        <v>5.9447999999999999E-4</v>
      </c>
      <c r="T166" s="2">
        <v>1.7751999999999999E-4</v>
      </c>
      <c r="V166" s="11"/>
      <c r="W166" s="6">
        <v>14.700000000000001</v>
      </c>
      <c r="X166" s="6">
        <v>1.47</v>
      </c>
      <c r="Y166" s="11" t="str">
        <f t="shared" si="36"/>
        <v/>
      </c>
      <c r="Z166" s="6">
        <f t="shared" si="37"/>
        <v>44.7</v>
      </c>
      <c r="AA166" s="23">
        <f t="shared" si="38"/>
        <v>31.47</v>
      </c>
      <c r="AB166" t="str">
        <f t="shared" si="27"/>
        <v/>
      </c>
      <c r="AC166">
        <f t="shared" si="28"/>
        <v>1.3553E-3</v>
      </c>
      <c r="AD166">
        <f t="shared" si="29"/>
        <v>6.0210999999999999E-4</v>
      </c>
      <c r="AE166" s="18" t="str">
        <f t="shared" si="30"/>
        <v/>
      </c>
      <c r="AF166" s="7">
        <f t="shared" si="31"/>
        <v>0.98795204129931058</v>
      </c>
      <c r="AG166" s="12">
        <f t="shared" si="32"/>
        <v>0.9991284071715345</v>
      </c>
      <c r="AI166" s="54" t="str">
        <f t="shared" si="33"/>
        <v/>
      </c>
      <c r="AJ166" s="54">
        <f t="shared" si="34"/>
        <v>0.97345777251100929</v>
      </c>
      <c r="AK166" s="54">
        <f t="shared" si="35"/>
        <v>7.3443980471653722E-2</v>
      </c>
    </row>
    <row r="167" spans="9:37" x14ac:dyDescent="0.45">
      <c r="I167" s="2">
        <v>31.3</v>
      </c>
      <c r="J167" s="2">
        <v>5.999E-4</v>
      </c>
      <c r="K167" s="2">
        <v>3.5879999999999999E-4</v>
      </c>
      <c r="R167" s="2">
        <v>18.43</v>
      </c>
      <c r="S167" s="2">
        <v>5.9442000000000002E-4</v>
      </c>
      <c r="T167" s="2">
        <v>1.7757999999999999E-4</v>
      </c>
      <c r="V167" s="11"/>
      <c r="W167" s="6">
        <v>14.8</v>
      </c>
      <c r="X167" s="6">
        <v>1.48</v>
      </c>
      <c r="Y167" s="11" t="str">
        <f t="shared" si="36"/>
        <v/>
      </c>
      <c r="Z167" s="6">
        <f t="shared" si="37"/>
        <v>44.8</v>
      </c>
      <c r="AA167" s="23">
        <f t="shared" si="38"/>
        <v>31.48</v>
      </c>
      <c r="AB167" t="str">
        <f t="shared" si="27"/>
        <v/>
      </c>
      <c r="AC167">
        <f t="shared" si="28"/>
        <v>1.3682E-3</v>
      </c>
      <c r="AD167">
        <f t="shared" si="29"/>
        <v>6.0223999999999998E-4</v>
      </c>
      <c r="AE167" s="18" t="str">
        <f t="shared" si="30"/>
        <v/>
      </c>
      <c r="AF167" s="7">
        <f t="shared" si="31"/>
        <v>0.98781814415915326</v>
      </c>
      <c r="AG167" s="12">
        <f t="shared" si="32"/>
        <v>0.99912239131948211</v>
      </c>
      <c r="AI167" s="54" t="str">
        <f t="shared" si="33"/>
        <v/>
      </c>
      <c r="AJ167" s="54">
        <f t="shared" si="34"/>
        <v>0.98226870884863049</v>
      </c>
      <c r="AK167" s="54">
        <f t="shared" si="35"/>
        <v>7.39586710118217E-2</v>
      </c>
    </row>
    <row r="168" spans="9:37" x14ac:dyDescent="0.45">
      <c r="I168" s="2">
        <v>31.4</v>
      </c>
      <c r="J168" s="2">
        <v>6.0119999999999998E-4</v>
      </c>
      <c r="K168" s="2">
        <v>3.614E-4</v>
      </c>
      <c r="R168" s="2">
        <v>18.440000000000001</v>
      </c>
      <c r="S168" s="2">
        <v>5.9436000000000005E-4</v>
      </c>
      <c r="T168" s="2">
        <v>1.7763999999999999E-4</v>
      </c>
      <c r="V168" s="11"/>
      <c r="W168" s="6">
        <v>14.9</v>
      </c>
      <c r="X168" s="6">
        <v>1.49</v>
      </c>
      <c r="Y168" s="11" t="str">
        <f t="shared" si="36"/>
        <v/>
      </c>
      <c r="Z168" s="6">
        <f t="shared" si="37"/>
        <v>44.9</v>
      </c>
      <c r="AA168" s="23">
        <f t="shared" si="38"/>
        <v>31.49</v>
      </c>
      <c r="AB168" t="str">
        <f t="shared" si="27"/>
        <v/>
      </c>
      <c r="AC168">
        <f t="shared" si="28"/>
        <v>1.3810999999999999E-3</v>
      </c>
      <c r="AD168">
        <f t="shared" si="29"/>
        <v>6.0236999999999997E-4</v>
      </c>
      <c r="AE168" s="18" t="str">
        <f t="shared" si="30"/>
        <v/>
      </c>
      <c r="AF168" s="7">
        <f t="shared" si="31"/>
        <v>0.98768299088066935</v>
      </c>
      <c r="AG168" s="12">
        <f t="shared" si="32"/>
        <v>0.9991163742047926</v>
      </c>
      <c r="AI168" s="54" t="str">
        <f t="shared" si="33"/>
        <v/>
      </c>
      <c r="AJ168" s="54">
        <f t="shared" si="34"/>
        <v>0.99111606020443843</v>
      </c>
      <c r="AK168" s="54">
        <f t="shared" si="35"/>
        <v>7.4473569323355221E-2</v>
      </c>
    </row>
    <row r="169" spans="9:37" x14ac:dyDescent="0.45">
      <c r="I169" s="2">
        <v>31.5</v>
      </c>
      <c r="J169" s="2">
        <v>6.0249999999999995E-4</v>
      </c>
      <c r="K169" s="2">
        <v>3.6400000000000001E-4</v>
      </c>
      <c r="R169" s="2">
        <v>18.45</v>
      </c>
      <c r="S169" s="2">
        <v>5.9429999999999997E-4</v>
      </c>
      <c r="T169" s="2">
        <v>1.7770000000000001E-4</v>
      </c>
      <c r="V169" s="11"/>
      <c r="W169" s="6">
        <v>15</v>
      </c>
      <c r="X169" s="6">
        <v>1.5</v>
      </c>
      <c r="Y169" s="11" t="str">
        <f t="shared" si="36"/>
        <v/>
      </c>
      <c r="Z169" s="6">
        <f t="shared" si="37"/>
        <v>45</v>
      </c>
      <c r="AA169" s="23">
        <f t="shared" si="38"/>
        <v>31.5</v>
      </c>
      <c r="AB169" t="str">
        <f t="shared" si="27"/>
        <v/>
      </c>
      <c r="AC169">
        <f t="shared" si="28"/>
        <v>1.3940000000000001E-3</v>
      </c>
      <c r="AD169">
        <f t="shared" si="29"/>
        <v>6.0249999999999995E-4</v>
      </c>
      <c r="AE169" s="18" t="str">
        <f t="shared" si="30"/>
        <v/>
      </c>
      <c r="AF169" s="7">
        <f t="shared" si="31"/>
        <v>0.98754658198279888</v>
      </c>
      <c r="AG169" s="12">
        <f t="shared" si="32"/>
        <v>0.9991103558274893</v>
      </c>
      <c r="AI169" s="54" t="str">
        <f t="shared" si="33"/>
        <v/>
      </c>
      <c r="AJ169" s="54">
        <f t="shared" si="34"/>
        <v>0.99999999999999978</v>
      </c>
      <c r="AK169" s="54">
        <f t="shared" si="35"/>
        <v>7.4988675491952594E-2</v>
      </c>
    </row>
    <row r="170" spans="9:37" x14ac:dyDescent="0.45">
      <c r="I170" s="2">
        <v>31.6</v>
      </c>
      <c r="J170" s="2">
        <v>6.0380000000000004E-4</v>
      </c>
      <c r="K170" s="2">
        <v>3.6660000000000002E-4</v>
      </c>
      <c r="R170" s="2">
        <v>18.46</v>
      </c>
      <c r="S170" s="2">
        <v>5.9424E-4</v>
      </c>
      <c r="T170" s="2">
        <v>1.7776000000000001E-4</v>
      </c>
      <c r="V170" s="11"/>
      <c r="W170" s="6"/>
      <c r="X170" s="6">
        <v>1.51</v>
      </c>
      <c r="Y170" s="11" t="str">
        <f t="shared" si="36"/>
        <v/>
      </c>
      <c r="Z170" s="6" t="str">
        <f t="shared" si="37"/>
        <v/>
      </c>
      <c r="AA170" s="23">
        <f t="shared" si="38"/>
        <v>31.51</v>
      </c>
      <c r="AB170" t="str">
        <f t="shared" si="27"/>
        <v/>
      </c>
      <c r="AC170" t="str">
        <f t="shared" si="28"/>
        <v/>
      </c>
      <c r="AD170">
        <f t="shared" si="29"/>
        <v>6.0263000000000005E-4</v>
      </c>
      <c r="AE170" s="18" t="str">
        <f t="shared" si="30"/>
        <v/>
      </c>
      <c r="AF170" s="7" t="str">
        <f t="shared" si="31"/>
        <v/>
      </c>
      <c r="AG170" s="12">
        <f t="shared" si="32"/>
        <v>0.99910433618759542</v>
      </c>
      <c r="AI170" s="54" t="str">
        <f t="shared" si="33"/>
        <v/>
      </c>
      <c r="AJ170" s="54" t="str">
        <f t="shared" si="34"/>
        <v/>
      </c>
      <c r="AK170" s="54">
        <f t="shared" si="35"/>
        <v>7.5503989603347713E-2</v>
      </c>
    </row>
    <row r="171" spans="9:37" x14ac:dyDescent="0.45">
      <c r="I171" s="2">
        <v>31.7</v>
      </c>
      <c r="J171" s="2">
        <v>6.0510000000000002E-4</v>
      </c>
      <c r="K171" s="2">
        <v>3.6919999999999998E-4</v>
      </c>
      <c r="R171" s="2">
        <v>18.47</v>
      </c>
      <c r="S171" s="2">
        <v>5.9418000000000003E-4</v>
      </c>
      <c r="T171" s="2">
        <v>1.7782E-4</v>
      </c>
      <c r="V171" s="11"/>
      <c r="W171" s="6"/>
      <c r="X171" s="6">
        <v>1.52</v>
      </c>
      <c r="Y171" s="11" t="str">
        <f t="shared" si="36"/>
        <v/>
      </c>
      <c r="Z171" s="6" t="str">
        <f t="shared" si="37"/>
        <v/>
      </c>
      <c r="AA171" s="23">
        <f t="shared" si="38"/>
        <v>31.52</v>
      </c>
      <c r="AB171" t="str">
        <f t="shared" si="27"/>
        <v/>
      </c>
      <c r="AC171" t="str">
        <f t="shared" si="28"/>
        <v/>
      </c>
      <c r="AD171">
        <f t="shared" si="29"/>
        <v>6.0276000000000004E-4</v>
      </c>
      <c r="AE171" s="18" t="str">
        <f t="shared" si="30"/>
        <v/>
      </c>
      <c r="AF171" s="7" t="str">
        <f t="shared" si="31"/>
        <v/>
      </c>
      <c r="AG171" s="12">
        <f t="shared" si="32"/>
        <v>0.99909831528513426</v>
      </c>
      <c r="AI171" s="54" t="str">
        <f t="shared" si="33"/>
        <v/>
      </c>
      <c r="AJ171" s="54" t="str">
        <f t="shared" si="34"/>
        <v/>
      </c>
      <c r="AK171" s="54">
        <f t="shared" si="35"/>
        <v>7.6019511743310092E-2</v>
      </c>
    </row>
    <row r="172" spans="9:37" x14ac:dyDescent="0.45">
      <c r="I172" s="2">
        <v>31.8</v>
      </c>
      <c r="J172" s="2">
        <v>6.0639999999999999E-4</v>
      </c>
      <c r="K172" s="2">
        <v>3.7179999999999998E-4</v>
      </c>
      <c r="R172" s="2">
        <v>18.48</v>
      </c>
      <c r="S172" s="2">
        <v>5.9411999999999996E-4</v>
      </c>
      <c r="T172" s="2">
        <v>1.7788E-4</v>
      </c>
      <c r="V172" s="11"/>
      <c r="W172" s="6"/>
      <c r="X172" s="6">
        <v>1.53</v>
      </c>
      <c r="Y172" s="11" t="str">
        <f t="shared" si="36"/>
        <v/>
      </c>
      <c r="Z172" s="6" t="str">
        <f t="shared" si="37"/>
        <v/>
      </c>
      <c r="AA172" s="23">
        <f t="shared" si="38"/>
        <v>31.53</v>
      </c>
      <c r="AB172" t="str">
        <f t="shared" si="27"/>
        <v/>
      </c>
      <c r="AC172" t="str">
        <f t="shared" si="28"/>
        <v/>
      </c>
      <c r="AD172">
        <f t="shared" si="29"/>
        <v>6.0289000000000002E-4</v>
      </c>
      <c r="AE172" s="18" t="str">
        <f t="shared" si="30"/>
        <v/>
      </c>
      <c r="AF172" s="7" t="str">
        <f t="shared" si="31"/>
        <v/>
      </c>
      <c r="AG172" s="12">
        <f t="shared" si="32"/>
        <v>0.99909229312012904</v>
      </c>
      <c r="AI172" s="54" t="str">
        <f t="shared" si="33"/>
        <v/>
      </c>
      <c r="AJ172" s="54" t="str">
        <f t="shared" si="34"/>
        <v/>
      </c>
      <c r="AK172" s="54">
        <f t="shared" si="35"/>
        <v>7.6535241997644901E-2</v>
      </c>
    </row>
    <row r="173" spans="9:37" x14ac:dyDescent="0.45">
      <c r="I173" s="2">
        <v>31.9</v>
      </c>
      <c r="J173" s="2">
        <v>6.0769999999999997E-4</v>
      </c>
      <c r="K173" s="2">
        <v>3.7439999999999999E-4</v>
      </c>
      <c r="R173" s="2">
        <v>18.489999999999998</v>
      </c>
      <c r="S173" s="2">
        <v>5.9405999999999999E-4</v>
      </c>
      <c r="T173" s="2">
        <v>1.7793999999999999E-4</v>
      </c>
      <c r="V173" s="11"/>
      <c r="W173" s="6"/>
      <c r="X173" s="6">
        <v>1.54</v>
      </c>
      <c r="Y173" s="11" t="str">
        <f t="shared" si="36"/>
        <v/>
      </c>
      <c r="Z173" s="6" t="str">
        <f t="shared" si="37"/>
        <v/>
      </c>
      <c r="AA173" s="23">
        <f t="shared" si="38"/>
        <v>31.54</v>
      </c>
      <c r="AB173" t="str">
        <f t="shared" si="27"/>
        <v/>
      </c>
      <c r="AC173" t="str">
        <f t="shared" si="28"/>
        <v/>
      </c>
      <c r="AD173">
        <f t="shared" si="29"/>
        <v>6.0302000000000001E-4</v>
      </c>
      <c r="AE173" s="18" t="str">
        <f t="shared" si="30"/>
        <v/>
      </c>
      <c r="AF173" s="7" t="str">
        <f t="shared" si="31"/>
        <v/>
      </c>
      <c r="AG173" s="12">
        <f t="shared" si="32"/>
        <v>0.99908626969260306</v>
      </c>
      <c r="AI173" s="54" t="str">
        <f t="shared" si="33"/>
        <v/>
      </c>
      <c r="AJ173" s="54" t="str">
        <f t="shared" si="34"/>
        <v/>
      </c>
      <c r="AK173" s="54">
        <f t="shared" si="35"/>
        <v>7.7051180452192933E-2</v>
      </c>
    </row>
    <row r="174" spans="9:37" x14ac:dyDescent="0.45">
      <c r="I174" s="2">
        <v>32</v>
      </c>
      <c r="J174" s="2">
        <v>6.0899999999999995E-4</v>
      </c>
      <c r="K174" s="2">
        <v>3.77E-4</v>
      </c>
      <c r="R174" s="2">
        <v>18.5</v>
      </c>
      <c r="S174" s="2">
        <v>5.9400000000000002E-4</v>
      </c>
      <c r="T174" s="2">
        <v>1.7799999999999999E-4</v>
      </c>
      <c r="V174" s="11"/>
      <c r="W174" s="6"/>
      <c r="X174" s="6">
        <v>1.55</v>
      </c>
      <c r="Y174" s="11" t="str">
        <f t="shared" si="36"/>
        <v/>
      </c>
      <c r="Z174" s="6" t="str">
        <f t="shared" si="37"/>
        <v/>
      </c>
      <c r="AA174" s="23">
        <f t="shared" si="38"/>
        <v>31.55</v>
      </c>
      <c r="AB174" t="str">
        <f t="shared" si="27"/>
        <v/>
      </c>
      <c r="AC174" t="str">
        <f t="shared" si="28"/>
        <v/>
      </c>
      <c r="AD174">
        <f t="shared" si="29"/>
        <v>6.0315E-4</v>
      </c>
      <c r="AE174" s="18" t="str">
        <f t="shared" si="30"/>
        <v/>
      </c>
      <c r="AF174" s="7" t="str">
        <f t="shared" si="31"/>
        <v/>
      </c>
      <c r="AG174" s="12">
        <f t="shared" si="32"/>
        <v>0.99908024500257953</v>
      </c>
      <c r="AI174" s="54" t="str">
        <f t="shared" si="33"/>
        <v/>
      </c>
      <c r="AJ174" s="54" t="str">
        <f t="shared" si="34"/>
        <v/>
      </c>
      <c r="AK174" s="54">
        <f t="shared" si="35"/>
        <v>7.7567327192830673E-2</v>
      </c>
    </row>
    <row r="175" spans="9:37" x14ac:dyDescent="0.45">
      <c r="I175" s="2">
        <v>32.1</v>
      </c>
      <c r="J175" s="2">
        <v>6.1070000000000004E-4</v>
      </c>
      <c r="K175" s="2">
        <v>3.7990000000000002E-4</v>
      </c>
      <c r="R175" s="2">
        <v>18.510000000000002</v>
      </c>
      <c r="S175" s="2">
        <v>5.9394000000000005E-4</v>
      </c>
      <c r="T175" s="2">
        <v>1.7806000000000001E-4</v>
      </c>
      <c r="V175" s="11"/>
      <c r="W175" s="6"/>
      <c r="X175" s="6">
        <v>1.56</v>
      </c>
      <c r="Y175" s="11" t="str">
        <f t="shared" si="36"/>
        <v/>
      </c>
      <c r="Z175" s="6" t="str">
        <f t="shared" si="37"/>
        <v/>
      </c>
      <c r="AA175" s="23">
        <f t="shared" si="38"/>
        <v>31.56</v>
      </c>
      <c r="AB175" t="str">
        <f t="shared" si="27"/>
        <v/>
      </c>
      <c r="AC175" t="str">
        <f t="shared" si="28"/>
        <v/>
      </c>
      <c r="AD175">
        <f t="shared" si="29"/>
        <v>6.0327999999999998E-4</v>
      </c>
      <c r="AE175" s="18" t="str">
        <f t="shared" si="30"/>
        <v/>
      </c>
      <c r="AF175" s="7" t="str">
        <f t="shared" si="31"/>
        <v/>
      </c>
      <c r="AG175" s="12">
        <f t="shared" si="32"/>
        <v>0.99907421905008176</v>
      </c>
      <c r="AI175" s="54" t="str">
        <f t="shared" si="33"/>
        <v/>
      </c>
      <c r="AJ175" s="54" t="str">
        <f t="shared" si="34"/>
        <v/>
      </c>
      <c r="AK175" s="54">
        <f t="shared" si="35"/>
        <v>7.8083682305470262E-2</v>
      </c>
    </row>
    <row r="176" spans="9:37" x14ac:dyDescent="0.45">
      <c r="I176" s="2">
        <v>32.200000000000003</v>
      </c>
      <c r="J176" s="2">
        <v>6.1240000000000003E-4</v>
      </c>
      <c r="K176" s="2">
        <v>3.8279999999999998E-4</v>
      </c>
      <c r="R176" s="2">
        <v>18.52</v>
      </c>
      <c r="S176" s="2">
        <v>5.9387999999999997E-4</v>
      </c>
      <c r="T176" s="2">
        <v>1.7812000000000001E-4</v>
      </c>
      <c r="V176" s="11"/>
      <c r="W176" s="6"/>
      <c r="X176" s="6">
        <v>1.57</v>
      </c>
      <c r="Y176" s="11" t="str">
        <f t="shared" si="36"/>
        <v/>
      </c>
      <c r="Z176" s="6" t="str">
        <f t="shared" si="37"/>
        <v/>
      </c>
      <c r="AA176" s="23">
        <f t="shared" si="38"/>
        <v>31.57</v>
      </c>
      <c r="AB176" t="str">
        <f t="shared" si="27"/>
        <v/>
      </c>
      <c r="AC176" t="str">
        <f t="shared" si="28"/>
        <v/>
      </c>
      <c r="AD176">
        <f t="shared" si="29"/>
        <v>6.0340999999999997E-4</v>
      </c>
      <c r="AE176" s="18" t="str">
        <f t="shared" si="30"/>
        <v/>
      </c>
      <c r="AF176" s="7" t="str">
        <f t="shared" si="31"/>
        <v/>
      </c>
      <c r="AG176" s="12">
        <f t="shared" si="32"/>
        <v>0.99906819183513307</v>
      </c>
      <c r="AI176" s="54" t="str">
        <f t="shared" si="33"/>
        <v/>
      </c>
      <c r="AJ176" s="54" t="str">
        <f t="shared" si="34"/>
        <v/>
      </c>
      <c r="AK176" s="54">
        <f t="shared" si="35"/>
        <v>7.8600245876059557E-2</v>
      </c>
    </row>
    <row r="177" spans="9:37" x14ac:dyDescent="0.45">
      <c r="I177" s="2">
        <v>32.299999999999997</v>
      </c>
      <c r="J177" s="2">
        <v>6.1410000000000002E-4</v>
      </c>
      <c r="K177" s="2">
        <v>3.857E-4</v>
      </c>
      <c r="R177" s="2">
        <v>18.53</v>
      </c>
      <c r="S177" s="2">
        <v>5.9382E-4</v>
      </c>
      <c r="T177" s="2">
        <v>1.7818000000000001E-4</v>
      </c>
      <c r="V177" s="11"/>
      <c r="W177" s="6"/>
      <c r="X177" s="6">
        <v>1.58</v>
      </c>
      <c r="Y177" s="11" t="str">
        <f t="shared" si="36"/>
        <v/>
      </c>
      <c r="Z177" s="6" t="str">
        <f t="shared" si="37"/>
        <v/>
      </c>
      <c r="AA177" s="23">
        <f t="shared" si="38"/>
        <v>31.58</v>
      </c>
      <c r="AB177" t="str">
        <f t="shared" si="27"/>
        <v/>
      </c>
      <c r="AC177" t="str">
        <f t="shared" si="28"/>
        <v/>
      </c>
      <c r="AD177">
        <f t="shared" si="29"/>
        <v>6.0353999999999996E-4</v>
      </c>
      <c r="AE177" s="18" t="str">
        <f t="shared" si="30"/>
        <v/>
      </c>
      <c r="AF177" s="7" t="str">
        <f t="shared" si="31"/>
        <v/>
      </c>
      <c r="AG177" s="12">
        <f t="shared" si="32"/>
        <v>0.99906216335775666</v>
      </c>
      <c r="AI177" s="54" t="str">
        <f t="shared" si="33"/>
        <v/>
      </c>
      <c r="AJ177" s="54" t="str">
        <f t="shared" si="34"/>
        <v/>
      </c>
      <c r="AK177" s="54">
        <f t="shared" si="35"/>
        <v>7.9117017990582114E-2</v>
      </c>
    </row>
    <row r="178" spans="9:37" x14ac:dyDescent="0.45">
      <c r="I178" s="2">
        <v>32.4</v>
      </c>
      <c r="J178" s="2">
        <v>6.1580000000000001E-4</v>
      </c>
      <c r="K178" s="2">
        <v>3.8860000000000001E-4</v>
      </c>
      <c r="R178" s="2">
        <v>18.54</v>
      </c>
      <c r="S178" s="2">
        <v>5.9376000000000003E-4</v>
      </c>
      <c r="T178" s="2">
        <v>1.7824E-4</v>
      </c>
      <c r="V178" s="11"/>
      <c r="W178" s="6"/>
      <c r="X178" s="6">
        <v>1.59</v>
      </c>
      <c r="Y178" s="11" t="str">
        <f t="shared" si="36"/>
        <v/>
      </c>
      <c r="Z178" s="6" t="str">
        <f t="shared" si="37"/>
        <v/>
      </c>
      <c r="AA178" s="23">
        <f t="shared" si="38"/>
        <v>31.59</v>
      </c>
      <c r="AB178" t="str">
        <f t="shared" si="27"/>
        <v/>
      </c>
      <c r="AC178" t="str">
        <f t="shared" si="28"/>
        <v/>
      </c>
      <c r="AD178">
        <f t="shared" si="29"/>
        <v>6.0367000000000005E-4</v>
      </c>
      <c r="AE178" s="18" t="str">
        <f t="shared" si="30"/>
        <v/>
      </c>
      <c r="AF178" s="7" t="str">
        <f t="shared" si="31"/>
        <v/>
      </c>
      <c r="AG178" s="12">
        <f t="shared" si="32"/>
        <v>0.99905613361797596</v>
      </c>
      <c r="AI178" s="54" t="str">
        <f t="shared" si="33"/>
        <v/>
      </c>
      <c r="AJ178" s="54" t="str">
        <f t="shared" si="34"/>
        <v/>
      </c>
      <c r="AK178" s="54">
        <f t="shared" si="35"/>
        <v>7.9633998735057221E-2</v>
      </c>
    </row>
    <row r="179" spans="9:37" x14ac:dyDescent="0.45">
      <c r="I179" s="2">
        <v>32.5</v>
      </c>
      <c r="J179" s="2">
        <v>6.1749999999999999E-4</v>
      </c>
      <c r="K179" s="2">
        <v>3.9149999999999998E-4</v>
      </c>
      <c r="R179" s="2">
        <v>18.55</v>
      </c>
      <c r="S179" s="2">
        <v>5.9369999999999996E-4</v>
      </c>
      <c r="T179" s="2">
        <v>1.783E-4</v>
      </c>
      <c r="V179" s="11"/>
      <c r="W179" s="6"/>
      <c r="X179" s="6">
        <v>1.6</v>
      </c>
      <c r="Y179" s="11" t="str">
        <f t="shared" si="36"/>
        <v/>
      </c>
      <c r="Z179" s="6" t="str">
        <f t="shared" si="37"/>
        <v/>
      </c>
      <c r="AA179" s="23">
        <f t="shared" si="38"/>
        <v>31.6</v>
      </c>
      <c r="AB179" t="str">
        <f t="shared" si="27"/>
        <v/>
      </c>
      <c r="AC179" t="str">
        <f t="shared" si="28"/>
        <v/>
      </c>
      <c r="AD179">
        <f t="shared" si="29"/>
        <v>6.0380000000000004E-4</v>
      </c>
      <c r="AE179" s="18" t="str">
        <f t="shared" si="30"/>
        <v/>
      </c>
      <c r="AF179" s="7" t="str">
        <f t="shared" si="31"/>
        <v/>
      </c>
      <c r="AG179" s="12">
        <f t="shared" si="32"/>
        <v>0.99905010261581417</v>
      </c>
      <c r="AI179" s="54" t="str">
        <f t="shared" si="33"/>
        <v/>
      </c>
      <c r="AJ179" s="54" t="str">
        <f t="shared" si="34"/>
        <v/>
      </c>
      <c r="AK179" s="54">
        <f t="shared" si="35"/>
        <v>8.0151188195539902E-2</v>
      </c>
    </row>
    <row r="180" spans="9:37" x14ac:dyDescent="0.45">
      <c r="I180" s="2">
        <v>32.6</v>
      </c>
      <c r="J180" s="2">
        <v>6.1919999999999998E-4</v>
      </c>
      <c r="K180" s="2">
        <v>3.9439999999999999E-4</v>
      </c>
      <c r="R180" s="2">
        <v>18.559999999999999</v>
      </c>
      <c r="S180" s="2">
        <v>5.9363999999999999E-4</v>
      </c>
      <c r="T180" s="2">
        <v>1.7835999999999999E-4</v>
      </c>
      <c r="V180" s="11"/>
      <c r="W180" s="6"/>
      <c r="X180" s="6">
        <v>1.61</v>
      </c>
      <c r="Y180" s="11" t="str">
        <f t="shared" si="36"/>
        <v/>
      </c>
      <c r="Z180" s="6" t="str">
        <f t="shared" si="37"/>
        <v/>
      </c>
      <c r="AA180" s="23">
        <f t="shared" si="38"/>
        <v>31.61</v>
      </c>
      <c r="AB180" t="str">
        <f t="shared" si="27"/>
        <v/>
      </c>
      <c r="AC180" t="str">
        <f t="shared" si="28"/>
        <v/>
      </c>
      <c r="AD180">
        <f t="shared" si="29"/>
        <v>6.0393000000000003E-4</v>
      </c>
      <c r="AE180" s="18" t="str">
        <f t="shared" si="30"/>
        <v/>
      </c>
      <c r="AF180" s="7" t="str">
        <f t="shared" si="31"/>
        <v/>
      </c>
      <c r="AG180" s="12">
        <f t="shared" si="32"/>
        <v>0.99904407035129461</v>
      </c>
      <c r="AI180" s="54" t="str">
        <f t="shared" si="33"/>
        <v/>
      </c>
      <c r="AJ180" s="54" t="str">
        <f t="shared" si="34"/>
        <v/>
      </c>
      <c r="AK180" s="54">
        <f t="shared" si="35"/>
        <v>8.0668586458120931E-2</v>
      </c>
    </row>
    <row r="181" spans="9:37" x14ac:dyDescent="0.45">
      <c r="I181" s="2">
        <v>32.700000000000003</v>
      </c>
      <c r="J181" s="2">
        <v>6.2089999999999997E-4</v>
      </c>
      <c r="K181" s="2">
        <v>3.9730000000000001E-4</v>
      </c>
      <c r="R181" s="2">
        <v>18.57</v>
      </c>
      <c r="S181" s="2">
        <v>5.9358000000000002E-4</v>
      </c>
      <c r="T181" s="2">
        <v>1.7841999999999999E-4</v>
      </c>
      <c r="V181" s="11"/>
      <c r="W181" s="6"/>
      <c r="X181" s="6">
        <v>1.62</v>
      </c>
      <c r="Y181" s="11" t="str">
        <f t="shared" si="36"/>
        <v/>
      </c>
      <c r="Z181" s="6" t="str">
        <f t="shared" si="37"/>
        <v/>
      </c>
      <c r="AA181" s="23">
        <f t="shared" si="38"/>
        <v>31.62</v>
      </c>
      <c r="AB181" t="str">
        <f t="shared" si="27"/>
        <v/>
      </c>
      <c r="AC181" t="str">
        <f t="shared" si="28"/>
        <v/>
      </c>
      <c r="AD181">
        <f t="shared" si="29"/>
        <v>6.0406000000000001E-4</v>
      </c>
      <c r="AE181" s="18" t="str">
        <f t="shared" si="30"/>
        <v/>
      </c>
      <c r="AF181" s="7" t="str">
        <f t="shared" si="31"/>
        <v/>
      </c>
      <c r="AG181" s="12">
        <f t="shared" si="32"/>
        <v>0.99903803682444059</v>
      </c>
      <c r="AI181" s="54" t="str">
        <f t="shared" si="33"/>
        <v/>
      </c>
      <c r="AJ181" s="54" t="str">
        <f t="shared" si="34"/>
        <v/>
      </c>
      <c r="AK181" s="54">
        <f t="shared" si="35"/>
        <v>8.1186193608926871E-2</v>
      </c>
    </row>
    <row r="182" spans="9:37" x14ac:dyDescent="0.45">
      <c r="I182" s="2">
        <v>32.799999999999997</v>
      </c>
      <c r="J182" s="2">
        <v>6.2259999999999995E-4</v>
      </c>
      <c r="K182" s="2">
        <v>4.0020000000000002E-4</v>
      </c>
      <c r="R182" s="2">
        <v>18.579999999999998</v>
      </c>
      <c r="S182" s="2">
        <v>5.9352000000000005E-4</v>
      </c>
      <c r="T182" s="2">
        <v>1.7848000000000001E-4</v>
      </c>
      <c r="V182" s="11"/>
      <c r="W182" s="6"/>
      <c r="X182" s="6">
        <v>1.6300000000000001</v>
      </c>
      <c r="Y182" s="11" t="str">
        <f t="shared" si="36"/>
        <v/>
      </c>
      <c r="Z182" s="6" t="str">
        <f t="shared" si="37"/>
        <v/>
      </c>
      <c r="AA182" s="23">
        <f t="shared" si="38"/>
        <v>31.63</v>
      </c>
      <c r="AB182" t="str">
        <f t="shared" si="27"/>
        <v/>
      </c>
      <c r="AC182" t="str">
        <f t="shared" si="28"/>
        <v/>
      </c>
      <c r="AD182">
        <f t="shared" si="29"/>
        <v>6.0419E-4</v>
      </c>
      <c r="AE182" s="18" t="str">
        <f t="shared" si="30"/>
        <v/>
      </c>
      <c r="AF182" s="7" t="str">
        <f t="shared" si="31"/>
        <v/>
      </c>
      <c r="AG182" s="12">
        <f t="shared" si="32"/>
        <v>0.99903200203527531</v>
      </c>
      <c r="AI182" s="54" t="str">
        <f t="shared" si="33"/>
        <v/>
      </c>
      <c r="AJ182" s="54" t="str">
        <f t="shared" si="34"/>
        <v/>
      </c>
      <c r="AK182" s="54">
        <f t="shared" si="35"/>
        <v>8.1704009734120051E-2</v>
      </c>
    </row>
    <row r="183" spans="9:37" x14ac:dyDescent="0.45">
      <c r="I183" s="2">
        <v>32.9</v>
      </c>
      <c r="J183" s="2">
        <v>6.2430000000000005E-4</v>
      </c>
      <c r="K183" s="2">
        <v>4.0309999999999999E-4</v>
      </c>
      <c r="R183" s="2">
        <v>18.59</v>
      </c>
      <c r="S183" s="2">
        <v>5.9345999999999997E-4</v>
      </c>
      <c r="T183" s="2">
        <v>1.7854000000000001E-4</v>
      </c>
      <c r="V183" s="11"/>
      <c r="W183" s="6"/>
      <c r="X183" s="6">
        <v>1.6400000000000001</v>
      </c>
      <c r="Y183" s="11" t="str">
        <f t="shared" si="36"/>
        <v/>
      </c>
      <c r="Z183" s="6" t="str">
        <f t="shared" si="37"/>
        <v/>
      </c>
      <c r="AA183" s="23">
        <f t="shared" si="38"/>
        <v>31.64</v>
      </c>
      <c r="AB183" t="str">
        <f t="shared" si="27"/>
        <v/>
      </c>
      <c r="AC183" t="str">
        <f t="shared" si="28"/>
        <v/>
      </c>
      <c r="AD183">
        <f t="shared" si="29"/>
        <v>6.0431999999999999E-4</v>
      </c>
      <c r="AE183" s="18" t="str">
        <f t="shared" si="30"/>
        <v/>
      </c>
      <c r="AF183" s="7" t="str">
        <f t="shared" si="31"/>
        <v/>
      </c>
      <c r="AG183" s="12">
        <f t="shared" si="32"/>
        <v>0.99902596598382221</v>
      </c>
      <c r="AI183" s="54" t="str">
        <f t="shared" si="33"/>
        <v/>
      </c>
      <c r="AJ183" s="54" t="str">
        <f t="shared" si="34"/>
        <v/>
      </c>
      <c r="AK183" s="54">
        <f t="shared" si="35"/>
        <v>8.2222034919898601E-2</v>
      </c>
    </row>
    <row r="184" spans="9:37" x14ac:dyDescent="0.45">
      <c r="I184" s="2">
        <v>33</v>
      </c>
      <c r="J184" s="2">
        <v>6.2600000000000004E-4</v>
      </c>
      <c r="K184" s="2">
        <v>4.06E-4</v>
      </c>
      <c r="R184" s="2">
        <v>18.600000000000001</v>
      </c>
      <c r="S184" s="2">
        <v>5.934E-4</v>
      </c>
      <c r="T184" s="2">
        <v>1.786E-4</v>
      </c>
      <c r="V184" s="11"/>
      <c r="W184" s="6"/>
      <c r="X184" s="6">
        <v>1.6500000000000001</v>
      </c>
      <c r="Y184" s="11" t="str">
        <f t="shared" si="36"/>
        <v/>
      </c>
      <c r="Z184" s="6" t="str">
        <f t="shared" si="37"/>
        <v/>
      </c>
      <c r="AA184" s="23">
        <f t="shared" si="38"/>
        <v>31.65</v>
      </c>
      <c r="AB184" t="str">
        <f t="shared" si="27"/>
        <v/>
      </c>
      <c r="AC184" t="str">
        <f t="shared" si="28"/>
        <v/>
      </c>
      <c r="AD184">
        <f t="shared" si="29"/>
        <v>6.0444999999999997E-4</v>
      </c>
      <c r="AE184" s="18" t="str">
        <f t="shared" si="30"/>
        <v/>
      </c>
      <c r="AF184" s="7" t="str">
        <f t="shared" si="31"/>
        <v/>
      </c>
      <c r="AG184" s="12">
        <f t="shared" si="32"/>
        <v>0.99901992867010458</v>
      </c>
      <c r="AI184" s="54" t="str">
        <f t="shared" si="33"/>
        <v/>
      </c>
      <c r="AJ184" s="54" t="str">
        <f t="shared" si="34"/>
        <v/>
      </c>
      <c r="AK184" s="54">
        <f t="shared" si="35"/>
        <v>8.2740269252496487E-2</v>
      </c>
    </row>
    <row r="185" spans="9:37" x14ac:dyDescent="0.45">
      <c r="I185" s="2">
        <v>33.1</v>
      </c>
      <c r="J185" s="2">
        <v>6.2810000000000003E-4</v>
      </c>
      <c r="K185" s="2">
        <v>4.0920000000000003E-4</v>
      </c>
      <c r="R185" s="2">
        <v>18.61</v>
      </c>
      <c r="S185" s="2">
        <v>5.9334000000000003E-4</v>
      </c>
      <c r="T185" s="2">
        <v>1.7866E-4</v>
      </c>
      <c r="V185" s="11"/>
      <c r="W185" s="6"/>
      <c r="X185" s="6">
        <v>1.6600000000000001</v>
      </c>
      <c r="Y185" s="11" t="str">
        <f t="shared" si="36"/>
        <v/>
      </c>
      <c r="Z185" s="6" t="str">
        <f t="shared" si="37"/>
        <v/>
      </c>
      <c r="AA185" s="23">
        <f t="shared" si="38"/>
        <v>31.66</v>
      </c>
      <c r="AB185" t="str">
        <f t="shared" si="27"/>
        <v/>
      </c>
      <c r="AC185" t="str">
        <f t="shared" si="28"/>
        <v/>
      </c>
      <c r="AD185">
        <f t="shared" si="29"/>
        <v>6.0457999999999996E-4</v>
      </c>
      <c r="AE185" s="18" t="str">
        <f t="shared" si="30"/>
        <v/>
      </c>
      <c r="AF185" s="7" t="str">
        <f t="shared" si="31"/>
        <v/>
      </c>
      <c r="AG185" s="12">
        <f t="shared" si="32"/>
        <v>0.99901389009414576</v>
      </c>
      <c r="AI185" s="54" t="str">
        <f t="shared" si="33"/>
        <v/>
      </c>
      <c r="AJ185" s="54" t="str">
        <f t="shared" si="34"/>
        <v/>
      </c>
      <c r="AK185" s="54">
        <f t="shared" si="35"/>
        <v>8.3258712818183478E-2</v>
      </c>
    </row>
    <row r="186" spans="9:37" x14ac:dyDescent="0.45">
      <c r="I186" s="2">
        <v>33.200000000000003</v>
      </c>
      <c r="J186" s="2">
        <v>6.3020000000000003E-4</v>
      </c>
      <c r="K186" s="2">
        <v>4.124E-4</v>
      </c>
      <c r="R186" s="2">
        <v>18.62</v>
      </c>
      <c r="S186" s="2">
        <v>5.9327999999999996E-4</v>
      </c>
      <c r="T186" s="2">
        <v>1.7872E-4</v>
      </c>
      <c r="V186" s="11"/>
      <c r="W186" s="6"/>
      <c r="X186" s="6">
        <v>1.67</v>
      </c>
      <c r="Y186" s="11" t="str">
        <f t="shared" si="36"/>
        <v/>
      </c>
      <c r="Z186" s="6" t="str">
        <f t="shared" si="37"/>
        <v/>
      </c>
      <c r="AA186" s="23">
        <f t="shared" si="38"/>
        <v>31.67</v>
      </c>
      <c r="AB186" t="str">
        <f t="shared" si="27"/>
        <v/>
      </c>
      <c r="AC186" t="str">
        <f t="shared" si="28"/>
        <v/>
      </c>
      <c r="AD186">
        <f t="shared" si="29"/>
        <v>6.0470999999999995E-4</v>
      </c>
      <c r="AE186" s="18" t="str">
        <f t="shared" si="30"/>
        <v/>
      </c>
      <c r="AF186" s="7" t="str">
        <f t="shared" si="31"/>
        <v/>
      </c>
      <c r="AG186" s="12">
        <f t="shared" si="32"/>
        <v>0.99900785025596905</v>
      </c>
      <c r="AI186" s="54" t="str">
        <f t="shared" si="33"/>
        <v/>
      </c>
      <c r="AJ186" s="54" t="str">
        <f t="shared" si="34"/>
        <v/>
      </c>
      <c r="AK186" s="54">
        <f t="shared" si="35"/>
        <v>8.3777365703265202E-2</v>
      </c>
    </row>
    <row r="187" spans="9:37" x14ac:dyDescent="0.45">
      <c r="I187" s="2">
        <v>33.299999999999997</v>
      </c>
      <c r="J187" s="2">
        <v>6.3230000000000003E-4</v>
      </c>
      <c r="K187" s="2">
        <v>4.1560000000000002E-4</v>
      </c>
      <c r="R187" s="2">
        <v>18.63</v>
      </c>
      <c r="S187" s="2">
        <v>5.9321999999999999E-4</v>
      </c>
      <c r="T187" s="2">
        <v>1.7877999999999999E-4</v>
      </c>
      <c r="V187" s="11"/>
      <c r="W187" s="6"/>
      <c r="X187" s="6">
        <v>1.68</v>
      </c>
      <c r="Y187" s="11" t="str">
        <f t="shared" si="36"/>
        <v/>
      </c>
      <c r="Z187" s="6" t="str">
        <f t="shared" si="37"/>
        <v/>
      </c>
      <c r="AA187" s="23">
        <f t="shared" si="38"/>
        <v>31.68</v>
      </c>
      <c r="AB187" t="str">
        <f t="shared" si="27"/>
        <v/>
      </c>
      <c r="AC187" t="str">
        <f t="shared" si="28"/>
        <v/>
      </c>
      <c r="AD187">
        <f t="shared" si="29"/>
        <v>6.0484000000000004E-4</v>
      </c>
      <c r="AE187" s="18" t="str">
        <f t="shared" si="30"/>
        <v/>
      </c>
      <c r="AF187" s="7" t="str">
        <f t="shared" si="31"/>
        <v/>
      </c>
      <c r="AG187" s="12">
        <f t="shared" si="32"/>
        <v>0.99900180915559778</v>
      </c>
      <c r="AI187" s="54" t="str">
        <f t="shared" si="33"/>
        <v/>
      </c>
      <c r="AJ187" s="54" t="str">
        <f t="shared" si="34"/>
        <v/>
      </c>
      <c r="AK187" s="54">
        <f t="shared" si="35"/>
        <v>8.429622799408315E-2</v>
      </c>
    </row>
    <row r="188" spans="9:37" x14ac:dyDescent="0.45">
      <c r="I188" s="2">
        <v>33.4</v>
      </c>
      <c r="J188" s="2">
        <v>6.3440000000000002E-4</v>
      </c>
      <c r="K188" s="2">
        <v>4.1879999999999999E-4</v>
      </c>
      <c r="R188" s="2">
        <v>18.64</v>
      </c>
      <c r="S188" s="2">
        <v>5.9316000000000002E-4</v>
      </c>
      <c r="T188" s="2">
        <v>1.7883999999999999E-4</v>
      </c>
      <c r="V188" s="11"/>
      <c r="W188" s="6"/>
      <c r="X188" s="6">
        <v>1.69</v>
      </c>
      <c r="Y188" s="11" t="str">
        <f t="shared" si="36"/>
        <v/>
      </c>
      <c r="Z188" s="6" t="str">
        <f t="shared" si="37"/>
        <v/>
      </c>
      <c r="AA188" s="23">
        <f t="shared" si="38"/>
        <v>31.69</v>
      </c>
      <c r="AB188" t="str">
        <f t="shared" si="27"/>
        <v/>
      </c>
      <c r="AC188" t="str">
        <f t="shared" si="28"/>
        <v/>
      </c>
      <c r="AD188">
        <f t="shared" si="29"/>
        <v>6.0497000000000003E-4</v>
      </c>
      <c r="AE188" s="18" t="str">
        <f t="shared" si="30"/>
        <v/>
      </c>
      <c r="AF188" s="7" t="str">
        <f t="shared" si="31"/>
        <v/>
      </c>
      <c r="AG188" s="12">
        <f t="shared" si="32"/>
        <v>0.99899576679305524</v>
      </c>
      <c r="AI188" s="54" t="str">
        <f t="shared" si="33"/>
        <v/>
      </c>
      <c r="AJ188" s="54" t="str">
        <f t="shared" si="34"/>
        <v/>
      </c>
      <c r="AK188" s="54">
        <f t="shared" si="35"/>
        <v>8.4815299777014672E-2</v>
      </c>
    </row>
    <row r="189" spans="9:37" x14ac:dyDescent="0.45">
      <c r="I189" s="2">
        <v>33.5</v>
      </c>
      <c r="J189" s="2">
        <v>6.3650000000000002E-4</v>
      </c>
      <c r="K189" s="2">
        <v>4.2200000000000001E-4</v>
      </c>
      <c r="R189" s="2">
        <v>18.649999999999999</v>
      </c>
      <c r="S189" s="2">
        <v>5.9310000000000005E-4</v>
      </c>
      <c r="T189" s="2">
        <v>1.7890000000000001E-4</v>
      </c>
      <c r="V189" s="11"/>
      <c r="W189" s="6"/>
      <c r="X189" s="6">
        <v>1.7</v>
      </c>
      <c r="Y189" s="11" t="str">
        <f t="shared" si="36"/>
        <v/>
      </c>
      <c r="Z189" s="6" t="str">
        <f t="shared" si="37"/>
        <v/>
      </c>
      <c r="AA189" s="23">
        <f t="shared" si="38"/>
        <v>31.7</v>
      </c>
      <c r="AB189" t="str">
        <f t="shared" si="27"/>
        <v/>
      </c>
      <c r="AC189" t="str">
        <f t="shared" si="28"/>
        <v/>
      </c>
      <c r="AD189">
        <f t="shared" si="29"/>
        <v>6.0510000000000002E-4</v>
      </c>
      <c r="AE189" s="18" t="str">
        <f t="shared" si="30"/>
        <v/>
      </c>
      <c r="AF189" s="7" t="str">
        <f t="shared" si="31"/>
        <v/>
      </c>
      <c r="AG189" s="12">
        <f t="shared" si="32"/>
        <v>0.99898972316836487</v>
      </c>
      <c r="AI189" s="54" t="str">
        <f t="shared" si="33"/>
        <v/>
      </c>
      <c r="AJ189" s="54" t="str">
        <f t="shared" si="34"/>
        <v/>
      </c>
      <c r="AK189" s="54">
        <f t="shared" si="35"/>
        <v>8.5334581138473031E-2</v>
      </c>
    </row>
    <row r="190" spans="9:37" x14ac:dyDescent="0.45">
      <c r="I190" s="2">
        <v>33.6</v>
      </c>
      <c r="J190" s="2">
        <v>6.3860000000000002E-4</v>
      </c>
      <c r="K190" s="2">
        <v>4.2519999999999998E-4</v>
      </c>
      <c r="R190" s="2">
        <v>18.66</v>
      </c>
      <c r="S190" s="2">
        <v>5.9303999999999997E-4</v>
      </c>
      <c r="T190" s="2">
        <v>1.7896000000000001E-4</v>
      </c>
      <c r="V190" s="11"/>
      <c r="W190" s="6"/>
      <c r="X190" s="6">
        <v>1.71</v>
      </c>
      <c r="Y190" s="11" t="str">
        <f t="shared" si="36"/>
        <v/>
      </c>
      <c r="Z190" s="6" t="str">
        <f t="shared" si="37"/>
        <v/>
      </c>
      <c r="AA190" s="23">
        <f t="shared" si="38"/>
        <v>31.71</v>
      </c>
      <c r="AB190" t="str">
        <f t="shared" si="27"/>
        <v/>
      </c>
      <c r="AC190" t="str">
        <f t="shared" si="28"/>
        <v/>
      </c>
      <c r="AD190">
        <f t="shared" si="29"/>
        <v>6.0523E-4</v>
      </c>
      <c r="AE190" s="18" t="str">
        <f t="shared" si="30"/>
        <v/>
      </c>
      <c r="AF190" s="7" t="str">
        <f t="shared" si="31"/>
        <v/>
      </c>
      <c r="AG190" s="12">
        <f t="shared" si="32"/>
        <v>0.99898367828154999</v>
      </c>
      <c r="AI190" s="54" t="str">
        <f t="shared" si="33"/>
        <v/>
      </c>
      <c r="AJ190" s="54" t="str">
        <f t="shared" si="34"/>
        <v/>
      </c>
      <c r="AK190" s="54">
        <f t="shared" si="35"/>
        <v>8.5854072164907383E-2</v>
      </c>
    </row>
    <row r="191" spans="9:37" x14ac:dyDescent="0.45">
      <c r="I191" s="2">
        <v>33.700000000000003</v>
      </c>
      <c r="J191" s="2">
        <v>6.4070000000000002E-4</v>
      </c>
      <c r="K191" s="2">
        <v>4.284E-4</v>
      </c>
      <c r="R191" s="2">
        <v>18.670000000000002</v>
      </c>
      <c r="S191" s="2">
        <v>5.9298E-4</v>
      </c>
      <c r="T191" s="2">
        <v>1.7902E-4</v>
      </c>
      <c r="V191" s="11"/>
      <c r="W191" s="6"/>
      <c r="X191" s="6">
        <v>1.72</v>
      </c>
      <c r="Y191" s="11" t="str">
        <f t="shared" si="36"/>
        <v/>
      </c>
      <c r="Z191" s="6" t="str">
        <f t="shared" si="37"/>
        <v/>
      </c>
      <c r="AA191" s="23">
        <f t="shared" si="38"/>
        <v>31.72</v>
      </c>
      <c r="AB191" t="str">
        <f t="shared" si="27"/>
        <v/>
      </c>
      <c r="AC191" t="str">
        <f t="shared" si="28"/>
        <v/>
      </c>
      <c r="AD191">
        <f t="shared" si="29"/>
        <v>6.0535999999999999E-4</v>
      </c>
      <c r="AE191" s="18" t="str">
        <f t="shared" si="30"/>
        <v/>
      </c>
      <c r="AF191" s="7" t="str">
        <f t="shared" si="31"/>
        <v/>
      </c>
      <c r="AG191" s="12">
        <f t="shared" si="32"/>
        <v>0.99897763213263391</v>
      </c>
      <c r="AI191" s="54" t="str">
        <f t="shared" si="33"/>
        <v/>
      </c>
      <c r="AJ191" s="54" t="str">
        <f t="shared" si="34"/>
        <v/>
      </c>
      <c r="AK191" s="54">
        <f t="shared" si="35"/>
        <v>8.6373772942802809E-2</v>
      </c>
    </row>
    <row r="192" spans="9:37" x14ac:dyDescent="0.45">
      <c r="I192" s="2">
        <v>33.799999999999997</v>
      </c>
      <c r="J192" s="2">
        <v>6.4280000000000001E-4</v>
      </c>
      <c r="K192" s="2">
        <v>4.3159999999999997E-4</v>
      </c>
      <c r="R192" s="2">
        <v>18.68</v>
      </c>
      <c r="S192" s="2">
        <v>5.9292000000000004E-4</v>
      </c>
      <c r="T192" s="2">
        <v>1.7908E-4</v>
      </c>
      <c r="V192" s="11"/>
      <c r="W192" s="6"/>
      <c r="X192" s="6">
        <v>1.73</v>
      </c>
      <c r="Y192" s="11" t="str">
        <f t="shared" si="36"/>
        <v/>
      </c>
      <c r="Z192" s="6" t="str">
        <f t="shared" si="37"/>
        <v/>
      </c>
      <c r="AA192" s="23">
        <f t="shared" si="38"/>
        <v>31.73</v>
      </c>
      <c r="AB192" t="str">
        <f t="shared" si="27"/>
        <v/>
      </c>
      <c r="AC192" t="str">
        <f t="shared" si="28"/>
        <v/>
      </c>
      <c r="AD192">
        <f t="shared" si="29"/>
        <v>6.0548999999999998E-4</v>
      </c>
      <c r="AE192" s="18" t="str">
        <f t="shared" si="30"/>
        <v/>
      </c>
      <c r="AF192" s="7" t="str">
        <f t="shared" si="31"/>
        <v/>
      </c>
      <c r="AG192" s="12">
        <f t="shared" si="32"/>
        <v>0.99897158472164005</v>
      </c>
      <c r="AI192" s="54" t="str">
        <f t="shared" si="33"/>
        <v/>
      </c>
      <c r="AJ192" s="54" t="str">
        <f t="shared" si="34"/>
        <v/>
      </c>
      <c r="AK192" s="54">
        <f t="shared" si="35"/>
        <v>8.689368355868031E-2</v>
      </c>
    </row>
    <row r="193" spans="9:37" x14ac:dyDescent="0.45">
      <c r="I193" s="2">
        <v>33.9</v>
      </c>
      <c r="J193" s="2">
        <v>6.4490000000000001E-4</v>
      </c>
      <c r="K193" s="2">
        <v>4.348E-4</v>
      </c>
      <c r="R193" s="2">
        <v>18.690000000000001</v>
      </c>
      <c r="S193" s="2">
        <v>5.9285999999999996E-4</v>
      </c>
      <c r="T193" s="2">
        <v>1.7914E-4</v>
      </c>
      <c r="V193" s="11"/>
      <c r="W193" s="6"/>
      <c r="X193" s="6">
        <v>1.74</v>
      </c>
      <c r="Y193" s="11" t="str">
        <f t="shared" si="36"/>
        <v/>
      </c>
      <c r="Z193" s="6" t="str">
        <f t="shared" si="37"/>
        <v/>
      </c>
      <c r="AA193" s="23">
        <f t="shared" si="38"/>
        <v>31.74</v>
      </c>
      <c r="AB193" t="str">
        <f t="shared" si="27"/>
        <v/>
      </c>
      <c r="AC193" t="str">
        <f t="shared" si="28"/>
        <v/>
      </c>
      <c r="AD193">
        <f t="shared" si="29"/>
        <v>6.0561999999999996E-4</v>
      </c>
      <c r="AE193" s="18" t="str">
        <f t="shared" si="30"/>
        <v/>
      </c>
      <c r="AF193" s="7" t="str">
        <f t="shared" si="31"/>
        <v/>
      </c>
      <c r="AG193" s="12">
        <f t="shared" si="32"/>
        <v>0.99896553604859173</v>
      </c>
      <c r="AI193" s="54" t="str">
        <f t="shared" si="33"/>
        <v/>
      </c>
      <c r="AJ193" s="54" t="str">
        <f t="shared" si="34"/>
        <v/>
      </c>
      <c r="AK193" s="54">
        <f t="shared" si="35"/>
        <v>8.7413804099096853E-2</v>
      </c>
    </row>
    <row r="194" spans="9:37" x14ac:dyDescent="0.45">
      <c r="I194" s="2">
        <v>34</v>
      </c>
      <c r="J194" s="2">
        <v>6.4700000000000001E-4</v>
      </c>
      <c r="K194" s="2">
        <v>4.3800000000000002E-4</v>
      </c>
      <c r="R194" s="2">
        <v>18.7</v>
      </c>
      <c r="S194" s="2">
        <v>5.9279999999999999E-4</v>
      </c>
      <c r="T194" s="2">
        <v>1.7919999999999999E-4</v>
      </c>
      <c r="V194" s="11"/>
      <c r="W194" s="6"/>
      <c r="X194" s="6">
        <v>1.75</v>
      </c>
      <c r="Y194" s="11" t="str">
        <f t="shared" si="36"/>
        <v/>
      </c>
      <c r="Z194" s="6" t="str">
        <f t="shared" si="37"/>
        <v/>
      </c>
      <c r="AA194" s="23">
        <f t="shared" si="38"/>
        <v>31.75</v>
      </c>
      <c r="AB194" t="str">
        <f t="shared" si="27"/>
        <v/>
      </c>
      <c r="AC194" t="str">
        <f t="shared" si="28"/>
        <v/>
      </c>
      <c r="AD194">
        <f t="shared" si="29"/>
        <v>6.0574999999999995E-4</v>
      </c>
      <c r="AE194" s="18" t="str">
        <f t="shared" si="30"/>
        <v/>
      </c>
      <c r="AF194" s="7" t="str">
        <f t="shared" si="31"/>
        <v/>
      </c>
      <c r="AG194" s="12">
        <f t="shared" si="32"/>
        <v>0.99895948611351226</v>
      </c>
      <c r="AI194" s="54" t="str">
        <f t="shared" si="33"/>
        <v/>
      </c>
      <c r="AJ194" s="54" t="str">
        <f t="shared" si="34"/>
        <v/>
      </c>
      <c r="AK194" s="54">
        <f t="shared" si="35"/>
        <v>8.7934134650645368E-2</v>
      </c>
    </row>
    <row r="195" spans="9:37" x14ac:dyDescent="0.45">
      <c r="I195" s="2">
        <v>34.1</v>
      </c>
      <c r="J195" s="2">
        <v>6.4970000000000002E-4</v>
      </c>
      <c r="K195" s="2">
        <v>4.415E-4</v>
      </c>
      <c r="R195" s="2">
        <v>18.71</v>
      </c>
      <c r="S195" s="2">
        <v>5.9274000000000002E-4</v>
      </c>
      <c r="T195" s="2">
        <v>1.7925999999999999E-4</v>
      </c>
      <c r="V195" s="11"/>
      <c r="W195" s="6"/>
      <c r="X195" s="6">
        <v>1.76</v>
      </c>
      <c r="Y195" s="11" t="str">
        <f t="shared" si="36"/>
        <v/>
      </c>
      <c r="Z195" s="6" t="str">
        <f t="shared" si="37"/>
        <v/>
      </c>
      <c r="AA195" s="23">
        <f t="shared" si="38"/>
        <v>31.76</v>
      </c>
      <c r="AB195" t="str">
        <f t="shared" si="27"/>
        <v/>
      </c>
      <c r="AC195" t="str">
        <f t="shared" si="28"/>
        <v/>
      </c>
      <c r="AD195">
        <f t="shared" si="29"/>
        <v>6.0588000000000005E-4</v>
      </c>
      <c r="AE195" s="18" t="str">
        <f t="shared" si="30"/>
        <v/>
      </c>
      <c r="AF195" s="7" t="str">
        <f t="shared" si="31"/>
        <v/>
      </c>
      <c r="AG195" s="12">
        <f t="shared" si="32"/>
        <v>0.99895343491642508</v>
      </c>
      <c r="AI195" s="54" t="str">
        <f t="shared" si="33"/>
        <v/>
      </c>
      <c r="AJ195" s="54" t="str">
        <f t="shared" si="34"/>
        <v/>
      </c>
      <c r="AK195" s="54">
        <f t="shared" si="35"/>
        <v>8.8454675299954766E-2</v>
      </c>
    </row>
    <row r="196" spans="9:37" x14ac:dyDescent="0.45">
      <c r="I196" s="2">
        <v>34.200000000000003</v>
      </c>
      <c r="J196" s="2">
        <v>6.5240000000000003E-4</v>
      </c>
      <c r="K196" s="2">
        <v>4.4499999999999997E-4</v>
      </c>
      <c r="R196" s="2">
        <v>18.72</v>
      </c>
      <c r="S196" s="2">
        <v>5.9268000000000005E-4</v>
      </c>
      <c r="T196" s="2">
        <v>1.7932000000000001E-4</v>
      </c>
      <c r="V196" s="11"/>
      <c r="W196" s="6"/>
      <c r="X196" s="6">
        <v>1.77</v>
      </c>
      <c r="Y196" s="11" t="str">
        <f t="shared" si="36"/>
        <v/>
      </c>
      <c r="Z196" s="6" t="str">
        <f t="shared" si="37"/>
        <v/>
      </c>
      <c r="AA196" s="23">
        <f t="shared" si="38"/>
        <v>31.77</v>
      </c>
      <c r="AB196" t="str">
        <f t="shared" si="27"/>
        <v/>
      </c>
      <c r="AC196" t="str">
        <f t="shared" si="28"/>
        <v/>
      </c>
      <c r="AD196">
        <f t="shared" si="29"/>
        <v>6.0601000000000003E-4</v>
      </c>
      <c r="AE196" s="18" t="str">
        <f t="shared" si="30"/>
        <v/>
      </c>
      <c r="AF196" s="7" t="str">
        <f t="shared" si="31"/>
        <v/>
      </c>
      <c r="AG196" s="12">
        <f t="shared" si="32"/>
        <v>0.99894738245735359</v>
      </c>
      <c r="AI196" s="54" t="str">
        <f t="shared" si="33"/>
        <v/>
      </c>
      <c r="AJ196" s="54" t="str">
        <f t="shared" si="34"/>
        <v/>
      </c>
      <c r="AK196" s="54">
        <f t="shared" si="35"/>
        <v>8.8975426133689944E-2</v>
      </c>
    </row>
    <row r="197" spans="9:37" x14ac:dyDescent="0.45">
      <c r="I197" s="2">
        <v>34.299999999999997</v>
      </c>
      <c r="J197" s="2">
        <v>6.5510000000000004E-4</v>
      </c>
      <c r="K197" s="2">
        <v>4.4850000000000001E-4</v>
      </c>
      <c r="R197" s="2">
        <v>18.73</v>
      </c>
      <c r="S197" s="2">
        <v>5.9261999999999997E-4</v>
      </c>
      <c r="T197" s="2">
        <v>1.7938000000000001E-4</v>
      </c>
      <c r="V197" s="11"/>
      <c r="W197" s="6"/>
      <c r="X197" s="6">
        <v>1.78</v>
      </c>
      <c r="Y197" s="11" t="str">
        <f t="shared" si="36"/>
        <v/>
      </c>
      <c r="Z197" s="6" t="str">
        <f t="shared" si="37"/>
        <v/>
      </c>
      <c r="AA197" s="23">
        <f t="shared" si="38"/>
        <v>31.78</v>
      </c>
      <c r="AB197" t="str">
        <f t="shared" si="27"/>
        <v/>
      </c>
      <c r="AC197" t="str">
        <f t="shared" si="28"/>
        <v/>
      </c>
      <c r="AD197">
        <f t="shared" si="29"/>
        <v>6.0614000000000002E-4</v>
      </c>
      <c r="AE197" s="18" t="str">
        <f t="shared" si="30"/>
        <v/>
      </c>
      <c r="AF197" s="7" t="str">
        <f t="shared" si="31"/>
        <v/>
      </c>
      <c r="AG197" s="12">
        <f t="shared" si="32"/>
        <v>0.99894132873632113</v>
      </c>
      <c r="AI197" s="54" t="str">
        <f t="shared" si="33"/>
        <v/>
      </c>
      <c r="AJ197" s="54" t="str">
        <f t="shared" si="34"/>
        <v/>
      </c>
      <c r="AK197" s="54">
        <f t="shared" si="35"/>
        <v>8.9496387238551828E-2</v>
      </c>
    </row>
    <row r="198" spans="9:37" x14ac:dyDescent="0.45">
      <c r="I198" s="2">
        <v>34.4</v>
      </c>
      <c r="J198" s="2">
        <v>6.5780000000000005E-4</v>
      </c>
      <c r="K198" s="2">
        <v>4.5199999999999998E-4</v>
      </c>
      <c r="R198" s="2">
        <v>18.739999999999998</v>
      </c>
      <c r="S198" s="2">
        <v>5.9256000000000001E-4</v>
      </c>
      <c r="T198" s="2">
        <v>1.7944E-4</v>
      </c>
      <c r="V198" s="11"/>
      <c r="W198" s="6"/>
      <c r="X198" s="6">
        <v>1.79</v>
      </c>
      <c r="Y198" s="11" t="str">
        <f t="shared" si="36"/>
        <v/>
      </c>
      <c r="Z198" s="6" t="str">
        <f t="shared" si="37"/>
        <v/>
      </c>
      <c r="AA198" s="23">
        <f t="shared" si="38"/>
        <v>31.79</v>
      </c>
      <c r="AB198" t="str">
        <f t="shared" si="27"/>
        <v/>
      </c>
      <c r="AC198" t="str">
        <f t="shared" si="28"/>
        <v/>
      </c>
      <c r="AD198">
        <f t="shared" si="29"/>
        <v>6.0627000000000001E-4</v>
      </c>
      <c r="AE198" s="18" t="str">
        <f t="shared" si="30"/>
        <v/>
      </c>
      <c r="AF198" s="7" t="str">
        <f t="shared" si="31"/>
        <v/>
      </c>
      <c r="AG198" s="12">
        <f t="shared" si="32"/>
        <v>0.99893527375335112</v>
      </c>
      <c r="AI198" s="54" t="str">
        <f t="shared" si="33"/>
        <v/>
      </c>
      <c r="AJ198" s="54" t="str">
        <f t="shared" si="34"/>
        <v/>
      </c>
      <c r="AK198" s="54">
        <f t="shared" si="35"/>
        <v>9.0017558701277353E-2</v>
      </c>
    </row>
    <row r="199" spans="9:37" x14ac:dyDescent="0.45">
      <c r="I199" s="2">
        <v>34.5</v>
      </c>
      <c r="J199" s="2">
        <v>6.6049999999999995E-4</v>
      </c>
      <c r="K199" s="2">
        <v>4.5550000000000001E-4</v>
      </c>
      <c r="R199" s="2">
        <v>18.75</v>
      </c>
      <c r="S199" s="2">
        <v>5.9250000000000004E-4</v>
      </c>
      <c r="T199" s="2">
        <v>1.795E-4</v>
      </c>
      <c r="V199" s="11"/>
      <c r="W199" s="6"/>
      <c r="X199" s="6">
        <v>1.8</v>
      </c>
      <c r="Y199" s="11" t="str">
        <f t="shared" si="36"/>
        <v/>
      </c>
      <c r="Z199" s="6" t="str">
        <f t="shared" si="37"/>
        <v/>
      </c>
      <c r="AA199" s="23">
        <f t="shared" si="38"/>
        <v>31.8</v>
      </c>
      <c r="AB199" t="str">
        <f t="shared" si="27"/>
        <v/>
      </c>
      <c r="AC199" t="str">
        <f t="shared" si="28"/>
        <v/>
      </c>
      <c r="AD199">
        <f t="shared" si="29"/>
        <v>6.0639999999999999E-4</v>
      </c>
      <c r="AE199" s="18" t="str">
        <f t="shared" si="30"/>
        <v/>
      </c>
      <c r="AF199" s="7" t="str">
        <f t="shared" si="31"/>
        <v/>
      </c>
      <c r="AG199" s="12">
        <f t="shared" si="32"/>
        <v>0.99892921750846697</v>
      </c>
      <c r="AI199" s="54" t="str">
        <f t="shared" si="33"/>
        <v/>
      </c>
      <c r="AJ199" s="54" t="str">
        <f t="shared" si="34"/>
        <v/>
      </c>
      <c r="AK199" s="54">
        <f t="shared" si="35"/>
        <v>9.0538940608639498E-2</v>
      </c>
    </row>
    <row r="200" spans="9:37" x14ac:dyDescent="0.45">
      <c r="I200" s="2">
        <v>34.6</v>
      </c>
      <c r="J200" s="2">
        <v>6.6319999999999997E-4</v>
      </c>
      <c r="K200" s="2">
        <v>4.5899999999999999E-4</v>
      </c>
      <c r="R200" s="2">
        <v>18.760000000000002</v>
      </c>
      <c r="S200" s="2">
        <v>5.9243999999999996E-4</v>
      </c>
      <c r="T200" s="2">
        <v>1.7956E-4</v>
      </c>
      <c r="V200" s="11"/>
      <c r="W200" s="6"/>
      <c r="X200" s="6">
        <v>1.81</v>
      </c>
      <c r="Y200" s="11" t="str">
        <f t="shared" si="36"/>
        <v/>
      </c>
      <c r="Z200" s="6" t="str">
        <f t="shared" si="37"/>
        <v/>
      </c>
      <c r="AA200" s="23">
        <f t="shared" si="38"/>
        <v>31.81</v>
      </c>
      <c r="AB200" t="str">
        <f t="shared" si="27"/>
        <v/>
      </c>
      <c r="AC200" t="str">
        <f t="shared" si="28"/>
        <v/>
      </c>
      <c r="AD200">
        <f t="shared" si="29"/>
        <v>6.0652999999999998E-4</v>
      </c>
      <c r="AE200" s="18" t="str">
        <f t="shared" si="30"/>
        <v/>
      </c>
      <c r="AF200" s="7" t="str">
        <f t="shared" si="31"/>
        <v/>
      </c>
      <c r="AG200" s="12">
        <f t="shared" si="32"/>
        <v>0.99892316000169201</v>
      </c>
      <c r="AI200" s="54" t="str">
        <f t="shared" si="33"/>
        <v/>
      </c>
      <c r="AJ200" s="54" t="str">
        <f t="shared" si="34"/>
        <v/>
      </c>
      <c r="AK200" s="54">
        <f t="shared" si="35"/>
        <v>9.1060533047447295E-2</v>
      </c>
    </row>
    <row r="201" spans="9:37" x14ac:dyDescent="0.45">
      <c r="I201" s="2">
        <v>34.700000000000003</v>
      </c>
      <c r="J201" s="2">
        <v>6.6589999999999998E-4</v>
      </c>
      <c r="K201" s="2">
        <v>4.6250000000000002E-4</v>
      </c>
      <c r="R201" s="2">
        <v>18.77</v>
      </c>
      <c r="S201" s="2">
        <v>5.9237999999999999E-4</v>
      </c>
      <c r="T201" s="2">
        <v>1.7961999999999999E-4</v>
      </c>
      <c r="V201" s="11"/>
      <c r="W201" s="6"/>
      <c r="X201" s="6">
        <v>1.82</v>
      </c>
      <c r="Y201" s="11" t="str">
        <f t="shared" si="36"/>
        <v/>
      </c>
      <c r="Z201" s="6" t="str">
        <f t="shared" si="37"/>
        <v/>
      </c>
      <c r="AA201" s="23">
        <f t="shared" si="38"/>
        <v>31.82</v>
      </c>
      <c r="AB201" t="str">
        <f t="shared" si="27"/>
        <v/>
      </c>
      <c r="AC201" t="str">
        <f t="shared" si="28"/>
        <v/>
      </c>
      <c r="AD201">
        <f t="shared" si="29"/>
        <v>6.0665999999999997E-4</v>
      </c>
      <c r="AE201" s="18" t="str">
        <f t="shared" si="30"/>
        <v/>
      </c>
      <c r="AF201" s="7" t="str">
        <f t="shared" si="31"/>
        <v/>
      </c>
      <c r="AG201" s="12">
        <f t="shared" si="32"/>
        <v>0.99891710123304966</v>
      </c>
      <c r="AI201" s="54" t="str">
        <f t="shared" si="33"/>
        <v/>
      </c>
      <c r="AJ201" s="54" t="str">
        <f t="shared" si="34"/>
        <v/>
      </c>
      <c r="AK201" s="54">
        <f t="shared" si="35"/>
        <v>9.1582336104545858E-2</v>
      </c>
    </row>
    <row r="202" spans="9:37" x14ac:dyDescent="0.45">
      <c r="I202" s="2">
        <v>34.799999999999997</v>
      </c>
      <c r="J202" s="2">
        <v>6.6859999999999999E-4</v>
      </c>
      <c r="K202" s="2">
        <v>4.66E-4</v>
      </c>
      <c r="R202" s="2">
        <v>18.78</v>
      </c>
      <c r="S202" s="2">
        <v>5.9232000000000002E-4</v>
      </c>
      <c r="T202" s="2">
        <v>1.7967999999999999E-4</v>
      </c>
      <c r="V202" s="11"/>
      <c r="W202" s="6"/>
      <c r="X202" s="6">
        <v>1.83</v>
      </c>
      <c r="Y202" s="11" t="str">
        <f t="shared" si="36"/>
        <v/>
      </c>
      <c r="Z202" s="6" t="str">
        <f t="shared" si="37"/>
        <v/>
      </c>
      <c r="AA202" s="23">
        <f t="shared" si="38"/>
        <v>31.83</v>
      </c>
      <c r="AB202" t="str">
        <f t="shared" si="27"/>
        <v/>
      </c>
      <c r="AC202" t="str">
        <f t="shared" si="28"/>
        <v/>
      </c>
      <c r="AD202">
        <f t="shared" si="29"/>
        <v>6.0678999999999996E-4</v>
      </c>
      <c r="AE202" s="18" t="str">
        <f t="shared" si="30"/>
        <v/>
      </c>
      <c r="AF202" s="7" t="str">
        <f t="shared" si="31"/>
        <v/>
      </c>
      <c r="AG202" s="12">
        <f t="shared" si="32"/>
        <v>0.99891104120256335</v>
      </c>
      <c r="AI202" s="54" t="str">
        <f t="shared" si="33"/>
        <v/>
      </c>
      <c r="AJ202" s="54" t="str">
        <f t="shared" si="34"/>
        <v/>
      </c>
      <c r="AK202" s="54">
        <f t="shared" si="35"/>
        <v>9.2104349866816385E-2</v>
      </c>
    </row>
    <row r="203" spans="9:37" x14ac:dyDescent="0.45">
      <c r="I203" s="2">
        <v>34.9</v>
      </c>
      <c r="J203" s="2">
        <v>6.713E-4</v>
      </c>
      <c r="K203" s="2">
        <v>4.6949999999999997E-4</v>
      </c>
      <c r="R203" s="2">
        <v>18.79</v>
      </c>
      <c r="S203" s="2">
        <v>5.9226000000000005E-4</v>
      </c>
      <c r="T203" s="2">
        <v>1.7974000000000001E-4</v>
      </c>
      <c r="V203" s="11"/>
      <c r="W203" s="6"/>
      <c r="X203" s="6">
        <v>1.84</v>
      </c>
      <c r="Y203" s="11" t="str">
        <f t="shared" si="36"/>
        <v/>
      </c>
      <c r="Z203" s="6" t="str">
        <f t="shared" si="37"/>
        <v/>
      </c>
      <c r="AA203" s="23">
        <f t="shared" si="38"/>
        <v>31.84</v>
      </c>
      <c r="AB203" t="str">
        <f t="shared" si="27"/>
        <v/>
      </c>
      <c r="AC203" t="str">
        <f t="shared" si="28"/>
        <v/>
      </c>
      <c r="AD203">
        <f t="shared" si="29"/>
        <v>6.0692000000000005E-4</v>
      </c>
      <c r="AE203" s="18" t="str">
        <f t="shared" si="30"/>
        <v/>
      </c>
      <c r="AF203" s="7" t="str">
        <f t="shared" si="31"/>
        <v/>
      </c>
      <c r="AG203" s="12">
        <f t="shared" si="32"/>
        <v>0.9989049799102564</v>
      </c>
      <c r="AI203" s="54" t="str">
        <f t="shared" si="33"/>
        <v/>
      </c>
      <c r="AJ203" s="54" t="str">
        <f t="shared" si="34"/>
        <v/>
      </c>
      <c r="AK203" s="54">
        <f t="shared" si="35"/>
        <v>9.2626574421176167E-2</v>
      </c>
    </row>
    <row r="204" spans="9:37" x14ac:dyDescent="0.45">
      <c r="I204" s="2">
        <v>35</v>
      </c>
      <c r="J204" s="2">
        <v>6.7400000000000001E-4</v>
      </c>
      <c r="K204" s="2">
        <v>4.73E-4</v>
      </c>
      <c r="R204" s="2">
        <v>18.8</v>
      </c>
      <c r="S204" s="2">
        <v>5.9219999999999997E-4</v>
      </c>
      <c r="T204" s="2">
        <v>1.7980000000000001E-4</v>
      </c>
      <c r="V204" s="11"/>
      <c r="W204" s="6"/>
      <c r="X204" s="6">
        <v>1.85</v>
      </c>
      <c r="Y204" s="11" t="str">
        <f t="shared" si="36"/>
        <v/>
      </c>
      <c r="Z204" s="6" t="str">
        <f t="shared" si="37"/>
        <v/>
      </c>
      <c r="AA204" s="23">
        <f t="shared" si="38"/>
        <v>31.85</v>
      </c>
      <c r="AB204" t="str">
        <f t="shared" si="27"/>
        <v/>
      </c>
      <c r="AC204" t="str">
        <f t="shared" si="28"/>
        <v/>
      </c>
      <c r="AD204">
        <f t="shared" si="29"/>
        <v>6.0705000000000004E-4</v>
      </c>
      <c r="AE204" s="18" t="str">
        <f t="shared" si="30"/>
        <v/>
      </c>
      <c r="AF204" s="7" t="str">
        <f t="shared" si="31"/>
        <v/>
      </c>
      <c r="AG204" s="12">
        <f t="shared" si="32"/>
        <v>0.99889891735615233</v>
      </c>
      <c r="AI204" s="54" t="str">
        <f t="shared" si="33"/>
        <v/>
      </c>
      <c r="AJ204" s="54" t="str">
        <f t="shared" si="34"/>
        <v/>
      </c>
      <c r="AK204" s="54">
        <f t="shared" si="35"/>
        <v>9.3149009854578607E-2</v>
      </c>
    </row>
    <row r="205" spans="9:37" x14ac:dyDescent="0.45">
      <c r="I205" s="2">
        <v>35.1</v>
      </c>
      <c r="J205" s="2">
        <v>6.7719999999999998E-4</v>
      </c>
      <c r="K205" s="2">
        <v>4.7689999999999999E-4</v>
      </c>
      <c r="R205" s="2">
        <v>18.809999999999999</v>
      </c>
      <c r="S205" s="2">
        <v>5.9214000000000001E-4</v>
      </c>
      <c r="T205" s="2">
        <v>1.7986E-4</v>
      </c>
      <c r="V205" s="11"/>
      <c r="W205" s="6"/>
      <c r="X205" s="6">
        <v>1.86</v>
      </c>
      <c r="Y205" s="11" t="str">
        <f t="shared" si="36"/>
        <v/>
      </c>
      <c r="Z205" s="6" t="str">
        <f t="shared" si="37"/>
        <v/>
      </c>
      <c r="AA205" s="23">
        <f t="shared" si="38"/>
        <v>31.86</v>
      </c>
      <c r="AB205" t="str">
        <f t="shared" si="27"/>
        <v/>
      </c>
      <c r="AC205" t="str">
        <f t="shared" si="28"/>
        <v/>
      </c>
      <c r="AD205">
        <f t="shared" si="29"/>
        <v>6.0718000000000002E-4</v>
      </c>
      <c r="AE205" s="18" t="str">
        <f t="shared" si="30"/>
        <v/>
      </c>
      <c r="AF205" s="7" t="str">
        <f t="shared" si="31"/>
        <v/>
      </c>
      <c r="AG205" s="12">
        <f t="shared" si="32"/>
        <v>0.99889285354027446</v>
      </c>
      <c r="AI205" s="54" t="str">
        <f t="shared" si="33"/>
        <v/>
      </c>
      <c r="AJ205" s="54" t="str">
        <f t="shared" si="34"/>
        <v/>
      </c>
      <c r="AK205" s="54">
        <f t="shared" si="35"/>
        <v>9.3671656254013261E-2</v>
      </c>
    </row>
    <row r="206" spans="9:37" x14ac:dyDescent="0.45">
      <c r="I206" s="2">
        <v>35.200000000000003</v>
      </c>
      <c r="J206" s="2">
        <v>6.8039999999999995E-4</v>
      </c>
      <c r="K206" s="2">
        <v>4.8079999999999998E-4</v>
      </c>
      <c r="R206" s="2">
        <v>18.82</v>
      </c>
      <c r="S206" s="2">
        <v>5.9208000000000004E-4</v>
      </c>
      <c r="T206" s="2">
        <v>1.7992E-4</v>
      </c>
      <c r="V206" s="11"/>
      <c r="W206" s="6"/>
      <c r="X206" s="6">
        <v>1.87</v>
      </c>
      <c r="Y206" s="11" t="str">
        <f t="shared" si="36"/>
        <v/>
      </c>
      <c r="Z206" s="6" t="str">
        <f t="shared" si="37"/>
        <v/>
      </c>
      <c r="AA206" s="23">
        <f t="shared" si="38"/>
        <v>31.87</v>
      </c>
      <c r="AB206" t="str">
        <f t="shared" si="27"/>
        <v/>
      </c>
      <c r="AC206" t="str">
        <f t="shared" si="28"/>
        <v/>
      </c>
      <c r="AD206">
        <f t="shared" si="29"/>
        <v>6.0731000000000001E-4</v>
      </c>
      <c r="AE206" s="18" t="str">
        <f t="shared" si="30"/>
        <v/>
      </c>
      <c r="AF206" s="7" t="str">
        <f t="shared" si="31"/>
        <v/>
      </c>
      <c r="AG206" s="12">
        <f t="shared" si="32"/>
        <v>0.99888678846264634</v>
      </c>
      <c r="AI206" s="54" t="str">
        <f t="shared" si="33"/>
        <v/>
      </c>
      <c r="AJ206" s="54" t="str">
        <f t="shared" si="34"/>
        <v/>
      </c>
      <c r="AK206" s="54">
        <f t="shared" si="35"/>
        <v>9.4194513706505806E-2</v>
      </c>
    </row>
    <row r="207" spans="9:37" x14ac:dyDescent="0.45">
      <c r="I207" s="2">
        <v>35.299999999999997</v>
      </c>
      <c r="J207" s="2">
        <v>6.8360000000000003E-4</v>
      </c>
      <c r="K207" s="2">
        <v>4.8470000000000002E-4</v>
      </c>
      <c r="R207" s="2">
        <v>18.829999999999998</v>
      </c>
      <c r="S207" s="2">
        <v>5.9201999999999996E-4</v>
      </c>
      <c r="T207" s="2">
        <v>1.7997999999999999E-4</v>
      </c>
      <c r="V207" s="11"/>
      <c r="W207" s="6"/>
      <c r="X207" s="6">
        <v>1.8800000000000001</v>
      </c>
      <c r="Y207" s="11" t="str">
        <f t="shared" si="36"/>
        <v/>
      </c>
      <c r="Z207" s="6" t="str">
        <f t="shared" si="37"/>
        <v/>
      </c>
      <c r="AA207" s="23">
        <f t="shared" si="38"/>
        <v>31.88</v>
      </c>
      <c r="AB207" t="str">
        <f t="shared" si="27"/>
        <v/>
      </c>
      <c r="AC207" t="str">
        <f t="shared" si="28"/>
        <v/>
      </c>
      <c r="AD207">
        <f t="shared" si="29"/>
        <v>6.0744E-4</v>
      </c>
      <c r="AE207" s="18" t="str">
        <f t="shared" si="30"/>
        <v/>
      </c>
      <c r="AF207" s="7" t="str">
        <f t="shared" si="31"/>
        <v/>
      </c>
      <c r="AG207" s="12">
        <f t="shared" si="32"/>
        <v>0.99888072212329138</v>
      </c>
      <c r="AI207" s="54" t="str">
        <f t="shared" si="33"/>
        <v/>
      </c>
      <c r="AJ207" s="54" t="str">
        <f t="shared" si="34"/>
        <v/>
      </c>
      <c r="AK207" s="54">
        <f t="shared" si="35"/>
        <v>9.47175822991181E-2</v>
      </c>
    </row>
    <row r="208" spans="9:37" x14ac:dyDescent="0.45">
      <c r="I208" s="2">
        <v>35.4</v>
      </c>
      <c r="J208" s="2">
        <v>6.868E-4</v>
      </c>
      <c r="K208" s="2">
        <v>4.8859999999999995E-4</v>
      </c>
      <c r="R208" s="2">
        <v>18.84</v>
      </c>
      <c r="S208" s="2">
        <v>5.9195999999999999E-4</v>
      </c>
      <c r="T208" s="2">
        <v>1.8003999999999999E-4</v>
      </c>
      <c r="V208" s="11"/>
      <c r="W208" s="6"/>
      <c r="X208" s="6">
        <v>1.8900000000000001</v>
      </c>
      <c r="Y208" s="11" t="str">
        <f t="shared" si="36"/>
        <v/>
      </c>
      <c r="Z208" s="6" t="str">
        <f t="shared" si="37"/>
        <v/>
      </c>
      <c r="AA208" s="23">
        <f t="shared" si="38"/>
        <v>31.89</v>
      </c>
      <c r="AB208" t="str">
        <f t="shared" si="27"/>
        <v/>
      </c>
      <c r="AC208" t="str">
        <f t="shared" si="28"/>
        <v/>
      </c>
      <c r="AD208">
        <f t="shared" si="29"/>
        <v>6.0756999999999999E-4</v>
      </c>
      <c r="AE208" s="18" t="str">
        <f t="shared" si="30"/>
        <v/>
      </c>
      <c r="AF208" s="7" t="str">
        <f t="shared" si="31"/>
        <v/>
      </c>
      <c r="AG208" s="12">
        <f t="shared" si="32"/>
        <v>0.9988746545222329</v>
      </c>
      <c r="AI208" s="54" t="str">
        <f t="shared" si="33"/>
        <v/>
      </c>
      <c r="AJ208" s="54" t="str">
        <f t="shared" si="34"/>
        <v/>
      </c>
      <c r="AK208" s="54">
        <f t="shared" si="35"/>
        <v>9.5240862118948166E-2</v>
      </c>
    </row>
    <row r="209" spans="9:37" x14ac:dyDescent="0.45">
      <c r="I209" s="2">
        <v>35.5</v>
      </c>
      <c r="J209" s="2">
        <v>6.8999999999999997E-4</v>
      </c>
      <c r="K209" s="2">
        <v>4.9249999999999999E-4</v>
      </c>
      <c r="R209" s="2">
        <v>18.850000000000001</v>
      </c>
      <c r="S209" s="2">
        <v>5.9190000000000002E-4</v>
      </c>
      <c r="T209" s="2">
        <v>1.8009999999999999E-4</v>
      </c>
      <c r="V209" s="11"/>
      <c r="W209" s="6"/>
      <c r="X209" s="6">
        <v>1.9000000000000001</v>
      </c>
      <c r="Y209" s="11" t="str">
        <f t="shared" si="36"/>
        <v/>
      </c>
      <c r="Z209" s="6" t="str">
        <f t="shared" si="37"/>
        <v/>
      </c>
      <c r="AA209" s="23">
        <f t="shared" si="38"/>
        <v>31.9</v>
      </c>
      <c r="AB209" t="str">
        <f t="shared" si="27"/>
        <v/>
      </c>
      <c r="AC209" t="str">
        <f t="shared" si="28"/>
        <v/>
      </c>
      <c r="AD209">
        <f t="shared" si="29"/>
        <v>6.0769999999999997E-4</v>
      </c>
      <c r="AE209" s="18" t="str">
        <f t="shared" si="30"/>
        <v/>
      </c>
      <c r="AF209" s="7" t="str">
        <f t="shared" si="31"/>
        <v/>
      </c>
      <c r="AG209" s="12">
        <f t="shared" si="32"/>
        <v>0.99886858565949443</v>
      </c>
      <c r="AI209" s="54" t="str">
        <f t="shared" si="33"/>
        <v/>
      </c>
      <c r="AJ209" s="54" t="str">
        <f t="shared" si="34"/>
        <v/>
      </c>
      <c r="AK209" s="54">
        <f t="shared" si="35"/>
        <v>9.5764353253130222E-2</v>
      </c>
    </row>
    <row r="210" spans="9:37" x14ac:dyDescent="0.45">
      <c r="I210" s="2">
        <v>35.6</v>
      </c>
      <c r="J210" s="2">
        <v>6.9320000000000004E-4</v>
      </c>
      <c r="K210" s="2">
        <v>4.9640000000000003E-4</v>
      </c>
      <c r="R210" s="2">
        <v>18.86</v>
      </c>
      <c r="S210" s="2">
        <v>5.9184000000000005E-4</v>
      </c>
      <c r="T210" s="2">
        <v>1.8016000000000001E-4</v>
      </c>
      <c r="V210" s="11"/>
      <c r="W210" s="6"/>
      <c r="X210" s="6">
        <v>1.9100000000000001</v>
      </c>
      <c r="Y210" s="11" t="str">
        <f t="shared" si="36"/>
        <v/>
      </c>
      <c r="Z210" s="6" t="str">
        <f t="shared" si="37"/>
        <v/>
      </c>
      <c r="AA210" s="23">
        <f t="shared" si="38"/>
        <v>31.91</v>
      </c>
      <c r="AB210" t="str">
        <f t="shared" si="27"/>
        <v/>
      </c>
      <c r="AC210" t="str">
        <f t="shared" si="28"/>
        <v/>
      </c>
      <c r="AD210">
        <f t="shared" si="29"/>
        <v>6.0782999999999996E-4</v>
      </c>
      <c r="AE210" s="18" t="str">
        <f t="shared" si="30"/>
        <v/>
      </c>
      <c r="AF210" s="7" t="str">
        <f t="shared" si="31"/>
        <v/>
      </c>
      <c r="AG210" s="12">
        <f t="shared" si="32"/>
        <v>0.99886251553509942</v>
      </c>
      <c r="AI210" s="54" t="str">
        <f t="shared" si="33"/>
        <v/>
      </c>
      <c r="AJ210" s="54" t="str">
        <f t="shared" si="34"/>
        <v/>
      </c>
      <c r="AK210" s="54">
        <f t="shared" si="35"/>
        <v>9.6288055788834689E-2</v>
      </c>
    </row>
    <row r="211" spans="9:37" x14ac:dyDescent="0.45">
      <c r="I211" s="2">
        <v>35.700000000000003</v>
      </c>
      <c r="J211" s="2">
        <v>6.9640000000000001E-4</v>
      </c>
      <c r="K211" s="2">
        <v>5.0029999999999996E-4</v>
      </c>
      <c r="R211" s="2">
        <v>18.87</v>
      </c>
      <c r="S211" s="2">
        <v>5.9177999999999998E-4</v>
      </c>
      <c r="T211" s="2">
        <v>1.8022000000000001E-4</v>
      </c>
      <c r="V211" s="11"/>
      <c r="W211" s="6"/>
      <c r="X211" s="6">
        <v>1.92</v>
      </c>
      <c r="Y211" s="11" t="str">
        <f t="shared" si="36"/>
        <v/>
      </c>
      <c r="Z211" s="6" t="str">
        <f t="shared" si="37"/>
        <v/>
      </c>
      <c r="AA211" s="23">
        <f t="shared" si="38"/>
        <v>31.92</v>
      </c>
      <c r="AB211" t="str">
        <f t="shared" ref="AB211:AB274" si="39">IF(Y211="","",VLOOKUP(Y211,Table_1,2))</f>
        <v/>
      </c>
      <c r="AC211" t="str">
        <f t="shared" ref="AC211:AC274" si="40">IF(Z211="","",VLOOKUP(Z211,Table_2,2))</f>
        <v/>
      </c>
      <c r="AD211">
        <f t="shared" ref="AD211:AD274" si="41">IF(AA211="","",VLOOKUP(AA211,Table_3,2))</f>
        <v>6.0796000000000005E-4</v>
      </c>
      <c r="AE211" s="18" t="str">
        <f t="shared" si="30"/>
        <v/>
      </c>
      <c r="AF211" s="7" t="str">
        <f t="shared" si="31"/>
        <v/>
      </c>
      <c r="AG211" s="12">
        <f t="shared" si="32"/>
        <v>0.99885644414907127</v>
      </c>
      <c r="AI211" s="54" t="str">
        <f t="shared" si="33"/>
        <v/>
      </c>
      <c r="AJ211" s="54" t="str">
        <f t="shared" si="34"/>
        <v/>
      </c>
      <c r="AK211" s="54">
        <f t="shared" si="35"/>
        <v>9.6811969813268214E-2</v>
      </c>
    </row>
    <row r="212" spans="9:37" x14ac:dyDescent="0.45">
      <c r="I212" s="2">
        <v>35.799999999999997</v>
      </c>
      <c r="J212" s="2">
        <v>6.9959999999999998E-4</v>
      </c>
      <c r="K212" s="2">
        <v>5.042E-4</v>
      </c>
      <c r="R212" s="2">
        <v>18.88</v>
      </c>
      <c r="S212" s="2">
        <v>5.9172000000000001E-4</v>
      </c>
      <c r="T212" s="2">
        <v>1.8028E-4</v>
      </c>
      <c r="V212" s="11"/>
      <c r="W212" s="6"/>
      <c r="X212" s="6">
        <v>1.93</v>
      </c>
      <c r="Y212" s="11" t="str">
        <f t="shared" si="36"/>
        <v/>
      </c>
      <c r="Z212" s="6" t="str">
        <f t="shared" si="37"/>
        <v/>
      </c>
      <c r="AA212" s="23">
        <f t="shared" si="38"/>
        <v>31.93</v>
      </c>
      <c r="AB212" t="str">
        <f t="shared" si="39"/>
        <v/>
      </c>
      <c r="AC212" t="str">
        <f t="shared" si="40"/>
        <v/>
      </c>
      <c r="AD212">
        <f t="shared" si="41"/>
        <v>6.0809000000000004E-4</v>
      </c>
      <c r="AE212" s="18" t="str">
        <f t="shared" ref="AE212:AE275" si="42">IF(AB212="","",AE211+h_1*(-AE211*AB211))</f>
        <v/>
      </c>
      <c r="AF212" s="7" t="str">
        <f t="shared" ref="AF212:AF275" si="43">IF(AC212="","",AF211+h_2*(-AF211*AC211))</f>
        <v/>
      </c>
      <c r="AG212" s="12">
        <f t="shared" ref="AG212:AG275" si="44">IF(AD212="","",AG211+h_3*(-AG211*AD211))</f>
        <v>0.99885037150143341</v>
      </c>
      <c r="AI212" s="54" t="str">
        <f t="shared" ref="AI212:AI275" si="45">IF(Y212="","",AI211+AI$17*(AI211*delta+Prem1-AB211*(1-AI211)))</f>
        <v/>
      </c>
      <c r="AJ212" s="54" t="str">
        <f t="shared" ref="AJ212:AJ275" si="46">IF(Z212="","",AJ211+AJ$17*(AJ211*delta+Prem2-AC211*(1-AJ211)))</f>
        <v/>
      </c>
      <c r="AK212" s="54">
        <f t="shared" ref="AK212:AK275" si="47">IF(AA212="","",AK211+AK$17*(AK211*delta+Prem3-AD211*(1-AK211)))</f>
        <v>9.733609541367369E-2</v>
      </c>
    </row>
    <row r="213" spans="9:37" x14ac:dyDescent="0.45">
      <c r="I213" s="2">
        <v>35.9</v>
      </c>
      <c r="J213" s="2">
        <v>7.0279999999999995E-4</v>
      </c>
      <c r="K213" s="2">
        <v>5.0810000000000004E-4</v>
      </c>
      <c r="R213" s="2">
        <v>18.89</v>
      </c>
      <c r="S213" s="2">
        <v>5.9166000000000004E-4</v>
      </c>
      <c r="T213" s="2">
        <v>1.8034E-4</v>
      </c>
      <c r="V213" s="11"/>
      <c r="W213" s="6"/>
      <c r="X213" s="6">
        <v>1.94</v>
      </c>
      <c r="Y213" s="11" t="str">
        <f t="shared" ref="Y213:Y276" si="48">IF(ISBLANK(V213),"",$Y$19+V213)</f>
        <v/>
      </c>
      <c r="Z213" s="6" t="str">
        <f t="shared" ref="Z213:Z276" si="49">IF(ISBLANK(W213),"",$Y$19+W213)</f>
        <v/>
      </c>
      <c r="AA213" s="23">
        <f t="shared" ref="AA213:AA276" si="50">IF(ISBLANK(X213),"",$Y$19+X213)</f>
        <v>31.94</v>
      </c>
      <c r="AB213" t="str">
        <f t="shared" si="39"/>
        <v/>
      </c>
      <c r="AC213" t="str">
        <f t="shared" si="40"/>
        <v/>
      </c>
      <c r="AD213">
        <f t="shared" si="41"/>
        <v>6.0822000000000003E-4</v>
      </c>
      <c r="AE213" s="18" t="str">
        <f t="shared" si="42"/>
        <v/>
      </c>
      <c r="AF213" s="7" t="str">
        <f t="shared" si="43"/>
        <v/>
      </c>
      <c r="AG213" s="12">
        <f t="shared" si="44"/>
        <v>0.99884429759220938</v>
      </c>
      <c r="AI213" s="54" t="str">
        <f t="shared" si="45"/>
        <v/>
      </c>
      <c r="AJ213" s="54" t="str">
        <f t="shared" si="46"/>
        <v/>
      </c>
      <c r="AK213" s="54">
        <f t="shared" si="47"/>
        <v>9.7860432677330259E-2</v>
      </c>
    </row>
    <row r="214" spans="9:37" x14ac:dyDescent="0.45">
      <c r="I214" s="2">
        <v>36</v>
      </c>
      <c r="J214" s="2">
        <v>7.0600000000000003E-4</v>
      </c>
      <c r="K214" s="2">
        <v>5.1199999999999998E-4</v>
      </c>
      <c r="R214" s="2">
        <v>18.899999999999999</v>
      </c>
      <c r="S214" s="2">
        <v>5.9159999999999996E-4</v>
      </c>
      <c r="T214" s="2">
        <v>1.8039999999999999E-4</v>
      </c>
      <c r="V214" s="11"/>
      <c r="W214" s="6"/>
      <c r="X214" s="6">
        <v>1.95</v>
      </c>
      <c r="Y214" s="11" t="str">
        <f t="shared" si="48"/>
        <v/>
      </c>
      <c r="Z214" s="6" t="str">
        <f t="shared" si="49"/>
        <v/>
      </c>
      <c r="AA214" s="23">
        <f t="shared" si="50"/>
        <v>31.95</v>
      </c>
      <c r="AB214" t="str">
        <f t="shared" si="39"/>
        <v/>
      </c>
      <c r="AC214" t="str">
        <f t="shared" si="40"/>
        <v/>
      </c>
      <c r="AD214">
        <f t="shared" si="41"/>
        <v>6.0835000000000001E-4</v>
      </c>
      <c r="AE214" s="18" t="str">
        <f t="shared" si="42"/>
        <v/>
      </c>
      <c r="AF214" s="7" t="str">
        <f t="shared" si="43"/>
        <v/>
      </c>
      <c r="AG214" s="12">
        <f t="shared" si="44"/>
        <v>0.99883822242142262</v>
      </c>
      <c r="AI214" s="54" t="str">
        <f t="shared" si="45"/>
        <v/>
      </c>
      <c r="AJ214" s="54" t="str">
        <f t="shared" si="46"/>
        <v/>
      </c>
      <c r="AK214" s="54">
        <f t="shared" si="47"/>
        <v>9.8384981691553311E-2</v>
      </c>
    </row>
    <row r="215" spans="9:37" x14ac:dyDescent="0.45">
      <c r="I215" s="2">
        <v>36.1</v>
      </c>
      <c r="J215" s="2">
        <v>7.0980000000000001E-4</v>
      </c>
      <c r="K215" s="2">
        <v>5.1630000000000003E-4</v>
      </c>
      <c r="R215" s="2">
        <v>18.91</v>
      </c>
      <c r="S215" s="2">
        <v>5.9153999999999999E-4</v>
      </c>
      <c r="T215" s="2">
        <v>1.8045999999999999E-4</v>
      </c>
      <c r="V215" s="11"/>
      <c r="W215" s="6"/>
      <c r="X215" s="6">
        <v>1.96</v>
      </c>
      <c r="Y215" s="11" t="str">
        <f t="shared" si="48"/>
        <v/>
      </c>
      <c r="Z215" s="6" t="str">
        <f t="shared" si="49"/>
        <v/>
      </c>
      <c r="AA215" s="23">
        <f t="shared" si="50"/>
        <v>31.96</v>
      </c>
      <c r="AB215" t="str">
        <f t="shared" si="39"/>
        <v/>
      </c>
      <c r="AC215" t="str">
        <f t="shared" si="40"/>
        <v/>
      </c>
      <c r="AD215">
        <f t="shared" si="41"/>
        <v>6.0848E-4</v>
      </c>
      <c r="AE215" s="18" t="str">
        <f t="shared" si="42"/>
        <v/>
      </c>
      <c r="AF215" s="7" t="str">
        <f t="shared" si="43"/>
        <v/>
      </c>
      <c r="AG215" s="12">
        <f t="shared" si="44"/>
        <v>0.99883214598909653</v>
      </c>
      <c r="AI215" s="54" t="str">
        <f t="shared" si="45"/>
        <v/>
      </c>
      <c r="AJ215" s="54" t="str">
        <f t="shared" si="46"/>
        <v/>
      </c>
      <c r="AK215" s="54">
        <f t="shared" si="47"/>
        <v>9.8909742543694543E-2</v>
      </c>
    </row>
    <row r="216" spans="9:37" x14ac:dyDescent="0.45">
      <c r="I216" s="2">
        <v>36.200000000000003</v>
      </c>
      <c r="J216" s="2">
        <v>7.136E-4</v>
      </c>
      <c r="K216" s="2">
        <v>5.2059999999999997E-4</v>
      </c>
      <c r="R216" s="2">
        <v>18.920000000000002</v>
      </c>
      <c r="S216" s="2">
        <v>5.9148000000000002E-4</v>
      </c>
      <c r="T216" s="2">
        <v>1.8052000000000001E-4</v>
      </c>
      <c r="V216" s="11"/>
      <c r="W216" s="6"/>
      <c r="X216" s="6">
        <v>1.97</v>
      </c>
      <c r="Y216" s="11" t="str">
        <f t="shared" si="48"/>
        <v/>
      </c>
      <c r="Z216" s="6" t="str">
        <f t="shared" si="49"/>
        <v/>
      </c>
      <c r="AA216" s="23">
        <f t="shared" si="50"/>
        <v>31.97</v>
      </c>
      <c r="AB216" t="str">
        <f t="shared" si="39"/>
        <v/>
      </c>
      <c r="AC216" t="str">
        <f t="shared" si="40"/>
        <v/>
      </c>
      <c r="AD216">
        <f t="shared" si="41"/>
        <v>6.0860999999999999E-4</v>
      </c>
      <c r="AE216" s="18" t="str">
        <f t="shared" si="42"/>
        <v/>
      </c>
      <c r="AF216" s="7" t="str">
        <f t="shared" si="43"/>
        <v/>
      </c>
      <c r="AG216" s="12">
        <f t="shared" si="44"/>
        <v>0.99882606829525467</v>
      </c>
      <c r="AI216" s="54" t="str">
        <f t="shared" si="45"/>
        <v/>
      </c>
      <c r="AJ216" s="54" t="str">
        <f t="shared" si="46"/>
        <v/>
      </c>
      <c r="AK216" s="54">
        <f t="shared" si="47"/>
        <v>9.9434715321141939E-2</v>
      </c>
    </row>
    <row r="217" spans="9:37" x14ac:dyDescent="0.45">
      <c r="I217" s="2">
        <v>36.299999999999997</v>
      </c>
      <c r="J217" s="2">
        <v>7.1739999999999998E-4</v>
      </c>
      <c r="K217" s="2">
        <v>5.2490000000000002E-4</v>
      </c>
      <c r="R217" s="2">
        <v>18.93</v>
      </c>
      <c r="S217" s="2">
        <v>5.9142000000000005E-4</v>
      </c>
      <c r="T217" s="2">
        <v>1.8058000000000001E-4</v>
      </c>
      <c r="V217" s="11"/>
      <c r="W217" s="6"/>
      <c r="X217" s="6">
        <v>1.98</v>
      </c>
      <c r="Y217" s="11" t="str">
        <f t="shared" si="48"/>
        <v/>
      </c>
      <c r="Z217" s="6" t="str">
        <f t="shared" si="49"/>
        <v/>
      </c>
      <c r="AA217" s="23">
        <f t="shared" si="50"/>
        <v>31.98</v>
      </c>
      <c r="AB217" t="str">
        <f t="shared" si="39"/>
        <v/>
      </c>
      <c r="AC217" t="str">
        <f t="shared" si="40"/>
        <v/>
      </c>
      <c r="AD217">
        <f t="shared" si="41"/>
        <v>6.0873999999999998E-4</v>
      </c>
      <c r="AE217" s="18" t="str">
        <f t="shared" si="42"/>
        <v/>
      </c>
      <c r="AF217" s="7" t="str">
        <f t="shared" si="43"/>
        <v/>
      </c>
      <c r="AG217" s="12">
        <f t="shared" si="44"/>
        <v>0.99881998933992044</v>
      </c>
      <c r="AI217" s="54" t="str">
        <f t="shared" si="45"/>
        <v/>
      </c>
      <c r="AJ217" s="54" t="str">
        <f t="shared" si="46"/>
        <v/>
      </c>
      <c r="AK217" s="54">
        <f t="shared" si="47"/>
        <v>9.9959900111319805E-2</v>
      </c>
    </row>
    <row r="218" spans="9:37" x14ac:dyDescent="0.45">
      <c r="I218" s="2">
        <v>36.4</v>
      </c>
      <c r="J218" s="2">
        <v>7.2119999999999997E-4</v>
      </c>
      <c r="K218" s="2">
        <v>5.2919999999999996E-4</v>
      </c>
      <c r="R218" s="2">
        <v>18.940000000000001</v>
      </c>
      <c r="S218" s="2">
        <v>5.9135999999999998E-4</v>
      </c>
      <c r="T218" s="2">
        <v>1.8064000000000001E-4</v>
      </c>
      <c r="V218" s="11"/>
      <c r="W218" s="6"/>
      <c r="X218" s="6">
        <v>1.99</v>
      </c>
      <c r="Y218" s="11" t="str">
        <f t="shared" si="48"/>
        <v/>
      </c>
      <c r="Z218" s="6" t="str">
        <f t="shared" si="49"/>
        <v/>
      </c>
      <c r="AA218" s="23">
        <f t="shared" si="50"/>
        <v>31.99</v>
      </c>
      <c r="AB218" t="str">
        <f t="shared" si="39"/>
        <v/>
      </c>
      <c r="AC218" t="str">
        <f t="shared" si="40"/>
        <v/>
      </c>
      <c r="AD218">
        <f t="shared" si="41"/>
        <v>6.0886999999999996E-4</v>
      </c>
      <c r="AE218" s="18" t="str">
        <f t="shared" si="42"/>
        <v/>
      </c>
      <c r="AF218" s="7" t="str">
        <f t="shared" si="43"/>
        <v/>
      </c>
      <c r="AG218" s="12">
        <f t="shared" si="44"/>
        <v>0.99881390912311729</v>
      </c>
      <c r="AI218" s="54" t="str">
        <f t="shared" si="45"/>
        <v/>
      </c>
      <c r="AJ218" s="54" t="str">
        <f t="shared" si="46"/>
        <v/>
      </c>
      <c r="AK218" s="54">
        <f t="shared" si="47"/>
        <v>0.10048529700168876</v>
      </c>
    </row>
    <row r="219" spans="9:37" x14ac:dyDescent="0.45">
      <c r="I219" s="2">
        <v>36.5</v>
      </c>
      <c r="J219" s="2">
        <v>7.2499999999999995E-4</v>
      </c>
      <c r="K219" s="2">
        <v>5.3350000000000001E-4</v>
      </c>
      <c r="R219" s="2">
        <v>18.95</v>
      </c>
      <c r="S219" s="2">
        <v>5.9130000000000001E-4</v>
      </c>
      <c r="T219" s="2">
        <v>1.807E-4</v>
      </c>
      <c r="V219" s="11"/>
      <c r="W219" s="6"/>
      <c r="X219" s="6">
        <v>2</v>
      </c>
      <c r="Y219" s="11" t="str">
        <f t="shared" si="48"/>
        <v/>
      </c>
      <c r="Z219" s="6" t="str">
        <f t="shared" si="49"/>
        <v/>
      </c>
      <c r="AA219" s="23">
        <f t="shared" si="50"/>
        <v>32</v>
      </c>
      <c r="AB219" t="str">
        <f t="shared" si="39"/>
        <v/>
      </c>
      <c r="AC219" t="str">
        <f t="shared" si="40"/>
        <v/>
      </c>
      <c r="AD219">
        <f t="shared" si="41"/>
        <v>6.0899999999999995E-4</v>
      </c>
      <c r="AE219" s="18" t="str">
        <f t="shared" si="42"/>
        <v/>
      </c>
      <c r="AF219" s="7" t="str">
        <f t="shared" si="43"/>
        <v/>
      </c>
      <c r="AG219" s="12">
        <f t="shared" si="44"/>
        <v>0.99880782764486886</v>
      </c>
      <c r="AI219" s="54" t="str">
        <f t="shared" si="45"/>
        <v/>
      </c>
      <c r="AJ219" s="54" t="str">
        <f t="shared" si="46"/>
        <v/>
      </c>
      <c r="AK219" s="54">
        <f t="shared" si="47"/>
        <v>0.10101090607974579</v>
      </c>
    </row>
    <row r="220" spans="9:37" x14ac:dyDescent="0.45">
      <c r="I220" s="2">
        <v>36.6</v>
      </c>
      <c r="J220" s="2">
        <v>7.2880000000000004E-4</v>
      </c>
      <c r="K220" s="2">
        <v>5.3779999999999995E-4</v>
      </c>
      <c r="R220" s="2">
        <v>18.96</v>
      </c>
      <c r="S220" s="2">
        <v>5.9124000000000004E-4</v>
      </c>
      <c r="T220" s="2">
        <v>1.8076E-4</v>
      </c>
      <c r="V220" s="11"/>
      <c r="W220" s="6"/>
      <c r="X220" s="6">
        <v>2.0100000000000002</v>
      </c>
      <c r="Y220" s="11" t="str">
        <f t="shared" si="48"/>
        <v/>
      </c>
      <c r="Z220" s="6" t="str">
        <f t="shared" si="49"/>
        <v/>
      </c>
      <c r="AA220" s="23">
        <f t="shared" si="50"/>
        <v>32.01</v>
      </c>
      <c r="AB220" t="str">
        <f t="shared" si="39"/>
        <v/>
      </c>
      <c r="AC220" t="str">
        <f t="shared" si="40"/>
        <v/>
      </c>
      <c r="AD220">
        <f t="shared" si="41"/>
        <v>6.0917000000000002E-4</v>
      </c>
      <c r="AE220" s="18" t="str">
        <f t="shared" si="42"/>
        <v/>
      </c>
      <c r="AF220" s="7" t="str">
        <f t="shared" si="43"/>
        <v/>
      </c>
      <c r="AG220" s="12">
        <f t="shared" si="44"/>
        <v>0.99880174490519846</v>
      </c>
      <c r="AI220" s="54" t="str">
        <f t="shared" si="45"/>
        <v/>
      </c>
      <c r="AJ220" s="54" t="str">
        <f t="shared" si="46"/>
        <v/>
      </c>
      <c r="AK220" s="54">
        <f t="shared" si="47"/>
        <v>0.10153672743302421</v>
      </c>
    </row>
    <row r="221" spans="9:37" x14ac:dyDescent="0.45">
      <c r="I221" s="2">
        <v>36.700000000000003</v>
      </c>
      <c r="J221" s="2">
        <v>7.3260000000000003E-4</v>
      </c>
      <c r="K221" s="2">
        <v>5.421E-4</v>
      </c>
      <c r="R221" s="2">
        <v>18.97</v>
      </c>
      <c r="S221" s="2">
        <v>5.9117999999999996E-4</v>
      </c>
      <c r="T221" s="2">
        <v>1.8081999999999999E-4</v>
      </c>
      <c r="V221" s="11"/>
      <c r="W221" s="6"/>
      <c r="X221" s="6">
        <v>2.02</v>
      </c>
      <c r="Y221" s="11" t="str">
        <f t="shared" si="48"/>
        <v/>
      </c>
      <c r="Z221" s="6" t="str">
        <f t="shared" si="49"/>
        <v/>
      </c>
      <c r="AA221" s="23">
        <f t="shared" si="50"/>
        <v>32.020000000000003</v>
      </c>
      <c r="AB221" t="str">
        <f t="shared" si="39"/>
        <v/>
      </c>
      <c r="AC221" t="str">
        <f t="shared" si="40"/>
        <v/>
      </c>
      <c r="AD221">
        <f t="shared" si="41"/>
        <v>6.0933999999999999E-4</v>
      </c>
      <c r="AE221" s="18" t="str">
        <f t="shared" si="42"/>
        <v/>
      </c>
      <c r="AF221" s="7" t="str">
        <f t="shared" si="43"/>
        <v/>
      </c>
      <c r="AG221" s="12">
        <f t="shared" si="44"/>
        <v>0.998795660504609</v>
      </c>
      <c r="AI221" s="54" t="str">
        <f t="shared" si="45"/>
        <v/>
      </c>
      <c r="AJ221" s="54" t="str">
        <f t="shared" si="46"/>
        <v/>
      </c>
      <c r="AK221" s="54">
        <f t="shared" si="47"/>
        <v>0.10206276078970841</v>
      </c>
    </row>
    <row r="222" spans="9:37" x14ac:dyDescent="0.45">
      <c r="I222" s="2">
        <v>36.799999999999997</v>
      </c>
      <c r="J222" s="2">
        <v>7.3640000000000001E-4</v>
      </c>
      <c r="K222" s="2">
        <v>5.4640000000000005E-4</v>
      </c>
      <c r="R222" s="2">
        <v>18.98</v>
      </c>
      <c r="S222" s="2">
        <v>5.9111999999999999E-4</v>
      </c>
      <c r="T222" s="2">
        <v>1.8087999999999999E-4</v>
      </c>
      <c r="V222" s="11"/>
      <c r="W222" s="6"/>
      <c r="X222" s="6">
        <v>2.0300000000000002</v>
      </c>
      <c r="Y222" s="11" t="str">
        <f t="shared" si="48"/>
        <v/>
      </c>
      <c r="Z222" s="6" t="str">
        <f t="shared" si="49"/>
        <v/>
      </c>
      <c r="AA222" s="23">
        <f t="shared" si="50"/>
        <v>32.03</v>
      </c>
      <c r="AB222" t="str">
        <f t="shared" si="39"/>
        <v/>
      </c>
      <c r="AC222" t="str">
        <f t="shared" si="40"/>
        <v/>
      </c>
      <c r="AD222">
        <f t="shared" si="41"/>
        <v>6.0950999999999996E-4</v>
      </c>
      <c r="AE222" s="18" t="str">
        <f t="shared" si="42"/>
        <v/>
      </c>
      <c r="AF222" s="7" t="str">
        <f t="shared" si="43"/>
        <v/>
      </c>
      <c r="AG222" s="12">
        <f t="shared" si="44"/>
        <v>0.99878957444313132</v>
      </c>
      <c r="AI222" s="54" t="str">
        <f t="shared" si="45"/>
        <v/>
      </c>
      <c r="AJ222" s="54" t="str">
        <f t="shared" si="46"/>
        <v/>
      </c>
      <c r="AK222" s="54">
        <f t="shared" si="47"/>
        <v>0.10258900623767939</v>
      </c>
    </row>
    <row r="223" spans="9:37" x14ac:dyDescent="0.45">
      <c r="I223" s="2">
        <v>36.9</v>
      </c>
      <c r="J223" s="2">
        <v>7.4019999999999999E-4</v>
      </c>
      <c r="K223" s="2">
        <v>5.507E-4</v>
      </c>
      <c r="R223" s="2">
        <v>18.989999999999998</v>
      </c>
      <c r="S223" s="2">
        <v>5.9106000000000002E-4</v>
      </c>
      <c r="T223" s="2">
        <v>1.8094000000000001E-4</v>
      </c>
      <c r="V223" s="11"/>
      <c r="W223" s="6"/>
      <c r="X223" s="6">
        <v>2.04</v>
      </c>
      <c r="Y223" s="11" t="str">
        <f t="shared" si="48"/>
        <v/>
      </c>
      <c r="Z223" s="6" t="str">
        <f t="shared" si="49"/>
        <v/>
      </c>
      <c r="AA223" s="23">
        <f t="shared" si="50"/>
        <v>32.04</v>
      </c>
      <c r="AB223" t="str">
        <f t="shared" si="39"/>
        <v/>
      </c>
      <c r="AC223" t="str">
        <f t="shared" si="40"/>
        <v/>
      </c>
      <c r="AD223">
        <f t="shared" si="41"/>
        <v>6.0968000000000003E-4</v>
      </c>
      <c r="AE223" s="18" t="str">
        <f t="shared" si="42"/>
        <v/>
      </c>
      <c r="AF223" s="7" t="str">
        <f t="shared" si="43"/>
        <v/>
      </c>
      <c r="AG223" s="12">
        <f t="shared" si="44"/>
        <v>0.99878348672079609</v>
      </c>
      <c r="AI223" s="54" t="str">
        <f t="shared" si="45"/>
        <v/>
      </c>
      <c r="AJ223" s="54" t="str">
        <f t="shared" si="46"/>
        <v/>
      </c>
      <c r="AK223" s="54">
        <f t="shared" si="47"/>
        <v>0.10311546386485487</v>
      </c>
    </row>
    <row r="224" spans="9:37" x14ac:dyDescent="0.45">
      <c r="I224" s="2">
        <v>37</v>
      </c>
      <c r="J224" s="2">
        <v>7.4399999999999998E-4</v>
      </c>
      <c r="K224" s="2">
        <v>5.5500000000000005E-4</v>
      </c>
      <c r="R224" s="2">
        <v>19</v>
      </c>
      <c r="S224" s="2">
        <v>5.9100000000000005E-4</v>
      </c>
      <c r="T224" s="2">
        <v>1.8100000000000001E-4</v>
      </c>
      <c r="V224" s="11"/>
      <c r="W224" s="6"/>
      <c r="X224" s="6">
        <v>2.0499999999999998</v>
      </c>
      <c r="Y224" s="11" t="str">
        <f t="shared" si="48"/>
        <v/>
      </c>
      <c r="Z224" s="6" t="str">
        <f t="shared" si="49"/>
        <v/>
      </c>
      <c r="AA224" s="23">
        <f t="shared" si="50"/>
        <v>32.049999999999997</v>
      </c>
      <c r="AB224" t="str">
        <f t="shared" si="39"/>
        <v/>
      </c>
      <c r="AC224" t="str">
        <f t="shared" si="40"/>
        <v/>
      </c>
      <c r="AD224">
        <f t="shared" si="41"/>
        <v>6.0985E-4</v>
      </c>
      <c r="AE224" s="18" t="str">
        <f t="shared" si="42"/>
        <v/>
      </c>
      <c r="AF224" s="7" t="str">
        <f t="shared" si="43"/>
        <v/>
      </c>
      <c r="AG224" s="12">
        <f t="shared" si="44"/>
        <v>0.99877739733763427</v>
      </c>
      <c r="AI224" s="54" t="str">
        <f t="shared" si="45"/>
        <v/>
      </c>
      <c r="AJ224" s="54" t="str">
        <f t="shared" si="46"/>
        <v/>
      </c>
      <c r="AK224" s="54">
        <f t="shared" si="47"/>
        <v>0.1036421337591894</v>
      </c>
    </row>
    <row r="225" spans="9:37" x14ac:dyDescent="0.45">
      <c r="I225" s="2">
        <v>37.1</v>
      </c>
      <c r="J225" s="2">
        <v>7.4839999999999998E-4</v>
      </c>
      <c r="K225" s="2">
        <v>5.5979999999999995E-4</v>
      </c>
      <c r="R225" s="2">
        <v>19.010000000000002</v>
      </c>
      <c r="S225" s="2">
        <v>5.9093999999999998E-4</v>
      </c>
      <c r="T225" s="2">
        <v>1.8107999999999999E-4</v>
      </c>
      <c r="V225" s="11"/>
      <c r="W225" s="6"/>
      <c r="X225" s="6">
        <v>2.06</v>
      </c>
      <c r="Y225" s="11" t="str">
        <f t="shared" si="48"/>
        <v/>
      </c>
      <c r="Z225" s="6" t="str">
        <f t="shared" si="49"/>
        <v/>
      </c>
      <c r="AA225" s="23">
        <f t="shared" si="50"/>
        <v>32.06</v>
      </c>
      <c r="AB225" t="str">
        <f t="shared" si="39"/>
        <v/>
      </c>
      <c r="AC225" t="str">
        <f t="shared" si="40"/>
        <v/>
      </c>
      <c r="AD225">
        <f t="shared" si="41"/>
        <v>6.1001999999999996E-4</v>
      </c>
      <c r="AE225" s="18" t="str">
        <f t="shared" si="42"/>
        <v/>
      </c>
      <c r="AF225" s="7" t="str">
        <f t="shared" si="43"/>
        <v/>
      </c>
      <c r="AG225" s="12">
        <f t="shared" si="44"/>
        <v>0.99877130629367661</v>
      </c>
      <c r="AI225" s="54" t="str">
        <f t="shared" si="45"/>
        <v/>
      </c>
      <c r="AJ225" s="54" t="str">
        <f t="shared" si="46"/>
        <v/>
      </c>
      <c r="AK225" s="54">
        <f t="shared" si="47"/>
        <v>0.1041690160086743</v>
      </c>
    </row>
    <row r="226" spans="9:37" x14ac:dyDescent="0.45">
      <c r="I226" s="2">
        <v>37.200000000000003</v>
      </c>
      <c r="J226" s="2">
        <v>7.5279999999999998E-4</v>
      </c>
      <c r="K226" s="2">
        <v>5.6459999999999995E-4</v>
      </c>
      <c r="R226" s="2">
        <v>19.02</v>
      </c>
      <c r="S226" s="2">
        <v>5.9088000000000001E-4</v>
      </c>
      <c r="T226" s="2">
        <v>1.8116000000000001E-4</v>
      </c>
      <c r="V226" s="11"/>
      <c r="W226" s="6"/>
      <c r="X226" s="6">
        <v>2.0699999999999998</v>
      </c>
      <c r="Y226" s="11" t="str">
        <f t="shared" si="48"/>
        <v/>
      </c>
      <c r="Z226" s="6" t="str">
        <f t="shared" si="49"/>
        <v/>
      </c>
      <c r="AA226" s="23">
        <f t="shared" si="50"/>
        <v>32.07</v>
      </c>
      <c r="AB226" t="str">
        <f t="shared" si="39"/>
        <v/>
      </c>
      <c r="AC226" t="str">
        <f t="shared" si="40"/>
        <v/>
      </c>
      <c r="AD226">
        <f t="shared" si="41"/>
        <v>6.1019000000000004E-4</v>
      </c>
      <c r="AE226" s="18" t="str">
        <f t="shared" si="42"/>
        <v/>
      </c>
      <c r="AF226" s="7" t="str">
        <f t="shared" si="43"/>
        <v/>
      </c>
      <c r="AG226" s="12">
        <f t="shared" si="44"/>
        <v>0.99876521358895398</v>
      </c>
      <c r="AI226" s="54" t="str">
        <f t="shared" si="45"/>
        <v/>
      </c>
      <c r="AJ226" s="54" t="str">
        <f t="shared" si="46"/>
        <v/>
      </c>
      <c r="AK226" s="54">
        <f t="shared" si="47"/>
        <v>0.10469611070133772</v>
      </c>
    </row>
    <row r="227" spans="9:37" x14ac:dyDescent="0.45">
      <c r="I227" s="2">
        <v>37.299999999999997</v>
      </c>
      <c r="J227" s="2">
        <v>7.5719999999999997E-4</v>
      </c>
      <c r="K227" s="2">
        <v>5.6939999999999996E-4</v>
      </c>
      <c r="R227" s="2">
        <v>19.03</v>
      </c>
      <c r="S227" s="2">
        <v>5.9082000000000004E-4</v>
      </c>
      <c r="T227" s="2">
        <v>1.8123999999999999E-4</v>
      </c>
      <c r="V227" s="11"/>
      <c r="W227" s="6"/>
      <c r="X227" s="6">
        <v>2.08</v>
      </c>
      <c r="Y227" s="11" t="str">
        <f t="shared" si="48"/>
        <v/>
      </c>
      <c r="Z227" s="6" t="str">
        <f t="shared" si="49"/>
        <v/>
      </c>
      <c r="AA227" s="23">
        <f t="shared" si="50"/>
        <v>32.08</v>
      </c>
      <c r="AB227" t="str">
        <f t="shared" si="39"/>
        <v/>
      </c>
      <c r="AC227" t="str">
        <f t="shared" si="40"/>
        <v/>
      </c>
      <c r="AD227">
        <f t="shared" si="41"/>
        <v>6.1036E-4</v>
      </c>
      <c r="AE227" s="18" t="str">
        <f t="shared" si="42"/>
        <v/>
      </c>
      <c r="AF227" s="7" t="str">
        <f t="shared" si="43"/>
        <v/>
      </c>
      <c r="AG227" s="12">
        <f t="shared" si="44"/>
        <v>0.99875911922349714</v>
      </c>
      <c r="AI227" s="54" t="str">
        <f t="shared" si="45"/>
        <v/>
      </c>
      <c r="AJ227" s="54" t="str">
        <f t="shared" si="46"/>
        <v/>
      </c>
      <c r="AK227" s="54">
        <f t="shared" si="47"/>
        <v>0.10522341792524463</v>
      </c>
    </row>
    <row r="228" spans="9:37" x14ac:dyDescent="0.45">
      <c r="I228" s="2">
        <v>37.4</v>
      </c>
      <c r="J228" s="2">
        <v>7.6159999999999997E-4</v>
      </c>
      <c r="K228" s="2">
        <v>5.7419999999999997E-4</v>
      </c>
      <c r="R228" s="2">
        <v>19.04</v>
      </c>
      <c r="S228" s="2">
        <v>5.9075999999999996E-4</v>
      </c>
      <c r="T228" s="2">
        <v>1.8132000000000001E-4</v>
      </c>
      <c r="V228" s="11"/>
      <c r="W228" s="6"/>
      <c r="X228" s="6">
        <v>2.09</v>
      </c>
      <c r="Y228" s="11" t="str">
        <f t="shared" si="48"/>
        <v/>
      </c>
      <c r="Z228" s="6" t="str">
        <f t="shared" si="49"/>
        <v/>
      </c>
      <c r="AA228" s="23">
        <f t="shared" si="50"/>
        <v>32.090000000000003</v>
      </c>
      <c r="AB228" t="str">
        <f t="shared" si="39"/>
        <v/>
      </c>
      <c r="AC228" t="str">
        <f t="shared" si="40"/>
        <v/>
      </c>
      <c r="AD228">
        <f t="shared" si="41"/>
        <v>6.1052999999999997E-4</v>
      </c>
      <c r="AE228" s="18" t="str">
        <f t="shared" si="42"/>
        <v/>
      </c>
      <c r="AF228" s="7" t="str">
        <f t="shared" si="43"/>
        <v/>
      </c>
      <c r="AG228" s="12">
        <f t="shared" si="44"/>
        <v>0.99875302319733705</v>
      </c>
      <c r="AI228" s="54" t="str">
        <f t="shared" si="45"/>
        <v/>
      </c>
      <c r="AJ228" s="54" t="str">
        <f t="shared" si="46"/>
        <v/>
      </c>
      <c r="AK228" s="54">
        <f t="shared" si="47"/>
        <v>0.10575093776849687</v>
      </c>
    </row>
    <row r="229" spans="9:37" x14ac:dyDescent="0.45">
      <c r="I229" s="2">
        <v>37.5</v>
      </c>
      <c r="J229" s="2">
        <v>7.6599999999999997E-4</v>
      </c>
      <c r="K229" s="2">
        <v>5.7899999999999998E-4</v>
      </c>
      <c r="R229" s="2">
        <v>19.05</v>
      </c>
      <c r="S229" s="2">
        <v>5.9069999999999999E-4</v>
      </c>
      <c r="T229" s="2">
        <v>1.8139999999999999E-4</v>
      </c>
      <c r="V229" s="11"/>
      <c r="W229" s="6"/>
      <c r="X229" s="6">
        <v>2.1</v>
      </c>
      <c r="Y229" s="11" t="str">
        <f t="shared" si="48"/>
        <v/>
      </c>
      <c r="Z229" s="6" t="str">
        <f t="shared" si="49"/>
        <v/>
      </c>
      <c r="AA229" s="23">
        <f t="shared" si="50"/>
        <v>32.1</v>
      </c>
      <c r="AB229" t="str">
        <f t="shared" si="39"/>
        <v/>
      </c>
      <c r="AC229" t="str">
        <f t="shared" si="40"/>
        <v/>
      </c>
      <c r="AD229">
        <f t="shared" si="41"/>
        <v>6.1070000000000004E-4</v>
      </c>
      <c r="AE229" s="18" t="str">
        <f t="shared" si="42"/>
        <v/>
      </c>
      <c r="AF229" s="7" t="str">
        <f t="shared" si="43"/>
        <v/>
      </c>
      <c r="AG229" s="12">
        <f t="shared" si="44"/>
        <v>0.99874692551050448</v>
      </c>
      <c r="AI229" s="54" t="str">
        <f t="shared" si="45"/>
        <v/>
      </c>
      <c r="AJ229" s="54" t="str">
        <f t="shared" si="46"/>
        <v/>
      </c>
      <c r="AK229" s="54">
        <f t="shared" si="47"/>
        <v>0.10627867031923312</v>
      </c>
    </row>
    <row r="230" spans="9:37" x14ac:dyDescent="0.45">
      <c r="I230" s="2">
        <v>37.6</v>
      </c>
      <c r="J230" s="2">
        <v>7.7039999999999997E-4</v>
      </c>
      <c r="K230" s="2">
        <v>5.8379999999999999E-4</v>
      </c>
      <c r="R230" s="2">
        <v>19.059999999999999</v>
      </c>
      <c r="S230" s="2">
        <v>5.9064000000000002E-4</v>
      </c>
      <c r="T230" s="2">
        <v>1.8148E-4</v>
      </c>
      <c r="V230" s="11"/>
      <c r="W230" s="6"/>
      <c r="X230" s="6">
        <v>2.11</v>
      </c>
      <c r="Y230" s="11" t="str">
        <f t="shared" si="48"/>
        <v/>
      </c>
      <c r="Z230" s="6" t="str">
        <f t="shared" si="49"/>
        <v/>
      </c>
      <c r="AA230" s="23">
        <f t="shared" si="50"/>
        <v>32.11</v>
      </c>
      <c r="AB230" t="str">
        <f t="shared" si="39"/>
        <v/>
      </c>
      <c r="AC230" t="str">
        <f t="shared" si="40"/>
        <v/>
      </c>
      <c r="AD230">
        <f t="shared" si="41"/>
        <v>6.1087000000000001E-4</v>
      </c>
      <c r="AE230" s="18" t="str">
        <f t="shared" si="42"/>
        <v/>
      </c>
      <c r="AF230" s="7" t="str">
        <f t="shared" si="43"/>
        <v/>
      </c>
      <c r="AG230" s="12">
        <f t="shared" si="44"/>
        <v>0.99874082616303039</v>
      </c>
      <c r="AI230" s="54" t="str">
        <f t="shared" si="45"/>
        <v/>
      </c>
      <c r="AJ230" s="54" t="str">
        <f t="shared" si="46"/>
        <v/>
      </c>
      <c r="AK230" s="54">
        <f t="shared" si="47"/>
        <v>0.10680661566562895</v>
      </c>
    </row>
    <row r="231" spans="9:37" x14ac:dyDescent="0.45">
      <c r="I231" s="2">
        <v>37.700000000000003</v>
      </c>
      <c r="J231" s="2">
        <v>7.7479999999999997E-4</v>
      </c>
      <c r="K231" s="2">
        <v>5.886E-4</v>
      </c>
      <c r="R231" s="2">
        <v>19.07</v>
      </c>
      <c r="S231" s="2">
        <v>5.9057999999999995E-4</v>
      </c>
      <c r="T231" s="2">
        <v>1.8155999999999999E-4</v>
      </c>
      <c r="V231" s="11"/>
      <c r="W231" s="6"/>
      <c r="X231" s="6">
        <v>2.12</v>
      </c>
      <c r="Y231" s="11" t="str">
        <f t="shared" si="48"/>
        <v/>
      </c>
      <c r="Z231" s="6" t="str">
        <f t="shared" si="49"/>
        <v/>
      </c>
      <c r="AA231" s="23">
        <f t="shared" si="50"/>
        <v>32.119999999999997</v>
      </c>
      <c r="AB231" t="str">
        <f t="shared" si="39"/>
        <v/>
      </c>
      <c r="AC231" t="str">
        <f t="shared" si="40"/>
        <v/>
      </c>
      <c r="AD231">
        <f t="shared" si="41"/>
        <v>6.1103999999999998E-4</v>
      </c>
      <c r="AE231" s="18" t="str">
        <f t="shared" si="42"/>
        <v/>
      </c>
      <c r="AF231" s="7" t="str">
        <f t="shared" si="43"/>
        <v/>
      </c>
      <c r="AG231" s="12">
        <f t="shared" si="44"/>
        <v>0.99873472515494566</v>
      </c>
      <c r="AI231" s="54" t="str">
        <f t="shared" si="45"/>
        <v/>
      </c>
      <c r="AJ231" s="54" t="str">
        <f t="shared" si="46"/>
        <v/>
      </c>
      <c r="AK231" s="54">
        <f t="shared" si="47"/>
        <v>0.10733477389589681</v>
      </c>
    </row>
    <row r="232" spans="9:37" x14ac:dyDescent="0.45">
      <c r="I232" s="2">
        <v>37.799999999999997</v>
      </c>
      <c r="J232" s="2">
        <v>7.7919999999999997E-4</v>
      </c>
      <c r="K232" s="2">
        <v>5.934E-4</v>
      </c>
      <c r="R232" s="2">
        <v>19.079999999999998</v>
      </c>
      <c r="S232" s="2">
        <v>5.9051999999999998E-4</v>
      </c>
      <c r="T232" s="2">
        <v>1.8164E-4</v>
      </c>
      <c r="V232" s="11"/>
      <c r="W232" s="6"/>
      <c r="X232" s="6">
        <v>2.13</v>
      </c>
      <c r="Y232" s="11" t="str">
        <f t="shared" si="48"/>
        <v/>
      </c>
      <c r="Z232" s="6" t="str">
        <f t="shared" si="49"/>
        <v/>
      </c>
      <c r="AA232" s="23">
        <f t="shared" si="50"/>
        <v>32.130000000000003</v>
      </c>
      <c r="AB232" t="str">
        <f t="shared" si="39"/>
        <v/>
      </c>
      <c r="AC232" t="str">
        <f t="shared" si="40"/>
        <v/>
      </c>
      <c r="AD232">
        <f t="shared" si="41"/>
        <v>6.1121000000000005E-4</v>
      </c>
      <c r="AE232" s="18" t="str">
        <f t="shared" si="42"/>
        <v/>
      </c>
      <c r="AF232" s="7" t="str">
        <f t="shared" si="43"/>
        <v/>
      </c>
      <c r="AG232" s="12">
        <f t="shared" si="44"/>
        <v>0.99872862248628103</v>
      </c>
      <c r="AI232" s="54" t="str">
        <f t="shared" si="45"/>
        <v/>
      </c>
      <c r="AJ232" s="54" t="str">
        <f t="shared" si="46"/>
        <v/>
      </c>
      <c r="AK232" s="54">
        <f t="shared" si="47"/>
        <v>0.10786314509828608</v>
      </c>
    </row>
    <row r="233" spans="9:37" x14ac:dyDescent="0.45">
      <c r="I233" s="2">
        <v>37.9</v>
      </c>
      <c r="J233" s="2">
        <v>7.8359999999999996E-4</v>
      </c>
      <c r="K233" s="2">
        <v>5.9820000000000001E-4</v>
      </c>
      <c r="R233" s="2">
        <v>19.09</v>
      </c>
      <c r="S233" s="2">
        <v>5.9046000000000001E-4</v>
      </c>
      <c r="T233" s="2">
        <v>1.8171999999999999E-4</v>
      </c>
      <c r="V233" s="11"/>
      <c r="W233" s="6"/>
      <c r="X233" s="6">
        <v>2.14</v>
      </c>
      <c r="Y233" s="11" t="str">
        <f t="shared" si="48"/>
        <v/>
      </c>
      <c r="Z233" s="6" t="str">
        <f t="shared" si="49"/>
        <v/>
      </c>
      <c r="AA233" s="23">
        <f t="shared" si="50"/>
        <v>32.14</v>
      </c>
      <c r="AB233" t="str">
        <f t="shared" si="39"/>
        <v/>
      </c>
      <c r="AC233" t="str">
        <f t="shared" si="40"/>
        <v/>
      </c>
      <c r="AD233">
        <f t="shared" si="41"/>
        <v>6.1138000000000002E-4</v>
      </c>
      <c r="AE233" s="18" t="str">
        <f t="shared" si="42"/>
        <v/>
      </c>
      <c r="AF233" s="7" t="str">
        <f t="shared" si="43"/>
        <v/>
      </c>
      <c r="AG233" s="12">
        <f t="shared" si="44"/>
        <v>0.99872251815706747</v>
      </c>
      <c r="AI233" s="54" t="str">
        <f t="shared" si="45"/>
        <v/>
      </c>
      <c r="AJ233" s="54" t="str">
        <f t="shared" si="46"/>
        <v/>
      </c>
      <c r="AK233" s="54">
        <f t="shared" si="47"/>
        <v>0.10839172936108304</v>
      </c>
    </row>
    <row r="234" spans="9:37" x14ac:dyDescent="0.45">
      <c r="I234" s="2">
        <v>38</v>
      </c>
      <c r="J234" s="2">
        <v>7.8799999999999996E-4</v>
      </c>
      <c r="K234" s="2">
        <v>6.0300000000000002E-4</v>
      </c>
      <c r="R234" s="2">
        <v>19.100000000000001</v>
      </c>
      <c r="S234" s="2">
        <v>5.9040000000000004E-4</v>
      </c>
      <c r="T234" s="2">
        <v>1.818E-4</v>
      </c>
      <c r="V234" s="11"/>
      <c r="W234" s="6"/>
      <c r="X234" s="6">
        <v>2.15</v>
      </c>
      <c r="Y234" s="11" t="str">
        <f t="shared" si="48"/>
        <v/>
      </c>
      <c r="Z234" s="6" t="str">
        <f t="shared" si="49"/>
        <v/>
      </c>
      <c r="AA234" s="23">
        <f t="shared" si="50"/>
        <v>32.15</v>
      </c>
      <c r="AB234" t="str">
        <f t="shared" si="39"/>
        <v/>
      </c>
      <c r="AC234" t="str">
        <f t="shared" si="40"/>
        <v/>
      </c>
      <c r="AD234">
        <f t="shared" si="41"/>
        <v>6.1154999999999998E-4</v>
      </c>
      <c r="AE234" s="18" t="str">
        <f t="shared" si="42"/>
        <v/>
      </c>
      <c r="AF234" s="7" t="str">
        <f t="shared" si="43"/>
        <v/>
      </c>
      <c r="AG234" s="12">
        <f t="shared" si="44"/>
        <v>0.99871641216733598</v>
      </c>
      <c r="AI234" s="54" t="str">
        <f t="shared" si="45"/>
        <v/>
      </c>
      <c r="AJ234" s="54" t="str">
        <f t="shared" si="46"/>
        <v/>
      </c>
      <c r="AK234" s="54">
        <f t="shared" si="47"/>
        <v>0.10892052677261094</v>
      </c>
    </row>
    <row r="235" spans="9:37" x14ac:dyDescent="0.45">
      <c r="I235" s="2">
        <v>38.1</v>
      </c>
      <c r="J235" s="2">
        <v>7.9319999999999998E-4</v>
      </c>
      <c r="K235" s="2">
        <v>6.0829999999999999E-4</v>
      </c>
      <c r="R235" s="2">
        <v>19.11</v>
      </c>
      <c r="S235" s="2">
        <v>5.9033999999999996E-4</v>
      </c>
      <c r="T235" s="2">
        <v>1.8187999999999999E-4</v>
      </c>
      <c r="V235" s="11"/>
      <c r="W235" s="6"/>
      <c r="X235" s="6">
        <v>2.16</v>
      </c>
      <c r="Y235" s="11" t="str">
        <f t="shared" si="48"/>
        <v/>
      </c>
      <c r="Z235" s="6" t="str">
        <f t="shared" si="49"/>
        <v/>
      </c>
      <c r="AA235" s="23">
        <f t="shared" si="50"/>
        <v>32.159999999999997</v>
      </c>
      <c r="AB235" t="str">
        <f t="shared" si="39"/>
        <v/>
      </c>
      <c r="AC235" t="str">
        <f t="shared" si="40"/>
        <v/>
      </c>
      <c r="AD235">
        <f t="shared" si="41"/>
        <v>6.1171999999999995E-4</v>
      </c>
      <c r="AE235" s="18" t="str">
        <f t="shared" si="42"/>
        <v/>
      </c>
      <c r="AF235" s="7" t="str">
        <f t="shared" si="43"/>
        <v/>
      </c>
      <c r="AG235" s="12">
        <f t="shared" si="44"/>
        <v>0.9987103045171174</v>
      </c>
      <c r="AI235" s="54" t="str">
        <f t="shared" si="45"/>
        <v/>
      </c>
      <c r="AJ235" s="54" t="str">
        <f t="shared" si="46"/>
        <v/>
      </c>
      <c r="AK235" s="54">
        <f t="shared" si="47"/>
        <v>0.10944953742122995</v>
      </c>
    </row>
    <row r="236" spans="9:37" x14ac:dyDescent="0.45">
      <c r="I236" s="2">
        <v>38.200000000000003</v>
      </c>
      <c r="J236" s="2">
        <v>7.984E-4</v>
      </c>
      <c r="K236" s="2">
        <v>6.1359999999999995E-4</v>
      </c>
      <c r="R236" s="2">
        <v>19.12</v>
      </c>
      <c r="S236" s="2">
        <v>5.9027999999999999E-4</v>
      </c>
      <c r="T236" s="2">
        <v>1.8196E-4</v>
      </c>
      <c r="V236" s="11"/>
      <c r="W236" s="6"/>
      <c r="X236" s="6">
        <v>2.17</v>
      </c>
      <c r="Y236" s="11" t="str">
        <f t="shared" si="48"/>
        <v/>
      </c>
      <c r="Z236" s="6" t="str">
        <f t="shared" si="49"/>
        <v/>
      </c>
      <c r="AA236" s="23">
        <f t="shared" si="50"/>
        <v>32.17</v>
      </c>
      <c r="AB236" t="str">
        <f t="shared" si="39"/>
        <v/>
      </c>
      <c r="AC236" t="str">
        <f t="shared" si="40"/>
        <v/>
      </c>
      <c r="AD236">
        <f t="shared" si="41"/>
        <v>6.1189000000000003E-4</v>
      </c>
      <c r="AE236" s="18" t="str">
        <f t="shared" si="42"/>
        <v/>
      </c>
      <c r="AF236" s="7" t="str">
        <f t="shared" si="43"/>
        <v/>
      </c>
      <c r="AG236" s="12">
        <f t="shared" si="44"/>
        <v>0.9987041952064426</v>
      </c>
      <c r="AI236" s="54" t="str">
        <f t="shared" si="45"/>
        <v/>
      </c>
      <c r="AJ236" s="54" t="str">
        <f t="shared" si="46"/>
        <v/>
      </c>
      <c r="AK236" s="54">
        <f t="shared" si="47"/>
        <v>0.10997876139533726</v>
      </c>
    </row>
    <row r="237" spans="9:37" x14ac:dyDescent="0.45">
      <c r="I237" s="2">
        <v>38.299999999999997</v>
      </c>
      <c r="J237" s="2">
        <v>8.0360000000000002E-4</v>
      </c>
      <c r="K237" s="2">
        <v>6.1890000000000003E-4</v>
      </c>
      <c r="R237" s="2">
        <v>19.13</v>
      </c>
      <c r="S237" s="2">
        <v>5.9022000000000002E-4</v>
      </c>
      <c r="T237" s="2">
        <v>1.8204000000000001E-4</v>
      </c>
      <c r="V237" s="11"/>
      <c r="W237" s="6"/>
      <c r="X237" s="6">
        <v>2.1800000000000002</v>
      </c>
      <c r="Y237" s="11" t="str">
        <f t="shared" si="48"/>
        <v/>
      </c>
      <c r="Z237" s="6" t="str">
        <f t="shared" si="49"/>
        <v/>
      </c>
      <c r="AA237" s="23">
        <f t="shared" si="50"/>
        <v>32.18</v>
      </c>
      <c r="AB237" t="str">
        <f t="shared" si="39"/>
        <v/>
      </c>
      <c r="AC237" t="str">
        <f t="shared" si="40"/>
        <v/>
      </c>
      <c r="AD237">
        <f t="shared" si="41"/>
        <v>6.1205999999999999E-4</v>
      </c>
      <c r="AE237" s="18" t="str">
        <f t="shared" si="42"/>
        <v/>
      </c>
      <c r="AF237" s="7" t="str">
        <f t="shared" si="43"/>
        <v/>
      </c>
      <c r="AG237" s="12">
        <f t="shared" si="44"/>
        <v>0.99869808423534256</v>
      </c>
      <c r="AI237" s="54" t="str">
        <f t="shared" si="45"/>
        <v/>
      </c>
      <c r="AJ237" s="54" t="str">
        <f t="shared" si="46"/>
        <v/>
      </c>
      <c r="AK237" s="54">
        <f t="shared" si="47"/>
        <v>0.11050819878336698</v>
      </c>
    </row>
    <row r="238" spans="9:37" x14ac:dyDescent="0.45">
      <c r="I238" s="2">
        <v>38.4</v>
      </c>
      <c r="J238" s="2">
        <v>8.0880000000000004E-4</v>
      </c>
      <c r="K238" s="2">
        <v>6.2419999999999999E-4</v>
      </c>
      <c r="R238" s="2">
        <v>19.14</v>
      </c>
      <c r="S238" s="2">
        <v>5.9015999999999995E-4</v>
      </c>
      <c r="T238" s="2">
        <v>1.8212E-4</v>
      </c>
      <c r="V238" s="11"/>
      <c r="W238" s="6"/>
      <c r="X238" s="6">
        <v>2.19</v>
      </c>
      <c r="Y238" s="11" t="str">
        <f t="shared" si="48"/>
        <v/>
      </c>
      <c r="Z238" s="6" t="str">
        <f t="shared" si="49"/>
        <v/>
      </c>
      <c r="AA238" s="23">
        <f t="shared" si="50"/>
        <v>32.19</v>
      </c>
      <c r="AB238" t="str">
        <f t="shared" si="39"/>
        <v/>
      </c>
      <c r="AC238" t="str">
        <f t="shared" si="40"/>
        <v/>
      </c>
      <c r="AD238">
        <f t="shared" si="41"/>
        <v>6.1222999999999996E-4</v>
      </c>
      <c r="AE238" s="18" t="str">
        <f t="shared" si="42"/>
        <v/>
      </c>
      <c r="AF238" s="7" t="str">
        <f t="shared" si="43"/>
        <v/>
      </c>
      <c r="AG238" s="12">
        <f t="shared" si="44"/>
        <v>0.99869197160384815</v>
      </c>
      <c r="AI238" s="54" t="str">
        <f t="shared" si="45"/>
        <v/>
      </c>
      <c r="AJ238" s="54" t="str">
        <f t="shared" si="46"/>
        <v/>
      </c>
      <c r="AK238" s="54">
        <f t="shared" si="47"/>
        <v>0.1110378496737903</v>
      </c>
    </row>
    <row r="239" spans="9:37" x14ac:dyDescent="0.45">
      <c r="I239" s="2">
        <v>38.5</v>
      </c>
      <c r="J239" s="2">
        <v>8.1400000000000005E-4</v>
      </c>
      <c r="K239" s="2">
        <v>6.2949999999999996E-4</v>
      </c>
      <c r="R239" s="2">
        <v>19.149999999999999</v>
      </c>
      <c r="S239" s="2">
        <v>5.9009999999999998E-4</v>
      </c>
      <c r="T239" s="2">
        <v>1.8220000000000001E-4</v>
      </c>
      <c r="V239" s="11"/>
      <c r="W239" s="6"/>
      <c r="X239" s="6">
        <v>2.2000000000000002</v>
      </c>
      <c r="Y239" s="11" t="str">
        <f t="shared" si="48"/>
        <v/>
      </c>
      <c r="Z239" s="6" t="str">
        <f t="shared" si="49"/>
        <v/>
      </c>
      <c r="AA239" s="23">
        <f t="shared" si="50"/>
        <v>32.200000000000003</v>
      </c>
      <c r="AB239" t="str">
        <f t="shared" si="39"/>
        <v/>
      </c>
      <c r="AC239" t="str">
        <f t="shared" si="40"/>
        <v/>
      </c>
      <c r="AD239">
        <f t="shared" si="41"/>
        <v>6.1240000000000003E-4</v>
      </c>
      <c r="AE239" s="18" t="str">
        <f t="shared" si="42"/>
        <v/>
      </c>
      <c r="AF239" s="7" t="str">
        <f t="shared" si="43"/>
        <v/>
      </c>
      <c r="AG239" s="12">
        <f t="shared" si="44"/>
        <v>0.99868585731199044</v>
      </c>
      <c r="AI239" s="54" t="str">
        <f t="shared" si="45"/>
        <v/>
      </c>
      <c r="AJ239" s="54" t="str">
        <f t="shared" si="46"/>
        <v/>
      </c>
      <c r="AK239" s="54">
        <f t="shared" si="47"/>
        <v>0.11156771415511536</v>
      </c>
    </row>
    <row r="240" spans="9:37" x14ac:dyDescent="0.45">
      <c r="I240" s="2">
        <v>38.6</v>
      </c>
      <c r="J240" s="2">
        <v>8.1919999999999996E-4</v>
      </c>
      <c r="K240" s="2">
        <v>6.3480000000000003E-4</v>
      </c>
      <c r="R240" s="2">
        <v>19.16</v>
      </c>
      <c r="S240" s="2">
        <v>5.9004000000000001E-4</v>
      </c>
      <c r="T240" s="2">
        <v>1.8228E-4</v>
      </c>
      <c r="V240" s="11"/>
      <c r="W240" s="6"/>
      <c r="X240" s="6">
        <v>2.21</v>
      </c>
      <c r="Y240" s="11" t="str">
        <f t="shared" si="48"/>
        <v/>
      </c>
      <c r="Z240" s="6" t="str">
        <f t="shared" si="49"/>
        <v/>
      </c>
      <c r="AA240" s="23">
        <f t="shared" si="50"/>
        <v>32.21</v>
      </c>
      <c r="AB240" t="str">
        <f t="shared" si="39"/>
        <v/>
      </c>
      <c r="AC240" t="str">
        <f t="shared" si="40"/>
        <v/>
      </c>
      <c r="AD240">
        <f t="shared" si="41"/>
        <v>6.1257E-4</v>
      </c>
      <c r="AE240" s="18" t="str">
        <f t="shared" si="42"/>
        <v/>
      </c>
      <c r="AF240" s="7" t="str">
        <f t="shared" si="43"/>
        <v/>
      </c>
      <c r="AG240" s="12">
        <f t="shared" si="44"/>
        <v>0.99867974135980031</v>
      </c>
      <c r="AI240" s="54" t="str">
        <f t="shared" si="45"/>
        <v/>
      </c>
      <c r="AJ240" s="54" t="str">
        <f t="shared" si="46"/>
        <v/>
      </c>
      <c r="AK240" s="54">
        <f t="shared" si="47"/>
        <v>0.11209779231588739</v>
      </c>
    </row>
    <row r="241" spans="9:37" x14ac:dyDescent="0.45">
      <c r="I241" s="2">
        <v>38.700000000000003</v>
      </c>
      <c r="J241" s="2">
        <v>8.2439999999999998E-4</v>
      </c>
      <c r="K241" s="2">
        <v>6.401E-4</v>
      </c>
      <c r="R241" s="2">
        <v>19.170000000000002</v>
      </c>
      <c r="S241" s="2">
        <v>5.8998000000000004E-4</v>
      </c>
      <c r="T241" s="2">
        <v>1.8236000000000001E-4</v>
      </c>
      <c r="V241" s="11"/>
      <c r="W241" s="6"/>
      <c r="X241" s="6">
        <v>2.2200000000000002</v>
      </c>
      <c r="Y241" s="11" t="str">
        <f t="shared" si="48"/>
        <v/>
      </c>
      <c r="Z241" s="6" t="str">
        <f t="shared" si="49"/>
        <v/>
      </c>
      <c r="AA241" s="23">
        <f t="shared" si="50"/>
        <v>32.22</v>
      </c>
      <c r="AB241" t="str">
        <f t="shared" si="39"/>
        <v/>
      </c>
      <c r="AC241" t="str">
        <f t="shared" si="40"/>
        <v/>
      </c>
      <c r="AD241">
        <f t="shared" si="41"/>
        <v>6.1273999999999996E-4</v>
      </c>
      <c r="AE241" s="18" t="str">
        <f t="shared" si="42"/>
        <v/>
      </c>
      <c r="AF241" s="7" t="str">
        <f t="shared" si="43"/>
        <v/>
      </c>
      <c r="AG241" s="12">
        <f t="shared" si="44"/>
        <v>0.99867362374730861</v>
      </c>
      <c r="AI241" s="54" t="str">
        <f t="shared" si="45"/>
        <v/>
      </c>
      <c r="AJ241" s="54" t="str">
        <f t="shared" si="46"/>
        <v/>
      </c>
      <c r="AK241" s="54">
        <f t="shared" si="47"/>
        <v>0.11262808424468862</v>
      </c>
    </row>
    <row r="242" spans="9:37" x14ac:dyDescent="0.45">
      <c r="I242" s="2">
        <v>38.799999999999997</v>
      </c>
      <c r="J242" s="2">
        <v>8.296E-4</v>
      </c>
      <c r="K242" s="2">
        <v>6.4539999999999997E-4</v>
      </c>
      <c r="R242" s="2">
        <v>19.18</v>
      </c>
      <c r="S242" s="2">
        <v>5.8991999999999996E-4</v>
      </c>
      <c r="T242" s="2">
        <v>1.8243999999999999E-4</v>
      </c>
      <c r="V242" s="11"/>
      <c r="W242" s="6"/>
      <c r="X242" s="6">
        <v>2.23</v>
      </c>
      <c r="Y242" s="11" t="str">
        <f t="shared" si="48"/>
        <v/>
      </c>
      <c r="Z242" s="6" t="str">
        <f t="shared" si="49"/>
        <v/>
      </c>
      <c r="AA242" s="23">
        <f t="shared" si="50"/>
        <v>32.229999999999997</v>
      </c>
      <c r="AB242" t="str">
        <f t="shared" si="39"/>
        <v/>
      </c>
      <c r="AC242" t="str">
        <f t="shared" si="40"/>
        <v/>
      </c>
      <c r="AD242">
        <f t="shared" si="41"/>
        <v>6.1291000000000004E-4</v>
      </c>
      <c r="AE242" s="18" t="str">
        <f t="shared" si="42"/>
        <v/>
      </c>
      <c r="AF242" s="7" t="str">
        <f t="shared" si="43"/>
        <v/>
      </c>
      <c r="AG242" s="12">
        <f t="shared" si="44"/>
        <v>0.99866750447454644</v>
      </c>
      <c r="AI242" s="54" t="str">
        <f t="shared" si="45"/>
        <v/>
      </c>
      <c r="AJ242" s="54" t="str">
        <f t="shared" si="46"/>
        <v/>
      </c>
      <c r="AK242" s="54">
        <f t="shared" si="47"/>
        <v>0.1131585900301384</v>
      </c>
    </row>
    <row r="243" spans="9:37" x14ac:dyDescent="0.45">
      <c r="I243" s="2">
        <v>38.9</v>
      </c>
      <c r="J243" s="2">
        <v>8.3480000000000002E-4</v>
      </c>
      <c r="K243" s="2">
        <v>6.5070000000000004E-4</v>
      </c>
      <c r="R243" s="2">
        <v>19.190000000000001</v>
      </c>
      <c r="S243" s="2">
        <v>5.8985999999999999E-4</v>
      </c>
      <c r="T243" s="2">
        <v>1.8252000000000001E-4</v>
      </c>
      <c r="V243" s="11"/>
      <c r="W243" s="6"/>
      <c r="X243" s="6">
        <v>2.2400000000000002</v>
      </c>
      <c r="Y243" s="11" t="str">
        <f t="shared" si="48"/>
        <v/>
      </c>
      <c r="Z243" s="6" t="str">
        <f t="shared" si="49"/>
        <v/>
      </c>
      <c r="AA243" s="23">
        <f t="shared" si="50"/>
        <v>32.24</v>
      </c>
      <c r="AB243" t="str">
        <f t="shared" si="39"/>
        <v/>
      </c>
      <c r="AC243" t="str">
        <f t="shared" si="40"/>
        <v/>
      </c>
      <c r="AD243">
        <f t="shared" si="41"/>
        <v>6.1308000000000001E-4</v>
      </c>
      <c r="AE243" s="18" t="str">
        <f t="shared" si="42"/>
        <v/>
      </c>
      <c r="AF243" s="7" t="str">
        <f t="shared" si="43"/>
        <v/>
      </c>
      <c r="AG243" s="12">
        <f t="shared" si="44"/>
        <v>0.99866138354154477</v>
      </c>
      <c r="AI243" s="54" t="str">
        <f t="shared" si="45"/>
        <v/>
      </c>
      <c r="AJ243" s="54" t="str">
        <f t="shared" si="46"/>
        <v/>
      </c>
      <c r="AK243" s="54">
        <f t="shared" si="47"/>
        <v>0.1136893097608931</v>
      </c>
    </row>
    <row r="244" spans="9:37" x14ac:dyDescent="0.45">
      <c r="I244" s="2">
        <v>39</v>
      </c>
      <c r="J244" s="2">
        <v>8.4000000000000003E-4</v>
      </c>
      <c r="K244" s="2">
        <v>6.5600000000000001E-4</v>
      </c>
      <c r="R244" s="2">
        <v>19.2</v>
      </c>
      <c r="S244" s="2">
        <v>5.8980000000000002E-4</v>
      </c>
      <c r="T244" s="2">
        <v>1.8259999999999999E-4</v>
      </c>
      <c r="V244" s="11"/>
      <c r="W244" s="6"/>
      <c r="X244" s="6">
        <v>2.25</v>
      </c>
      <c r="Y244" s="11" t="str">
        <f t="shared" si="48"/>
        <v/>
      </c>
      <c r="Z244" s="6" t="str">
        <f t="shared" si="49"/>
        <v/>
      </c>
      <c r="AA244" s="23">
        <f t="shared" si="50"/>
        <v>32.25</v>
      </c>
      <c r="AB244" t="str">
        <f t="shared" si="39"/>
        <v/>
      </c>
      <c r="AC244" t="str">
        <f t="shared" si="40"/>
        <v/>
      </c>
      <c r="AD244">
        <f t="shared" si="41"/>
        <v>6.1324999999999997E-4</v>
      </c>
      <c r="AE244" s="18" t="str">
        <f t="shared" si="42"/>
        <v/>
      </c>
      <c r="AF244" s="7" t="str">
        <f t="shared" si="43"/>
        <v/>
      </c>
      <c r="AG244" s="12">
        <f t="shared" si="44"/>
        <v>0.99865526094833457</v>
      </c>
      <c r="AI244" s="54" t="str">
        <f t="shared" si="45"/>
        <v/>
      </c>
      <c r="AJ244" s="54" t="str">
        <f t="shared" si="46"/>
        <v/>
      </c>
      <c r="AK244" s="54">
        <f t="shared" si="47"/>
        <v>0.11422024352564623</v>
      </c>
    </row>
    <row r="245" spans="9:37" x14ac:dyDescent="0.45">
      <c r="I245" s="2">
        <v>39.1</v>
      </c>
      <c r="J245" s="2">
        <v>8.4619999999999997E-4</v>
      </c>
      <c r="K245" s="2">
        <v>6.6189999999999999E-4</v>
      </c>
      <c r="R245" s="2">
        <v>19.21</v>
      </c>
      <c r="S245" s="2">
        <v>5.8973999999999995E-4</v>
      </c>
      <c r="T245" s="2">
        <v>1.8268000000000001E-4</v>
      </c>
      <c r="V245" s="11"/>
      <c r="W245" s="6"/>
      <c r="X245" s="6">
        <v>2.2600000000000002</v>
      </c>
      <c r="Y245" s="11" t="str">
        <f t="shared" si="48"/>
        <v/>
      </c>
      <c r="Z245" s="6" t="str">
        <f t="shared" si="49"/>
        <v/>
      </c>
      <c r="AA245" s="23">
        <f t="shared" si="50"/>
        <v>32.26</v>
      </c>
      <c r="AB245" t="str">
        <f t="shared" si="39"/>
        <v/>
      </c>
      <c r="AC245" t="str">
        <f t="shared" si="40"/>
        <v/>
      </c>
      <c r="AD245">
        <f t="shared" si="41"/>
        <v>6.1342000000000005E-4</v>
      </c>
      <c r="AE245" s="18" t="str">
        <f t="shared" si="42"/>
        <v/>
      </c>
      <c r="AF245" s="7" t="str">
        <f t="shared" si="43"/>
        <v/>
      </c>
      <c r="AG245" s="12">
        <f t="shared" si="44"/>
        <v>0.99864913669494682</v>
      </c>
      <c r="AI245" s="54" t="str">
        <f t="shared" si="45"/>
        <v/>
      </c>
      <c r="AJ245" s="54" t="str">
        <f t="shared" si="46"/>
        <v/>
      </c>
      <c r="AK245" s="54">
        <f t="shared" si="47"/>
        <v>0.11475139141312841</v>
      </c>
    </row>
    <row r="246" spans="9:37" x14ac:dyDescent="0.45">
      <c r="I246" s="2">
        <v>39.200000000000003</v>
      </c>
      <c r="J246" s="2">
        <v>8.5240000000000001E-4</v>
      </c>
      <c r="K246" s="2">
        <v>6.6779999999999997E-4</v>
      </c>
      <c r="R246" s="2">
        <v>19.22</v>
      </c>
      <c r="S246" s="2">
        <v>5.8967999999999998E-4</v>
      </c>
      <c r="T246" s="2">
        <v>1.8275999999999999E-4</v>
      </c>
      <c r="V246" s="11"/>
      <c r="W246" s="6"/>
      <c r="X246" s="6">
        <v>2.27</v>
      </c>
      <c r="Y246" s="11" t="str">
        <f t="shared" si="48"/>
        <v/>
      </c>
      <c r="Z246" s="6" t="str">
        <f t="shared" si="49"/>
        <v/>
      </c>
      <c r="AA246" s="23">
        <f t="shared" si="50"/>
        <v>32.270000000000003</v>
      </c>
      <c r="AB246" t="str">
        <f t="shared" si="39"/>
        <v/>
      </c>
      <c r="AC246" t="str">
        <f t="shared" si="40"/>
        <v/>
      </c>
      <c r="AD246">
        <f t="shared" si="41"/>
        <v>6.1359000000000001E-4</v>
      </c>
      <c r="AE246" s="18" t="str">
        <f t="shared" si="42"/>
        <v/>
      </c>
      <c r="AF246" s="7" t="str">
        <f t="shared" si="43"/>
        <v/>
      </c>
      <c r="AG246" s="12">
        <f t="shared" si="44"/>
        <v>0.99864301078141249</v>
      </c>
      <c r="AI246" s="54" t="str">
        <f t="shared" si="45"/>
        <v/>
      </c>
      <c r="AJ246" s="54" t="str">
        <f t="shared" si="46"/>
        <v/>
      </c>
      <c r="AK246" s="54">
        <f t="shared" si="47"/>
        <v>0.11528275351210737</v>
      </c>
    </row>
    <row r="247" spans="9:37" x14ac:dyDescent="0.45">
      <c r="I247" s="2">
        <v>39.299999999999997</v>
      </c>
      <c r="J247" s="2">
        <v>8.5860000000000005E-4</v>
      </c>
      <c r="K247" s="2">
        <v>6.7369999999999995E-4</v>
      </c>
      <c r="R247" s="2">
        <v>19.23</v>
      </c>
      <c r="S247" s="2">
        <v>5.8962000000000001E-4</v>
      </c>
      <c r="T247" s="2">
        <v>1.8284E-4</v>
      </c>
      <c r="V247" s="11"/>
      <c r="W247" s="6"/>
      <c r="X247" s="6">
        <v>2.2800000000000002</v>
      </c>
      <c r="Y247" s="11" t="str">
        <f t="shared" si="48"/>
        <v/>
      </c>
      <c r="Z247" s="6" t="str">
        <f t="shared" si="49"/>
        <v/>
      </c>
      <c r="AA247" s="23">
        <f t="shared" si="50"/>
        <v>32.28</v>
      </c>
      <c r="AB247" t="str">
        <f t="shared" si="39"/>
        <v/>
      </c>
      <c r="AC247" t="str">
        <f t="shared" si="40"/>
        <v/>
      </c>
      <c r="AD247">
        <f t="shared" si="41"/>
        <v>6.1375999999999998E-4</v>
      </c>
      <c r="AE247" s="18" t="str">
        <f t="shared" si="42"/>
        <v/>
      </c>
      <c r="AF247" s="7" t="str">
        <f t="shared" si="43"/>
        <v/>
      </c>
      <c r="AG247" s="12">
        <f t="shared" si="44"/>
        <v>0.99863688320776267</v>
      </c>
      <c r="AI247" s="54" t="str">
        <f t="shared" si="45"/>
        <v/>
      </c>
      <c r="AJ247" s="54" t="str">
        <f t="shared" si="46"/>
        <v/>
      </c>
      <c r="AK247" s="54">
        <f t="shared" si="47"/>
        <v>0.11581432991138799</v>
      </c>
    </row>
    <row r="248" spans="9:37" x14ac:dyDescent="0.45">
      <c r="I248" s="2">
        <v>39.4</v>
      </c>
      <c r="J248" s="2">
        <v>8.6479999999999999E-4</v>
      </c>
      <c r="K248" s="2">
        <v>6.7960000000000004E-4</v>
      </c>
      <c r="R248" s="2">
        <v>19.239999999999998</v>
      </c>
      <c r="S248" s="2">
        <v>5.8956000000000004E-4</v>
      </c>
      <c r="T248" s="2">
        <v>1.8291999999999999E-4</v>
      </c>
      <c r="V248" s="11"/>
      <c r="W248" s="6"/>
      <c r="X248" s="6">
        <v>2.29</v>
      </c>
      <c r="Y248" s="11" t="str">
        <f t="shared" si="48"/>
        <v/>
      </c>
      <c r="Z248" s="6" t="str">
        <f t="shared" si="49"/>
        <v/>
      </c>
      <c r="AA248" s="23">
        <f t="shared" si="50"/>
        <v>32.29</v>
      </c>
      <c r="AB248" t="str">
        <f t="shared" si="39"/>
        <v/>
      </c>
      <c r="AC248" t="str">
        <f t="shared" si="40"/>
        <v/>
      </c>
      <c r="AD248">
        <f t="shared" si="41"/>
        <v>6.1393000000000005E-4</v>
      </c>
      <c r="AE248" s="18" t="str">
        <f t="shared" si="42"/>
        <v/>
      </c>
      <c r="AF248" s="7" t="str">
        <f t="shared" si="43"/>
        <v/>
      </c>
      <c r="AG248" s="12">
        <f t="shared" si="44"/>
        <v>0.99863075397402834</v>
      </c>
      <c r="AI248" s="54" t="str">
        <f t="shared" si="45"/>
        <v/>
      </c>
      <c r="AJ248" s="54" t="str">
        <f t="shared" si="46"/>
        <v/>
      </c>
      <c r="AK248" s="54">
        <f t="shared" si="47"/>
        <v>0.1163461206998123</v>
      </c>
    </row>
    <row r="249" spans="9:37" x14ac:dyDescent="0.45">
      <c r="I249" s="2">
        <v>39.5</v>
      </c>
      <c r="J249" s="2">
        <v>8.7100000000000003E-4</v>
      </c>
      <c r="K249" s="2">
        <v>6.8550000000000002E-4</v>
      </c>
      <c r="R249" s="2">
        <v>19.25</v>
      </c>
      <c r="S249" s="2">
        <v>5.8949999999999996E-4</v>
      </c>
      <c r="T249" s="2">
        <v>1.83E-4</v>
      </c>
      <c r="V249" s="11"/>
      <c r="W249" s="6"/>
      <c r="X249" s="6">
        <v>2.3000000000000003</v>
      </c>
      <c r="Y249" s="11" t="str">
        <f t="shared" si="48"/>
        <v/>
      </c>
      <c r="Z249" s="6" t="str">
        <f t="shared" si="49"/>
        <v/>
      </c>
      <c r="AA249" s="23">
        <f t="shared" si="50"/>
        <v>32.299999999999997</v>
      </c>
      <c r="AB249" t="str">
        <f t="shared" si="39"/>
        <v/>
      </c>
      <c r="AC249" t="str">
        <f t="shared" si="40"/>
        <v/>
      </c>
      <c r="AD249">
        <f t="shared" si="41"/>
        <v>6.1410000000000002E-4</v>
      </c>
      <c r="AE249" s="18" t="str">
        <f t="shared" si="42"/>
        <v/>
      </c>
      <c r="AF249" s="7" t="str">
        <f t="shared" si="43"/>
        <v/>
      </c>
      <c r="AG249" s="12">
        <f t="shared" si="44"/>
        <v>0.99862462308024047</v>
      </c>
      <c r="AI249" s="54" t="str">
        <f t="shared" si="45"/>
        <v/>
      </c>
      <c r="AJ249" s="54" t="str">
        <f t="shared" si="46"/>
        <v/>
      </c>
      <c r="AK249" s="54">
        <f t="shared" si="47"/>
        <v>0.11687812596625953</v>
      </c>
    </row>
    <row r="250" spans="9:37" x14ac:dyDescent="0.45">
      <c r="I250" s="2">
        <v>39.6</v>
      </c>
      <c r="J250" s="2">
        <v>8.7719999999999996E-4</v>
      </c>
      <c r="K250" s="2">
        <v>6.914E-4</v>
      </c>
      <c r="R250" s="2">
        <v>19.260000000000002</v>
      </c>
      <c r="S250" s="2">
        <v>5.8943999999999999E-4</v>
      </c>
      <c r="T250" s="2">
        <v>1.8307999999999999E-4</v>
      </c>
      <c r="V250" s="11"/>
      <c r="W250" s="6"/>
      <c r="X250" s="6">
        <v>2.31</v>
      </c>
      <c r="Y250" s="11" t="str">
        <f t="shared" si="48"/>
        <v/>
      </c>
      <c r="Z250" s="6" t="str">
        <f t="shared" si="49"/>
        <v/>
      </c>
      <c r="AA250" s="23">
        <f t="shared" si="50"/>
        <v>32.31</v>
      </c>
      <c r="AB250" t="str">
        <f t="shared" si="39"/>
        <v/>
      </c>
      <c r="AC250" t="str">
        <f t="shared" si="40"/>
        <v/>
      </c>
      <c r="AD250">
        <f t="shared" si="41"/>
        <v>6.1426999999999999E-4</v>
      </c>
      <c r="AE250" s="18" t="str">
        <f t="shared" si="42"/>
        <v/>
      </c>
      <c r="AF250" s="7" t="str">
        <f t="shared" si="43"/>
        <v/>
      </c>
      <c r="AG250" s="12">
        <f t="shared" si="44"/>
        <v>0.99861849052643015</v>
      </c>
      <c r="AI250" s="54" t="str">
        <f t="shared" si="45"/>
        <v/>
      </c>
      <c r="AJ250" s="54" t="str">
        <f t="shared" si="46"/>
        <v/>
      </c>
      <c r="AK250" s="54">
        <f t="shared" si="47"/>
        <v>0.11741034579964608</v>
      </c>
    </row>
    <row r="251" spans="9:37" x14ac:dyDescent="0.45">
      <c r="I251" s="2">
        <v>39.700000000000003</v>
      </c>
      <c r="J251" s="2">
        <v>8.8340000000000001E-4</v>
      </c>
      <c r="K251" s="2">
        <v>6.9729999999999998E-4</v>
      </c>
      <c r="R251" s="2">
        <v>19.27</v>
      </c>
      <c r="S251" s="2">
        <v>5.8938000000000003E-4</v>
      </c>
      <c r="T251" s="2">
        <v>1.8316E-4</v>
      </c>
      <c r="V251" s="11"/>
      <c r="W251" s="6"/>
      <c r="X251" s="6">
        <v>2.3199999999999998</v>
      </c>
      <c r="Y251" s="11" t="str">
        <f t="shared" si="48"/>
        <v/>
      </c>
      <c r="Z251" s="6" t="str">
        <f t="shared" si="49"/>
        <v/>
      </c>
      <c r="AA251" s="23">
        <f t="shared" si="50"/>
        <v>32.32</v>
      </c>
      <c r="AB251" t="str">
        <f t="shared" si="39"/>
        <v/>
      </c>
      <c r="AC251" t="str">
        <f t="shared" si="40"/>
        <v/>
      </c>
      <c r="AD251">
        <f t="shared" si="41"/>
        <v>6.1443999999999995E-4</v>
      </c>
      <c r="AE251" s="18" t="str">
        <f t="shared" si="42"/>
        <v/>
      </c>
      <c r="AF251" s="7" t="str">
        <f t="shared" si="43"/>
        <v/>
      </c>
      <c r="AG251" s="12">
        <f t="shared" si="44"/>
        <v>0.99861235631262835</v>
      </c>
      <c r="AI251" s="54" t="str">
        <f t="shared" si="45"/>
        <v/>
      </c>
      <c r="AJ251" s="54" t="str">
        <f t="shared" si="46"/>
        <v/>
      </c>
      <c r="AK251" s="54">
        <f t="shared" si="47"/>
        <v>0.11794278028892557</v>
      </c>
    </row>
    <row r="252" spans="9:37" x14ac:dyDescent="0.45">
      <c r="I252" s="2">
        <v>39.799999999999997</v>
      </c>
      <c r="J252" s="2">
        <v>8.8960000000000005E-4</v>
      </c>
      <c r="K252" s="2">
        <v>7.0319999999999996E-4</v>
      </c>
      <c r="R252" s="2">
        <v>19.28</v>
      </c>
      <c r="S252" s="2">
        <v>5.8931999999999995E-4</v>
      </c>
      <c r="T252" s="2">
        <v>1.8323999999999999E-4</v>
      </c>
      <c r="V252" s="11"/>
      <c r="W252" s="6"/>
      <c r="X252" s="6">
        <v>2.33</v>
      </c>
      <c r="Y252" s="11" t="str">
        <f t="shared" si="48"/>
        <v/>
      </c>
      <c r="Z252" s="6" t="str">
        <f t="shared" si="49"/>
        <v/>
      </c>
      <c r="AA252" s="23">
        <f t="shared" si="50"/>
        <v>32.33</v>
      </c>
      <c r="AB252" t="str">
        <f t="shared" si="39"/>
        <v/>
      </c>
      <c r="AC252" t="str">
        <f t="shared" si="40"/>
        <v/>
      </c>
      <c r="AD252">
        <f t="shared" si="41"/>
        <v>6.1461000000000003E-4</v>
      </c>
      <c r="AE252" s="18" t="str">
        <f t="shared" si="42"/>
        <v/>
      </c>
      <c r="AF252" s="7" t="str">
        <f t="shared" si="43"/>
        <v/>
      </c>
      <c r="AG252" s="12">
        <f t="shared" si="44"/>
        <v>0.99860622043886627</v>
      </c>
      <c r="AI252" s="54" t="str">
        <f t="shared" si="45"/>
        <v/>
      </c>
      <c r="AJ252" s="54" t="str">
        <f t="shared" si="46"/>
        <v/>
      </c>
      <c r="AK252" s="54">
        <f t="shared" si="47"/>
        <v>0.11847542952308884</v>
      </c>
    </row>
    <row r="253" spans="9:37" x14ac:dyDescent="0.45">
      <c r="I253" s="2">
        <v>39.9</v>
      </c>
      <c r="J253" s="2">
        <v>8.9579999999999998E-4</v>
      </c>
      <c r="K253" s="2">
        <v>7.0910000000000005E-4</v>
      </c>
      <c r="R253" s="2">
        <v>19.29</v>
      </c>
      <c r="S253" s="2">
        <v>5.8925999999999998E-4</v>
      </c>
      <c r="T253" s="2">
        <v>1.8332E-4</v>
      </c>
      <c r="V253" s="11"/>
      <c r="W253" s="6"/>
      <c r="X253" s="6">
        <v>2.34</v>
      </c>
      <c r="Y253" s="11" t="str">
        <f t="shared" si="48"/>
        <v/>
      </c>
      <c r="Z253" s="6" t="str">
        <f t="shared" si="49"/>
        <v/>
      </c>
      <c r="AA253" s="23">
        <f t="shared" si="50"/>
        <v>32.340000000000003</v>
      </c>
      <c r="AB253" t="str">
        <f t="shared" si="39"/>
        <v/>
      </c>
      <c r="AC253" t="str">
        <f t="shared" si="40"/>
        <v/>
      </c>
      <c r="AD253">
        <f t="shared" si="41"/>
        <v>6.1477999999999999E-4</v>
      </c>
      <c r="AE253" s="18" t="str">
        <f t="shared" si="42"/>
        <v/>
      </c>
      <c r="AF253" s="7" t="str">
        <f t="shared" si="43"/>
        <v/>
      </c>
      <c r="AG253" s="12">
        <f t="shared" si="44"/>
        <v>0.99860008290517488</v>
      </c>
      <c r="AI253" s="54" t="str">
        <f t="shared" si="45"/>
        <v/>
      </c>
      <c r="AJ253" s="54" t="str">
        <f t="shared" si="46"/>
        <v/>
      </c>
      <c r="AK253" s="54">
        <f t="shared" si="47"/>
        <v>0.11900829359116397</v>
      </c>
    </row>
    <row r="254" spans="9:37" x14ac:dyDescent="0.45">
      <c r="I254" s="2">
        <v>40</v>
      </c>
      <c r="J254" s="2">
        <v>9.0200000000000002E-4</v>
      </c>
      <c r="K254" s="2">
        <v>7.1500000000000003E-4</v>
      </c>
      <c r="R254" s="2">
        <v>19.3</v>
      </c>
      <c r="S254" s="2">
        <v>5.8920000000000001E-4</v>
      </c>
      <c r="T254" s="2">
        <v>1.8340000000000001E-4</v>
      </c>
      <c r="V254" s="11"/>
      <c r="W254" s="6"/>
      <c r="X254" s="6">
        <v>2.35</v>
      </c>
      <c r="Y254" s="11" t="str">
        <f t="shared" si="48"/>
        <v/>
      </c>
      <c r="Z254" s="6" t="str">
        <f t="shared" si="49"/>
        <v/>
      </c>
      <c r="AA254" s="23">
        <f t="shared" si="50"/>
        <v>32.35</v>
      </c>
      <c r="AB254" t="str">
        <f t="shared" si="39"/>
        <v/>
      </c>
      <c r="AC254" t="str">
        <f t="shared" si="40"/>
        <v/>
      </c>
      <c r="AD254">
        <f t="shared" si="41"/>
        <v>6.1494999999999996E-4</v>
      </c>
      <c r="AE254" s="18" t="str">
        <f t="shared" si="42"/>
        <v/>
      </c>
      <c r="AF254" s="7" t="str">
        <f t="shared" si="43"/>
        <v/>
      </c>
      <c r="AG254" s="12">
        <f t="shared" si="44"/>
        <v>0.99859394371158516</v>
      </c>
      <c r="AI254" s="54" t="str">
        <f t="shared" si="45"/>
        <v/>
      </c>
      <c r="AJ254" s="54" t="str">
        <f t="shared" si="46"/>
        <v/>
      </c>
      <c r="AK254" s="54">
        <f t="shared" si="47"/>
        <v>0.11954137258221627</v>
      </c>
    </row>
    <row r="255" spans="9:37" x14ac:dyDescent="0.45">
      <c r="I255" s="2">
        <v>40.1</v>
      </c>
      <c r="J255" s="2">
        <v>9.0919999999999998E-4</v>
      </c>
      <c r="K255" s="2">
        <v>7.2159999999999998E-4</v>
      </c>
      <c r="R255" s="2">
        <v>19.309999999999999</v>
      </c>
      <c r="S255" s="2">
        <v>5.8914000000000004E-4</v>
      </c>
      <c r="T255" s="2">
        <v>1.8348E-4</v>
      </c>
      <c r="V255" s="11"/>
      <c r="W255" s="6"/>
      <c r="X255" s="6">
        <v>2.36</v>
      </c>
      <c r="Y255" s="11" t="str">
        <f t="shared" si="48"/>
        <v/>
      </c>
      <c r="Z255" s="6" t="str">
        <f t="shared" si="49"/>
        <v/>
      </c>
      <c r="AA255" s="23">
        <f t="shared" si="50"/>
        <v>32.36</v>
      </c>
      <c r="AB255" t="str">
        <f t="shared" si="39"/>
        <v/>
      </c>
      <c r="AC255" t="str">
        <f t="shared" si="40"/>
        <v/>
      </c>
      <c r="AD255">
        <f t="shared" si="41"/>
        <v>6.1512000000000003E-4</v>
      </c>
      <c r="AE255" s="18" t="str">
        <f t="shared" si="42"/>
        <v/>
      </c>
      <c r="AF255" s="7" t="str">
        <f t="shared" si="43"/>
        <v/>
      </c>
      <c r="AG255" s="12">
        <f t="shared" si="44"/>
        <v>0.99858780285812832</v>
      </c>
      <c r="AI255" s="54" t="str">
        <f t="shared" si="45"/>
        <v/>
      </c>
      <c r="AJ255" s="54" t="str">
        <f t="shared" si="46"/>
        <v/>
      </c>
      <c r="AK255" s="54">
        <f t="shared" si="47"/>
        <v>0.12007466658534835</v>
      </c>
    </row>
    <row r="256" spans="9:37" x14ac:dyDescent="0.45">
      <c r="I256" s="2">
        <v>40.200000000000003</v>
      </c>
      <c r="J256" s="2">
        <v>9.1640000000000005E-4</v>
      </c>
      <c r="K256" s="2">
        <v>7.2820000000000003E-4</v>
      </c>
      <c r="R256" s="2">
        <v>19.32</v>
      </c>
      <c r="S256" s="2">
        <v>5.8907999999999996E-4</v>
      </c>
      <c r="T256" s="2">
        <v>1.8356000000000001E-4</v>
      </c>
      <c r="V256" s="11"/>
      <c r="W256" s="6"/>
      <c r="X256" s="6">
        <v>2.37</v>
      </c>
      <c r="Y256" s="11" t="str">
        <f t="shared" si="48"/>
        <v/>
      </c>
      <c r="Z256" s="6" t="str">
        <f t="shared" si="49"/>
        <v/>
      </c>
      <c r="AA256" s="23">
        <f t="shared" si="50"/>
        <v>32.369999999999997</v>
      </c>
      <c r="AB256" t="str">
        <f t="shared" si="39"/>
        <v/>
      </c>
      <c r="AC256" t="str">
        <f t="shared" si="40"/>
        <v/>
      </c>
      <c r="AD256">
        <f t="shared" si="41"/>
        <v>6.1529E-4</v>
      </c>
      <c r="AE256" s="18" t="str">
        <f t="shared" si="42"/>
        <v/>
      </c>
      <c r="AF256" s="7" t="str">
        <f t="shared" si="43"/>
        <v/>
      </c>
      <c r="AG256" s="12">
        <f t="shared" si="44"/>
        <v>0.99858166034483542</v>
      </c>
      <c r="AI256" s="54" t="str">
        <f t="shared" si="45"/>
        <v/>
      </c>
      <c r="AJ256" s="54" t="str">
        <f t="shared" si="46"/>
        <v/>
      </c>
      <c r="AK256" s="54">
        <f t="shared" si="47"/>
        <v>0.12060817568970009</v>
      </c>
    </row>
    <row r="257" spans="9:37" x14ac:dyDescent="0.45">
      <c r="I257" s="2">
        <v>40.299999999999997</v>
      </c>
      <c r="J257" s="2">
        <v>9.2360000000000001E-4</v>
      </c>
      <c r="K257" s="2">
        <v>7.3479999999999997E-4</v>
      </c>
      <c r="R257" s="2">
        <v>19.329999999999998</v>
      </c>
      <c r="S257" s="2">
        <v>5.8901999999999999E-4</v>
      </c>
      <c r="T257" s="2">
        <v>1.8364E-4</v>
      </c>
      <c r="V257" s="11"/>
      <c r="W257" s="6"/>
      <c r="X257" s="6">
        <v>2.38</v>
      </c>
      <c r="Y257" s="11" t="str">
        <f t="shared" si="48"/>
        <v/>
      </c>
      <c r="Z257" s="6" t="str">
        <f t="shared" si="49"/>
        <v/>
      </c>
      <c r="AA257" s="23">
        <f t="shared" si="50"/>
        <v>32.380000000000003</v>
      </c>
      <c r="AB257" t="str">
        <f t="shared" si="39"/>
        <v/>
      </c>
      <c r="AC257" t="str">
        <f t="shared" si="40"/>
        <v/>
      </c>
      <c r="AD257">
        <f t="shared" si="41"/>
        <v>6.1545999999999997E-4</v>
      </c>
      <c r="AE257" s="18" t="str">
        <f t="shared" si="42"/>
        <v/>
      </c>
      <c r="AF257" s="7" t="str">
        <f t="shared" si="43"/>
        <v/>
      </c>
      <c r="AG257" s="12">
        <f t="shared" si="44"/>
        <v>0.99857551617173745</v>
      </c>
      <c r="AI257" s="54" t="str">
        <f t="shared" si="45"/>
        <v/>
      </c>
      <c r="AJ257" s="54" t="str">
        <f t="shared" si="46"/>
        <v/>
      </c>
      <c r="AK257" s="54">
        <f t="shared" si="47"/>
        <v>0.12114189998444866</v>
      </c>
    </row>
    <row r="258" spans="9:37" x14ac:dyDescent="0.45">
      <c r="I258" s="2">
        <v>40.4</v>
      </c>
      <c r="J258" s="2">
        <v>9.3079999999999997E-4</v>
      </c>
      <c r="K258" s="2">
        <v>7.4140000000000002E-4</v>
      </c>
      <c r="R258" s="2">
        <v>19.34</v>
      </c>
      <c r="S258" s="2">
        <v>5.8896000000000003E-4</v>
      </c>
      <c r="T258" s="2">
        <v>1.8372000000000001E-4</v>
      </c>
      <c r="V258" s="11"/>
      <c r="W258" s="6"/>
      <c r="X258" s="6">
        <v>2.39</v>
      </c>
      <c r="Y258" s="11" t="str">
        <f t="shared" si="48"/>
        <v/>
      </c>
      <c r="Z258" s="6" t="str">
        <f t="shared" si="49"/>
        <v/>
      </c>
      <c r="AA258" s="23">
        <f t="shared" si="50"/>
        <v>32.39</v>
      </c>
      <c r="AB258" t="str">
        <f t="shared" si="39"/>
        <v/>
      </c>
      <c r="AC258" t="str">
        <f t="shared" si="40"/>
        <v/>
      </c>
      <c r="AD258">
        <f t="shared" si="41"/>
        <v>6.1563000000000004E-4</v>
      </c>
      <c r="AE258" s="18" t="str">
        <f t="shared" si="42"/>
        <v/>
      </c>
      <c r="AF258" s="7" t="str">
        <f t="shared" si="43"/>
        <v/>
      </c>
      <c r="AG258" s="12">
        <f t="shared" si="44"/>
        <v>0.99856937033886561</v>
      </c>
      <c r="AI258" s="54" t="str">
        <f t="shared" si="45"/>
        <v/>
      </c>
      <c r="AJ258" s="54" t="str">
        <f t="shared" si="46"/>
        <v/>
      </c>
      <c r="AK258" s="54">
        <f t="shared" si="47"/>
        <v>0.12167583955880858</v>
      </c>
    </row>
    <row r="259" spans="9:37" x14ac:dyDescent="0.45">
      <c r="I259" s="2">
        <v>40.5</v>
      </c>
      <c r="J259" s="2">
        <v>9.3800000000000003E-4</v>
      </c>
      <c r="K259" s="2">
        <v>7.4799999999999997E-4</v>
      </c>
      <c r="R259" s="2">
        <v>19.350000000000001</v>
      </c>
      <c r="S259" s="2">
        <v>5.8889999999999995E-4</v>
      </c>
      <c r="T259" s="2">
        <v>1.838E-4</v>
      </c>
      <c r="V259" s="11"/>
      <c r="W259" s="6"/>
      <c r="X259" s="6">
        <v>2.4</v>
      </c>
      <c r="Y259" s="11" t="str">
        <f t="shared" si="48"/>
        <v/>
      </c>
      <c r="Z259" s="6" t="str">
        <f t="shared" si="49"/>
        <v/>
      </c>
      <c r="AA259" s="23">
        <f t="shared" si="50"/>
        <v>32.4</v>
      </c>
      <c r="AB259" t="str">
        <f t="shared" si="39"/>
        <v/>
      </c>
      <c r="AC259" t="str">
        <f t="shared" si="40"/>
        <v/>
      </c>
      <c r="AD259">
        <f t="shared" si="41"/>
        <v>6.1580000000000001E-4</v>
      </c>
      <c r="AE259" s="18" t="str">
        <f t="shared" si="42"/>
        <v/>
      </c>
      <c r="AF259" s="7" t="str">
        <f t="shared" si="43"/>
        <v/>
      </c>
      <c r="AG259" s="12">
        <f t="shared" si="44"/>
        <v>0.99856322284625099</v>
      </c>
      <c r="AI259" s="54" t="str">
        <f t="shared" si="45"/>
        <v/>
      </c>
      <c r="AJ259" s="54" t="str">
        <f t="shared" si="46"/>
        <v/>
      </c>
      <c r="AK259" s="54">
        <f t="shared" si="47"/>
        <v>0.12220999450203167</v>
      </c>
    </row>
    <row r="260" spans="9:37" x14ac:dyDescent="0.45">
      <c r="I260" s="2">
        <v>40.6</v>
      </c>
      <c r="J260" s="2">
        <v>9.4519999999999999E-4</v>
      </c>
      <c r="K260" s="2">
        <v>7.5460000000000002E-4</v>
      </c>
      <c r="R260" s="2">
        <v>19.36</v>
      </c>
      <c r="S260" s="2">
        <v>5.8883999999999998E-4</v>
      </c>
      <c r="T260" s="2">
        <v>1.8388000000000001E-4</v>
      </c>
      <c r="V260" s="11"/>
      <c r="W260" s="6"/>
      <c r="X260" s="6">
        <v>2.41</v>
      </c>
      <c r="Y260" s="11" t="str">
        <f t="shared" si="48"/>
        <v/>
      </c>
      <c r="Z260" s="6" t="str">
        <f t="shared" si="49"/>
        <v/>
      </c>
      <c r="AA260" s="23">
        <f t="shared" si="50"/>
        <v>32.409999999999997</v>
      </c>
      <c r="AB260" t="str">
        <f t="shared" si="39"/>
        <v/>
      </c>
      <c r="AC260" t="str">
        <f t="shared" si="40"/>
        <v/>
      </c>
      <c r="AD260">
        <f t="shared" si="41"/>
        <v>6.1596999999999997E-4</v>
      </c>
      <c r="AE260" s="18" t="str">
        <f t="shared" si="42"/>
        <v/>
      </c>
      <c r="AF260" s="7" t="str">
        <f t="shared" si="43"/>
        <v/>
      </c>
      <c r="AG260" s="12">
        <f t="shared" si="44"/>
        <v>0.99855707369392466</v>
      </c>
      <c r="AI260" s="54" t="str">
        <f t="shared" si="45"/>
        <v/>
      </c>
      <c r="AJ260" s="54" t="str">
        <f t="shared" si="46"/>
        <v/>
      </c>
      <c r="AK260" s="54">
        <f t="shared" si="47"/>
        <v>0.12274436490340712</v>
      </c>
    </row>
    <row r="261" spans="9:37" x14ac:dyDescent="0.45">
      <c r="I261" s="2">
        <v>40.700000000000003</v>
      </c>
      <c r="J261" s="2">
        <v>9.5239999999999995E-4</v>
      </c>
      <c r="K261" s="2">
        <v>7.6119999999999996E-4</v>
      </c>
      <c r="R261" s="2">
        <v>19.37</v>
      </c>
      <c r="S261" s="2">
        <v>5.8878000000000001E-4</v>
      </c>
      <c r="T261" s="2">
        <v>1.8395999999999999E-4</v>
      </c>
      <c r="V261" s="11"/>
      <c r="W261" s="6"/>
      <c r="X261" s="6">
        <v>2.42</v>
      </c>
      <c r="Y261" s="11" t="str">
        <f t="shared" si="48"/>
        <v/>
      </c>
      <c r="Z261" s="6" t="str">
        <f t="shared" si="49"/>
        <v/>
      </c>
      <c r="AA261" s="23">
        <f t="shared" si="50"/>
        <v>32.42</v>
      </c>
      <c r="AB261" t="str">
        <f t="shared" si="39"/>
        <v/>
      </c>
      <c r="AC261" t="str">
        <f t="shared" si="40"/>
        <v/>
      </c>
      <c r="AD261">
        <f t="shared" si="41"/>
        <v>6.1614000000000005E-4</v>
      </c>
      <c r="AE261" s="18" t="str">
        <f t="shared" si="42"/>
        <v/>
      </c>
      <c r="AF261" s="7" t="str">
        <f t="shared" si="43"/>
        <v/>
      </c>
      <c r="AG261" s="12">
        <f t="shared" si="44"/>
        <v>0.99855092288191782</v>
      </c>
      <c r="AI261" s="54" t="str">
        <f t="shared" si="45"/>
        <v/>
      </c>
      <c r="AJ261" s="54" t="str">
        <f t="shared" si="46"/>
        <v/>
      </c>
      <c r="AK261" s="54">
        <f t="shared" si="47"/>
        <v>0.12327895085226147</v>
      </c>
    </row>
    <row r="262" spans="9:37" x14ac:dyDescent="0.45">
      <c r="I262" s="2">
        <v>40.799999999999997</v>
      </c>
      <c r="J262" s="2">
        <v>9.5960000000000001E-4</v>
      </c>
      <c r="K262" s="2">
        <v>7.6780000000000001E-4</v>
      </c>
      <c r="R262" s="2">
        <v>19.38</v>
      </c>
      <c r="S262" s="2">
        <v>5.8872000000000004E-4</v>
      </c>
      <c r="T262" s="2">
        <v>1.8404000000000001E-4</v>
      </c>
      <c r="V262" s="11"/>
      <c r="W262" s="6"/>
      <c r="X262" s="6">
        <v>2.4300000000000002</v>
      </c>
      <c r="Y262" s="11" t="str">
        <f t="shared" si="48"/>
        <v/>
      </c>
      <c r="Z262" s="6" t="str">
        <f t="shared" si="49"/>
        <v/>
      </c>
      <c r="AA262" s="23">
        <f t="shared" si="50"/>
        <v>32.43</v>
      </c>
      <c r="AB262" t="str">
        <f t="shared" si="39"/>
        <v/>
      </c>
      <c r="AC262" t="str">
        <f t="shared" si="40"/>
        <v/>
      </c>
      <c r="AD262">
        <f t="shared" si="41"/>
        <v>6.1631000000000001E-4</v>
      </c>
      <c r="AE262" s="18" t="str">
        <f t="shared" si="42"/>
        <v/>
      </c>
      <c r="AF262" s="7" t="str">
        <f t="shared" si="43"/>
        <v/>
      </c>
      <c r="AG262" s="12">
        <f t="shared" si="44"/>
        <v>0.99854477041026157</v>
      </c>
      <c r="AI262" s="54" t="str">
        <f t="shared" si="45"/>
        <v/>
      </c>
      <c r="AJ262" s="54" t="str">
        <f t="shared" si="46"/>
        <v/>
      </c>
      <c r="AK262" s="54">
        <f t="shared" si="47"/>
        <v>0.12381375243795865</v>
      </c>
    </row>
    <row r="263" spans="9:37" x14ac:dyDescent="0.45">
      <c r="I263" s="2">
        <v>40.9</v>
      </c>
      <c r="J263" s="2">
        <v>9.6679999999999997E-4</v>
      </c>
      <c r="K263" s="2">
        <v>7.7439999999999996E-4</v>
      </c>
      <c r="R263" s="2">
        <v>19.39</v>
      </c>
      <c r="S263" s="2">
        <v>5.8865999999999996E-4</v>
      </c>
      <c r="T263" s="2">
        <v>1.8411999999999999E-4</v>
      </c>
      <c r="V263" s="11"/>
      <c r="W263" s="6"/>
      <c r="X263" s="6">
        <v>2.44</v>
      </c>
      <c r="Y263" s="11" t="str">
        <f t="shared" si="48"/>
        <v/>
      </c>
      <c r="Z263" s="6" t="str">
        <f t="shared" si="49"/>
        <v/>
      </c>
      <c r="AA263" s="23">
        <f t="shared" si="50"/>
        <v>32.44</v>
      </c>
      <c r="AB263" t="str">
        <f t="shared" si="39"/>
        <v/>
      </c>
      <c r="AC263" t="str">
        <f t="shared" si="40"/>
        <v/>
      </c>
      <c r="AD263">
        <f t="shared" si="41"/>
        <v>6.1647999999999998E-4</v>
      </c>
      <c r="AE263" s="18" t="str">
        <f t="shared" si="42"/>
        <v/>
      </c>
      <c r="AF263" s="7" t="str">
        <f t="shared" si="43"/>
        <v/>
      </c>
      <c r="AG263" s="12">
        <f t="shared" si="44"/>
        <v>0.9985386162789871</v>
      </c>
      <c r="AI263" s="54" t="str">
        <f t="shared" si="45"/>
        <v/>
      </c>
      <c r="AJ263" s="54" t="str">
        <f t="shared" si="46"/>
        <v/>
      </c>
      <c r="AK263" s="54">
        <f t="shared" si="47"/>
        <v>0.12434876974989999</v>
      </c>
    </row>
    <row r="264" spans="9:37" x14ac:dyDescent="0.45">
      <c r="I264" s="2">
        <v>41</v>
      </c>
      <c r="J264" s="2">
        <v>9.7400000000000004E-4</v>
      </c>
      <c r="K264" s="2">
        <v>7.8100000000000001E-4</v>
      </c>
      <c r="R264" s="2">
        <v>19.399999999999999</v>
      </c>
      <c r="S264" s="2">
        <v>5.886E-4</v>
      </c>
      <c r="T264" s="2">
        <v>1.8420000000000001E-4</v>
      </c>
      <c r="V264" s="11"/>
      <c r="W264" s="6"/>
      <c r="X264" s="6">
        <v>2.4500000000000002</v>
      </c>
      <c r="Y264" s="11" t="str">
        <f t="shared" si="48"/>
        <v/>
      </c>
      <c r="Z264" s="6" t="str">
        <f t="shared" si="49"/>
        <v/>
      </c>
      <c r="AA264" s="23">
        <f t="shared" si="50"/>
        <v>32.450000000000003</v>
      </c>
      <c r="AB264" t="str">
        <f t="shared" si="39"/>
        <v/>
      </c>
      <c r="AC264" t="str">
        <f t="shared" si="40"/>
        <v/>
      </c>
      <c r="AD264">
        <f t="shared" si="41"/>
        <v>6.1665000000000005E-4</v>
      </c>
      <c r="AE264" s="18" t="str">
        <f t="shared" si="42"/>
        <v/>
      </c>
      <c r="AF264" s="7" t="str">
        <f t="shared" si="43"/>
        <v/>
      </c>
      <c r="AG264" s="12">
        <f t="shared" si="44"/>
        <v>0.9985324604881255</v>
      </c>
      <c r="AI264" s="54" t="str">
        <f t="shared" si="45"/>
        <v/>
      </c>
      <c r="AJ264" s="54" t="str">
        <f t="shared" si="46"/>
        <v/>
      </c>
      <c r="AK264" s="54">
        <f t="shared" si="47"/>
        <v>0.1248840028775242</v>
      </c>
    </row>
    <row r="265" spans="9:37" x14ac:dyDescent="0.45">
      <c r="I265" s="2">
        <v>41.1</v>
      </c>
      <c r="J265" s="2">
        <v>9.8229999999999997E-4</v>
      </c>
      <c r="K265" s="2">
        <v>7.8819999999999997E-4</v>
      </c>
      <c r="R265" s="2">
        <v>19.41</v>
      </c>
      <c r="S265" s="2">
        <v>5.8854000000000003E-4</v>
      </c>
      <c r="T265" s="2">
        <v>1.8427999999999999E-4</v>
      </c>
      <c r="V265" s="11"/>
      <c r="W265" s="6"/>
      <c r="X265" s="6">
        <v>2.46</v>
      </c>
      <c r="Y265" s="11" t="str">
        <f t="shared" si="48"/>
        <v/>
      </c>
      <c r="Z265" s="6" t="str">
        <f t="shared" si="49"/>
        <v/>
      </c>
      <c r="AA265" s="23">
        <f t="shared" si="50"/>
        <v>32.46</v>
      </c>
      <c r="AB265" t="str">
        <f t="shared" si="39"/>
        <v/>
      </c>
      <c r="AC265" t="str">
        <f t="shared" si="40"/>
        <v/>
      </c>
      <c r="AD265">
        <f t="shared" si="41"/>
        <v>6.1682000000000002E-4</v>
      </c>
      <c r="AE265" s="18" t="str">
        <f t="shared" si="42"/>
        <v/>
      </c>
      <c r="AF265" s="7" t="str">
        <f t="shared" si="43"/>
        <v/>
      </c>
      <c r="AG265" s="12">
        <f t="shared" si="44"/>
        <v>0.99852630303770784</v>
      </c>
      <c r="AI265" s="54" t="str">
        <f t="shared" si="45"/>
        <v/>
      </c>
      <c r="AJ265" s="54" t="str">
        <f t="shared" si="46"/>
        <v/>
      </c>
      <c r="AK265" s="54">
        <f t="shared" si="47"/>
        <v>0.12541945191030746</v>
      </c>
    </row>
    <row r="266" spans="9:37" x14ac:dyDescent="0.45">
      <c r="I266" s="2">
        <v>41.2</v>
      </c>
      <c r="J266" s="2">
        <v>9.905999999999999E-4</v>
      </c>
      <c r="K266" s="2">
        <v>7.9540000000000003E-4</v>
      </c>
      <c r="R266" s="2">
        <v>19.420000000000002</v>
      </c>
      <c r="S266" s="2">
        <v>5.8847999999999995E-4</v>
      </c>
      <c r="T266" s="2">
        <v>1.8436E-4</v>
      </c>
      <c r="V266" s="11"/>
      <c r="W266" s="6"/>
      <c r="X266" s="6">
        <v>2.4700000000000002</v>
      </c>
      <c r="Y266" s="11" t="str">
        <f t="shared" si="48"/>
        <v/>
      </c>
      <c r="Z266" s="6" t="str">
        <f t="shared" si="49"/>
        <v/>
      </c>
      <c r="AA266" s="23">
        <f t="shared" si="50"/>
        <v>32.47</v>
      </c>
      <c r="AB266" t="str">
        <f t="shared" si="39"/>
        <v/>
      </c>
      <c r="AC266" t="str">
        <f t="shared" si="40"/>
        <v/>
      </c>
      <c r="AD266">
        <f t="shared" si="41"/>
        <v>6.1698999999999999E-4</v>
      </c>
      <c r="AE266" s="18" t="str">
        <f t="shared" si="42"/>
        <v/>
      </c>
      <c r="AF266" s="7" t="str">
        <f t="shared" si="43"/>
        <v/>
      </c>
      <c r="AG266" s="12">
        <f t="shared" si="44"/>
        <v>0.99852014392776545</v>
      </c>
      <c r="AI266" s="54" t="str">
        <f t="shared" si="45"/>
        <v/>
      </c>
      <c r="AJ266" s="54" t="str">
        <f t="shared" si="46"/>
        <v/>
      </c>
      <c r="AK266" s="54">
        <f t="shared" si="47"/>
        <v>0.12595511693776335</v>
      </c>
    </row>
    <row r="267" spans="9:37" x14ac:dyDescent="0.45">
      <c r="I267" s="2">
        <v>41.3</v>
      </c>
      <c r="J267" s="2">
        <v>9.9890000000000005E-4</v>
      </c>
      <c r="K267" s="2">
        <v>8.0259999999999999E-4</v>
      </c>
      <c r="R267" s="2">
        <v>19.43</v>
      </c>
      <c r="S267" s="2">
        <v>5.8841999999999998E-4</v>
      </c>
      <c r="T267" s="2">
        <v>1.8443999999999999E-4</v>
      </c>
      <c r="V267" s="11"/>
      <c r="W267" s="6"/>
      <c r="X267" s="6">
        <v>2.48</v>
      </c>
      <c r="Y267" s="11" t="str">
        <f t="shared" si="48"/>
        <v/>
      </c>
      <c r="Z267" s="6" t="str">
        <f t="shared" si="49"/>
        <v/>
      </c>
      <c r="AA267" s="23">
        <f t="shared" si="50"/>
        <v>32.479999999999997</v>
      </c>
      <c r="AB267" t="str">
        <f t="shared" si="39"/>
        <v/>
      </c>
      <c r="AC267" t="str">
        <f t="shared" si="40"/>
        <v/>
      </c>
      <c r="AD267">
        <f t="shared" si="41"/>
        <v>6.1715999999999995E-4</v>
      </c>
      <c r="AE267" s="18" t="str">
        <f t="shared" si="42"/>
        <v/>
      </c>
      <c r="AF267" s="7" t="str">
        <f t="shared" si="43"/>
        <v/>
      </c>
      <c r="AG267" s="12">
        <f t="shared" si="44"/>
        <v>0.9985139831583294</v>
      </c>
      <c r="AI267" s="54" t="str">
        <f t="shared" si="45"/>
        <v/>
      </c>
      <c r="AJ267" s="54" t="str">
        <f t="shared" si="46"/>
        <v/>
      </c>
      <c r="AK267" s="54">
        <f t="shared" si="47"/>
        <v>0.12649099804944294</v>
      </c>
    </row>
    <row r="268" spans="9:37" x14ac:dyDescent="0.45">
      <c r="I268" s="2">
        <v>41.4</v>
      </c>
      <c r="J268" s="2">
        <v>1.0072E-3</v>
      </c>
      <c r="K268" s="2">
        <v>8.0979999999999995E-4</v>
      </c>
      <c r="R268" s="2">
        <v>19.440000000000001</v>
      </c>
      <c r="S268" s="2">
        <v>5.8836000000000001E-4</v>
      </c>
      <c r="T268" s="2">
        <v>1.8452E-4</v>
      </c>
      <c r="V268" s="11"/>
      <c r="W268" s="6"/>
      <c r="X268" s="6">
        <v>2.4900000000000002</v>
      </c>
      <c r="Y268" s="11" t="str">
        <f t="shared" si="48"/>
        <v/>
      </c>
      <c r="Z268" s="6" t="str">
        <f t="shared" si="49"/>
        <v/>
      </c>
      <c r="AA268" s="23">
        <f t="shared" si="50"/>
        <v>32.49</v>
      </c>
      <c r="AB268" t="str">
        <f t="shared" si="39"/>
        <v/>
      </c>
      <c r="AC268" t="str">
        <f t="shared" si="40"/>
        <v/>
      </c>
      <c r="AD268">
        <f t="shared" si="41"/>
        <v>6.1733000000000003E-4</v>
      </c>
      <c r="AE268" s="18" t="str">
        <f t="shared" si="42"/>
        <v/>
      </c>
      <c r="AF268" s="7" t="str">
        <f t="shared" si="43"/>
        <v/>
      </c>
      <c r="AG268" s="12">
        <f t="shared" si="44"/>
        <v>0.99850782072943089</v>
      </c>
      <c r="AI268" s="54" t="str">
        <f t="shared" si="45"/>
        <v/>
      </c>
      <c r="AJ268" s="54" t="str">
        <f t="shared" si="46"/>
        <v/>
      </c>
      <c r="AK268" s="54">
        <f t="shared" si="47"/>
        <v>0.12702709533493478</v>
      </c>
    </row>
    <row r="269" spans="9:37" x14ac:dyDescent="0.45">
      <c r="I269" s="2">
        <v>41.5</v>
      </c>
      <c r="J269" s="2">
        <v>1.0154999999999999E-3</v>
      </c>
      <c r="K269" s="2">
        <v>8.1700000000000002E-4</v>
      </c>
      <c r="R269" s="2">
        <v>19.45</v>
      </c>
      <c r="S269" s="2">
        <v>5.8830000000000004E-4</v>
      </c>
      <c r="T269" s="2">
        <v>1.8459999999999999E-4</v>
      </c>
      <c r="V269" s="11"/>
      <c r="W269" s="6"/>
      <c r="X269" s="6">
        <v>2.5</v>
      </c>
      <c r="Y269" s="11" t="str">
        <f t="shared" si="48"/>
        <v/>
      </c>
      <c r="Z269" s="6" t="str">
        <f t="shared" si="49"/>
        <v/>
      </c>
      <c r="AA269" s="23">
        <f t="shared" si="50"/>
        <v>32.5</v>
      </c>
      <c r="AB269" t="str">
        <f t="shared" si="39"/>
        <v/>
      </c>
      <c r="AC269" t="str">
        <f t="shared" si="40"/>
        <v/>
      </c>
      <c r="AD269">
        <f t="shared" si="41"/>
        <v>6.1749999999999999E-4</v>
      </c>
      <c r="AE269" s="18" t="str">
        <f t="shared" si="42"/>
        <v/>
      </c>
      <c r="AF269" s="7" t="str">
        <f t="shared" si="43"/>
        <v/>
      </c>
      <c r="AG269" s="12">
        <f t="shared" si="44"/>
        <v>0.99850165664110113</v>
      </c>
      <c r="AI269" s="54" t="str">
        <f t="shared" si="45"/>
        <v/>
      </c>
      <c r="AJ269" s="54" t="str">
        <f t="shared" si="46"/>
        <v/>
      </c>
      <c r="AK269" s="54">
        <f t="shared" si="47"/>
        <v>0.12756340888386489</v>
      </c>
    </row>
    <row r="270" spans="9:37" x14ac:dyDescent="0.45">
      <c r="I270" s="2">
        <v>41.6</v>
      </c>
      <c r="J270" s="2">
        <v>1.0238000000000001E-3</v>
      </c>
      <c r="K270" s="2">
        <v>8.2419999999999998E-4</v>
      </c>
      <c r="R270" s="2">
        <v>19.46</v>
      </c>
      <c r="S270" s="2">
        <v>5.8823999999999997E-4</v>
      </c>
      <c r="T270" s="2">
        <v>1.8468E-4</v>
      </c>
      <c r="V270" s="11"/>
      <c r="W270" s="6"/>
      <c r="X270" s="6">
        <v>2.5100000000000002</v>
      </c>
      <c r="Y270" s="11" t="str">
        <f t="shared" si="48"/>
        <v/>
      </c>
      <c r="Z270" s="6" t="str">
        <f t="shared" si="49"/>
        <v/>
      </c>
      <c r="AA270" s="23">
        <f t="shared" si="50"/>
        <v>32.51</v>
      </c>
      <c r="AB270" t="str">
        <f t="shared" si="39"/>
        <v/>
      </c>
      <c r="AC270" t="str">
        <f t="shared" si="40"/>
        <v/>
      </c>
      <c r="AD270">
        <f t="shared" si="41"/>
        <v>6.1766999999999996E-4</v>
      </c>
      <c r="AE270" s="18" t="str">
        <f t="shared" si="42"/>
        <v/>
      </c>
      <c r="AF270" s="7" t="str">
        <f t="shared" si="43"/>
        <v/>
      </c>
      <c r="AG270" s="12">
        <f t="shared" si="44"/>
        <v>0.99849549089337142</v>
      </c>
      <c r="AI270" s="54" t="str">
        <f t="shared" si="45"/>
        <v/>
      </c>
      <c r="AJ270" s="54" t="str">
        <f t="shared" si="46"/>
        <v/>
      </c>
      <c r="AK270" s="54">
        <f t="shared" si="47"/>
        <v>0.12809993878589679</v>
      </c>
    </row>
    <row r="271" spans="9:37" x14ac:dyDescent="0.45">
      <c r="I271" s="2">
        <v>41.7</v>
      </c>
      <c r="J271" s="2">
        <v>1.0321E-3</v>
      </c>
      <c r="K271" s="2">
        <v>8.3140000000000004E-4</v>
      </c>
      <c r="R271" s="2">
        <v>19.47</v>
      </c>
      <c r="S271" s="2">
        <v>5.8818E-4</v>
      </c>
      <c r="T271" s="2">
        <v>1.8476000000000001E-4</v>
      </c>
      <c r="V271" s="11"/>
      <c r="W271" s="6"/>
      <c r="X271" s="6">
        <v>2.52</v>
      </c>
      <c r="Y271" s="11" t="str">
        <f t="shared" si="48"/>
        <v/>
      </c>
      <c r="Z271" s="6" t="str">
        <f t="shared" si="49"/>
        <v/>
      </c>
      <c r="AA271" s="23">
        <f t="shared" si="50"/>
        <v>32.520000000000003</v>
      </c>
      <c r="AB271" t="str">
        <f t="shared" si="39"/>
        <v/>
      </c>
      <c r="AC271" t="str">
        <f t="shared" si="40"/>
        <v/>
      </c>
      <c r="AD271">
        <f t="shared" si="41"/>
        <v>6.1784000000000003E-4</v>
      </c>
      <c r="AE271" s="18" t="str">
        <f t="shared" si="42"/>
        <v/>
      </c>
      <c r="AF271" s="7" t="str">
        <f t="shared" si="43"/>
        <v/>
      </c>
      <c r="AG271" s="12">
        <f t="shared" si="44"/>
        <v>0.99848932348627284</v>
      </c>
      <c r="AI271" s="54" t="str">
        <f t="shared" si="45"/>
        <v/>
      </c>
      <c r="AJ271" s="54" t="str">
        <f t="shared" si="46"/>
        <v/>
      </c>
      <c r="AK271" s="54">
        <f t="shared" si="47"/>
        <v>0.12863668513073154</v>
      </c>
    </row>
    <row r="272" spans="9:37" x14ac:dyDescent="0.45">
      <c r="I272" s="2">
        <v>41.8</v>
      </c>
      <c r="J272" s="2">
        <v>1.0403999999999999E-3</v>
      </c>
      <c r="K272" s="2">
        <v>8.386E-4</v>
      </c>
      <c r="R272" s="2">
        <v>19.48</v>
      </c>
      <c r="S272" s="2">
        <v>5.8812000000000003E-4</v>
      </c>
      <c r="T272" s="2">
        <v>1.8484E-4</v>
      </c>
      <c r="V272" s="11"/>
      <c r="W272" s="6"/>
      <c r="X272" s="6">
        <v>2.5300000000000002</v>
      </c>
      <c r="Y272" s="11" t="str">
        <f t="shared" si="48"/>
        <v/>
      </c>
      <c r="Z272" s="6" t="str">
        <f t="shared" si="49"/>
        <v/>
      </c>
      <c r="AA272" s="23">
        <f t="shared" si="50"/>
        <v>32.53</v>
      </c>
      <c r="AB272" t="str">
        <f t="shared" si="39"/>
        <v/>
      </c>
      <c r="AC272" t="str">
        <f t="shared" si="40"/>
        <v/>
      </c>
      <c r="AD272">
        <f t="shared" si="41"/>
        <v>6.1801E-4</v>
      </c>
      <c r="AE272" s="18" t="str">
        <f t="shared" si="42"/>
        <v/>
      </c>
      <c r="AF272" s="7" t="str">
        <f t="shared" si="43"/>
        <v/>
      </c>
      <c r="AG272" s="12">
        <f t="shared" si="44"/>
        <v>0.99848315441983659</v>
      </c>
      <c r="AI272" s="54" t="str">
        <f t="shared" si="45"/>
        <v/>
      </c>
      <c r="AJ272" s="54" t="str">
        <f t="shared" si="46"/>
        <v/>
      </c>
      <c r="AK272" s="54">
        <f t="shared" si="47"/>
        <v>0.12917364800810774</v>
      </c>
    </row>
    <row r="273" spans="9:37" x14ac:dyDescent="0.45">
      <c r="I273" s="2">
        <v>41.9</v>
      </c>
      <c r="J273" s="2">
        <v>1.0487000000000001E-3</v>
      </c>
      <c r="K273" s="2">
        <v>8.4579999999999996E-4</v>
      </c>
      <c r="R273" s="2">
        <v>19.489999999999998</v>
      </c>
      <c r="S273" s="2">
        <v>5.8805999999999995E-4</v>
      </c>
      <c r="T273" s="2">
        <v>1.8492000000000001E-4</v>
      </c>
      <c r="V273" s="11"/>
      <c r="W273" s="6"/>
      <c r="X273" s="6">
        <v>2.54</v>
      </c>
      <c r="Y273" s="11" t="str">
        <f t="shared" si="48"/>
        <v/>
      </c>
      <c r="Z273" s="6" t="str">
        <f t="shared" si="49"/>
        <v/>
      </c>
      <c r="AA273" s="23">
        <f t="shared" si="50"/>
        <v>32.54</v>
      </c>
      <c r="AB273" t="str">
        <f t="shared" si="39"/>
        <v/>
      </c>
      <c r="AC273" t="str">
        <f t="shared" si="40"/>
        <v/>
      </c>
      <c r="AD273">
        <f t="shared" si="41"/>
        <v>6.1817999999999997E-4</v>
      </c>
      <c r="AE273" s="18" t="str">
        <f t="shared" si="42"/>
        <v/>
      </c>
      <c r="AF273" s="7" t="str">
        <f t="shared" si="43"/>
        <v/>
      </c>
      <c r="AG273" s="12">
        <f t="shared" si="44"/>
        <v>0.99847698369409399</v>
      </c>
      <c r="AI273" s="54" t="str">
        <f t="shared" si="45"/>
        <v/>
      </c>
      <c r="AJ273" s="54" t="str">
        <f t="shared" si="46"/>
        <v/>
      </c>
      <c r="AK273" s="54">
        <f t="shared" si="47"/>
        <v>0.12971082750780152</v>
      </c>
    </row>
    <row r="274" spans="9:37" x14ac:dyDescent="0.45">
      <c r="I274" s="2">
        <v>42</v>
      </c>
      <c r="J274" s="2">
        <v>1.057E-3</v>
      </c>
      <c r="K274" s="2">
        <v>8.5300000000000003E-4</v>
      </c>
      <c r="R274" s="2">
        <v>19.5</v>
      </c>
      <c r="S274" s="2">
        <v>5.8799999999999998E-4</v>
      </c>
      <c r="T274" s="2">
        <v>1.85E-4</v>
      </c>
      <c r="V274" s="11"/>
      <c r="W274" s="6"/>
      <c r="X274" s="6">
        <v>2.5500000000000003</v>
      </c>
      <c r="Y274" s="11" t="str">
        <f t="shared" si="48"/>
        <v/>
      </c>
      <c r="Z274" s="6" t="str">
        <f t="shared" si="49"/>
        <v/>
      </c>
      <c r="AA274" s="23">
        <f t="shared" si="50"/>
        <v>32.549999999999997</v>
      </c>
      <c r="AB274" t="str">
        <f t="shared" si="39"/>
        <v/>
      </c>
      <c r="AC274" t="str">
        <f t="shared" si="40"/>
        <v/>
      </c>
      <c r="AD274">
        <f t="shared" si="41"/>
        <v>6.1835000000000004E-4</v>
      </c>
      <c r="AE274" s="18" t="str">
        <f t="shared" si="42"/>
        <v/>
      </c>
      <c r="AF274" s="7" t="str">
        <f t="shared" si="43"/>
        <v/>
      </c>
      <c r="AG274" s="12">
        <f t="shared" si="44"/>
        <v>0.99847081130907622</v>
      </c>
      <c r="AI274" s="54" t="str">
        <f t="shared" si="45"/>
        <v/>
      </c>
      <c r="AJ274" s="54" t="str">
        <f t="shared" si="46"/>
        <v/>
      </c>
      <c r="AK274" s="54">
        <f t="shared" si="47"/>
        <v>0.13024822371962663</v>
      </c>
    </row>
    <row r="275" spans="9:37" x14ac:dyDescent="0.45">
      <c r="I275" s="2">
        <v>42.1</v>
      </c>
      <c r="J275" s="2">
        <v>1.0667000000000001E-3</v>
      </c>
      <c r="K275" s="2">
        <v>8.6109999999999995E-4</v>
      </c>
      <c r="R275" s="2">
        <v>19.510000000000002</v>
      </c>
      <c r="S275" s="2">
        <v>5.8794000000000001E-4</v>
      </c>
      <c r="T275" s="2">
        <v>1.8508000000000001E-4</v>
      </c>
      <c r="V275" s="11"/>
      <c r="W275" s="6"/>
      <c r="X275" s="6">
        <v>2.56</v>
      </c>
      <c r="Y275" s="11" t="str">
        <f t="shared" si="48"/>
        <v/>
      </c>
      <c r="Z275" s="6" t="str">
        <f t="shared" si="49"/>
        <v/>
      </c>
      <c r="AA275" s="23">
        <f t="shared" si="50"/>
        <v>32.56</v>
      </c>
      <c r="AB275" t="str">
        <f t="shared" ref="AB275:AB338" si="51">IF(Y275="","",VLOOKUP(Y275,Table_1,2))</f>
        <v/>
      </c>
      <c r="AC275" t="str">
        <f t="shared" ref="AC275:AC338" si="52">IF(Z275="","",VLOOKUP(Z275,Table_2,2))</f>
        <v/>
      </c>
      <c r="AD275">
        <f t="shared" ref="AD275:AD338" si="53">IF(AA275="","",VLOOKUP(AA275,Table_3,2))</f>
        <v>6.1852000000000001E-4</v>
      </c>
      <c r="AE275" s="18" t="str">
        <f t="shared" si="42"/>
        <v/>
      </c>
      <c r="AF275" s="7" t="str">
        <f t="shared" si="43"/>
        <v/>
      </c>
      <c r="AG275" s="12">
        <f t="shared" si="44"/>
        <v>0.99846463726481449</v>
      </c>
      <c r="AI275" s="54" t="str">
        <f t="shared" si="45"/>
        <v/>
      </c>
      <c r="AJ275" s="54" t="str">
        <f t="shared" si="46"/>
        <v/>
      </c>
      <c r="AK275" s="54">
        <f t="shared" si="47"/>
        <v>0.13078583673343436</v>
      </c>
    </row>
    <row r="276" spans="9:37" x14ac:dyDescent="0.45">
      <c r="I276" s="2">
        <v>42.2</v>
      </c>
      <c r="J276" s="2">
        <v>1.0763999999999999E-3</v>
      </c>
      <c r="K276" s="2">
        <v>8.6919999999999999E-4</v>
      </c>
      <c r="R276" s="2">
        <v>19.52</v>
      </c>
      <c r="S276" s="2">
        <v>5.8788000000000004E-4</v>
      </c>
      <c r="T276" s="2">
        <v>1.8516E-4</v>
      </c>
      <c r="V276" s="11"/>
      <c r="W276" s="6"/>
      <c r="X276" s="6">
        <v>2.57</v>
      </c>
      <c r="Y276" s="11" t="str">
        <f t="shared" si="48"/>
        <v/>
      </c>
      <c r="Z276" s="6" t="str">
        <f t="shared" si="49"/>
        <v/>
      </c>
      <c r="AA276" s="23">
        <f t="shared" si="50"/>
        <v>32.57</v>
      </c>
      <c r="AB276" t="str">
        <f t="shared" si="51"/>
        <v/>
      </c>
      <c r="AC276" t="str">
        <f t="shared" si="52"/>
        <v/>
      </c>
      <c r="AD276">
        <f t="shared" si="53"/>
        <v>6.1868999999999997E-4</v>
      </c>
      <c r="AE276" s="18" t="str">
        <f t="shared" ref="AE276:AE339" si="54">IF(AB276="","",AE275+h_1*(-AE275*AB275))</f>
        <v/>
      </c>
      <c r="AF276" s="7" t="str">
        <f t="shared" ref="AF276:AF339" si="55">IF(AC276="","",AF275+h_2*(-AF275*AC275))</f>
        <v/>
      </c>
      <c r="AG276" s="12">
        <f t="shared" ref="AG276:AG339" si="56">IF(AD276="","",AG275+h_3*(-AG275*AD275))</f>
        <v>0.9984584615613401</v>
      </c>
      <c r="AI276" s="54" t="str">
        <f t="shared" ref="AI276:AI339" si="57">IF(Y276="","",AI275+AI$17*(AI275*delta+Prem1-AB275*(1-AI275)))</f>
        <v/>
      </c>
      <c r="AJ276" s="54" t="str">
        <f t="shared" ref="AJ276:AJ339" si="58">IF(Z276="","",AJ275+AJ$17*(AJ275*delta+Prem2-AC275*(1-AJ275)))</f>
        <v/>
      </c>
      <c r="AK276" s="54">
        <f t="shared" ref="AK276:AK339" si="59">IF(AA276="","",AK275+AK$17*(AK275*delta+Prem3-AD275*(1-AK275)))</f>
        <v>0.1313236666391136</v>
      </c>
    </row>
    <row r="277" spans="9:37" x14ac:dyDescent="0.45">
      <c r="I277" s="2">
        <v>42.3</v>
      </c>
      <c r="J277" s="2">
        <v>1.0861E-3</v>
      </c>
      <c r="K277" s="2">
        <v>8.7730000000000002E-4</v>
      </c>
      <c r="R277" s="2">
        <v>19.53</v>
      </c>
      <c r="S277" s="2">
        <v>5.8781999999999997E-4</v>
      </c>
      <c r="T277" s="2">
        <v>1.8524000000000001E-4</v>
      </c>
      <c r="V277" s="11"/>
      <c r="W277" s="6"/>
      <c r="X277" s="6">
        <v>2.58</v>
      </c>
      <c r="Y277" s="11" t="str">
        <f t="shared" ref="Y277:Y340" si="60">IF(ISBLANK(V277),"",$Y$19+V277)</f>
        <v/>
      </c>
      <c r="Z277" s="6" t="str">
        <f t="shared" ref="Z277:Z340" si="61">IF(ISBLANK(W277),"",$Y$19+W277)</f>
        <v/>
      </c>
      <c r="AA277" s="23">
        <f t="shared" ref="AA277:AA340" si="62">IF(ISBLANK(X277),"",$Y$19+X277)</f>
        <v>32.58</v>
      </c>
      <c r="AB277" t="str">
        <f t="shared" si="51"/>
        <v/>
      </c>
      <c r="AC277" t="str">
        <f t="shared" si="52"/>
        <v/>
      </c>
      <c r="AD277">
        <f t="shared" si="53"/>
        <v>6.1886000000000005E-4</v>
      </c>
      <c r="AE277" s="18" t="str">
        <f t="shared" si="54"/>
        <v/>
      </c>
      <c r="AF277" s="7" t="str">
        <f t="shared" si="55"/>
        <v/>
      </c>
      <c r="AG277" s="12">
        <f t="shared" si="56"/>
        <v>0.99845228419868426</v>
      </c>
      <c r="AI277" s="54" t="str">
        <f t="shared" si="57"/>
        <v/>
      </c>
      <c r="AJ277" s="54" t="str">
        <f t="shared" si="58"/>
        <v/>
      </c>
      <c r="AK277" s="54">
        <f t="shared" si="59"/>
        <v>0.13186171352659087</v>
      </c>
    </row>
    <row r="278" spans="9:37" x14ac:dyDescent="0.45">
      <c r="I278" s="2">
        <v>42.4</v>
      </c>
      <c r="J278" s="2">
        <v>1.0958000000000001E-3</v>
      </c>
      <c r="K278" s="2">
        <v>8.8540000000000005E-4</v>
      </c>
      <c r="R278" s="2">
        <v>19.54</v>
      </c>
      <c r="S278" s="2">
        <v>5.8776E-4</v>
      </c>
      <c r="T278" s="2">
        <v>1.8531999999999999E-4</v>
      </c>
      <c r="V278" s="11"/>
      <c r="W278" s="6"/>
      <c r="X278" s="6">
        <v>2.59</v>
      </c>
      <c r="Y278" s="11" t="str">
        <f t="shared" si="60"/>
        <v/>
      </c>
      <c r="Z278" s="6" t="str">
        <f t="shared" si="61"/>
        <v/>
      </c>
      <c r="AA278" s="23">
        <f t="shared" si="62"/>
        <v>32.590000000000003</v>
      </c>
      <c r="AB278" t="str">
        <f t="shared" si="51"/>
        <v/>
      </c>
      <c r="AC278" t="str">
        <f t="shared" si="52"/>
        <v/>
      </c>
      <c r="AD278">
        <f t="shared" si="53"/>
        <v>6.1903000000000001E-4</v>
      </c>
      <c r="AE278" s="18" t="str">
        <f t="shared" si="54"/>
        <v/>
      </c>
      <c r="AF278" s="7" t="str">
        <f t="shared" si="55"/>
        <v/>
      </c>
      <c r="AG278" s="12">
        <f t="shared" si="56"/>
        <v>0.99844610517687826</v>
      </c>
      <c r="AI278" s="54" t="str">
        <f t="shared" si="57"/>
        <v/>
      </c>
      <c r="AJ278" s="54" t="str">
        <f t="shared" si="58"/>
        <v/>
      </c>
      <c r="AK278" s="54">
        <f t="shared" si="59"/>
        <v>0.13239997748583032</v>
      </c>
    </row>
    <row r="279" spans="9:37" x14ac:dyDescent="0.45">
      <c r="I279" s="2">
        <v>42.5</v>
      </c>
      <c r="J279" s="2">
        <v>1.1054999999999999E-3</v>
      </c>
      <c r="K279" s="2">
        <v>8.9349999999999998E-4</v>
      </c>
      <c r="R279" s="2">
        <v>19.55</v>
      </c>
      <c r="S279" s="2">
        <v>5.8770000000000003E-4</v>
      </c>
      <c r="T279" s="2">
        <v>1.8540000000000001E-4</v>
      </c>
      <c r="V279" s="11"/>
      <c r="W279" s="6"/>
      <c r="X279" s="6">
        <v>2.6</v>
      </c>
      <c r="Y279" s="11" t="str">
        <f t="shared" si="60"/>
        <v/>
      </c>
      <c r="Z279" s="6" t="str">
        <f t="shared" si="61"/>
        <v/>
      </c>
      <c r="AA279" s="23">
        <f t="shared" si="62"/>
        <v>32.6</v>
      </c>
      <c r="AB279" t="str">
        <f t="shared" si="51"/>
        <v/>
      </c>
      <c r="AC279" t="str">
        <f t="shared" si="52"/>
        <v/>
      </c>
      <c r="AD279">
        <f t="shared" si="53"/>
        <v>6.1919999999999998E-4</v>
      </c>
      <c r="AE279" s="18" t="str">
        <f t="shared" si="54"/>
        <v/>
      </c>
      <c r="AF279" s="7" t="str">
        <f t="shared" si="55"/>
        <v/>
      </c>
      <c r="AG279" s="12">
        <f t="shared" si="56"/>
        <v>0.99843992449595342</v>
      </c>
      <c r="AI279" s="54" t="str">
        <f t="shared" si="57"/>
        <v/>
      </c>
      <c r="AJ279" s="54" t="str">
        <f t="shared" si="58"/>
        <v/>
      </c>
      <c r="AK279" s="54">
        <f t="shared" si="59"/>
        <v>0.13293845860683379</v>
      </c>
    </row>
    <row r="280" spans="9:37" x14ac:dyDescent="0.45">
      <c r="I280" s="2">
        <v>42.6</v>
      </c>
      <c r="J280" s="2">
        <v>1.1152E-3</v>
      </c>
      <c r="K280" s="2">
        <v>9.0160000000000001E-4</v>
      </c>
      <c r="R280" s="2">
        <v>19.559999999999999</v>
      </c>
      <c r="S280" s="2">
        <v>5.8763999999999995E-4</v>
      </c>
      <c r="T280" s="2">
        <v>1.8547999999999999E-4</v>
      </c>
      <c r="V280" s="11"/>
      <c r="W280" s="6"/>
      <c r="X280" s="6">
        <v>2.61</v>
      </c>
      <c r="Y280" s="11" t="str">
        <f t="shared" si="60"/>
        <v/>
      </c>
      <c r="Z280" s="6" t="str">
        <f t="shared" si="61"/>
        <v/>
      </c>
      <c r="AA280" s="23">
        <f t="shared" si="62"/>
        <v>32.61</v>
      </c>
      <c r="AB280" t="str">
        <f t="shared" si="51"/>
        <v/>
      </c>
      <c r="AC280" t="str">
        <f t="shared" si="52"/>
        <v/>
      </c>
      <c r="AD280">
        <f t="shared" si="53"/>
        <v>6.1936999999999995E-4</v>
      </c>
      <c r="AE280" s="18" t="str">
        <f t="shared" si="54"/>
        <v/>
      </c>
      <c r="AF280" s="7" t="str">
        <f t="shared" si="55"/>
        <v/>
      </c>
      <c r="AG280" s="12">
        <f t="shared" si="56"/>
        <v>0.99843374215594094</v>
      </c>
      <c r="AI280" s="54" t="str">
        <f t="shared" si="57"/>
        <v/>
      </c>
      <c r="AJ280" s="54" t="str">
        <f t="shared" si="58"/>
        <v/>
      </c>
      <c r="AK280" s="54">
        <f t="shared" si="59"/>
        <v>0.13347715697964072</v>
      </c>
    </row>
    <row r="281" spans="9:37" x14ac:dyDescent="0.45">
      <c r="I281" s="2">
        <v>42.7</v>
      </c>
      <c r="J281" s="2">
        <v>1.1249000000000001E-3</v>
      </c>
      <c r="K281" s="2">
        <v>9.0970000000000005E-4</v>
      </c>
      <c r="R281" s="2">
        <v>19.57</v>
      </c>
      <c r="S281" s="2">
        <v>5.8757999999999998E-4</v>
      </c>
      <c r="T281" s="2">
        <v>1.8556000000000001E-4</v>
      </c>
      <c r="V281" s="11"/>
      <c r="W281" s="6"/>
      <c r="X281" s="6">
        <v>2.62</v>
      </c>
      <c r="Y281" s="11" t="str">
        <f t="shared" si="60"/>
        <v/>
      </c>
      <c r="Z281" s="6" t="str">
        <f t="shared" si="61"/>
        <v/>
      </c>
      <c r="AA281" s="23">
        <f t="shared" si="62"/>
        <v>32.619999999999997</v>
      </c>
      <c r="AB281" t="str">
        <f t="shared" si="51"/>
        <v/>
      </c>
      <c r="AC281" t="str">
        <f t="shared" si="52"/>
        <v/>
      </c>
      <c r="AD281">
        <f t="shared" si="53"/>
        <v>6.1954000000000002E-4</v>
      </c>
      <c r="AE281" s="18" t="str">
        <f t="shared" si="54"/>
        <v/>
      </c>
      <c r="AF281" s="7" t="str">
        <f t="shared" si="55"/>
        <v/>
      </c>
      <c r="AG281" s="12">
        <f t="shared" si="56"/>
        <v>0.99842755815687212</v>
      </c>
      <c r="AI281" s="54" t="str">
        <f t="shared" si="57"/>
        <v/>
      </c>
      <c r="AJ281" s="54" t="str">
        <f t="shared" si="58"/>
        <v/>
      </c>
      <c r="AK281" s="54">
        <f t="shared" si="59"/>
        <v>0.13401607269432825</v>
      </c>
    </row>
    <row r="282" spans="9:37" x14ac:dyDescent="0.45">
      <c r="I282" s="2">
        <v>42.8</v>
      </c>
      <c r="J282" s="2">
        <v>1.1345999999999999E-3</v>
      </c>
      <c r="K282" s="2">
        <v>9.1779999999999997E-4</v>
      </c>
      <c r="R282" s="2">
        <v>19.579999999999998</v>
      </c>
      <c r="S282" s="2">
        <v>5.8752000000000001E-4</v>
      </c>
      <c r="T282" s="2">
        <v>1.8563999999999999E-4</v>
      </c>
      <c r="V282" s="11"/>
      <c r="W282" s="6"/>
      <c r="X282" s="6">
        <v>2.63</v>
      </c>
      <c r="Y282" s="11" t="str">
        <f t="shared" si="60"/>
        <v/>
      </c>
      <c r="Z282" s="6" t="str">
        <f t="shared" si="61"/>
        <v/>
      </c>
      <c r="AA282" s="23">
        <f t="shared" si="62"/>
        <v>32.630000000000003</v>
      </c>
      <c r="AB282" t="str">
        <f t="shared" si="51"/>
        <v/>
      </c>
      <c r="AC282" t="str">
        <f t="shared" si="52"/>
        <v/>
      </c>
      <c r="AD282">
        <f t="shared" si="53"/>
        <v>6.1970999999999999E-4</v>
      </c>
      <c r="AE282" s="18" t="str">
        <f t="shared" si="54"/>
        <v/>
      </c>
      <c r="AF282" s="7" t="str">
        <f t="shared" si="55"/>
        <v/>
      </c>
      <c r="AG282" s="12">
        <f t="shared" si="56"/>
        <v>0.99842137249877827</v>
      </c>
      <c r="AI282" s="54" t="str">
        <f t="shared" si="57"/>
        <v/>
      </c>
      <c r="AJ282" s="54" t="str">
        <f t="shared" si="58"/>
        <v/>
      </c>
      <c r="AK282" s="54">
        <f t="shared" si="59"/>
        <v>0.13455520584101124</v>
      </c>
    </row>
    <row r="283" spans="9:37" x14ac:dyDescent="0.45">
      <c r="I283" s="2">
        <v>42.9</v>
      </c>
      <c r="J283" s="2">
        <v>1.1443E-3</v>
      </c>
      <c r="K283" s="2">
        <v>9.2590000000000001E-4</v>
      </c>
      <c r="R283" s="2">
        <v>19.59</v>
      </c>
      <c r="S283" s="2">
        <v>5.8746000000000004E-4</v>
      </c>
      <c r="T283" s="2">
        <v>1.8572E-4</v>
      </c>
      <c r="V283" s="11"/>
      <c r="W283" s="6"/>
      <c r="X283" s="6">
        <v>2.64</v>
      </c>
      <c r="Y283" s="11" t="str">
        <f t="shared" si="60"/>
        <v/>
      </c>
      <c r="Z283" s="6" t="str">
        <f t="shared" si="61"/>
        <v/>
      </c>
      <c r="AA283" s="23">
        <f t="shared" si="62"/>
        <v>32.64</v>
      </c>
      <c r="AB283" t="str">
        <f t="shared" si="51"/>
        <v/>
      </c>
      <c r="AC283" t="str">
        <f t="shared" si="52"/>
        <v/>
      </c>
      <c r="AD283">
        <f t="shared" si="53"/>
        <v>6.1987999999999995E-4</v>
      </c>
      <c r="AE283" s="18" t="str">
        <f t="shared" si="54"/>
        <v/>
      </c>
      <c r="AF283" s="7" t="str">
        <f t="shared" si="55"/>
        <v/>
      </c>
      <c r="AG283" s="12">
        <f t="shared" si="56"/>
        <v>0.99841518518169081</v>
      </c>
      <c r="AI283" s="54" t="str">
        <f t="shared" si="57"/>
        <v/>
      </c>
      <c r="AJ283" s="54" t="str">
        <f t="shared" si="58"/>
        <v/>
      </c>
      <c r="AK283" s="54">
        <f t="shared" si="59"/>
        <v>0.13509455650984226</v>
      </c>
    </row>
    <row r="284" spans="9:37" x14ac:dyDescent="0.45">
      <c r="I284" s="2">
        <v>43</v>
      </c>
      <c r="J284" s="2">
        <v>1.1540000000000001E-3</v>
      </c>
      <c r="K284" s="2">
        <v>9.3400000000000004E-4</v>
      </c>
      <c r="R284" s="2">
        <v>19.600000000000001</v>
      </c>
      <c r="S284" s="2">
        <v>5.8739999999999997E-4</v>
      </c>
      <c r="T284" s="2">
        <v>1.8579999999999999E-4</v>
      </c>
      <c r="V284" s="11"/>
      <c r="W284" s="6"/>
      <c r="X284" s="6">
        <v>2.65</v>
      </c>
      <c r="Y284" s="11" t="str">
        <f t="shared" si="60"/>
        <v/>
      </c>
      <c r="Z284" s="6" t="str">
        <f t="shared" si="61"/>
        <v/>
      </c>
      <c r="AA284" s="23">
        <f t="shared" si="62"/>
        <v>32.65</v>
      </c>
      <c r="AB284" t="str">
        <f t="shared" si="51"/>
        <v/>
      </c>
      <c r="AC284" t="str">
        <f t="shared" si="52"/>
        <v/>
      </c>
      <c r="AD284">
        <f t="shared" si="53"/>
        <v>6.2005000000000003E-4</v>
      </c>
      <c r="AE284" s="18" t="str">
        <f t="shared" si="54"/>
        <v/>
      </c>
      <c r="AF284" s="7" t="str">
        <f t="shared" si="55"/>
        <v/>
      </c>
      <c r="AG284" s="12">
        <f t="shared" si="56"/>
        <v>0.99840899620564094</v>
      </c>
      <c r="AI284" s="54" t="str">
        <f t="shared" si="57"/>
        <v/>
      </c>
      <c r="AJ284" s="54" t="str">
        <f t="shared" si="58"/>
        <v/>
      </c>
      <c r="AK284" s="54">
        <f t="shared" si="59"/>
        <v>0.13563412479101158</v>
      </c>
    </row>
    <row r="285" spans="9:37" x14ac:dyDescent="0.45">
      <c r="I285" s="2">
        <v>43.1</v>
      </c>
      <c r="J285" s="2">
        <v>1.1651000000000001E-3</v>
      </c>
      <c r="K285" s="2">
        <v>9.4280000000000004E-4</v>
      </c>
      <c r="R285" s="2">
        <v>19.61</v>
      </c>
      <c r="S285" s="2">
        <v>5.8734E-4</v>
      </c>
      <c r="T285" s="2">
        <v>1.8588E-4</v>
      </c>
      <c r="V285" s="11"/>
      <c r="W285" s="6"/>
      <c r="X285" s="6">
        <v>2.66</v>
      </c>
      <c r="Y285" s="11" t="str">
        <f t="shared" si="60"/>
        <v/>
      </c>
      <c r="Z285" s="6" t="str">
        <f t="shared" si="61"/>
        <v/>
      </c>
      <c r="AA285" s="23">
        <f t="shared" si="62"/>
        <v>32.659999999999997</v>
      </c>
      <c r="AB285" t="str">
        <f t="shared" si="51"/>
        <v/>
      </c>
      <c r="AC285" t="str">
        <f t="shared" si="52"/>
        <v/>
      </c>
      <c r="AD285">
        <f t="shared" si="53"/>
        <v>6.2021999999999999E-4</v>
      </c>
      <c r="AE285" s="18" t="str">
        <f t="shared" si="54"/>
        <v/>
      </c>
      <c r="AF285" s="7" t="str">
        <f t="shared" si="55"/>
        <v/>
      </c>
      <c r="AG285" s="12">
        <f t="shared" si="56"/>
        <v>0.99840280557065997</v>
      </c>
      <c r="AI285" s="54" t="str">
        <f t="shared" si="57"/>
        <v/>
      </c>
      <c r="AJ285" s="54" t="str">
        <f t="shared" si="58"/>
        <v/>
      </c>
      <c r="AK285" s="54">
        <f t="shared" si="59"/>
        <v>0.13617391077474725</v>
      </c>
    </row>
    <row r="286" spans="9:37" x14ac:dyDescent="0.45">
      <c r="I286" s="2">
        <v>43.2</v>
      </c>
      <c r="J286" s="2">
        <v>1.1762000000000001E-3</v>
      </c>
      <c r="K286" s="2">
        <v>9.5160000000000004E-4</v>
      </c>
      <c r="R286" s="2">
        <v>19.62</v>
      </c>
      <c r="S286" s="2">
        <v>5.8728000000000003E-4</v>
      </c>
      <c r="T286" s="2">
        <v>1.8595999999999999E-4</v>
      </c>
      <c r="V286" s="11"/>
      <c r="W286" s="6"/>
      <c r="X286" s="6">
        <v>2.67</v>
      </c>
      <c r="Y286" s="11" t="str">
        <f t="shared" si="60"/>
        <v/>
      </c>
      <c r="Z286" s="6" t="str">
        <f t="shared" si="61"/>
        <v/>
      </c>
      <c r="AA286" s="23">
        <f t="shared" si="62"/>
        <v>32.67</v>
      </c>
      <c r="AB286" t="str">
        <f t="shared" si="51"/>
        <v/>
      </c>
      <c r="AC286" t="str">
        <f t="shared" si="52"/>
        <v/>
      </c>
      <c r="AD286">
        <f t="shared" si="53"/>
        <v>6.2038999999999996E-4</v>
      </c>
      <c r="AE286" s="18" t="str">
        <f t="shared" si="54"/>
        <v/>
      </c>
      <c r="AF286" s="7" t="str">
        <f t="shared" si="55"/>
        <v/>
      </c>
      <c r="AG286" s="12">
        <f t="shared" si="56"/>
        <v>0.99839661327677931</v>
      </c>
      <c r="AI286" s="54" t="str">
        <f t="shared" si="57"/>
        <v/>
      </c>
      <c r="AJ286" s="54" t="str">
        <f t="shared" si="58"/>
        <v/>
      </c>
      <c r="AK286" s="54">
        <f t="shared" si="59"/>
        <v>0.13671391455131504</v>
      </c>
    </row>
    <row r="287" spans="9:37" x14ac:dyDescent="0.45">
      <c r="I287" s="2">
        <v>43.3</v>
      </c>
      <c r="J287" s="2">
        <v>1.1873000000000001E-3</v>
      </c>
      <c r="K287" s="2">
        <v>9.6040000000000003E-4</v>
      </c>
      <c r="R287" s="2">
        <v>19.63</v>
      </c>
      <c r="S287" s="2">
        <v>5.8721999999999995E-4</v>
      </c>
      <c r="T287" s="2">
        <v>1.8604E-4</v>
      </c>
      <c r="V287" s="11"/>
      <c r="W287" s="6"/>
      <c r="X287" s="6">
        <v>2.68</v>
      </c>
      <c r="Y287" s="11" t="str">
        <f t="shared" si="60"/>
        <v/>
      </c>
      <c r="Z287" s="6" t="str">
        <f t="shared" si="61"/>
        <v/>
      </c>
      <c r="AA287" s="23">
        <f t="shared" si="62"/>
        <v>32.68</v>
      </c>
      <c r="AB287" t="str">
        <f t="shared" si="51"/>
        <v/>
      </c>
      <c r="AC287" t="str">
        <f t="shared" si="52"/>
        <v/>
      </c>
      <c r="AD287">
        <f t="shared" si="53"/>
        <v>6.2056000000000004E-4</v>
      </c>
      <c r="AE287" s="18" t="str">
        <f t="shared" si="54"/>
        <v/>
      </c>
      <c r="AF287" s="7" t="str">
        <f t="shared" si="55"/>
        <v/>
      </c>
      <c r="AG287" s="12">
        <f t="shared" si="56"/>
        <v>0.99839041932403016</v>
      </c>
      <c r="AI287" s="54" t="str">
        <f t="shared" si="57"/>
        <v/>
      </c>
      <c r="AJ287" s="54" t="str">
        <f t="shared" si="58"/>
        <v/>
      </c>
      <c r="AK287" s="54">
        <f t="shared" si="59"/>
        <v>0.13725413621101853</v>
      </c>
    </row>
    <row r="288" spans="9:37" x14ac:dyDescent="0.45">
      <c r="I288" s="2">
        <v>43.4</v>
      </c>
      <c r="J288" s="2">
        <v>1.1984000000000001E-3</v>
      </c>
      <c r="K288" s="2">
        <v>9.6920000000000003E-4</v>
      </c>
      <c r="R288" s="2">
        <v>19.64</v>
      </c>
      <c r="S288" s="2">
        <v>5.8715999999999998E-4</v>
      </c>
      <c r="T288" s="2">
        <v>1.8611999999999999E-4</v>
      </c>
      <c r="V288" s="11"/>
      <c r="W288" s="6"/>
      <c r="X288" s="6">
        <v>2.69</v>
      </c>
      <c r="Y288" s="11" t="str">
        <f t="shared" si="60"/>
        <v/>
      </c>
      <c r="Z288" s="6" t="str">
        <f t="shared" si="61"/>
        <v/>
      </c>
      <c r="AA288" s="23">
        <f t="shared" si="62"/>
        <v>32.69</v>
      </c>
      <c r="AB288" t="str">
        <f t="shared" si="51"/>
        <v/>
      </c>
      <c r="AC288" t="str">
        <f t="shared" si="52"/>
        <v/>
      </c>
      <c r="AD288">
        <f t="shared" si="53"/>
        <v>6.2073E-4</v>
      </c>
      <c r="AE288" s="18" t="str">
        <f t="shared" si="54"/>
        <v/>
      </c>
      <c r="AF288" s="7" t="str">
        <f t="shared" si="55"/>
        <v/>
      </c>
      <c r="AG288" s="12">
        <f t="shared" si="56"/>
        <v>0.99838422371244406</v>
      </c>
      <c r="AI288" s="54" t="str">
        <f t="shared" si="57"/>
        <v/>
      </c>
      <c r="AJ288" s="54" t="str">
        <f t="shared" si="58"/>
        <v/>
      </c>
      <c r="AK288" s="54">
        <f t="shared" si="59"/>
        <v>0.1377945758441991</v>
      </c>
    </row>
    <row r="289" spans="9:37" x14ac:dyDescent="0.45">
      <c r="I289" s="2">
        <v>43.5</v>
      </c>
      <c r="J289" s="2">
        <v>1.2095000000000001E-3</v>
      </c>
      <c r="K289" s="2">
        <v>9.7799999999999992E-4</v>
      </c>
      <c r="R289" s="2">
        <v>19.649999999999999</v>
      </c>
      <c r="S289" s="2">
        <v>5.8710000000000001E-4</v>
      </c>
      <c r="T289" s="2">
        <v>1.862E-4</v>
      </c>
      <c r="V289" s="11"/>
      <c r="W289" s="6"/>
      <c r="X289" s="6">
        <v>2.7</v>
      </c>
      <c r="Y289" s="11" t="str">
        <f t="shared" si="60"/>
        <v/>
      </c>
      <c r="Z289" s="6" t="str">
        <f t="shared" si="61"/>
        <v/>
      </c>
      <c r="AA289" s="23">
        <f t="shared" si="62"/>
        <v>32.700000000000003</v>
      </c>
      <c r="AB289" t="str">
        <f t="shared" si="51"/>
        <v/>
      </c>
      <c r="AC289" t="str">
        <f t="shared" si="52"/>
        <v/>
      </c>
      <c r="AD289">
        <f t="shared" si="53"/>
        <v>6.2089999999999997E-4</v>
      </c>
      <c r="AE289" s="18" t="str">
        <f t="shared" si="54"/>
        <v/>
      </c>
      <c r="AF289" s="7" t="str">
        <f t="shared" si="55"/>
        <v/>
      </c>
      <c r="AG289" s="12">
        <f t="shared" si="56"/>
        <v>0.9983780264420522</v>
      </c>
      <c r="AI289" s="54" t="str">
        <f t="shared" si="57"/>
        <v/>
      </c>
      <c r="AJ289" s="54" t="str">
        <f t="shared" si="58"/>
        <v/>
      </c>
      <c r="AK289" s="54">
        <f t="shared" si="59"/>
        <v>0.13833523354123592</v>
      </c>
    </row>
    <row r="290" spans="9:37" x14ac:dyDescent="0.45">
      <c r="I290" s="2">
        <v>43.6</v>
      </c>
      <c r="J290" s="2">
        <v>1.2206000000000001E-3</v>
      </c>
      <c r="K290" s="2">
        <v>9.8679999999999992E-4</v>
      </c>
      <c r="R290" s="2">
        <v>19.66</v>
      </c>
      <c r="S290" s="2">
        <v>5.8704000000000004E-4</v>
      </c>
      <c r="T290" s="2">
        <v>1.8628000000000001E-4</v>
      </c>
      <c r="V290" s="11"/>
      <c r="W290" s="6"/>
      <c r="X290" s="6">
        <v>2.71</v>
      </c>
      <c r="Y290" s="11" t="str">
        <f t="shared" si="60"/>
        <v/>
      </c>
      <c r="Z290" s="6" t="str">
        <f t="shared" si="61"/>
        <v/>
      </c>
      <c r="AA290" s="23">
        <f t="shared" si="62"/>
        <v>32.71</v>
      </c>
      <c r="AB290" t="str">
        <f t="shared" si="51"/>
        <v/>
      </c>
      <c r="AC290" t="str">
        <f t="shared" si="52"/>
        <v/>
      </c>
      <c r="AD290">
        <f t="shared" si="53"/>
        <v>6.2107000000000004E-4</v>
      </c>
      <c r="AE290" s="18" t="str">
        <f t="shared" si="54"/>
        <v/>
      </c>
      <c r="AF290" s="7" t="str">
        <f t="shared" si="55"/>
        <v/>
      </c>
      <c r="AG290" s="12">
        <f t="shared" si="56"/>
        <v>0.998371827512886</v>
      </c>
      <c r="AI290" s="54" t="str">
        <f t="shared" si="57"/>
        <v/>
      </c>
      <c r="AJ290" s="54" t="str">
        <f t="shared" si="58"/>
        <v/>
      </c>
      <c r="AK290" s="54">
        <f t="shared" si="59"/>
        <v>0.13887610939254597</v>
      </c>
    </row>
    <row r="291" spans="9:37" x14ac:dyDescent="0.45">
      <c r="I291" s="2">
        <v>43.7</v>
      </c>
      <c r="J291" s="2">
        <v>1.2317000000000001E-3</v>
      </c>
      <c r="K291" s="2">
        <v>9.9559999999999991E-4</v>
      </c>
      <c r="R291" s="2">
        <v>19.670000000000002</v>
      </c>
      <c r="S291" s="2">
        <v>5.8697999999999997E-4</v>
      </c>
      <c r="T291" s="2">
        <v>1.8636E-4</v>
      </c>
      <c r="V291" s="11"/>
      <c r="W291" s="6"/>
      <c r="X291" s="6">
        <v>2.72</v>
      </c>
      <c r="Y291" s="11" t="str">
        <f t="shared" si="60"/>
        <v/>
      </c>
      <c r="Z291" s="6" t="str">
        <f t="shared" si="61"/>
        <v/>
      </c>
      <c r="AA291" s="23">
        <f t="shared" si="62"/>
        <v>32.72</v>
      </c>
      <c r="AB291" t="str">
        <f t="shared" si="51"/>
        <v/>
      </c>
      <c r="AC291" t="str">
        <f t="shared" si="52"/>
        <v/>
      </c>
      <c r="AD291">
        <f t="shared" si="53"/>
        <v>6.2124000000000001E-4</v>
      </c>
      <c r="AE291" s="18" t="str">
        <f t="shared" si="54"/>
        <v/>
      </c>
      <c r="AF291" s="7" t="str">
        <f t="shared" si="55"/>
        <v/>
      </c>
      <c r="AG291" s="12">
        <f t="shared" si="56"/>
        <v>0.99836562692497688</v>
      </c>
      <c r="AI291" s="54" t="str">
        <f t="shared" si="57"/>
        <v/>
      </c>
      <c r="AJ291" s="54" t="str">
        <f t="shared" si="58"/>
        <v/>
      </c>
      <c r="AK291" s="54">
        <f t="shared" si="59"/>
        <v>0.13941720348858408</v>
      </c>
    </row>
    <row r="292" spans="9:37" x14ac:dyDescent="0.45">
      <c r="I292" s="2">
        <v>43.8</v>
      </c>
      <c r="J292" s="2">
        <v>1.2428000000000001E-3</v>
      </c>
      <c r="K292" s="2">
        <v>1.0043999999999999E-3</v>
      </c>
      <c r="R292" s="2">
        <v>19.68</v>
      </c>
      <c r="S292" s="2">
        <v>5.8692E-4</v>
      </c>
      <c r="T292" s="2">
        <v>1.8644000000000001E-4</v>
      </c>
      <c r="V292" s="11"/>
      <c r="W292" s="6"/>
      <c r="X292" s="6">
        <v>2.73</v>
      </c>
      <c r="Y292" s="11" t="str">
        <f t="shared" si="60"/>
        <v/>
      </c>
      <c r="Z292" s="6" t="str">
        <f t="shared" si="61"/>
        <v/>
      </c>
      <c r="AA292" s="23">
        <f t="shared" si="62"/>
        <v>32.729999999999997</v>
      </c>
      <c r="AB292" t="str">
        <f t="shared" si="51"/>
        <v/>
      </c>
      <c r="AC292" t="str">
        <f t="shared" si="52"/>
        <v/>
      </c>
      <c r="AD292">
        <f t="shared" si="53"/>
        <v>6.2140999999999997E-4</v>
      </c>
      <c r="AE292" s="18" t="str">
        <f t="shared" si="54"/>
        <v/>
      </c>
      <c r="AF292" s="7" t="str">
        <f t="shared" si="55"/>
        <v/>
      </c>
      <c r="AG292" s="12">
        <f t="shared" si="56"/>
        <v>0.99835942467835614</v>
      </c>
      <c r="AI292" s="54" t="str">
        <f t="shared" si="57"/>
        <v/>
      </c>
      <c r="AJ292" s="54" t="str">
        <f t="shared" si="58"/>
        <v/>
      </c>
      <c r="AK292" s="54">
        <f t="shared" si="59"/>
        <v>0.13995851591984296</v>
      </c>
    </row>
    <row r="293" spans="9:37" x14ac:dyDescent="0.45">
      <c r="I293" s="2">
        <v>43.9</v>
      </c>
      <c r="J293" s="2">
        <v>1.2539000000000001E-3</v>
      </c>
      <c r="K293" s="2">
        <v>1.0131999999999999E-3</v>
      </c>
      <c r="R293" s="2">
        <v>19.690000000000001</v>
      </c>
      <c r="S293" s="2">
        <v>5.8686000000000003E-4</v>
      </c>
      <c r="T293" s="2">
        <v>1.8652E-4</v>
      </c>
      <c r="V293" s="11"/>
      <c r="W293" s="6"/>
      <c r="X293" s="6">
        <v>2.74</v>
      </c>
      <c r="Y293" s="11" t="str">
        <f t="shared" si="60"/>
        <v/>
      </c>
      <c r="Z293" s="6" t="str">
        <f t="shared" si="61"/>
        <v/>
      </c>
      <c r="AA293" s="23">
        <f t="shared" si="62"/>
        <v>32.74</v>
      </c>
      <c r="AB293" t="str">
        <f t="shared" si="51"/>
        <v/>
      </c>
      <c r="AC293" t="str">
        <f t="shared" si="52"/>
        <v/>
      </c>
      <c r="AD293">
        <f t="shared" si="53"/>
        <v>6.2158000000000005E-4</v>
      </c>
      <c r="AE293" s="18" t="str">
        <f t="shared" si="54"/>
        <v/>
      </c>
      <c r="AF293" s="7" t="str">
        <f t="shared" si="55"/>
        <v/>
      </c>
      <c r="AG293" s="12">
        <f t="shared" si="56"/>
        <v>0.99835322077305522</v>
      </c>
      <c r="AI293" s="54" t="str">
        <f t="shared" si="57"/>
        <v/>
      </c>
      <c r="AJ293" s="54" t="str">
        <f t="shared" si="58"/>
        <v/>
      </c>
      <c r="AK293" s="54">
        <f t="shared" si="59"/>
        <v>0.14050004677685315</v>
      </c>
    </row>
    <row r="294" spans="9:37" x14ac:dyDescent="0.45">
      <c r="I294" s="2">
        <v>44</v>
      </c>
      <c r="J294" s="2">
        <v>1.2650000000000001E-3</v>
      </c>
      <c r="K294" s="2">
        <v>1.0219999999999999E-3</v>
      </c>
      <c r="R294" s="2">
        <v>19.7</v>
      </c>
      <c r="S294" s="2">
        <v>5.8679999999999995E-4</v>
      </c>
      <c r="T294" s="2">
        <v>1.8660000000000001E-4</v>
      </c>
      <c r="V294" s="11"/>
      <c r="W294" s="6"/>
      <c r="X294" s="6">
        <v>2.75</v>
      </c>
      <c r="Y294" s="11" t="str">
        <f t="shared" si="60"/>
        <v/>
      </c>
      <c r="Z294" s="6" t="str">
        <f t="shared" si="61"/>
        <v/>
      </c>
      <c r="AA294" s="23">
        <f t="shared" si="62"/>
        <v>32.75</v>
      </c>
      <c r="AB294" t="str">
        <f t="shared" si="51"/>
        <v/>
      </c>
      <c r="AC294" t="str">
        <f t="shared" si="52"/>
        <v/>
      </c>
      <c r="AD294">
        <f t="shared" si="53"/>
        <v>6.2175000000000002E-4</v>
      </c>
      <c r="AE294" s="18" t="str">
        <f t="shared" si="54"/>
        <v/>
      </c>
      <c r="AF294" s="7" t="str">
        <f t="shared" si="55"/>
        <v/>
      </c>
      <c r="AG294" s="12">
        <f t="shared" si="56"/>
        <v>0.99834701520910551</v>
      </c>
      <c r="AI294" s="54" t="str">
        <f t="shared" si="57"/>
        <v/>
      </c>
      <c r="AJ294" s="54" t="str">
        <f t="shared" si="58"/>
        <v/>
      </c>
      <c r="AK294" s="54">
        <f t="shared" si="59"/>
        <v>0.14104179615018314</v>
      </c>
    </row>
    <row r="295" spans="9:37" x14ac:dyDescent="0.45">
      <c r="I295" s="2">
        <v>44.1</v>
      </c>
      <c r="J295" s="2">
        <v>1.2779E-3</v>
      </c>
      <c r="K295" s="2">
        <v>1.0319000000000001E-3</v>
      </c>
      <c r="R295" s="2">
        <v>19.71</v>
      </c>
      <c r="S295" s="2">
        <v>5.8673999999999998E-4</v>
      </c>
      <c r="T295" s="2">
        <v>1.8667999999999999E-4</v>
      </c>
      <c r="V295" s="11"/>
      <c r="W295" s="6"/>
      <c r="X295" s="6">
        <v>2.7600000000000002</v>
      </c>
      <c r="Y295" s="11" t="str">
        <f t="shared" si="60"/>
        <v/>
      </c>
      <c r="Z295" s="6" t="str">
        <f t="shared" si="61"/>
        <v/>
      </c>
      <c r="AA295" s="23">
        <f t="shared" si="62"/>
        <v>32.76</v>
      </c>
      <c r="AB295" t="str">
        <f t="shared" si="51"/>
        <v/>
      </c>
      <c r="AC295" t="str">
        <f t="shared" si="52"/>
        <v/>
      </c>
      <c r="AD295">
        <f t="shared" si="53"/>
        <v>6.2191999999999998E-4</v>
      </c>
      <c r="AE295" s="18" t="str">
        <f t="shared" si="54"/>
        <v/>
      </c>
      <c r="AF295" s="7" t="str">
        <f t="shared" si="55"/>
        <v/>
      </c>
      <c r="AG295" s="12">
        <f t="shared" si="56"/>
        <v>0.99834080798653846</v>
      </c>
      <c r="AI295" s="54" t="str">
        <f t="shared" si="57"/>
        <v/>
      </c>
      <c r="AJ295" s="54" t="str">
        <f t="shared" si="58"/>
        <v/>
      </c>
      <c r="AK295" s="54">
        <f t="shared" si="59"/>
        <v>0.14158376413043927</v>
      </c>
    </row>
    <row r="296" spans="9:37" x14ac:dyDescent="0.45">
      <c r="I296" s="2">
        <v>44.2</v>
      </c>
      <c r="J296" s="2">
        <v>1.2907999999999999E-3</v>
      </c>
      <c r="K296" s="2">
        <v>1.0418000000000001E-3</v>
      </c>
      <c r="R296" s="2">
        <v>19.72</v>
      </c>
      <c r="S296" s="2">
        <v>5.8668000000000001E-4</v>
      </c>
      <c r="T296" s="2">
        <v>1.8676000000000001E-4</v>
      </c>
      <c r="V296" s="11"/>
      <c r="W296" s="6"/>
      <c r="X296" s="6">
        <v>2.77</v>
      </c>
      <c r="Y296" s="11" t="str">
        <f t="shared" si="60"/>
        <v/>
      </c>
      <c r="Z296" s="6" t="str">
        <f t="shared" si="61"/>
        <v/>
      </c>
      <c r="AA296" s="23">
        <f t="shared" si="62"/>
        <v>32.770000000000003</v>
      </c>
      <c r="AB296" t="str">
        <f t="shared" si="51"/>
        <v/>
      </c>
      <c r="AC296" t="str">
        <f t="shared" si="52"/>
        <v/>
      </c>
      <c r="AD296">
        <f t="shared" si="53"/>
        <v>6.2208999999999995E-4</v>
      </c>
      <c r="AE296" s="18" t="str">
        <f t="shared" si="54"/>
        <v/>
      </c>
      <c r="AF296" s="7" t="str">
        <f t="shared" si="55"/>
        <v/>
      </c>
      <c r="AG296" s="12">
        <f t="shared" si="56"/>
        <v>0.99833459910538547</v>
      </c>
      <c r="AI296" s="54" t="str">
        <f t="shared" si="57"/>
        <v/>
      </c>
      <c r="AJ296" s="54" t="str">
        <f t="shared" si="58"/>
        <v/>
      </c>
      <c r="AK296" s="54">
        <f t="shared" si="59"/>
        <v>0.14212595080826582</v>
      </c>
    </row>
    <row r="297" spans="9:37" x14ac:dyDescent="0.45">
      <c r="I297" s="2">
        <v>44.3</v>
      </c>
      <c r="J297" s="2">
        <v>1.3037000000000001E-3</v>
      </c>
      <c r="K297" s="2">
        <v>1.0517E-3</v>
      </c>
      <c r="R297" s="2">
        <v>19.73</v>
      </c>
      <c r="S297" s="2">
        <v>5.8662000000000005E-4</v>
      </c>
      <c r="T297" s="2">
        <v>1.8683999999999999E-4</v>
      </c>
      <c r="V297" s="11"/>
      <c r="W297" s="6"/>
      <c r="X297" s="6">
        <v>2.7800000000000002</v>
      </c>
      <c r="Y297" s="11" t="str">
        <f t="shared" si="60"/>
        <v/>
      </c>
      <c r="Z297" s="6" t="str">
        <f t="shared" si="61"/>
        <v/>
      </c>
      <c r="AA297" s="23">
        <f t="shared" si="62"/>
        <v>32.78</v>
      </c>
      <c r="AB297" t="str">
        <f t="shared" si="51"/>
        <v/>
      </c>
      <c r="AC297" t="str">
        <f t="shared" si="52"/>
        <v/>
      </c>
      <c r="AD297">
        <f t="shared" si="53"/>
        <v>6.2226000000000002E-4</v>
      </c>
      <c r="AE297" s="18" t="str">
        <f t="shared" si="54"/>
        <v/>
      </c>
      <c r="AF297" s="7" t="str">
        <f t="shared" si="55"/>
        <v/>
      </c>
      <c r="AG297" s="12">
        <f t="shared" si="56"/>
        <v>0.99832838856567785</v>
      </c>
      <c r="AI297" s="54" t="str">
        <f t="shared" si="57"/>
        <v/>
      </c>
      <c r="AJ297" s="54" t="str">
        <f t="shared" si="58"/>
        <v/>
      </c>
      <c r="AK297" s="54">
        <f t="shared" si="59"/>
        <v>0.14266835627434499</v>
      </c>
    </row>
    <row r="298" spans="9:37" x14ac:dyDescent="0.45">
      <c r="I298" s="2">
        <v>44.4</v>
      </c>
      <c r="J298" s="2">
        <v>1.3166E-3</v>
      </c>
      <c r="K298" s="2">
        <v>1.0616E-3</v>
      </c>
      <c r="R298" s="2">
        <v>19.739999999999998</v>
      </c>
      <c r="S298" s="2">
        <v>5.8655999999999997E-4</v>
      </c>
      <c r="T298" s="2">
        <v>1.8692000000000001E-4</v>
      </c>
      <c r="V298" s="11"/>
      <c r="W298" s="6"/>
      <c r="X298" s="6">
        <v>2.79</v>
      </c>
      <c r="Y298" s="11" t="str">
        <f t="shared" si="60"/>
        <v/>
      </c>
      <c r="Z298" s="6" t="str">
        <f t="shared" si="61"/>
        <v/>
      </c>
      <c r="AA298" s="23">
        <f t="shared" si="62"/>
        <v>32.79</v>
      </c>
      <c r="AB298" t="str">
        <f t="shared" si="51"/>
        <v/>
      </c>
      <c r="AC298" t="str">
        <f t="shared" si="52"/>
        <v/>
      </c>
      <c r="AD298">
        <f t="shared" si="53"/>
        <v>6.2242999999999999E-4</v>
      </c>
      <c r="AE298" s="18" t="str">
        <f t="shared" si="54"/>
        <v/>
      </c>
      <c r="AF298" s="7" t="str">
        <f t="shared" si="55"/>
        <v/>
      </c>
      <c r="AG298" s="12">
        <f t="shared" si="56"/>
        <v>0.99832217636744713</v>
      </c>
      <c r="AI298" s="54" t="str">
        <f t="shared" si="57"/>
        <v/>
      </c>
      <c r="AJ298" s="54" t="str">
        <f t="shared" si="58"/>
        <v/>
      </c>
      <c r="AK298" s="54">
        <f t="shared" si="59"/>
        <v>0.14321098061939697</v>
      </c>
    </row>
    <row r="299" spans="9:37" x14ac:dyDescent="0.45">
      <c r="I299" s="2">
        <v>44.5</v>
      </c>
      <c r="J299" s="2">
        <v>1.3295E-3</v>
      </c>
      <c r="K299" s="2">
        <v>1.0715E-3</v>
      </c>
      <c r="R299" s="2">
        <v>19.75</v>
      </c>
      <c r="S299" s="2">
        <v>5.865E-4</v>
      </c>
      <c r="T299" s="2">
        <v>1.8699999999999999E-4</v>
      </c>
      <c r="V299" s="11"/>
      <c r="W299" s="6"/>
      <c r="X299" s="6">
        <v>2.8000000000000003</v>
      </c>
      <c r="Y299" s="11" t="str">
        <f t="shared" si="60"/>
        <v/>
      </c>
      <c r="Z299" s="6" t="str">
        <f t="shared" si="61"/>
        <v/>
      </c>
      <c r="AA299" s="23">
        <f t="shared" si="62"/>
        <v>32.799999999999997</v>
      </c>
      <c r="AB299" t="str">
        <f t="shared" si="51"/>
        <v/>
      </c>
      <c r="AC299" t="str">
        <f t="shared" si="52"/>
        <v/>
      </c>
      <c r="AD299">
        <f t="shared" si="53"/>
        <v>6.2259999999999995E-4</v>
      </c>
      <c r="AE299" s="18" t="str">
        <f t="shared" si="54"/>
        <v/>
      </c>
      <c r="AF299" s="7" t="str">
        <f t="shared" si="55"/>
        <v/>
      </c>
      <c r="AG299" s="12">
        <f t="shared" si="56"/>
        <v>0.99831596251072474</v>
      </c>
      <c r="AI299" s="54" t="str">
        <f t="shared" si="57"/>
        <v/>
      </c>
      <c r="AJ299" s="54" t="str">
        <f t="shared" si="58"/>
        <v/>
      </c>
      <c r="AK299" s="54">
        <f t="shared" si="59"/>
        <v>0.14375382393417988</v>
      </c>
    </row>
    <row r="300" spans="9:37" x14ac:dyDescent="0.45">
      <c r="I300" s="2">
        <v>44.6</v>
      </c>
      <c r="J300" s="2">
        <v>1.3424000000000001E-3</v>
      </c>
      <c r="K300" s="2">
        <v>1.0813999999999999E-3</v>
      </c>
      <c r="R300" s="2">
        <v>19.760000000000002</v>
      </c>
      <c r="S300" s="2">
        <v>5.8644000000000003E-4</v>
      </c>
      <c r="T300" s="2">
        <v>1.8708E-4</v>
      </c>
      <c r="V300" s="11"/>
      <c r="W300" s="6"/>
      <c r="X300" s="6">
        <v>2.81</v>
      </c>
      <c r="Y300" s="11" t="str">
        <f t="shared" si="60"/>
        <v/>
      </c>
      <c r="Z300" s="6" t="str">
        <f t="shared" si="61"/>
        <v/>
      </c>
      <c r="AA300" s="23">
        <f t="shared" si="62"/>
        <v>32.81</v>
      </c>
      <c r="AB300" t="str">
        <f t="shared" si="51"/>
        <v/>
      </c>
      <c r="AC300" t="str">
        <f t="shared" si="52"/>
        <v/>
      </c>
      <c r="AD300">
        <f t="shared" si="53"/>
        <v>6.2277000000000003E-4</v>
      </c>
      <c r="AE300" s="18" t="str">
        <f t="shared" si="54"/>
        <v/>
      </c>
      <c r="AF300" s="7" t="str">
        <f t="shared" si="55"/>
        <v/>
      </c>
      <c r="AG300" s="12">
        <f t="shared" si="56"/>
        <v>0.9983097469955422</v>
      </c>
      <c r="AI300" s="54" t="str">
        <f t="shared" si="57"/>
        <v/>
      </c>
      <c r="AJ300" s="54" t="str">
        <f t="shared" si="58"/>
        <v/>
      </c>
      <c r="AK300" s="54">
        <f t="shared" si="59"/>
        <v>0.14429688630948986</v>
      </c>
    </row>
    <row r="301" spans="9:37" x14ac:dyDescent="0.45">
      <c r="I301" s="2">
        <v>44.7</v>
      </c>
      <c r="J301" s="2">
        <v>1.3553E-3</v>
      </c>
      <c r="K301" s="2">
        <v>1.0912999999999999E-3</v>
      </c>
      <c r="R301" s="2">
        <v>19.77</v>
      </c>
      <c r="S301" s="2">
        <v>5.8637999999999995E-4</v>
      </c>
      <c r="T301" s="2">
        <v>1.8715999999999999E-4</v>
      </c>
      <c r="V301" s="11"/>
      <c r="W301" s="6"/>
      <c r="X301" s="6">
        <v>2.82</v>
      </c>
      <c r="Y301" s="11" t="str">
        <f t="shared" si="60"/>
        <v/>
      </c>
      <c r="Z301" s="6" t="str">
        <f t="shared" si="61"/>
        <v/>
      </c>
      <c r="AA301" s="23">
        <f t="shared" si="62"/>
        <v>32.82</v>
      </c>
      <c r="AB301" t="str">
        <f t="shared" si="51"/>
        <v/>
      </c>
      <c r="AC301" t="str">
        <f t="shared" si="52"/>
        <v/>
      </c>
      <c r="AD301">
        <f t="shared" si="53"/>
        <v>6.2294E-4</v>
      </c>
      <c r="AE301" s="18" t="str">
        <f t="shared" si="54"/>
        <v/>
      </c>
      <c r="AF301" s="7" t="str">
        <f t="shared" si="55"/>
        <v/>
      </c>
      <c r="AG301" s="12">
        <f t="shared" si="56"/>
        <v>0.99830352982193082</v>
      </c>
      <c r="AI301" s="54" t="str">
        <f t="shared" si="57"/>
        <v/>
      </c>
      <c r="AJ301" s="54" t="str">
        <f t="shared" si="58"/>
        <v/>
      </c>
      <c r="AK301" s="54">
        <f t="shared" si="59"/>
        <v>0.14484016783616102</v>
      </c>
    </row>
    <row r="302" spans="9:37" x14ac:dyDescent="0.45">
      <c r="I302" s="2">
        <v>44.8</v>
      </c>
      <c r="J302" s="2">
        <v>1.3682E-3</v>
      </c>
      <c r="K302" s="2">
        <v>1.1012000000000001E-3</v>
      </c>
      <c r="R302" s="2">
        <v>19.78</v>
      </c>
      <c r="S302" s="2">
        <v>5.8631999999999998E-4</v>
      </c>
      <c r="T302" s="2">
        <v>1.8724E-4</v>
      </c>
      <c r="V302" s="11"/>
      <c r="W302" s="6"/>
      <c r="X302" s="6">
        <v>2.83</v>
      </c>
      <c r="Y302" s="11" t="str">
        <f t="shared" si="60"/>
        <v/>
      </c>
      <c r="Z302" s="6" t="str">
        <f t="shared" si="61"/>
        <v/>
      </c>
      <c r="AA302" s="23">
        <f t="shared" si="62"/>
        <v>32.83</v>
      </c>
      <c r="AB302" t="str">
        <f t="shared" si="51"/>
        <v/>
      </c>
      <c r="AC302" t="str">
        <f t="shared" si="52"/>
        <v/>
      </c>
      <c r="AD302">
        <f t="shared" si="53"/>
        <v>6.2310999999999996E-4</v>
      </c>
      <c r="AE302" s="18" t="str">
        <f t="shared" si="54"/>
        <v/>
      </c>
      <c r="AF302" s="7" t="str">
        <f t="shared" si="55"/>
        <v/>
      </c>
      <c r="AG302" s="12">
        <f t="shared" si="56"/>
        <v>0.99829731098992214</v>
      </c>
      <c r="AI302" s="54" t="str">
        <f t="shared" si="57"/>
        <v/>
      </c>
      <c r="AJ302" s="54" t="str">
        <f t="shared" si="58"/>
        <v/>
      </c>
      <c r="AK302" s="54">
        <f t="shared" si="59"/>
        <v>0.14538366860506549</v>
      </c>
    </row>
    <row r="303" spans="9:37" x14ac:dyDescent="0.45">
      <c r="I303" s="2">
        <v>44.9</v>
      </c>
      <c r="J303" s="2">
        <v>1.3810999999999999E-3</v>
      </c>
      <c r="K303" s="2">
        <v>1.1111000000000001E-3</v>
      </c>
      <c r="R303" s="2">
        <v>19.79</v>
      </c>
      <c r="S303" s="2">
        <v>5.8626000000000001E-4</v>
      </c>
      <c r="T303" s="2">
        <v>1.8731999999999999E-4</v>
      </c>
      <c r="V303" s="11"/>
      <c r="W303" s="6"/>
      <c r="X303" s="6">
        <v>2.84</v>
      </c>
      <c r="Y303" s="11" t="str">
        <f t="shared" si="60"/>
        <v/>
      </c>
      <c r="Z303" s="6" t="str">
        <f t="shared" si="61"/>
        <v/>
      </c>
      <c r="AA303" s="23">
        <f t="shared" si="62"/>
        <v>32.840000000000003</v>
      </c>
      <c r="AB303" t="str">
        <f t="shared" si="51"/>
        <v/>
      </c>
      <c r="AC303" t="str">
        <f t="shared" si="52"/>
        <v/>
      </c>
      <c r="AD303">
        <f t="shared" si="53"/>
        <v>6.2328000000000004E-4</v>
      </c>
      <c r="AE303" s="18" t="str">
        <f t="shared" si="54"/>
        <v/>
      </c>
      <c r="AF303" s="7" t="str">
        <f t="shared" si="55"/>
        <v/>
      </c>
      <c r="AG303" s="12">
        <f t="shared" si="56"/>
        <v>0.99829109049954767</v>
      </c>
      <c r="AI303" s="54" t="str">
        <f t="shared" si="57"/>
        <v/>
      </c>
      <c r="AJ303" s="54" t="str">
        <f t="shared" si="58"/>
        <v/>
      </c>
      <c r="AK303" s="54">
        <f t="shared" si="59"/>
        <v>0.14592738870711347</v>
      </c>
    </row>
    <row r="304" spans="9:37" x14ac:dyDescent="0.45">
      <c r="I304" s="2">
        <v>45</v>
      </c>
      <c r="J304" s="2">
        <v>1.3940000000000001E-3</v>
      </c>
      <c r="K304" s="2">
        <v>1.121E-3</v>
      </c>
      <c r="R304" s="2">
        <v>19.8</v>
      </c>
      <c r="S304" s="2">
        <v>5.8620000000000005E-4</v>
      </c>
      <c r="T304" s="2">
        <v>1.874E-4</v>
      </c>
      <c r="V304" s="11"/>
      <c r="W304" s="6"/>
      <c r="X304" s="6">
        <v>2.85</v>
      </c>
      <c r="Y304" s="11" t="str">
        <f t="shared" si="60"/>
        <v/>
      </c>
      <c r="Z304" s="6" t="str">
        <f t="shared" si="61"/>
        <v/>
      </c>
      <c r="AA304" s="23">
        <f t="shared" si="62"/>
        <v>32.85</v>
      </c>
      <c r="AB304" t="str">
        <f t="shared" si="51"/>
        <v/>
      </c>
      <c r="AC304" t="str">
        <f t="shared" si="52"/>
        <v/>
      </c>
      <c r="AD304">
        <f t="shared" si="53"/>
        <v>6.2345E-4</v>
      </c>
      <c r="AE304" s="18" t="str">
        <f t="shared" si="54"/>
        <v/>
      </c>
      <c r="AF304" s="7" t="str">
        <f t="shared" si="55"/>
        <v/>
      </c>
      <c r="AG304" s="12">
        <f t="shared" si="56"/>
        <v>0.99828486835083885</v>
      </c>
      <c r="AI304" s="54" t="str">
        <f t="shared" si="57"/>
        <v/>
      </c>
      <c r="AJ304" s="54" t="str">
        <f t="shared" si="58"/>
        <v/>
      </c>
      <c r="AK304" s="54">
        <f t="shared" si="59"/>
        <v>0.14647132823325315</v>
      </c>
    </row>
    <row r="305" spans="9:37" x14ac:dyDescent="0.45">
      <c r="I305" s="2">
        <v>45.1</v>
      </c>
      <c r="J305" s="2">
        <v>1.4086999999999999E-3</v>
      </c>
      <c r="K305" s="2">
        <v>1.1318999999999999E-3</v>
      </c>
      <c r="R305" s="2">
        <v>19.809999999999999</v>
      </c>
      <c r="S305" s="2">
        <v>5.8613999999999997E-4</v>
      </c>
      <c r="T305" s="2">
        <v>1.8747999999999999E-4</v>
      </c>
      <c r="V305" s="11"/>
      <c r="W305" s="6"/>
      <c r="X305" s="6">
        <v>2.86</v>
      </c>
      <c r="Y305" s="11" t="str">
        <f t="shared" si="60"/>
        <v/>
      </c>
      <c r="Z305" s="6" t="str">
        <f t="shared" si="61"/>
        <v/>
      </c>
      <c r="AA305" s="23">
        <f t="shared" si="62"/>
        <v>32.86</v>
      </c>
      <c r="AB305" t="str">
        <f t="shared" si="51"/>
        <v/>
      </c>
      <c r="AC305" t="str">
        <f t="shared" si="52"/>
        <v/>
      </c>
      <c r="AD305">
        <f t="shared" si="53"/>
        <v>6.2361999999999997E-4</v>
      </c>
      <c r="AE305" s="18" t="str">
        <f t="shared" si="54"/>
        <v/>
      </c>
      <c r="AF305" s="7" t="str">
        <f t="shared" si="55"/>
        <v/>
      </c>
      <c r="AG305" s="12">
        <f t="shared" si="56"/>
        <v>0.99827864454382709</v>
      </c>
      <c r="AI305" s="54" t="str">
        <f t="shared" si="57"/>
        <v/>
      </c>
      <c r="AJ305" s="54" t="str">
        <f t="shared" si="58"/>
        <v/>
      </c>
      <c r="AK305" s="54">
        <f t="shared" si="59"/>
        <v>0.14701548727447081</v>
      </c>
    </row>
    <row r="306" spans="9:37" x14ac:dyDescent="0.45">
      <c r="I306" s="2">
        <v>45.2</v>
      </c>
      <c r="J306" s="2">
        <v>1.4234E-3</v>
      </c>
      <c r="K306" s="2">
        <v>1.1428E-3</v>
      </c>
      <c r="R306" s="2">
        <v>19.82</v>
      </c>
      <c r="S306" s="2">
        <v>5.8608E-4</v>
      </c>
      <c r="T306" s="2">
        <v>1.8756E-4</v>
      </c>
      <c r="V306" s="11"/>
      <c r="W306" s="6"/>
      <c r="X306" s="6">
        <v>2.87</v>
      </c>
      <c r="Y306" s="11" t="str">
        <f t="shared" si="60"/>
        <v/>
      </c>
      <c r="Z306" s="6" t="str">
        <f t="shared" si="61"/>
        <v/>
      </c>
      <c r="AA306" s="23">
        <f t="shared" si="62"/>
        <v>32.869999999999997</v>
      </c>
      <c r="AB306" t="str">
        <f t="shared" si="51"/>
        <v/>
      </c>
      <c r="AC306" t="str">
        <f t="shared" si="52"/>
        <v/>
      </c>
      <c r="AD306">
        <f t="shared" si="53"/>
        <v>6.2379000000000004E-4</v>
      </c>
      <c r="AE306" s="18" t="str">
        <f t="shared" si="54"/>
        <v/>
      </c>
      <c r="AF306" s="7" t="str">
        <f t="shared" si="55"/>
        <v/>
      </c>
      <c r="AG306" s="12">
        <f t="shared" si="56"/>
        <v>0.99827241907854403</v>
      </c>
      <c r="AI306" s="54" t="str">
        <f t="shared" si="57"/>
        <v/>
      </c>
      <c r="AJ306" s="54" t="str">
        <f t="shared" si="58"/>
        <v/>
      </c>
      <c r="AK306" s="54">
        <f t="shared" si="59"/>
        <v>0.14755986592179082</v>
      </c>
    </row>
    <row r="307" spans="9:37" x14ac:dyDescent="0.45">
      <c r="I307" s="2">
        <v>45.3</v>
      </c>
      <c r="J307" s="2">
        <v>1.4381000000000001E-3</v>
      </c>
      <c r="K307" s="2">
        <v>1.1536999999999999E-3</v>
      </c>
      <c r="R307" s="2">
        <v>19.829999999999998</v>
      </c>
      <c r="S307" s="2">
        <v>5.8602000000000003E-4</v>
      </c>
      <c r="T307" s="2">
        <v>1.8764000000000001E-4</v>
      </c>
      <c r="V307" s="11"/>
      <c r="W307" s="6"/>
      <c r="X307" s="6">
        <v>2.88</v>
      </c>
      <c r="Y307" s="11" t="str">
        <f t="shared" si="60"/>
        <v/>
      </c>
      <c r="Z307" s="6" t="str">
        <f t="shared" si="61"/>
        <v/>
      </c>
      <c r="AA307" s="23">
        <f t="shared" si="62"/>
        <v>32.880000000000003</v>
      </c>
      <c r="AB307" t="str">
        <f t="shared" si="51"/>
        <v/>
      </c>
      <c r="AC307" t="str">
        <f t="shared" si="52"/>
        <v/>
      </c>
      <c r="AD307">
        <f t="shared" si="53"/>
        <v>6.2396000000000001E-4</v>
      </c>
      <c r="AE307" s="18" t="str">
        <f t="shared" si="54"/>
        <v/>
      </c>
      <c r="AF307" s="7" t="str">
        <f t="shared" si="55"/>
        <v/>
      </c>
      <c r="AG307" s="12">
        <f t="shared" si="56"/>
        <v>0.99826619195502109</v>
      </c>
      <c r="AI307" s="54" t="str">
        <f t="shared" si="57"/>
        <v/>
      </c>
      <c r="AJ307" s="54" t="str">
        <f t="shared" si="58"/>
        <v/>
      </c>
      <c r="AK307" s="54">
        <f t="shared" si="59"/>
        <v>0.14810446426627566</v>
      </c>
    </row>
    <row r="308" spans="9:37" x14ac:dyDescent="0.45">
      <c r="I308" s="2">
        <v>45.4</v>
      </c>
      <c r="J308" s="2">
        <v>1.4528E-3</v>
      </c>
      <c r="K308" s="2">
        <v>1.1646E-3</v>
      </c>
      <c r="R308" s="2">
        <v>19.84</v>
      </c>
      <c r="S308" s="2">
        <v>5.8595999999999995E-4</v>
      </c>
      <c r="T308" s="2">
        <v>1.8772E-4</v>
      </c>
      <c r="V308" s="11"/>
      <c r="W308" s="6"/>
      <c r="X308" s="6">
        <v>2.89</v>
      </c>
      <c r="Y308" s="11" t="str">
        <f t="shared" si="60"/>
        <v/>
      </c>
      <c r="Z308" s="6" t="str">
        <f t="shared" si="61"/>
        <v/>
      </c>
      <c r="AA308" s="23">
        <f t="shared" si="62"/>
        <v>32.89</v>
      </c>
      <c r="AB308" t="str">
        <f t="shared" si="51"/>
        <v/>
      </c>
      <c r="AC308" t="str">
        <f t="shared" si="52"/>
        <v/>
      </c>
      <c r="AD308">
        <f t="shared" si="53"/>
        <v>6.2412999999999998E-4</v>
      </c>
      <c r="AE308" s="18" t="str">
        <f t="shared" si="54"/>
        <v/>
      </c>
      <c r="AF308" s="7" t="str">
        <f t="shared" si="55"/>
        <v/>
      </c>
      <c r="AG308" s="12">
        <f t="shared" si="56"/>
        <v>0.9982599631732898</v>
      </c>
      <c r="AI308" s="54" t="str">
        <f t="shared" si="57"/>
        <v/>
      </c>
      <c r="AJ308" s="54" t="str">
        <f t="shared" si="58"/>
        <v/>
      </c>
      <c r="AK308" s="54">
        <f t="shared" si="59"/>
        <v>0.14864928239902589</v>
      </c>
    </row>
    <row r="309" spans="9:37" x14ac:dyDescent="0.45">
      <c r="I309" s="2">
        <v>45.5</v>
      </c>
      <c r="J309" s="2">
        <v>1.4675000000000001E-3</v>
      </c>
      <c r="K309" s="2">
        <v>1.1754999999999999E-3</v>
      </c>
      <c r="R309" s="2">
        <v>19.850000000000001</v>
      </c>
      <c r="S309" s="2">
        <v>5.8589999999999998E-4</v>
      </c>
      <c r="T309" s="2">
        <v>1.8780000000000001E-4</v>
      </c>
      <c r="V309" s="11"/>
      <c r="W309" s="6"/>
      <c r="X309" s="6">
        <v>2.9</v>
      </c>
      <c r="Y309" s="11" t="str">
        <f t="shared" si="60"/>
        <v/>
      </c>
      <c r="Z309" s="6" t="str">
        <f t="shared" si="61"/>
        <v/>
      </c>
      <c r="AA309" s="23">
        <f t="shared" si="62"/>
        <v>32.9</v>
      </c>
      <c r="AB309" t="str">
        <f t="shared" si="51"/>
        <v/>
      </c>
      <c r="AC309" t="str">
        <f t="shared" si="52"/>
        <v/>
      </c>
      <c r="AD309">
        <f t="shared" si="53"/>
        <v>6.2430000000000005E-4</v>
      </c>
      <c r="AE309" s="18" t="str">
        <f t="shared" si="54"/>
        <v/>
      </c>
      <c r="AF309" s="7" t="str">
        <f t="shared" si="55"/>
        <v/>
      </c>
      <c r="AG309" s="12">
        <f t="shared" si="56"/>
        <v>0.99825373273338169</v>
      </c>
      <c r="AI309" s="54" t="str">
        <f t="shared" si="57"/>
        <v/>
      </c>
      <c r="AJ309" s="54" t="str">
        <f t="shared" si="58"/>
        <v/>
      </c>
      <c r="AK309" s="54">
        <f t="shared" si="59"/>
        <v>0.14919432041118022</v>
      </c>
    </row>
    <row r="310" spans="9:37" x14ac:dyDescent="0.45">
      <c r="I310" s="2">
        <v>45.6</v>
      </c>
      <c r="J310" s="2">
        <v>1.4821999999999999E-3</v>
      </c>
      <c r="K310" s="2">
        <v>1.1864E-3</v>
      </c>
      <c r="R310" s="2">
        <v>19.86</v>
      </c>
      <c r="S310" s="2">
        <v>5.8584000000000002E-4</v>
      </c>
      <c r="T310" s="2">
        <v>1.8788E-4</v>
      </c>
      <c r="V310" s="11"/>
      <c r="W310" s="6"/>
      <c r="X310" s="6">
        <v>2.91</v>
      </c>
      <c r="Y310" s="11" t="str">
        <f t="shared" si="60"/>
        <v/>
      </c>
      <c r="Z310" s="6" t="str">
        <f t="shared" si="61"/>
        <v/>
      </c>
      <c r="AA310" s="23">
        <f t="shared" si="62"/>
        <v>32.909999999999997</v>
      </c>
      <c r="AB310" t="str">
        <f t="shared" si="51"/>
        <v/>
      </c>
      <c r="AC310" t="str">
        <f t="shared" si="52"/>
        <v/>
      </c>
      <c r="AD310">
        <f t="shared" si="53"/>
        <v>6.2447000000000002E-4</v>
      </c>
      <c r="AE310" s="18" t="str">
        <f t="shared" si="54"/>
        <v/>
      </c>
      <c r="AF310" s="7" t="str">
        <f t="shared" si="55"/>
        <v/>
      </c>
      <c r="AG310" s="12">
        <f t="shared" si="56"/>
        <v>0.99824750063532819</v>
      </c>
      <c r="AI310" s="54" t="str">
        <f t="shared" si="57"/>
        <v/>
      </c>
      <c r="AJ310" s="54" t="str">
        <f t="shared" si="58"/>
        <v/>
      </c>
      <c r="AK310" s="54">
        <f t="shared" si="59"/>
        <v>0.14973957839391552</v>
      </c>
    </row>
    <row r="311" spans="9:37" x14ac:dyDescent="0.45">
      <c r="I311" s="2">
        <v>45.7</v>
      </c>
      <c r="J311" s="2">
        <v>1.4969E-3</v>
      </c>
      <c r="K311" s="2">
        <v>1.1973000000000001E-3</v>
      </c>
      <c r="R311" s="2">
        <v>19.87</v>
      </c>
      <c r="S311" s="2">
        <v>5.8578000000000005E-4</v>
      </c>
      <c r="T311" s="2">
        <v>1.8796000000000001E-4</v>
      </c>
      <c r="V311" s="11"/>
      <c r="W311" s="6"/>
      <c r="X311" s="6">
        <v>2.92</v>
      </c>
      <c r="Y311" s="11" t="str">
        <f t="shared" si="60"/>
        <v/>
      </c>
      <c r="Z311" s="6" t="str">
        <f t="shared" si="61"/>
        <v/>
      </c>
      <c r="AA311" s="23">
        <f t="shared" si="62"/>
        <v>32.92</v>
      </c>
      <c r="AB311" t="str">
        <f t="shared" si="51"/>
        <v/>
      </c>
      <c r="AC311" t="str">
        <f t="shared" si="52"/>
        <v/>
      </c>
      <c r="AD311">
        <f t="shared" si="53"/>
        <v>6.2463999999999998E-4</v>
      </c>
      <c r="AE311" s="18" t="str">
        <f t="shared" si="54"/>
        <v/>
      </c>
      <c r="AF311" s="7" t="str">
        <f t="shared" si="55"/>
        <v/>
      </c>
      <c r="AG311" s="12">
        <f t="shared" si="56"/>
        <v>0.99824126687916093</v>
      </c>
      <c r="AI311" s="54" t="str">
        <f t="shared" si="57"/>
        <v/>
      </c>
      <c r="AJ311" s="54" t="str">
        <f t="shared" si="58"/>
        <v/>
      </c>
      <c r="AK311" s="54">
        <f t="shared" si="59"/>
        <v>0.15028505643844678</v>
      </c>
    </row>
    <row r="312" spans="9:37" x14ac:dyDescent="0.45">
      <c r="I312" s="2">
        <v>45.8</v>
      </c>
      <c r="J312" s="2">
        <v>1.5116000000000001E-3</v>
      </c>
      <c r="K312" s="2">
        <v>1.2082E-3</v>
      </c>
      <c r="R312" s="2">
        <v>19.88</v>
      </c>
      <c r="S312" s="2">
        <v>5.8571999999999997E-4</v>
      </c>
      <c r="T312" s="2">
        <v>1.8804E-4</v>
      </c>
      <c r="V312" s="11"/>
      <c r="W312" s="6"/>
      <c r="X312" s="6">
        <v>2.93</v>
      </c>
      <c r="Y312" s="11" t="str">
        <f t="shared" si="60"/>
        <v/>
      </c>
      <c r="Z312" s="6" t="str">
        <f t="shared" si="61"/>
        <v/>
      </c>
      <c r="AA312" s="23">
        <f t="shared" si="62"/>
        <v>32.93</v>
      </c>
      <c r="AB312" t="str">
        <f t="shared" si="51"/>
        <v/>
      </c>
      <c r="AC312" t="str">
        <f t="shared" si="52"/>
        <v/>
      </c>
      <c r="AD312">
        <f t="shared" si="53"/>
        <v>6.2480999999999995E-4</v>
      </c>
      <c r="AE312" s="18" t="str">
        <f t="shared" si="54"/>
        <v/>
      </c>
      <c r="AF312" s="7" t="str">
        <f t="shared" si="55"/>
        <v/>
      </c>
      <c r="AG312" s="12">
        <f t="shared" si="56"/>
        <v>0.99823503146491144</v>
      </c>
      <c r="AI312" s="54" t="str">
        <f t="shared" si="57"/>
        <v/>
      </c>
      <c r="AJ312" s="54" t="str">
        <f t="shared" si="58"/>
        <v/>
      </c>
      <c r="AK312" s="54">
        <f t="shared" si="59"/>
        <v>0.15083075463602719</v>
      </c>
    </row>
    <row r="313" spans="9:37" x14ac:dyDescent="0.45">
      <c r="I313" s="2">
        <v>45.9</v>
      </c>
      <c r="J313" s="2">
        <v>1.5263E-3</v>
      </c>
      <c r="K313" s="2">
        <v>1.2191000000000001E-3</v>
      </c>
      <c r="R313" s="2">
        <v>19.89</v>
      </c>
      <c r="S313" s="2">
        <v>5.8566E-4</v>
      </c>
      <c r="T313" s="2">
        <v>1.8812000000000001E-4</v>
      </c>
      <c r="V313" s="11"/>
      <c r="W313" s="6"/>
      <c r="X313" s="6">
        <v>2.94</v>
      </c>
      <c r="Y313" s="11" t="str">
        <f t="shared" si="60"/>
        <v/>
      </c>
      <c r="Z313" s="6" t="str">
        <f t="shared" si="61"/>
        <v/>
      </c>
      <c r="AA313" s="23">
        <f t="shared" si="62"/>
        <v>32.94</v>
      </c>
      <c r="AB313" t="str">
        <f t="shared" si="51"/>
        <v/>
      </c>
      <c r="AC313" t="str">
        <f t="shared" si="52"/>
        <v/>
      </c>
      <c r="AD313">
        <f t="shared" si="53"/>
        <v>6.2498000000000002E-4</v>
      </c>
      <c r="AE313" s="18" t="str">
        <f t="shared" si="54"/>
        <v/>
      </c>
      <c r="AF313" s="7" t="str">
        <f t="shared" si="55"/>
        <v/>
      </c>
      <c r="AG313" s="12">
        <f t="shared" si="56"/>
        <v>0.99822879439261136</v>
      </c>
      <c r="AI313" s="54" t="str">
        <f t="shared" si="57"/>
        <v/>
      </c>
      <c r="AJ313" s="54" t="str">
        <f t="shared" si="58"/>
        <v/>
      </c>
      <c r="AK313" s="54">
        <f t="shared" si="59"/>
        <v>0.15137667307794814</v>
      </c>
    </row>
    <row r="314" spans="9:37" x14ac:dyDescent="0.45">
      <c r="I314" s="2">
        <v>46</v>
      </c>
      <c r="J314" s="2">
        <v>1.5410000000000001E-3</v>
      </c>
      <c r="K314" s="2">
        <v>1.23E-3</v>
      </c>
      <c r="R314" s="2">
        <v>19.899999999999999</v>
      </c>
      <c r="S314" s="2">
        <v>5.8560000000000003E-4</v>
      </c>
      <c r="T314" s="2">
        <v>1.8819999999999999E-4</v>
      </c>
      <c r="V314" s="11"/>
      <c r="W314" s="6"/>
      <c r="X314" s="6">
        <v>2.95</v>
      </c>
      <c r="Y314" s="11" t="str">
        <f t="shared" si="60"/>
        <v/>
      </c>
      <c r="Z314" s="6" t="str">
        <f t="shared" si="61"/>
        <v/>
      </c>
      <c r="AA314" s="23">
        <f t="shared" si="62"/>
        <v>32.950000000000003</v>
      </c>
      <c r="AB314" t="str">
        <f t="shared" si="51"/>
        <v/>
      </c>
      <c r="AC314" t="str">
        <f t="shared" si="52"/>
        <v/>
      </c>
      <c r="AD314">
        <f t="shared" si="53"/>
        <v>6.2514999999999999E-4</v>
      </c>
      <c r="AE314" s="18" t="str">
        <f t="shared" si="54"/>
        <v/>
      </c>
      <c r="AF314" s="7" t="str">
        <f t="shared" si="55"/>
        <v/>
      </c>
      <c r="AG314" s="12">
        <f t="shared" si="56"/>
        <v>0.99822255566229212</v>
      </c>
      <c r="AI314" s="54" t="str">
        <f t="shared" si="57"/>
        <v/>
      </c>
      <c r="AJ314" s="54" t="str">
        <f t="shared" si="58"/>
        <v/>
      </c>
      <c r="AK314" s="54">
        <f t="shared" si="59"/>
        <v>0.15192281185553921</v>
      </c>
    </row>
    <row r="315" spans="9:37" x14ac:dyDescent="0.45">
      <c r="I315" s="2">
        <v>46.1</v>
      </c>
      <c r="J315" s="2">
        <v>1.5578E-3</v>
      </c>
      <c r="K315" s="2">
        <v>1.2421000000000001E-3</v>
      </c>
      <c r="R315" s="2">
        <v>19.91</v>
      </c>
      <c r="S315" s="2">
        <v>5.8553999999999995E-4</v>
      </c>
      <c r="T315" s="2">
        <v>1.8828000000000001E-4</v>
      </c>
      <c r="V315" s="11"/>
      <c r="W315" s="6"/>
      <c r="X315" s="6">
        <v>2.96</v>
      </c>
      <c r="Y315" s="11" t="str">
        <f t="shared" si="60"/>
        <v/>
      </c>
      <c r="Z315" s="6" t="str">
        <f t="shared" si="61"/>
        <v/>
      </c>
      <c r="AA315" s="23">
        <f t="shared" si="62"/>
        <v>32.96</v>
      </c>
      <c r="AB315" t="str">
        <f t="shared" si="51"/>
        <v/>
      </c>
      <c r="AC315" t="str">
        <f t="shared" si="52"/>
        <v/>
      </c>
      <c r="AD315">
        <f t="shared" si="53"/>
        <v>6.2531999999999996E-4</v>
      </c>
      <c r="AE315" s="18" t="str">
        <f t="shared" si="54"/>
        <v/>
      </c>
      <c r="AF315" s="7" t="str">
        <f t="shared" si="55"/>
        <v/>
      </c>
      <c r="AG315" s="12">
        <f t="shared" si="56"/>
        <v>0.99821631527398536</v>
      </c>
      <c r="AI315" s="54" t="str">
        <f t="shared" si="57"/>
        <v/>
      </c>
      <c r="AJ315" s="54" t="str">
        <f t="shared" si="58"/>
        <v/>
      </c>
      <c r="AK315" s="54">
        <f t="shared" si="59"/>
        <v>0.15246917106016825</v>
      </c>
    </row>
    <row r="316" spans="9:37" x14ac:dyDescent="0.45">
      <c r="I316" s="2">
        <v>46.2</v>
      </c>
      <c r="J316" s="2">
        <v>1.5746E-3</v>
      </c>
      <c r="K316" s="2">
        <v>1.2542E-3</v>
      </c>
      <c r="R316" s="2">
        <v>19.920000000000002</v>
      </c>
      <c r="S316" s="2">
        <v>5.8547999999999998E-4</v>
      </c>
      <c r="T316" s="2">
        <v>1.8835999999999999E-4</v>
      </c>
      <c r="V316" s="11"/>
      <c r="W316" s="6"/>
      <c r="X316" s="6">
        <v>2.97</v>
      </c>
      <c r="Y316" s="11" t="str">
        <f t="shared" si="60"/>
        <v/>
      </c>
      <c r="Z316" s="6" t="str">
        <f t="shared" si="61"/>
        <v/>
      </c>
      <c r="AA316" s="23">
        <f t="shared" si="62"/>
        <v>32.97</v>
      </c>
      <c r="AB316" t="str">
        <f t="shared" si="51"/>
        <v/>
      </c>
      <c r="AC316" t="str">
        <f t="shared" si="52"/>
        <v/>
      </c>
      <c r="AD316">
        <f t="shared" si="53"/>
        <v>6.2549000000000003E-4</v>
      </c>
      <c r="AE316" s="18" t="str">
        <f t="shared" si="54"/>
        <v/>
      </c>
      <c r="AF316" s="7" t="str">
        <f t="shared" si="55"/>
        <v/>
      </c>
      <c r="AG316" s="12">
        <f t="shared" si="56"/>
        <v>0.99821007322772271</v>
      </c>
      <c r="AI316" s="54" t="str">
        <f t="shared" si="57"/>
        <v/>
      </c>
      <c r="AJ316" s="54" t="str">
        <f t="shared" si="58"/>
        <v/>
      </c>
      <c r="AK316" s="54">
        <f t="shared" si="59"/>
        <v>0.15301575078324128</v>
      </c>
    </row>
    <row r="317" spans="9:37" x14ac:dyDescent="0.45">
      <c r="I317" s="2">
        <v>46.3</v>
      </c>
      <c r="J317" s="2">
        <v>1.5914E-3</v>
      </c>
      <c r="K317" s="2">
        <v>1.2662999999999999E-3</v>
      </c>
      <c r="R317" s="2">
        <v>19.93</v>
      </c>
      <c r="S317" s="2">
        <v>5.8542000000000002E-4</v>
      </c>
      <c r="T317" s="2">
        <v>1.8844000000000001E-4</v>
      </c>
      <c r="V317" s="11"/>
      <c r="W317" s="6"/>
      <c r="X317" s="6">
        <v>2.98</v>
      </c>
      <c r="Y317" s="11" t="str">
        <f t="shared" si="60"/>
        <v/>
      </c>
      <c r="Z317" s="6" t="str">
        <f t="shared" si="61"/>
        <v/>
      </c>
      <c r="AA317" s="23">
        <f t="shared" si="62"/>
        <v>32.979999999999997</v>
      </c>
      <c r="AB317" t="str">
        <f t="shared" si="51"/>
        <v/>
      </c>
      <c r="AC317" t="str">
        <f t="shared" si="52"/>
        <v/>
      </c>
      <c r="AD317">
        <f t="shared" si="53"/>
        <v>6.2566E-4</v>
      </c>
      <c r="AE317" s="18" t="str">
        <f t="shared" si="54"/>
        <v/>
      </c>
      <c r="AF317" s="7" t="str">
        <f t="shared" si="55"/>
        <v/>
      </c>
      <c r="AG317" s="12">
        <f t="shared" si="56"/>
        <v>0.9982038295235357</v>
      </c>
      <c r="AI317" s="54" t="str">
        <f t="shared" si="57"/>
        <v/>
      </c>
      <c r="AJ317" s="54" t="str">
        <f t="shared" si="58"/>
        <v/>
      </c>
      <c r="AK317" s="54">
        <f t="shared" si="59"/>
        <v>0.15356255111620265</v>
      </c>
    </row>
    <row r="318" spans="9:37" x14ac:dyDescent="0.45">
      <c r="I318" s="2">
        <v>46.4</v>
      </c>
      <c r="J318" s="2">
        <v>1.6082E-3</v>
      </c>
      <c r="K318" s="2">
        <v>1.2784000000000001E-3</v>
      </c>
      <c r="R318" s="2">
        <v>19.940000000000001</v>
      </c>
      <c r="S318" s="2">
        <v>5.8536000000000005E-4</v>
      </c>
      <c r="T318" s="2">
        <v>1.8851999999999999E-4</v>
      </c>
      <c r="V318" s="11"/>
      <c r="W318" s="6"/>
      <c r="X318" s="6">
        <v>2.99</v>
      </c>
      <c r="Y318" s="11" t="str">
        <f t="shared" si="60"/>
        <v/>
      </c>
      <c r="Z318" s="6" t="str">
        <f t="shared" si="61"/>
        <v/>
      </c>
      <c r="AA318" s="23">
        <f t="shared" si="62"/>
        <v>32.99</v>
      </c>
      <c r="AB318" t="str">
        <f t="shared" si="51"/>
        <v/>
      </c>
      <c r="AC318" t="str">
        <f t="shared" si="52"/>
        <v/>
      </c>
      <c r="AD318">
        <f t="shared" si="53"/>
        <v>6.2582999999999996E-4</v>
      </c>
      <c r="AE318" s="18" t="str">
        <f t="shared" si="54"/>
        <v/>
      </c>
      <c r="AF318" s="7" t="str">
        <f t="shared" si="55"/>
        <v/>
      </c>
      <c r="AG318" s="12">
        <f t="shared" si="56"/>
        <v>0.99819758416145588</v>
      </c>
      <c r="AI318" s="54" t="str">
        <f t="shared" si="57"/>
        <v/>
      </c>
      <c r="AJ318" s="54" t="str">
        <f t="shared" si="58"/>
        <v/>
      </c>
      <c r="AK318" s="54">
        <f t="shared" si="59"/>
        <v>0.15410957215053495</v>
      </c>
    </row>
    <row r="319" spans="9:37" x14ac:dyDescent="0.45">
      <c r="I319" s="2">
        <v>46.5</v>
      </c>
      <c r="J319" s="2">
        <v>1.6249999999999999E-3</v>
      </c>
      <c r="K319" s="2">
        <v>1.2905E-3</v>
      </c>
      <c r="R319" s="2">
        <v>19.95</v>
      </c>
      <c r="S319" s="2">
        <v>5.8529999999999997E-4</v>
      </c>
      <c r="T319" s="2">
        <v>1.886E-4</v>
      </c>
      <c r="V319" s="11"/>
      <c r="W319" s="6"/>
      <c r="X319" s="6">
        <v>3</v>
      </c>
      <c r="Y319" s="11" t="str">
        <f t="shared" si="60"/>
        <v/>
      </c>
      <c r="Z319" s="6" t="str">
        <f t="shared" si="61"/>
        <v/>
      </c>
      <c r="AA319" s="23">
        <f t="shared" si="62"/>
        <v>33</v>
      </c>
      <c r="AB319" t="str">
        <f t="shared" si="51"/>
        <v/>
      </c>
      <c r="AC319" t="str">
        <f t="shared" si="52"/>
        <v/>
      </c>
      <c r="AD319">
        <f t="shared" si="53"/>
        <v>6.2600000000000004E-4</v>
      </c>
      <c r="AE319" s="18" t="str">
        <f t="shared" si="54"/>
        <v/>
      </c>
      <c r="AF319" s="7" t="str">
        <f t="shared" si="55"/>
        <v/>
      </c>
      <c r="AG319" s="12">
        <f t="shared" si="56"/>
        <v>0.99819133714151487</v>
      </c>
      <c r="AI319" s="54" t="str">
        <f t="shared" si="57"/>
        <v/>
      </c>
      <c r="AJ319" s="54" t="str">
        <f t="shared" si="58"/>
        <v/>
      </c>
      <c r="AK319" s="54">
        <f t="shared" si="59"/>
        <v>0.15465681397775904</v>
      </c>
    </row>
    <row r="320" spans="9:37" x14ac:dyDescent="0.45">
      <c r="I320" s="2">
        <v>46.6</v>
      </c>
      <c r="J320" s="2">
        <v>1.6417999999999999E-3</v>
      </c>
      <c r="K320" s="2">
        <v>1.3025999999999999E-3</v>
      </c>
      <c r="R320" s="2">
        <v>19.96</v>
      </c>
      <c r="S320" s="2">
        <v>5.8524E-4</v>
      </c>
      <c r="T320" s="2">
        <v>1.8867999999999999E-4</v>
      </c>
      <c r="V320" s="11"/>
      <c r="W320" s="6"/>
      <c r="X320" s="6">
        <v>3.0100000000000002</v>
      </c>
      <c r="Y320" s="11" t="str">
        <f t="shared" si="60"/>
        <v/>
      </c>
      <c r="Z320" s="6" t="str">
        <f t="shared" si="61"/>
        <v/>
      </c>
      <c r="AA320" s="23">
        <f t="shared" si="62"/>
        <v>33.01</v>
      </c>
      <c r="AB320" t="str">
        <f t="shared" si="51"/>
        <v/>
      </c>
      <c r="AC320" t="str">
        <f t="shared" si="52"/>
        <v/>
      </c>
      <c r="AD320">
        <f t="shared" si="53"/>
        <v>6.2620999999999998E-4</v>
      </c>
      <c r="AE320" s="18" t="str">
        <f t="shared" si="54"/>
        <v/>
      </c>
      <c r="AF320" s="7" t="str">
        <f t="shared" si="55"/>
        <v/>
      </c>
      <c r="AG320" s="12">
        <f t="shared" si="56"/>
        <v>0.99818508846374432</v>
      </c>
      <c r="AI320" s="54" t="str">
        <f t="shared" si="57"/>
        <v/>
      </c>
      <c r="AJ320" s="54" t="str">
        <f t="shared" si="58"/>
        <v/>
      </c>
      <c r="AK320" s="54">
        <f t="shared" si="59"/>
        <v>0.15520427668943415</v>
      </c>
    </row>
    <row r="321" spans="9:37" x14ac:dyDescent="0.45">
      <c r="I321" s="2">
        <v>46.7</v>
      </c>
      <c r="J321" s="2">
        <v>1.6586000000000001E-3</v>
      </c>
      <c r="K321" s="2">
        <v>1.3147E-3</v>
      </c>
      <c r="R321" s="2">
        <v>19.97</v>
      </c>
      <c r="S321" s="2">
        <v>5.8518000000000003E-4</v>
      </c>
      <c r="T321" s="2">
        <v>1.8876E-4</v>
      </c>
      <c r="V321" s="11"/>
      <c r="W321" s="6"/>
      <c r="X321" s="6">
        <v>3.02</v>
      </c>
      <c r="Y321" s="11" t="str">
        <f t="shared" si="60"/>
        <v/>
      </c>
      <c r="Z321" s="6" t="str">
        <f t="shared" si="61"/>
        <v/>
      </c>
      <c r="AA321" s="23">
        <f t="shared" si="62"/>
        <v>33.020000000000003</v>
      </c>
      <c r="AB321" t="str">
        <f t="shared" si="51"/>
        <v/>
      </c>
      <c r="AC321" t="str">
        <f t="shared" si="52"/>
        <v/>
      </c>
      <c r="AD321">
        <f t="shared" si="53"/>
        <v>6.2642000000000004E-4</v>
      </c>
      <c r="AE321" s="18" t="str">
        <f t="shared" si="54"/>
        <v/>
      </c>
      <c r="AF321" s="7" t="str">
        <f t="shared" si="55"/>
        <v/>
      </c>
      <c r="AG321" s="12">
        <f t="shared" si="56"/>
        <v>0.99817883772890181</v>
      </c>
      <c r="AI321" s="54" t="str">
        <f t="shared" si="57"/>
        <v/>
      </c>
      <c r="AJ321" s="54" t="str">
        <f t="shared" si="58"/>
        <v/>
      </c>
      <c r="AK321" s="54">
        <f t="shared" si="59"/>
        <v>0.15575196003923947</v>
      </c>
    </row>
    <row r="322" spans="9:37" x14ac:dyDescent="0.45">
      <c r="I322" s="2">
        <v>46.8</v>
      </c>
      <c r="J322" s="2">
        <v>1.6754000000000001E-3</v>
      </c>
      <c r="K322" s="2">
        <v>1.3267999999999999E-3</v>
      </c>
      <c r="R322" s="2">
        <v>19.98</v>
      </c>
      <c r="S322" s="2">
        <v>5.8511999999999995E-4</v>
      </c>
      <c r="T322" s="2">
        <v>1.8883999999999999E-4</v>
      </c>
      <c r="V322" s="11"/>
      <c r="W322" s="6"/>
      <c r="X322" s="6">
        <v>3.0300000000000002</v>
      </c>
      <c r="Y322" s="11" t="str">
        <f t="shared" si="60"/>
        <v/>
      </c>
      <c r="Z322" s="6" t="str">
        <f t="shared" si="61"/>
        <v/>
      </c>
      <c r="AA322" s="23">
        <f t="shared" si="62"/>
        <v>33.03</v>
      </c>
      <c r="AB322" t="str">
        <f t="shared" si="51"/>
        <v/>
      </c>
      <c r="AC322" t="str">
        <f t="shared" si="52"/>
        <v/>
      </c>
      <c r="AD322">
        <f t="shared" si="53"/>
        <v>6.2662999999999998E-4</v>
      </c>
      <c r="AE322" s="18" t="str">
        <f t="shared" si="54"/>
        <v/>
      </c>
      <c r="AF322" s="7" t="str">
        <f t="shared" si="55"/>
        <v/>
      </c>
      <c r="AG322" s="12">
        <f t="shared" si="56"/>
        <v>0.99817258493702654</v>
      </c>
      <c r="AI322" s="54" t="str">
        <f t="shared" si="57"/>
        <v/>
      </c>
      <c r="AJ322" s="54" t="str">
        <f t="shared" si="58"/>
        <v/>
      </c>
      <c r="AK322" s="54">
        <f t="shared" si="59"/>
        <v>0.15629986411911173</v>
      </c>
    </row>
    <row r="323" spans="9:37" x14ac:dyDescent="0.45">
      <c r="I323" s="2">
        <v>46.9</v>
      </c>
      <c r="J323" s="2">
        <v>1.6922E-3</v>
      </c>
      <c r="K323" s="2">
        <v>1.3389000000000001E-3</v>
      </c>
      <c r="R323" s="2">
        <v>19.989999999999998</v>
      </c>
      <c r="S323" s="2">
        <v>5.8505999999999999E-4</v>
      </c>
      <c r="T323" s="2">
        <v>1.8892E-4</v>
      </c>
      <c r="V323" s="11"/>
      <c r="W323" s="6"/>
      <c r="X323" s="6">
        <v>3.04</v>
      </c>
      <c r="Y323" s="11" t="str">
        <f t="shared" si="60"/>
        <v/>
      </c>
      <c r="Z323" s="6" t="str">
        <f t="shared" si="61"/>
        <v/>
      </c>
      <c r="AA323" s="23">
        <f t="shared" si="62"/>
        <v>33.04</v>
      </c>
      <c r="AB323" t="str">
        <f t="shared" si="51"/>
        <v/>
      </c>
      <c r="AC323" t="str">
        <f t="shared" si="52"/>
        <v/>
      </c>
      <c r="AD323">
        <f t="shared" si="53"/>
        <v>6.2684000000000004E-4</v>
      </c>
      <c r="AE323" s="18" t="str">
        <f t="shared" si="54"/>
        <v/>
      </c>
      <c r="AF323" s="7" t="str">
        <f t="shared" si="55"/>
        <v/>
      </c>
      <c r="AG323" s="12">
        <f t="shared" si="56"/>
        <v>0.99816633008815758</v>
      </c>
      <c r="AI323" s="54" t="str">
        <f t="shared" si="57"/>
        <v/>
      </c>
      <c r="AJ323" s="54" t="str">
        <f t="shared" si="58"/>
        <v/>
      </c>
      <c r="AK323" s="54">
        <f t="shared" si="59"/>
        <v>0.1568479890210264</v>
      </c>
    </row>
    <row r="324" spans="9:37" x14ac:dyDescent="0.45">
      <c r="I324" s="2">
        <v>47</v>
      </c>
      <c r="J324" s="2">
        <v>1.709E-3</v>
      </c>
      <c r="K324" s="2">
        <v>1.351E-3</v>
      </c>
      <c r="R324" s="2">
        <v>20</v>
      </c>
      <c r="S324" s="2">
        <v>5.8500000000000002E-4</v>
      </c>
      <c r="T324" s="2">
        <v>1.8900000000000001E-4</v>
      </c>
      <c r="V324" s="11"/>
      <c r="W324" s="6"/>
      <c r="X324" s="6">
        <v>3.0500000000000003</v>
      </c>
      <c r="Y324" s="11" t="str">
        <f t="shared" si="60"/>
        <v/>
      </c>
      <c r="Z324" s="6" t="str">
        <f t="shared" si="61"/>
        <v/>
      </c>
      <c r="AA324" s="23">
        <f t="shared" si="62"/>
        <v>33.049999999999997</v>
      </c>
      <c r="AB324" t="str">
        <f t="shared" si="51"/>
        <v/>
      </c>
      <c r="AC324" t="str">
        <f t="shared" si="52"/>
        <v/>
      </c>
      <c r="AD324">
        <f t="shared" si="53"/>
        <v>6.2704999999999998E-4</v>
      </c>
      <c r="AE324" s="18" t="str">
        <f t="shared" si="54"/>
        <v/>
      </c>
      <c r="AF324" s="7" t="str">
        <f t="shared" si="55"/>
        <v/>
      </c>
      <c r="AG324" s="12">
        <f t="shared" si="56"/>
        <v>0.99816007318233402</v>
      </c>
      <c r="AI324" s="54" t="str">
        <f t="shared" si="57"/>
        <v/>
      </c>
      <c r="AJ324" s="54" t="str">
        <f t="shared" si="58"/>
        <v/>
      </c>
      <c r="AK324" s="54">
        <f t="shared" si="59"/>
        <v>0.15739633483699769</v>
      </c>
    </row>
    <row r="325" spans="9:37" x14ac:dyDescent="0.45">
      <c r="I325" s="2">
        <v>47.1</v>
      </c>
      <c r="J325" s="2">
        <v>1.7283000000000001E-3</v>
      </c>
      <c r="K325" s="2">
        <v>1.3644E-3</v>
      </c>
      <c r="R325" s="2">
        <v>20.010000000000002</v>
      </c>
      <c r="S325" s="2">
        <v>5.8494999999999999E-4</v>
      </c>
      <c r="T325" s="2">
        <v>1.8908E-4</v>
      </c>
      <c r="V325" s="11"/>
      <c r="W325" s="6"/>
      <c r="X325" s="6">
        <v>3.06</v>
      </c>
      <c r="Y325" s="11" t="str">
        <f t="shared" si="60"/>
        <v/>
      </c>
      <c r="Z325" s="6" t="str">
        <f t="shared" si="61"/>
        <v/>
      </c>
      <c r="AA325" s="23">
        <f t="shared" si="62"/>
        <v>33.06</v>
      </c>
      <c r="AB325" t="str">
        <f t="shared" si="51"/>
        <v/>
      </c>
      <c r="AC325" t="str">
        <f t="shared" si="52"/>
        <v/>
      </c>
      <c r="AD325">
        <f t="shared" si="53"/>
        <v>6.2726000000000004E-4</v>
      </c>
      <c r="AE325" s="18" t="str">
        <f t="shared" si="54"/>
        <v/>
      </c>
      <c r="AF325" s="7" t="str">
        <f t="shared" si="55"/>
        <v/>
      </c>
      <c r="AG325" s="12">
        <f t="shared" si="56"/>
        <v>0.99815381421959515</v>
      </c>
      <c r="AI325" s="54" t="str">
        <f t="shared" si="57"/>
        <v/>
      </c>
      <c r="AJ325" s="54" t="str">
        <f t="shared" si="58"/>
        <v/>
      </c>
      <c r="AK325" s="54">
        <f t="shared" si="59"/>
        <v>0.15794490165907857</v>
      </c>
    </row>
    <row r="326" spans="9:37" x14ac:dyDescent="0.45">
      <c r="I326" s="2">
        <v>47.2</v>
      </c>
      <c r="J326" s="2">
        <v>1.7476E-3</v>
      </c>
      <c r="K326" s="2">
        <v>1.3778E-3</v>
      </c>
      <c r="R326" s="2">
        <v>20.02</v>
      </c>
      <c r="S326" s="2">
        <v>5.8489999999999996E-4</v>
      </c>
      <c r="T326" s="2">
        <v>1.8916000000000001E-4</v>
      </c>
      <c r="V326" s="11"/>
      <c r="W326" s="6"/>
      <c r="X326" s="6">
        <v>3.0700000000000003</v>
      </c>
      <c r="Y326" s="11" t="str">
        <f t="shared" si="60"/>
        <v/>
      </c>
      <c r="Z326" s="6" t="str">
        <f t="shared" si="61"/>
        <v/>
      </c>
      <c r="AA326" s="23">
        <f t="shared" si="62"/>
        <v>33.07</v>
      </c>
      <c r="AB326" t="str">
        <f t="shared" si="51"/>
        <v/>
      </c>
      <c r="AC326" t="str">
        <f t="shared" si="52"/>
        <v/>
      </c>
      <c r="AD326">
        <f t="shared" si="53"/>
        <v>6.2746999999999998E-4</v>
      </c>
      <c r="AE326" s="18" t="str">
        <f t="shared" si="54"/>
        <v/>
      </c>
      <c r="AF326" s="7" t="str">
        <f t="shared" si="55"/>
        <v/>
      </c>
      <c r="AG326" s="12">
        <f t="shared" si="56"/>
        <v>0.99814755319998005</v>
      </c>
      <c r="AI326" s="54" t="str">
        <f t="shared" si="57"/>
        <v/>
      </c>
      <c r="AJ326" s="54" t="str">
        <f t="shared" si="58"/>
        <v/>
      </c>
      <c r="AK326" s="54">
        <f t="shared" si="59"/>
        <v>0.15849368957936083</v>
      </c>
    </row>
    <row r="327" spans="9:37" x14ac:dyDescent="0.45">
      <c r="I327" s="2">
        <v>47.3</v>
      </c>
      <c r="J327" s="2">
        <v>1.7669000000000001E-3</v>
      </c>
      <c r="K327" s="2">
        <v>1.3912E-3</v>
      </c>
      <c r="R327" s="2">
        <v>20.03</v>
      </c>
      <c r="S327" s="2">
        <v>5.8485000000000004E-4</v>
      </c>
      <c r="T327" s="2">
        <v>1.8924E-4</v>
      </c>
      <c r="V327" s="11"/>
      <c r="W327" s="6"/>
      <c r="X327" s="6">
        <v>3.08</v>
      </c>
      <c r="Y327" s="11" t="str">
        <f t="shared" si="60"/>
        <v/>
      </c>
      <c r="Z327" s="6" t="str">
        <f t="shared" si="61"/>
        <v/>
      </c>
      <c r="AA327" s="23">
        <f t="shared" si="62"/>
        <v>33.08</v>
      </c>
      <c r="AB327" t="str">
        <f t="shared" si="51"/>
        <v/>
      </c>
      <c r="AC327" t="str">
        <f t="shared" si="52"/>
        <v/>
      </c>
      <c r="AD327">
        <f t="shared" si="53"/>
        <v>6.2768000000000003E-4</v>
      </c>
      <c r="AE327" s="18" t="str">
        <f t="shared" si="54"/>
        <v/>
      </c>
      <c r="AF327" s="7" t="str">
        <f t="shared" si="55"/>
        <v/>
      </c>
      <c r="AG327" s="12">
        <f t="shared" si="56"/>
        <v>0.99814129012352804</v>
      </c>
      <c r="AI327" s="54" t="str">
        <f t="shared" si="57"/>
        <v/>
      </c>
      <c r="AJ327" s="54" t="str">
        <f t="shared" si="58"/>
        <v/>
      </c>
      <c r="AK327" s="54">
        <f t="shared" si="59"/>
        <v>0.15904269868997506</v>
      </c>
    </row>
    <row r="328" spans="9:37" x14ac:dyDescent="0.45">
      <c r="I328" s="2">
        <v>47.4</v>
      </c>
      <c r="J328" s="2">
        <v>1.7861999999999999E-3</v>
      </c>
      <c r="K328" s="2">
        <v>1.4046E-3</v>
      </c>
      <c r="R328" s="2">
        <v>20.04</v>
      </c>
      <c r="S328" s="2">
        <v>5.8480000000000001E-4</v>
      </c>
      <c r="T328" s="2">
        <v>1.8932000000000001E-4</v>
      </c>
      <c r="V328" s="11"/>
      <c r="W328" s="6"/>
      <c r="X328" s="6">
        <v>3.09</v>
      </c>
      <c r="Y328" s="11" t="str">
        <f t="shared" si="60"/>
        <v/>
      </c>
      <c r="Z328" s="6" t="str">
        <f t="shared" si="61"/>
        <v/>
      </c>
      <c r="AA328" s="23">
        <f t="shared" si="62"/>
        <v>33.090000000000003</v>
      </c>
      <c r="AB328" t="str">
        <f t="shared" si="51"/>
        <v/>
      </c>
      <c r="AC328" t="str">
        <f t="shared" si="52"/>
        <v/>
      </c>
      <c r="AD328">
        <f t="shared" si="53"/>
        <v>6.2788999999999998E-4</v>
      </c>
      <c r="AE328" s="18" t="str">
        <f t="shared" si="54"/>
        <v/>
      </c>
      <c r="AF328" s="7" t="str">
        <f t="shared" si="55"/>
        <v/>
      </c>
      <c r="AG328" s="12">
        <f t="shared" si="56"/>
        <v>0.99813502499027817</v>
      </c>
      <c r="AI328" s="54" t="str">
        <f t="shared" si="57"/>
        <v/>
      </c>
      <c r="AJ328" s="54" t="str">
        <f t="shared" si="58"/>
        <v/>
      </c>
      <c r="AK328" s="54">
        <f t="shared" si="59"/>
        <v>0.15959192908309069</v>
      </c>
    </row>
    <row r="329" spans="9:37" x14ac:dyDescent="0.45">
      <c r="I329" s="2">
        <v>47.5</v>
      </c>
      <c r="J329" s="2">
        <v>1.8055E-3</v>
      </c>
      <c r="K329" s="2">
        <v>1.418E-3</v>
      </c>
      <c r="R329" s="2">
        <v>20.05</v>
      </c>
      <c r="S329" s="2">
        <v>5.8474999999999998E-4</v>
      </c>
      <c r="T329" s="2">
        <v>1.894E-4</v>
      </c>
      <c r="V329" s="11"/>
      <c r="W329" s="6"/>
      <c r="X329" s="6">
        <v>3.1</v>
      </c>
      <c r="Y329" s="11" t="str">
        <f t="shared" si="60"/>
        <v/>
      </c>
      <c r="Z329" s="6" t="str">
        <f t="shared" si="61"/>
        <v/>
      </c>
      <c r="AA329" s="23">
        <f t="shared" si="62"/>
        <v>33.1</v>
      </c>
      <c r="AB329" t="str">
        <f t="shared" si="51"/>
        <v/>
      </c>
      <c r="AC329" t="str">
        <f t="shared" si="52"/>
        <v/>
      </c>
      <c r="AD329">
        <f t="shared" si="53"/>
        <v>6.2810000000000003E-4</v>
      </c>
      <c r="AE329" s="18" t="str">
        <f t="shared" si="54"/>
        <v/>
      </c>
      <c r="AF329" s="7" t="str">
        <f t="shared" si="55"/>
        <v/>
      </c>
      <c r="AG329" s="12">
        <f t="shared" si="56"/>
        <v>0.99812875780026977</v>
      </c>
      <c r="AI329" s="54" t="str">
        <f t="shared" si="57"/>
        <v/>
      </c>
      <c r="AJ329" s="54" t="str">
        <f t="shared" si="58"/>
        <v/>
      </c>
      <c r="AK329" s="54">
        <f t="shared" si="59"/>
        <v>0.16014138085091595</v>
      </c>
    </row>
    <row r="330" spans="9:37" x14ac:dyDescent="0.45">
      <c r="I330" s="2">
        <v>47.6</v>
      </c>
      <c r="J330" s="2">
        <v>1.8247999999999999E-3</v>
      </c>
      <c r="K330" s="2">
        <v>1.4314E-3</v>
      </c>
      <c r="R330" s="2">
        <v>20.059999999999999</v>
      </c>
      <c r="S330" s="2">
        <v>5.8469999999999996E-4</v>
      </c>
      <c r="T330" s="2">
        <v>1.8948000000000001E-4</v>
      </c>
      <c r="V330" s="11"/>
      <c r="W330" s="6"/>
      <c r="X330" s="6">
        <v>3.11</v>
      </c>
      <c r="Y330" s="11" t="str">
        <f t="shared" si="60"/>
        <v/>
      </c>
      <c r="Z330" s="6" t="str">
        <f t="shared" si="61"/>
        <v/>
      </c>
      <c r="AA330" s="23">
        <f t="shared" si="62"/>
        <v>33.11</v>
      </c>
      <c r="AB330" t="str">
        <f t="shared" si="51"/>
        <v/>
      </c>
      <c r="AC330" t="str">
        <f t="shared" si="52"/>
        <v/>
      </c>
      <c r="AD330">
        <f t="shared" si="53"/>
        <v>6.2830999999999998E-4</v>
      </c>
      <c r="AE330" s="18" t="str">
        <f t="shared" si="54"/>
        <v/>
      </c>
      <c r="AF330" s="7" t="str">
        <f t="shared" si="55"/>
        <v/>
      </c>
      <c r="AG330" s="12">
        <f t="shared" si="56"/>
        <v>0.99812248855354202</v>
      </c>
      <c r="AI330" s="54" t="str">
        <f t="shared" si="57"/>
        <v/>
      </c>
      <c r="AJ330" s="54" t="str">
        <f t="shared" si="58"/>
        <v/>
      </c>
      <c r="AK330" s="54">
        <f t="shared" si="59"/>
        <v>0.16069105408569792</v>
      </c>
    </row>
    <row r="331" spans="9:37" x14ac:dyDescent="0.45">
      <c r="I331" s="2">
        <v>47.7</v>
      </c>
      <c r="J331" s="2">
        <v>1.8441E-3</v>
      </c>
      <c r="K331" s="2">
        <v>1.4448E-3</v>
      </c>
      <c r="R331" s="2">
        <v>20.07</v>
      </c>
      <c r="S331" s="2">
        <v>5.8465000000000004E-4</v>
      </c>
      <c r="T331" s="2">
        <v>1.8955999999999999E-4</v>
      </c>
      <c r="V331" s="11"/>
      <c r="W331" s="6"/>
      <c r="X331" s="6">
        <v>3.12</v>
      </c>
      <c r="Y331" s="11" t="str">
        <f t="shared" si="60"/>
        <v/>
      </c>
      <c r="Z331" s="6" t="str">
        <f t="shared" si="61"/>
        <v/>
      </c>
      <c r="AA331" s="23">
        <f t="shared" si="62"/>
        <v>33.119999999999997</v>
      </c>
      <c r="AB331" t="str">
        <f t="shared" si="51"/>
        <v/>
      </c>
      <c r="AC331" t="str">
        <f t="shared" si="52"/>
        <v/>
      </c>
      <c r="AD331">
        <f t="shared" si="53"/>
        <v>6.2852000000000003E-4</v>
      </c>
      <c r="AE331" s="18" t="str">
        <f t="shared" si="54"/>
        <v/>
      </c>
      <c r="AF331" s="7" t="str">
        <f t="shared" si="55"/>
        <v/>
      </c>
      <c r="AG331" s="12">
        <f t="shared" si="56"/>
        <v>0.99811621725013422</v>
      </c>
      <c r="AI331" s="54" t="str">
        <f t="shared" si="57"/>
        <v/>
      </c>
      <c r="AJ331" s="54" t="str">
        <f t="shared" si="58"/>
        <v/>
      </c>
      <c r="AK331" s="54">
        <f t="shared" si="59"/>
        <v>0.16124094887972262</v>
      </c>
    </row>
    <row r="332" spans="9:37" x14ac:dyDescent="0.45">
      <c r="I332" s="2">
        <v>47.8</v>
      </c>
      <c r="J332" s="2">
        <v>1.8634000000000001E-3</v>
      </c>
      <c r="K332" s="2">
        <v>1.4582E-3</v>
      </c>
      <c r="R332" s="2">
        <v>20.079999999999998</v>
      </c>
      <c r="S332" s="2">
        <v>5.8460000000000001E-4</v>
      </c>
      <c r="T332" s="2">
        <v>1.8964000000000001E-4</v>
      </c>
      <c r="V332" s="11"/>
      <c r="W332" s="6"/>
      <c r="X332" s="6">
        <v>3.13</v>
      </c>
      <c r="Y332" s="11" t="str">
        <f t="shared" si="60"/>
        <v/>
      </c>
      <c r="Z332" s="6" t="str">
        <f t="shared" si="61"/>
        <v/>
      </c>
      <c r="AA332" s="23">
        <f t="shared" si="62"/>
        <v>33.130000000000003</v>
      </c>
      <c r="AB332" t="str">
        <f t="shared" si="51"/>
        <v/>
      </c>
      <c r="AC332" t="str">
        <f t="shared" si="52"/>
        <v/>
      </c>
      <c r="AD332">
        <f t="shared" si="53"/>
        <v>6.2872999999999998E-4</v>
      </c>
      <c r="AE332" s="18" t="str">
        <f t="shared" si="54"/>
        <v/>
      </c>
      <c r="AF332" s="7" t="str">
        <f t="shared" si="55"/>
        <v/>
      </c>
      <c r="AG332" s="12">
        <f t="shared" si="56"/>
        <v>0.99810994389008556</v>
      </c>
      <c r="AI332" s="54" t="str">
        <f t="shared" si="57"/>
        <v/>
      </c>
      <c r="AJ332" s="54" t="str">
        <f t="shared" si="58"/>
        <v/>
      </c>
      <c r="AK332" s="54">
        <f t="shared" si="59"/>
        <v>0.1617910653253149</v>
      </c>
    </row>
    <row r="333" spans="9:37" x14ac:dyDescent="0.45">
      <c r="I333" s="2">
        <v>47.9</v>
      </c>
      <c r="J333" s="2">
        <v>1.8827E-3</v>
      </c>
      <c r="K333" s="2">
        <v>1.4716E-3</v>
      </c>
      <c r="R333" s="2">
        <v>20.09</v>
      </c>
      <c r="S333" s="2">
        <v>5.8454999999999998E-4</v>
      </c>
      <c r="T333" s="2">
        <v>1.8971999999999999E-4</v>
      </c>
      <c r="V333" s="11"/>
      <c r="W333" s="6"/>
      <c r="X333" s="6">
        <v>3.14</v>
      </c>
      <c r="Y333" s="11" t="str">
        <f t="shared" si="60"/>
        <v/>
      </c>
      <c r="Z333" s="6" t="str">
        <f t="shared" si="61"/>
        <v/>
      </c>
      <c r="AA333" s="23">
        <f t="shared" si="62"/>
        <v>33.14</v>
      </c>
      <c r="AB333" t="str">
        <f t="shared" si="51"/>
        <v/>
      </c>
      <c r="AC333" t="str">
        <f t="shared" si="52"/>
        <v/>
      </c>
      <c r="AD333">
        <f t="shared" si="53"/>
        <v>6.2894000000000003E-4</v>
      </c>
      <c r="AE333" s="18" t="str">
        <f t="shared" si="54"/>
        <v/>
      </c>
      <c r="AF333" s="7" t="str">
        <f t="shared" si="55"/>
        <v/>
      </c>
      <c r="AG333" s="12">
        <f t="shared" si="56"/>
        <v>0.99810366847343535</v>
      </c>
      <c r="AI333" s="54" t="str">
        <f t="shared" si="57"/>
        <v/>
      </c>
      <c r="AJ333" s="54" t="str">
        <f t="shared" si="58"/>
        <v/>
      </c>
      <c r="AK333" s="54">
        <f t="shared" si="59"/>
        <v>0.16234140351483853</v>
      </c>
    </row>
    <row r="334" spans="9:37" x14ac:dyDescent="0.45">
      <c r="I334" s="2">
        <v>48</v>
      </c>
      <c r="J334" s="2">
        <v>1.902E-3</v>
      </c>
      <c r="K334" s="2">
        <v>1.485E-3</v>
      </c>
      <c r="R334" s="2">
        <v>20.100000000000001</v>
      </c>
      <c r="S334" s="2">
        <v>5.8449999999999995E-4</v>
      </c>
      <c r="T334" s="2">
        <v>1.8980000000000001E-4</v>
      </c>
      <c r="V334" s="11"/>
      <c r="W334" s="6"/>
      <c r="X334" s="6">
        <v>3.15</v>
      </c>
      <c r="Y334" s="11" t="str">
        <f t="shared" si="60"/>
        <v/>
      </c>
      <c r="Z334" s="6" t="str">
        <f t="shared" si="61"/>
        <v/>
      </c>
      <c r="AA334" s="23">
        <f t="shared" si="62"/>
        <v>33.15</v>
      </c>
      <c r="AB334" t="str">
        <f t="shared" si="51"/>
        <v/>
      </c>
      <c r="AC334" t="str">
        <f t="shared" si="52"/>
        <v/>
      </c>
      <c r="AD334">
        <f t="shared" si="53"/>
        <v>6.2914999999999998E-4</v>
      </c>
      <c r="AE334" s="18" t="str">
        <f t="shared" si="54"/>
        <v/>
      </c>
      <c r="AF334" s="7" t="str">
        <f t="shared" si="55"/>
        <v/>
      </c>
      <c r="AG334" s="12">
        <f t="shared" si="56"/>
        <v>0.99809739100022288</v>
      </c>
      <c r="AI334" s="54" t="str">
        <f t="shared" si="57"/>
        <v/>
      </c>
      <c r="AJ334" s="54" t="str">
        <f t="shared" si="58"/>
        <v/>
      </c>
      <c r="AK334" s="54">
        <f t="shared" si="59"/>
        <v>0.16289196354069624</v>
      </c>
    </row>
    <row r="335" spans="9:37" x14ac:dyDescent="0.45">
      <c r="I335" s="2">
        <v>48.1</v>
      </c>
      <c r="J335" s="2">
        <v>1.9239999999999999E-3</v>
      </c>
      <c r="K335" s="2">
        <v>1.4997999999999999E-3</v>
      </c>
      <c r="R335" s="2">
        <v>20.11</v>
      </c>
      <c r="S335" s="2">
        <v>5.8445000000000003E-4</v>
      </c>
      <c r="T335" s="2">
        <v>1.8987999999999999E-4</v>
      </c>
      <c r="V335" s="11"/>
      <c r="W335" s="6"/>
      <c r="X335" s="6">
        <v>3.16</v>
      </c>
      <c r="Y335" s="11" t="str">
        <f t="shared" si="60"/>
        <v/>
      </c>
      <c r="Z335" s="6" t="str">
        <f t="shared" si="61"/>
        <v/>
      </c>
      <c r="AA335" s="23">
        <f t="shared" si="62"/>
        <v>33.159999999999997</v>
      </c>
      <c r="AB335" t="str">
        <f t="shared" si="51"/>
        <v/>
      </c>
      <c r="AC335" t="str">
        <f t="shared" si="52"/>
        <v/>
      </c>
      <c r="AD335">
        <f t="shared" si="53"/>
        <v>6.2936000000000003E-4</v>
      </c>
      <c r="AE335" s="18" t="str">
        <f t="shared" si="54"/>
        <v/>
      </c>
      <c r="AF335" s="7" t="str">
        <f t="shared" si="55"/>
        <v/>
      </c>
      <c r="AG335" s="12">
        <f t="shared" si="56"/>
        <v>0.99809111147048735</v>
      </c>
      <c r="AI335" s="54" t="str">
        <f t="shared" si="57"/>
        <v/>
      </c>
      <c r="AJ335" s="54" t="str">
        <f t="shared" si="58"/>
        <v/>
      </c>
      <c r="AK335" s="54">
        <f t="shared" si="59"/>
        <v>0.16344274549532964</v>
      </c>
    </row>
    <row r="336" spans="9:37" x14ac:dyDescent="0.45">
      <c r="I336" s="2">
        <v>48.2</v>
      </c>
      <c r="J336" s="2">
        <v>1.946E-3</v>
      </c>
      <c r="K336" s="2">
        <v>1.5146000000000001E-3</v>
      </c>
      <c r="R336" s="2">
        <v>20.12</v>
      </c>
      <c r="S336" s="2">
        <v>5.844E-4</v>
      </c>
      <c r="T336" s="2">
        <v>1.8996E-4</v>
      </c>
      <c r="V336" s="11"/>
      <c r="W336" s="6"/>
      <c r="X336" s="6">
        <v>3.17</v>
      </c>
      <c r="Y336" s="11" t="str">
        <f t="shared" si="60"/>
        <v/>
      </c>
      <c r="Z336" s="6" t="str">
        <f t="shared" si="61"/>
        <v/>
      </c>
      <c r="AA336" s="23">
        <f t="shared" si="62"/>
        <v>33.17</v>
      </c>
      <c r="AB336" t="str">
        <f t="shared" si="51"/>
        <v/>
      </c>
      <c r="AC336" t="str">
        <f t="shared" si="52"/>
        <v/>
      </c>
      <c r="AD336">
        <f t="shared" si="53"/>
        <v>6.2956999999999998E-4</v>
      </c>
      <c r="AE336" s="18" t="str">
        <f t="shared" si="54"/>
        <v/>
      </c>
      <c r="AF336" s="7" t="str">
        <f t="shared" si="55"/>
        <v/>
      </c>
      <c r="AG336" s="12">
        <f t="shared" si="56"/>
        <v>0.99808482988426817</v>
      </c>
      <c r="AI336" s="54" t="str">
        <f t="shared" si="57"/>
        <v/>
      </c>
      <c r="AJ336" s="54" t="str">
        <f t="shared" si="58"/>
        <v/>
      </c>
      <c r="AK336" s="54">
        <f t="shared" si="59"/>
        <v>0.16399374947121931</v>
      </c>
    </row>
    <row r="337" spans="9:37" x14ac:dyDescent="0.45">
      <c r="I337" s="2">
        <v>48.3</v>
      </c>
      <c r="J337" s="2">
        <v>1.9680000000000001E-3</v>
      </c>
      <c r="K337" s="2">
        <v>1.5294E-3</v>
      </c>
      <c r="R337" s="2">
        <v>20.13</v>
      </c>
      <c r="S337" s="2">
        <v>5.8434999999999997E-4</v>
      </c>
      <c r="T337" s="2">
        <v>1.9003999999999999E-4</v>
      </c>
      <c r="V337" s="11"/>
      <c r="W337" s="6"/>
      <c r="X337" s="6">
        <v>3.18</v>
      </c>
      <c r="Y337" s="11" t="str">
        <f t="shared" si="60"/>
        <v/>
      </c>
      <c r="Z337" s="6" t="str">
        <f t="shared" si="61"/>
        <v/>
      </c>
      <c r="AA337" s="23">
        <f t="shared" si="62"/>
        <v>33.18</v>
      </c>
      <c r="AB337" t="str">
        <f t="shared" si="51"/>
        <v/>
      </c>
      <c r="AC337" t="str">
        <f t="shared" si="52"/>
        <v/>
      </c>
      <c r="AD337">
        <f t="shared" si="53"/>
        <v>6.2978000000000003E-4</v>
      </c>
      <c r="AE337" s="18" t="str">
        <f t="shared" si="54"/>
        <v/>
      </c>
      <c r="AF337" s="7" t="str">
        <f t="shared" si="55"/>
        <v/>
      </c>
      <c r="AG337" s="12">
        <f t="shared" si="56"/>
        <v>0.99807854624160464</v>
      </c>
      <c r="AI337" s="54" t="str">
        <f t="shared" si="57"/>
        <v/>
      </c>
      <c r="AJ337" s="54" t="str">
        <f t="shared" si="58"/>
        <v/>
      </c>
      <c r="AK337" s="54">
        <f t="shared" si="59"/>
        <v>0.16454497556088485</v>
      </c>
    </row>
    <row r="338" spans="9:37" x14ac:dyDescent="0.45">
      <c r="I338" s="2">
        <v>48.4</v>
      </c>
      <c r="J338" s="2">
        <v>1.99E-3</v>
      </c>
      <c r="K338" s="2">
        <v>1.5441999999999999E-3</v>
      </c>
      <c r="R338" s="2">
        <v>20.14</v>
      </c>
      <c r="S338" s="2">
        <v>5.8430000000000005E-4</v>
      </c>
      <c r="T338" s="2">
        <v>1.9012E-4</v>
      </c>
      <c r="V338" s="11"/>
      <c r="W338" s="6"/>
      <c r="X338" s="6">
        <v>3.19</v>
      </c>
      <c r="Y338" s="11" t="str">
        <f t="shared" si="60"/>
        <v/>
      </c>
      <c r="Z338" s="6" t="str">
        <f t="shared" si="61"/>
        <v/>
      </c>
      <c r="AA338" s="23">
        <f t="shared" si="62"/>
        <v>33.19</v>
      </c>
      <c r="AB338" t="str">
        <f t="shared" si="51"/>
        <v/>
      </c>
      <c r="AC338" t="str">
        <f t="shared" si="52"/>
        <v/>
      </c>
      <c r="AD338">
        <f t="shared" si="53"/>
        <v>6.2998999999999998E-4</v>
      </c>
      <c r="AE338" s="18" t="str">
        <f t="shared" si="54"/>
        <v/>
      </c>
      <c r="AF338" s="7" t="str">
        <f t="shared" si="55"/>
        <v/>
      </c>
      <c r="AG338" s="12">
        <f t="shared" si="56"/>
        <v>0.99807226054253606</v>
      </c>
      <c r="AI338" s="54" t="str">
        <f t="shared" si="57"/>
        <v/>
      </c>
      <c r="AJ338" s="54" t="str">
        <f t="shared" si="58"/>
        <v/>
      </c>
      <c r="AK338" s="54">
        <f t="shared" si="59"/>
        <v>0.16509642385688478</v>
      </c>
    </row>
    <row r="339" spans="9:37" x14ac:dyDescent="0.45">
      <c r="I339" s="2">
        <v>48.5</v>
      </c>
      <c r="J339" s="2">
        <v>2.0119999999999999E-3</v>
      </c>
      <c r="K339" s="2">
        <v>1.5590000000000001E-3</v>
      </c>
      <c r="R339" s="2">
        <v>20.149999999999999</v>
      </c>
      <c r="S339" s="2">
        <v>5.8425000000000003E-4</v>
      </c>
      <c r="T339" s="2">
        <v>1.9019999999999999E-4</v>
      </c>
      <c r="V339" s="11"/>
      <c r="W339" s="6"/>
      <c r="X339" s="6">
        <v>3.2</v>
      </c>
      <c r="Y339" s="11" t="str">
        <f t="shared" si="60"/>
        <v/>
      </c>
      <c r="Z339" s="6" t="str">
        <f t="shared" si="61"/>
        <v/>
      </c>
      <c r="AA339" s="23">
        <f t="shared" si="62"/>
        <v>33.200000000000003</v>
      </c>
      <c r="AB339" t="str">
        <f t="shared" ref="AB339:AB402" si="63">IF(Y339="","",VLOOKUP(Y339,Table_1,2))</f>
        <v/>
      </c>
      <c r="AC339" t="str">
        <f t="shared" ref="AC339:AC402" si="64">IF(Z339="","",VLOOKUP(Z339,Table_2,2))</f>
        <v/>
      </c>
      <c r="AD339">
        <f t="shared" ref="AD339:AD402" si="65">IF(AA339="","",VLOOKUP(AA339,Table_3,2))</f>
        <v>6.3020000000000003E-4</v>
      </c>
      <c r="AE339" s="18" t="str">
        <f t="shared" si="54"/>
        <v/>
      </c>
      <c r="AF339" s="7" t="str">
        <f t="shared" si="55"/>
        <v/>
      </c>
      <c r="AG339" s="12">
        <f t="shared" si="56"/>
        <v>0.99806597278710185</v>
      </c>
      <c r="AI339" s="54" t="str">
        <f t="shared" si="57"/>
        <v/>
      </c>
      <c r="AJ339" s="54" t="str">
        <f t="shared" si="58"/>
        <v/>
      </c>
      <c r="AK339" s="54">
        <f t="shared" si="59"/>
        <v>0.16564809445181669</v>
      </c>
    </row>
    <row r="340" spans="9:37" x14ac:dyDescent="0.45">
      <c r="I340" s="2">
        <v>48.6</v>
      </c>
      <c r="J340" s="2">
        <v>2.0339999999999998E-3</v>
      </c>
      <c r="K340" s="2">
        <v>1.5738E-3</v>
      </c>
      <c r="R340" s="2">
        <v>20.16</v>
      </c>
      <c r="S340" s="2">
        <v>5.842E-4</v>
      </c>
      <c r="T340" s="2">
        <v>1.9028E-4</v>
      </c>
      <c r="V340" s="11"/>
      <c r="W340" s="6"/>
      <c r="X340" s="6">
        <v>3.21</v>
      </c>
      <c r="Y340" s="11" t="str">
        <f t="shared" si="60"/>
        <v/>
      </c>
      <c r="Z340" s="6" t="str">
        <f t="shared" si="61"/>
        <v/>
      </c>
      <c r="AA340" s="23">
        <f t="shared" si="62"/>
        <v>33.21</v>
      </c>
      <c r="AB340" t="str">
        <f t="shared" si="63"/>
        <v/>
      </c>
      <c r="AC340" t="str">
        <f t="shared" si="64"/>
        <v/>
      </c>
      <c r="AD340">
        <f t="shared" si="65"/>
        <v>6.3040999999999998E-4</v>
      </c>
      <c r="AE340" s="18" t="str">
        <f t="shared" ref="AE340:AE403" si="66">IF(AB340="","",AE339+h_1*(-AE339*AB339))</f>
        <v/>
      </c>
      <c r="AF340" s="7" t="str">
        <f t="shared" ref="AF340:AF403" si="67">IF(AC340="","",AF339+h_2*(-AF339*AC339))</f>
        <v/>
      </c>
      <c r="AG340" s="12">
        <f t="shared" ref="AG340:AG403" si="68">IF(AD340="","",AG339+h_3*(-AG339*AD339))</f>
        <v>0.99805968297534131</v>
      </c>
      <c r="AI340" s="54" t="str">
        <f t="shared" ref="AI340:AI403" si="69">IF(Y340="","",AI339+AI$17*(AI339*delta+Prem1-AB339*(1-AI339)))</f>
        <v/>
      </c>
      <c r="AJ340" s="54" t="str">
        <f t="shared" ref="AJ340:AJ403" si="70">IF(Z340="","",AJ339+AJ$17*(AJ339*delta+Prem2-AC339*(1-AJ339)))</f>
        <v/>
      </c>
      <c r="AK340" s="54">
        <f t="shared" ref="AK340:AK403" si="71">IF(AA340="","",AK339+AK$17*(AK339*delta+Prem3-AD339*(1-AK339)))</f>
        <v>0.16619998743831715</v>
      </c>
    </row>
    <row r="341" spans="9:37" x14ac:dyDescent="0.45">
      <c r="I341" s="2">
        <v>48.7</v>
      </c>
      <c r="J341" s="2">
        <v>2.0560000000000001E-3</v>
      </c>
      <c r="K341" s="2">
        <v>1.5885999999999999E-3</v>
      </c>
      <c r="R341" s="2">
        <v>20.170000000000002</v>
      </c>
      <c r="S341" s="2">
        <v>5.8414999999999997E-4</v>
      </c>
      <c r="T341" s="2">
        <v>1.9035999999999999E-4</v>
      </c>
      <c r="V341" s="11"/>
      <c r="W341" s="6"/>
      <c r="X341" s="6">
        <v>3.22</v>
      </c>
      <c r="Y341" s="11" t="str">
        <f t="shared" ref="Y341:Y404" si="72">IF(ISBLANK(V341),"",$Y$19+V341)</f>
        <v/>
      </c>
      <c r="Z341" s="6" t="str">
        <f t="shared" ref="Z341:Z404" si="73">IF(ISBLANK(W341),"",$Y$19+W341)</f>
        <v/>
      </c>
      <c r="AA341" s="23">
        <f t="shared" ref="AA341:AA404" si="74">IF(ISBLANK(X341),"",$Y$19+X341)</f>
        <v>33.22</v>
      </c>
      <c r="AB341" t="str">
        <f t="shared" si="63"/>
        <v/>
      </c>
      <c r="AC341" t="str">
        <f t="shared" si="64"/>
        <v/>
      </c>
      <c r="AD341">
        <f t="shared" si="65"/>
        <v>6.3062000000000003E-4</v>
      </c>
      <c r="AE341" s="18" t="str">
        <f t="shared" si="66"/>
        <v/>
      </c>
      <c r="AF341" s="7" t="str">
        <f t="shared" si="67"/>
        <v/>
      </c>
      <c r="AG341" s="12">
        <f t="shared" si="68"/>
        <v>0.99805339110729385</v>
      </c>
      <c r="AI341" s="54" t="str">
        <f t="shared" si="69"/>
        <v/>
      </c>
      <c r="AJ341" s="54" t="str">
        <f t="shared" si="70"/>
        <v/>
      </c>
      <c r="AK341" s="54">
        <f t="shared" si="71"/>
        <v>0.16675210290906178</v>
      </c>
    </row>
    <row r="342" spans="9:37" x14ac:dyDescent="0.45">
      <c r="I342" s="2">
        <v>48.8</v>
      </c>
      <c r="J342" s="2">
        <v>2.078E-3</v>
      </c>
      <c r="K342" s="2">
        <v>1.6034000000000001E-3</v>
      </c>
      <c r="R342" s="2">
        <v>20.18</v>
      </c>
      <c r="S342" s="2">
        <v>5.8410000000000005E-4</v>
      </c>
      <c r="T342" s="2">
        <v>1.9044E-4</v>
      </c>
      <c r="V342" s="11"/>
      <c r="W342" s="6"/>
      <c r="X342" s="6">
        <v>3.23</v>
      </c>
      <c r="Y342" s="11" t="str">
        <f t="shared" si="72"/>
        <v/>
      </c>
      <c r="Z342" s="6" t="str">
        <f t="shared" si="73"/>
        <v/>
      </c>
      <c r="AA342" s="23">
        <f t="shared" si="74"/>
        <v>33.229999999999997</v>
      </c>
      <c r="AB342" t="str">
        <f t="shared" si="63"/>
        <v/>
      </c>
      <c r="AC342" t="str">
        <f t="shared" si="64"/>
        <v/>
      </c>
      <c r="AD342">
        <f t="shared" si="65"/>
        <v>6.3082999999999998E-4</v>
      </c>
      <c r="AE342" s="18" t="str">
        <f t="shared" si="66"/>
        <v/>
      </c>
      <c r="AF342" s="7" t="str">
        <f t="shared" si="67"/>
        <v/>
      </c>
      <c r="AG342" s="12">
        <f t="shared" si="68"/>
        <v>0.99804709718299889</v>
      </c>
      <c r="AI342" s="54" t="str">
        <f t="shared" si="69"/>
        <v/>
      </c>
      <c r="AJ342" s="54" t="str">
        <f t="shared" si="70"/>
        <v/>
      </c>
      <c r="AK342" s="54">
        <f t="shared" si="71"/>
        <v>0.16730444095676528</v>
      </c>
    </row>
    <row r="343" spans="9:37" x14ac:dyDescent="0.45">
      <c r="I343" s="2">
        <v>48.9</v>
      </c>
      <c r="J343" s="2">
        <v>2.0999999999999999E-3</v>
      </c>
      <c r="K343" s="2">
        <v>1.6182E-3</v>
      </c>
      <c r="R343" s="2">
        <v>20.190000000000001</v>
      </c>
      <c r="S343" s="2">
        <v>5.8405000000000002E-4</v>
      </c>
      <c r="T343" s="2">
        <v>1.9052000000000001E-4</v>
      </c>
      <c r="V343" s="11"/>
      <c r="W343" s="6"/>
      <c r="X343" s="6">
        <v>3.24</v>
      </c>
      <c r="Y343" s="11" t="str">
        <f t="shared" si="72"/>
        <v/>
      </c>
      <c r="Z343" s="6" t="str">
        <f t="shared" si="73"/>
        <v/>
      </c>
      <c r="AA343" s="23">
        <f t="shared" si="74"/>
        <v>33.24</v>
      </c>
      <c r="AB343" t="str">
        <f t="shared" si="63"/>
        <v/>
      </c>
      <c r="AC343" t="str">
        <f t="shared" si="64"/>
        <v/>
      </c>
      <c r="AD343">
        <f t="shared" si="65"/>
        <v>6.3104000000000003E-4</v>
      </c>
      <c r="AE343" s="18" t="str">
        <f t="shared" si="66"/>
        <v/>
      </c>
      <c r="AF343" s="7" t="str">
        <f t="shared" si="67"/>
        <v/>
      </c>
      <c r="AG343" s="12">
        <f t="shared" si="68"/>
        <v>0.99804080120249572</v>
      </c>
      <c r="AI343" s="54" t="str">
        <f t="shared" si="69"/>
        <v/>
      </c>
      <c r="AJ343" s="54" t="str">
        <f t="shared" si="70"/>
        <v/>
      </c>
      <c r="AK343" s="54">
        <f t="shared" si="71"/>
        <v>0.16785700167418136</v>
      </c>
    </row>
    <row r="344" spans="9:37" x14ac:dyDescent="0.45">
      <c r="I344" s="2">
        <v>49</v>
      </c>
      <c r="J344" s="2">
        <v>2.1220000000000002E-3</v>
      </c>
      <c r="K344" s="2">
        <v>1.6329999999999999E-3</v>
      </c>
      <c r="R344" s="2">
        <v>20.2</v>
      </c>
      <c r="S344" s="2">
        <v>5.8399999999999999E-4</v>
      </c>
      <c r="T344" s="2">
        <v>1.906E-4</v>
      </c>
      <c r="V344" s="11"/>
      <c r="W344" s="6"/>
      <c r="X344" s="6">
        <v>3.25</v>
      </c>
      <c r="Y344" s="11" t="str">
        <f t="shared" si="72"/>
        <v/>
      </c>
      <c r="Z344" s="6" t="str">
        <f t="shared" si="73"/>
        <v/>
      </c>
      <c r="AA344" s="23">
        <f t="shared" si="74"/>
        <v>33.25</v>
      </c>
      <c r="AB344" t="str">
        <f t="shared" si="63"/>
        <v/>
      </c>
      <c r="AC344" t="str">
        <f t="shared" si="64"/>
        <v/>
      </c>
      <c r="AD344">
        <f t="shared" si="65"/>
        <v>6.3124999999999998E-4</v>
      </c>
      <c r="AE344" s="18" t="str">
        <f t="shared" si="66"/>
        <v/>
      </c>
      <c r="AF344" s="7" t="str">
        <f t="shared" si="67"/>
        <v/>
      </c>
      <c r="AG344" s="12">
        <f t="shared" si="68"/>
        <v>0.99803450316582376</v>
      </c>
      <c r="AI344" s="54" t="str">
        <f t="shared" si="69"/>
        <v/>
      </c>
      <c r="AJ344" s="54" t="str">
        <f t="shared" si="70"/>
        <v/>
      </c>
      <c r="AK344" s="54">
        <f t="shared" si="71"/>
        <v>0.16840978515410288</v>
      </c>
    </row>
    <row r="345" spans="9:37" x14ac:dyDescent="0.45">
      <c r="I345" s="2">
        <v>49.1</v>
      </c>
      <c r="J345" s="2">
        <v>2.147E-3</v>
      </c>
      <c r="K345" s="2">
        <v>1.6494999999999999E-3</v>
      </c>
      <c r="R345" s="2">
        <v>20.21</v>
      </c>
      <c r="S345" s="2">
        <v>5.8394999999999996E-4</v>
      </c>
      <c r="T345" s="2">
        <v>1.9068000000000001E-4</v>
      </c>
      <c r="V345" s="11"/>
      <c r="W345" s="6"/>
      <c r="X345" s="6">
        <v>3.2600000000000002</v>
      </c>
      <c r="Y345" s="11" t="str">
        <f t="shared" si="72"/>
        <v/>
      </c>
      <c r="Z345" s="6" t="str">
        <f t="shared" si="73"/>
        <v/>
      </c>
      <c r="AA345" s="23">
        <f t="shared" si="74"/>
        <v>33.26</v>
      </c>
      <c r="AB345" t="str">
        <f t="shared" si="63"/>
        <v/>
      </c>
      <c r="AC345" t="str">
        <f t="shared" si="64"/>
        <v/>
      </c>
      <c r="AD345">
        <f t="shared" si="65"/>
        <v>6.3146000000000003E-4</v>
      </c>
      <c r="AE345" s="18" t="str">
        <f t="shared" si="66"/>
        <v/>
      </c>
      <c r="AF345" s="7" t="str">
        <f t="shared" si="67"/>
        <v/>
      </c>
      <c r="AG345" s="12">
        <f t="shared" si="68"/>
        <v>0.99802820307302254</v>
      </c>
      <c r="AI345" s="54" t="str">
        <f t="shared" si="69"/>
        <v/>
      </c>
      <c r="AJ345" s="54" t="str">
        <f t="shared" si="70"/>
        <v/>
      </c>
      <c r="AK345" s="54">
        <f t="shared" si="71"/>
        <v>0.1689627914893618</v>
      </c>
    </row>
    <row r="346" spans="9:37" x14ac:dyDescent="0.45">
      <c r="I346" s="2">
        <v>49.2</v>
      </c>
      <c r="J346" s="2">
        <v>2.1719999999999999E-3</v>
      </c>
      <c r="K346" s="2">
        <v>1.6659999999999999E-3</v>
      </c>
      <c r="R346" s="2">
        <v>20.22</v>
      </c>
      <c r="S346" s="2">
        <v>5.8390000000000004E-4</v>
      </c>
      <c r="T346" s="2">
        <v>1.9076E-4</v>
      </c>
      <c r="V346" s="11"/>
      <c r="W346" s="6"/>
      <c r="X346" s="6">
        <v>3.27</v>
      </c>
      <c r="Y346" s="11" t="str">
        <f t="shared" si="72"/>
        <v/>
      </c>
      <c r="Z346" s="6" t="str">
        <f t="shared" si="73"/>
        <v/>
      </c>
      <c r="AA346" s="23">
        <f t="shared" si="74"/>
        <v>33.270000000000003</v>
      </c>
      <c r="AB346" t="str">
        <f t="shared" si="63"/>
        <v/>
      </c>
      <c r="AC346" t="str">
        <f t="shared" si="64"/>
        <v/>
      </c>
      <c r="AD346">
        <f t="shared" si="65"/>
        <v>6.3166999999999997E-4</v>
      </c>
      <c r="AE346" s="18" t="str">
        <f t="shared" si="66"/>
        <v/>
      </c>
      <c r="AF346" s="7" t="str">
        <f t="shared" si="67"/>
        <v/>
      </c>
      <c r="AG346" s="12">
        <f t="shared" si="68"/>
        <v>0.99802190092413146</v>
      </c>
      <c r="AI346" s="54" t="str">
        <f t="shared" si="69"/>
        <v/>
      </c>
      <c r="AJ346" s="54" t="str">
        <f t="shared" si="70"/>
        <v/>
      </c>
      <c r="AK346" s="54">
        <f t="shared" si="71"/>
        <v>0.16951602077282918</v>
      </c>
    </row>
    <row r="347" spans="9:37" x14ac:dyDescent="0.45">
      <c r="I347" s="2">
        <v>49.3</v>
      </c>
      <c r="J347" s="2">
        <v>2.1970000000000002E-3</v>
      </c>
      <c r="K347" s="2">
        <v>1.6825E-3</v>
      </c>
      <c r="R347" s="2">
        <v>20.23</v>
      </c>
      <c r="S347" s="2">
        <v>5.8385000000000002E-4</v>
      </c>
      <c r="T347" s="2">
        <v>1.9084000000000001E-4</v>
      </c>
      <c r="V347" s="11"/>
      <c r="W347" s="6"/>
      <c r="X347" s="6">
        <v>3.2800000000000002</v>
      </c>
      <c r="Y347" s="11" t="str">
        <f t="shared" si="72"/>
        <v/>
      </c>
      <c r="Z347" s="6" t="str">
        <f t="shared" si="73"/>
        <v/>
      </c>
      <c r="AA347" s="23">
        <f t="shared" si="74"/>
        <v>33.28</v>
      </c>
      <c r="AB347" t="str">
        <f t="shared" si="63"/>
        <v/>
      </c>
      <c r="AC347" t="str">
        <f t="shared" si="64"/>
        <v/>
      </c>
      <c r="AD347">
        <f t="shared" si="65"/>
        <v>6.3188000000000003E-4</v>
      </c>
      <c r="AE347" s="18" t="str">
        <f t="shared" si="66"/>
        <v/>
      </c>
      <c r="AF347" s="7" t="str">
        <f t="shared" si="67"/>
        <v/>
      </c>
      <c r="AG347" s="12">
        <f t="shared" si="68"/>
        <v>0.99801559671918993</v>
      </c>
      <c r="AI347" s="54" t="str">
        <f t="shared" si="69"/>
        <v/>
      </c>
      <c r="AJ347" s="54" t="str">
        <f t="shared" si="70"/>
        <v/>
      </c>
      <c r="AK347" s="54">
        <f t="shared" si="71"/>
        <v>0.17006947309741521</v>
      </c>
    </row>
    <row r="348" spans="9:37" x14ac:dyDescent="0.45">
      <c r="I348" s="2">
        <v>49.4</v>
      </c>
      <c r="J348" s="2">
        <v>2.222E-3</v>
      </c>
      <c r="K348" s="2">
        <v>1.699E-3</v>
      </c>
      <c r="R348" s="2">
        <v>20.239999999999998</v>
      </c>
      <c r="S348" s="2">
        <v>5.8379999999999999E-4</v>
      </c>
      <c r="T348" s="2">
        <v>1.9091999999999999E-4</v>
      </c>
      <c r="V348" s="11"/>
      <c r="W348" s="6"/>
      <c r="X348" s="6">
        <v>3.29</v>
      </c>
      <c r="Y348" s="11" t="str">
        <f t="shared" si="72"/>
        <v/>
      </c>
      <c r="Z348" s="6" t="str">
        <f t="shared" si="73"/>
        <v/>
      </c>
      <c r="AA348" s="23">
        <f t="shared" si="74"/>
        <v>33.29</v>
      </c>
      <c r="AB348" t="str">
        <f t="shared" si="63"/>
        <v/>
      </c>
      <c r="AC348" t="str">
        <f t="shared" si="64"/>
        <v/>
      </c>
      <c r="AD348">
        <f t="shared" si="65"/>
        <v>6.3208999999999997E-4</v>
      </c>
      <c r="AE348" s="18" t="str">
        <f t="shared" si="66"/>
        <v/>
      </c>
      <c r="AF348" s="7" t="str">
        <f t="shared" si="67"/>
        <v/>
      </c>
      <c r="AG348" s="12">
        <f t="shared" si="68"/>
        <v>0.99800929045823739</v>
      </c>
      <c r="AI348" s="54" t="str">
        <f t="shared" si="69"/>
        <v/>
      </c>
      <c r="AJ348" s="54" t="str">
        <f t="shared" si="70"/>
        <v/>
      </c>
      <c r="AK348" s="54">
        <f t="shared" si="71"/>
        <v>0.17062314855606928</v>
      </c>
    </row>
    <row r="349" spans="9:37" x14ac:dyDescent="0.45">
      <c r="I349" s="2">
        <v>49.5</v>
      </c>
      <c r="J349" s="2">
        <v>2.2469999999999999E-3</v>
      </c>
      <c r="K349" s="2">
        <v>1.7155E-3</v>
      </c>
      <c r="R349" s="2">
        <v>20.25</v>
      </c>
      <c r="S349" s="2">
        <v>5.8374999999999996E-4</v>
      </c>
      <c r="T349" s="2">
        <v>1.9100000000000001E-4</v>
      </c>
      <c r="V349" s="11"/>
      <c r="W349" s="6"/>
      <c r="X349" s="6">
        <v>3.3000000000000003</v>
      </c>
      <c r="Y349" s="11" t="str">
        <f t="shared" si="72"/>
        <v/>
      </c>
      <c r="Z349" s="6" t="str">
        <f t="shared" si="73"/>
        <v/>
      </c>
      <c r="AA349" s="23">
        <f t="shared" si="74"/>
        <v>33.299999999999997</v>
      </c>
      <c r="AB349" t="str">
        <f t="shared" si="63"/>
        <v/>
      </c>
      <c r="AC349" t="str">
        <f t="shared" si="64"/>
        <v/>
      </c>
      <c r="AD349">
        <f t="shared" si="65"/>
        <v>6.3230000000000003E-4</v>
      </c>
      <c r="AE349" s="18" t="str">
        <f t="shared" si="66"/>
        <v/>
      </c>
      <c r="AF349" s="7" t="str">
        <f t="shared" si="67"/>
        <v/>
      </c>
      <c r="AG349" s="12">
        <f t="shared" si="68"/>
        <v>0.99800298214131333</v>
      </c>
      <c r="AI349" s="54" t="str">
        <f t="shared" si="69"/>
        <v/>
      </c>
      <c r="AJ349" s="54" t="str">
        <f t="shared" si="70"/>
        <v/>
      </c>
      <c r="AK349" s="54">
        <f t="shared" si="71"/>
        <v>0.1711770472417799</v>
      </c>
    </row>
    <row r="350" spans="9:37" x14ac:dyDescent="0.45">
      <c r="I350" s="2">
        <v>49.6</v>
      </c>
      <c r="J350" s="2">
        <v>2.2720000000000001E-3</v>
      </c>
      <c r="K350" s="2">
        <v>1.732E-3</v>
      </c>
      <c r="R350" s="2">
        <v>20.260000000000002</v>
      </c>
      <c r="S350" s="2">
        <v>5.8370000000000004E-4</v>
      </c>
      <c r="T350" s="2">
        <v>1.9107999999999999E-4</v>
      </c>
      <c r="V350" s="11"/>
      <c r="W350" s="6"/>
      <c r="X350" s="6">
        <v>3.31</v>
      </c>
      <c r="Y350" s="11" t="str">
        <f t="shared" si="72"/>
        <v/>
      </c>
      <c r="Z350" s="6" t="str">
        <f t="shared" si="73"/>
        <v/>
      </c>
      <c r="AA350" s="23">
        <f t="shared" si="74"/>
        <v>33.31</v>
      </c>
      <c r="AB350" t="str">
        <f t="shared" si="63"/>
        <v/>
      </c>
      <c r="AC350" t="str">
        <f t="shared" si="64"/>
        <v/>
      </c>
      <c r="AD350">
        <f t="shared" si="65"/>
        <v>6.3250999999999997E-4</v>
      </c>
      <c r="AE350" s="18" t="str">
        <f t="shared" si="66"/>
        <v/>
      </c>
      <c r="AF350" s="7" t="str">
        <f t="shared" si="67"/>
        <v/>
      </c>
      <c r="AG350" s="12">
        <f t="shared" si="68"/>
        <v>0.9979966717684573</v>
      </c>
      <c r="AI350" s="54" t="str">
        <f t="shared" si="69"/>
        <v/>
      </c>
      <c r="AJ350" s="54" t="str">
        <f t="shared" si="70"/>
        <v/>
      </c>
      <c r="AK350" s="54">
        <f t="shared" si="71"/>
        <v>0.17173116924757481</v>
      </c>
    </row>
    <row r="351" spans="9:37" x14ac:dyDescent="0.45">
      <c r="I351" s="2">
        <v>49.7</v>
      </c>
      <c r="J351" s="2">
        <v>2.297E-3</v>
      </c>
      <c r="K351" s="2">
        <v>1.7485000000000001E-3</v>
      </c>
      <c r="R351" s="2">
        <v>20.27</v>
      </c>
      <c r="S351" s="2">
        <v>5.8365000000000001E-4</v>
      </c>
      <c r="T351" s="2">
        <v>1.9116000000000001E-4</v>
      </c>
      <c r="V351" s="11"/>
      <c r="W351" s="6"/>
      <c r="X351" s="6">
        <v>3.3200000000000003</v>
      </c>
      <c r="Y351" s="11" t="str">
        <f t="shared" si="72"/>
        <v/>
      </c>
      <c r="Z351" s="6" t="str">
        <f t="shared" si="73"/>
        <v/>
      </c>
      <c r="AA351" s="23">
        <f t="shared" si="74"/>
        <v>33.32</v>
      </c>
      <c r="AB351" t="str">
        <f t="shared" si="63"/>
        <v/>
      </c>
      <c r="AC351" t="str">
        <f t="shared" si="64"/>
        <v/>
      </c>
      <c r="AD351">
        <f t="shared" si="65"/>
        <v>6.3272000000000003E-4</v>
      </c>
      <c r="AE351" s="18" t="str">
        <f t="shared" si="66"/>
        <v/>
      </c>
      <c r="AF351" s="7" t="str">
        <f t="shared" si="67"/>
        <v/>
      </c>
      <c r="AG351" s="12">
        <f t="shared" si="68"/>
        <v>0.9979903593397087</v>
      </c>
      <c r="AI351" s="54" t="str">
        <f t="shared" si="69"/>
        <v/>
      </c>
      <c r="AJ351" s="54" t="str">
        <f t="shared" si="70"/>
        <v/>
      </c>
      <c r="AK351" s="54">
        <f t="shared" si="71"/>
        <v>0.17228551466652095</v>
      </c>
    </row>
    <row r="352" spans="9:37" x14ac:dyDescent="0.45">
      <c r="I352" s="2">
        <v>49.8</v>
      </c>
      <c r="J352" s="2">
        <v>2.3219999999999998E-3</v>
      </c>
      <c r="K352" s="2">
        <v>1.7650000000000001E-3</v>
      </c>
      <c r="R352" s="2">
        <v>20.28</v>
      </c>
      <c r="S352" s="2">
        <v>5.8359999999999998E-4</v>
      </c>
      <c r="T352" s="2">
        <v>1.9123999999999999E-4</v>
      </c>
      <c r="V352" s="11"/>
      <c r="W352" s="6"/>
      <c r="X352" s="6">
        <v>3.33</v>
      </c>
      <c r="Y352" s="11" t="str">
        <f t="shared" si="72"/>
        <v/>
      </c>
      <c r="Z352" s="6" t="str">
        <f t="shared" si="73"/>
        <v/>
      </c>
      <c r="AA352" s="23">
        <f t="shared" si="74"/>
        <v>33.33</v>
      </c>
      <c r="AB352" t="str">
        <f t="shared" si="63"/>
        <v/>
      </c>
      <c r="AC352" t="str">
        <f t="shared" si="64"/>
        <v/>
      </c>
      <c r="AD352">
        <f t="shared" si="65"/>
        <v>6.3292999999999997E-4</v>
      </c>
      <c r="AE352" s="18" t="str">
        <f t="shared" si="66"/>
        <v/>
      </c>
      <c r="AF352" s="7" t="str">
        <f t="shared" si="67"/>
        <v/>
      </c>
      <c r="AG352" s="12">
        <f t="shared" si="68"/>
        <v>0.99798404485510706</v>
      </c>
      <c r="AI352" s="54" t="str">
        <f t="shared" si="69"/>
        <v/>
      </c>
      <c r="AJ352" s="54" t="str">
        <f t="shared" si="70"/>
        <v/>
      </c>
      <c r="AK352" s="54">
        <f t="shared" si="71"/>
        <v>0.17284008359172445</v>
      </c>
    </row>
    <row r="353" spans="9:37" x14ac:dyDescent="0.45">
      <c r="I353" s="2">
        <v>49.9</v>
      </c>
      <c r="J353" s="2">
        <v>2.3470000000000001E-3</v>
      </c>
      <c r="K353" s="2">
        <v>1.7815000000000001E-3</v>
      </c>
      <c r="R353" s="2">
        <v>20.29</v>
      </c>
      <c r="S353" s="2">
        <v>5.8354999999999995E-4</v>
      </c>
      <c r="T353" s="2">
        <v>1.9132E-4</v>
      </c>
      <c r="V353" s="11"/>
      <c r="W353" s="6"/>
      <c r="X353" s="6">
        <v>3.34</v>
      </c>
      <c r="Y353" s="11" t="str">
        <f t="shared" si="72"/>
        <v/>
      </c>
      <c r="Z353" s="6" t="str">
        <f t="shared" si="73"/>
        <v/>
      </c>
      <c r="AA353" s="23">
        <f t="shared" si="74"/>
        <v>33.340000000000003</v>
      </c>
      <c r="AB353" t="str">
        <f t="shared" si="63"/>
        <v/>
      </c>
      <c r="AC353" t="str">
        <f t="shared" si="64"/>
        <v/>
      </c>
      <c r="AD353">
        <f t="shared" si="65"/>
        <v>6.3314000000000003E-4</v>
      </c>
      <c r="AE353" s="18" t="str">
        <f t="shared" si="66"/>
        <v/>
      </c>
      <c r="AF353" s="7" t="str">
        <f t="shared" si="67"/>
        <v/>
      </c>
      <c r="AG353" s="12">
        <f t="shared" si="68"/>
        <v>0.997977728314692</v>
      </c>
      <c r="AI353" s="54" t="str">
        <f t="shared" si="69"/>
        <v/>
      </c>
      <c r="AJ353" s="54" t="str">
        <f t="shared" si="70"/>
        <v/>
      </c>
      <c r="AK353" s="54">
        <f t="shared" si="71"/>
        <v>0.17339487611633073</v>
      </c>
    </row>
    <row r="354" spans="9:37" x14ac:dyDescent="0.45">
      <c r="I354" s="2">
        <v>50</v>
      </c>
      <c r="J354" s="2">
        <v>2.372E-3</v>
      </c>
      <c r="K354" s="2">
        <v>1.7979999999999999E-3</v>
      </c>
      <c r="R354" s="2">
        <v>20.3</v>
      </c>
      <c r="S354" s="2">
        <v>5.8350000000000003E-4</v>
      </c>
      <c r="T354" s="2">
        <v>1.9139999999999999E-4</v>
      </c>
      <c r="V354" s="11"/>
      <c r="W354" s="6"/>
      <c r="X354" s="6">
        <v>3.35</v>
      </c>
      <c r="Y354" s="11" t="str">
        <f t="shared" si="72"/>
        <v/>
      </c>
      <c r="Z354" s="6" t="str">
        <f t="shared" si="73"/>
        <v/>
      </c>
      <c r="AA354" s="23">
        <f t="shared" si="74"/>
        <v>33.35</v>
      </c>
      <c r="AB354" t="str">
        <f t="shared" si="63"/>
        <v/>
      </c>
      <c r="AC354" t="str">
        <f t="shared" si="64"/>
        <v/>
      </c>
      <c r="AD354">
        <f t="shared" si="65"/>
        <v>6.3334999999999997E-4</v>
      </c>
      <c r="AE354" s="18" t="str">
        <f t="shared" si="66"/>
        <v/>
      </c>
      <c r="AF354" s="7" t="str">
        <f t="shared" si="67"/>
        <v/>
      </c>
      <c r="AG354" s="12">
        <f t="shared" si="68"/>
        <v>0.99797140971850296</v>
      </c>
      <c r="AI354" s="54" t="str">
        <f t="shared" si="69"/>
        <v/>
      </c>
      <c r="AJ354" s="54" t="str">
        <f t="shared" si="70"/>
        <v/>
      </c>
      <c r="AK354" s="54">
        <f t="shared" si="71"/>
        <v>0.1739498923335244</v>
      </c>
    </row>
    <row r="355" spans="9:37" x14ac:dyDescent="0.45">
      <c r="I355" s="2">
        <v>50.1</v>
      </c>
      <c r="J355" s="2">
        <v>2.4004E-3</v>
      </c>
      <c r="K355" s="2">
        <v>1.8162E-3</v>
      </c>
      <c r="R355" s="2">
        <v>20.309999999999999</v>
      </c>
      <c r="S355" s="2">
        <v>5.8345000000000001E-4</v>
      </c>
      <c r="T355" s="2">
        <v>1.9148E-4</v>
      </c>
      <c r="V355" s="11"/>
      <c r="W355" s="6"/>
      <c r="X355" s="6">
        <v>3.36</v>
      </c>
      <c r="Y355" s="11" t="str">
        <f t="shared" si="72"/>
        <v/>
      </c>
      <c r="Z355" s="6" t="str">
        <f t="shared" si="73"/>
        <v/>
      </c>
      <c r="AA355" s="23">
        <f t="shared" si="74"/>
        <v>33.36</v>
      </c>
      <c r="AB355" t="str">
        <f t="shared" si="63"/>
        <v/>
      </c>
      <c r="AC355" t="str">
        <f t="shared" si="64"/>
        <v/>
      </c>
      <c r="AD355">
        <f t="shared" si="65"/>
        <v>6.3356000000000003E-4</v>
      </c>
      <c r="AE355" s="18" t="str">
        <f t="shared" si="66"/>
        <v/>
      </c>
      <c r="AF355" s="7" t="str">
        <f t="shared" si="67"/>
        <v/>
      </c>
      <c r="AG355" s="12">
        <f t="shared" si="68"/>
        <v>0.99796508906657955</v>
      </c>
      <c r="AI355" s="54" t="str">
        <f t="shared" si="69"/>
        <v/>
      </c>
      <c r="AJ355" s="54" t="str">
        <f t="shared" si="70"/>
        <v/>
      </c>
      <c r="AK355" s="54">
        <f t="shared" si="71"/>
        <v>0.17450513233652939</v>
      </c>
    </row>
    <row r="356" spans="9:37" x14ac:dyDescent="0.45">
      <c r="I356" s="2">
        <v>50.2</v>
      </c>
      <c r="J356" s="2">
        <v>2.4288000000000001E-3</v>
      </c>
      <c r="K356" s="2">
        <v>1.8343999999999999E-3</v>
      </c>
      <c r="R356" s="2">
        <v>20.32</v>
      </c>
      <c r="S356" s="2">
        <v>5.8339999999999998E-4</v>
      </c>
      <c r="T356" s="2">
        <v>1.9155999999999999E-4</v>
      </c>
      <c r="V356" s="11"/>
      <c r="W356" s="6"/>
      <c r="X356" s="6">
        <v>3.37</v>
      </c>
      <c r="Y356" s="11" t="str">
        <f t="shared" si="72"/>
        <v/>
      </c>
      <c r="Z356" s="6" t="str">
        <f t="shared" si="73"/>
        <v/>
      </c>
      <c r="AA356" s="23">
        <f t="shared" si="74"/>
        <v>33.369999999999997</v>
      </c>
      <c r="AB356" t="str">
        <f t="shared" si="63"/>
        <v/>
      </c>
      <c r="AC356" t="str">
        <f t="shared" si="64"/>
        <v/>
      </c>
      <c r="AD356">
        <f t="shared" si="65"/>
        <v>6.3376999999999997E-4</v>
      </c>
      <c r="AE356" s="18" t="str">
        <f t="shared" si="66"/>
        <v/>
      </c>
      <c r="AF356" s="7" t="str">
        <f t="shared" si="67"/>
        <v/>
      </c>
      <c r="AG356" s="12">
        <f t="shared" si="68"/>
        <v>0.9979587663589613</v>
      </c>
      <c r="AI356" s="54" t="str">
        <f t="shared" si="69"/>
        <v/>
      </c>
      <c r="AJ356" s="54" t="str">
        <f t="shared" si="70"/>
        <v/>
      </c>
      <c r="AK356" s="54">
        <f t="shared" si="71"/>
        <v>0.17506059621860892</v>
      </c>
    </row>
    <row r="357" spans="9:37" x14ac:dyDescent="0.45">
      <c r="I357" s="2">
        <v>50.3</v>
      </c>
      <c r="J357" s="2">
        <v>2.4572000000000001E-3</v>
      </c>
      <c r="K357" s="2">
        <v>1.8526E-3</v>
      </c>
      <c r="R357" s="2">
        <v>20.329999999999998</v>
      </c>
      <c r="S357" s="2">
        <v>5.8334999999999995E-4</v>
      </c>
      <c r="T357" s="2">
        <v>1.9164E-4</v>
      </c>
      <c r="V357" s="11"/>
      <c r="W357" s="6"/>
      <c r="X357" s="6">
        <v>3.38</v>
      </c>
      <c r="Y357" s="11" t="str">
        <f t="shared" si="72"/>
        <v/>
      </c>
      <c r="Z357" s="6" t="str">
        <f t="shared" si="73"/>
        <v/>
      </c>
      <c r="AA357" s="23">
        <f t="shared" si="74"/>
        <v>33.380000000000003</v>
      </c>
      <c r="AB357" t="str">
        <f t="shared" si="63"/>
        <v/>
      </c>
      <c r="AC357" t="str">
        <f t="shared" si="64"/>
        <v/>
      </c>
      <c r="AD357">
        <f t="shared" si="65"/>
        <v>6.3398000000000003E-4</v>
      </c>
      <c r="AE357" s="18" t="str">
        <f t="shared" si="66"/>
        <v/>
      </c>
      <c r="AF357" s="7" t="str">
        <f t="shared" si="67"/>
        <v/>
      </c>
      <c r="AG357" s="12">
        <f t="shared" si="68"/>
        <v>0.99795244159568774</v>
      </c>
      <c r="AI357" s="54" t="str">
        <f t="shared" si="69"/>
        <v/>
      </c>
      <c r="AJ357" s="54" t="str">
        <f t="shared" si="70"/>
        <v/>
      </c>
      <c r="AK357" s="54">
        <f t="shared" si="71"/>
        <v>0.17561628407306551</v>
      </c>
    </row>
    <row r="358" spans="9:37" x14ac:dyDescent="0.45">
      <c r="I358" s="2">
        <v>50.4</v>
      </c>
      <c r="J358" s="2">
        <v>2.4856000000000001E-3</v>
      </c>
      <c r="K358" s="2">
        <v>1.8707999999999999E-3</v>
      </c>
      <c r="R358" s="2">
        <v>20.34</v>
      </c>
      <c r="S358" s="2">
        <v>5.8330000000000003E-4</v>
      </c>
      <c r="T358" s="2">
        <v>1.9171999999999999E-4</v>
      </c>
      <c r="V358" s="11"/>
      <c r="W358" s="6"/>
      <c r="X358" s="6">
        <v>3.39</v>
      </c>
      <c r="Y358" s="11" t="str">
        <f t="shared" si="72"/>
        <v/>
      </c>
      <c r="Z358" s="6" t="str">
        <f t="shared" si="73"/>
        <v/>
      </c>
      <c r="AA358" s="23">
        <f t="shared" si="74"/>
        <v>33.39</v>
      </c>
      <c r="AB358" t="str">
        <f t="shared" si="63"/>
        <v/>
      </c>
      <c r="AC358" t="str">
        <f t="shared" si="64"/>
        <v/>
      </c>
      <c r="AD358">
        <f t="shared" si="65"/>
        <v>6.3418999999999997E-4</v>
      </c>
      <c r="AE358" s="18" t="str">
        <f t="shared" si="66"/>
        <v/>
      </c>
      <c r="AF358" s="7" t="str">
        <f t="shared" si="67"/>
        <v/>
      </c>
      <c r="AG358" s="12">
        <f t="shared" si="68"/>
        <v>0.99794611477679851</v>
      </c>
      <c r="AI358" s="54" t="str">
        <f t="shared" si="69"/>
        <v/>
      </c>
      <c r="AJ358" s="54" t="str">
        <f t="shared" si="70"/>
        <v/>
      </c>
      <c r="AK358" s="54">
        <f t="shared" si="71"/>
        <v>0.17617219599324099</v>
      </c>
    </row>
    <row r="359" spans="9:37" x14ac:dyDescent="0.45">
      <c r="I359" s="2">
        <v>50.5</v>
      </c>
      <c r="J359" s="2">
        <v>2.5140000000000002E-3</v>
      </c>
      <c r="K359" s="2">
        <v>1.8890000000000001E-3</v>
      </c>
      <c r="R359" s="2">
        <v>20.350000000000001</v>
      </c>
      <c r="S359" s="2">
        <v>5.8325E-4</v>
      </c>
      <c r="T359" s="2">
        <v>1.918E-4</v>
      </c>
      <c r="V359" s="11"/>
      <c r="W359" s="6"/>
      <c r="X359" s="6">
        <v>3.4</v>
      </c>
      <c r="Y359" s="11" t="str">
        <f t="shared" si="72"/>
        <v/>
      </c>
      <c r="Z359" s="6" t="str">
        <f t="shared" si="73"/>
        <v/>
      </c>
      <c r="AA359" s="23">
        <f t="shared" si="74"/>
        <v>33.4</v>
      </c>
      <c r="AB359" t="str">
        <f t="shared" si="63"/>
        <v/>
      </c>
      <c r="AC359" t="str">
        <f t="shared" si="64"/>
        <v/>
      </c>
      <c r="AD359">
        <f t="shared" si="65"/>
        <v>6.3440000000000002E-4</v>
      </c>
      <c r="AE359" s="18" t="str">
        <f t="shared" si="66"/>
        <v/>
      </c>
      <c r="AF359" s="7" t="str">
        <f t="shared" si="67"/>
        <v/>
      </c>
      <c r="AG359" s="12">
        <f t="shared" si="68"/>
        <v>0.99793978590233323</v>
      </c>
      <c r="AI359" s="54" t="str">
        <f t="shared" si="69"/>
        <v/>
      </c>
      <c r="AJ359" s="54" t="str">
        <f t="shared" si="70"/>
        <v/>
      </c>
      <c r="AK359" s="54">
        <f t="shared" si="71"/>
        <v>0.17672833207251656</v>
      </c>
    </row>
    <row r="360" spans="9:37" x14ac:dyDescent="0.45">
      <c r="I360" s="2">
        <v>50.6</v>
      </c>
      <c r="J360" s="2">
        <v>2.5424000000000002E-3</v>
      </c>
      <c r="K360" s="2">
        <v>1.9072E-3</v>
      </c>
      <c r="R360" s="2">
        <v>20.36</v>
      </c>
      <c r="S360" s="2">
        <v>5.8319999999999997E-4</v>
      </c>
      <c r="T360" s="2">
        <v>1.9188000000000001E-4</v>
      </c>
      <c r="V360" s="11"/>
      <c r="W360" s="6"/>
      <c r="X360" s="6">
        <v>3.41</v>
      </c>
      <c r="Y360" s="11" t="str">
        <f t="shared" si="72"/>
        <v/>
      </c>
      <c r="Z360" s="6" t="str">
        <f t="shared" si="73"/>
        <v/>
      </c>
      <c r="AA360" s="23">
        <f t="shared" si="74"/>
        <v>33.409999999999997</v>
      </c>
      <c r="AB360" t="str">
        <f t="shared" si="63"/>
        <v/>
      </c>
      <c r="AC360" t="str">
        <f t="shared" si="64"/>
        <v/>
      </c>
      <c r="AD360">
        <f t="shared" si="65"/>
        <v>6.3460999999999997E-4</v>
      </c>
      <c r="AE360" s="18" t="str">
        <f t="shared" si="66"/>
        <v/>
      </c>
      <c r="AF360" s="7" t="str">
        <f t="shared" si="67"/>
        <v/>
      </c>
      <c r="AG360" s="12">
        <f t="shared" si="68"/>
        <v>0.99793345497233144</v>
      </c>
      <c r="AI360" s="54" t="str">
        <f t="shared" si="69"/>
        <v/>
      </c>
      <c r="AJ360" s="54" t="str">
        <f t="shared" si="70"/>
        <v/>
      </c>
      <c r="AK360" s="54">
        <f t="shared" si="71"/>
        <v>0.17728469240431274</v>
      </c>
    </row>
    <row r="361" spans="9:37" x14ac:dyDescent="0.45">
      <c r="I361" s="2">
        <v>50.7</v>
      </c>
      <c r="J361" s="2">
        <v>2.5707999999999998E-3</v>
      </c>
      <c r="K361" s="2">
        <v>1.9254000000000001E-3</v>
      </c>
      <c r="R361" s="2">
        <v>20.37</v>
      </c>
      <c r="S361" s="2">
        <v>5.8315000000000005E-4</v>
      </c>
      <c r="T361" s="2">
        <v>1.9196E-4</v>
      </c>
      <c r="V361" s="11"/>
      <c r="W361" s="6"/>
      <c r="X361" s="6">
        <v>3.42</v>
      </c>
      <c r="Y361" s="11" t="str">
        <f t="shared" si="72"/>
        <v/>
      </c>
      <c r="Z361" s="6" t="str">
        <f t="shared" si="73"/>
        <v/>
      </c>
      <c r="AA361" s="23">
        <f t="shared" si="74"/>
        <v>33.42</v>
      </c>
      <c r="AB361" t="str">
        <f t="shared" si="63"/>
        <v/>
      </c>
      <c r="AC361" t="str">
        <f t="shared" si="64"/>
        <v/>
      </c>
      <c r="AD361">
        <f t="shared" si="65"/>
        <v>6.3482000000000002E-4</v>
      </c>
      <c r="AE361" s="18" t="str">
        <f t="shared" si="66"/>
        <v/>
      </c>
      <c r="AF361" s="7" t="str">
        <f t="shared" si="67"/>
        <v/>
      </c>
      <c r="AG361" s="12">
        <f t="shared" si="68"/>
        <v>0.99792712198683287</v>
      </c>
      <c r="AI361" s="54" t="str">
        <f t="shared" si="69"/>
        <v/>
      </c>
      <c r="AJ361" s="54" t="str">
        <f t="shared" si="70"/>
        <v/>
      </c>
      <c r="AK361" s="54">
        <f t="shared" si="71"/>
        <v>0.17784127708208944</v>
      </c>
    </row>
    <row r="362" spans="9:37" x14ac:dyDescent="0.45">
      <c r="I362" s="2">
        <v>50.8</v>
      </c>
      <c r="J362" s="2">
        <v>2.5991999999999999E-3</v>
      </c>
      <c r="K362" s="2">
        <v>1.9436E-3</v>
      </c>
      <c r="R362" s="2">
        <v>20.38</v>
      </c>
      <c r="S362" s="2">
        <v>5.8310000000000002E-4</v>
      </c>
      <c r="T362" s="2">
        <v>1.9204000000000001E-4</v>
      </c>
      <c r="V362" s="11"/>
      <c r="W362" s="6"/>
      <c r="X362" s="6">
        <v>3.43</v>
      </c>
      <c r="Y362" s="11" t="str">
        <f t="shared" si="72"/>
        <v/>
      </c>
      <c r="Z362" s="6" t="str">
        <f t="shared" si="73"/>
        <v/>
      </c>
      <c r="AA362" s="23">
        <f t="shared" si="74"/>
        <v>33.43</v>
      </c>
      <c r="AB362" t="str">
        <f t="shared" si="63"/>
        <v/>
      </c>
      <c r="AC362" t="str">
        <f t="shared" si="64"/>
        <v/>
      </c>
      <c r="AD362">
        <f t="shared" si="65"/>
        <v>6.3502999999999997E-4</v>
      </c>
      <c r="AE362" s="18" t="str">
        <f t="shared" si="66"/>
        <v/>
      </c>
      <c r="AF362" s="7" t="str">
        <f t="shared" si="67"/>
        <v/>
      </c>
      <c r="AG362" s="12">
        <f t="shared" si="68"/>
        <v>0.99792078694587705</v>
      </c>
      <c r="AI362" s="54" t="str">
        <f t="shared" si="69"/>
        <v/>
      </c>
      <c r="AJ362" s="54" t="str">
        <f t="shared" si="70"/>
        <v/>
      </c>
      <c r="AK362" s="54">
        <f t="shared" si="71"/>
        <v>0.17839808619934594</v>
      </c>
    </row>
    <row r="363" spans="9:37" x14ac:dyDescent="0.45">
      <c r="I363" s="2">
        <v>50.9</v>
      </c>
      <c r="J363" s="2">
        <v>2.6275999999999999E-3</v>
      </c>
      <c r="K363" s="2">
        <v>1.9618000000000001E-3</v>
      </c>
      <c r="R363" s="2">
        <v>20.39</v>
      </c>
      <c r="S363" s="2">
        <v>5.8305E-4</v>
      </c>
      <c r="T363" s="2">
        <v>1.9212E-4</v>
      </c>
      <c r="V363" s="11"/>
      <c r="W363" s="6"/>
      <c r="X363" s="6">
        <v>3.44</v>
      </c>
      <c r="Y363" s="11" t="str">
        <f t="shared" si="72"/>
        <v/>
      </c>
      <c r="Z363" s="6" t="str">
        <f t="shared" si="73"/>
        <v/>
      </c>
      <c r="AA363" s="23">
        <f t="shared" si="74"/>
        <v>33.44</v>
      </c>
      <c r="AB363" t="str">
        <f t="shared" si="63"/>
        <v/>
      </c>
      <c r="AC363" t="str">
        <f t="shared" si="64"/>
        <v/>
      </c>
      <c r="AD363">
        <f t="shared" si="65"/>
        <v>6.3524000000000002E-4</v>
      </c>
      <c r="AE363" s="18" t="str">
        <f t="shared" si="66"/>
        <v/>
      </c>
      <c r="AF363" s="7" t="str">
        <f t="shared" si="67"/>
        <v/>
      </c>
      <c r="AG363" s="12">
        <f t="shared" si="68"/>
        <v>0.99791444984950373</v>
      </c>
      <c r="AI363" s="54" t="str">
        <f t="shared" si="69"/>
        <v/>
      </c>
      <c r="AJ363" s="54" t="str">
        <f t="shared" si="70"/>
        <v/>
      </c>
      <c r="AK363" s="54">
        <f t="shared" si="71"/>
        <v>0.17895511984962095</v>
      </c>
    </row>
    <row r="364" spans="9:37" x14ac:dyDescent="0.45">
      <c r="I364" s="2">
        <v>51</v>
      </c>
      <c r="J364" s="2">
        <v>2.6559999999999999E-3</v>
      </c>
      <c r="K364" s="2">
        <v>1.98E-3</v>
      </c>
      <c r="R364" s="2">
        <v>20.399999999999999</v>
      </c>
      <c r="S364" s="2">
        <v>5.8299999999999997E-4</v>
      </c>
      <c r="T364" s="2">
        <v>1.9220000000000001E-4</v>
      </c>
      <c r="V364" s="11"/>
      <c r="W364" s="6"/>
      <c r="X364" s="6">
        <v>3.45</v>
      </c>
      <c r="Y364" s="11" t="str">
        <f t="shared" si="72"/>
        <v/>
      </c>
      <c r="Z364" s="6" t="str">
        <f t="shared" si="73"/>
        <v/>
      </c>
      <c r="AA364" s="23">
        <f t="shared" si="74"/>
        <v>33.450000000000003</v>
      </c>
      <c r="AB364" t="str">
        <f t="shared" si="63"/>
        <v/>
      </c>
      <c r="AC364" t="str">
        <f t="shared" si="64"/>
        <v/>
      </c>
      <c r="AD364">
        <f t="shared" si="65"/>
        <v>6.3544999999999997E-4</v>
      </c>
      <c r="AE364" s="18" t="str">
        <f t="shared" si="66"/>
        <v/>
      </c>
      <c r="AF364" s="7" t="str">
        <f t="shared" si="67"/>
        <v/>
      </c>
      <c r="AG364" s="12">
        <f t="shared" si="68"/>
        <v>0.99790811069775254</v>
      </c>
      <c r="AI364" s="54" t="str">
        <f t="shared" si="69"/>
        <v/>
      </c>
      <c r="AJ364" s="54" t="str">
        <f t="shared" si="70"/>
        <v/>
      </c>
      <c r="AK364" s="54">
        <f t="shared" si="71"/>
        <v>0.17951237812649262</v>
      </c>
    </row>
    <row r="365" spans="9:37" x14ac:dyDescent="0.45">
      <c r="I365" s="2">
        <v>51.1</v>
      </c>
      <c r="J365" s="2">
        <v>2.6882E-3</v>
      </c>
      <c r="K365" s="2">
        <v>2.0002000000000002E-3</v>
      </c>
      <c r="R365" s="2">
        <v>20.41</v>
      </c>
      <c r="S365" s="2">
        <v>5.8295000000000005E-4</v>
      </c>
      <c r="T365" s="2">
        <v>1.9228E-4</v>
      </c>
      <c r="V365" s="11"/>
      <c r="W365" s="6"/>
      <c r="X365" s="6">
        <v>3.46</v>
      </c>
      <c r="Y365" s="11" t="str">
        <f t="shared" si="72"/>
        <v/>
      </c>
      <c r="Z365" s="6" t="str">
        <f t="shared" si="73"/>
        <v/>
      </c>
      <c r="AA365" s="23">
        <f t="shared" si="74"/>
        <v>33.46</v>
      </c>
      <c r="AB365" t="str">
        <f t="shared" si="63"/>
        <v/>
      </c>
      <c r="AC365" t="str">
        <f t="shared" si="64"/>
        <v/>
      </c>
      <c r="AD365">
        <f t="shared" si="65"/>
        <v>6.3566000000000002E-4</v>
      </c>
      <c r="AE365" s="18" t="str">
        <f t="shared" si="66"/>
        <v/>
      </c>
      <c r="AF365" s="7" t="str">
        <f t="shared" si="67"/>
        <v/>
      </c>
      <c r="AG365" s="12">
        <f t="shared" si="68"/>
        <v>0.99790176949066312</v>
      </c>
      <c r="AI365" s="54" t="str">
        <f t="shared" si="69"/>
        <v/>
      </c>
      <c r="AJ365" s="54" t="str">
        <f t="shared" si="70"/>
        <v/>
      </c>
      <c r="AK365" s="54">
        <f t="shared" si="71"/>
        <v>0.18006986112357851</v>
      </c>
    </row>
    <row r="366" spans="9:37" x14ac:dyDescent="0.45">
      <c r="I366" s="2">
        <v>51.2</v>
      </c>
      <c r="J366" s="2">
        <v>2.7204E-3</v>
      </c>
      <c r="K366" s="2">
        <v>2.0203999999999999E-3</v>
      </c>
      <c r="R366" s="2">
        <v>20.420000000000002</v>
      </c>
      <c r="S366" s="2">
        <v>5.8290000000000002E-4</v>
      </c>
      <c r="T366" s="2">
        <v>1.9236000000000001E-4</v>
      </c>
      <c r="V366" s="11"/>
      <c r="W366" s="6"/>
      <c r="X366" s="6">
        <v>3.47</v>
      </c>
      <c r="Y366" s="11" t="str">
        <f t="shared" si="72"/>
        <v/>
      </c>
      <c r="Z366" s="6" t="str">
        <f t="shared" si="73"/>
        <v/>
      </c>
      <c r="AA366" s="23">
        <f t="shared" si="74"/>
        <v>33.47</v>
      </c>
      <c r="AB366" t="str">
        <f t="shared" si="63"/>
        <v/>
      </c>
      <c r="AC366" t="str">
        <f t="shared" si="64"/>
        <v/>
      </c>
      <c r="AD366">
        <f t="shared" si="65"/>
        <v>6.3586999999999997E-4</v>
      </c>
      <c r="AE366" s="18" t="str">
        <f t="shared" si="66"/>
        <v/>
      </c>
      <c r="AF366" s="7" t="str">
        <f t="shared" si="67"/>
        <v/>
      </c>
      <c r="AG366" s="12">
        <f t="shared" si="68"/>
        <v>0.99789542622827521</v>
      </c>
      <c r="AI366" s="54" t="str">
        <f t="shared" si="69"/>
        <v/>
      </c>
      <c r="AJ366" s="54" t="str">
        <f t="shared" si="70"/>
        <v/>
      </c>
      <c r="AK366" s="54">
        <f t="shared" si="71"/>
        <v>0.18062756893453566</v>
      </c>
    </row>
    <row r="367" spans="9:37" x14ac:dyDescent="0.45">
      <c r="I367" s="2">
        <v>51.3</v>
      </c>
      <c r="J367" s="2">
        <v>2.7526E-3</v>
      </c>
      <c r="K367" s="2">
        <v>2.0406000000000001E-3</v>
      </c>
      <c r="R367" s="2">
        <v>20.43</v>
      </c>
      <c r="S367" s="2">
        <v>5.8284999999999999E-4</v>
      </c>
      <c r="T367" s="2">
        <v>1.9243999999999999E-4</v>
      </c>
      <c r="V367" s="11"/>
      <c r="W367" s="6"/>
      <c r="X367" s="6">
        <v>3.48</v>
      </c>
      <c r="Y367" s="11" t="str">
        <f t="shared" si="72"/>
        <v/>
      </c>
      <c r="Z367" s="6" t="str">
        <f t="shared" si="73"/>
        <v/>
      </c>
      <c r="AA367" s="23">
        <f t="shared" si="74"/>
        <v>33.479999999999997</v>
      </c>
      <c r="AB367" t="str">
        <f t="shared" si="63"/>
        <v/>
      </c>
      <c r="AC367" t="str">
        <f t="shared" si="64"/>
        <v/>
      </c>
      <c r="AD367">
        <f t="shared" si="65"/>
        <v>6.3608000000000002E-4</v>
      </c>
      <c r="AE367" s="18" t="str">
        <f t="shared" si="66"/>
        <v/>
      </c>
      <c r="AF367" s="7" t="str">
        <f t="shared" si="67"/>
        <v/>
      </c>
      <c r="AG367" s="12">
        <f t="shared" si="68"/>
        <v>0.99788908091062845</v>
      </c>
      <c r="AI367" s="54" t="str">
        <f t="shared" si="69"/>
        <v/>
      </c>
      <c r="AJ367" s="54" t="str">
        <f t="shared" si="70"/>
        <v/>
      </c>
      <c r="AK367" s="54">
        <f t="shared" si="71"/>
        <v>0.18118550165306055</v>
      </c>
    </row>
    <row r="368" spans="9:37" x14ac:dyDescent="0.45">
      <c r="I368" s="2">
        <v>51.4</v>
      </c>
      <c r="J368" s="2">
        <v>2.7848E-3</v>
      </c>
      <c r="K368" s="2">
        <v>2.0607999999999998E-3</v>
      </c>
      <c r="R368" s="2">
        <v>20.440000000000001</v>
      </c>
      <c r="S368" s="2">
        <v>5.8279999999999996E-4</v>
      </c>
      <c r="T368" s="2">
        <v>1.9252000000000001E-4</v>
      </c>
      <c r="V368" s="11"/>
      <c r="W368" s="6"/>
      <c r="X368" s="6">
        <v>3.49</v>
      </c>
      <c r="Y368" s="11" t="str">
        <f t="shared" si="72"/>
        <v/>
      </c>
      <c r="Z368" s="6" t="str">
        <f t="shared" si="73"/>
        <v/>
      </c>
      <c r="AA368" s="23">
        <f t="shared" si="74"/>
        <v>33.49</v>
      </c>
      <c r="AB368" t="str">
        <f t="shared" si="63"/>
        <v/>
      </c>
      <c r="AC368" t="str">
        <f t="shared" si="64"/>
        <v/>
      </c>
      <c r="AD368">
        <f t="shared" si="65"/>
        <v>6.3628999999999997E-4</v>
      </c>
      <c r="AE368" s="18" t="str">
        <f t="shared" si="66"/>
        <v/>
      </c>
      <c r="AF368" s="7" t="str">
        <f t="shared" si="67"/>
        <v/>
      </c>
      <c r="AG368" s="12">
        <f t="shared" si="68"/>
        <v>0.99788273353776258</v>
      </c>
      <c r="AI368" s="54" t="str">
        <f t="shared" si="69"/>
        <v/>
      </c>
      <c r="AJ368" s="54" t="str">
        <f t="shared" si="70"/>
        <v/>
      </c>
      <c r="AK368" s="54">
        <f t="shared" si="71"/>
        <v>0.18174365937288919</v>
      </c>
    </row>
    <row r="369" spans="9:37" x14ac:dyDescent="0.45">
      <c r="I369" s="2">
        <v>51.5</v>
      </c>
      <c r="J369" s="2">
        <v>2.8170000000000001E-3</v>
      </c>
      <c r="K369" s="2">
        <v>2.081E-3</v>
      </c>
      <c r="R369" s="2">
        <v>20.45</v>
      </c>
      <c r="S369" s="2">
        <v>5.8275000000000004E-4</v>
      </c>
      <c r="T369" s="2">
        <v>1.9259999999999999E-4</v>
      </c>
      <c r="V369" s="11"/>
      <c r="W369" s="6"/>
      <c r="X369" s="6">
        <v>3.5</v>
      </c>
      <c r="Y369" s="11" t="str">
        <f t="shared" si="72"/>
        <v/>
      </c>
      <c r="Z369" s="6" t="str">
        <f t="shared" si="73"/>
        <v/>
      </c>
      <c r="AA369" s="23">
        <f t="shared" si="74"/>
        <v>33.5</v>
      </c>
      <c r="AB369" t="str">
        <f t="shared" si="63"/>
        <v/>
      </c>
      <c r="AC369" t="str">
        <f t="shared" si="64"/>
        <v/>
      </c>
      <c r="AD369">
        <f t="shared" si="65"/>
        <v>6.3650000000000002E-4</v>
      </c>
      <c r="AE369" s="18" t="str">
        <f t="shared" si="66"/>
        <v/>
      </c>
      <c r="AF369" s="7" t="str">
        <f t="shared" si="67"/>
        <v/>
      </c>
      <c r="AG369" s="12">
        <f t="shared" si="68"/>
        <v>0.99787638410971735</v>
      </c>
      <c r="AI369" s="54" t="str">
        <f t="shared" si="69"/>
        <v/>
      </c>
      <c r="AJ369" s="54" t="str">
        <f t="shared" si="70"/>
        <v/>
      </c>
      <c r="AK369" s="54">
        <f t="shared" si="71"/>
        <v>0.18230204218779708</v>
      </c>
    </row>
    <row r="370" spans="9:37" x14ac:dyDescent="0.45">
      <c r="I370" s="2">
        <v>51.6</v>
      </c>
      <c r="J370" s="2">
        <v>2.8492000000000001E-3</v>
      </c>
      <c r="K370" s="2">
        <v>2.1012000000000001E-3</v>
      </c>
      <c r="R370" s="2">
        <v>20.46</v>
      </c>
      <c r="S370" s="2">
        <v>5.8270000000000001E-4</v>
      </c>
      <c r="T370" s="2">
        <v>1.9268000000000001E-4</v>
      </c>
      <c r="V370" s="11"/>
      <c r="W370" s="6"/>
      <c r="X370" s="6">
        <v>3.5100000000000002</v>
      </c>
      <c r="Y370" s="11" t="str">
        <f t="shared" si="72"/>
        <v/>
      </c>
      <c r="Z370" s="6" t="str">
        <f t="shared" si="73"/>
        <v/>
      </c>
      <c r="AA370" s="23">
        <f t="shared" si="74"/>
        <v>33.51</v>
      </c>
      <c r="AB370" t="str">
        <f t="shared" si="63"/>
        <v/>
      </c>
      <c r="AC370" t="str">
        <f t="shared" si="64"/>
        <v/>
      </c>
      <c r="AD370">
        <f t="shared" si="65"/>
        <v>6.3670999999999997E-4</v>
      </c>
      <c r="AE370" s="18" t="str">
        <f t="shared" si="66"/>
        <v/>
      </c>
      <c r="AF370" s="7" t="str">
        <f t="shared" si="67"/>
        <v/>
      </c>
      <c r="AG370" s="12">
        <f t="shared" si="68"/>
        <v>0.99787003262653251</v>
      </c>
      <c r="AI370" s="54" t="str">
        <f t="shared" si="69"/>
        <v/>
      </c>
      <c r="AJ370" s="54" t="str">
        <f t="shared" si="70"/>
        <v/>
      </c>
      <c r="AK370" s="54">
        <f t="shared" si="71"/>
        <v>0.18286065019159922</v>
      </c>
    </row>
    <row r="371" spans="9:37" x14ac:dyDescent="0.45">
      <c r="I371" s="2">
        <v>51.7</v>
      </c>
      <c r="J371" s="2">
        <v>2.8814000000000001E-3</v>
      </c>
      <c r="K371" s="2">
        <v>2.1213999999999998E-3</v>
      </c>
      <c r="R371" s="2">
        <v>20.47</v>
      </c>
      <c r="S371" s="2">
        <v>5.8264999999999999E-4</v>
      </c>
      <c r="T371" s="2">
        <v>1.9275999999999999E-4</v>
      </c>
      <c r="V371" s="11"/>
      <c r="W371" s="6"/>
      <c r="X371" s="6">
        <v>3.52</v>
      </c>
      <c r="Y371" s="11" t="str">
        <f t="shared" si="72"/>
        <v/>
      </c>
      <c r="Z371" s="6" t="str">
        <f t="shared" si="73"/>
        <v/>
      </c>
      <c r="AA371" s="23">
        <f t="shared" si="74"/>
        <v>33.520000000000003</v>
      </c>
      <c r="AB371" t="str">
        <f t="shared" si="63"/>
        <v/>
      </c>
      <c r="AC371" t="str">
        <f t="shared" si="64"/>
        <v/>
      </c>
      <c r="AD371">
        <f t="shared" si="65"/>
        <v>6.3692000000000002E-4</v>
      </c>
      <c r="AE371" s="18" t="str">
        <f t="shared" si="66"/>
        <v/>
      </c>
      <c r="AF371" s="7" t="str">
        <f t="shared" si="67"/>
        <v/>
      </c>
      <c r="AG371" s="12">
        <f t="shared" si="68"/>
        <v>0.9978636790882478</v>
      </c>
      <c r="AI371" s="54" t="str">
        <f t="shared" si="69"/>
        <v/>
      </c>
      <c r="AJ371" s="54" t="str">
        <f t="shared" si="70"/>
        <v/>
      </c>
      <c r="AK371" s="54">
        <f t="shared" si="71"/>
        <v>0.18341948347815018</v>
      </c>
    </row>
    <row r="372" spans="9:37" x14ac:dyDescent="0.45">
      <c r="I372" s="2">
        <v>51.8</v>
      </c>
      <c r="J372" s="2">
        <v>2.9136000000000001E-3</v>
      </c>
      <c r="K372" s="2">
        <v>2.1416E-3</v>
      </c>
      <c r="R372" s="2">
        <v>20.48</v>
      </c>
      <c r="S372" s="2">
        <v>5.8259999999999996E-4</v>
      </c>
      <c r="T372" s="2">
        <v>1.9284E-4</v>
      </c>
      <c r="V372" s="11"/>
      <c r="W372" s="6"/>
      <c r="X372" s="6">
        <v>3.5300000000000002</v>
      </c>
      <c r="Y372" s="11" t="str">
        <f t="shared" si="72"/>
        <v/>
      </c>
      <c r="Z372" s="6" t="str">
        <f t="shared" si="73"/>
        <v/>
      </c>
      <c r="AA372" s="23">
        <f t="shared" si="74"/>
        <v>33.53</v>
      </c>
      <c r="AB372" t="str">
        <f t="shared" si="63"/>
        <v/>
      </c>
      <c r="AC372" t="str">
        <f t="shared" si="64"/>
        <v/>
      </c>
      <c r="AD372">
        <f t="shared" si="65"/>
        <v>6.3712999999999997E-4</v>
      </c>
      <c r="AE372" s="18" t="str">
        <f t="shared" si="66"/>
        <v/>
      </c>
      <c r="AF372" s="7" t="str">
        <f t="shared" si="67"/>
        <v/>
      </c>
      <c r="AG372" s="12">
        <f t="shared" si="68"/>
        <v>0.99785732349490297</v>
      </c>
      <c r="AI372" s="54" t="str">
        <f t="shared" si="69"/>
        <v/>
      </c>
      <c r="AJ372" s="54" t="str">
        <f t="shared" si="70"/>
        <v/>
      </c>
      <c r="AK372" s="54">
        <f t="shared" si="71"/>
        <v>0.1839785421413441</v>
      </c>
    </row>
    <row r="373" spans="9:37" x14ac:dyDescent="0.45">
      <c r="I373" s="2">
        <v>51.9</v>
      </c>
      <c r="J373" s="2">
        <v>2.9458000000000002E-3</v>
      </c>
      <c r="K373" s="2">
        <v>2.1618000000000002E-3</v>
      </c>
      <c r="R373" s="2">
        <v>20.49</v>
      </c>
      <c r="S373" s="2">
        <v>5.8255000000000004E-4</v>
      </c>
      <c r="T373" s="2">
        <v>1.9291999999999999E-4</v>
      </c>
      <c r="V373" s="11"/>
      <c r="W373" s="6"/>
      <c r="X373" s="6">
        <v>3.54</v>
      </c>
      <c r="Y373" s="11" t="str">
        <f t="shared" si="72"/>
        <v/>
      </c>
      <c r="Z373" s="6" t="str">
        <f t="shared" si="73"/>
        <v/>
      </c>
      <c r="AA373" s="23">
        <f t="shared" si="74"/>
        <v>33.54</v>
      </c>
      <c r="AB373" t="str">
        <f t="shared" si="63"/>
        <v/>
      </c>
      <c r="AC373" t="str">
        <f t="shared" si="64"/>
        <v/>
      </c>
      <c r="AD373">
        <f t="shared" si="65"/>
        <v>6.3734000000000002E-4</v>
      </c>
      <c r="AE373" s="18" t="str">
        <f t="shared" si="66"/>
        <v/>
      </c>
      <c r="AF373" s="7" t="str">
        <f t="shared" si="67"/>
        <v/>
      </c>
      <c r="AG373" s="12">
        <f t="shared" si="68"/>
        <v>0.99785096584653776</v>
      </c>
      <c r="AI373" s="54" t="str">
        <f t="shared" si="69"/>
        <v/>
      </c>
      <c r="AJ373" s="54" t="str">
        <f t="shared" si="70"/>
        <v/>
      </c>
      <c r="AK373" s="54">
        <f t="shared" si="71"/>
        <v>0.18453782627511467</v>
      </c>
    </row>
    <row r="374" spans="9:37" x14ac:dyDescent="0.45">
      <c r="I374" s="2">
        <v>52</v>
      </c>
      <c r="J374" s="2">
        <v>2.9780000000000002E-3</v>
      </c>
      <c r="K374" s="2">
        <v>2.1819999999999999E-3</v>
      </c>
      <c r="R374" s="2">
        <v>20.5</v>
      </c>
      <c r="S374" s="2">
        <v>5.8250000000000001E-4</v>
      </c>
      <c r="T374" s="2">
        <v>1.93E-4</v>
      </c>
      <c r="V374" s="11"/>
      <c r="W374" s="6"/>
      <c r="X374" s="6">
        <v>3.5500000000000003</v>
      </c>
      <c r="Y374" s="11" t="str">
        <f t="shared" si="72"/>
        <v/>
      </c>
      <c r="Z374" s="6" t="str">
        <f t="shared" si="73"/>
        <v/>
      </c>
      <c r="AA374" s="23">
        <f t="shared" si="74"/>
        <v>33.549999999999997</v>
      </c>
      <c r="AB374" t="str">
        <f t="shared" si="63"/>
        <v/>
      </c>
      <c r="AC374" t="str">
        <f t="shared" si="64"/>
        <v/>
      </c>
      <c r="AD374">
        <f t="shared" si="65"/>
        <v>6.3754999999999997E-4</v>
      </c>
      <c r="AE374" s="18" t="str">
        <f t="shared" si="66"/>
        <v/>
      </c>
      <c r="AF374" s="7" t="str">
        <f t="shared" si="67"/>
        <v/>
      </c>
      <c r="AG374" s="12">
        <f t="shared" si="68"/>
        <v>0.99784460614319204</v>
      </c>
      <c r="AI374" s="54" t="str">
        <f t="shared" si="69"/>
        <v/>
      </c>
      <c r="AJ374" s="54" t="str">
        <f t="shared" si="70"/>
        <v/>
      </c>
      <c r="AK374" s="54">
        <f t="shared" si="71"/>
        <v>0.1850973359734352</v>
      </c>
    </row>
    <row r="375" spans="9:37" x14ac:dyDescent="0.45">
      <c r="I375" s="2">
        <v>52.1</v>
      </c>
      <c r="J375" s="2">
        <v>3.0144999999999998E-3</v>
      </c>
      <c r="K375" s="2">
        <v>2.2044E-3</v>
      </c>
      <c r="R375" s="2">
        <v>20.51</v>
      </c>
      <c r="S375" s="2">
        <v>5.8244999999999998E-4</v>
      </c>
      <c r="T375" s="2">
        <v>1.9307999999999999E-4</v>
      </c>
      <c r="V375" s="11"/>
      <c r="W375" s="6"/>
      <c r="X375" s="6">
        <v>3.56</v>
      </c>
      <c r="Y375" s="11" t="str">
        <f t="shared" si="72"/>
        <v/>
      </c>
      <c r="Z375" s="6" t="str">
        <f t="shared" si="73"/>
        <v/>
      </c>
      <c r="AA375" s="23">
        <f t="shared" si="74"/>
        <v>33.56</v>
      </c>
      <c r="AB375" t="str">
        <f t="shared" si="63"/>
        <v/>
      </c>
      <c r="AC375" t="str">
        <f t="shared" si="64"/>
        <v/>
      </c>
      <c r="AD375">
        <f t="shared" si="65"/>
        <v>6.3776000000000002E-4</v>
      </c>
      <c r="AE375" s="18" t="str">
        <f t="shared" si="66"/>
        <v/>
      </c>
      <c r="AF375" s="7" t="str">
        <f t="shared" si="67"/>
        <v/>
      </c>
      <c r="AG375" s="12">
        <f t="shared" si="68"/>
        <v>0.99783824438490554</v>
      </c>
      <c r="AI375" s="54" t="str">
        <f t="shared" si="69"/>
        <v/>
      </c>
      <c r="AJ375" s="54" t="str">
        <f t="shared" si="70"/>
        <v/>
      </c>
      <c r="AK375" s="54">
        <f t="shared" si="71"/>
        <v>0.18565707133031856</v>
      </c>
    </row>
    <row r="376" spans="9:37" x14ac:dyDescent="0.45">
      <c r="I376" s="2">
        <v>52.2</v>
      </c>
      <c r="J376" s="2">
        <v>3.0509999999999999E-3</v>
      </c>
      <c r="K376" s="2">
        <v>2.2268000000000001E-3</v>
      </c>
      <c r="R376" s="2">
        <v>20.52</v>
      </c>
      <c r="S376" s="2">
        <v>5.8239999999999995E-4</v>
      </c>
      <c r="T376" s="2">
        <v>1.9316E-4</v>
      </c>
      <c r="V376" s="11"/>
      <c r="W376" s="6"/>
      <c r="X376" s="6">
        <v>3.5700000000000003</v>
      </c>
      <c r="Y376" s="11" t="str">
        <f t="shared" si="72"/>
        <v/>
      </c>
      <c r="Z376" s="6" t="str">
        <f t="shared" si="73"/>
        <v/>
      </c>
      <c r="AA376" s="23">
        <f t="shared" si="74"/>
        <v>33.57</v>
      </c>
      <c r="AB376" t="str">
        <f t="shared" si="63"/>
        <v/>
      </c>
      <c r="AC376" t="str">
        <f t="shared" si="64"/>
        <v/>
      </c>
      <c r="AD376">
        <f t="shared" si="65"/>
        <v>6.3796999999999997E-4</v>
      </c>
      <c r="AE376" s="18" t="str">
        <f t="shared" si="66"/>
        <v/>
      </c>
      <c r="AF376" s="7" t="str">
        <f t="shared" si="67"/>
        <v/>
      </c>
      <c r="AG376" s="12">
        <f t="shared" si="68"/>
        <v>0.99783188057171812</v>
      </c>
      <c r="AI376" s="54" t="str">
        <f t="shared" si="69"/>
        <v/>
      </c>
      <c r="AJ376" s="54" t="str">
        <f t="shared" si="70"/>
        <v/>
      </c>
      <c r="AK376" s="54">
        <f t="shared" si="71"/>
        <v>0.1862170324398173</v>
      </c>
    </row>
    <row r="377" spans="9:37" x14ac:dyDescent="0.45">
      <c r="I377" s="2">
        <v>52.3</v>
      </c>
      <c r="J377" s="2">
        <v>3.0875E-3</v>
      </c>
      <c r="K377" s="2">
        <v>2.2491999999999998E-3</v>
      </c>
      <c r="R377" s="2">
        <v>20.53</v>
      </c>
      <c r="S377" s="2">
        <v>5.8235000000000003E-4</v>
      </c>
      <c r="T377" s="2">
        <v>1.9324000000000001E-4</v>
      </c>
      <c r="V377" s="11"/>
      <c r="W377" s="6"/>
      <c r="X377" s="6">
        <v>3.58</v>
      </c>
      <c r="Y377" s="11" t="str">
        <f t="shared" si="72"/>
        <v/>
      </c>
      <c r="Z377" s="6" t="str">
        <f t="shared" si="73"/>
        <v/>
      </c>
      <c r="AA377" s="23">
        <f t="shared" si="74"/>
        <v>33.58</v>
      </c>
      <c r="AB377" t="str">
        <f t="shared" si="63"/>
        <v/>
      </c>
      <c r="AC377" t="str">
        <f t="shared" si="64"/>
        <v/>
      </c>
      <c r="AD377">
        <f t="shared" si="65"/>
        <v>6.3818000000000002E-4</v>
      </c>
      <c r="AE377" s="18" t="str">
        <f t="shared" si="66"/>
        <v/>
      </c>
      <c r="AF377" s="7" t="str">
        <f t="shared" si="67"/>
        <v/>
      </c>
      <c r="AG377" s="12">
        <f t="shared" si="68"/>
        <v>0.99782551470366965</v>
      </c>
      <c r="AI377" s="54" t="str">
        <f t="shared" si="69"/>
        <v/>
      </c>
      <c r="AJ377" s="54" t="str">
        <f t="shared" si="70"/>
        <v/>
      </c>
      <c r="AK377" s="54">
        <f t="shared" si="71"/>
        <v>0.18677721939602357</v>
      </c>
    </row>
    <row r="378" spans="9:37" x14ac:dyDescent="0.45">
      <c r="I378" s="2">
        <v>52.4</v>
      </c>
      <c r="J378" s="2">
        <v>3.124E-3</v>
      </c>
      <c r="K378" s="2">
        <v>2.2715999999999999E-3</v>
      </c>
      <c r="R378" s="2">
        <v>20.54</v>
      </c>
      <c r="S378" s="2">
        <v>5.8230000000000001E-4</v>
      </c>
      <c r="T378" s="2">
        <v>1.9332E-4</v>
      </c>
      <c r="V378" s="11"/>
      <c r="W378" s="6"/>
      <c r="X378" s="6">
        <v>3.59</v>
      </c>
      <c r="Y378" s="11" t="str">
        <f t="shared" si="72"/>
        <v/>
      </c>
      <c r="Z378" s="6" t="str">
        <f t="shared" si="73"/>
        <v/>
      </c>
      <c r="AA378" s="23">
        <f t="shared" si="74"/>
        <v>33.590000000000003</v>
      </c>
      <c r="AB378" t="str">
        <f t="shared" si="63"/>
        <v/>
      </c>
      <c r="AC378" t="str">
        <f t="shared" si="64"/>
        <v/>
      </c>
      <c r="AD378">
        <f t="shared" si="65"/>
        <v>6.3838999999999996E-4</v>
      </c>
      <c r="AE378" s="18" t="str">
        <f t="shared" si="66"/>
        <v/>
      </c>
      <c r="AF378" s="7" t="str">
        <f t="shared" si="67"/>
        <v/>
      </c>
      <c r="AG378" s="12">
        <f t="shared" si="68"/>
        <v>0.99781914678079986</v>
      </c>
      <c r="AI378" s="54" t="str">
        <f t="shared" si="69"/>
        <v/>
      </c>
      <c r="AJ378" s="54" t="str">
        <f t="shared" si="70"/>
        <v/>
      </c>
      <c r="AK378" s="54">
        <f t="shared" si="71"/>
        <v>0.18733763229306921</v>
      </c>
    </row>
    <row r="379" spans="9:37" x14ac:dyDescent="0.45">
      <c r="I379" s="2">
        <v>52.5</v>
      </c>
      <c r="J379" s="2">
        <v>3.1605000000000001E-3</v>
      </c>
      <c r="K379" s="2">
        <v>2.294E-3</v>
      </c>
      <c r="R379" s="2">
        <v>20.55</v>
      </c>
      <c r="S379" s="2">
        <v>5.8224999999999998E-4</v>
      </c>
      <c r="T379" s="2">
        <v>1.9340000000000001E-4</v>
      </c>
      <c r="V379" s="11"/>
      <c r="W379" s="6"/>
      <c r="X379" s="6">
        <v>3.6</v>
      </c>
      <c r="Y379" s="11" t="str">
        <f t="shared" si="72"/>
        <v/>
      </c>
      <c r="Z379" s="6" t="str">
        <f t="shared" si="73"/>
        <v/>
      </c>
      <c r="AA379" s="23">
        <f t="shared" si="74"/>
        <v>33.6</v>
      </c>
      <c r="AB379" t="str">
        <f t="shared" si="63"/>
        <v/>
      </c>
      <c r="AC379" t="str">
        <f t="shared" si="64"/>
        <v/>
      </c>
      <c r="AD379">
        <f t="shared" si="65"/>
        <v>6.3860000000000002E-4</v>
      </c>
      <c r="AE379" s="18" t="str">
        <f t="shared" si="66"/>
        <v/>
      </c>
      <c r="AF379" s="7" t="str">
        <f t="shared" si="67"/>
        <v/>
      </c>
      <c r="AG379" s="12">
        <f t="shared" si="68"/>
        <v>0.99781277680314873</v>
      </c>
      <c r="AI379" s="54" t="str">
        <f t="shared" si="69"/>
        <v/>
      </c>
      <c r="AJ379" s="54" t="str">
        <f t="shared" si="70"/>
        <v/>
      </c>
      <c r="AK379" s="54">
        <f t="shared" si="71"/>
        <v>0.18789827122512573</v>
      </c>
    </row>
    <row r="380" spans="9:37" x14ac:dyDescent="0.45">
      <c r="I380" s="2">
        <v>52.6</v>
      </c>
      <c r="J380" s="2">
        <v>3.1970000000000002E-3</v>
      </c>
      <c r="K380" s="2">
        <v>2.3164000000000001E-3</v>
      </c>
      <c r="R380" s="2">
        <v>20.56</v>
      </c>
      <c r="S380" s="2">
        <v>5.8219999999999995E-4</v>
      </c>
      <c r="T380" s="2">
        <v>1.9348E-4</v>
      </c>
      <c r="V380" s="11"/>
      <c r="W380" s="6"/>
      <c r="X380" s="6">
        <v>3.61</v>
      </c>
      <c r="Y380" s="11" t="str">
        <f t="shared" si="72"/>
        <v/>
      </c>
      <c r="Z380" s="6" t="str">
        <f t="shared" si="73"/>
        <v/>
      </c>
      <c r="AA380" s="23">
        <f t="shared" si="74"/>
        <v>33.61</v>
      </c>
      <c r="AB380" t="str">
        <f t="shared" si="63"/>
        <v/>
      </c>
      <c r="AC380" t="str">
        <f t="shared" si="64"/>
        <v/>
      </c>
      <c r="AD380">
        <f t="shared" si="65"/>
        <v>6.3880999999999996E-4</v>
      </c>
      <c r="AE380" s="18" t="str">
        <f t="shared" si="66"/>
        <v/>
      </c>
      <c r="AF380" s="7" t="str">
        <f t="shared" si="67"/>
        <v/>
      </c>
      <c r="AG380" s="12">
        <f t="shared" si="68"/>
        <v>0.99780640477075611</v>
      </c>
      <c r="AI380" s="54" t="str">
        <f t="shared" si="69"/>
        <v/>
      </c>
      <c r="AJ380" s="54" t="str">
        <f t="shared" si="70"/>
        <v/>
      </c>
      <c r="AK380" s="54">
        <f t="shared" si="71"/>
        <v>0.18845913628640432</v>
      </c>
    </row>
    <row r="381" spans="9:37" x14ac:dyDescent="0.45">
      <c r="I381" s="2">
        <v>52.7</v>
      </c>
      <c r="J381" s="2">
        <v>3.2334999999999998E-3</v>
      </c>
      <c r="K381" s="2">
        <v>2.3387999999999998E-3</v>
      </c>
      <c r="R381" s="2">
        <v>20.57</v>
      </c>
      <c r="S381" s="2">
        <v>5.8215000000000003E-4</v>
      </c>
      <c r="T381" s="2">
        <v>1.9356000000000001E-4</v>
      </c>
      <c r="V381" s="11"/>
      <c r="W381" s="6"/>
      <c r="X381" s="6">
        <v>3.62</v>
      </c>
      <c r="Y381" s="11" t="str">
        <f t="shared" si="72"/>
        <v/>
      </c>
      <c r="Z381" s="6" t="str">
        <f t="shared" si="73"/>
        <v/>
      </c>
      <c r="AA381" s="23">
        <f t="shared" si="74"/>
        <v>33.619999999999997</v>
      </c>
      <c r="AB381" t="str">
        <f t="shared" si="63"/>
        <v/>
      </c>
      <c r="AC381" t="str">
        <f t="shared" si="64"/>
        <v/>
      </c>
      <c r="AD381">
        <f t="shared" si="65"/>
        <v>6.3902000000000002E-4</v>
      </c>
      <c r="AE381" s="18" t="str">
        <f t="shared" si="66"/>
        <v/>
      </c>
      <c r="AF381" s="7" t="str">
        <f t="shared" si="67"/>
        <v/>
      </c>
      <c r="AG381" s="12">
        <f t="shared" si="68"/>
        <v>0.99780003068366174</v>
      </c>
      <c r="AI381" s="54" t="str">
        <f t="shared" si="69"/>
        <v/>
      </c>
      <c r="AJ381" s="54" t="str">
        <f t="shared" si="70"/>
        <v/>
      </c>
      <c r="AK381" s="54">
        <f t="shared" si="71"/>
        <v>0.18902022757115589</v>
      </c>
    </row>
    <row r="382" spans="9:37" x14ac:dyDescent="0.45">
      <c r="I382" s="2">
        <v>52.8</v>
      </c>
      <c r="J382" s="2">
        <v>3.2699999999999999E-3</v>
      </c>
      <c r="K382" s="2">
        <v>2.3611999999999999E-3</v>
      </c>
      <c r="R382" s="2">
        <v>20.58</v>
      </c>
      <c r="S382" s="2">
        <v>5.821E-4</v>
      </c>
      <c r="T382" s="2">
        <v>1.9364E-4</v>
      </c>
      <c r="V382" s="11"/>
      <c r="W382" s="6"/>
      <c r="X382" s="6">
        <v>3.63</v>
      </c>
      <c r="Y382" s="11" t="str">
        <f t="shared" si="72"/>
        <v/>
      </c>
      <c r="Z382" s="6" t="str">
        <f t="shared" si="73"/>
        <v/>
      </c>
      <c r="AA382" s="23">
        <f t="shared" si="74"/>
        <v>33.630000000000003</v>
      </c>
      <c r="AB382" t="str">
        <f t="shared" si="63"/>
        <v/>
      </c>
      <c r="AC382" t="str">
        <f t="shared" si="64"/>
        <v/>
      </c>
      <c r="AD382">
        <f t="shared" si="65"/>
        <v>6.3922999999999996E-4</v>
      </c>
      <c r="AE382" s="18" t="str">
        <f t="shared" si="66"/>
        <v/>
      </c>
      <c r="AF382" s="7" t="str">
        <f t="shared" si="67"/>
        <v/>
      </c>
      <c r="AG382" s="12">
        <f t="shared" si="68"/>
        <v>0.99779365454190572</v>
      </c>
      <c r="AI382" s="54" t="str">
        <f t="shared" si="69"/>
        <v/>
      </c>
      <c r="AJ382" s="54" t="str">
        <f t="shared" si="70"/>
        <v/>
      </c>
      <c r="AK382" s="54">
        <f t="shared" si="71"/>
        <v>0.18958154517367107</v>
      </c>
    </row>
    <row r="383" spans="9:37" x14ac:dyDescent="0.45">
      <c r="I383" s="2">
        <v>52.9</v>
      </c>
      <c r="J383" s="2">
        <v>3.3065E-3</v>
      </c>
      <c r="K383" s="2">
        <v>2.3836E-3</v>
      </c>
      <c r="R383" s="2">
        <v>20.59</v>
      </c>
      <c r="S383" s="2">
        <v>5.8204999999999997E-4</v>
      </c>
      <c r="T383" s="2">
        <v>1.9372000000000001E-4</v>
      </c>
      <c r="V383" s="11"/>
      <c r="W383" s="6"/>
      <c r="X383" s="6">
        <v>3.64</v>
      </c>
      <c r="Y383" s="11" t="str">
        <f t="shared" si="72"/>
        <v/>
      </c>
      <c r="Z383" s="6" t="str">
        <f t="shared" si="73"/>
        <v/>
      </c>
      <c r="AA383" s="23">
        <f t="shared" si="74"/>
        <v>33.64</v>
      </c>
      <c r="AB383" t="str">
        <f t="shared" si="63"/>
        <v/>
      </c>
      <c r="AC383" t="str">
        <f t="shared" si="64"/>
        <v/>
      </c>
      <c r="AD383">
        <f t="shared" si="65"/>
        <v>6.3944000000000002E-4</v>
      </c>
      <c r="AE383" s="18" t="str">
        <f t="shared" si="66"/>
        <v/>
      </c>
      <c r="AF383" s="7" t="str">
        <f t="shared" si="67"/>
        <v/>
      </c>
      <c r="AG383" s="12">
        <f t="shared" si="68"/>
        <v>0.99778727634552777</v>
      </c>
      <c r="AI383" s="54" t="str">
        <f t="shared" si="69"/>
        <v/>
      </c>
      <c r="AJ383" s="54" t="str">
        <f t="shared" si="70"/>
        <v/>
      </c>
      <c r="AK383" s="54">
        <f t="shared" si="71"/>
        <v>0.19014308918828024</v>
      </c>
    </row>
    <row r="384" spans="9:37" x14ac:dyDescent="0.45">
      <c r="I384" s="2">
        <v>53</v>
      </c>
      <c r="J384" s="2">
        <v>3.3430000000000001E-3</v>
      </c>
      <c r="K384" s="2">
        <v>2.4060000000000002E-3</v>
      </c>
      <c r="R384" s="2">
        <v>20.6</v>
      </c>
      <c r="S384" s="2">
        <v>5.8200000000000005E-4</v>
      </c>
      <c r="T384" s="2">
        <v>1.9379999999999999E-4</v>
      </c>
      <c r="V384" s="11"/>
      <c r="W384" s="6"/>
      <c r="X384" s="6">
        <v>3.65</v>
      </c>
      <c r="Y384" s="11" t="str">
        <f t="shared" si="72"/>
        <v/>
      </c>
      <c r="Z384" s="6" t="str">
        <f t="shared" si="73"/>
        <v/>
      </c>
      <c r="AA384" s="23">
        <f t="shared" si="74"/>
        <v>33.65</v>
      </c>
      <c r="AB384" t="str">
        <f t="shared" si="63"/>
        <v/>
      </c>
      <c r="AC384" t="str">
        <f t="shared" si="64"/>
        <v/>
      </c>
      <c r="AD384">
        <f t="shared" si="65"/>
        <v>6.3964999999999996E-4</v>
      </c>
      <c r="AE384" s="18" t="str">
        <f t="shared" si="66"/>
        <v/>
      </c>
      <c r="AF384" s="7" t="str">
        <f t="shared" si="67"/>
        <v/>
      </c>
      <c r="AG384" s="12">
        <f t="shared" si="68"/>
        <v>0.99778089609456788</v>
      </c>
      <c r="AI384" s="54" t="str">
        <f t="shared" si="69"/>
        <v/>
      </c>
      <c r="AJ384" s="54" t="str">
        <f t="shared" si="70"/>
        <v/>
      </c>
      <c r="AK384" s="54">
        <f t="shared" si="71"/>
        <v>0.19070485970935355</v>
      </c>
    </row>
    <row r="385" spans="9:37" x14ac:dyDescent="0.45">
      <c r="I385" s="2">
        <v>53.1</v>
      </c>
      <c r="J385" s="2">
        <v>3.3842999999999998E-3</v>
      </c>
      <c r="K385" s="2">
        <v>2.4309000000000002E-3</v>
      </c>
      <c r="R385" s="2">
        <v>20.61</v>
      </c>
      <c r="S385" s="2">
        <v>5.8195000000000002E-4</v>
      </c>
      <c r="T385" s="2">
        <v>1.9388000000000001E-4</v>
      </c>
      <c r="V385" s="11"/>
      <c r="W385" s="6"/>
      <c r="X385" s="6">
        <v>3.66</v>
      </c>
      <c r="Y385" s="11" t="str">
        <f t="shared" si="72"/>
        <v/>
      </c>
      <c r="Z385" s="6" t="str">
        <f t="shared" si="73"/>
        <v/>
      </c>
      <c r="AA385" s="23">
        <f t="shared" si="74"/>
        <v>33.659999999999997</v>
      </c>
      <c r="AB385" t="str">
        <f t="shared" si="63"/>
        <v/>
      </c>
      <c r="AC385" t="str">
        <f t="shared" si="64"/>
        <v/>
      </c>
      <c r="AD385">
        <f t="shared" si="65"/>
        <v>6.3986000000000002E-4</v>
      </c>
      <c r="AE385" s="18" t="str">
        <f t="shared" si="66"/>
        <v/>
      </c>
      <c r="AF385" s="7" t="str">
        <f t="shared" si="67"/>
        <v/>
      </c>
      <c r="AG385" s="12">
        <f t="shared" si="68"/>
        <v>0.99777451378906601</v>
      </c>
      <c r="AI385" s="54" t="str">
        <f t="shared" si="69"/>
        <v/>
      </c>
      <c r="AJ385" s="54" t="str">
        <f t="shared" si="70"/>
        <v/>
      </c>
      <c r="AK385" s="54">
        <f t="shared" si="71"/>
        <v>0.19126685683130093</v>
      </c>
    </row>
    <row r="386" spans="9:37" x14ac:dyDescent="0.45">
      <c r="I386" s="2">
        <v>53.2</v>
      </c>
      <c r="J386" s="2">
        <v>3.4256E-3</v>
      </c>
      <c r="K386" s="2">
        <v>2.4558000000000002E-3</v>
      </c>
      <c r="R386" s="2">
        <v>20.62</v>
      </c>
      <c r="S386" s="2">
        <v>5.819E-4</v>
      </c>
      <c r="T386" s="2">
        <v>1.9395999999999999E-4</v>
      </c>
      <c r="V386" s="11"/>
      <c r="W386" s="6"/>
      <c r="X386" s="6">
        <v>3.67</v>
      </c>
      <c r="Y386" s="11" t="str">
        <f t="shared" si="72"/>
        <v/>
      </c>
      <c r="Z386" s="6" t="str">
        <f t="shared" si="73"/>
        <v/>
      </c>
      <c r="AA386" s="23">
        <f t="shared" si="74"/>
        <v>33.67</v>
      </c>
      <c r="AB386" t="str">
        <f t="shared" si="63"/>
        <v/>
      </c>
      <c r="AC386" t="str">
        <f t="shared" si="64"/>
        <v/>
      </c>
      <c r="AD386">
        <f t="shared" si="65"/>
        <v>6.4006999999999996E-4</v>
      </c>
      <c r="AE386" s="18" t="str">
        <f t="shared" si="66"/>
        <v/>
      </c>
      <c r="AF386" s="7" t="str">
        <f t="shared" si="67"/>
        <v/>
      </c>
      <c r="AG386" s="12">
        <f t="shared" si="68"/>
        <v>0.99776812942906212</v>
      </c>
      <c r="AI386" s="54" t="str">
        <f t="shared" si="69"/>
        <v/>
      </c>
      <c r="AJ386" s="54" t="str">
        <f t="shared" si="70"/>
        <v/>
      </c>
      <c r="AK386" s="54">
        <f t="shared" si="71"/>
        <v>0.19182908064857207</v>
      </c>
    </row>
    <row r="387" spans="9:37" x14ac:dyDescent="0.45">
      <c r="I387" s="2">
        <v>53.3</v>
      </c>
      <c r="J387" s="2">
        <v>3.4669000000000002E-3</v>
      </c>
      <c r="K387" s="2">
        <v>2.4807000000000002E-3</v>
      </c>
      <c r="R387" s="2">
        <v>20.63</v>
      </c>
      <c r="S387" s="2">
        <v>5.8184999999999997E-4</v>
      </c>
      <c r="T387" s="2">
        <v>1.9404000000000001E-4</v>
      </c>
      <c r="V387" s="11"/>
      <c r="W387" s="6"/>
      <c r="X387" s="6">
        <v>3.68</v>
      </c>
      <c r="Y387" s="11" t="str">
        <f t="shared" si="72"/>
        <v/>
      </c>
      <c r="Z387" s="6" t="str">
        <f t="shared" si="73"/>
        <v/>
      </c>
      <c r="AA387" s="23">
        <f t="shared" si="74"/>
        <v>33.68</v>
      </c>
      <c r="AB387" t="str">
        <f t="shared" si="63"/>
        <v/>
      </c>
      <c r="AC387" t="str">
        <f t="shared" si="64"/>
        <v/>
      </c>
      <c r="AD387">
        <f t="shared" si="65"/>
        <v>6.4028000000000002E-4</v>
      </c>
      <c r="AE387" s="18" t="str">
        <f t="shared" si="66"/>
        <v/>
      </c>
      <c r="AF387" s="7" t="str">
        <f t="shared" si="67"/>
        <v/>
      </c>
      <c r="AG387" s="12">
        <f t="shared" si="68"/>
        <v>0.99776174301459608</v>
      </c>
      <c r="AI387" s="54" t="str">
        <f t="shared" si="69"/>
        <v/>
      </c>
      <c r="AJ387" s="54" t="str">
        <f t="shared" si="70"/>
        <v/>
      </c>
      <c r="AK387" s="54">
        <f t="shared" si="71"/>
        <v>0.1923915312556565</v>
      </c>
    </row>
    <row r="388" spans="9:37" x14ac:dyDescent="0.45">
      <c r="I388" s="2">
        <v>53.4</v>
      </c>
      <c r="J388" s="2">
        <v>3.5081999999999999E-3</v>
      </c>
      <c r="K388" s="2">
        <v>2.5056000000000002E-3</v>
      </c>
      <c r="R388" s="2">
        <v>20.64</v>
      </c>
      <c r="S388" s="2">
        <v>5.8180000000000005E-4</v>
      </c>
      <c r="T388" s="2">
        <v>1.9411999999999999E-4</v>
      </c>
      <c r="V388" s="11"/>
      <c r="W388" s="6"/>
      <c r="X388" s="6">
        <v>3.69</v>
      </c>
      <c r="Y388" s="11" t="str">
        <f t="shared" si="72"/>
        <v/>
      </c>
      <c r="Z388" s="6" t="str">
        <f t="shared" si="73"/>
        <v/>
      </c>
      <c r="AA388" s="23">
        <f t="shared" si="74"/>
        <v>33.69</v>
      </c>
      <c r="AB388" t="str">
        <f t="shared" si="63"/>
        <v/>
      </c>
      <c r="AC388" t="str">
        <f t="shared" si="64"/>
        <v/>
      </c>
      <c r="AD388">
        <f t="shared" si="65"/>
        <v>6.4048999999999996E-4</v>
      </c>
      <c r="AE388" s="18" t="str">
        <f t="shared" si="66"/>
        <v/>
      </c>
      <c r="AF388" s="7" t="str">
        <f t="shared" si="67"/>
        <v/>
      </c>
      <c r="AG388" s="12">
        <f t="shared" si="68"/>
        <v>0.99775535454570796</v>
      </c>
      <c r="AI388" s="54" t="str">
        <f t="shared" si="69"/>
        <v/>
      </c>
      <c r="AJ388" s="54" t="str">
        <f t="shared" si="70"/>
        <v/>
      </c>
      <c r="AK388" s="54">
        <f t="shared" si="71"/>
        <v>0.19295420874708358</v>
      </c>
    </row>
    <row r="389" spans="9:37" x14ac:dyDescent="0.45">
      <c r="I389" s="2">
        <v>53.5</v>
      </c>
      <c r="J389" s="2">
        <v>3.5495000000000001E-3</v>
      </c>
      <c r="K389" s="2">
        <v>2.5305000000000002E-3</v>
      </c>
      <c r="R389" s="2">
        <v>20.65</v>
      </c>
      <c r="S389" s="2">
        <v>5.8175000000000002E-4</v>
      </c>
      <c r="T389" s="2">
        <v>1.942E-4</v>
      </c>
      <c r="V389" s="11"/>
      <c r="W389" s="6"/>
      <c r="X389" s="6">
        <v>3.7</v>
      </c>
      <c r="Y389" s="11" t="str">
        <f t="shared" si="72"/>
        <v/>
      </c>
      <c r="Z389" s="6" t="str">
        <f t="shared" si="73"/>
        <v/>
      </c>
      <c r="AA389" s="23">
        <f t="shared" si="74"/>
        <v>33.700000000000003</v>
      </c>
      <c r="AB389" t="str">
        <f t="shared" si="63"/>
        <v/>
      </c>
      <c r="AC389" t="str">
        <f t="shared" si="64"/>
        <v/>
      </c>
      <c r="AD389">
        <f t="shared" si="65"/>
        <v>6.4070000000000002E-4</v>
      </c>
      <c r="AE389" s="18" t="str">
        <f t="shared" si="66"/>
        <v/>
      </c>
      <c r="AF389" s="7" t="str">
        <f t="shared" si="67"/>
        <v/>
      </c>
      <c r="AG389" s="12">
        <f t="shared" si="68"/>
        <v>0.99774896402243762</v>
      </c>
      <c r="AI389" s="54" t="str">
        <f t="shared" si="69"/>
        <v/>
      </c>
      <c r="AJ389" s="54" t="str">
        <f t="shared" si="70"/>
        <v/>
      </c>
      <c r="AK389" s="54">
        <f t="shared" si="71"/>
        <v>0.19351711321742252</v>
      </c>
    </row>
    <row r="390" spans="9:37" x14ac:dyDescent="0.45">
      <c r="I390" s="2">
        <v>53.6</v>
      </c>
      <c r="J390" s="2">
        <v>3.5907999999999999E-3</v>
      </c>
      <c r="K390" s="2">
        <v>2.5554000000000002E-3</v>
      </c>
      <c r="R390" s="2">
        <v>20.66</v>
      </c>
      <c r="S390" s="2">
        <v>5.8169999999999999E-4</v>
      </c>
      <c r="T390" s="2">
        <v>1.9427999999999999E-4</v>
      </c>
      <c r="V390" s="11"/>
      <c r="W390" s="6"/>
      <c r="X390" s="6">
        <v>3.71</v>
      </c>
      <c r="Y390" s="11" t="str">
        <f t="shared" si="72"/>
        <v/>
      </c>
      <c r="Z390" s="6" t="str">
        <f t="shared" si="73"/>
        <v/>
      </c>
      <c r="AA390" s="23">
        <f t="shared" si="74"/>
        <v>33.71</v>
      </c>
      <c r="AB390" t="str">
        <f t="shared" si="63"/>
        <v/>
      </c>
      <c r="AC390" t="str">
        <f t="shared" si="64"/>
        <v/>
      </c>
      <c r="AD390">
        <f t="shared" si="65"/>
        <v>6.4090999999999996E-4</v>
      </c>
      <c r="AE390" s="18" t="str">
        <f t="shared" si="66"/>
        <v/>
      </c>
      <c r="AF390" s="7" t="str">
        <f t="shared" si="67"/>
        <v/>
      </c>
      <c r="AG390" s="12">
        <f t="shared" si="68"/>
        <v>0.99774257144482514</v>
      </c>
      <c r="AI390" s="54" t="str">
        <f t="shared" si="69"/>
        <v/>
      </c>
      <c r="AJ390" s="54" t="str">
        <f t="shared" si="70"/>
        <v/>
      </c>
      <c r="AK390" s="54">
        <f t="shared" si="71"/>
        <v>0.19408024476128236</v>
      </c>
    </row>
    <row r="391" spans="9:37" x14ac:dyDescent="0.45">
      <c r="I391" s="2">
        <v>53.7</v>
      </c>
      <c r="J391" s="2">
        <v>3.6321000000000001E-3</v>
      </c>
      <c r="K391" s="2">
        <v>2.5803000000000002E-3</v>
      </c>
      <c r="R391" s="2">
        <v>20.67</v>
      </c>
      <c r="S391" s="2">
        <v>5.8164999999999996E-4</v>
      </c>
      <c r="T391" s="2">
        <v>1.9436E-4</v>
      </c>
      <c r="V391" s="11"/>
      <c r="W391" s="6"/>
      <c r="X391" s="6">
        <v>3.72</v>
      </c>
      <c r="Y391" s="11" t="str">
        <f t="shared" si="72"/>
        <v/>
      </c>
      <c r="Z391" s="6" t="str">
        <f t="shared" si="73"/>
        <v/>
      </c>
      <c r="AA391" s="23">
        <f t="shared" si="74"/>
        <v>33.72</v>
      </c>
      <c r="AB391" t="str">
        <f t="shared" si="63"/>
        <v/>
      </c>
      <c r="AC391" t="str">
        <f t="shared" si="64"/>
        <v/>
      </c>
      <c r="AD391">
        <f t="shared" si="65"/>
        <v>6.4112000000000001E-4</v>
      </c>
      <c r="AE391" s="18" t="str">
        <f t="shared" si="66"/>
        <v/>
      </c>
      <c r="AF391" s="7" t="str">
        <f t="shared" si="67"/>
        <v/>
      </c>
      <c r="AG391" s="12">
        <f t="shared" si="68"/>
        <v>0.99773617681291049</v>
      </c>
      <c r="AI391" s="54" t="str">
        <f t="shared" si="69"/>
        <v/>
      </c>
      <c r="AJ391" s="54" t="str">
        <f t="shared" si="70"/>
        <v/>
      </c>
      <c r="AK391" s="54">
        <f t="shared" si="71"/>
        <v>0.19464360347331205</v>
      </c>
    </row>
    <row r="392" spans="9:37" x14ac:dyDescent="0.45">
      <c r="I392" s="2">
        <v>53.8</v>
      </c>
      <c r="J392" s="2">
        <v>3.6733999999999998E-3</v>
      </c>
      <c r="K392" s="2">
        <v>2.6051999999999998E-3</v>
      </c>
      <c r="R392" s="2">
        <v>20.68</v>
      </c>
      <c r="S392" s="2">
        <v>5.8160000000000004E-4</v>
      </c>
      <c r="T392" s="2">
        <v>1.9443999999999999E-4</v>
      </c>
      <c r="V392" s="11"/>
      <c r="W392" s="6"/>
      <c r="X392" s="6">
        <v>3.73</v>
      </c>
      <c r="Y392" s="11" t="str">
        <f t="shared" si="72"/>
        <v/>
      </c>
      <c r="Z392" s="6" t="str">
        <f t="shared" si="73"/>
        <v/>
      </c>
      <c r="AA392" s="23">
        <f t="shared" si="74"/>
        <v>33.729999999999997</v>
      </c>
      <c r="AB392" t="str">
        <f t="shared" si="63"/>
        <v/>
      </c>
      <c r="AC392" t="str">
        <f t="shared" si="64"/>
        <v/>
      </c>
      <c r="AD392">
        <f t="shared" si="65"/>
        <v>6.4132999999999996E-4</v>
      </c>
      <c r="AE392" s="18" t="str">
        <f t="shared" si="66"/>
        <v/>
      </c>
      <c r="AF392" s="7" t="str">
        <f t="shared" si="67"/>
        <v/>
      </c>
      <c r="AG392" s="12">
        <f t="shared" si="68"/>
        <v>0.99772978012673375</v>
      </c>
      <c r="AI392" s="54" t="str">
        <f t="shared" si="69"/>
        <v/>
      </c>
      <c r="AJ392" s="54" t="str">
        <f t="shared" si="70"/>
        <v/>
      </c>
      <c r="AK392" s="54">
        <f t="shared" si="71"/>
        <v>0.19520718944820045</v>
      </c>
    </row>
    <row r="393" spans="9:37" x14ac:dyDescent="0.45">
      <c r="I393" s="2">
        <v>53.9</v>
      </c>
      <c r="J393" s="2">
        <v>3.7147E-3</v>
      </c>
      <c r="K393" s="2">
        <v>2.6300999999999998E-3</v>
      </c>
      <c r="R393" s="2">
        <v>20.69</v>
      </c>
      <c r="S393" s="2">
        <v>5.8155000000000001E-4</v>
      </c>
      <c r="T393" s="2">
        <v>1.9452E-4</v>
      </c>
      <c r="V393" s="11"/>
      <c r="W393" s="6"/>
      <c r="X393" s="6">
        <v>3.74</v>
      </c>
      <c r="Y393" s="11" t="str">
        <f t="shared" si="72"/>
        <v/>
      </c>
      <c r="Z393" s="6" t="str">
        <f t="shared" si="73"/>
        <v/>
      </c>
      <c r="AA393" s="23">
        <f t="shared" si="74"/>
        <v>33.74</v>
      </c>
      <c r="AB393" t="str">
        <f t="shared" si="63"/>
        <v/>
      </c>
      <c r="AC393" t="str">
        <f t="shared" si="64"/>
        <v/>
      </c>
      <c r="AD393">
        <f t="shared" si="65"/>
        <v>6.4154000000000001E-4</v>
      </c>
      <c r="AE393" s="18" t="str">
        <f t="shared" si="66"/>
        <v/>
      </c>
      <c r="AF393" s="7" t="str">
        <f t="shared" si="67"/>
        <v/>
      </c>
      <c r="AG393" s="12">
        <f t="shared" si="68"/>
        <v>0.99772338138633487</v>
      </c>
      <c r="AI393" s="54" t="str">
        <f t="shared" si="69"/>
        <v/>
      </c>
      <c r="AJ393" s="54" t="str">
        <f t="shared" si="70"/>
        <v/>
      </c>
      <c r="AK393" s="54">
        <f t="shared" si="71"/>
        <v>0.19577100278067633</v>
      </c>
    </row>
    <row r="394" spans="9:37" x14ac:dyDescent="0.45">
      <c r="I394" s="2">
        <v>54</v>
      </c>
      <c r="J394" s="2">
        <v>3.7559999999999998E-3</v>
      </c>
      <c r="K394" s="2">
        <v>2.6549999999999998E-3</v>
      </c>
      <c r="R394" s="2">
        <v>20.7</v>
      </c>
      <c r="S394" s="2">
        <v>5.8149999999999999E-4</v>
      </c>
      <c r="T394" s="2">
        <v>1.9459999999999999E-4</v>
      </c>
      <c r="V394" s="11"/>
      <c r="W394" s="6"/>
      <c r="X394" s="6">
        <v>3.75</v>
      </c>
      <c r="Y394" s="11" t="str">
        <f t="shared" si="72"/>
        <v/>
      </c>
      <c r="Z394" s="6" t="str">
        <f t="shared" si="73"/>
        <v/>
      </c>
      <c r="AA394" s="23">
        <f t="shared" si="74"/>
        <v>33.75</v>
      </c>
      <c r="AB394" t="str">
        <f t="shared" si="63"/>
        <v/>
      </c>
      <c r="AC394" t="str">
        <f t="shared" si="64"/>
        <v/>
      </c>
      <c r="AD394">
        <f t="shared" si="65"/>
        <v>6.4174999999999996E-4</v>
      </c>
      <c r="AE394" s="18" t="str">
        <f t="shared" si="66"/>
        <v/>
      </c>
      <c r="AF394" s="7" t="str">
        <f t="shared" si="67"/>
        <v/>
      </c>
      <c r="AG394" s="12">
        <f t="shared" si="68"/>
        <v>0.99771698059175395</v>
      </c>
      <c r="AI394" s="54" t="str">
        <f t="shared" si="69"/>
        <v/>
      </c>
      <c r="AJ394" s="54" t="str">
        <f t="shared" si="70"/>
        <v/>
      </c>
      <c r="AK394" s="54">
        <f t="shared" si="71"/>
        <v>0.19633504356550832</v>
      </c>
    </row>
    <row r="395" spans="9:37" x14ac:dyDescent="0.45">
      <c r="I395" s="2">
        <v>54.1</v>
      </c>
      <c r="J395" s="2">
        <v>3.8024999999999999E-3</v>
      </c>
      <c r="K395" s="2">
        <v>2.6825E-3</v>
      </c>
      <c r="R395" s="2">
        <v>20.71</v>
      </c>
      <c r="S395" s="2">
        <v>5.8144999999999996E-4</v>
      </c>
      <c r="T395" s="2">
        <v>1.9468E-4</v>
      </c>
      <c r="V395" s="11"/>
      <c r="W395" s="6"/>
      <c r="X395" s="6">
        <v>3.7600000000000002</v>
      </c>
      <c r="Y395" s="11" t="str">
        <f t="shared" si="72"/>
        <v/>
      </c>
      <c r="Z395" s="6" t="str">
        <f t="shared" si="73"/>
        <v/>
      </c>
      <c r="AA395" s="23">
        <f t="shared" si="74"/>
        <v>33.76</v>
      </c>
      <c r="AB395" t="str">
        <f t="shared" si="63"/>
        <v/>
      </c>
      <c r="AC395" t="str">
        <f t="shared" si="64"/>
        <v/>
      </c>
      <c r="AD395">
        <f t="shared" si="65"/>
        <v>6.4196000000000001E-4</v>
      </c>
      <c r="AE395" s="18" t="str">
        <f t="shared" si="66"/>
        <v/>
      </c>
      <c r="AF395" s="7" t="str">
        <f t="shared" si="67"/>
        <v/>
      </c>
      <c r="AG395" s="12">
        <f t="shared" si="68"/>
        <v>0.99771057774303096</v>
      </c>
      <c r="AI395" s="54" t="str">
        <f t="shared" si="69"/>
        <v/>
      </c>
      <c r="AJ395" s="54" t="str">
        <f t="shared" si="70"/>
        <v/>
      </c>
      <c r="AK395" s="54">
        <f t="shared" si="71"/>
        <v>0.19689931189750509</v>
      </c>
    </row>
    <row r="396" spans="9:37" x14ac:dyDescent="0.45">
      <c r="I396" s="2">
        <v>54.2</v>
      </c>
      <c r="J396" s="2">
        <v>3.849E-3</v>
      </c>
      <c r="K396" s="2">
        <v>2.7100000000000002E-3</v>
      </c>
      <c r="R396" s="2">
        <v>20.72</v>
      </c>
      <c r="S396" s="2">
        <v>5.8140000000000004E-4</v>
      </c>
      <c r="T396" s="2">
        <v>1.9476000000000001E-4</v>
      </c>
      <c r="V396" s="11"/>
      <c r="W396" s="6"/>
      <c r="X396" s="6">
        <v>3.77</v>
      </c>
      <c r="Y396" s="11" t="str">
        <f t="shared" si="72"/>
        <v/>
      </c>
      <c r="Z396" s="6" t="str">
        <f t="shared" si="73"/>
        <v/>
      </c>
      <c r="AA396" s="23">
        <f t="shared" si="74"/>
        <v>33.770000000000003</v>
      </c>
      <c r="AB396" t="str">
        <f t="shared" si="63"/>
        <v/>
      </c>
      <c r="AC396" t="str">
        <f t="shared" si="64"/>
        <v/>
      </c>
      <c r="AD396">
        <f t="shared" si="65"/>
        <v>6.4216999999999996E-4</v>
      </c>
      <c r="AE396" s="18" t="str">
        <f t="shared" si="66"/>
        <v/>
      </c>
      <c r="AF396" s="7" t="str">
        <f t="shared" si="67"/>
        <v/>
      </c>
      <c r="AG396" s="12">
        <f t="shared" si="68"/>
        <v>0.99770417284020607</v>
      </c>
      <c r="AI396" s="54" t="str">
        <f t="shared" si="69"/>
        <v/>
      </c>
      <c r="AJ396" s="54" t="str">
        <f t="shared" si="70"/>
        <v/>
      </c>
      <c r="AK396" s="54">
        <f t="shared" si="71"/>
        <v>0.19746380787151524</v>
      </c>
    </row>
    <row r="397" spans="9:37" x14ac:dyDescent="0.45">
      <c r="I397" s="2">
        <v>54.3</v>
      </c>
      <c r="J397" s="2">
        <v>3.8955000000000001E-3</v>
      </c>
      <c r="K397" s="2">
        <v>2.7374999999999999E-3</v>
      </c>
      <c r="R397" s="2">
        <v>20.73</v>
      </c>
      <c r="S397" s="2">
        <v>5.8135000000000001E-4</v>
      </c>
      <c r="T397" s="2">
        <v>1.9484E-4</v>
      </c>
      <c r="V397" s="11"/>
      <c r="W397" s="6"/>
      <c r="X397" s="6">
        <v>3.7800000000000002</v>
      </c>
      <c r="Y397" s="11" t="str">
        <f t="shared" si="72"/>
        <v/>
      </c>
      <c r="Z397" s="6" t="str">
        <f t="shared" si="73"/>
        <v/>
      </c>
      <c r="AA397" s="23">
        <f t="shared" si="74"/>
        <v>33.78</v>
      </c>
      <c r="AB397" t="str">
        <f t="shared" si="63"/>
        <v/>
      </c>
      <c r="AC397" t="str">
        <f t="shared" si="64"/>
        <v/>
      </c>
      <c r="AD397">
        <f t="shared" si="65"/>
        <v>6.4238000000000001E-4</v>
      </c>
      <c r="AE397" s="18" t="str">
        <f t="shared" si="66"/>
        <v/>
      </c>
      <c r="AF397" s="7" t="str">
        <f t="shared" si="67"/>
        <v/>
      </c>
      <c r="AG397" s="12">
        <f t="shared" si="68"/>
        <v>0.99769776588331938</v>
      </c>
      <c r="AI397" s="54" t="str">
        <f t="shared" si="69"/>
        <v/>
      </c>
      <c r="AJ397" s="54" t="str">
        <f t="shared" si="70"/>
        <v/>
      </c>
      <c r="AK397" s="54">
        <f t="shared" si="71"/>
        <v>0.19802853158242734</v>
      </c>
    </row>
    <row r="398" spans="9:37" x14ac:dyDescent="0.45">
      <c r="I398" s="2">
        <v>54.4</v>
      </c>
      <c r="J398" s="2">
        <v>3.9420000000000002E-3</v>
      </c>
      <c r="K398" s="2">
        <v>2.7650000000000001E-3</v>
      </c>
      <c r="R398" s="2">
        <v>20.74</v>
      </c>
      <c r="S398" s="2">
        <v>5.8129999999999998E-4</v>
      </c>
      <c r="T398" s="2">
        <v>1.9492000000000001E-4</v>
      </c>
      <c r="V398" s="11"/>
      <c r="W398" s="6"/>
      <c r="X398" s="6">
        <v>3.79</v>
      </c>
      <c r="Y398" s="11" t="str">
        <f t="shared" si="72"/>
        <v/>
      </c>
      <c r="Z398" s="6" t="str">
        <f t="shared" si="73"/>
        <v/>
      </c>
      <c r="AA398" s="23">
        <f t="shared" si="74"/>
        <v>33.79</v>
      </c>
      <c r="AB398" t="str">
        <f t="shared" si="63"/>
        <v/>
      </c>
      <c r="AC398" t="str">
        <f t="shared" si="64"/>
        <v/>
      </c>
      <c r="AD398">
        <f t="shared" si="65"/>
        <v>6.4258999999999996E-4</v>
      </c>
      <c r="AE398" s="18" t="str">
        <f t="shared" si="66"/>
        <v/>
      </c>
      <c r="AF398" s="7" t="str">
        <f t="shared" si="67"/>
        <v/>
      </c>
      <c r="AG398" s="12">
        <f t="shared" si="68"/>
        <v>0.99769135687241095</v>
      </c>
      <c r="AI398" s="54" t="str">
        <f t="shared" si="69"/>
        <v/>
      </c>
      <c r="AJ398" s="54" t="str">
        <f t="shared" si="70"/>
        <v/>
      </c>
      <c r="AK398" s="54">
        <f t="shared" si="71"/>
        <v>0.19859348312516997</v>
      </c>
    </row>
    <row r="399" spans="9:37" x14ac:dyDescent="0.45">
      <c r="I399" s="2">
        <v>54.5</v>
      </c>
      <c r="J399" s="2">
        <v>3.9884999999999999E-3</v>
      </c>
      <c r="K399" s="2">
        <v>2.7924999999999998E-3</v>
      </c>
      <c r="R399" s="2">
        <v>20.75</v>
      </c>
      <c r="S399" s="2">
        <v>5.8124999999999995E-4</v>
      </c>
      <c r="T399" s="2">
        <v>1.95E-4</v>
      </c>
      <c r="V399" s="11"/>
      <c r="W399" s="6"/>
      <c r="X399" s="6">
        <v>3.8000000000000003</v>
      </c>
      <c r="Y399" s="11" t="str">
        <f t="shared" si="72"/>
        <v/>
      </c>
      <c r="Z399" s="6" t="str">
        <f t="shared" si="73"/>
        <v/>
      </c>
      <c r="AA399" s="23">
        <f t="shared" si="74"/>
        <v>33.799999999999997</v>
      </c>
      <c r="AB399" t="str">
        <f t="shared" si="63"/>
        <v/>
      </c>
      <c r="AC399" t="str">
        <f t="shared" si="64"/>
        <v/>
      </c>
      <c r="AD399">
        <f t="shared" si="65"/>
        <v>6.4280000000000001E-4</v>
      </c>
      <c r="AE399" s="18" t="str">
        <f t="shared" si="66"/>
        <v/>
      </c>
      <c r="AF399" s="7" t="str">
        <f t="shared" si="67"/>
        <v/>
      </c>
      <c r="AG399" s="12">
        <f t="shared" si="68"/>
        <v>0.99768494580752087</v>
      </c>
      <c r="AI399" s="54" t="str">
        <f t="shared" si="69"/>
        <v/>
      </c>
      <c r="AJ399" s="54" t="str">
        <f t="shared" si="70"/>
        <v/>
      </c>
      <c r="AK399" s="54">
        <f t="shared" si="71"/>
        <v>0.19915866259471174</v>
      </c>
    </row>
    <row r="400" spans="9:37" x14ac:dyDescent="0.45">
      <c r="I400" s="2">
        <v>54.6</v>
      </c>
      <c r="J400" s="2">
        <v>4.0350000000000004E-3</v>
      </c>
      <c r="K400" s="2">
        <v>2.82E-3</v>
      </c>
      <c r="R400" s="2">
        <v>20.76</v>
      </c>
      <c r="S400" s="2">
        <v>5.8120000000000003E-4</v>
      </c>
      <c r="T400" s="2">
        <v>1.9508000000000001E-4</v>
      </c>
      <c r="V400" s="11"/>
      <c r="W400" s="6"/>
      <c r="X400" s="6">
        <v>3.81</v>
      </c>
      <c r="Y400" s="11" t="str">
        <f t="shared" si="72"/>
        <v/>
      </c>
      <c r="Z400" s="6" t="str">
        <f t="shared" si="73"/>
        <v/>
      </c>
      <c r="AA400" s="23">
        <f t="shared" si="74"/>
        <v>33.81</v>
      </c>
      <c r="AB400" t="str">
        <f t="shared" si="63"/>
        <v/>
      </c>
      <c r="AC400" t="str">
        <f t="shared" si="64"/>
        <v/>
      </c>
      <c r="AD400">
        <f t="shared" si="65"/>
        <v>6.4300999999999996E-4</v>
      </c>
      <c r="AE400" s="18" t="str">
        <f t="shared" si="66"/>
        <v/>
      </c>
      <c r="AF400" s="7" t="str">
        <f t="shared" si="67"/>
        <v/>
      </c>
      <c r="AG400" s="12">
        <f t="shared" si="68"/>
        <v>0.99767853268868922</v>
      </c>
      <c r="AI400" s="54" t="str">
        <f t="shared" si="69"/>
        <v/>
      </c>
      <c r="AJ400" s="54" t="str">
        <f t="shared" si="70"/>
        <v/>
      </c>
      <c r="AK400" s="54">
        <f t="shared" si="71"/>
        <v>0.19972407008606127</v>
      </c>
    </row>
    <row r="401" spans="9:37" x14ac:dyDescent="0.45">
      <c r="I401" s="2">
        <v>54.7</v>
      </c>
      <c r="J401" s="2">
        <v>4.0815000000000001E-3</v>
      </c>
      <c r="K401" s="2">
        <v>2.8475000000000002E-3</v>
      </c>
      <c r="R401" s="2">
        <v>20.77</v>
      </c>
      <c r="S401" s="2">
        <v>5.8115E-4</v>
      </c>
      <c r="T401" s="2">
        <v>1.9515999999999999E-4</v>
      </c>
      <c r="V401" s="11"/>
      <c r="W401" s="6"/>
      <c r="X401" s="6">
        <v>3.8200000000000003</v>
      </c>
      <c r="Y401" s="11" t="str">
        <f t="shared" si="72"/>
        <v/>
      </c>
      <c r="Z401" s="6" t="str">
        <f t="shared" si="73"/>
        <v/>
      </c>
      <c r="AA401" s="23">
        <f t="shared" si="74"/>
        <v>33.82</v>
      </c>
      <c r="AB401" t="str">
        <f t="shared" si="63"/>
        <v/>
      </c>
      <c r="AC401" t="str">
        <f t="shared" si="64"/>
        <v/>
      </c>
      <c r="AD401">
        <f t="shared" si="65"/>
        <v>6.4322000000000001E-4</v>
      </c>
      <c r="AE401" s="18" t="str">
        <f t="shared" si="66"/>
        <v/>
      </c>
      <c r="AF401" s="7" t="str">
        <f t="shared" si="67"/>
        <v/>
      </c>
      <c r="AG401" s="12">
        <f t="shared" si="68"/>
        <v>0.99767211751595619</v>
      </c>
      <c r="AI401" s="54" t="str">
        <f t="shared" si="69"/>
        <v/>
      </c>
      <c r="AJ401" s="54" t="str">
        <f t="shared" si="70"/>
        <v/>
      </c>
      <c r="AK401" s="54">
        <f t="shared" si="71"/>
        <v>0.20028970569426724</v>
      </c>
    </row>
    <row r="402" spans="9:37" x14ac:dyDescent="0.45">
      <c r="I402" s="2">
        <v>54.8</v>
      </c>
      <c r="J402" s="2">
        <v>4.1279999999999997E-3</v>
      </c>
      <c r="K402" s="2">
        <v>2.875E-3</v>
      </c>
      <c r="R402" s="2">
        <v>20.78</v>
      </c>
      <c r="S402" s="2">
        <v>5.8109999999999998E-4</v>
      </c>
      <c r="T402" s="2">
        <v>1.9524000000000001E-4</v>
      </c>
      <c r="V402" s="11"/>
      <c r="W402" s="6"/>
      <c r="X402" s="6">
        <v>3.83</v>
      </c>
      <c r="Y402" s="11" t="str">
        <f t="shared" si="72"/>
        <v/>
      </c>
      <c r="Z402" s="6" t="str">
        <f t="shared" si="73"/>
        <v/>
      </c>
      <c r="AA402" s="23">
        <f t="shared" si="74"/>
        <v>33.83</v>
      </c>
      <c r="AB402" t="str">
        <f t="shared" si="63"/>
        <v/>
      </c>
      <c r="AC402" t="str">
        <f t="shared" si="64"/>
        <v/>
      </c>
      <c r="AD402">
        <f t="shared" si="65"/>
        <v>6.4342999999999996E-4</v>
      </c>
      <c r="AE402" s="18" t="str">
        <f t="shared" si="66"/>
        <v/>
      </c>
      <c r="AF402" s="7" t="str">
        <f t="shared" si="67"/>
        <v/>
      </c>
      <c r="AG402" s="12">
        <f t="shared" si="68"/>
        <v>0.99766570028936186</v>
      </c>
      <c r="AI402" s="54" t="str">
        <f t="shared" si="69"/>
        <v/>
      </c>
      <c r="AJ402" s="54" t="str">
        <f t="shared" si="70"/>
        <v/>
      </c>
      <c r="AK402" s="54">
        <f t="shared" si="71"/>
        <v>0.20085556951441841</v>
      </c>
    </row>
    <row r="403" spans="9:37" x14ac:dyDescent="0.45">
      <c r="I403" s="2">
        <v>54.9</v>
      </c>
      <c r="J403" s="2">
        <v>4.1745000000000003E-3</v>
      </c>
      <c r="K403" s="2">
        <v>2.9025000000000001E-3</v>
      </c>
      <c r="R403" s="2">
        <v>20.79</v>
      </c>
      <c r="S403" s="2">
        <v>5.8104999999999995E-4</v>
      </c>
      <c r="T403" s="2">
        <v>1.9531999999999999E-4</v>
      </c>
      <c r="V403" s="11"/>
      <c r="W403" s="6"/>
      <c r="X403" s="6">
        <v>3.84</v>
      </c>
      <c r="Y403" s="11" t="str">
        <f t="shared" si="72"/>
        <v/>
      </c>
      <c r="Z403" s="6" t="str">
        <f t="shared" si="73"/>
        <v/>
      </c>
      <c r="AA403" s="23">
        <f t="shared" si="74"/>
        <v>33.840000000000003</v>
      </c>
      <c r="AB403" t="str">
        <f t="shared" ref="AB403:AB466" si="75">IF(Y403="","",VLOOKUP(Y403,Table_1,2))</f>
        <v/>
      </c>
      <c r="AC403" t="str">
        <f t="shared" ref="AC403:AC466" si="76">IF(Z403="","",VLOOKUP(Z403,Table_2,2))</f>
        <v/>
      </c>
      <c r="AD403">
        <f t="shared" ref="AD403:AD466" si="77">IF(AA403="","",VLOOKUP(AA403,Table_3,2))</f>
        <v>6.4364000000000001E-4</v>
      </c>
      <c r="AE403" s="18" t="str">
        <f t="shared" si="66"/>
        <v/>
      </c>
      <c r="AF403" s="7" t="str">
        <f t="shared" si="67"/>
        <v/>
      </c>
      <c r="AG403" s="12">
        <f t="shared" si="68"/>
        <v>0.99765928100894652</v>
      </c>
      <c r="AI403" s="54" t="str">
        <f t="shared" si="69"/>
        <v/>
      </c>
      <c r="AJ403" s="54" t="str">
        <f t="shared" si="70"/>
        <v/>
      </c>
      <c r="AK403" s="54">
        <f t="shared" si="71"/>
        <v>0.2014216616416436</v>
      </c>
    </row>
    <row r="404" spans="9:37" x14ac:dyDescent="0.45">
      <c r="I404" s="2">
        <v>55</v>
      </c>
      <c r="J404" s="2">
        <v>4.2209999999999999E-3</v>
      </c>
      <c r="K404" s="2">
        <v>2.9299999999999999E-3</v>
      </c>
      <c r="R404" s="2">
        <v>20.8</v>
      </c>
      <c r="S404" s="2">
        <v>5.8100000000000003E-4</v>
      </c>
      <c r="T404" s="2">
        <v>1.9540000000000001E-4</v>
      </c>
      <c r="V404" s="11"/>
      <c r="W404" s="6"/>
      <c r="X404" s="6">
        <v>3.85</v>
      </c>
      <c r="Y404" s="11" t="str">
        <f t="shared" si="72"/>
        <v/>
      </c>
      <c r="Z404" s="6" t="str">
        <f t="shared" si="73"/>
        <v/>
      </c>
      <c r="AA404" s="23">
        <f t="shared" si="74"/>
        <v>33.85</v>
      </c>
      <c r="AB404" t="str">
        <f t="shared" si="75"/>
        <v/>
      </c>
      <c r="AC404" t="str">
        <f t="shared" si="76"/>
        <v/>
      </c>
      <c r="AD404">
        <f t="shared" si="77"/>
        <v>6.4384999999999996E-4</v>
      </c>
      <c r="AE404" s="18" t="str">
        <f t="shared" ref="AE404:AE467" si="78">IF(AB404="","",AE403+h_1*(-AE403*AB403))</f>
        <v/>
      </c>
      <c r="AF404" s="7" t="str">
        <f t="shared" ref="AF404:AF467" si="79">IF(AC404="","",AF403+h_2*(-AF403*AC403))</f>
        <v/>
      </c>
      <c r="AG404" s="12">
        <f t="shared" ref="AG404:AG467" si="80">IF(AD404="","",AG403+h_3*(-AG403*AD403))</f>
        <v>0.99765285967475026</v>
      </c>
      <c r="AI404" s="54" t="str">
        <f t="shared" ref="AI404:AI467" si="81">IF(Y404="","",AI403+AI$17*(AI403*delta+Prem1-AB403*(1-AI403)))</f>
        <v/>
      </c>
      <c r="AJ404" s="54" t="str">
        <f t="shared" ref="AJ404:AJ467" si="82">IF(Z404="","",AJ403+AJ$17*(AJ403*delta+Prem2-AC403*(1-AJ403)))</f>
        <v/>
      </c>
      <c r="AK404" s="54">
        <f t="shared" ref="AK404:AK467" si="83">IF(AA404="","",AK403+AK$17*(AK403*delta+Prem3-AD403*(1-AK403)))</f>
        <v>0.20198798217111175</v>
      </c>
    </row>
    <row r="405" spans="9:37" x14ac:dyDescent="0.45">
      <c r="I405" s="2">
        <v>55.1</v>
      </c>
      <c r="J405" s="2">
        <v>4.2735999999999998E-3</v>
      </c>
      <c r="K405" s="2">
        <v>2.9605E-3</v>
      </c>
      <c r="R405" s="2">
        <v>20.81</v>
      </c>
      <c r="S405" s="2">
        <v>5.8095E-4</v>
      </c>
      <c r="T405" s="2">
        <v>1.9547999999999999E-4</v>
      </c>
      <c r="V405" s="11"/>
      <c r="W405" s="6"/>
      <c r="X405" s="6">
        <v>3.86</v>
      </c>
      <c r="Y405" s="11" t="str">
        <f t="shared" ref="Y405:Y468" si="84">IF(ISBLANK(V405),"",$Y$19+V405)</f>
        <v/>
      </c>
      <c r="Z405" s="6" t="str">
        <f t="shared" ref="Z405:Z468" si="85">IF(ISBLANK(W405),"",$Y$19+W405)</f>
        <v/>
      </c>
      <c r="AA405" s="23">
        <f t="shared" ref="AA405:AA468" si="86">IF(ISBLANK(X405),"",$Y$19+X405)</f>
        <v>33.86</v>
      </c>
      <c r="AB405" t="str">
        <f t="shared" si="75"/>
        <v/>
      </c>
      <c r="AC405" t="str">
        <f t="shared" si="76"/>
        <v/>
      </c>
      <c r="AD405">
        <f t="shared" si="77"/>
        <v>6.4406000000000001E-4</v>
      </c>
      <c r="AE405" s="18" t="str">
        <f t="shared" si="78"/>
        <v/>
      </c>
      <c r="AF405" s="7" t="str">
        <f t="shared" si="79"/>
        <v/>
      </c>
      <c r="AG405" s="12">
        <f t="shared" si="80"/>
        <v>0.99764643628681327</v>
      </c>
      <c r="AI405" s="54" t="str">
        <f t="shared" si="81"/>
        <v/>
      </c>
      <c r="AJ405" s="54" t="str">
        <f t="shared" si="82"/>
        <v/>
      </c>
      <c r="AK405" s="54">
        <f t="shared" si="83"/>
        <v>0.20255453119803191</v>
      </c>
    </row>
    <row r="406" spans="9:37" x14ac:dyDescent="0.45">
      <c r="I406" s="2">
        <v>55.2</v>
      </c>
      <c r="J406" s="2">
        <v>4.3261999999999997E-3</v>
      </c>
      <c r="K406" s="2">
        <v>2.9910000000000002E-3</v>
      </c>
      <c r="R406" s="2">
        <v>20.82</v>
      </c>
      <c r="S406" s="2">
        <v>5.8089999999999997E-4</v>
      </c>
      <c r="T406" s="2">
        <v>1.9556E-4</v>
      </c>
      <c r="V406" s="11"/>
      <c r="W406" s="6"/>
      <c r="X406" s="6">
        <v>3.87</v>
      </c>
      <c r="Y406" s="11" t="str">
        <f t="shared" si="84"/>
        <v/>
      </c>
      <c r="Z406" s="6" t="str">
        <f t="shared" si="85"/>
        <v/>
      </c>
      <c r="AA406" s="23">
        <f t="shared" si="86"/>
        <v>33.869999999999997</v>
      </c>
      <c r="AB406" t="str">
        <f t="shared" si="75"/>
        <v/>
      </c>
      <c r="AC406" t="str">
        <f t="shared" si="76"/>
        <v/>
      </c>
      <c r="AD406">
        <f t="shared" si="77"/>
        <v>6.4426999999999996E-4</v>
      </c>
      <c r="AE406" s="18" t="str">
        <f t="shared" si="78"/>
        <v/>
      </c>
      <c r="AF406" s="7" t="str">
        <f t="shared" si="79"/>
        <v/>
      </c>
      <c r="AG406" s="12">
        <f t="shared" si="80"/>
        <v>0.99764001084517573</v>
      </c>
      <c r="AI406" s="54" t="str">
        <f t="shared" si="81"/>
        <v/>
      </c>
      <c r="AJ406" s="54" t="str">
        <f t="shared" si="82"/>
        <v/>
      </c>
      <c r="AK406" s="54">
        <f t="shared" si="83"/>
        <v>0.20312130881765325</v>
      </c>
    </row>
    <row r="407" spans="9:37" x14ac:dyDescent="0.45">
      <c r="I407" s="2">
        <v>55.3</v>
      </c>
      <c r="J407" s="2">
        <v>4.3788000000000004E-3</v>
      </c>
      <c r="K407" s="2">
        <v>3.0214999999999999E-3</v>
      </c>
      <c r="R407" s="2">
        <v>20.83</v>
      </c>
      <c r="S407" s="2">
        <v>5.8085000000000005E-4</v>
      </c>
      <c r="T407" s="2">
        <v>1.9563999999999999E-4</v>
      </c>
      <c r="V407" s="11"/>
      <c r="W407" s="6"/>
      <c r="X407" s="6">
        <v>3.88</v>
      </c>
      <c r="Y407" s="11" t="str">
        <f t="shared" si="84"/>
        <v/>
      </c>
      <c r="Z407" s="6" t="str">
        <f t="shared" si="85"/>
        <v/>
      </c>
      <c r="AA407" s="23">
        <f t="shared" si="86"/>
        <v>33.880000000000003</v>
      </c>
      <c r="AB407" t="str">
        <f t="shared" si="75"/>
        <v/>
      </c>
      <c r="AC407" t="str">
        <f t="shared" si="76"/>
        <v/>
      </c>
      <c r="AD407">
        <f t="shared" si="77"/>
        <v>6.4448000000000001E-4</v>
      </c>
      <c r="AE407" s="18" t="str">
        <f t="shared" si="78"/>
        <v/>
      </c>
      <c r="AF407" s="7" t="str">
        <f t="shared" si="79"/>
        <v/>
      </c>
      <c r="AG407" s="12">
        <f t="shared" si="80"/>
        <v>0.99763358334987784</v>
      </c>
      <c r="AI407" s="54" t="str">
        <f t="shared" si="81"/>
        <v/>
      </c>
      <c r="AJ407" s="54" t="str">
        <f t="shared" si="82"/>
        <v/>
      </c>
      <c r="AK407" s="54">
        <f t="shared" si="83"/>
        <v>0.20368831512526514</v>
      </c>
    </row>
    <row r="408" spans="9:37" x14ac:dyDescent="0.45">
      <c r="I408" s="2">
        <v>55.4</v>
      </c>
      <c r="J408" s="2">
        <v>4.4314000000000003E-3</v>
      </c>
      <c r="K408" s="2">
        <v>3.052E-3</v>
      </c>
      <c r="R408" s="2">
        <v>20.84</v>
      </c>
      <c r="S408" s="2">
        <v>5.8080000000000002E-4</v>
      </c>
      <c r="T408" s="2">
        <v>1.9572E-4</v>
      </c>
      <c r="V408" s="11"/>
      <c r="W408" s="6"/>
      <c r="X408" s="6">
        <v>3.89</v>
      </c>
      <c r="Y408" s="11" t="str">
        <f t="shared" si="84"/>
        <v/>
      </c>
      <c r="Z408" s="6" t="str">
        <f t="shared" si="85"/>
        <v/>
      </c>
      <c r="AA408" s="23">
        <f t="shared" si="86"/>
        <v>33.89</v>
      </c>
      <c r="AB408" t="str">
        <f t="shared" si="75"/>
        <v/>
      </c>
      <c r="AC408" t="str">
        <f t="shared" si="76"/>
        <v/>
      </c>
      <c r="AD408">
        <f t="shared" si="77"/>
        <v>6.4468999999999995E-4</v>
      </c>
      <c r="AE408" s="18" t="str">
        <f t="shared" si="78"/>
        <v/>
      </c>
      <c r="AF408" s="7" t="str">
        <f t="shared" si="79"/>
        <v/>
      </c>
      <c r="AG408" s="12">
        <f t="shared" si="80"/>
        <v>0.9976271538009599</v>
      </c>
      <c r="AI408" s="54" t="str">
        <f t="shared" si="81"/>
        <v/>
      </c>
      <c r="AJ408" s="54" t="str">
        <f t="shared" si="82"/>
        <v/>
      </c>
      <c r="AK408" s="54">
        <f t="shared" si="83"/>
        <v>0.20425555021619707</v>
      </c>
    </row>
    <row r="409" spans="9:37" x14ac:dyDescent="0.45">
      <c r="I409" s="2">
        <v>55.5</v>
      </c>
      <c r="J409" s="2">
        <v>4.4840000000000001E-3</v>
      </c>
      <c r="K409" s="2">
        <v>3.0825000000000002E-3</v>
      </c>
      <c r="R409" s="2">
        <v>20.85</v>
      </c>
      <c r="S409" s="2">
        <v>5.8074999999999999E-4</v>
      </c>
      <c r="T409" s="2">
        <v>1.9579999999999999E-4</v>
      </c>
      <c r="V409" s="11"/>
      <c r="W409" s="6"/>
      <c r="X409" s="6">
        <v>3.9</v>
      </c>
      <c r="Y409" s="11" t="str">
        <f t="shared" si="84"/>
        <v/>
      </c>
      <c r="Z409" s="6" t="str">
        <f t="shared" si="85"/>
        <v/>
      </c>
      <c r="AA409" s="23">
        <f t="shared" si="86"/>
        <v>33.9</v>
      </c>
      <c r="AB409" t="str">
        <f t="shared" si="75"/>
        <v/>
      </c>
      <c r="AC409" t="str">
        <f t="shared" si="76"/>
        <v/>
      </c>
      <c r="AD409">
        <f t="shared" si="77"/>
        <v>6.4490000000000001E-4</v>
      </c>
      <c r="AE409" s="18" t="str">
        <f t="shared" si="78"/>
        <v/>
      </c>
      <c r="AF409" s="7" t="str">
        <f t="shared" si="79"/>
        <v/>
      </c>
      <c r="AG409" s="12">
        <f t="shared" si="80"/>
        <v>0.9976207221984621</v>
      </c>
      <c r="AI409" s="54" t="str">
        <f t="shared" si="81"/>
        <v/>
      </c>
      <c r="AJ409" s="54" t="str">
        <f t="shared" si="82"/>
        <v/>
      </c>
      <c r="AK409" s="54">
        <f t="shared" si="83"/>
        <v>0.20482301418581872</v>
      </c>
    </row>
    <row r="410" spans="9:37" x14ac:dyDescent="0.45">
      <c r="I410" s="2">
        <v>55.6</v>
      </c>
      <c r="J410" s="2">
        <v>4.5366E-3</v>
      </c>
      <c r="K410" s="2">
        <v>3.1129999999999999E-3</v>
      </c>
      <c r="R410" s="2">
        <v>20.86</v>
      </c>
      <c r="S410" s="2">
        <v>5.8069999999999997E-4</v>
      </c>
      <c r="T410" s="2">
        <v>1.9588E-4</v>
      </c>
      <c r="V410" s="11"/>
      <c r="W410" s="6"/>
      <c r="X410" s="6">
        <v>3.91</v>
      </c>
      <c r="Y410" s="11" t="str">
        <f t="shared" si="84"/>
        <v/>
      </c>
      <c r="Z410" s="6" t="str">
        <f t="shared" si="85"/>
        <v/>
      </c>
      <c r="AA410" s="23">
        <f t="shared" si="86"/>
        <v>33.909999999999997</v>
      </c>
      <c r="AB410" t="str">
        <f t="shared" si="75"/>
        <v/>
      </c>
      <c r="AC410" t="str">
        <f t="shared" si="76"/>
        <v/>
      </c>
      <c r="AD410">
        <f t="shared" si="77"/>
        <v>6.4510999999999995E-4</v>
      </c>
      <c r="AE410" s="18" t="str">
        <f t="shared" si="78"/>
        <v/>
      </c>
      <c r="AF410" s="7" t="str">
        <f t="shared" si="79"/>
        <v/>
      </c>
      <c r="AG410" s="12">
        <f t="shared" si="80"/>
        <v>0.99761428854242462</v>
      </c>
      <c r="AI410" s="54" t="str">
        <f t="shared" si="81"/>
        <v/>
      </c>
      <c r="AJ410" s="54" t="str">
        <f t="shared" si="82"/>
        <v/>
      </c>
      <c r="AK410" s="54">
        <f t="shared" si="83"/>
        <v>0.20539070712954002</v>
      </c>
    </row>
    <row r="411" spans="9:37" x14ac:dyDescent="0.45">
      <c r="I411" s="2">
        <v>55.7</v>
      </c>
      <c r="J411" s="2">
        <v>4.5891999999999999E-3</v>
      </c>
      <c r="K411" s="2">
        <v>3.1435E-3</v>
      </c>
      <c r="R411" s="2">
        <v>20.87</v>
      </c>
      <c r="S411" s="2">
        <v>5.8065000000000005E-4</v>
      </c>
      <c r="T411" s="2">
        <v>1.9595999999999999E-4</v>
      </c>
      <c r="V411" s="11"/>
      <c r="W411" s="6"/>
      <c r="X411" s="6">
        <v>3.92</v>
      </c>
      <c r="Y411" s="11" t="str">
        <f t="shared" si="84"/>
        <v/>
      </c>
      <c r="Z411" s="6" t="str">
        <f t="shared" si="85"/>
        <v/>
      </c>
      <c r="AA411" s="23">
        <f t="shared" si="86"/>
        <v>33.92</v>
      </c>
      <c r="AB411" t="str">
        <f t="shared" si="75"/>
        <v/>
      </c>
      <c r="AC411" t="str">
        <f t="shared" si="76"/>
        <v/>
      </c>
      <c r="AD411">
        <f t="shared" si="77"/>
        <v>6.4532000000000001E-4</v>
      </c>
      <c r="AE411" s="18" t="str">
        <f t="shared" si="78"/>
        <v/>
      </c>
      <c r="AF411" s="7" t="str">
        <f t="shared" si="79"/>
        <v/>
      </c>
      <c r="AG411" s="12">
        <f t="shared" si="80"/>
        <v>0.99760785283288778</v>
      </c>
      <c r="AI411" s="54" t="str">
        <f t="shared" si="81"/>
        <v/>
      </c>
      <c r="AJ411" s="54" t="str">
        <f t="shared" si="82"/>
        <v/>
      </c>
      <c r="AK411" s="54">
        <f t="shared" si="83"/>
        <v>0.2059586291428111</v>
      </c>
    </row>
    <row r="412" spans="9:37" x14ac:dyDescent="0.45">
      <c r="I412" s="2">
        <v>55.8</v>
      </c>
      <c r="J412" s="2">
        <v>4.6417999999999997E-3</v>
      </c>
      <c r="K412" s="2">
        <v>3.1740000000000002E-3</v>
      </c>
      <c r="R412" s="2">
        <v>20.88</v>
      </c>
      <c r="S412" s="2">
        <v>5.8060000000000002E-4</v>
      </c>
      <c r="T412" s="2">
        <v>1.9604E-4</v>
      </c>
      <c r="V412" s="11"/>
      <c r="W412" s="6"/>
      <c r="X412" s="6">
        <v>3.93</v>
      </c>
      <c r="Y412" s="11" t="str">
        <f t="shared" si="84"/>
        <v/>
      </c>
      <c r="Z412" s="6" t="str">
        <f t="shared" si="85"/>
        <v/>
      </c>
      <c r="AA412" s="23">
        <f t="shared" si="86"/>
        <v>33.93</v>
      </c>
      <c r="AB412" t="str">
        <f t="shared" si="75"/>
        <v/>
      </c>
      <c r="AC412" t="str">
        <f t="shared" si="76"/>
        <v/>
      </c>
      <c r="AD412">
        <f t="shared" si="77"/>
        <v>6.4552999999999995E-4</v>
      </c>
      <c r="AE412" s="18" t="str">
        <f t="shared" si="78"/>
        <v/>
      </c>
      <c r="AF412" s="7" t="str">
        <f t="shared" si="79"/>
        <v/>
      </c>
      <c r="AG412" s="12">
        <f t="shared" si="80"/>
        <v>0.99760141506989186</v>
      </c>
      <c r="AI412" s="54" t="str">
        <f t="shared" si="81"/>
        <v/>
      </c>
      <c r="AJ412" s="54" t="str">
        <f t="shared" si="82"/>
        <v/>
      </c>
      <c r="AK412" s="54">
        <f t="shared" si="83"/>
        <v>0.20652678032112232</v>
      </c>
    </row>
    <row r="413" spans="9:37" x14ac:dyDescent="0.45">
      <c r="I413" s="2">
        <v>55.9</v>
      </c>
      <c r="J413" s="2">
        <v>4.6943999999999996E-3</v>
      </c>
      <c r="K413" s="2">
        <v>3.2044999999999999E-3</v>
      </c>
      <c r="R413" s="2">
        <v>20.89</v>
      </c>
      <c r="S413" s="2">
        <v>5.8054999999999999E-4</v>
      </c>
      <c r="T413" s="2">
        <v>1.9612000000000001E-4</v>
      </c>
      <c r="V413" s="11"/>
      <c r="W413" s="6"/>
      <c r="X413" s="6">
        <v>3.94</v>
      </c>
      <c r="Y413" s="11" t="str">
        <f t="shared" si="84"/>
        <v/>
      </c>
      <c r="Z413" s="6" t="str">
        <f t="shared" si="85"/>
        <v/>
      </c>
      <c r="AA413" s="23">
        <f t="shared" si="86"/>
        <v>33.94</v>
      </c>
      <c r="AB413" t="str">
        <f t="shared" si="75"/>
        <v/>
      </c>
      <c r="AC413" t="str">
        <f t="shared" si="76"/>
        <v/>
      </c>
      <c r="AD413">
        <f t="shared" si="77"/>
        <v>6.4574000000000001E-4</v>
      </c>
      <c r="AE413" s="18" t="str">
        <f t="shared" si="78"/>
        <v/>
      </c>
      <c r="AF413" s="7" t="str">
        <f t="shared" si="79"/>
        <v/>
      </c>
      <c r="AG413" s="12">
        <f t="shared" si="80"/>
        <v>0.99759497525347718</v>
      </c>
      <c r="AI413" s="54" t="str">
        <f t="shared" si="81"/>
        <v/>
      </c>
      <c r="AJ413" s="54" t="str">
        <f t="shared" si="82"/>
        <v/>
      </c>
      <c r="AK413" s="54">
        <f t="shared" si="83"/>
        <v>0.20709516076000425</v>
      </c>
    </row>
    <row r="414" spans="9:37" x14ac:dyDescent="0.45">
      <c r="I414" s="2">
        <v>56</v>
      </c>
      <c r="J414" s="2">
        <v>4.7470000000000004E-3</v>
      </c>
      <c r="K414" s="2">
        <v>3.235E-3</v>
      </c>
      <c r="R414" s="2">
        <v>20.9</v>
      </c>
      <c r="S414" s="2">
        <v>5.8049999999999996E-4</v>
      </c>
      <c r="T414" s="2">
        <v>1.962E-4</v>
      </c>
      <c r="V414" s="11"/>
      <c r="W414" s="6"/>
      <c r="X414" s="6">
        <v>3.95</v>
      </c>
      <c r="Y414" s="11" t="str">
        <f t="shared" si="84"/>
        <v/>
      </c>
      <c r="Z414" s="6" t="str">
        <f t="shared" si="85"/>
        <v/>
      </c>
      <c r="AA414" s="23">
        <f t="shared" si="86"/>
        <v>33.950000000000003</v>
      </c>
      <c r="AB414" t="str">
        <f t="shared" si="75"/>
        <v/>
      </c>
      <c r="AC414" t="str">
        <f t="shared" si="76"/>
        <v/>
      </c>
      <c r="AD414">
        <f t="shared" si="77"/>
        <v>6.4594999999999995E-4</v>
      </c>
      <c r="AE414" s="18" t="str">
        <f t="shared" si="78"/>
        <v/>
      </c>
      <c r="AF414" s="7" t="str">
        <f t="shared" si="79"/>
        <v/>
      </c>
      <c r="AG414" s="12">
        <f t="shared" si="80"/>
        <v>0.99758853338368403</v>
      </c>
      <c r="AI414" s="54" t="str">
        <f t="shared" si="81"/>
        <v/>
      </c>
      <c r="AJ414" s="54" t="str">
        <f t="shared" si="82"/>
        <v/>
      </c>
      <c r="AK414" s="54">
        <f t="shared" si="83"/>
        <v>0.20766377055502785</v>
      </c>
    </row>
    <row r="415" spans="9:37" x14ac:dyDescent="0.45">
      <c r="I415" s="2">
        <v>56.1</v>
      </c>
      <c r="J415" s="2">
        <v>4.8063000000000003E-3</v>
      </c>
      <c r="K415" s="2">
        <v>3.2686999999999998E-3</v>
      </c>
      <c r="R415" s="2">
        <v>20.91</v>
      </c>
      <c r="S415" s="2">
        <v>5.8045000000000004E-4</v>
      </c>
      <c r="T415" s="2">
        <v>1.9628000000000001E-4</v>
      </c>
      <c r="V415" s="11"/>
      <c r="W415" s="6"/>
      <c r="X415" s="6">
        <v>3.96</v>
      </c>
      <c r="Y415" s="11" t="str">
        <f t="shared" si="84"/>
        <v/>
      </c>
      <c r="Z415" s="6" t="str">
        <f t="shared" si="85"/>
        <v/>
      </c>
      <c r="AA415" s="23">
        <f t="shared" si="86"/>
        <v>33.96</v>
      </c>
      <c r="AB415" t="str">
        <f t="shared" si="75"/>
        <v/>
      </c>
      <c r="AC415" t="str">
        <f t="shared" si="76"/>
        <v/>
      </c>
      <c r="AD415">
        <f t="shared" si="77"/>
        <v>6.4616000000000001E-4</v>
      </c>
      <c r="AE415" s="18" t="str">
        <f t="shared" si="78"/>
        <v/>
      </c>
      <c r="AF415" s="7" t="str">
        <f t="shared" si="79"/>
        <v/>
      </c>
      <c r="AG415" s="12">
        <f t="shared" si="80"/>
        <v>0.9975820894605526</v>
      </c>
      <c r="AI415" s="54" t="str">
        <f t="shared" si="81"/>
        <v/>
      </c>
      <c r="AJ415" s="54" t="str">
        <f t="shared" si="82"/>
        <v/>
      </c>
      <c r="AK415" s="54">
        <f t="shared" si="83"/>
        <v>0.20823260980180425</v>
      </c>
    </row>
    <row r="416" spans="9:37" x14ac:dyDescent="0.45">
      <c r="I416" s="2">
        <v>56.2</v>
      </c>
      <c r="J416" s="2">
        <v>4.8656000000000003E-3</v>
      </c>
      <c r="K416" s="2">
        <v>3.3024E-3</v>
      </c>
      <c r="R416" s="2">
        <v>20.92</v>
      </c>
      <c r="S416" s="2">
        <v>5.8040000000000001E-4</v>
      </c>
      <c r="T416" s="2">
        <v>1.9636E-4</v>
      </c>
      <c r="V416" s="11"/>
      <c r="W416" s="6"/>
      <c r="X416" s="6">
        <v>3.97</v>
      </c>
      <c r="Y416" s="11" t="str">
        <f t="shared" si="84"/>
        <v/>
      </c>
      <c r="Z416" s="6" t="str">
        <f t="shared" si="85"/>
        <v/>
      </c>
      <c r="AA416" s="23">
        <f t="shared" si="86"/>
        <v>33.97</v>
      </c>
      <c r="AB416" t="str">
        <f t="shared" si="75"/>
        <v/>
      </c>
      <c r="AC416" t="str">
        <f t="shared" si="76"/>
        <v/>
      </c>
      <c r="AD416">
        <f t="shared" si="77"/>
        <v>6.4636999999999995E-4</v>
      </c>
      <c r="AE416" s="18" t="str">
        <f t="shared" si="78"/>
        <v/>
      </c>
      <c r="AF416" s="7" t="str">
        <f t="shared" si="79"/>
        <v/>
      </c>
      <c r="AG416" s="12">
        <f t="shared" si="80"/>
        <v>0.99757564348412331</v>
      </c>
      <c r="AI416" s="54" t="str">
        <f t="shared" si="81"/>
        <v/>
      </c>
      <c r="AJ416" s="54" t="str">
        <f t="shared" si="82"/>
        <v/>
      </c>
      <c r="AK416" s="54">
        <f t="shared" si="83"/>
        <v>0.20880167859598495</v>
      </c>
    </row>
    <row r="417" spans="9:37" x14ac:dyDescent="0.45">
      <c r="I417" s="2">
        <v>56.3</v>
      </c>
      <c r="J417" s="2">
        <v>4.9249000000000003E-3</v>
      </c>
      <c r="K417" s="2">
        <v>3.3360999999999998E-3</v>
      </c>
      <c r="R417" s="2">
        <v>20.93</v>
      </c>
      <c r="S417" s="2">
        <v>5.8034999999999998E-4</v>
      </c>
      <c r="T417" s="2">
        <v>1.9644000000000001E-4</v>
      </c>
      <c r="V417" s="11"/>
      <c r="W417" s="6"/>
      <c r="X417" s="6">
        <v>3.98</v>
      </c>
      <c r="Y417" s="11" t="str">
        <f t="shared" si="84"/>
        <v/>
      </c>
      <c r="Z417" s="6" t="str">
        <f t="shared" si="85"/>
        <v/>
      </c>
      <c r="AA417" s="23">
        <f t="shared" si="86"/>
        <v>33.979999999999997</v>
      </c>
      <c r="AB417" t="str">
        <f t="shared" si="75"/>
        <v/>
      </c>
      <c r="AC417" t="str">
        <f t="shared" si="76"/>
        <v/>
      </c>
      <c r="AD417">
        <f t="shared" si="77"/>
        <v>6.4658000000000001E-4</v>
      </c>
      <c r="AE417" s="18" t="str">
        <f t="shared" si="78"/>
        <v/>
      </c>
      <c r="AF417" s="7" t="str">
        <f t="shared" si="79"/>
        <v/>
      </c>
      <c r="AG417" s="12">
        <f t="shared" si="80"/>
        <v>0.99756919545443656</v>
      </c>
      <c r="AI417" s="54" t="str">
        <f t="shared" si="81"/>
        <v/>
      </c>
      <c r="AJ417" s="54" t="str">
        <f t="shared" si="82"/>
        <v/>
      </c>
      <c r="AK417" s="54">
        <f t="shared" si="83"/>
        <v>0.20937097703326177</v>
      </c>
    </row>
    <row r="418" spans="9:37" x14ac:dyDescent="0.45">
      <c r="I418" s="2">
        <v>56.4</v>
      </c>
      <c r="J418" s="2">
        <v>4.9842000000000003E-3</v>
      </c>
      <c r="K418" s="2">
        <v>3.3698000000000001E-3</v>
      </c>
      <c r="R418" s="2">
        <v>20.94</v>
      </c>
      <c r="S418" s="2">
        <v>5.8029999999999996E-4</v>
      </c>
      <c r="T418" s="2">
        <v>1.9652E-4</v>
      </c>
      <c r="V418" s="11"/>
      <c r="W418" s="6"/>
      <c r="X418" s="6">
        <v>3.99</v>
      </c>
      <c r="Y418" s="11" t="str">
        <f t="shared" si="84"/>
        <v/>
      </c>
      <c r="Z418" s="6" t="str">
        <f t="shared" si="85"/>
        <v/>
      </c>
      <c r="AA418" s="23">
        <f t="shared" si="86"/>
        <v>33.99</v>
      </c>
      <c r="AB418" t="str">
        <f t="shared" si="75"/>
        <v/>
      </c>
      <c r="AC418" t="str">
        <f t="shared" si="76"/>
        <v/>
      </c>
      <c r="AD418">
        <f t="shared" si="77"/>
        <v>6.4678999999999995E-4</v>
      </c>
      <c r="AE418" s="18" t="str">
        <f t="shared" si="78"/>
        <v/>
      </c>
      <c r="AF418" s="7" t="str">
        <f t="shared" si="79"/>
        <v/>
      </c>
      <c r="AG418" s="12">
        <f t="shared" si="80"/>
        <v>0.99756274537153256</v>
      </c>
      <c r="AI418" s="54" t="str">
        <f t="shared" si="81"/>
        <v/>
      </c>
      <c r="AJ418" s="54" t="str">
        <f t="shared" si="82"/>
        <v/>
      </c>
      <c r="AK418" s="54">
        <f t="shared" si="83"/>
        <v>0.20994050520936686</v>
      </c>
    </row>
    <row r="419" spans="9:37" x14ac:dyDescent="0.45">
      <c r="I419" s="2">
        <v>56.5</v>
      </c>
      <c r="J419" s="2">
        <v>5.0435000000000002E-3</v>
      </c>
      <c r="K419" s="2">
        <v>3.4034999999999998E-3</v>
      </c>
      <c r="R419" s="2">
        <v>20.95</v>
      </c>
      <c r="S419" s="2">
        <v>5.8025000000000004E-4</v>
      </c>
      <c r="T419" s="2">
        <v>1.9660000000000001E-4</v>
      </c>
      <c r="V419" s="11"/>
      <c r="W419" s="6"/>
      <c r="X419" s="6">
        <v>4</v>
      </c>
      <c r="Y419" s="11" t="str">
        <f t="shared" si="84"/>
        <v/>
      </c>
      <c r="Z419" s="6" t="str">
        <f t="shared" si="85"/>
        <v/>
      </c>
      <c r="AA419" s="23">
        <f t="shared" si="86"/>
        <v>34</v>
      </c>
      <c r="AB419" t="str">
        <f t="shared" si="75"/>
        <v/>
      </c>
      <c r="AC419" t="str">
        <f t="shared" si="76"/>
        <v/>
      </c>
      <c r="AD419">
        <f t="shared" si="77"/>
        <v>6.4700000000000001E-4</v>
      </c>
      <c r="AE419" s="18" t="str">
        <f t="shared" si="78"/>
        <v/>
      </c>
      <c r="AF419" s="7" t="str">
        <f t="shared" si="79"/>
        <v/>
      </c>
      <c r="AG419" s="12">
        <f t="shared" si="80"/>
        <v>0.99755629323545181</v>
      </c>
      <c r="AI419" s="54" t="str">
        <f t="shared" si="81"/>
        <v/>
      </c>
      <c r="AJ419" s="54" t="str">
        <f t="shared" si="82"/>
        <v/>
      </c>
      <c r="AK419" s="54">
        <f t="shared" si="83"/>
        <v>0.21051026322007274</v>
      </c>
    </row>
    <row r="420" spans="9:37" x14ac:dyDescent="0.45">
      <c r="I420" s="2">
        <v>56.6</v>
      </c>
      <c r="J420" s="2">
        <v>5.1028000000000002E-3</v>
      </c>
      <c r="K420" s="2">
        <v>3.4372000000000001E-3</v>
      </c>
      <c r="R420" s="2">
        <v>20.96</v>
      </c>
      <c r="S420" s="2">
        <v>5.8020000000000001E-4</v>
      </c>
      <c r="T420" s="2">
        <v>1.9667999999999999E-4</v>
      </c>
      <c r="V420" s="11"/>
      <c r="W420" s="6"/>
      <c r="X420" s="6">
        <v>4.01</v>
      </c>
      <c r="Y420" s="11" t="str">
        <f t="shared" si="84"/>
        <v/>
      </c>
      <c r="Z420" s="6" t="str">
        <f t="shared" si="85"/>
        <v/>
      </c>
      <c r="AA420" s="23">
        <f t="shared" si="86"/>
        <v>34.01</v>
      </c>
      <c r="AB420" t="str">
        <f t="shared" si="75"/>
        <v/>
      </c>
      <c r="AC420" t="str">
        <f t="shared" si="76"/>
        <v/>
      </c>
      <c r="AD420">
        <f t="shared" si="77"/>
        <v>6.4727000000000003E-4</v>
      </c>
      <c r="AE420" s="18" t="str">
        <f t="shared" si="78"/>
        <v/>
      </c>
      <c r="AF420" s="7" t="str">
        <f t="shared" si="79"/>
        <v/>
      </c>
      <c r="AG420" s="12">
        <f t="shared" si="80"/>
        <v>0.99754983904623462</v>
      </c>
      <c r="AI420" s="54" t="str">
        <f t="shared" si="81"/>
        <v/>
      </c>
      <c r="AJ420" s="54" t="str">
        <f t="shared" si="82"/>
        <v/>
      </c>
      <c r="AK420" s="54">
        <f t="shared" si="83"/>
        <v>0.21108025116119231</v>
      </c>
    </row>
    <row r="421" spans="9:37" x14ac:dyDescent="0.45">
      <c r="I421" s="2">
        <v>56.7</v>
      </c>
      <c r="J421" s="2">
        <v>5.1621000000000002E-3</v>
      </c>
      <c r="K421" s="2">
        <v>3.4708999999999999E-3</v>
      </c>
      <c r="R421" s="2">
        <v>20.97</v>
      </c>
      <c r="S421" s="2">
        <v>5.8014999999999998E-4</v>
      </c>
      <c r="T421" s="2">
        <v>1.9676000000000001E-4</v>
      </c>
      <c r="V421" s="11"/>
      <c r="W421" s="6"/>
      <c r="X421" s="6">
        <v>4.0200000000000005</v>
      </c>
      <c r="Y421" s="11" t="str">
        <f t="shared" si="84"/>
        <v/>
      </c>
      <c r="Z421" s="6" t="str">
        <f t="shared" si="85"/>
        <v/>
      </c>
      <c r="AA421" s="23">
        <f t="shared" si="86"/>
        <v>34.020000000000003</v>
      </c>
      <c r="AB421" t="str">
        <f t="shared" si="75"/>
        <v/>
      </c>
      <c r="AC421" t="str">
        <f t="shared" si="76"/>
        <v/>
      </c>
      <c r="AD421">
        <f t="shared" si="77"/>
        <v>6.4754000000000005E-4</v>
      </c>
      <c r="AE421" s="18" t="str">
        <f t="shared" si="78"/>
        <v/>
      </c>
      <c r="AF421" s="7" t="str">
        <f t="shared" si="79"/>
        <v/>
      </c>
      <c r="AG421" s="12">
        <f t="shared" si="80"/>
        <v>0.9975433822053914</v>
      </c>
      <c r="AI421" s="54" t="str">
        <f t="shared" si="81"/>
        <v/>
      </c>
      <c r="AJ421" s="54" t="str">
        <f t="shared" si="82"/>
        <v/>
      </c>
      <c r="AK421" s="54">
        <f t="shared" si="83"/>
        <v>0.21165046865522696</v>
      </c>
    </row>
    <row r="422" spans="9:37" x14ac:dyDescent="0.45">
      <c r="I422" s="2">
        <v>56.8</v>
      </c>
      <c r="J422" s="2">
        <v>5.2214000000000002E-3</v>
      </c>
      <c r="K422" s="2">
        <v>3.5046000000000001E-3</v>
      </c>
      <c r="R422" s="2">
        <v>20.98</v>
      </c>
      <c r="S422" s="2">
        <v>5.8009999999999995E-4</v>
      </c>
      <c r="T422" s="2">
        <v>1.9683999999999999E-4</v>
      </c>
      <c r="V422" s="11"/>
      <c r="W422" s="6"/>
      <c r="X422" s="6">
        <v>4.03</v>
      </c>
      <c r="Y422" s="11" t="str">
        <f t="shared" si="84"/>
        <v/>
      </c>
      <c r="Z422" s="6" t="str">
        <f t="shared" si="85"/>
        <v/>
      </c>
      <c r="AA422" s="23">
        <f t="shared" si="86"/>
        <v>34.03</v>
      </c>
      <c r="AB422" t="str">
        <f t="shared" si="75"/>
        <v/>
      </c>
      <c r="AC422" t="str">
        <f t="shared" si="76"/>
        <v/>
      </c>
      <c r="AD422">
        <f t="shared" si="77"/>
        <v>6.4780999999999997E-4</v>
      </c>
      <c r="AE422" s="18" t="str">
        <f t="shared" si="78"/>
        <v/>
      </c>
      <c r="AF422" s="7" t="str">
        <f t="shared" si="79"/>
        <v/>
      </c>
      <c r="AG422" s="12">
        <f t="shared" si="80"/>
        <v>0.99753692271297423</v>
      </c>
      <c r="AI422" s="54" t="str">
        <f t="shared" si="81"/>
        <v/>
      </c>
      <c r="AJ422" s="54" t="str">
        <f t="shared" si="82"/>
        <v/>
      </c>
      <c r="AK422" s="54">
        <f t="shared" si="83"/>
        <v>0.21222091579856228</v>
      </c>
    </row>
    <row r="423" spans="9:37" x14ac:dyDescent="0.45">
      <c r="I423" s="2">
        <v>56.9</v>
      </c>
      <c r="J423" s="2">
        <v>5.2807000000000002E-3</v>
      </c>
      <c r="K423" s="2">
        <v>3.5382999999999999E-3</v>
      </c>
      <c r="R423" s="2">
        <v>20.99</v>
      </c>
      <c r="S423" s="2">
        <v>5.8005000000000003E-4</v>
      </c>
      <c r="T423" s="2">
        <v>1.9692000000000001E-4</v>
      </c>
      <c r="V423" s="11"/>
      <c r="W423" s="6"/>
      <c r="X423" s="6">
        <v>4.04</v>
      </c>
      <c r="Y423" s="11" t="str">
        <f t="shared" si="84"/>
        <v/>
      </c>
      <c r="Z423" s="6" t="str">
        <f t="shared" si="85"/>
        <v/>
      </c>
      <c r="AA423" s="23">
        <f t="shared" si="86"/>
        <v>34.04</v>
      </c>
      <c r="AB423" t="str">
        <f t="shared" si="75"/>
        <v/>
      </c>
      <c r="AC423" t="str">
        <f t="shared" si="76"/>
        <v/>
      </c>
      <c r="AD423">
        <f t="shared" si="77"/>
        <v>6.4807999999999999E-4</v>
      </c>
      <c r="AE423" s="18" t="str">
        <f t="shared" si="78"/>
        <v/>
      </c>
      <c r="AF423" s="7" t="str">
        <f t="shared" si="79"/>
        <v/>
      </c>
      <c r="AG423" s="12">
        <f t="shared" si="80"/>
        <v>0.99753046056903516</v>
      </c>
      <c r="AI423" s="54" t="str">
        <f t="shared" si="81"/>
        <v/>
      </c>
      <c r="AJ423" s="54" t="str">
        <f t="shared" si="82"/>
        <v/>
      </c>
      <c r="AK423" s="54">
        <f t="shared" si="83"/>
        <v>0.21279159268762485</v>
      </c>
    </row>
    <row r="424" spans="9:37" x14ac:dyDescent="0.45">
      <c r="I424" s="2">
        <v>57</v>
      </c>
      <c r="J424" s="2">
        <v>5.3400000000000001E-3</v>
      </c>
      <c r="K424" s="2">
        <v>3.5720000000000001E-3</v>
      </c>
      <c r="R424" s="2">
        <v>21</v>
      </c>
      <c r="S424" s="2">
        <v>5.8E-4</v>
      </c>
      <c r="T424" s="2">
        <v>1.9699999999999999E-4</v>
      </c>
      <c r="V424" s="11"/>
      <c r="W424" s="6"/>
      <c r="X424" s="6">
        <v>4.05</v>
      </c>
      <c r="Y424" s="11" t="str">
        <f t="shared" si="84"/>
        <v/>
      </c>
      <c r="Z424" s="6" t="str">
        <f t="shared" si="85"/>
        <v/>
      </c>
      <c r="AA424" s="23">
        <f t="shared" si="86"/>
        <v>34.049999999999997</v>
      </c>
      <c r="AB424" t="str">
        <f t="shared" si="75"/>
        <v/>
      </c>
      <c r="AC424" t="str">
        <f t="shared" si="76"/>
        <v/>
      </c>
      <c r="AD424">
        <f t="shared" si="77"/>
        <v>6.4835000000000001E-4</v>
      </c>
      <c r="AE424" s="18" t="str">
        <f t="shared" si="78"/>
        <v/>
      </c>
      <c r="AF424" s="7" t="str">
        <f t="shared" si="79"/>
        <v/>
      </c>
      <c r="AG424" s="12">
        <f t="shared" si="80"/>
        <v>0.99752399577362627</v>
      </c>
      <c r="AI424" s="54" t="str">
        <f t="shared" si="81"/>
        <v/>
      </c>
      <c r="AJ424" s="54" t="str">
        <f t="shared" si="82"/>
        <v/>
      </c>
      <c r="AK424" s="54">
        <f t="shared" si="83"/>
        <v>0.21336249941888227</v>
      </c>
    </row>
    <row r="425" spans="9:37" x14ac:dyDescent="0.45">
      <c r="I425" s="2">
        <v>57.1</v>
      </c>
      <c r="J425" s="2">
        <v>5.4064999999999998E-3</v>
      </c>
      <c r="K425" s="2">
        <v>3.6094999999999999E-3</v>
      </c>
      <c r="R425" s="2">
        <v>21.01</v>
      </c>
      <c r="S425" s="2">
        <v>5.7994000000000003E-4</v>
      </c>
      <c r="T425" s="2">
        <v>1.9709999999999999E-4</v>
      </c>
      <c r="V425" s="11"/>
      <c r="W425" s="6"/>
      <c r="X425" s="6">
        <v>4.0600000000000005</v>
      </c>
      <c r="Y425" s="11" t="str">
        <f t="shared" si="84"/>
        <v/>
      </c>
      <c r="Z425" s="6" t="str">
        <f t="shared" si="85"/>
        <v/>
      </c>
      <c r="AA425" s="23">
        <f t="shared" si="86"/>
        <v>34.06</v>
      </c>
      <c r="AB425" t="str">
        <f t="shared" si="75"/>
        <v/>
      </c>
      <c r="AC425" t="str">
        <f t="shared" si="76"/>
        <v/>
      </c>
      <c r="AD425">
        <f t="shared" si="77"/>
        <v>6.4862000000000003E-4</v>
      </c>
      <c r="AE425" s="18" t="str">
        <f t="shared" si="78"/>
        <v/>
      </c>
      <c r="AF425" s="7" t="str">
        <f t="shared" si="79"/>
        <v/>
      </c>
      <c r="AG425" s="12">
        <f t="shared" si="80"/>
        <v>0.99751752832679963</v>
      </c>
      <c r="AI425" s="54" t="str">
        <f t="shared" si="81"/>
        <v/>
      </c>
      <c r="AJ425" s="54" t="str">
        <f t="shared" si="82"/>
        <v/>
      </c>
      <c r="AK425" s="54">
        <f t="shared" si="83"/>
        <v>0.2139336360888433</v>
      </c>
    </row>
    <row r="426" spans="9:37" x14ac:dyDescent="0.45">
      <c r="I426" s="2">
        <v>57.2</v>
      </c>
      <c r="J426" s="2">
        <v>5.4730000000000004E-3</v>
      </c>
      <c r="K426" s="2">
        <v>3.6470000000000001E-3</v>
      </c>
      <c r="R426" s="2">
        <v>21.02</v>
      </c>
      <c r="S426" s="2">
        <v>5.7987999999999996E-4</v>
      </c>
      <c r="T426" s="2">
        <v>1.972E-4</v>
      </c>
      <c r="V426" s="11"/>
      <c r="W426" s="6"/>
      <c r="X426" s="6">
        <v>4.07</v>
      </c>
      <c r="Y426" s="11" t="str">
        <f t="shared" si="84"/>
        <v/>
      </c>
      <c r="Z426" s="6" t="str">
        <f t="shared" si="85"/>
        <v/>
      </c>
      <c r="AA426" s="23">
        <f t="shared" si="86"/>
        <v>34.07</v>
      </c>
      <c r="AB426" t="str">
        <f t="shared" si="75"/>
        <v/>
      </c>
      <c r="AC426" t="str">
        <f t="shared" si="76"/>
        <v/>
      </c>
      <c r="AD426">
        <f t="shared" si="77"/>
        <v>6.4888999999999995E-4</v>
      </c>
      <c r="AE426" s="18" t="str">
        <f t="shared" si="78"/>
        <v/>
      </c>
      <c r="AF426" s="7" t="str">
        <f t="shared" si="79"/>
        <v/>
      </c>
      <c r="AG426" s="12">
        <f t="shared" si="80"/>
        <v>0.99751105822860742</v>
      </c>
      <c r="AI426" s="54" t="str">
        <f t="shared" si="81"/>
        <v/>
      </c>
      <c r="AJ426" s="54" t="str">
        <f t="shared" si="82"/>
        <v/>
      </c>
      <c r="AK426" s="54">
        <f t="shared" si="83"/>
        <v>0.21450500279405774</v>
      </c>
    </row>
    <row r="427" spans="9:37" x14ac:dyDescent="0.45">
      <c r="I427" s="2">
        <v>57.3</v>
      </c>
      <c r="J427" s="2">
        <v>5.5395000000000002E-3</v>
      </c>
      <c r="K427" s="2">
        <v>3.6844999999999998E-3</v>
      </c>
      <c r="R427" s="2">
        <v>21.03</v>
      </c>
      <c r="S427" s="2">
        <v>5.7981999999999999E-4</v>
      </c>
      <c r="T427" s="2">
        <v>1.973E-4</v>
      </c>
      <c r="V427" s="11"/>
      <c r="W427" s="6"/>
      <c r="X427" s="6">
        <v>4.08</v>
      </c>
      <c r="Y427" s="11" t="str">
        <f t="shared" si="84"/>
        <v/>
      </c>
      <c r="Z427" s="6" t="str">
        <f t="shared" si="85"/>
        <v/>
      </c>
      <c r="AA427" s="23">
        <f t="shared" si="86"/>
        <v>34.08</v>
      </c>
      <c r="AB427" t="str">
        <f t="shared" si="75"/>
        <v/>
      </c>
      <c r="AC427" t="str">
        <f t="shared" si="76"/>
        <v/>
      </c>
      <c r="AD427">
        <f t="shared" si="77"/>
        <v>6.4915999999999997E-4</v>
      </c>
      <c r="AE427" s="18" t="str">
        <f t="shared" si="78"/>
        <v/>
      </c>
      <c r="AF427" s="7" t="str">
        <f t="shared" si="79"/>
        <v/>
      </c>
      <c r="AG427" s="12">
        <f t="shared" si="80"/>
        <v>0.9975045854791017</v>
      </c>
      <c r="AI427" s="54" t="str">
        <f t="shared" si="81"/>
        <v/>
      </c>
      <c r="AJ427" s="54" t="str">
        <f t="shared" si="82"/>
        <v/>
      </c>
      <c r="AK427" s="54">
        <f t="shared" si="83"/>
        <v>0.21507659963111647</v>
      </c>
    </row>
    <row r="428" spans="9:37" x14ac:dyDescent="0.45">
      <c r="I428" s="2">
        <v>57.4</v>
      </c>
      <c r="J428" s="2">
        <v>5.6059999999999999E-3</v>
      </c>
      <c r="K428" s="2">
        <v>3.722E-3</v>
      </c>
      <c r="R428" s="2">
        <v>21.04</v>
      </c>
      <c r="S428" s="2">
        <v>5.7976000000000002E-4</v>
      </c>
      <c r="T428" s="2">
        <v>1.974E-4</v>
      </c>
      <c r="V428" s="11"/>
      <c r="W428" s="6"/>
      <c r="X428" s="6">
        <v>4.09</v>
      </c>
      <c r="Y428" s="11" t="str">
        <f t="shared" si="84"/>
        <v/>
      </c>
      <c r="Z428" s="6" t="str">
        <f t="shared" si="85"/>
        <v/>
      </c>
      <c r="AA428" s="23">
        <f t="shared" si="86"/>
        <v>34.090000000000003</v>
      </c>
      <c r="AB428" t="str">
        <f t="shared" si="75"/>
        <v/>
      </c>
      <c r="AC428" t="str">
        <f t="shared" si="76"/>
        <v/>
      </c>
      <c r="AD428">
        <f t="shared" si="77"/>
        <v>6.4942999999999999E-4</v>
      </c>
      <c r="AE428" s="18" t="str">
        <f t="shared" si="78"/>
        <v/>
      </c>
      <c r="AF428" s="7" t="str">
        <f t="shared" si="79"/>
        <v/>
      </c>
      <c r="AG428" s="12">
        <f t="shared" si="80"/>
        <v>0.99749811007833455</v>
      </c>
      <c r="AI428" s="54" t="str">
        <f t="shared" si="81"/>
        <v/>
      </c>
      <c r="AJ428" s="54" t="str">
        <f t="shared" si="82"/>
        <v/>
      </c>
      <c r="AK428" s="54">
        <f t="shared" si="83"/>
        <v>0.21564842669665157</v>
      </c>
    </row>
    <row r="429" spans="9:37" x14ac:dyDescent="0.45">
      <c r="I429" s="2">
        <v>57.5</v>
      </c>
      <c r="J429" s="2">
        <v>5.6724999999999996E-3</v>
      </c>
      <c r="K429" s="2">
        <v>3.7594999999999998E-3</v>
      </c>
      <c r="R429" s="2">
        <v>21.05</v>
      </c>
      <c r="S429" s="2">
        <v>5.7970000000000005E-4</v>
      </c>
      <c r="T429" s="2">
        <v>1.975E-4</v>
      </c>
      <c r="V429" s="11"/>
      <c r="W429" s="6"/>
      <c r="X429" s="6">
        <v>4.0999999999999996</v>
      </c>
      <c r="Y429" s="11" t="str">
        <f t="shared" si="84"/>
        <v/>
      </c>
      <c r="Z429" s="6" t="str">
        <f t="shared" si="85"/>
        <v/>
      </c>
      <c r="AA429" s="23">
        <f t="shared" si="86"/>
        <v>34.1</v>
      </c>
      <c r="AB429" t="str">
        <f t="shared" si="75"/>
        <v/>
      </c>
      <c r="AC429" t="str">
        <f t="shared" si="76"/>
        <v/>
      </c>
      <c r="AD429">
        <f t="shared" si="77"/>
        <v>6.4970000000000002E-4</v>
      </c>
      <c r="AE429" s="18" t="str">
        <f t="shared" si="78"/>
        <v/>
      </c>
      <c r="AF429" s="7" t="str">
        <f t="shared" si="79"/>
        <v/>
      </c>
      <c r="AG429" s="12">
        <f t="shared" si="80"/>
        <v>0.99749163202635827</v>
      </c>
      <c r="AI429" s="54" t="str">
        <f t="shared" si="81"/>
        <v/>
      </c>
      <c r="AJ429" s="54" t="str">
        <f t="shared" si="82"/>
        <v/>
      </c>
      <c r="AK429" s="54">
        <f t="shared" si="83"/>
        <v>0.21622048408733621</v>
      </c>
    </row>
    <row r="430" spans="9:37" x14ac:dyDescent="0.45">
      <c r="I430" s="2">
        <v>57.6</v>
      </c>
      <c r="J430" s="2">
        <v>5.7390000000000002E-3</v>
      </c>
      <c r="K430" s="2">
        <v>3.797E-3</v>
      </c>
      <c r="R430" s="2">
        <v>21.06</v>
      </c>
      <c r="S430" s="2">
        <v>5.7963999999999997E-4</v>
      </c>
      <c r="T430" s="2">
        <v>1.9760000000000001E-4</v>
      </c>
      <c r="V430" s="11"/>
      <c r="W430" s="6"/>
      <c r="X430" s="6">
        <v>4.1100000000000003</v>
      </c>
      <c r="Y430" s="11" t="str">
        <f t="shared" si="84"/>
        <v/>
      </c>
      <c r="Z430" s="6" t="str">
        <f t="shared" si="85"/>
        <v/>
      </c>
      <c r="AA430" s="23">
        <f t="shared" si="86"/>
        <v>34.11</v>
      </c>
      <c r="AB430" t="str">
        <f t="shared" si="75"/>
        <v/>
      </c>
      <c r="AC430" t="str">
        <f t="shared" si="76"/>
        <v/>
      </c>
      <c r="AD430">
        <f t="shared" si="77"/>
        <v>6.4997000000000004E-4</v>
      </c>
      <c r="AE430" s="18" t="str">
        <f t="shared" si="78"/>
        <v/>
      </c>
      <c r="AF430" s="7" t="str">
        <f t="shared" si="79"/>
        <v/>
      </c>
      <c r="AG430" s="12">
        <f t="shared" si="80"/>
        <v>0.99748515132322502</v>
      </c>
      <c r="AI430" s="54" t="str">
        <f t="shared" si="81"/>
        <v/>
      </c>
      <c r="AJ430" s="54" t="str">
        <f t="shared" si="82"/>
        <v/>
      </c>
      <c r="AK430" s="54">
        <f t="shared" si="83"/>
        <v>0.21679277189988475</v>
      </c>
    </row>
    <row r="431" spans="9:37" x14ac:dyDescent="0.45">
      <c r="I431" s="2">
        <v>57.7</v>
      </c>
      <c r="J431" s="2">
        <v>5.8054999999999999E-3</v>
      </c>
      <c r="K431" s="2">
        <v>3.8344999999999998E-3</v>
      </c>
      <c r="R431" s="2">
        <v>21.07</v>
      </c>
      <c r="S431" s="2">
        <v>5.7958E-4</v>
      </c>
      <c r="T431" s="2">
        <v>1.9770000000000001E-4</v>
      </c>
      <c r="V431" s="11"/>
      <c r="W431" s="6"/>
      <c r="X431" s="6">
        <v>4.12</v>
      </c>
      <c r="Y431" s="11" t="str">
        <f t="shared" si="84"/>
        <v/>
      </c>
      <c r="Z431" s="6" t="str">
        <f t="shared" si="85"/>
        <v/>
      </c>
      <c r="AA431" s="23">
        <f t="shared" si="86"/>
        <v>34.119999999999997</v>
      </c>
      <c r="AB431" t="str">
        <f t="shared" si="75"/>
        <v/>
      </c>
      <c r="AC431" t="str">
        <f t="shared" si="76"/>
        <v/>
      </c>
      <c r="AD431">
        <f t="shared" si="77"/>
        <v>6.5023999999999995E-4</v>
      </c>
      <c r="AE431" s="18" t="str">
        <f t="shared" si="78"/>
        <v/>
      </c>
      <c r="AF431" s="7" t="str">
        <f t="shared" si="79"/>
        <v/>
      </c>
      <c r="AG431" s="12">
        <f t="shared" si="80"/>
        <v>0.99747866796898699</v>
      </c>
      <c r="AI431" s="54" t="str">
        <f t="shared" si="81"/>
        <v/>
      </c>
      <c r="AJ431" s="54" t="str">
        <f t="shared" si="82"/>
        <v/>
      </c>
      <c r="AK431" s="54">
        <f t="shared" si="83"/>
        <v>0.21736529023105272</v>
      </c>
    </row>
    <row r="432" spans="9:37" x14ac:dyDescent="0.45">
      <c r="I432" s="2">
        <v>57.8</v>
      </c>
      <c r="J432" s="2">
        <v>5.8719999999999996E-3</v>
      </c>
      <c r="K432" s="2">
        <v>3.872E-3</v>
      </c>
      <c r="R432" s="2">
        <v>21.08</v>
      </c>
      <c r="S432" s="2">
        <v>5.7952000000000004E-4</v>
      </c>
      <c r="T432" s="2">
        <v>1.9780000000000001E-4</v>
      </c>
      <c r="V432" s="11"/>
      <c r="W432" s="6"/>
      <c r="X432" s="6">
        <v>4.13</v>
      </c>
      <c r="Y432" s="11" t="str">
        <f t="shared" si="84"/>
        <v/>
      </c>
      <c r="Z432" s="6" t="str">
        <f t="shared" si="85"/>
        <v/>
      </c>
      <c r="AA432" s="23">
        <f t="shared" si="86"/>
        <v>34.130000000000003</v>
      </c>
      <c r="AB432" t="str">
        <f t="shared" si="75"/>
        <v/>
      </c>
      <c r="AC432" t="str">
        <f t="shared" si="76"/>
        <v/>
      </c>
      <c r="AD432">
        <f t="shared" si="77"/>
        <v>6.5050999999999998E-4</v>
      </c>
      <c r="AE432" s="18" t="str">
        <f t="shared" si="78"/>
        <v/>
      </c>
      <c r="AF432" s="7" t="str">
        <f t="shared" si="79"/>
        <v/>
      </c>
      <c r="AG432" s="12">
        <f t="shared" si="80"/>
        <v>0.99747218196369636</v>
      </c>
      <c r="AI432" s="54" t="str">
        <f t="shared" si="81"/>
        <v/>
      </c>
      <c r="AJ432" s="54" t="str">
        <f t="shared" si="82"/>
        <v/>
      </c>
      <c r="AK432" s="54">
        <f t="shared" si="83"/>
        <v>0.21793803917763682</v>
      </c>
    </row>
    <row r="433" spans="9:37" x14ac:dyDescent="0.45">
      <c r="I433" s="2">
        <v>57.9</v>
      </c>
      <c r="J433" s="2">
        <v>5.9385000000000002E-3</v>
      </c>
      <c r="K433" s="2">
        <v>3.9094999999999998E-3</v>
      </c>
      <c r="R433" s="2">
        <v>21.09</v>
      </c>
      <c r="S433" s="2">
        <v>5.7945999999999996E-4</v>
      </c>
      <c r="T433" s="2">
        <v>1.9790000000000001E-4</v>
      </c>
      <c r="V433" s="11"/>
      <c r="W433" s="6"/>
      <c r="X433" s="6">
        <v>4.1399999999999997</v>
      </c>
      <c r="Y433" s="11" t="str">
        <f t="shared" si="84"/>
        <v/>
      </c>
      <c r="Z433" s="6" t="str">
        <f t="shared" si="85"/>
        <v/>
      </c>
      <c r="AA433" s="23">
        <f t="shared" si="86"/>
        <v>34.14</v>
      </c>
      <c r="AB433" t="str">
        <f t="shared" si="75"/>
        <v/>
      </c>
      <c r="AC433" t="str">
        <f t="shared" si="76"/>
        <v/>
      </c>
      <c r="AD433">
        <f t="shared" si="77"/>
        <v>6.5078E-4</v>
      </c>
      <c r="AE433" s="18" t="str">
        <f t="shared" si="78"/>
        <v/>
      </c>
      <c r="AF433" s="7" t="str">
        <f t="shared" si="79"/>
        <v/>
      </c>
      <c r="AG433" s="12">
        <f t="shared" si="80"/>
        <v>0.99746569330740542</v>
      </c>
      <c r="AI433" s="54" t="str">
        <f t="shared" si="81"/>
        <v/>
      </c>
      <c r="AJ433" s="54" t="str">
        <f t="shared" si="82"/>
        <v/>
      </c>
      <c r="AK433" s="54">
        <f t="shared" si="83"/>
        <v>0.21851101883647503</v>
      </c>
    </row>
    <row r="434" spans="9:37" x14ac:dyDescent="0.45">
      <c r="I434" s="2">
        <v>58</v>
      </c>
      <c r="J434" s="2">
        <v>6.0049999999999999E-3</v>
      </c>
      <c r="K434" s="2">
        <v>3.947E-3</v>
      </c>
      <c r="R434" s="2">
        <v>21.1</v>
      </c>
      <c r="S434" s="2">
        <v>5.7939999999999999E-4</v>
      </c>
      <c r="T434" s="2">
        <v>1.9799999999999999E-4</v>
      </c>
      <c r="V434" s="11"/>
      <c r="W434" s="6"/>
      <c r="X434" s="6">
        <v>4.1500000000000004</v>
      </c>
      <c r="Y434" s="11" t="str">
        <f t="shared" si="84"/>
        <v/>
      </c>
      <c r="Z434" s="6" t="str">
        <f t="shared" si="85"/>
        <v/>
      </c>
      <c r="AA434" s="23">
        <f t="shared" si="86"/>
        <v>34.15</v>
      </c>
      <c r="AB434" t="str">
        <f t="shared" si="75"/>
        <v/>
      </c>
      <c r="AC434" t="str">
        <f t="shared" si="76"/>
        <v/>
      </c>
      <c r="AD434">
        <f t="shared" si="77"/>
        <v>6.5105000000000002E-4</v>
      </c>
      <c r="AE434" s="18" t="str">
        <f t="shared" si="78"/>
        <v/>
      </c>
      <c r="AF434" s="7" t="str">
        <f t="shared" si="79"/>
        <v/>
      </c>
      <c r="AG434" s="12">
        <f t="shared" si="80"/>
        <v>0.99745920200016647</v>
      </c>
      <c r="AI434" s="54" t="str">
        <f t="shared" si="81"/>
        <v/>
      </c>
      <c r="AJ434" s="54" t="str">
        <f t="shared" si="82"/>
        <v/>
      </c>
      <c r="AK434" s="54">
        <f t="shared" si="83"/>
        <v>0.21908422930444649</v>
      </c>
    </row>
    <row r="435" spans="9:37" x14ac:dyDescent="0.45">
      <c r="I435" s="2">
        <v>58.1</v>
      </c>
      <c r="J435" s="2">
        <v>6.0799000000000001E-3</v>
      </c>
      <c r="K435" s="2">
        <v>3.9884999999999999E-3</v>
      </c>
      <c r="R435" s="2">
        <v>21.11</v>
      </c>
      <c r="S435" s="2">
        <v>5.7934000000000002E-4</v>
      </c>
      <c r="T435" s="2">
        <v>1.9809999999999999E-4</v>
      </c>
      <c r="V435" s="11"/>
      <c r="W435" s="6"/>
      <c r="X435" s="6">
        <v>4.16</v>
      </c>
      <c r="Y435" s="11" t="str">
        <f t="shared" si="84"/>
        <v/>
      </c>
      <c r="Z435" s="6" t="str">
        <f t="shared" si="85"/>
        <v/>
      </c>
      <c r="AA435" s="23">
        <f t="shared" si="86"/>
        <v>34.159999999999997</v>
      </c>
      <c r="AB435" t="str">
        <f t="shared" si="75"/>
        <v/>
      </c>
      <c r="AC435" t="str">
        <f t="shared" si="76"/>
        <v/>
      </c>
      <c r="AD435">
        <f t="shared" si="77"/>
        <v>6.5132000000000005E-4</v>
      </c>
      <c r="AE435" s="18" t="str">
        <f t="shared" si="78"/>
        <v/>
      </c>
      <c r="AF435" s="7" t="str">
        <f t="shared" si="79"/>
        <v/>
      </c>
      <c r="AG435" s="12">
        <f t="shared" si="80"/>
        <v>0.9974527080420319</v>
      </c>
      <c r="AI435" s="54" t="str">
        <f t="shared" si="81"/>
        <v/>
      </c>
      <c r="AJ435" s="54" t="str">
        <f t="shared" si="82"/>
        <v/>
      </c>
      <c r="AK435" s="54">
        <f t="shared" si="83"/>
        <v>0.21965767067847164</v>
      </c>
    </row>
    <row r="436" spans="9:37" x14ac:dyDescent="0.45">
      <c r="I436" s="2">
        <v>58.2</v>
      </c>
      <c r="J436" s="2">
        <v>6.1548000000000002E-3</v>
      </c>
      <c r="K436" s="2">
        <v>4.0299999999999997E-3</v>
      </c>
      <c r="R436" s="2">
        <v>21.12</v>
      </c>
      <c r="S436" s="2">
        <v>5.7928000000000005E-4</v>
      </c>
      <c r="T436" s="2">
        <v>1.9819999999999999E-4</v>
      </c>
      <c r="V436" s="11"/>
      <c r="W436" s="6"/>
      <c r="X436" s="6">
        <v>4.17</v>
      </c>
      <c r="Y436" s="11" t="str">
        <f t="shared" si="84"/>
        <v/>
      </c>
      <c r="Z436" s="6" t="str">
        <f t="shared" si="85"/>
        <v/>
      </c>
      <c r="AA436" s="23">
        <f t="shared" si="86"/>
        <v>34.17</v>
      </c>
      <c r="AB436" t="str">
        <f t="shared" si="75"/>
        <v/>
      </c>
      <c r="AC436" t="str">
        <f t="shared" si="76"/>
        <v/>
      </c>
      <c r="AD436">
        <f t="shared" si="77"/>
        <v>6.5158999999999996E-4</v>
      </c>
      <c r="AE436" s="18" t="str">
        <f t="shared" si="78"/>
        <v/>
      </c>
      <c r="AF436" s="7" t="str">
        <f t="shared" si="79"/>
        <v/>
      </c>
      <c r="AG436" s="12">
        <f t="shared" si="80"/>
        <v>0.9974462114330539</v>
      </c>
      <c r="AI436" s="54" t="str">
        <f t="shared" si="81"/>
        <v/>
      </c>
      <c r="AJ436" s="54" t="str">
        <f t="shared" si="82"/>
        <v/>
      </c>
      <c r="AK436" s="54">
        <f t="shared" si="83"/>
        <v>0.22023134305551217</v>
      </c>
    </row>
    <row r="437" spans="9:37" x14ac:dyDescent="0.45">
      <c r="I437" s="2">
        <v>58.3</v>
      </c>
      <c r="J437" s="2">
        <v>6.2297000000000003E-3</v>
      </c>
      <c r="K437" s="2">
        <v>4.0714999999999996E-3</v>
      </c>
      <c r="R437" s="2">
        <v>21.13</v>
      </c>
      <c r="S437" s="2">
        <v>5.7921999999999997E-4</v>
      </c>
      <c r="T437" s="2">
        <v>1.983E-4</v>
      </c>
      <c r="V437" s="11"/>
      <c r="W437" s="6"/>
      <c r="X437" s="6">
        <v>4.18</v>
      </c>
      <c r="Y437" s="11" t="str">
        <f t="shared" si="84"/>
        <v/>
      </c>
      <c r="Z437" s="6" t="str">
        <f t="shared" si="85"/>
        <v/>
      </c>
      <c r="AA437" s="23">
        <f t="shared" si="86"/>
        <v>34.18</v>
      </c>
      <c r="AB437" t="str">
        <f t="shared" si="75"/>
        <v/>
      </c>
      <c r="AC437" t="str">
        <f t="shared" si="76"/>
        <v/>
      </c>
      <c r="AD437">
        <f t="shared" si="77"/>
        <v>6.5185999999999998E-4</v>
      </c>
      <c r="AE437" s="18" t="str">
        <f t="shared" si="78"/>
        <v/>
      </c>
      <c r="AF437" s="7" t="str">
        <f t="shared" si="79"/>
        <v/>
      </c>
      <c r="AG437" s="12">
        <f t="shared" si="80"/>
        <v>0.99743971217328486</v>
      </c>
      <c r="AI437" s="54" t="str">
        <f t="shared" si="81"/>
        <v/>
      </c>
      <c r="AJ437" s="54" t="str">
        <f t="shared" si="82"/>
        <v/>
      </c>
      <c r="AK437" s="54">
        <f t="shared" si="83"/>
        <v>0.22080524653257108</v>
      </c>
    </row>
    <row r="438" spans="9:37" x14ac:dyDescent="0.45">
      <c r="I438" s="2">
        <v>58.4</v>
      </c>
      <c r="J438" s="2">
        <v>6.3045999999999996E-3</v>
      </c>
      <c r="K438" s="2">
        <v>4.1130000000000003E-3</v>
      </c>
      <c r="R438" s="2">
        <v>21.14</v>
      </c>
      <c r="S438" s="2">
        <v>5.7916E-4</v>
      </c>
      <c r="T438" s="2">
        <v>1.984E-4</v>
      </c>
      <c r="V438" s="11"/>
      <c r="W438" s="6"/>
      <c r="X438" s="6">
        <v>4.1900000000000004</v>
      </c>
      <c r="Y438" s="11" t="str">
        <f t="shared" si="84"/>
        <v/>
      </c>
      <c r="Z438" s="6" t="str">
        <f t="shared" si="85"/>
        <v/>
      </c>
      <c r="AA438" s="23">
        <f t="shared" si="86"/>
        <v>34.19</v>
      </c>
      <c r="AB438" t="str">
        <f t="shared" si="75"/>
        <v/>
      </c>
      <c r="AC438" t="str">
        <f t="shared" si="76"/>
        <v/>
      </c>
      <c r="AD438">
        <f t="shared" si="77"/>
        <v>6.5213000000000001E-4</v>
      </c>
      <c r="AE438" s="18" t="str">
        <f t="shared" si="78"/>
        <v/>
      </c>
      <c r="AF438" s="7" t="str">
        <f t="shared" si="79"/>
        <v/>
      </c>
      <c r="AG438" s="12">
        <f t="shared" si="80"/>
        <v>0.99743321026277709</v>
      </c>
      <c r="AI438" s="54" t="str">
        <f t="shared" si="81"/>
        <v/>
      </c>
      <c r="AJ438" s="54" t="str">
        <f t="shared" si="82"/>
        <v/>
      </c>
      <c r="AK438" s="54">
        <f t="shared" si="83"/>
        <v>0.22137938120669265</v>
      </c>
    </row>
    <row r="439" spans="9:37" x14ac:dyDescent="0.45">
      <c r="I439" s="2">
        <v>58.5</v>
      </c>
      <c r="J439" s="2">
        <v>6.3794999999999998E-3</v>
      </c>
      <c r="K439" s="2">
        <v>4.1545000000000002E-3</v>
      </c>
      <c r="R439" s="2">
        <v>21.15</v>
      </c>
      <c r="S439" s="2">
        <v>5.7910000000000004E-4</v>
      </c>
      <c r="T439" s="2">
        <v>1.985E-4</v>
      </c>
      <c r="V439" s="11"/>
      <c r="W439" s="6"/>
      <c r="X439" s="6">
        <v>4.2</v>
      </c>
      <c r="Y439" s="11" t="str">
        <f t="shared" si="84"/>
        <v/>
      </c>
      <c r="Z439" s="6" t="str">
        <f t="shared" si="85"/>
        <v/>
      </c>
      <c r="AA439" s="23">
        <f t="shared" si="86"/>
        <v>34.200000000000003</v>
      </c>
      <c r="AB439" t="str">
        <f t="shared" si="75"/>
        <v/>
      </c>
      <c r="AC439" t="str">
        <f t="shared" si="76"/>
        <v/>
      </c>
      <c r="AD439">
        <f t="shared" si="77"/>
        <v>6.5240000000000003E-4</v>
      </c>
      <c r="AE439" s="18" t="str">
        <f t="shared" si="78"/>
        <v/>
      </c>
      <c r="AF439" s="7" t="str">
        <f t="shared" si="79"/>
        <v/>
      </c>
      <c r="AG439" s="12">
        <f t="shared" si="80"/>
        <v>0.99742670570158298</v>
      </c>
      <c r="AI439" s="54" t="str">
        <f t="shared" si="81"/>
        <v/>
      </c>
      <c r="AJ439" s="54" t="str">
        <f t="shared" si="82"/>
        <v/>
      </c>
      <c r="AK439" s="54">
        <f t="shared" si="83"/>
        <v>0.2219537471749625</v>
      </c>
    </row>
    <row r="440" spans="9:37" x14ac:dyDescent="0.45">
      <c r="I440" s="2">
        <v>58.6</v>
      </c>
      <c r="J440" s="2">
        <v>6.4543999999999999E-3</v>
      </c>
      <c r="K440" s="2">
        <v>4.1960000000000001E-3</v>
      </c>
      <c r="R440" s="2">
        <v>21.16</v>
      </c>
      <c r="S440" s="2">
        <v>5.7903999999999996E-4</v>
      </c>
      <c r="T440" s="2">
        <v>1.986E-4</v>
      </c>
      <c r="V440" s="11"/>
      <c r="W440" s="6"/>
      <c r="X440" s="6">
        <v>4.21</v>
      </c>
      <c r="Y440" s="11" t="str">
        <f t="shared" si="84"/>
        <v/>
      </c>
      <c r="Z440" s="6" t="str">
        <f t="shared" si="85"/>
        <v/>
      </c>
      <c r="AA440" s="23">
        <f t="shared" si="86"/>
        <v>34.21</v>
      </c>
      <c r="AB440" t="str">
        <f t="shared" si="75"/>
        <v/>
      </c>
      <c r="AC440" t="str">
        <f t="shared" si="76"/>
        <v/>
      </c>
      <c r="AD440">
        <f t="shared" si="77"/>
        <v>6.5267000000000005E-4</v>
      </c>
      <c r="AE440" s="18" t="str">
        <f t="shared" si="78"/>
        <v/>
      </c>
      <c r="AF440" s="7" t="str">
        <f t="shared" si="79"/>
        <v/>
      </c>
      <c r="AG440" s="12">
        <f t="shared" si="80"/>
        <v>0.99742019848975494</v>
      </c>
      <c r="AI440" s="54" t="str">
        <f t="shared" si="81"/>
        <v/>
      </c>
      <c r="AJ440" s="54" t="str">
        <f t="shared" si="82"/>
        <v/>
      </c>
      <c r="AK440" s="54">
        <f t="shared" si="83"/>
        <v>0.22252834453450754</v>
      </c>
    </row>
    <row r="441" spans="9:37" x14ac:dyDescent="0.45">
      <c r="I441" s="2">
        <v>58.7</v>
      </c>
      <c r="J441" s="2">
        <v>6.5293E-3</v>
      </c>
      <c r="K441" s="2">
        <v>4.2374999999999999E-3</v>
      </c>
      <c r="R441" s="2">
        <v>21.17</v>
      </c>
      <c r="S441" s="2">
        <v>5.7897999999999999E-4</v>
      </c>
      <c r="T441" s="2">
        <v>1.9870000000000001E-4</v>
      </c>
      <c r="V441" s="11"/>
      <c r="W441" s="6"/>
      <c r="X441" s="6">
        <v>4.22</v>
      </c>
      <c r="Y441" s="11" t="str">
        <f t="shared" si="84"/>
        <v/>
      </c>
      <c r="Z441" s="6" t="str">
        <f t="shared" si="85"/>
        <v/>
      </c>
      <c r="AA441" s="23">
        <f t="shared" si="86"/>
        <v>34.22</v>
      </c>
      <c r="AB441" t="str">
        <f t="shared" si="75"/>
        <v/>
      </c>
      <c r="AC441" t="str">
        <f t="shared" si="76"/>
        <v/>
      </c>
      <c r="AD441">
        <f t="shared" si="77"/>
        <v>6.5293999999999997E-4</v>
      </c>
      <c r="AE441" s="18" t="str">
        <f t="shared" si="78"/>
        <v/>
      </c>
      <c r="AF441" s="7" t="str">
        <f t="shared" si="79"/>
        <v/>
      </c>
      <c r="AG441" s="12">
        <f t="shared" si="80"/>
        <v>0.99741368862734547</v>
      </c>
      <c r="AI441" s="54" t="str">
        <f t="shared" si="81"/>
        <v/>
      </c>
      <c r="AJ441" s="54" t="str">
        <f t="shared" si="82"/>
        <v/>
      </c>
      <c r="AK441" s="54">
        <f t="shared" si="83"/>
        <v>0.22310317338249611</v>
      </c>
    </row>
    <row r="442" spans="9:37" x14ac:dyDescent="0.45">
      <c r="I442" s="2">
        <v>58.8</v>
      </c>
      <c r="J442" s="2">
        <v>6.6042000000000002E-3</v>
      </c>
      <c r="K442" s="2">
        <v>4.2789999999999998E-3</v>
      </c>
      <c r="R442" s="2">
        <v>21.18</v>
      </c>
      <c r="S442" s="2">
        <v>5.7892000000000002E-4</v>
      </c>
      <c r="T442" s="2">
        <v>1.9880000000000001E-4</v>
      </c>
      <c r="V442" s="11"/>
      <c r="W442" s="6"/>
      <c r="X442" s="6">
        <v>4.2300000000000004</v>
      </c>
      <c r="Y442" s="11" t="str">
        <f t="shared" si="84"/>
        <v/>
      </c>
      <c r="Z442" s="6" t="str">
        <f t="shared" si="85"/>
        <v/>
      </c>
      <c r="AA442" s="23">
        <f t="shared" si="86"/>
        <v>34.230000000000004</v>
      </c>
      <c r="AB442" t="str">
        <f t="shared" si="75"/>
        <v/>
      </c>
      <c r="AC442" t="str">
        <f t="shared" si="76"/>
        <v/>
      </c>
      <c r="AD442">
        <f t="shared" si="77"/>
        <v>6.5320999999999999E-4</v>
      </c>
      <c r="AE442" s="18" t="str">
        <f t="shared" si="78"/>
        <v/>
      </c>
      <c r="AF442" s="7" t="str">
        <f t="shared" si="79"/>
        <v/>
      </c>
      <c r="AG442" s="12">
        <f t="shared" si="80"/>
        <v>0.99740717611440699</v>
      </c>
      <c r="AI442" s="54" t="str">
        <f t="shared" si="81"/>
        <v/>
      </c>
      <c r="AJ442" s="54" t="str">
        <f t="shared" si="82"/>
        <v/>
      </c>
      <c r="AK442" s="54">
        <f t="shared" si="83"/>
        <v>0.22367823381613788</v>
      </c>
    </row>
    <row r="443" spans="9:37" x14ac:dyDescent="0.45">
      <c r="I443" s="2">
        <v>58.9</v>
      </c>
      <c r="J443" s="2">
        <v>6.6791000000000003E-3</v>
      </c>
      <c r="K443" s="2">
        <v>4.3204999999999997E-3</v>
      </c>
      <c r="R443" s="2">
        <v>21.19</v>
      </c>
      <c r="S443" s="2">
        <v>5.7886000000000005E-4</v>
      </c>
      <c r="T443" s="2">
        <v>1.9890000000000001E-4</v>
      </c>
      <c r="V443" s="11"/>
      <c r="W443" s="6"/>
      <c r="X443" s="6">
        <v>4.24</v>
      </c>
      <c r="Y443" s="11" t="str">
        <f t="shared" si="84"/>
        <v/>
      </c>
      <c r="Z443" s="6" t="str">
        <f t="shared" si="85"/>
        <v/>
      </c>
      <c r="AA443" s="23">
        <f t="shared" si="86"/>
        <v>34.24</v>
      </c>
      <c r="AB443" t="str">
        <f t="shared" si="75"/>
        <v/>
      </c>
      <c r="AC443" t="str">
        <f t="shared" si="76"/>
        <v/>
      </c>
      <c r="AD443">
        <f t="shared" si="77"/>
        <v>6.5348000000000001E-4</v>
      </c>
      <c r="AE443" s="18" t="str">
        <f t="shared" si="78"/>
        <v/>
      </c>
      <c r="AF443" s="7" t="str">
        <f t="shared" si="79"/>
        <v/>
      </c>
      <c r="AG443" s="12">
        <f t="shared" si="80"/>
        <v>0.99740066095099189</v>
      </c>
      <c r="AI443" s="54" t="str">
        <f t="shared" si="81"/>
        <v/>
      </c>
      <c r="AJ443" s="54" t="str">
        <f t="shared" si="82"/>
        <v/>
      </c>
      <c r="AK443" s="54">
        <f t="shared" si="83"/>
        <v>0.22425352593268394</v>
      </c>
    </row>
    <row r="444" spans="9:37" x14ac:dyDescent="0.45">
      <c r="I444" s="2">
        <v>59</v>
      </c>
      <c r="J444" s="2">
        <v>6.7539999999999996E-3</v>
      </c>
      <c r="K444" s="2">
        <v>4.3620000000000004E-3</v>
      </c>
      <c r="R444" s="2">
        <v>21.2</v>
      </c>
      <c r="S444" s="2">
        <v>5.7879999999999997E-4</v>
      </c>
      <c r="T444" s="2">
        <v>1.9900000000000001E-4</v>
      </c>
      <c r="V444" s="11"/>
      <c r="W444" s="6"/>
      <c r="X444" s="6">
        <v>4.25</v>
      </c>
      <c r="Y444" s="11" t="str">
        <f t="shared" si="84"/>
        <v/>
      </c>
      <c r="Z444" s="6" t="str">
        <f t="shared" si="85"/>
        <v/>
      </c>
      <c r="AA444" s="23">
        <f t="shared" si="86"/>
        <v>34.25</v>
      </c>
      <c r="AB444" t="str">
        <f t="shared" si="75"/>
        <v/>
      </c>
      <c r="AC444" t="str">
        <f t="shared" si="76"/>
        <v/>
      </c>
      <c r="AD444">
        <f t="shared" si="77"/>
        <v>6.5375000000000003E-4</v>
      </c>
      <c r="AE444" s="18" t="str">
        <f t="shared" si="78"/>
        <v/>
      </c>
      <c r="AF444" s="7" t="str">
        <f t="shared" si="79"/>
        <v/>
      </c>
      <c r="AG444" s="12">
        <f t="shared" si="80"/>
        <v>0.99739414313715269</v>
      </c>
      <c r="AI444" s="54" t="str">
        <f t="shared" si="81"/>
        <v/>
      </c>
      <c r="AJ444" s="54" t="str">
        <f t="shared" si="82"/>
        <v/>
      </c>
      <c r="AK444" s="54">
        <f t="shared" si="83"/>
        <v>0.22482904982942678</v>
      </c>
    </row>
    <row r="445" spans="9:37" x14ac:dyDescent="0.45">
      <c r="I445" s="2">
        <v>59.1</v>
      </c>
      <c r="J445" s="2">
        <v>6.8379000000000001E-3</v>
      </c>
      <c r="K445" s="2">
        <v>4.4079000000000002E-3</v>
      </c>
      <c r="R445" s="2">
        <v>21.21</v>
      </c>
      <c r="S445" s="2">
        <v>5.7874000000000001E-4</v>
      </c>
      <c r="T445" s="2">
        <v>1.9909999999999999E-4</v>
      </c>
      <c r="V445" s="11"/>
      <c r="W445" s="6"/>
      <c r="X445" s="6">
        <v>4.26</v>
      </c>
      <c r="Y445" s="11" t="str">
        <f t="shared" si="84"/>
        <v/>
      </c>
      <c r="Z445" s="6" t="str">
        <f t="shared" si="85"/>
        <v/>
      </c>
      <c r="AA445" s="23">
        <f t="shared" si="86"/>
        <v>34.26</v>
      </c>
      <c r="AB445" t="str">
        <f t="shared" si="75"/>
        <v/>
      </c>
      <c r="AC445" t="str">
        <f t="shared" si="76"/>
        <v/>
      </c>
      <c r="AD445">
        <f t="shared" si="77"/>
        <v>6.5401999999999995E-4</v>
      </c>
      <c r="AE445" s="18" t="str">
        <f t="shared" si="78"/>
        <v/>
      </c>
      <c r="AF445" s="7" t="str">
        <f t="shared" si="79"/>
        <v/>
      </c>
      <c r="AG445" s="12">
        <f t="shared" si="80"/>
        <v>0.9973876226729419</v>
      </c>
      <c r="AI445" s="54" t="str">
        <f t="shared" si="81"/>
        <v/>
      </c>
      <c r="AJ445" s="54" t="str">
        <f t="shared" si="82"/>
        <v/>
      </c>
      <c r="AK445" s="54">
        <f t="shared" si="83"/>
        <v>0.2254048056037003</v>
      </c>
    </row>
    <row r="446" spans="9:37" x14ac:dyDescent="0.45">
      <c r="I446" s="2">
        <v>59.2</v>
      </c>
      <c r="J446" s="2">
        <v>6.9217999999999997E-3</v>
      </c>
      <c r="K446" s="2">
        <v>4.4537999999999999E-3</v>
      </c>
      <c r="R446" s="2">
        <v>21.22</v>
      </c>
      <c r="S446" s="2">
        <v>5.7868000000000004E-4</v>
      </c>
      <c r="T446" s="2">
        <v>1.9919999999999999E-4</v>
      </c>
      <c r="V446" s="11"/>
      <c r="W446" s="6"/>
      <c r="X446" s="6">
        <v>4.2700000000000005</v>
      </c>
      <c r="Y446" s="11" t="str">
        <f t="shared" si="84"/>
        <v/>
      </c>
      <c r="Z446" s="6" t="str">
        <f t="shared" si="85"/>
        <v/>
      </c>
      <c r="AA446" s="23">
        <f t="shared" si="86"/>
        <v>34.270000000000003</v>
      </c>
      <c r="AB446" t="str">
        <f t="shared" si="75"/>
        <v/>
      </c>
      <c r="AC446" t="str">
        <f t="shared" si="76"/>
        <v/>
      </c>
      <c r="AD446">
        <f t="shared" si="77"/>
        <v>6.5428999999999997E-4</v>
      </c>
      <c r="AE446" s="18" t="str">
        <f t="shared" si="78"/>
        <v/>
      </c>
      <c r="AF446" s="7" t="str">
        <f t="shared" si="79"/>
        <v/>
      </c>
      <c r="AG446" s="12">
        <f t="shared" si="80"/>
        <v>0.99738109955841214</v>
      </c>
      <c r="AI446" s="54" t="str">
        <f t="shared" si="81"/>
        <v/>
      </c>
      <c r="AJ446" s="54" t="str">
        <f t="shared" si="82"/>
        <v/>
      </c>
      <c r="AK446" s="54">
        <f t="shared" si="83"/>
        <v>0.22598079335287988</v>
      </c>
    </row>
    <row r="447" spans="9:37" x14ac:dyDescent="0.45">
      <c r="I447" s="2">
        <v>59.3</v>
      </c>
      <c r="J447" s="2">
        <v>7.0057000000000001E-3</v>
      </c>
      <c r="K447" s="2">
        <v>4.4996999999999997E-3</v>
      </c>
      <c r="R447" s="2">
        <v>21.23</v>
      </c>
      <c r="S447" s="2">
        <v>5.7861999999999996E-4</v>
      </c>
      <c r="T447" s="2">
        <v>1.9929999999999999E-4</v>
      </c>
      <c r="V447" s="11"/>
      <c r="W447" s="6"/>
      <c r="X447" s="6">
        <v>4.28</v>
      </c>
      <c r="Y447" s="11" t="str">
        <f t="shared" si="84"/>
        <v/>
      </c>
      <c r="Z447" s="6" t="str">
        <f t="shared" si="85"/>
        <v/>
      </c>
      <c r="AA447" s="23">
        <f t="shared" si="86"/>
        <v>34.28</v>
      </c>
      <c r="AB447" t="str">
        <f t="shared" si="75"/>
        <v/>
      </c>
      <c r="AC447" t="str">
        <f t="shared" si="76"/>
        <v/>
      </c>
      <c r="AD447">
        <f t="shared" si="77"/>
        <v>6.5455999999999999E-4</v>
      </c>
      <c r="AE447" s="18" t="str">
        <f t="shared" si="78"/>
        <v/>
      </c>
      <c r="AF447" s="7" t="str">
        <f t="shared" si="79"/>
        <v/>
      </c>
      <c r="AG447" s="12">
        <f t="shared" si="80"/>
        <v>0.99737457379361583</v>
      </c>
      <c r="AI447" s="54" t="str">
        <f t="shared" si="81"/>
        <v/>
      </c>
      <c r="AJ447" s="54" t="str">
        <f t="shared" si="82"/>
        <v/>
      </c>
      <c r="AK447" s="54">
        <f t="shared" si="83"/>
        <v>0.22655701317438234</v>
      </c>
    </row>
    <row r="448" spans="9:37" x14ac:dyDescent="0.45">
      <c r="I448" s="2">
        <v>59.4</v>
      </c>
      <c r="J448" s="2">
        <v>7.0895999999999997E-3</v>
      </c>
      <c r="K448" s="2">
        <v>4.5456000000000003E-3</v>
      </c>
      <c r="R448" s="2">
        <v>21.24</v>
      </c>
      <c r="S448" s="2">
        <v>5.7855999999999999E-4</v>
      </c>
      <c r="T448" s="2">
        <v>1.994E-4</v>
      </c>
      <c r="V448" s="11"/>
      <c r="W448" s="6"/>
      <c r="X448" s="6">
        <v>4.29</v>
      </c>
      <c r="Y448" s="11" t="str">
        <f t="shared" si="84"/>
        <v/>
      </c>
      <c r="Z448" s="6" t="str">
        <f t="shared" si="85"/>
        <v/>
      </c>
      <c r="AA448" s="23">
        <f t="shared" si="86"/>
        <v>34.29</v>
      </c>
      <c r="AB448" t="str">
        <f t="shared" si="75"/>
        <v/>
      </c>
      <c r="AC448" t="str">
        <f t="shared" si="76"/>
        <v/>
      </c>
      <c r="AD448">
        <f t="shared" si="77"/>
        <v>6.5483000000000002E-4</v>
      </c>
      <c r="AE448" s="18" t="str">
        <f t="shared" si="78"/>
        <v/>
      </c>
      <c r="AF448" s="7" t="str">
        <f t="shared" si="79"/>
        <v/>
      </c>
      <c r="AG448" s="12">
        <f t="shared" si="80"/>
        <v>0.99736804537860557</v>
      </c>
      <c r="AI448" s="54" t="str">
        <f t="shared" si="81"/>
        <v/>
      </c>
      <c r="AJ448" s="54" t="str">
        <f t="shared" si="82"/>
        <v/>
      </c>
      <c r="AK448" s="54">
        <f t="shared" si="83"/>
        <v>0.22713346516566602</v>
      </c>
    </row>
    <row r="449" spans="9:37" x14ac:dyDescent="0.45">
      <c r="I449" s="2">
        <v>59.5</v>
      </c>
      <c r="J449" s="2">
        <v>7.1735000000000002E-3</v>
      </c>
      <c r="K449" s="2">
        <v>4.5915000000000001E-3</v>
      </c>
      <c r="R449" s="2">
        <v>21.25</v>
      </c>
      <c r="S449" s="2">
        <v>5.7850000000000002E-4</v>
      </c>
      <c r="T449" s="2">
        <v>1.995E-4</v>
      </c>
      <c r="V449" s="11"/>
      <c r="W449" s="6"/>
      <c r="X449" s="6">
        <v>4.3</v>
      </c>
      <c r="Y449" s="11" t="str">
        <f t="shared" si="84"/>
        <v/>
      </c>
      <c r="Z449" s="6" t="str">
        <f t="shared" si="85"/>
        <v/>
      </c>
      <c r="AA449" s="23">
        <f t="shared" si="86"/>
        <v>34.299999999999997</v>
      </c>
      <c r="AB449" t="str">
        <f t="shared" si="75"/>
        <v/>
      </c>
      <c r="AC449" t="str">
        <f t="shared" si="76"/>
        <v/>
      </c>
      <c r="AD449">
        <f t="shared" si="77"/>
        <v>6.5510000000000004E-4</v>
      </c>
      <c r="AE449" s="18" t="str">
        <f t="shared" si="78"/>
        <v/>
      </c>
      <c r="AF449" s="7" t="str">
        <f t="shared" si="79"/>
        <v/>
      </c>
      <c r="AG449" s="12">
        <f t="shared" si="80"/>
        <v>0.99736151431343401</v>
      </c>
      <c r="AI449" s="54" t="str">
        <f t="shared" si="81"/>
        <v/>
      </c>
      <c r="AJ449" s="54" t="str">
        <f t="shared" si="82"/>
        <v/>
      </c>
      <c r="AK449" s="54">
        <f t="shared" si="83"/>
        <v>0.22771014942423073</v>
      </c>
    </row>
    <row r="450" spans="9:37" x14ac:dyDescent="0.45">
      <c r="I450" s="2">
        <v>59.6</v>
      </c>
      <c r="J450" s="2">
        <v>7.2573999999999998E-3</v>
      </c>
      <c r="K450" s="2">
        <v>4.6373999999999999E-3</v>
      </c>
      <c r="R450" s="2">
        <v>21.26</v>
      </c>
      <c r="S450" s="2">
        <v>5.7844000000000005E-4</v>
      </c>
      <c r="T450" s="2">
        <v>1.996E-4</v>
      </c>
      <c r="V450" s="11"/>
      <c r="W450" s="6"/>
      <c r="X450" s="6">
        <v>4.3100000000000005</v>
      </c>
      <c r="Y450" s="11" t="str">
        <f t="shared" si="84"/>
        <v/>
      </c>
      <c r="Z450" s="6" t="str">
        <f t="shared" si="85"/>
        <v/>
      </c>
      <c r="AA450" s="23">
        <f t="shared" si="86"/>
        <v>34.31</v>
      </c>
      <c r="AB450" t="str">
        <f t="shared" si="75"/>
        <v/>
      </c>
      <c r="AC450" t="str">
        <f t="shared" si="76"/>
        <v/>
      </c>
      <c r="AD450">
        <f t="shared" si="77"/>
        <v>6.5536999999999995E-4</v>
      </c>
      <c r="AE450" s="18" t="str">
        <f t="shared" si="78"/>
        <v/>
      </c>
      <c r="AF450" s="7" t="str">
        <f t="shared" si="79"/>
        <v/>
      </c>
      <c r="AG450" s="12">
        <f t="shared" si="80"/>
        <v>0.99735498059815375</v>
      </c>
      <c r="AI450" s="54" t="str">
        <f t="shared" si="81"/>
        <v/>
      </c>
      <c r="AJ450" s="54" t="str">
        <f t="shared" si="82"/>
        <v/>
      </c>
      <c r="AK450" s="54">
        <f t="shared" si="83"/>
        <v>0.22828706604761781</v>
      </c>
    </row>
    <row r="451" spans="9:37" x14ac:dyDescent="0.45">
      <c r="I451" s="2">
        <v>59.7</v>
      </c>
      <c r="J451" s="2">
        <v>7.3413000000000003E-3</v>
      </c>
      <c r="K451" s="2">
        <v>4.6832999999999996E-3</v>
      </c>
      <c r="R451" s="2">
        <v>21.27</v>
      </c>
      <c r="S451" s="2">
        <v>5.7837999999999997E-4</v>
      </c>
      <c r="T451" s="2">
        <v>1.997E-4</v>
      </c>
      <c r="V451" s="11"/>
      <c r="W451" s="6"/>
      <c r="X451" s="6">
        <v>4.32</v>
      </c>
      <c r="Y451" s="11" t="str">
        <f t="shared" si="84"/>
        <v/>
      </c>
      <c r="Z451" s="6" t="str">
        <f t="shared" si="85"/>
        <v/>
      </c>
      <c r="AA451" s="23">
        <f t="shared" si="86"/>
        <v>34.32</v>
      </c>
      <c r="AB451" t="str">
        <f t="shared" si="75"/>
        <v/>
      </c>
      <c r="AC451" t="str">
        <f t="shared" si="76"/>
        <v/>
      </c>
      <c r="AD451">
        <f t="shared" si="77"/>
        <v>6.5563999999999998E-4</v>
      </c>
      <c r="AE451" s="18" t="str">
        <f t="shared" si="78"/>
        <v/>
      </c>
      <c r="AF451" s="7" t="str">
        <f t="shared" si="79"/>
        <v/>
      </c>
      <c r="AG451" s="12">
        <f t="shared" si="80"/>
        <v>0.99734844423281743</v>
      </c>
      <c r="AI451" s="54" t="str">
        <f t="shared" si="81"/>
        <v/>
      </c>
      <c r="AJ451" s="54" t="str">
        <f t="shared" si="82"/>
        <v/>
      </c>
      <c r="AK451" s="54">
        <f t="shared" si="83"/>
        <v>0.2288642151334101</v>
      </c>
    </row>
    <row r="452" spans="9:37" x14ac:dyDescent="0.45">
      <c r="I452" s="2">
        <v>59.8</v>
      </c>
      <c r="J452" s="2">
        <v>7.4251999999999999E-3</v>
      </c>
      <c r="K452" s="2">
        <v>4.7292000000000002E-3</v>
      </c>
      <c r="R452" s="2">
        <v>21.28</v>
      </c>
      <c r="S452" s="2">
        <v>5.7832000000000001E-4</v>
      </c>
      <c r="T452" s="2">
        <v>1.998E-4</v>
      </c>
      <c r="V452" s="11"/>
      <c r="W452" s="6"/>
      <c r="X452" s="6">
        <v>4.33</v>
      </c>
      <c r="Y452" s="11" t="str">
        <f t="shared" si="84"/>
        <v/>
      </c>
      <c r="Z452" s="6" t="str">
        <f t="shared" si="85"/>
        <v/>
      </c>
      <c r="AA452" s="23">
        <f t="shared" si="86"/>
        <v>34.33</v>
      </c>
      <c r="AB452" t="str">
        <f t="shared" si="75"/>
        <v/>
      </c>
      <c r="AC452" t="str">
        <f t="shared" si="76"/>
        <v/>
      </c>
      <c r="AD452">
        <f t="shared" si="77"/>
        <v>6.5591E-4</v>
      </c>
      <c r="AE452" s="18" t="str">
        <f t="shared" si="78"/>
        <v/>
      </c>
      <c r="AF452" s="7" t="str">
        <f t="shared" si="79"/>
        <v/>
      </c>
      <c r="AG452" s="12">
        <f t="shared" si="80"/>
        <v>0.99734190521747768</v>
      </c>
      <c r="AI452" s="54" t="str">
        <f t="shared" si="81"/>
        <v/>
      </c>
      <c r="AJ452" s="54" t="str">
        <f t="shared" si="82"/>
        <v/>
      </c>
      <c r="AK452" s="54">
        <f t="shared" si="83"/>
        <v>0.22944159677923207</v>
      </c>
    </row>
    <row r="453" spans="9:37" x14ac:dyDescent="0.45">
      <c r="I453" s="2">
        <v>59.9</v>
      </c>
      <c r="J453" s="2">
        <v>7.5091000000000003E-3</v>
      </c>
      <c r="K453" s="2">
        <v>4.7751E-3</v>
      </c>
      <c r="R453" s="2">
        <v>21.29</v>
      </c>
      <c r="S453" s="2">
        <v>5.7826000000000004E-4</v>
      </c>
      <c r="T453" s="2">
        <v>1.9990000000000001E-4</v>
      </c>
      <c r="V453" s="11"/>
      <c r="W453" s="6"/>
      <c r="X453" s="6">
        <v>4.34</v>
      </c>
      <c r="Y453" s="11" t="str">
        <f t="shared" si="84"/>
        <v/>
      </c>
      <c r="Z453" s="6" t="str">
        <f t="shared" si="85"/>
        <v/>
      </c>
      <c r="AA453" s="23">
        <f t="shared" si="86"/>
        <v>34.340000000000003</v>
      </c>
      <c r="AB453" t="str">
        <f t="shared" si="75"/>
        <v/>
      </c>
      <c r="AC453" t="str">
        <f t="shared" si="76"/>
        <v/>
      </c>
      <c r="AD453">
        <f t="shared" si="77"/>
        <v>6.5618000000000002E-4</v>
      </c>
      <c r="AE453" s="18" t="str">
        <f t="shared" si="78"/>
        <v/>
      </c>
      <c r="AF453" s="7" t="str">
        <f t="shared" si="79"/>
        <v/>
      </c>
      <c r="AG453" s="12">
        <f t="shared" si="80"/>
        <v>0.99733536355218722</v>
      </c>
      <c r="AI453" s="54" t="str">
        <f t="shared" si="81"/>
        <v/>
      </c>
      <c r="AJ453" s="54" t="str">
        <f t="shared" si="82"/>
        <v/>
      </c>
      <c r="AK453" s="54">
        <f t="shared" si="83"/>
        <v>0.2300192110827497</v>
      </c>
    </row>
    <row r="454" spans="9:37" x14ac:dyDescent="0.45">
      <c r="I454" s="2">
        <v>60</v>
      </c>
      <c r="J454" s="2">
        <v>7.5929999999999999E-3</v>
      </c>
      <c r="K454" s="2">
        <v>4.8209999999999998E-3</v>
      </c>
      <c r="R454" s="2">
        <v>21.3</v>
      </c>
      <c r="S454" s="2">
        <v>5.7819999999999996E-4</v>
      </c>
      <c r="T454" s="3">
        <v>2.0000000000000001E-4</v>
      </c>
      <c r="V454" s="11"/>
      <c r="W454" s="6"/>
      <c r="X454" s="6">
        <v>4.3500000000000005</v>
      </c>
      <c r="Y454" s="11" t="str">
        <f t="shared" si="84"/>
        <v/>
      </c>
      <c r="Z454" s="6" t="str">
        <f t="shared" si="85"/>
        <v/>
      </c>
      <c r="AA454" s="23">
        <f t="shared" si="86"/>
        <v>34.35</v>
      </c>
      <c r="AB454" t="str">
        <f t="shared" si="75"/>
        <v/>
      </c>
      <c r="AC454" t="str">
        <f t="shared" si="76"/>
        <v/>
      </c>
      <c r="AD454">
        <f t="shared" si="77"/>
        <v>6.5645000000000005E-4</v>
      </c>
      <c r="AE454" s="18" t="str">
        <f t="shared" si="78"/>
        <v/>
      </c>
      <c r="AF454" s="7" t="str">
        <f t="shared" si="79"/>
        <v/>
      </c>
      <c r="AG454" s="12">
        <f t="shared" si="80"/>
        <v>0.99732881923699868</v>
      </c>
      <c r="AI454" s="54" t="str">
        <f t="shared" si="81"/>
        <v/>
      </c>
      <c r="AJ454" s="54" t="str">
        <f t="shared" si="82"/>
        <v/>
      </c>
      <c r="AK454" s="54">
        <f t="shared" si="83"/>
        <v>0.23059705814167059</v>
      </c>
    </row>
    <row r="455" spans="9:37" x14ac:dyDescent="0.45">
      <c r="I455" s="2">
        <v>60.1</v>
      </c>
      <c r="J455" s="2">
        <v>7.6870000000000003E-3</v>
      </c>
      <c r="K455" s="2">
        <v>4.8719000000000002E-3</v>
      </c>
      <c r="R455" s="2">
        <v>21.31</v>
      </c>
      <c r="S455" s="2">
        <v>5.7813999999999999E-4</v>
      </c>
      <c r="T455" s="2">
        <v>2.0010000000000001E-4</v>
      </c>
      <c r="V455" s="11"/>
      <c r="W455" s="6"/>
      <c r="X455" s="6">
        <v>4.3600000000000003</v>
      </c>
      <c r="Y455" s="11" t="str">
        <f t="shared" si="84"/>
        <v/>
      </c>
      <c r="Z455" s="6" t="str">
        <f t="shared" si="85"/>
        <v/>
      </c>
      <c r="AA455" s="23">
        <f t="shared" si="86"/>
        <v>34.36</v>
      </c>
      <c r="AB455" t="str">
        <f t="shared" si="75"/>
        <v/>
      </c>
      <c r="AC455" t="str">
        <f t="shared" si="76"/>
        <v/>
      </c>
      <c r="AD455">
        <f t="shared" si="77"/>
        <v>6.5671999999999996E-4</v>
      </c>
      <c r="AE455" s="18" t="str">
        <f t="shared" si="78"/>
        <v/>
      </c>
      <c r="AF455" s="7" t="str">
        <f t="shared" si="79"/>
        <v/>
      </c>
      <c r="AG455" s="12">
        <f t="shared" si="80"/>
        <v>0.99732227227196479</v>
      </c>
      <c r="AI455" s="54" t="str">
        <f t="shared" si="81"/>
        <v/>
      </c>
      <c r="AJ455" s="54" t="str">
        <f t="shared" si="82"/>
        <v/>
      </c>
      <c r="AK455" s="54">
        <f t="shared" si="83"/>
        <v>0.23117513805374393</v>
      </c>
    </row>
    <row r="456" spans="9:37" x14ac:dyDescent="0.45">
      <c r="I456" s="2">
        <v>60.2</v>
      </c>
      <c r="J456" s="2">
        <v>7.7809999999999997E-3</v>
      </c>
      <c r="K456" s="2">
        <v>4.9227999999999997E-3</v>
      </c>
      <c r="R456" s="2">
        <v>21.32</v>
      </c>
      <c r="S456" s="2">
        <v>5.7808000000000002E-4</v>
      </c>
      <c r="T456" s="2">
        <v>2.0019999999999999E-4</v>
      </c>
      <c r="V456" s="11"/>
      <c r="W456" s="6"/>
      <c r="X456" s="6">
        <v>4.37</v>
      </c>
      <c r="Y456" s="11" t="str">
        <f t="shared" si="84"/>
        <v/>
      </c>
      <c r="Z456" s="6" t="str">
        <f t="shared" si="85"/>
        <v/>
      </c>
      <c r="AA456" s="23">
        <f t="shared" si="86"/>
        <v>34.369999999999997</v>
      </c>
      <c r="AB456" t="str">
        <f t="shared" si="75"/>
        <v/>
      </c>
      <c r="AC456" t="str">
        <f t="shared" si="76"/>
        <v/>
      </c>
      <c r="AD456">
        <f t="shared" si="77"/>
        <v>6.5698999999999998E-4</v>
      </c>
      <c r="AE456" s="18" t="str">
        <f t="shared" si="78"/>
        <v/>
      </c>
      <c r="AF456" s="7" t="str">
        <f t="shared" si="79"/>
        <v/>
      </c>
      <c r="AG456" s="12">
        <f t="shared" si="80"/>
        <v>0.9973157226571383</v>
      </c>
      <c r="AI456" s="54" t="str">
        <f t="shared" si="81"/>
        <v/>
      </c>
      <c r="AJ456" s="54" t="str">
        <f t="shared" si="82"/>
        <v/>
      </c>
      <c r="AK456" s="54">
        <f t="shared" si="83"/>
        <v>0.23175345091676056</v>
      </c>
    </row>
    <row r="457" spans="9:37" x14ac:dyDescent="0.45">
      <c r="I457" s="2">
        <v>60.3</v>
      </c>
      <c r="J457" s="2">
        <v>7.8750000000000001E-3</v>
      </c>
      <c r="K457" s="2">
        <v>4.9737000000000002E-3</v>
      </c>
      <c r="R457" s="2">
        <v>21.33</v>
      </c>
      <c r="S457" s="2">
        <v>5.7802000000000005E-4</v>
      </c>
      <c r="T457" s="2">
        <v>2.0029999999999999E-4</v>
      </c>
      <c r="V457" s="11"/>
      <c r="W457" s="6"/>
      <c r="X457" s="6">
        <v>4.38</v>
      </c>
      <c r="Y457" s="11" t="str">
        <f t="shared" si="84"/>
        <v/>
      </c>
      <c r="Z457" s="6" t="str">
        <f t="shared" si="85"/>
        <v/>
      </c>
      <c r="AA457" s="23">
        <f t="shared" si="86"/>
        <v>34.380000000000003</v>
      </c>
      <c r="AB457" t="str">
        <f t="shared" si="75"/>
        <v/>
      </c>
      <c r="AC457" t="str">
        <f t="shared" si="76"/>
        <v/>
      </c>
      <c r="AD457">
        <f t="shared" si="77"/>
        <v>6.5726000000000001E-4</v>
      </c>
      <c r="AE457" s="18" t="str">
        <f t="shared" si="78"/>
        <v/>
      </c>
      <c r="AF457" s="7" t="str">
        <f t="shared" si="79"/>
        <v/>
      </c>
      <c r="AG457" s="12">
        <f t="shared" si="80"/>
        <v>0.99730917039257205</v>
      </c>
      <c r="AI457" s="54" t="str">
        <f t="shared" si="81"/>
        <v/>
      </c>
      <c r="AJ457" s="54" t="str">
        <f t="shared" si="82"/>
        <v/>
      </c>
      <c r="AK457" s="54">
        <f t="shared" si="83"/>
        <v>0.23233199682855293</v>
      </c>
    </row>
    <row r="458" spans="9:37" x14ac:dyDescent="0.45">
      <c r="I458" s="2">
        <v>60.4</v>
      </c>
      <c r="J458" s="2">
        <v>7.9690000000000004E-3</v>
      </c>
      <c r="K458" s="2">
        <v>5.0245999999999997E-3</v>
      </c>
      <c r="R458" s="2">
        <v>21.34</v>
      </c>
      <c r="S458" s="2">
        <v>5.7795999999999998E-4</v>
      </c>
      <c r="T458" s="2">
        <v>2.0039999999999999E-4</v>
      </c>
      <c r="V458" s="11"/>
      <c r="W458" s="6"/>
      <c r="X458" s="6">
        <v>4.3899999999999997</v>
      </c>
      <c r="Y458" s="11" t="str">
        <f t="shared" si="84"/>
        <v/>
      </c>
      <c r="Z458" s="6" t="str">
        <f t="shared" si="85"/>
        <v/>
      </c>
      <c r="AA458" s="23">
        <f t="shared" si="86"/>
        <v>34.39</v>
      </c>
      <c r="AB458" t="str">
        <f t="shared" si="75"/>
        <v/>
      </c>
      <c r="AC458" t="str">
        <f t="shared" si="76"/>
        <v/>
      </c>
      <c r="AD458">
        <f t="shared" si="77"/>
        <v>6.5753000000000003E-4</v>
      </c>
      <c r="AE458" s="18" t="str">
        <f t="shared" si="78"/>
        <v/>
      </c>
      <c r="AF458" s="7" t="str">
        <f t="shared" si="79"/>
        <v/>
      </c>
      <c r="AG458" s="12">
        <f t="shared" si="80"/>
        <v>0.99730261547831878</v>
      </c>
      <c r="AI458" s="54" t="str">
        <f t="shared" si="81"/>
        <v/>
      </c>
      <c r="AJ458" s="54" t="str">
        <f t="shared" si="82"/>
        <v/>
      </c>
      <c r="AK458" s="54">
        <f t="shared" si="83"/>
        <v>0.23291077588699521</v>
      </c>
    </row>
    <row r="459" spans="9:37" x14ac:dyDescent="0.45">
      <c r="I459" s="2">
        <v>60.5</v>
      </c>
      <c r="J459" s="2">
        <v>8.0630000000000007E-3</v>
      </c>
      <c r="K459" s="2">
        <v>5.0755000000000002E-3</v>
      </c>
      <c r="R459" s="2">
        <v>21.35</v>
      </c>
      <c r="S459" s="2">
        <v>5.7790000000000001E-4</v>
      </c>
      <c r="T459" s="2">
        <v>2.0049999999999999E-4</v>
      </c>
      <c r="V459" s="11"/>
      <c r="W459" s="6"/>
      <c r="X459" s="6">
        <v>4.4000000000000004</v>
      </c>
      <c r="Y459" s="11" t="str">
        <f t="shared" si="84"/>
        <v/>
      </c>
      <c r="Z459" s="6" t="str">
        <f t="shared" si="85"/>
        <v/>
      </c>
      <c r="AA459" s="23">
        <f t="shared" si="86"/>
        <v>34.4</v>
      </c>
      <c r="AB459" t="str">
        <f t="shared" si="75"/>
        <v/>
      </c>
      <c r="AC459" t="str">
        <f t="shared" si="76"/>
        <v/>
      </c>
      <c r="AD459">
        <f t="shared" si="77"/>
        <v>6.5780000000000005E-4</v>
      </c>
      <c r="AE459" s="18" t="str">
        <f t="shared" si="78"/>
        <v/>
      </c>
      <c r="AF459" s="7" t="str">
        <f t="shared" si="79"/>
        <v/>
      </c>
      <c r="AG459" s="12">
        <f t="shared" si="80"/>
        <v>0.99729605791443121</v>
      </c>
      <c r="AI459" s="54" t="str">
        <f t="shared" si="81"/>
        <v/>
      </c>
      <c r="AJ459" s="54" t="str">
        <f t="shared" si="82"/>
        <v/>
      </c>
      <c r="AK459" s="54">
        <f t="shared" si="83"/>
        <v>0.23348978819000318</v>
      </c>
    </row>
    <row r="460" spans="9:37" x14ac:dyDescent="0.45">
      <c r="I460" s="2">
        <v>60.6</v>
      </c>
      <c r="J460" s="2">
        <v>8.1569999999999993E-3</v>
      </c>
      <c r="K460" s="2">
        <v>5.1263999999999997E-3</v>
      </c>
      <c r="R460" s="2">
        <v>21.36</v>
      </c>
      <c r="S460" s="2">
        <v>5.7784000000000004E-4</v>
      </c>
      <c r="T460" s="2">
        <v>2.006E-4</v>
      </c>
      <c r="V460" s="11"/>
      <c r="W460" s="6"/>
      <c r="X460" s="6">
        <v>4.41</v>
      </c>
      <c r="Y460" s="11" t="str">
        <f t="shared" si="84"/>
        <v/>
      </c>
      <c r="Z460" s="6" t="str">
        <f t="shared" si="85"/>
        <v/>
      </c>
      <c r="AA460" s="23">
        <f t="shared" si="86"/>
        <v>34.409999999999997</v>
      </c>
      <c r="AB460" t="str">
        <f t="shared" si="75"/>
        <v/>
      </c>
      <c r="AC460" t="str">
        <f t="shared" si="76"/>
        <v/>
      </c>
      <c r="AD460">
        <f t="shared" si="77"/>
        <v>6.5806999999999997E-4</v>
      </c>
      <c r="AE460" s="18" t="str">
        <f t="shared" si="78"/>
        <v/>
      </c>
      <c r="AF460" s="7" t="str">
        <f t="shared" si="79"/>
        <v/>
      </c>
      <c r="AG460" s="12">
        <f t="shared" si="80"/>
        <v>0.9972894977009622</v>
      </c>
      <c r="AI460" s="54" t="str">
        <f t="shared" si="81"/>
        <v/>
      </c>
      <c r="AJ460" s="54" t="str">
        <f t="shared" si="82"/>
        <v/>
      </c>
      <c r="AK460" s="54">
        <f t="shared" si="83"/>
        <v>0.2340690338355344</v>
      </c>
    </row>
    <row r="461" spans="9:37" x14ac:dyDescent="0.45">
      <c r="I461" s="2">
        <v>60.7</v>
      </c>
      <c r="J461" s="2">
        <v>8.2509999999999997E-3</v>
      </c>
      <c r="K461" s="2">
        <v>5.1773000000000001E-3</v>
      </c>
      <c r="R461" s="2">
        <v>21.37</v>
      </c>
      <c r="S461" s="2">
        <v>5.7777999999999996E-4</v>
      </c>
      <c r="T461" s="2">
        <v>2.007E-4</v>
      </c>
      <c r="V461" s="11"/>
      <c r="W461" s="6"/>
      <c r="X461" s="6">
        <v>4.42</v>
      </c>
      <c r="Y461" s="11" t="str">
        <f t="shared" si="84"/>
        <v/>
      </c>
      <c r="Z461" s="6" t="str">
        <f t="shared" si="85"/>
        <v/>
      </c>
      <c r="AA461" s="23">
        <f t="shared" si="86"/>
        <v>34.42</v>
      </c>
      <c r="AB461" t="str">
        <f t="shared" si="75"/>
        <v/>
      </c>
      <c r="AC461" t="str">
        <f t="shared" si="76"/>
        <v/>
      </c>
      <c r="AD461">
        <f t="shared" si="77"/>
        <v>6.5833999999999999E-4</v>
      </c>
      <c r="AE461" s="18" t="str">
        <f t="shared" si="78"/>
        <v/>
      </c>
      <c r="AF461" s="7" t="str">
        <f t="shared" si="79"/>
        <v/>
      </c>
      <c r="AG461" s="12">
        <f t="shared" si="80"/>
        <v>0.99728293483796471</v>
      </c>
      <c r="AI461" s="54" t="str">
        <f t="shared" si="81"/>
        <v/>
      </c>
      <c r="AJ461" s="54" t="str">
        <f t="shared" si="82"/>
        <v/>
      </c>
      <c r="AK461" s="54">
        <f t="shared" si="83"/>
        <v>0.23464851292158806</v>
      </c>
    </row>
    <row r="462" spans="9:37" x14ac:dyDescent="0.45">
      <c r="I462" s="2">
        <v>60.8</v>
      </c>
      <c r="J462" s="2">
        <v>8.345E-3</v>
      </c>
      <c r="K462" s="2">
        <v>5.2281999999999997E-3</v>
      </c>
      <c r="R462" s="2">
        <v>21.38</v>
      </c>
      <c r="S462" s="2">
        <v>5.7771999999999999E-4</v>
      </c>
      <c r="T462" s="2">
        <v>2.008E-4</v>
      </c>
      <c r="V462" s="11"/>
      <c r="W462" s="6"/>
      <c r="X462" s="6">
        <v>4.43</v>
      </c>
      <c r="Y462" s="11" t="str">
        <f t="shared" si="84"/>
        <v/>
      </c>
      <c r="Z462" s="6" t="str">
        <f t="shared" si="85"/>
        <v/>
      </c>
      <c r="AA462" s="23">
        <f t="shared" si="86"/>
        <v>34.43</v>
      </c>
      <c r="AB462" t="str">
        <f t="shared" si="75"/>
        <v/>
      </c>
      <c r="AC462" t="str">
        <f t="shared" si="76"/>
        <v/>
      </c>
      <c r="AD462">
        <f t="shared" si="77"/>
        <v>6.5861000000000001E-4</v>
      </c>
      <c r="AE462" s="18" t="str">
        <f t="shared" si="78"/>
        <v/>
      </c>
      <c r="AF462" s="7" t="str">
        <f t="shared" si="79"/>
        <v/>
      </c>
      <c r="AG462" s="12">
        <f t="shared" si="80"/>
        <v>0.99727636932549146</v>
      </c>
      <c r="AI462" s="54" t="str">
        <f t="shared" si="81"/>
        <v/>
      </c>
      <c r="AJ462" s="54" t="str">
        <f t="shared" si="82"/>
        <v/>
      </c>
      <c r="AK462" s="54">
        <f t="shared" si="83"/>
        <v>0.23522822554620515</v>
      </c>
    </row>
    <row r="463" spans="9:37" x14ac:dyDescent="0.45">
      <c r="I463" s="2">
        <v>60.9</v>
      </c>
      <c r="J463" s="2">
        <v>8.4390000000000003E-3</v>
      </c>
      <c r="K463" s="2">
        <v>5.2791000000000001E-3</v>
      </c>
      <c r="R463" s="2">
        <v>21.39</v>
      </c>
      <c r="S463" s="2">
        <v>5.7766000000000002E-4</v>
      </c>
      <c r="T463" s="2">
        <v>2.009E-4</v>
      </c>
      <c r="V463" s="11"/>
      <c r="W463" s="6"/>
      <c r="X463" s="6">
        <v>4.4400000000000004</v>
      </c>
      <c r="Y463" s="11" t="str">
        <f t="shared" si="84"/>
        <v/>
      </c>
      <c r="Z463" s="6" t="str">
        <f t="shared" si="85"/>
        <v/>
      </c>
      <c r="AA463" s="23">
        <f t="shared" si="86"/>
        <v>34.44</v>
      </c>
      <c r="AB463" t="str">
        <f t="shared" si="75"/>
        <v/>
      </c>
      <c r="AC463" t="str">
        <f t="shared" si="76"/>
        <v/>
      </c>
      <c r="AD463">
        <f t="shared" si="77"/>
        <v>6.5888000000000003E-4</v>
      </c>
      <c r="AE463" s="18" t="str">
        <f t="shared" si="78"/>
        <v/>
      </c>
      <c r="AF463" s="7" t="str">
        <f t="shared" si="79"/>
        <v/>
      </c>
      <c r="AG463" s="12">
        <f t="shared" si="80"/>
        <v>0.99726980116359543</v>
      </c>
      <c r="AI463" s="54" t="str">
        <f t="shared" si="81"/>
        <v/>
      </c>
      <c r="AJ463" s="54" t="str">
        <f t="shared" si="82"/>
        <v/>
      </c>
      <c r="AK463" s="54">
        <f t="shared" si="83"/>
        <v>0.23580817180746841</v>
      </c>
    </row>
    <row r="464" spans="9:37" x14ac:dyDescent="0.45">
      <c r="I464" s="2">
        <v>61</v>
      </c>
      <c r="J464" s="2">
        <v>8.5330000000000007E-3</v>
      </c>
      <c r="K464" s="2">
        <v>5.3299999999999997E-3</v>
      </c>
      <c r="R464" s="2">
        <v>21.4</v>
      </c>
      <c r="S464" s="2">
        <v>5.7760000000000005E-4</v>
      </c>
      <c r="T464" s="2">
        <v>2.0100000000000001E-4</v>
      </c>
      <c r="V464" s="11"/>
      <c r="W464" s="6"/>
      <c r="X464" s="6">
        <v>4.45</v>
      </c>
      <c r="Y464" s="11" t="str">
        <f t="shared" si="84"/>
        <v/>
      </c>
      <c r="Z464" s="6" t="str">
        <f t="shared" si="85"/>
        <v/>
      </c>
      <c r="AA464" s="23">
        <f t="shared" si="86"/>
        <v>34.450000000000003</v>
      </c>
      <c r="AB464" t="str">
        <f t="shared" si="75"/>
        <v/>
      </c>
      <c r="AC464" t="str">
        <f t="shared" si="76"/>
        <v/>
      </c>
      <c r="AD464">
        <f t="shared" si="77"/>
        <v>6.5914999999999995E-4</v>
      </c>
      <c r="AE464" s="18" t="str">
        <f t="shared" si="78"/>
        <v/>
      </c>
      <c r="AF464" s="7" t="str">
        <f t="shared" si="79"/>
        <v/>
      </c>
      <c r="AG464" s="12">
        <f t="shared" si="80"/>
        <v>0.99726323035232955</v>
      </c>
      <c r="AI464" s="54" t="str">
        <f t="shared" si="81"/>
        <v/>
      </c>
      <c r="AJ464" s="54" t="str">
        <f t="shared" si="82"/>
        <v/>
      </c>
      <c r="AK464" s="54">
        <f t="shared" si="83"/>
        <v>0.23638835180350229</v>
      </c>
    </row>
    <row r="465" spans="9:37" x14ac:dyDescent="0.45">
      <c r="I465" s="2">
        <v>61.1</v>
      </c>
      <c r="J465" s="2">
        <v>8.6382999999999998E-3</v>
      </c>
      <c r="K465" s="2">
        <v>5.3864999999999998E-3</v>
      </c>
      <c r="R465" s="2">
        <v>21.41</v>
      </c>
      <c r="S465" s="2">
        <v>5.7753999999999998E-4</v>
      </c>
      <c r="T465" s="2">
        <v>2.0110000000000001E-4</v>
      </c>
      <c r="V465" s="11"/>
      <c r="W465" s="6"/>
      <c r="X465" s="6">
        <v>4.46</v>
      </c>
      <c r="Y465" s="11" t="str">
        <f t="shared" si="84"/>
        <v/>
      </c>
      <c r="Z465" s="6" t="str">
        <f t="shared" si="85"/>
        <v/>
      </c>
      <c r="AA465" s="23">
        <f t="shared" si="86"/>
        <v>34.46</v>
      </c>
      <c r="AB465" t="str">
        <f t="shared" si="75"/>
        <v/>
      </c>
      <c r="AC465" t="str">
        <f t="shared" si="76"/>
        <v/>
      </c>
      <c r="AD465">
        <f t="shared" si="77"/>
        <v>6.5941999999999997E-4</v>
      </c>
      <c r="AE465" s="18" t="str">
        <f t="shared" si="78"/>
        <v/>
      </c>
      <c r="AF465" s="7" t="str">
        <f t="shared" si="79"/>
        <v/>
      </c>
      <c r="AG465" s="12">
        <f t="shared" si="80"/>
        <v>0.9972566568917467</v>
      </c>
      <c r="AI465" s="54" t="str">
        <f t="shared" si="81"/>
        <v/>
      </c>
      <c r="AJ465" s="54" t="str">
        <f t="shared" si="82"/>
        <v/>
      </c>
      <c r="AK465" s="54">
        <f t="shared" si="83"/>
        <v>0.2369687656324731</v>
      </c>
    </row>
    <row r="466" spans="9:37" x14ac:dyDescent="0.45">
      <c r="I466" s="2">
        <v>61.2</v>
      </c>
      <c r="J466" s="2">
        <v>8.7436000000000007E-3</v>
      </c>
      <c r="K466" s="2">
        <v>5.4429999999999999E-3</v>
      </c>
      <c r="R466" s="2">
        <v>21.42</v>
      </c>
      <c r="S466" s="2">
        <v>5.7748000000000001E-4</v>
      </c>
      <c r="T466" s="2">
        <v>2.0120000000000001E-4</v>
      </c>
      <c r="V466" s="11"/>
      <c r="W466" s="6"/>
      <c r="X466" s="6">
        <v>4.47</v>
      </c>
      <c r="Y466" s="11" t="str">
        <f t="shared" si="84"/>
        <v/>
      </c>
      <c r="Z466" s="6" t="str">
        <f t="shared" si="85"/>
        <v/>
      </c>
      <c r="AA466" s="23">
        <f t="shared" si="86"/>
        <v>34.47</v>
      </c>
      <c r="AB466" t="str">
        <f t="shared" si="75"/>
        <v/>
      </c>
      <c r="AC466" t="str">
        <f t="shared" si="76"/>
        <v/>
      </c>
      <c r="AD466">
        <f t="shared" si="77"/>
        <v>6.5968999999999999E-4</v>
      </c>
      <c r="AE466" s="18" t="str">
        <f t="shared" si="78"/>
        <v/>
      </c>
      <c r="AF466" s="7" t="str">
        <f t="shared" si="79"/>
        <v/>
      </c>
      <c r="AG466" s="12">
        <f t="shared" si="80"/>
        <v>0.99725008078189981</v>
      </c>
      <c r="AI466" s="54" t="str">
        <f t="shared" si="81"/>
        <v/>
      </c>
      <c r="AJ466" s="54" t="str">
        <f t="shared" si="82"/>
        <v/>
      </c>
      <c r="AK466" s="54">
        <f t="shared" si="83"/>
        <v>0.23754941339258892</v>
      </c>
    </row>
    <row r="467" spans="9:37" x14ac:dyDescent="0.45">
      <c r="I467" s="2">
        <v>61.3</v>
      </c>
      <c r="J467" s="2">
        <v>8.8488999999999998E-3</v>
      </c>
      <c r="K467" s="2">
        <v>5.4995E-3</v>
      </c>
      <c r="R467" s="2">
        <v>21.43</v>
      </c>
      <c r="S467" s="2">
        <v>5.7742000000000004E-4</v>
      </c>
      <c r="T467" s="2">
        <v>2.0129999999999999E-4</v>
      </c>
      <c r="V467" s="11"/>
      <c r="W467" s="6"/>
      <c r="X467" s="6">
        <v>4.4800000000000004</v>
      </c>
      <c r="Y467" s="11" t="str">
        <f t="shared" si="84"/>
        <v/>
      </c>
      <c r="Z467" s="6" t="str">
        <f t="shared" si="85"/>
        <v/>
      </c>
      <c r="AA467" s="23">
        <f t="shared" si="86"/>
        <v>34.480000000000004</v>
      </c>
      <c r="AB467" t="str">
        <f t="shared" ref="AB467:AB530" si="87">IF(Y467="","",VLOOKUP(Y467,Table_1,2))</f>
        <v/>
      </c>
      <c r="AC467" t="str">
        <f t="shared" ref="AC467:AC530" si="88">IF(Z467="","",VLOOKUP(Z467,Table_2,2))</f>
        <v/>
      </c>
      <c r="AD467">
        <f t="shared" ref="AD467:AD530" si="89">IF(AA467="","",VLOOKUP(AA467,Table_3,2))</f>
        <v>6.5996000000000002E-4</v>
      </c>
      <c r="AE467" s="18" t="str">
        <f t="shared" si="78"/>
        <v/>
      </c>
      <c r="AF467" s="7" t="str">
        <f t="shared" si="79"/>
        <v/>
      </c>
      <c r="AG467" s="12">
        <f t="shared" si="80"/>
        <v>0.99724350202284184</v>
      </c>
      <c r="AI467" s="54" t="str">
        <f t="shared" si="81"/>
        <v/>
      </c>
      <c r="AJ467" s="54" t="str">
        <f t="shared" si="82"/>
        <v/>
      </c>
      <c r="AK467" s="54">
        <f t="shared" si="83"/>
        <v>0.23813029518209966</v>
      </c>
    </row>
    <row r="468" spans="9:37" x14ac:dyDescent="0.45">
      <c r="I468" s="2">
        <v>61.4</v>
      </c>
      <c r="J468" s="2">
        <v>8.9542000000000007E-3</v>
      </c>
      <c r="K468" s="2">
        <v>5.5560000000000002E-3</v>
      </c>
      <c r="R468" s="2">
        <v>21.44</v>
      </c>
      <c r="S468" s="2">
        <v>5.7735999999999996E-4</v>
      </c>
      <c r="T468" s="2">
        <v>2.0139999999999999E-4</v>
      </c>
      <c r="V468" s="11"/>
      <c r="W468" s="6"/>
      <c r="X468" s="6">
        <v>4.49</v>
      </c>
      <c r="Y468" s="11" t="str">
        <f t="shared" si="84"/>
        <v/>
      </c>
      <c r="Z468" s="6" t="str">
        <f t="shared" si="85"/>
        <v/>
      </c>
      <c r="AA468" s="23">
        <f t="shared" si="86"/>
        <v>34.49</v>
      </c>
      <c r="AB468" t="str">
        <f t="shared" si="87"/>
        <v/>
      </c>
      <c r="AC468" t="str">
        <f t="shared" si="88"/>
        <v/>
      </c>
      <c r="AD468">
        <f t="shared" si="89"/>
        <v>6.6023000000000004E-4</v>
      </c>
      <c r="AE468" s="18" t="str">
        <f t="shared" ref="AE468:AE531" si="90">IF(AB468="","",AE467+h_1*(-AE467*AB467))</f>
        <v/>
      </c>
      <c r="AF468" s="7" t="str">
        <f t="shared" ref="AF468:AF531" si="91">IF(AC468="","",AF467+h_2*(-AF467*AC467))</f>
        <v/>
      </c>
      <c r="AG468" s="12">
        <f t="shared" ref="AG468:AG531" si="92">IF(AD468="","",AG467+h_3*(-AG467*AD467))</f>
        <v>0.99723692061462588</v>
      </c>
      <c r="AI468" s="54" t="str">
        <f t="shared" ref="AI468:AI531" si="93">IF(Y468="","",AI467+AI$17*(AI467*delta+Prem1-AB467*(1-AI467)))</f>
        <v/>
      </c>
      <c r="AJ468" s="54" t="str">
        <f t="shared" ref="AJ468:AJ531" si="94">IF(Z468="","",AJ467+AJ$17*(AJ467*delta+Prem2-AC467*(1-AJ467)))</f>
        <v/>
      </c>
      <c r="AK468" s="54">
        <f t="shared" ref="AK468:AK531" si="95">IF(AA468="","",AK467+AK$17*(AK467*delta+Prem3-AD467*(1-AK467)))</f>
        <v>0.23871141109929708</v>
      </c>
    </row>
    <row r="469" spans="9:37" x14ac:dyDescent="0.45">
      <c r="I469" s="2">
        <v>61.5</v>
      </c>
      <c r="J469" s="2">
        <v>9.0594999999999998E-3</v>
      </c>
      <c r="K469" s="2">
        <v>5.6125000000000003E-3</v>
      </c>
      <c r="R469" s="2">
        <v>21.45</v>
      </c>
      <c r="S469" s="2">
        <v>5.7729999999999999E-4</v>
      </c>
      <c r="T469" s="2">
        <v>2.0149999999999999E-4</v>
      </c>
      <c r="V469" s="11"/>
      <c r="W469" s="6"/>
      <c r="X469" s="6">
        <v>4.5</v>
      </c>
      <c r="Y469" s="11" t="str">
        <f t="shared" ref="Y469:Y532" si="96">IF(ISBLANK(V469),"",$Y$19+V469)</f>
        <v/>
      </c>
      <c r="Z469" s="6" t="str">
        <f t="shared" ref="Z469:Z532" si="97">IF(ISBLANK(W469),"",$Y$19+W469)</f>
        <v/>
      </c>
      <c r="AA469" s="23">
        <f t="shared" ref="AA469:AA532" si="98">IF(ISBLANK(X469),"",$Y$19+X469)</f>
        <v>34.5</v>
      </c>
      <c r="AB469" t="str">
        <f t="shared" si="87"/>
        <v/>
      </c>
      <c r="AC469" t="str">
        <f t="shared" si="88"/>
        <v/>
      </c>
      <c r="AD469">
        <f t="shared" si="89"/>
        <v>6.6049999999999995E-4</v>
      </c>
      <c r="AE469" s="18" t="str">
        <f t="shared" si="90"/>
        <v/>
      </c>
      <c r="AF469" s="7" t="str">
        <f t="shared" si="91"/>
        <v/>
      </c>
      <c r="AG469" s="12">
        <f t="shared" si="92"/>
        <v>0.99723033655730486</v>
      </c>
      <c r="AI469" s="54" t="str">
        <f t="shared" si="93"/>
        <v/>
      </c>
      <c r="AJ469" s="54" t="str">
        <f t="shared" si="94"/>
        <v/>
      </c>
      <c r="AK469" s="54">
        <f t="shared" si="95"/>
        <v>0.23929276124251481</v>
      </c>
    </row>
    <row r="470" spans="9:37" x14ac:dyDescent="0.45">
      <c r="I470" s="2">
        <v>61.6</v>
      </c>
      <c r="J470" s="2">
        <v>9.1648000000000007E-3</v>
      </c>
      <c r="K470" s="2">
        <v>5.6690000000000004E-3</v>
      </c>
      <c r="R470" s="2">
        <v>21.46</v>
      </c>
      <c r="S470" s="2">
        <v>5.7724000000000002E-4</v>
      </c>
      <c r="T470" s="2">
        <v>2.0159999999999999E-4</v>
      </c>
      <c r="V470" s="11"/>
      <c r="W470" s="6"/>
      <c r="X470" s="6">
        <v>4.51</v>
      </c>
      <c r="Y470" s="11" t="str">
        <f t="shared" si="96"/>
        <v/>
      </c>
      <c r="Z470" s="6" t="str">
        <f t="shared" si="97"/>
        <v/>
      </c>
      <c r="AA470" s="23">
        <f t="shared" si="98"/>
        <v>34.51</v>
      </c>
      <c r="AB470" t="str">
        <f t="shared" si="87"/>
        <v/>
      </c>
      <c r="AC470" t="str">
        <f t="shared" si="88"/>
        <v/>
      </c>
      <c r="AD470">
        <f t="shared" si="89"/>
        <v>6.6076999999999998E-4</v>
      </c>
      <c r="AE470" s="18" t="str">
        <f t="shared" si="90"/>
        <v/>
      </c>
      <c r="AF470" s="7" t="str">
        <f t="shared" si="91"/>
        <v/>
      </c>
      <c r="AG470" s="12">
        <f t="shared" si="92"/>
        <v>0.99722374985093187</v>
      </c>
      <c r="AI470" s="54" t="str">
        <f t="shared" si="93"/>
        <v/>
      </c>
      <c r="AJ470" s="54" t="str">
        <f t="shared" si="94"/>
        <v/>
      </c>
      <c r="AK470" s="54">
        <f t="shared" si="95"/>
        <v>0.23987434571012831</v>
      </c>
    </row>
    <row r="471" spans="9:37" x14ac:dyDescent="0.45">
      <c r="I471" s="2">
        <v>61.7</v>
      </c>
      <c r="J471" s="2">
        <v>9.2700999999999999E-3</v>
      </c>
      <c r="K471" s="2">
        <v>5.7254999999999997E-3</v>
      </c>
      <c r="R471" s="2">
        <v>21.47</v>
      </c>
      <c r="S471" s="2">
        <v>5.7718000000000005E-4</v>
      </c>
      <c r="T471" s="2">
        <v>2.017E-4</v>
      </c>
      <c r="V471" s="11"/>
      <c r="W471" s="6"/>
      <c r="X471" s="6">
        <v>4.5200000000000005</v>
      </c>
      <c r="Y471" s="11" t="str">
        <f t="shared" si="96"/>
        <v/>
      </c>
      <c r="Z471" s="6" t="str">
        <f t="shared" si="97"/>
        <v/>
      </c>
      <c r="AA471" s="23">
        <f t="shared" si="98"/>
        <v>34.520000000000003</v>
      </c>
      <c r="AB471" t="str">
        <f t="shared" si="87"/>
        <v/>
      </c>
      <c r="AC471" t="str">
        <f t="shared" si="88"/>
        <v/>
      </c>
      <c r="AD471">
        <f t="shared" si="89"/>
        <v>6.6104E-4</v>
      </c>
      <c r="AE471" s="18" t="str">
        <f t="shared" si="90"/>
        <v/>
      </c>
      <c r="AF471" s="7" t="str">
        <f t="shared" si="91"/>
        <v/>
      </c>
      <c r="AG471" s="12">
        <f t="shared" si="92"/>
        <v>0.99721716049555997</v>
      </c>
      <c r="AI471" s="54" t="str">
        <f t="shared" si="93"/>
        <v/>
      </c>
      <c r="AJ471" s="54" t="str">
        <f t="shared" si="94"/>
        <v/>
      </c>
      <c r="AK471" s="54">
        <f t="shared" si="95"/>
        <v>0.24045616460055499</v>
      </c>
    </row>
    <row r="472" spans="9:37" x14ac:dyDescent="0.45">
      <c r="I472" s="2">
        <v>61.8</v>
      </c>
      <c r="J472" s="2">
        <v>9.3754000000000007E-3</v>
      </c>
      <c r="K472" s="2">
        <v>5.7819999999999998E-3</v>
      </c>
      <c r="R472" s="2">
        <v>21.48</v>
      </c>
      <c r="S472" s="2">
        <v>5.7711999999999998E-4</v>
      </c>
      <c r="T472" s="2">
        <v>2.018E-4</v>
      </c>
      <c r="V472" s="11"/>
      <c r="W472" s="6"/>
      <c r="X472" s="6">
        <v>4.53</v>
      </c>
      <c r="Y472" s="11" t="str">
        <f t="shared" si="96"/>
        <v/>
      </c>
      <c r="Z472" s="6" t="str">
        <f t="shared" si="97"/>
        <v/>
      </c>
      <c r="AA472" s="23">
        <f t="shared" si="98"/>
        <v>34.53</v>
      </c>
      <c r="AB472" t="str">
        <f t="shared" si="87"/>
        <v/>
      </c>
      <c r="AC472" t="str">
        <f t="shared" si="88"/>
        <v/>
      </c>
      <c r="AD472">
        <f t="shared" si="89"/>
        <v>6.6131000000000002E-4</v>
      </c>
      <c r="AE472" s="18" t="str">
        <f t="shared" si="90"/>
        <v/>
      </c>
      <c r="AF472" s="7" t="str">
        <f t="shared" si="91"/>
        <v/>
      </c>
      <c r="AG472" s="12">
        <f t="shared" si="92"/>
        <v>0.99721056849124223</v>
      </c>
      <c r="AI472" s="54" t="str">
        <f t="shared" si="93"/>
        <v/>
      </c>
      <c r="AJ472" s="54" t="str">
        <f t="shared" si="94"/>
        <v/>
      </c>
      <c r="AK472" s="54">
        <f t="shared" si="95"/>
        <v>0.2410382180122542</v>
      </c>
    </row>
    <row r="473" spans="9:37" x14ac:dyDescent="0.45">
      <c r="I473" s="2">
        <v>61.9</v>
      </c>
      <c r="J473" s="2">
        <v>9.4806999999999999E-3</v>
      </c>
      <c r="K473" s="2">
        <v>5.8384999999999999E-3</v>
      </c>
      <c r="R473" s="2">
        <v>21.49</v>
      </c>
      <c r="S473" s="2">
        <v>5.7706000000000001E-4</v>
      </c>
      <c r="T473" s="2">
        <v>2.019E-4</v>
      </c>
      <c r="V473" s="11"/>
      <c r="W473" s="6"/>
      <c r="X473" s="6">
        <v>4.54</v>
      </c>
      <c r="Y473" s="11" t="str">
        <f t="shared" si="96"/>
        <v/>
      </c>
      <c r="Z473" s="6" t="str">
        <f t="shared" si="97"/>
        <v/>
      </c>
      <c r="AA473" s="23">
        <f t="shared" si="98"/>
        <v>34.54</v>
      </c>
      <c r="AB473" t="str">
        <f t="shared" si="87"/>
        <v/>
      </c>
      <c r="AC473" t="str">
        <f t="shared" si="88"/>
        <v/>
      </c>
      <c r="AD473">
        <f t="shared" si="89"/>
        <v>6.6158000000000005E-4</v>
      </c>
      <c r="AE473" s="18" t="str">
        <f t="shared" si="90"/>
        <v/>
      </c>
      <c r="AF473" s="7" t="str">
        <f t="shared" si="91"/>
        <v/>
      </c>
      <c r="AG473" s="12">
        <f t="shared" si="92"/>
        <v>0.99720397383803172</v>
      </c>
      <c r="AI473" s="54" t="str">
        <f t="shared" si="93"/>
        <v/>
      </c>
      <c r="AJ473" s="54" t="str">
        <f t="shared" si="94"/>
        <v/>
      </c>
      <c r="AK473" s="54">
        <f t="shared" si="95"/>
        <v>0.24162050604372712</v>
      </c>
    </row>
    <row r="474" spans="9:37" x14ac:dyDescent="0.45">
      <c r="I474" s="2">
        <v>62</v>
      </c>
      <c r="J474" s="2">
        <v>9.5860000000000008E-3</v>
      </c>
      <c r="K474" s="2">
        <v>5.8950000000000001E-3</v>
      </c>
      <c r="R474" s="2">
        <v>21.5</v>
      </c>
      <c r="S474" s="2">
        <v>5.7700000000000004E-4</v>
      </c>
      <c r="T474" s="2">
        <v>2.02E-4</v>
      </c>
      <c r="V474" s="11"/>
      <c r="W474" s="6"/>
      <c r="X474" s="6">
        <v>4.55</v>
      </c>
      <c r="Y474" s="11" t="str">
        <f t="shared" si="96"/>
        <v/>
      </c>
      <c r="Z474" s="6" t="str">
        <f t="shared" si="97"/>
        <v/>
      </c>
      <c r="AA474" s="23">
        <f t="shared" si="98"/>
        <v>34.549999999999997</v>
      </c>
      <c r="AB474" t="str">
        <f t="shared" si="87"/>
        <v/>
      </c>
      <c r="AC474" t="str">
        <f t="shared" si="88"/>
        <v/>
      </c>
      <c r="AD474">
        <f t="shared" si="89"/>
        <v>6.6184999999999996E-4</v>
      </c>
      <c r="AE474" s="18" t="str">
        <f t="shared" si="90"/>
        <v/>
      </c>
      <c r="AF474" s="7" t="str">
        <f t="shared" si="91"/>
        <v/>
      </c>
      <c r="AG474" s="12">
        <f t="shared" si="92"/>
        <v>0.99719737653598162</v>
      </c>
      <c r="AI474" s="54" t="str">
        <f t="shared" si="93"/>
        <v/>
      </c>
      <c r="AJ474" s="54" t="str">
        <f t="shared" si="94"/>
        <v/>
      </c>
      <c r="AK474" s="54">
        <f t="shared" si="95"/>
        <v>0.24220302879351699</v>
      </c>
    </row>
    <row r="475" spans="9:37" x14ac:dyDescent="0.45">
      <c r="I475" s="2">
        <v>62.1</v>
      </c>
      <c r="J475" s="2">
        <v>9.7037000000000009E-3</v>
      </c>
      <c r="K475" s="2">
        <v>5.9576000000000004E-3</v>
      </c>
      <c r="R475" s="2">
        <v>21.51</v>
      </c>
      <c r="S475" s="2">
        <v>5.7693999999999996E-4</v>
      </c>
      <c r="T475" s="2">
        <v>2.0210000000000001E-4</v>
      </c>
      <c r="V475" s="11"/>
      <c r="W475" s="6"/>
      <c r="X475" s="6">
        <v>4.5600000000000005</v>
      </c>
      <c r="Y475" s="11" t="str">
        <f t="shared" si="96"/>
        <v/>
      </c>
      <c r="Z475" s="6" t="str">
        <f t="shared" si="97"/>
        <v/>
      </c>
      <c r="AA475" s="23">
        <f t="shared" si="98"/>
        <v>34.56</v>
      </c>
      <c r="AB475" t="str">
        <f t="shared" si="87"/>
        <v/>
      </c>
      <c r="AC475" t="str">
        <f t="shared" si="88"/>
        <v/>
      </c>
      <c r="AD475">
        <f t="shared" si="89"/>
        <v>6.6211999999999998E-4</v>
      </c>
      <c r="AE475" s="18" t="str">
        <f t="shared" si="90"/>
        <v/>
      </c>
      <c r="AF475" s="7" t="str">
        <f t="shared" si="91"/>
        <v/>
      </c>
      <c r="AG475" s="12">
        <f t="shared" si="92"/>
        <v>0.99719077658514499</v>
      </c>
      <c r="AI475" s="54" t="str">
        <f t="shared" si="93"/>
        <v/>
      </c>
      <c r="AJ475" s="54" t="str">
        <f t="shared" si="94"/>
        <v/>
      </c>
      <c r="AK475" s="54">
        <f t="shared" si="95"/>
        <v>0.24278578636020895</v>
      </c>
    </row>
    <row r="476" spans="9:37" x14ac:dyDescent="0.45">
      <c r="I476" s="2">
        <v>62.2</v>
      </c>
      <c r="J476" s="2">
        <v>9.8213999999999992E-3</v>
      </c>
      <c r="K476" s="2">
        <v>6.0201999999999999E-3</v>
      </c>
      <c r="R476" s="2">
        <v>21.52</v>
      </c>
      <c r="S476" s="2">
        <v>5.7687999999999999E-4</v>
      </c>
      <c r="T476" s="2">
        <v>2.0220000000000001E-4</v>
      </c>
      <c r="V476" s="11"/>
      <c r="W476" s="6"/>
      <c r="X476" s="6">
        <v>4.57</v>
      </c>
      <c r="Y476" s="11" t="str">
        <f t="shared" si="96"/>
        <v/>
      </c>
      <c r="Z476" s="6" t="str">
        <f t="shared" si="97"/>
        <v/>
      </c>
      <c r="AA476" s="23">
        <f t="shared" si="98"/>
        <v>34.57</v>
      </c>
      <c r="AB476" t="str">
        <f t="shared" si="87"/>
        <v/>
      </c>
      <c r="AC476" t="str">
        <f t="shared" si="88"/>
        <v/>
      </c>
      <c r="AD476">
        <f t="shared" si="89"/>
        <v>6.6239000000000001E-4</v>
      </c>
      <c r="AE476" s="18" t="str">
        <f t="shared" si="90"/>
        <v/>
      </c>
      <c r="AF476" s="7" t="str">
        <f t="shared" si="91"/>
        <v/>
      </c>
      <c r="AG476" s="12">
        <f t="shared" si="92"/>
        <v>0.99718417398557502</v>
      </c>
      <c r="AI476" s="54" t="str">
        <f t="shared" si="93"/>
        <v/>
      </c>
      <c r="AJ476" s="54" t="str">
        <f t="shared" si="94"/>
        <v/>
      </c>
      <c r="AK476" s="54">
        <f t="shared" si="95"/>
        <v>0.24336877884243019</v>
      </c>
    </row>
    <row r="477" spans="9:37" x14ac:dyDescent="0.45">
      <c r="I477" s="2">
        <v>62.3</v>
      </c>
      <c r="J477" s="2">
        <v>9.9390999999999993E-3</v>
      </c>
      <c r="K477" s="2">
        <v>6.0828000000000002E-3</v>
      </c>
      <c r="R477" s="2">
        <v>21.53</v>
      </c>
      <c r="S477" s="2">
        <v>5.7682000000000002E-4</v>
      </c>
      <c r="T477" s="2">
        <v>2.0230000000000001E-4</v>
      </c>
      <c r="V477" s="11"/>
      <c r="W477" s="6"/>
      <c r="X477" s="6">
        <v>4.58</v>
      </c>
      <c r="Y477" s="11" t="str">
        <f t="shared" si="96"/>
        <v/>
      </c>
      <c r="Z477" s="6" t="str">
        <f t="shared" si="97"/>
        <v/>
      </c>
      <c r="AA477" s="23">
        <f t="shared" si="98"/>
        <v>34.58</v>
      </c>
      <c r="AB477" t="str">
        <f t="shared" si="87"/>
        <v/>
      </c>
      <c r="AC477" t="str">
        <f t="shared" si="88"/>
        <v/>
      </c>
      <c r="AD477">
        <f t="shared" si="89"/>
        <v>6.6266000000000003E-4</v>
      </c>
      <c r="AE477" s="18" t="str">
        <f t="shared" si="90"/>
        <v/>
      </c>
      <c r="AF477" s="7" t="str">
        <f t="shared" si="91"/>
        <v/>
      </c>
      <c r="AG477" s="12">
        <f t="shared" si="92"/>
        <v>0.99717756873732499</v>
      </c>
      <c r="AI477" s="54" t="str">
        <f t="shared" si="93"/>
        <v/>
      </c>
      <c r="AJ477" s="54" t="str">
        <f t="shared" si="94"/>
        <v/>
      </c>
      <c r="AK477" s="54">
        <f t="shared" si="95"/>
        <v>0.24395200633884984</v>
      </c>
    </row>
    <row r="478" spans="9:37" x14ac:dyDescent="0.45">
      <c r="I478" s="2">
        <v>62.4</v>
      </c>
      <c r="J478" s="2">
        <v>1.0056799999999999E-2</v>
      </c>
      <c r="K478" s="2">
        <v>6.1453999999999996E-3</v>
      </c>
      <c r="R478" s="2">
        <v>21.54</v>
      </c>
      <c r="S478" s="2">
        <v>5.7675999999999995E-4</v>
      </c>
      <c r="T478" s="2">
        <v>2.0239999999999999E-4</v>
      </c>
      <c r="V478" s="11"/>
      <c r="W478" s="6"/>
      <c r="X478" s="6">
        <v>4.59</v>
      </c>
      <c r="Y478" s="11" t="str">
        <f t="shared" si="96"/>
        <v/>
      </c>
      <c r="Z478" s="6" t="str">
        <f t="shared" si="97"/>
        <v/>
      </c>
      <c r="AA478" s="23">
        <f t="shared" si="98"/>
        <v>34.590000000000003</v>
      </c>
      <c r="AB478" t="str">
        <f t="shared" si="87"/>
        <v/>
      </c>
      <c r="AC478" t="str">
        <f t="shared" si="88"/>
        <v/>
      </c>
      <c r="AD478">
        <f t="shared" si="89"/>
        <v>6.6293000000000005E-4</v>
      </c>
      <c r="AE478" s="18" t="str">
        <f t="shared" si="90"/>
        <v/>
      </c>
      <c r="AF478" s="7" t="str">
        <f t="shared" si="91"/>
        <v/>
      </c>
      <c r="AG478" s="12">
        <f t="shared" si="92"/>
        <v>0.99717096084044798</v>
      </c>
      <c r="AI478" s="54" t="str">
        <f t="shared" si="93"/>
        <v/>
      </c>
      <c r="AJ478" s="54" t="str">
        <f t="shared" si="94"/>
        <v/>
      </c>
      <c r="AK478" s="54">
        <f t="shared" si="95"/>
        <v>0.24453546894817907</v>
      </c>
    </row>
    <row r="479" spans="9:37" x14ac:dyDescent="0.45">
      <c r="I479" s="2">
        <v>62.5</v>
      </c>
      <c r="J479" s="2">
        <v>1.01745E-2</v>
      </c>
      <c r="K479" s="2">
        <v>6.208E-3</v>
      </c>
      <c r="R479" s="2">
        <v>21.55</v>
      </c>
      <c r="S479" s="2">
        <v>5.7669999999999998E-4</v>
      </c>
      <c r="T479" s="2">
        <v>2.0249999999999999E-4</v>
      </c>
      <c r="V479" s="11"/>
      <c r="W479" s="6"/>
      <c r="X479" s="6">
        <v>4.6000000000000005</v>
      </c>
      <c r="Y479" s="11" t="str">
        <f t="shared" si="96"/>
        <v/>
      </c>
      <c r="Z479" s="6" t="str">
        <f t="shared" si="97"/>
        <v/>
      </c>
      <c r="AA479" s="23">
        <f t="shared" si="98"/>
        <v>34.6</v>
      </c>
      <c r="AB479" t="str">
        <f t="shared" si="87"/>
        <v/>
      </c>
      <c r="AC479" t="str">
        <f t="shared" si="88"/>
        <v/>
      </c>
      <c r="AD479">
        <f t="shared" si="89"/>
        <v>6.6319999999999997E-4</v>
      </c>
      <c r="AE479" s="18" t="str">
        <f t="shared" si="90"/>
        <v/>
      </c>
      <c r="AF479" s="7" t="str">
        <f t="shared" si="91"/>
        <v/>
      </c>
      <c r="AG479" s="12">
        <f t="shared" si="92"/>
        <v>0.99716435029499728</v>
      </c>
      <c r="AI479" s="54" t="str">
        <f t="shared" si="93"/>
        <v/>
      </c>
      <c r="AJ479" s="54" t="str">
        <f t="shared" si="94"/>
        <v/>
      </c>
      <c r="AK479" s="54">
        <f t="shared" si="95"/>
        <v>0.24511916676917114</v>
      </c>
    </row>
    <row r="480" spans="9:37" x14ac:dyDescent="0.45">
      <c r="I480" s="2">
        <v>62.6</v>
      </c>
      <c r="J480" s="2">
        <v>1.02922E-2</v>
      </c>
      <c r="K480" s="2">
        <v>6.2706000000000003E-3</v>
      </c>
      <c r="R480" s="2">
        <v>21.56</v>
      </c>
      <c r="S480" s="2">
        <v>5.7664000000000001E-4</v>
      </c>
      <c r="T480" s="2">
        <v>2.0259999999999999E-4</v>
      </c>
      <c r="V480" s="11"/>
      <c r="W480" s="6"/>
      <c r="X480" s="6">
        <v>4.6100000000000003</v>
      </c>
      <c r="Y480" s="11" t="str">
        <f t="shared" si="96"/>
        <v/>
      </c>
      <c r="Z480" s="6" t="str">
        <f t="shared" si="97"/>
        <v/>
      </c>
      <c r="AA480" s="23">
        <f t="shared" si="98"/>
        <v>34.61</v>
      </c>
      <c r="AB480" t="str">
        <f t="shared" si="87"/>
        <v/>
      </c>
      <c r="AC480" t="str">
        <f t="shared" si="88"/>
        <v/>
      </c>
      <c r="AD480">
        <f t="shared" si="89"/>
        <v>6.6346999999999999E-4</v>
      </c>
      <c r="AE480" s="18" t="str">
        <f t="shared" si="90"/>
        <v/>
      </c>
      <c r="AF480" s="7" t="str">
        <f t="shared" si="91"/>
        <v/>
      </c>
      <c r="AG480" s="12">
        <f t="shared" si="92"/>
        <v>0.99715773710102618</v>
      </c>
      <c r="AI480" s="54" t="str">
        <f t="shared" si="93"/>
        <v/>
      </c>
      <c r="AJ480" s="54" t="str">
        <f t="shared" si="94"/>
        <v/>
      </c>
      <c r="AK480" s="54">
        <f t="shared" si="95"/>
        <v>0.24570309990062131</v>
      </c>
    </row>
    <row r="481" spans="9:37" x14ac:dyDescent="0.45">
      <c r="I481" s="2">
        <v>62.7</v>
      </c>
      <c r="J481" s="2">
        <v>1.04099E-2</v>
      </c>
      <c r="K481" s="2">
        <v>6.3331999999999998E-3</v>
      </c>
      <c r="R481" s="2">
        <v>21.57</v>
      </c>
      <c r="S481" s="2">
        <v>5.7658000000000004E-4</v>
      </c>
      <c r="T481" s="2">
        <v>2.0269999999999999E-4</v>
      </c>
      <c r="V481" s="11"/>
      <c r="W481" s="6"/>
      <c r="X481" s="6">
        <v>4.62</v>
      </c>
      <c r="Y481" s="11" t="str">
        <f t="shared" si="96"/>
        <v/>
      </c>
      <c r="Z481" s="6" t="str">
        <f t="shared" si="97"/>
        <v/>
      </c>
      <c r="AA481" s="23">
        <f t="shared" si="98"/>
        <v>34.619999999999997</v>
      </c>
      <c r="AB481" t="str">
        <f t="shared" si="87"/>
        <v/>
      </c>
      <c r="AC481" t="str">
        <f t="shared" si="88"/>
        <v/>
      </c>
      <c r="AD481">
        <f t="shared" si="89"/>
        <v>6.6374000000000001E-4</v>
      </c>
      <c r="AE481" s="18" t="str">
        <f t="shared" si="90"/>
        <v/>
      </c>
      <c r="AF481" s="7" t="str">
        <f t="shared" si="91"/>
        <v/>
      </c>
      <c r="AG481" s="12">
        <f t="shared" si="92"/>
        <v>0.99715112125858785</v>
      </c>
      <c r="AI481" s="54" t="str">
        <f t="shared" si="93"/>
        <v/>
      </c>
      <c r="AJ481" s="54" t="str">
        <f t="shared" si="94"/>
        <v/>
      </c>
      <c r="AK481" s="54">
        <f t="shared" si="95"/>
        <v>0.24628726844136697</v>
      </c>
    </row>
    <row r="482" spans="9:37" x14ac:dyDescent="0.45">
      <c r="I482" s="2">
        <v>62.8</v>
      </c>
      <c r="J482" s="2">
        <v>1.05276E-2</v>
      </c>
      <c r="K482" s="2">
        <v>6.3958000000000001E-3</v>
      </c>
      <c r="R482" s="2">
        <v>21.58</v>
      </c>
      <c r="S482" s="2">
        <v>5.7651999999999996E-4</v>
      </c>
      <c r="T482" s="2">
        <v>2.028E-4</v>
      </c>
      <c r="V482" s="11"/>
      <c r="W482" s="6"/>
      <c r="X482" s="6">
        <v>4.63</v>
      </c>
      <c r="Y482" s="11" t="str">
        <f t="shared" si="96"/>
        <v/>
      </c>
      <c r="Z482" s="6" t="str">
        <f t="shared" si="97"/>
        <v/>
      </c>
      <c r="AA482" s="23">
        <f t="shared" si="98"/>
        <v>34.630000000000003</v>
      </c>
      <c r="AB482" t="str">
        <f t="shared" si="87"/>
        <v/>
      </c>
      <c r="AC482" t="str">
        <f t="shared" si="88"/>
        <v/>
      </c>
      <c r="AD482">
        <f t="shared" si="89"/>
        <v>6.6401000000000003E-4</v>
      </c>
      <c r="AE482" s="18" t="str">
        <f t="shared" si="90"/>
        <v/>
      </c>
      <c r="AF482" s="7" t="str">
        <f t="shared" si="91"/>
        <v/>
      </c>
      <c r="AG482" s="12">
        <f t="shared" si="92"/>
        <v>0.99714450276773559</v>
      </c>
      <c r="AI482" s="54" t="str">
        <f t="shared" si="93"/>
        <v/>
      </c>
      <c r="AJ482" s="54" t="str">
        <f t="shared" si="94"/>
        <v/>
      </c>
      <c r="AK482" s="54">
        <f t="shared" si="95"/>
        <v>0.24687167249028757</v>
      </c>
    </row>
    <row r="483" spans="9:37" x14ac:dyDescent="0.45">
      <c r="I483" s="2">
        <v>62.9</v>
      </c>
      <c r="J483" s="2">
        <v>1.06453E-2</v>
      </c>
      <c r="K483" s="2">
        <v>6.4584000000000004E-3</v>
      </c>
      <c r="R483" s="2">
        <v>21.59</v>
      </c>
      <c r="S483" s="2">
        <v>5.7645999999999999E-4</v>
      </c>
      <c r="T483" s="2">
        <v>2.029E-4</v>
      </c>
      <c r="V483" s="11"/>
      <c r="W483" s="6"/>
      <c r="X483" s="6">
        <v>4.6399999999999997</v>
      </c>
      <c r="Y483" s="11" t="str">
        <f t="shared" si="96"/>
        <v/>
      </c>
      <c r="Z483" s="6" t="str">
        <f t="shared" si="97"/>
        <v/>
      </c>
      <c r="AA483" s="23">
        <f t="shared" si="98"/>
        <v>34.64</v>
      </c>
      <c r="AB483" t="str">
        <f t="shared" si="87"/>
        <v/>
      </c>
      <c r="AC483" t="str">
        <f t="shared" si="88"/>
        <v/>
      </c>
      <c r="AD483">
        <f t="shared" si="89"/>
        <v>6.6427999999999995E-4</v>
      </c>
      <c r="AE483" s="18" t="str">
        <f t="shared" si="90"/>
        <v/>
      </c>
      <c r="AF483" s="7" t="str">
        <f t="shared" si="91"/>
        <v/>
      </c>
      <c r="AG483" s="12">
        <f t="shared" si="92"/>
        <v>0.99713788162852279</v>
      </c>
      <c r="AI483" s="54" t="str">
        <f t="shared" si="93"/>
        <v/>
      </c>
      <c r="AJ483" s="54" t="str">
        <f t="shared" si="94"/>
        <v/>
      </c>
      <c r="AK483" s="54">
        <f t="shared" si="95"/>
        <v>0.24745631214630467</v>
      </c>
    </row>
    <row r="484" spans="9:37" x14ac:dyDescent="0.45">
      <c r="I484" s="2">
        <v>63</v>
      </c>
      <c r="J484" s="2">
        <v>1.0763E-2</v>
      </c>
      <c r="K484" s="2">
        <v>6.5209999999999999E-3</v>
      </c>
      <c r="R484" s="2">
        <v>21.6</v>
      </c>
      <c r="S484" s="2">
        <v>5.7640000000000002E-4</v>
      </c>
      <c r="T484" s="2">
        <v>2.03E-4</v>
      </c>
      <c r="V484" s="11"/>
      <c r="W484" s="6"/>
      <c r="X484" s="6">
        <v>4.6500000000000004</v>
      </c>
      <c r="Y484" s="11" t="str">
        <f t="shared" si="96"/>
        <v/>
      </c>
      <c r="Z484" s="6" t="str">
        <f t="shared" si="97"/>
        <v/>
      </c>
      <c r="AA484" s="23">
        <f t="shared" si="98"/>
        <v>34.65</v>
      </c>
      <c r="AB484" t="str">
        <f t="shared" si="87"/>
        <v/>
      </c>
      <c r="AC484" t="str">
        <f t="shared" si="88"/>
        <v/>
      </c>
      <c r="AD484">
        <f t="shared" si="89"/>
        <v>6.6454999999999997E-4</v>
      </c>
      <c r="AE484" s="18" t="str">
        <f t="shared" si="90"/>
        <v/>
      </c>
      <c r="AF484" s="7" t="str">
        <f t="shared" si="91"/>
        <v/>
      </c>
      <c r="AG484" s="12">
        <f t="shared" si="92"/>
        <v>0.99713125784100276</v>
      </c>
      <c r="AI484" s="54" t="str">
        <f t="shared" si="93"/>
        <v/>
      </c>
      <c r="AJ484" s="54" t="str">
        <f t="shared" si="94"/>
        <v/>
      </c>
      <c r="AK484" s="54">
        <f t="shared" si="95"/>
        <v>0.24804118750838203</v>
      </c>
    </row>
    <row r="485" spans="9:37" x14ac:dyDescent="0.45">
      <c r="I485" s="2">
        <v>63.1</v>
      </c>
      <c r="J485" s="2">
        <v>1.08945E-2</v>
      </c>
      <c r="K485" s="2">
        <v>6.5903000000000003E-3</v>
      </c>
      <c r="R485" s="2">
        <v>21.61</v>
      </c>
      <c r="S485" s="2">
        <v>5.7633999999999995E-4</v>
      </c>
      <c r="T485" s="2">
        <v>2.031E-4</v>
      </c>
      <c r="V485" s="11"/>
      <c r="W485" s="6"/>
      <c r="X485" s="6">
        <v>4.66</v>
      </c>
      <c r="Y485" s="11" t="str">
        <f t="shared" si="96"/>
        <v/>
      </c>
      <c r="Z485" s="6" t="str">
        <f t="shared" si="97"/>
        <v/>
      </c>
      <c r="AA485" s="23">
        <f t="shared" si="98"/>
        <v>34.659999999999997</v>
      </c>
      <c r="AB485" t="str">
        <f t="shared" si="87"/>
        <v/>
      </c>
      <c r="AC485" t="str">
        <f t="shared" si="88"/>
        <v/>
      </c>
      <c r="AD485">
        <f t="shared" si="89"/>
        <v>6.6481999999999999E-4</v>
      </c>
      <c r="AE485" s="18" t="str">
        <f t="shared" si="90"/>
        <v/>
      </c>
      <c r="AF485" s="7" t="str">
        <f t="shared" si="91"/>
        <v/>
      </c>
      <c r="AG485" s="12">
        <f t="shared" si="92"/>
        <v>0.99712463140522878</v>
      </c>
      <c r="AI485" s="54" t="str">
        <f t="shared" si="93"/>
        <v/>
      </c>
      <c r="AJ485" s="54" t="str">
        <f t="shared" si="94"/>
        <v/>
      </c>
      <c r="AK485" s="54">
        <f t="shared" si="95"/>
        <v>0.24862629867552546</v>
      </c>
    </row>
    <row r="486" spans="9:37" x14ac:dyDescent="0.45">
      <c r="I486" s="2">
        <v>63.2</v>
      </c>
      <c r="J486" s="2">
        <v>1.1025999999999999E-2</v>
      </c>
      <c r="K486" s="2">
        <v>6.6595999999999999E-3</v>
      </c>
      <c r="R486" s="2">
        <v>21.62</v>
      </c>
      <c r="S486" s="2">
        <v>5.7627999999999998E-4</v>
      </c>
      <c r="T486" s="2">
        <v>2.0320000000000001E-4</v>
      </c>
      <c r="V486" s="11"/>
      <c r="W486" s="6"/>
      <c r="X486" s="6">
        <v>4.67</v>
      </c>
      <c r="Y486" s="11" t="str">
        <f t="shared" si="96"/>
        <v/>
      </c>
      <c r="Z486" s="6" t="str">
        <f t="shared" si="97"/>
        <v/>
      </c>
      <c r="AA486" s="23">
        <f t="shared" si="98"/>
        <v>34.67</v>
      </c>
      <c r="AB486" t="str">
        <f t="shared" si="87"/>
        <v/>
      </c>
      <c r="AC486" t="str">
        <f t="shared" si="88"/>
        <v/>
      </c>
      <c r="AD486">
        <f t="shared" si="89"/>
        <v>6.6509000000000002E-4</v>
      </c>
      <c r="AE486" s="18" t="str">
        <f t="shared" si="90"/>
        <v/>
      </c>
      <c r="AF486" s="7" t="str">
        <f t="shared" si="91"/>
        <v/>
      </c>
      <c r="AG486" s="12">
        <f t="shared" si="92"/>
        <v>0.99711800232125425</v>
      </c>
      <c r="AI486" s="54" t="str">
        <f t="shared" si="93"/>
        <v/>
      </c>
      <c r="AJ486" s="54" t="str">
        <f t="shared" si="94"/>
        <v/>
      </c>
      <c r="AK486" s="54">
        <f t="shared" si="95"/>
        <v>0.24921164574678303</v>
      </c>
    </row>
    <row r="487" spans="9:37" x14ac:dyDescent="0.45">
      <c r="I487" s="2">
        <v>63.3</v>
      </c>
      <c r="J487" s="2">
        <v>1.1157500000000001E-2</v>
      </c>
      <c r="K487" s="2">
        <v>6.7289000000000003E-3</v>
      </c>
      <c r="R487" s="2">
        <v>21.63</v>
      </c>
      <c r="S487" s="2">
        <v>5.7622000000000001E-4</v>
      </c>
      <c r="T487" s="2">
        <v>2.0330000000000001E-4</v>
      </c>
      <c r="V487" s="11"/>
      <c r="W487" s="6"/>
      <c r="X487" s="6">
        <v>4.68</v>
      </c>
      <c r="Y487" s="11" t="str">
        <f t="shared" si="96"/>
        <v/>
      </c>
      <c r="Z487" s="6" t="str">
        <f t="shared" si="97"/>
        <v/>
      </c>
      <c r="AA487" s="23">
        <f t="shared" si="98"/>
        <v>34.68</v>
      </c>
      <c r="AB487" t="str">
        <f t="shared" si="87"/>
        <v/>
      </c>
      <c r="AC487" t="str">
        <f t="shared" si="88"/>
        <v/>
      </c>
      <c r="AD487">
        <f t="shared" si="89"/>
        <v>6.6536000000000004E-4</v>
      </c>
      <c r="AE487" s="18" t="str">
        <f t="shared" si="90"/>
        <v/>
      </c>
      <c r="AF487" s="7" t="str">
        <f t="shared" si="91"/>
        <v/>
      </c>
      <c r="AG487" s="12">
        <f t="shared" si="92"/>
        <v>0.99711137058913257</v>
      </c>
      <c r="AI487" s="54" t="str">
        <f t="shared" si="93"/>
        <v/>
      </c>
      <c r="AJ487" s="54" t="str">
        <f t="shared" si="94"/>
        <v/>
      </c>
      <c r="AK487" s="54">
        <f t="shared" si="95"/>
        <v>0.24979722882124494</v>
      </c>
    </row>
    <row r="488" spans="9:37" x14ac:dyDescent="0.45">
      <c r="I488" s="2">
        <v>63.4</v>
      </c>
      <c r="J488" s="2">
        <v>1.1289E-2</v>
      </c>
      <c r="K488" s="2">
        <v>6.7981999999999999E-3</v>
      </c>
      <c r="R488" s="2">
        <v>21.64</v>
      </c>
      <c r="S488" s="2">
        <v>5.7616000000000004E-4</v>
      </c>
      <c r="T488" s="2">
        <v>2.0340000000000001E-4</v>
      </c>
      <c r="V488" s="11"/>
      <c r="W488" s="6"/>
      <c r="X488" s="6">
        <v>4.6900000000000004</v>
      </c>
      <c r="Y488" s="11" t="str">
        <f t="shared" si="96"/>
        <v/>
      </c>
      <c r="Z488" s="6" t="str">
        <f t="shared" si="97"/>
        <v/>
      </c>
      <c r="AA488" s="23">
        <f t="shared" si="98"/>
        <v>34.69</v>
      </c>
      <c r="AB488" t="str">
        <f t="shared" si="87"/>
        <v/>
      </c>
      <c r="AC488" t="str">
        <f t="shared" si="88"/>
        <v/>
      </c>
      <c r="AD488">
        <f t="shared" si="89"/>
        <v>6.6562999999999995E-4</v>
      </c>
      <c r="AE488" s="18" t="str">
        <f t="shared" si="90"/>
        <v/>
      </c>
      <c r="AF488" s="7" t="str">
        <f t="shared" si="91"/>
        <v/>
      </c>
      <c r="AG488" s="12">
        <f t="shared" si="92"/>
        <v>0.99710473620891726</v>
      </c>
      <c r="AI488" s="54" t="str">
        <f t="shared" si="93"/>
        <v/>
      </c>
      <c r="AJ488" s="54" t="str">
        <f t="shared" si="94"/>
        <v/>
      </c>
      <c r="AK488" s="54">
        <f t="shared" si="95"/>
        <v>0.25038304799804362</v>
      </c>
    </row>
    <row r="489" spans="9:37" x14ac:dyDescent="0.45">
      <c r="I489" s="2">
        <v>63.5</v>
      </c>
      <c r="J489" s="2">
        <v>1.14205E-2</v>
      </c>
      <c r="K489" s="2">
        <v>6.8675000000000003E-3</v>
      </c>
      <c r="R489" s="2">
        <v>21.65</v>
      </c>
      <c r="S489" s="2">
        <v>5.7609999999999996E-4</v>
      </c>
      <c r="T489" s="2">
        <v>2.0350000000000001E-4</v>
      </c>
      <c r="V489" s="11"/>
      <c r="W489" s="6"/>
      <c r="X489" s="6">
        <v>4.7</v>
      </c>
      <c r="Y489" s="11" t="str">
        <f t="shared" si="96"/>
        <v/>
      </c>
      <c r="Z489" s="6" t="str">
        <f t="shared" si="97"/>
        <v/>
      </c>
      <c r="AA489" s="23">
        <f t="shared" si="98"/>
        <v>34.700000000000003</v>
      </c>
      <c r="AB489" t="str">
        <f t="shared" si="87"/>
        <v/>
      </c>
      <c r="AC489" t="str">
        <f t="shared" si="88"/>
        <v/>
      </c>
      <c r="AD489">
        <f t="shared" si="89"/>
        <v>6.6589999999999998E-4</v>
      </c>
      <c r="AE489" s="18" t="str">
        <f t="shared" si="90"/>
        <v/>
      </c>
      <c r="AF489" s="7" t="str">
        <f t="shared" si="91"/>
        <v/>
      </c>
      <c r="AG489" s="12">
        <f t="shared" si="92"/>
        <v>0.99709809918066161</v>
      </c>
      <c r="AI489" s="54" t="str">
        <f t="shared" si="93"/>
        <v/>
      </c>
      <c r="AJ489" s="54" t="str">
        <f t="shared" si="94"/>
        <v/>
      </c>
      <c r="AK489" s="54">
        <f t="shared" si="95"/>
        <v>0.2509691033763537</v>
      </c>
    </row>
    <row r="490" spans="9:37" x14ac:dyDescent="0.45">
      <c r="I490" s="2">
        <v>63.6</v>
      </c>
      <c r="J490" s="2">
        <v>1.1552E-2</v>
      </c>
      <c r="K490" s="2">
        <v>6.9367999999999999E-3</v>
      </c>
      <c r="R490" s="2">
        <v>21.66</v>
      </c>
      <c r="S490" s="2">
        <v>5.7603999999999999E-4</v>
      </c>
      <c r="T490" s="2">
        <v>2.0359999999999999E-4</v>
      </c>
      <c r="V490" s="11"/>
      <c r="W490" s="6"/>
      <c r="X490" s="6">
        <v>4.71</v>
      </c>
      <c r="Y490" s="11" t="str">
        <f t="shared" si="96"/>
        <v/>
      </c>
      <c r="Z490" s="6" t="str">
        <f t="shared" si="97"/>
        <v/>
      </c>
      <c r="AA490" s="23">
        <f t="shared" si="98"/>
        <v>34.71</v>
      </c>
      <c r="AB490" t="str">
        <f t="shared" si="87"/>
        <v/>
      </c>
      <c r="AC490" t="str">
        <f t="shared" si="88"/>
        <v/>
      </c>
      <c r="AD490">
        <f t="shared" si="89"/>
        <v>6.6617E-4</v>
      </c>
      <c r="AE490" s="18" t="str">
        <f t="shared" si="90"/>
        <v/>
      </c>
      <c r="AF490" s="7" t="str">
        <f t="shared" si="91"/>
        <v/>
      </c>
      <c r="AG490" s="12">
        <f t="shared" si="92"/>
        <v>0.99709145950441913</v>
      </c>
      <c r="AI490" s="54" t="str">
        <f t="shared" si="93"/>
        <v/>
      </c>
      <c r="AJ490" s="54" t="str">
        <f t="shared" si="94"/>
        <v/>
      </c>
      <c r="AK490" s="54">
        <f t="shared" si="95"/>
        <v>0.25155539505539209</v>
      </c>
    </row>
    <row r="491" spans="9:37" x14ac:dyDescent="0.45">
      <c r="I491" s="2">
        <v>63.7</v>
      </c>
      <c r="J491" s="2">
        <v>1.1683499999999999E-2</v>
      </c>
      <c r="K491" s="2">
        <v>7.0061000000000003E-3</v>
      </c>
      <c r="R491" s="2">
        <v>21.67</v>
      </c>
      <c r="S491" s="2">
        <v>5.7598000000000002E-4</v>
      </c>
      <c r="T491" s="2">
        <v>2.0369999999999999E-4</v>
      </c>
      <c r="V491" s="11"/>
      <c r="W491" s="6"/>
      <c r="X491" s="6">
        <v>4.72</v>
      </c>
      <c r="Y491" s="11" t="str">
        <f t="shared" si="96"/>
        <v/>
      </c>
      <c r="Z491" s="6" t="str">
        <f t="shared" si="97"/>
        <v/>
      </c>
      <c r="AA491" s="23">
        <f t="shared" si="98"/>
        <v>34.72</v>
      </c>
      <c r="AB491" t="str">
        <f t="shared" si="87"/>
        <v/>
      </c>
      <c r="AC491" t="str">
        <f t="shared" si="88"/>
        <v/>
      </c>
      <c r="AD491">
        <f t="shared" si="89"/>
        <v>6.6644000000000002E-4</v>
      </c>
      <c r="AE491" s="18" t="str">
        <f t="shared" si="90"/>
        <v/>
      </c>
      <c r="AF491" s="7" t="str">
        <f t="shared" si="91"/>
        <v/>
      </c>
      <c r="AG491" s="12">
        <f t="shared" si="92"/>
        <v>0.99708481718024333</v>
      </c>
      <c r="AI491" s="54" t="str">
        <f t="shared" si="93"/>
        <v/>
      </c>
      <c r="AJ491" s="54" t="str">
        <f t="shared" si="94"/>
        <v/>
      </c>
      <c r="AK491" s="54">
        <f t="shared" si="95"/>
        <v>0.25214192313441797</v>
      </c>
    </row>
    <row r="492" spans="9:37" x14ac:dyDescent="0.45">
      <c r="I492" s="2">
        <v>63.8</v>
      </c>
      <c r="J492" s="2">
        <v>1.1815000000000001E-2</v>
      </c>
      <c r="K492" s="2">
        <v>7.0753999999999999E-3</v>
      </c>
      <c r="R492" s="2">
        <v>21.68</v>
      </c>
      <c r="S492" s="2">
        <v>5.7591999999999995E-4</v>
      </c>
      <c r="T492" s="2">
        <v>2.0379999999999999E-4</v>
      </c>
      <c r="V492" s="11"/>
      <c r="W492" s="6"/>
      <c r="X492" s="6">
        <v>4.7300000000000004</v>
      </c>
      <c r="Y492" s="11" t="str">
        <f t="shared" si="96"/>
        <v/>
      </c>
      <c r="Z492" s="6" t="str">
        <f t="shared" si="97"/>
        <v/>
      </c>
      <c r="AA492" s="23">
        <f t="shared" si="98"/>
        <v>34.730000000000004</v>
      </c>
      <c r="AB492" t="str">
        <f t="shared" si="87"/>
        <v/>
      </c>
      <c r="AC492" t="str">
        <f t="shared" si="88"/>
        <v/>
      </c>
      <c r="AD492">
        <f t="shared" si="89"/>
        <v>6.6671000000000005E-4</v>
      </c>
      <c r="AE492" s="18" t="str">
        <f t="shared" si="90"/>
        <v/>
      </c>
      <c r="AF492" s="7" t="str">
        <f t="shared" si="91"/>
        <v/>
      </c>
      <c r="AG492" s="12">
        <f t="shared" si="92"/>
        <v>0.99707817220818773</v>
      </c>
      <c r="AI492" s="54" t="str">
        <f t="shared" si="93"/>
        <v/>
      </c>
      <c r="AJ492" s="54" t="str">
        <f t="shared" si="94"/>
        <v/>
      </c>
      <c r="AK492" s="54">
        <f t="shared" si="95"/>
        <v>0.25272868771273277</v>
      </c>
    </row>
    <row r="493" spans="9:37" x14ac:dyDescent="0.45">
      <c r="I493" s="2">
        <v>63.9</v>
      </c>
      <c r="J493" s="2">
        <v>1.1946500000000001E-2</v>
      </c>
      <c r="K493" s="2">
        <v>7.1447000000000004E-3</v>
      </c>
      <c r="R493" s="2">
        <v>21.69</v>
      </c>
      <c r="S493" s="2">
        <v>5.7585999999999998E-4</v>
      </c>
      <c r="T493" s="2">
        <v>2.039E-4</v>
      </c>
      <c r="V493" s="11"/>
      <c r="W493" s="6"/>
      <c r="X493" s="6">
        <v>4.74</v>
      </c>
      <c r="Y493" s="11" t="str">
        <f t="shared" si="96"/>
        <v/>
      </c>
      <c r="Z493" s="6" t="str">
        <f t="shared" si="97"/>
        <v/>
      </c>
      <c r="AA493" s="23">
        <f t="shared" si="98"/>
        <v>34.74</v>
      </c>
      <c r="AB493" t="str">
        <f t="shared" si="87"/>
        <v/>
      </c>
      <c r="AC493" t="str">
        <f t="shared" si="88"/>
        <v/>
      </c>
      <c r="AD493">
        <f t="shared" si="89"/>
        <v>6.6697999999999996E-4</v>
      </c>
      <c r="AE493" s="18" t="str">
        <f t="shared" si="90"/>
        <v/>
      </c>
      <c r="AF493" s="7" t="str">
        <f t="shared" si="91"/>
        <v/>
      </c>
      <c r="AG493" s="12">
        <f t="shared" si="92"/>
        <v>0.99707152458830584</v>
      </c>
      <c r="AI493" s="54" t="str">
        <f t="shared" si="93"/>
        <v/>
      </c>
      <c r="AJ493" s="54" t="str">
        <f t="shared" si="94"/>
        <v/>
      </c>
      <c r="AK493" s="54">
        <f t="shared" si="95"/>
        <v>0.2533156888896802</v>
      </c>
    </row>
    <row r="494" spans="9:37" x14ac:dyDescent="0.45">
      <c r="I494" s="2">
        <v>64</v>
      </c>
      <c r="J494" s="2">
        <v>1.2078E-2</v>
      </c>
      <c r="K494" s="2">
        <v>7.2139999999999999E-3</v>
      </c>
      <c r="R494" s="2">
        <v>21.7</v>
      </c>
      <c r="S494" s="2">
        <v>5.7580000000000001E-4</v>
      </c>
      <c r="T494" s="2">
        <v>2.04E-4</v>
      </c>
      <c r="V494" s="11"/>
      <c r="W494" s="6"/>
      <c r="X494" s="6">
        <v>4.75</v>
      </c>
      <c r="Y494" s="11" t="str">
        <f t="shared" si="96"/>
        <v/>
      </c>
      <c r="Z494" s="6" t="str">
        <f t="shared" si="97"/>
        <v/>
      </c>
      <c r="AA494" s="23">
        <f t="shared" si="98"/>
        <v>34.75</v>
      </c>
      <c r="AB494" t="str">
        <f t="shared" si="87"/>
        <v/>
      </c>
      <c r="AC494" t="str">
        <f t="shared" si="88"/>
        <v/>
      </c>
      <c r="AD494">
        <f t="shared" si="89"/>
        <v>6.6724999999999998E-4</v>
      </c>
      <c r="AE494" s="18" t="str">
        <f t="shared" si="90"/>
        <v/>
      </c>
      <c r="AF494" s="7" t="str">
        <f t="shared" si="91"/>
        <v/>
      </c>
      <c r="AG494" s="12">
        <f t="shared" si="92"/>
        <v>0.99706487432065116</v>
      </c>
      <c r="AI494" s="54" t="str">
        <f t="shared" si="93"/>
        <v/>
      </c>
      <c r="AJ494" s="54" t="str">
        <f t="shared" si="94"/>
        <v/>
      </c>
      <c r="AK494" s="54">
        <f t="shared" si="95"/>
        <v>0.25390292676464632</v>
      </c>
    </row>
    <row r="495" spans="9:37" x14ac:dyDescent="0.45">
      <c r="I495" s="2">
        <v>64.099999999999994</v>
      </c>
      <c r="J495" s="2">
        <v>1.22246E-2</v>
      </c>
      <c r="K495" s="2">
        <v>7.2906999999999998E-3</v>
      </c>
      <c r="R495" s="2">
        <v>21.71</v>
      </c>
      <c r="S495" s="2">
        <v>5.7574000000000004E-4</v>
      </c>
      <c r="T495" s="2">
        <v>2.041E-4</v>
      </c>
      <c r="V495" s="11"/>
      <c r="W495" s="6"/>
      <c r="X495" s="6">
        <v>4.76</v>
      </c>
      <c r="Y495" s="11" t="str">
        <f t="shared" si="96"/>
        <v/>
      </c>
      <c r="Z495" s="6" t="str">
        <f t="shared" si="97"/>
        <v/>
      </c>
      <c r="AA495" s="23">
        <f t="shared" si="98"/>
        <v>34.76</v>
      </c>
      <c r="AB495" t="str">
        <f t="shared" si="87"/>
        <v/>
      </c>
      <c r="AC495" t="str">
        <f t="shared" si="88"/>
        <v/>
      </c>
      <c r="AD495">
        <f t="shared" si="89"/>
        <v>6.6752000000000001E-4</v>
      </c>
      <c r="AE495" s="18" t="str">
        <f t="shared" si="90"/>
        <v/>
      </c>
      <c r="AF495" s="7" t="str">
        <f t="shared" si="91"/>
        <v/>
      </c>
      <c r="AG495" s="12">
        <f t="shared" si="92"/>
        <v>0.99705822140527722</v>
      </c>
      <c r="AI495" s="54" t="str">
        <f t="shared" si="93"/>
        <v/>
      </c>
      <c r="AJ495" s="54" t="str">
        <f t="shared" si="94"/>
        <v/>
      </c>
      <c r="AK495" s="54">
        <f t="shared" si="95"/>
        <v>0.25449040143705953</v>
      </c>
    </row>
    <row r="496" spans="9:37" x14ac:dyDescent="0.45">
      <c r="I496" s="2">
        <v>64.2</v>
      </c>
      <c r="J496" s="2">
        <v>1.2371200000000001E-2</v>
      </c>
      <c r="K496" s="2">
        <v>7.3673999999999996E-3</v>
      </c>
      <c r="R496" s="2">
        <v>21.72</v>
      </c>
      <c r="S496" s="2">
        <v>5.7567999999999996E-4</v>
      </c>
      <c r="T496" s="2">
        <v>2.042E-4</v>
      </c>
      <c r="V496" s="11"/>
      <c r="W496" s="6"/>
      <c r="X496" s="6">
        <v>4.7700000000000005</v>
      </c>
      <c r="Y496" s="11" t="str">
        <f t="shared" si="96"/>
        <v/>
      </c>
      <c r="Z496" s="6" t="str">
        <f t="shared" si="97"/>
        <v/>
      </c>
      <c r="AA496" s="23">
        <f t="shared" si="98"/>
        <v>34.770000000000003</v>
      </c>
      <c r="AB496" t="str">
        <f t="shared" si="87"/>
        <v/>
      </c>
      <c r="AC496" t="str">
        <f t="shared" si="88"/>
        <v/>
      </c>
      <c r="AD496">
        <f t="shared" si="89"/>
        <v>6.6779000000000003E-4</v>
      </c>
      <c r="AE496" s="18" t="str">
        <f t="shared" si="90"/>
        <v/>
      </c>
      <c r="AF496" s="7" t="str">
        <f t="shared" si="91"/>
        <v/>
      </c>
      <c r="AG496" s="12">
        <f t="shared" si="92"/>
        <v>0.99705156584223775</v>
      </c>
      <c r="AI496" s="54" t="str">
        <f t="shared" si="93"/>
        <v/>
      </c>
      <c r="AJ496" s="54" t="str">
        <f t="shared" si="94"/>
        <v/>
      </c>
      <c r="AK496" s="54">
        <f t="shared" si="95"/>
        <v>0.25507811300639055</v>
      </c>
    </row>
    <row r="497" spans="9:37" x14ac:dyDescent="0.45">
      <c r="I497" s="2">
        <v>64.3</v>
      </c>
      <c r="J497" s="2">
        <v>1.2517800000000001E-2</v>
      </c>
      <c r="K497" s="2">
        <v>7.4441000000000004E-3</v>
      </c>
      <c r="R497" s="2">
        <v>21.73</v>
      </c>
      <c r="S497" s="2">
        <v>5.7561999999999999E-4</v>
      </c>
      <c r="T497" s="2">
        <v>2.0430000000000001E-4</v>
      </c>
      <c r="V497" s="11"/>
      <c r="W497" s="6"/>
      <c r="X497" s="6">
        <v>4.78</v>
      </c>
      <c r="Y497" s="11" t="str">
        <f t="shared" si="96"/>
        <v/>
      </c>
      <c r="Z497" s="6" t="str">
        <f t="shared" si="97"/>
        <v/>
      </c>
      <c r="AA497" s="23">
        <f t="shared" si="98"/>
        <v>34.78</v>
      </c>
      <c r="AB497" t="str">
        <f t="shared" si="87"/>
        <v/>
      </c>
      <c r="AC497" t="str">
        <f t="shared" si="88"/>
        <v/>
      </c>
      <c r="AD497">
        <f t="shared" si="89"/>
        <v>6.6806000000000005E-4</v>
      </c>
      <c r="AE497" s="18" t="str">
        <f t="shared" si="90"/>
        <v/>
      </c>
      <c r="AF497" s="7" t="str">
        <f t="shared" si="91"/>
        <v/>
      </c>
      <c r="AG497" s="12">
        <f t="shared" si="92"/>
        <v>0.99704490763158626</v>
      </c>
      <c r="AI497" s="54" t="str">
        <f t="shared" si="93"/>
        <v/>
      </c>
      <c r="AJ497" s="54" t="str">
        <f t="shared" si="94"/>
        <v/>
      </c>
      <c r="AK497" s="54">
        <f t="shared" si="95"/>
        <v>0.25566606157215244</v>
      </c>
    </row>
    <row r="498" spans="9:37" x14ac:dyDescent="0.45">
      <c r="I498" s="2">
        <v>64.400000000000006</v>
      </c>
      <c r="J498" s="2">
        <v>1.2664399999999999E-2</v>
      </c>
      <c r="K498" s="2">
        <v>7.5208000000000002E-3</v>
      </c>
      <c r="R498" s="2">
        <v>21.74</v>
      </c>
      <c r="S498" s="2">
        <v>5.7556000000000003E-4</v>
      </c>
      <c r="T498" s="2">
        <v>2.0440000000000001E-4</v>
      </c>
      <c r="V498" s="11"/>
      <c r="W498" s="6"/>
      <c r="X498" s="6">
        <v>4.79</v>
      </c>
      <c r="Y498" s="11" t="str">
        <f t="shared" si="96"/>
        <v/>
      </c>
      <c r="Z498" s="6" t="str">
        <f t="shared" si="97"/>
        <v/>
      </c>
      <c r="AA498" s="23">
        <f t="shared" si="98"/>
        <v>34.79</v>
      </c>
      <c r="AB498" t="str">
        <f t="shared" si="87"/>
        <v/>
      </c>
      <c r="AC498" t="str">
        <f t="shared" si="88"/>
        <v/>
      </c>
      <c r="AD498">
        <f t="shared" si="89"/>
        <v>6.6832999999999997E-4</v>
      </c>
      <c r="AE498" s="18" t="str">
        <f t="shared" si="90"/>
        <v/>
      </c>
      <c r="AF498" s="7" t="str">
        <f t="shared" si="91"/>
        <v/>
      </c>
      <c r="AG498" s="12">
        <f t="shared" si="92"/>
        <v>0.99703824677337638</v>
      </c>
      <c r="AI498" s="54" t="str">
        <f t="shared" si="93"/>
        <v/>
      </c>
      <c r="AJ498" s="54" t="str">
        <f t="shared" si="94"/>
        <v/>
      </c>
      <c r="AK498" s="54">
        <f t="shared" si="95"/>
        <v>0.25625424723390072</v>
      </c>
    </row>
    <row r="499" spans="9:37" x14ac:dyDescent="0.45">
      <c r="I499" s="2">
        <v>64.5</v>
      </c>
      <c r="J499" s="2">
        <v>1.2810999999999999E-2</v>
      </c>
      <c r="K499" s="2">
        <v>7.5975000000000001E-3</v>
      </c>
      <c r="R499" s="2">
        <v>21.75</v>
      </c>
      <c r="S499" s="2">
        <v>5.7549999999999995E-4</v>
      </c>
      <c r="T499" s="2">
        <v>2.0450000000000001E-4</v>
      </c>
      <c r="V499" s="11"/>
      <c r="W499" s="6"/>
      <c r="X499" s="6">
        <v>4.8</v>
      </c>
      <c r="Y499" s="11" t="str">
        <f t="shared" si="96"/>
        <v/>
      </c>
      <c r="Z499" s="6" t="str">
        <f t="shared" si="97"/>
        <v/>
      </c>
      <c r="AA499" s="23">
        <f t="shared" si="98"/>
        <v>34.799999999999997</v>
      </c>
      <c r="AB499" t="str">
        <f t="shared" si="87"/>
        <v/>
      </c>
      <c r="AC499" t="str">
        <f t="shared" si="88"/>
        <v/>
      </c>
      <c r="AD499">
        <f t="shared" si="89"/>
        <v>6.6859999999999999E-4</v>
      </c>
      <c r="AE499" s="18" t="str">
        <f t="shared" si="90"/>
        <v/>
      </c>
      <c r="AF499" s="7" t="str">
        <f t="shared" si="91"/>
        <v/>
      </c>
      <c r="AG499" s="12">
        <f t="shared" si="92"/>
        <v>0.99703158326766173</v>
      </c>
      <c r="AI499" s="54" t="str">
        <f t="shared" si="93"/>
        <v/>
      </c>
      <c r="AJ499" s="54" t="str">
        <f t="shared" si="94"/>
        <v/>
      </c>
      <c r="AK499" s="54">
        <f t="shared" si="95"/>
        <v>0.25684267009123329</v>
      </c>
    </row>
    <row r="500" spans="9:37" x14ac:dyDescent="0.45">
      <c r="I500" s="2">
        <v>64.599999999999994</v>
      </c>
      <c r="J500" s="2">
        <v>1.29576E-2</v>
      </c>
      <c r="K500" s="2">
        <v>7.6741999999999999E-3</v>
      </c>
      <c r="R500" s="2">
        <v>21.76</v>
      </c>
      <c r="S500" s="2">
        <v>5.7543999999999998E-4</v>
      </c>
      <c r="T500" s="2">
        <v>2.0460000000000001E-4</v>
      </c>
      <c r="V500" s="11"/>
      <c r="W500" s="6"/>
      <c r="X500" s="6">
        <v>4.8100000000000005</v>
      </c>
      <c r="Y500" s="11" t="str">
        <f t="shared" si="96"/>
        <v/>
      </c>
      <c r="Z500" s="6" t="str">
        <f t="shared" si="97"/>
        <v/>
      </c>
      <c r="AA500" s="23">
        <f t="shared" si="98"/>
        <v>34.81</v>
      </c>
      <c r="AB500" t="str">
        <f t="shared" si="87"/>
        <v/>
      </c>
      <c r="AC500" t="str">
        <f t="shared" si="88"/>
        <v/>
      </c>
      <c r="AD500">
        <f t="shared" si="89"/>
        <v>6.6887000000000001E-4</v>
      </c>
      <c r="AE500" s="18" t="str">
        <f t="shared" si="90"/>
        <v/>
      </c>
      <c r="AF500" s="7" t="str">
        <f t="shared" si="91"/>
        <v/>
      </c>
      <c r="AG500" s="12">
        <f t="shared" si="92"/>
        <v>0.99702491711449603</v>
      </c>
      <c r="AI500" s="54" t="str">
        <f t="shared" si="93"/>
        <v/>
      </c>
      <c r="AJ500" s="54" t="str">
        <f t="shared" si="94"/>
        <v/>
      </c>
      <c r="AK500" s="54">
        <f t="shared" si="95"/>
        <v>0.2574313302437905</v>
      </c>
    </row>
    <row r="501" spans="9:37" x14ac:dyDescent="0.45">
      <c r="I501" s="2">
        <v>64.7</v>
      </c>
      <c r="J501" s="2">
        <v>1.31042E-2</v>
      </c>
      <c r="K501" s="2">
        <v>7.7508999999999998E-3</v>
      </c>
      <c r="R501" s="2">
        <v>21.77</v>
      </c>
      <c r="S501" s="2">
        <v>5.7538000000000001E-4</v>
      </c>
      <c r="T501" s="2">
        <v>2.0469999999999999E-4</v>
      </c>
      <c r="V501" s="11"/>
      <c r="W501" s="6"/>
      <c r="X501" s="6">
        <v>4.82</v>
      </c>
      <c r="Y501" s="11" t="str">
        <f t="shared" si="96"/>
        <v/>
      </c>
      <c r="Z501" s="6" t="str">
        <f t="shared" si="97"/>
        <v/>
      </c>
      <c r="AA501" s="23">
        <f t="shared" si="98"/>
        <v>34.82</v>
      </c>
      <c r="AB501" t="str">
        <f t="shared" si="87"/>
        <v/>
      </c>
      <c r="AC501" t="str">
        <f t="shared" si="88"/>
        <v/>
      </c>
      <c r="AD501">
        <f t="shared" si="89"/>
        <v>6.6914000000000003E-4</v>
      </c>
      <c r="AE501" s="18" t="str">
        <f t="shared" si="90"/>
        <v/>
      </c>
      <c r="AF501" s="7" t="str">
        <f t="shared" si="91"/>
        <v/>
      </c>
      <c r="AG501" s="12">
        <f t="shared" si="92"/>
        <v>0.99701824831393293</v>
      </c>
      <c r="AI501" s="54" t="str">
        <f t="shared" si="93"/>
        <v/>
      </c>
      <c r="AJ501" s="54" t="str">
        <f t="shared" si="94"/>
        <v/>
      </c>
      <c r="AK501" s="54">
        <f t="shared" si="95"/>
        <v>0.25802022779125511</v>
      </c>
    </row>
    <row r="502" spans="9:37" x14ac:dyDescent="0.45">
      <c r="I502" s="2">
        <v>64.8</v>
      </c>
      <c r="J502" s="2">
        <v>1.32508E-2</v>
      </c>
      <c r="K502" s="2">
        <v>7.8276000000000005E-3</v>
      </c>
      <c r="R502" s="2">
        <v>21.78</v>
      </c>
      <c r="S502" s="2">
        <v>5.7532000000000004E-4</v>
      </c>
      <c r="T502" s="2">
        <v>2.0479999999999999E-4</v>
      </c>
      <c r="V502" s="11"/>
      <c r="W502" s="6"/>
      <c r="X502" s="6">
        <v>4.83</v>
      </c>
      <c r="Y502" s="11" t="str">
        <f t="shared" si="96"/>
        <v/>
      </c>
      <c r="Z502" s="6" t="str">
        <f t="shared" si="97"/>
        <v/>
      </c>
      <c r="AA502" s="23">
        <f t="shared" si="98"/>
        <v>34.83</v>
      </c>
      <c r="AB502" t="str">
        <f t="shared" si="87"/>
        <v/>
      </c>
      <c r="AC502" t="str">
        <f t="shared" si="88"/>
        <v/>
      </c>
      <c r="AD502">
        <f t="shared" si="89"/>
        <v>6.6940999999999995E-4</v>
      </c>
      <c r="AE502" s="18" t="str">
        <f t="shared" si="90"/>
        <v/>
      </c>
      <c r="AF502" s="7" t="str">
        <f t="shared" si="91"/>
        <v/>
      </c>
      <c r="AG502" s="12">
        <f t="shared" si="92"/>
        <v>0.99701157686602615</v>
      </c>
      <c r="AI502" s="54" t="str">
        <f t="shared" si="93"/>
        <v/>
      </c>
      <c r="AJ502" s="54" t="str">
        <f t="shared" si="94"/>
        <v/>
      </c>
      <c r="AK502" s="54">
        <f t="shared" si="95"/>
        <v>0.25860936283335234</v>
      </c>
    </row>
    <row r="503" spans="9:37" x14ac:dyDescent="0.45">
      <c r="I503" s="2">
        <v>64.900000000000006</v>
      </c>
      <c r="J503" s="2">
        <v>1.33974E-2</v>
      </c>
      <c r="K503" s="2">
        <v>7.9042999999999995E-3</v>
      </c>
      <c r="R503" s="2">
        <v>21.79</v>
      </c>
      <c r="S503" s="2">
        <v>5.7525999999999996E-4</v>
      </c>
      <c r="T503" s="2">
        <v>2.0489999999999999E-4</v>
      </c>
      <c r="V503" s="11"/>
      <c r="W503" s="6"/>
      <c r="X503" s="6">
        <v>4.84</v>
      </c>
      <c r="Y503" s="11" t="str">
        <f t="shared" si="96"/>
        <v/>
      </c>
      <c r="Z503" s="6" t="str">
        <f t="shared" si="97"/>
        <v/>
      </c>
      <c r="AA503" s="23">
        <f t="shared" si="98"/>
        <v>34.840000000000003</v>
      </c>
      <c r="AB503" t="str">
        <f t="shared" si="87"/>
        <v/>
      </c>
      <c r="AC503" t="str">
        <f t="shared" si="88"/>
        <v/>
      </c>
      <c r="AD503">
        <f t="shared" si="89"/>
        <v>6.6967999999999997E-4</v>
      </c>
      <c r="AE503" s="18" t="str">
        <f t="shared" si="90"/>
        <v/>
      </c>
      <c r="AF503" s="7" t="str">
        <f t="shared" si="91"/>
        <v/>
      </c>
      <c r="AG503" s="12">
        <f t="shared" si="92"/>
        <v>0.99700490277082943</v>
      </c>
      <c r="AI503" s="54" t="str">
        <f t="shared" si="93"/>
        <v/>
      </c>
      <c r="AJ503" s="54" t="str">
        <f t="shared" si="94"/>
        <v/>
      </c>
      <c r="AK503" s="54">
        <f t="shared" si="95"/>
        <v>0.25919873546984989</v>
      </c>
    </row>
    <row r="504" spans="9:37" x14ac:dyDescent="0.45">
      <c r="I504" s="2">
        <v>65</v>
      </c>
      <c r="J504" s="2">
        <v>1.3544E-2</v>
      </c>
      <c r="K504" s="2">
        <v>7.9810000000000002E-3</v>
      </c>
      <c r="R504" s="2">
        <v>21.8</v>
      </c>
      <c r="S504" s="2">
        <v>5.752E-4</v>
      </c>
      <c r="T504" s="2">
        <v>2.05E-4</v>
      </c>
      <c r="V504" s="11"/>
      <c r="W504" s="6"/>
      <c r="X504" s="6">
        <v>4.8500000000000005</v>
      </c>
      <c r="Y504" s="11" t="str">
        <f t="shared" si="96"/>
        <v/>
      </c>
      <c r="Z504" s="6" t="str">
        <f t="shared" si="97"/>
        <v/>
      </c>
      <c r="AA504" s="23">
        <f t="shared" si="98"/>
        <v>34.85</v>
      </c>
      <c r="AB504" t="str">
        <f t="shared" si="87"/>
        <v/>
      </c>
      <c r="AC504" t="str">
        <f t="shared" si="88"/>
        <v/>
      </c>
      <c r="AD504">
        <f t="shared" si="89"/>
        <v>6.6994999999999999E-4</v>
      </c>
      <c r="AE504" s="18" t="str">
        <f t="shared" si="90"/>
        <v/>
      </c>
      <c r="AF504" s="7" t="str">
        <f t="shared" si="91"/>
        <v/>
      </c>
      <c r="AG504" s="12">
        <f t="shared" si="92"/>
        <v>0.99699822602839661</v>
      </c>
      <c r="AI504" s="54" t="str">
        <f t="shared" si="93"/>
        <v/>
      </c>
      <c r="AJ504" s="54" t="str">
        <f t="shared" si="94"/>
        <v/>
      </c>
      <c r="AK504" s="54">
        <f t="shared" si="95"/>
        <v>0.25978834580055804</v>
      </c>
    </row>
    <row r="505" spans="9:37" x14ac:dyDescent="0.45">
      <c r="I505" s="2">
        <v>65.099999999999994</v>
      </c>
      <c r="J505" s="2">
        <v>1.3707199999999999E-2</v>
      </c>
      <c r="K505" s="2">
        <v>8.0662000000000008E-3</v>
      </c>
      <c r="R505" s="2">
        <v>21.81</v>
      </c>
      <c r="S505" s="2">
        <v>5.7514000000000003E-4</v>
      </c>
      <c r="T505" s="2">
        <v>2.051E-4</v>
      </c>
      <c r="V505" s="11"/>
      <c r="W505" s="6"/>
      <c r="X505" s="6">
        <v>4.8600000000000003</v>
      </c>
      <c r="Y505" s="11" t="str">
        <f t="shared" si="96"/>
        <v/>
      </c>
      <c r="Z505" s="6" t="str">
        <f t="shared" si="97"/>
        <v/>
      </c>
      <c r="AA505" s="23">
        <f t="shared" si="98"/>
        <v>34.86</v>
      </c>
      <c r="AB505" t="str">
        <f t="shared" si="87"/>
        <v/>
      </c>
      <c r="AC505" t="str">
        <f t="shared" si="88"/>
        <v/>
      </c>
      <c r="AD505">
        <f t="shared" si="89"/>
        <v>6.7022000000000002E-4</v>
      </c>
      <c r="AE505" s="18" t="str">
        <f t="shared" si="90"/>
        <v/>
      </c>
      <c r="AF505" s="7" t="str">
        <f t="shared" si="91"/>
        <v/>
      </c>
      <c r="AG505" s="12">
        <f t="shared" si="92"/>
        <v>0.99699154663878131</v>
      </c>
      <c r="AI505" s="54" t="str">
        <f t="shared" si="93"/>
        <v/>
      </c>
      <c r="AJ505" s="54" t="str">
        <f t="shared" si="94"/>
        <v/>
      </c>
      <c r="AK505" s="54">
        <f t="shared" si="95"/>
        <v>0.26037819392532946</v>
      </c>
    </row>
    <row r="506" spans="9:37" x14ac:dyDescent="0.45">
      <c r="I506" s="2">
        <v>65.2</v>
      </c>
      <c r="J506" s="2">
        <v>1.38704E-2</v>
      </c>
      <c r="K506" s="2">
        <v>8.1513999999999996E-3</v>
      </c>
      <c r="R506" s="2">
        <v>21.82</v>
      </c>
      <c r="S506" s="2">
        <v>5.7507999999999995E-4</v>
      </c>
      <c r="T506" s="2">
        <v>2.052E-4</v>
      </c>
      <c r="V506" s="11"/>
      <c r="W506" s="6"/>
      <c r="X506" s="6">
        <v>4.87</v>
      </c>
      <c r="Y506" s="11" t="str">
        <f t="shared" si="96"/>
        <v/>
      </c>
      <c r="Z506" s="6" t="str">
        <f t="shared" si="97"/>
        <v/>
      </c>
      <c r="AA506" s="23">
        <f t="shared" si="98"/>
        <v>34.869999999999997</v>
      </c>
      <c r="AB506" t="str">
        <f t="shared" si="87"/>
        <v/>
      </c>
      <c r="AC506" t="str">
        <f t="shared" si="88"/>
        <v/>
      </c>
      <c r="AD506">
        <f t="shared" si="89"/>
        <v>6.7049000000000004E-4</v>
      </c>
      <c r="AE506" s="18" t="str">
        <f t="shared" si="90"/>
        <v/>
      </c>
      <c r="AF506" s="7" t="str">
        <f t="shared" si="91"/>
        <v/>
      </c>
      <c r="AG506" s="12">
        <f t="shared" si="92"/>
        <v>0.99698486460203739</v>
      </c>
      <c r="AI506" s="54" t="str">
        <f t="shared" si="93"/>
        <v/>
      </c>
      <c r="AJ506" s="54" t="str">
        <f t="shared" si="94"/>
        <v/>
      </c>
      <c r="AK506" s="54">
        <f t="shared" si="95"/>
        <v>0.26096827994405941</v>
      </c>
    </row>
    <row r="507" spans="9:37" x14ac:dyDescent="0.45">
      <c r="I507" s="2">
        <v>65.3</v>
      </c>
      <c r="J507" s="2">
        <v>1.40336E-2</v>
      </c>
      <c r="K507" s="2">
        <v>8.2366000000000002E-3</v>
      </c>
      <c r="R507" s="2">
        <v>21.83</v>
      </c>
      <c r="S507" s="2">
        <v>5.7501999999999998E-4</v>
      </c>
      <c r="T507" s="2">
        <v>2.053E-4</v>
      </c>
      <c r="V507" s="11"/>
      <c r="W507" s="6"/>
      <c r="X507" s="6">
        <v>4.88</v>
      </c>
      <c r="Y507" s="11" t="str">
        <f t="shared" si="96"/>
        <v/>
      </c>
      <c r="Z507" s="6" t="str">
        <f t="shared" si="97"/>
        <v/>
      </c>
      <c r="AA507" s="23">
        <f t="shared" si="98"/>
        <v>34.880000000000003</v>
      </c>
      <c r="AB507" t="str">
        <f t="shared" si="87"/>
        <v/>
      </c>
      <c r="AC507" t="str">
        <f t="shared" si="88"/>
        <v/>
      </c>
      <c r="AD507">
        <f t="shared" si="89"/>
        <v>6.7075999999999995E-4</v>
      </c>
      <c r="AE507" s="18" t="str">
        <f t="shared" si="90"/>
        <v/>
      </c>
      <c r="AF507" s="7" t="str">
        <f t="shared" si="91"/>
        <v/>
      </c>
      <c r="AG507" s="12">
        <f t="shared" si="92"/>
        <v>0.99697817991821869</v>
      </c>
      <c r="AI507" s="54" t="str">
        <f t="shared" si="93"/>
        <v/>
      </c>
      <c r="AJ507" s="54" t="str">
        <f t="shared" si="94"/>
        <v/>
      </c>
      <c r="AK507" s="54">
        <f t="shared" si="95"/>
        <v>0.26155860395668573</v>
      </c>
    </row>
    <row r="508" spans="9:37" x14ac:dyDescent="0.45">
      <c r="I508" s="2">
        <v>65.400000000000006</v>
      </c>
      <c r="J508" s="2">
        <v>1.4196800000000001E-2</v>
      </c>
      <c r="K508" s="2">
        <v>8.3218000000000007E-3</v>
      </c>
      <c r="R508" s="2">
        <v>21.84</v>
      </c>
      <c r="S508" s="2">
        <v>5.7496000000000001E-4</v>
      </c>
      <c r="T508" s="2">
        <v>2.0540000000000001E-4</v>
      </c>
      <c r="V508" s="11"/>
      <c r="W508" s="6"/>
      <c r="X508" s="6">
        <v>4.8899999999999997</v>
      </c>
      <c r="Y508" s="11" t="str">
        <f t="shared" si="96"/>
        <v/>
      </c>
      <c r="Z508" s="6" t="str">
        <f t="shared" si="97"/>
        <v/>
      </c>
      <c r="AA508" s="23">
        <f t="shared" si="98"/>
        <v>34.89</v>
      </c>
      <c r="AB508" t="str">
        <f t="shared" si="87"/>
        <v/>
      </c>
      <c r="AC508" t="str">
        <f t="shared" si="88"/>
        <v/>
      </c>
      <c r="AD508">
        <f t="shared" si="89"/>
        <v>6.7102999999999998E-4</v>
      </c>
      <c r="AE508" s="18" t="str">
        <f t="shared" si="90"/>
        <v/>
      </c>
      <c r="AF508" s="7" t="str">
        <f t="shared" si="91"/>
        <v/>
      </c>
      <c r="AG508" s="12">
        <f t="shared" si="92"/>
        <v>0.99697149258737905</v>
      </c>
      <c r="AI508" s="54" t="str">
        <f t="shared" si="93"/>
        <v/>
      </c>
      <c r="AJ508" s="54" t="str">
        <f t="shared" si="94"/>
        <v/>
      </c>
      <c r="AK508" s="54">
        <f t="shared" si="95"/>
        <v>0.26214916606318878</v>
      </c>
    </row>
    <row r="509" spans="9:37" x14ac:dyDescent="0.45">
      <c r="I509" s="2">
        <v>65.5</v>
      </c>
      <c r="J509" s="2">
        <v>1.436E-2</v>
      </c>
      <c r="K509" s="2">
        <v>8.4069999999999995E-3</v>
      </c>
      <c r="R509" s="2">
        <v>21.85</v>
      </c>
      <c r="S509" s="2">
        <v>5.7490000000000004E-4</v>
      </c>
      <c r="T509" s="2">
        <v>2.0550000000000001E-4</v>
      </c>
      <c r="V509" s="11"/>
      <c r="W509" s="6"/>
      <c r="X509" s="6">
        <v>4.9000000000000004</v>
      </c>
      <c r="Y509" s="11" t="str">
        <f t="shared" si="96"/>
        <v/>
      </c>
      <c r="Z509" s="6" t="str">
        <f t="shared" si="97"/>
        <v/>
      </c>
      <c r="AA509" s="23">
        <f t="shared" si="98"/>
        <v>34.9</v>
      </c>
      <c r="AB509" t="str">
        <f t="shared" si="87"/>
        <v/>
      </c>
      <c r="AC509" t="str">
        <f t="shared" si="88"/>
        <v/>
      </c>
      <c r="AD509">
        <f t="shared" si="89"/>
        <v>6.713E-4</v>
      </c>
      <c r="AE509" s="18" t="str">
        <f t="shared" si="90"/>
        <v/>
      </c>
      <c r="AF509" s="7" t="str">
        <f t="shared" si="91"/>
        <v/>
      </c>
      <c r="AG509" s="12">
        <f t="shared" si="92"/>
        <v>0.99696480260957232</v>
      </c>
      <c r="AI509" s="54" t="str">
        <f t="shared" si="93"/>
        <v/>
      </c>
      <c r="AJ509" s="54" t="str">
        <f t="shared" si="94"/>
        <v/>
      </c>
      <c r="AK509" s="54">
        <f t="shared" si="95"/>
        <v>0.26273996636359159</v>
      </c>
    </row>
    <row r="510" spans="9:37" x14ac:dyDescent="0.45">
      <c r="I510" s="2">
        <v>65.599999999999994</v>
      </c>
      <c r="J510" s="2">
        <v>1.45232E-2</v>
      </c>
      <c r="K510" s="2">
        <v>8.4922000000000001E-3</v>
      </c>
      <c r="R510" s="2">
        <v>21.86</v>
      </c>
      <c r="S510" s="2">
        <v>5.7483999999999996E-4</v>
      </c>
      <c r="T510" s="2">
        <v>2.0560000000000001E-4</v>
      </c>
      <c r="V510" s="11"/>
      <c r="W510" s="6"/>
      <c r="X510" s="6">
        <v>4.91</v>
      </c>
      <c r="Y510" s="11" t="str">
        <f t="shared" si="96"/>
        <v/>
      </c>
      <c r="Z510" s="6" t="str">
        <f t="shared" si="97"/>
        <v/>
      </c>
      <c r="AA510" s="23">
        <f t="shared" si="98"/>
        <v>34.909999999999997</v>
      </c>
      <c r="AB510" t="str">
        <f t="shared" si="87"/>
        <v/>
      </c>
      <c r="AC510" t="str">
        <f t="shared" si="88"/>
        <v/>
      </c>
      <c r="AD510">
        <f t="shared" si="89"/>
        <v>6.7157000000000002E-4</v>
      </c>
      <c r="AE510" s="18" t="str">
        <f t="shared" si="90"/>
        <v/>
      </c>
      <c r="AF510" s="7" t="str">
        <f t="shared" si="91"/>
        <v/>
      </c>
      <c r="AG510" s="12">
        <f t="shared" si="92"/>
        <v>0.99695810998485235</v>
      </c>
      <c r="AI510" s="54" t="str">
        <f t="shared" si="93"/>
        <v/>
      </c>
      <c r="AJ510" s="54" t="str">
        <f t="shared" si="94"/>
        <v/>
      </c>
      <c r="AK510" s="54">
        <f t="shared" si="95"/>
        <v>0.26333100495795975</v>
      </c>
    </row>
    <row r="511" spans="9:37" x14ac:dyDescent="0.45">
      <c r="I511" s="2">
        <v>65.7</v>
      </c>
      <c r="J511" s="2">
        <v>1.46864E-2</v>
      </c>
      <c r="K511" s="2">
        <v>8.5774000000000006E-3</v>
      </c>
      <c r="R511" s="2">
        <v>21.87</v>
      </c>
      <c r="S511" s="2">
        <v>5.7478E-4</v>
      </c>
      <c r="T511" s="2">
        <v>2.0570000000000001E-4</v>
      </c>
      <c r="V511" s="11"/>
      <c r="W511" s="6"/>
      <c r="X511" s="6">
        <v>4.92</v>
      </c>
      <c r="Y511" s="11" t="str">
        <f t="shared" si="96"/>
        <v/>
      </c>
      <c r="Z511" s="6" t="str">
        <f t="shared" si="97"/>
        <v/>
      </c>
      <c r="AA511" s="23">
        <f t="shared" si="98"/>
        <v>34.92</v>
      </c>
      <c r="AB511" t="str">
        <f t="shared" si="87"/>
        <v/>
      </c>
      <c r="AC511" t="str">
        <f t="shared" si="88"/>
        <v/>
      </c>
      <c r="AD511">
        <f t="shared" si="89"/>
        <v>6.7184000000000005E-4</v>
      </c>
      <c r="AE511" s="18" t="str">
        <f t="shared" si="90"/>
        <v/>
      </c>
      <c r="AF511" s="7" t="str">
        <f t="shared" si="91"/>
        <v/>
      </c>
      <c r="AG511" s="12">
        <f t="shared" si="92"/>
        <v>0.99695141471327309</v>
      </c>
      <c r="AI511" s="54" t="str">
        <f t="shared" si="93"/>
        <v/>
      </c>
      <c r="AJ511" s="54" t="str">
        <f t="shared" si="94"/>
        <v/>
      </c>
      <c r="AK511" s="54">
        <f t="shared" si="95"/>
        <v>0.26392228194640144</v>
      </c>
    </row>
    <row r="512" spans="9:37" x14ac:dyDescent="0.45">
      <c r="I512" s="2">
        <v>65.8</v>
      </c>
      <c r="J512" s="2">
        <v>1.4849599999999999E-2</v>
      </c>
      <c r="K512" s="2">
        <v>8.6625999999999995E-3</v>
      </c>
      <c r="R512" s="2">
        <v>21.88</v>
      </c>
      <c r="S512" s="2">
        <v>5.7472000000000003E-4</v>
      </c>
      <c r="T512" s="2">
        <v>2.0579999999999999E-4</v>
      </c>
      <c r="V512" s="11"/>
      <c r="W512" s="6"/>
      <c r="X512" s="6">
        <v>4.93</v>
      </c>
      <c r="Y512" s="11" t="str">
        <f t="shared" si="96"/>
        <v/>
      </c>
      <c r="Z512" s="6" t="str">
        <f t="shared" si="97"/>
        <v/>
      </c>
      <c r="AA512" s="23">
        <f t="shared" si="98"/>
        <v>34.93</v>
      </c>
      <c r="AB512" t="str">
        <f t="shared" si="87"/>
        <v/>
      </c>
      <c r="AC512" t="str">
        <f t="shared" si="88"/>
        <v/>
      </c>
      <c r="AD512">
        <f t="shared" si="89"/>
        <v>6.7210999999999996E-4</v>
      </c>
      <c r="AE512" s="18" t="str">
        <f t="shared" si="90"/>
        <v/>
      </c>
      <c r="AF512" s="7" t="str">
        <f t="shared" si="91"/>
        <v/>
      </c>
      <c r="AG512" s="12">
        <f t="shared" si="92"/>
        <v>0.9969447167948885</v>
      </c>
      <c r="AI512" s="54" t="str">
        <f t="shared" si="93"/>
        <v/>
      </c>
      <c r="AJ512" s="54" t="str">
        <f t="shared" si="94"/>
        <v/>
      </c>
      <c r="AK512" s="54">
        <f t="shared" si="95"/>
        <v>0.2645137974290675</v>
      </c>
    </row>
    <row r="513" spans="9:37" x14ac:dyDescent="0.45">
      <c r="I513" s="2">
        <v>65.900000000000006</v>
      </c>
      <c r="J513" s="2">
        <v>1.50128E-2</v>
      </c>
      <c r="K513" s="2">
        <v>8.7478E-3</v>
      </c>
      <c r="R513" s="2">
        <v>21.89</v>
      </c>
      <c r="S513" s="2">
        <v>5.7465999999999995E-4</v>
      </c>
      <c r="T513" s="2">
        <v>2.0589999999999999E-4</v>
      </c>
      <c r="V513" s="11"/>
      <c r="W513" s="6"/>
      <c r="X513" s="6">
        <v>4.9400000000000004</v>
      </c>
      <c r="Y513" s="11" t="str">
        <f t="shared" si="96"/>
        <v/>
      </c>
      <c r="Z513" s="6" t="str">
        <f t="shared" si="97"/>
        <v/>
      </c>
      <c r="AA513" s="23">
        <f t="shared" si="98"/>
        <v>34.94</v>
      </c>
      <c r="AB513" t="str">
        <f t="shared" si="87"/>
        <v/>
      </c>
      <c r="AC513" t="str">
        <f t="shared" si="88"/>
        <v/>
      </c>
      <c r="AD513">
        <f t="shared" si="89"/>
        <v>6.7237999999999998E-4</v>
      </c>
      <c r="AE513" s="18" t="str">
        <f t="shared" si="90"/>
        <v/>
      </c>
      <c r="AF513" s="7" t="str">
        <f t="shared" si="91"/>
        <v/>
      </c>
      <c r="AG513" s="12">
        <f t="shared" si="92"/>
        <v>0.99693801622975242</v>
      </c>
      <c r="AI513" s="54" t="str">
        <f t="shared" si="93"/>
        <v/>
      </c>
      <c r="AJ513" s="54" t="str">
        <f t="shared" si="94"/>
        <v/>
      </c>
      <c r="AK513" s="54">
        <f t="shared" si="95"/>
        <v>0.2651055515061515</v>
      </c>
    </row>
    <row r="514" spans="9:37" x14ac:dyDescent="0.45">
      <c r="I514" s="2">
        <v>66</v>
      </c>
      <c r="J514" s="2">
        <v>1.5176E-2</v>
      </c>
      <c r="K514" s="2">
        <v>8.8330000000000006E-3</v>
      </c>
      <c r="R514" s="2">
        <v>21.9</v>
      </c>
      <c r="S514" s="2">
        <v>5.7459999999999998E-4</v>
      </c>
      <c r="T514" s="2">
        <v>2.0599999999999999E-4</v>
      </c>
      <c r="V514" s="11"/>
      <c r="W514" s="6"/>
      <c r="X514" s="6">
        <v>4.95</v>
      </c>
      <c r="Y514" s="11" t="str">
        <f t="shared" si="96"/>
        <v/>
      </c>
      <c r="Z514" s="6" t="str">
        <f t="shared" si="97"/>
        <v/>
      </c>
      <c r="AA514" s="23">
        <f t="shared" si="98"/>
        <v>34.950000000000003</v>
      </c>
      <c r="AB514" t="str">
        <f t="shared" si="87"/>
        <v/>
      </c>
      <c r="AC514" t="str">
        <f t="shared" si="88"/>
        <v/>
      </c>
      <c r="AD514">
        <f t="shared" si="89"/>
        <v>6.7265000000000001E-4</v>
      </c>
      <c r="AE514" s="18" t="str">
        <f t="shared" si="90"/>
        <v/>
      </c>
      <c r="AF514" s="7" t="str">
        <f t="shared" si="91"/>
        <v/>
      </c>
      <c r="AG514" s="12">
        <f t="shared" si="92"/>
        <v>0.99693131301791893</v>
      </c>
      <c r="AI514" s="54" t="str">
        <f t="shared" si="93"/>
        <v/>
      </c>
      <c r="AJ514" s="54" t="str">
        <f t="shared" si="94"/>
        <v/>
      </c>
      <c r="AK514" s="54">
        <f t="shared" si="95"/>
        <v>0.26569754427788966</v>
      </c>
    </row>
    <row r="515" spans="9:37" x14ac:dyDescent="0.45">
      <c r="I515" s="2">
        <v>66.099999999999994</v>
      </c>
      <c r="J515" s="2">
        <v>1.53577E-2</v>
      </c>
      <c r="K515" s="2">
        <v>8.9274000000000003E-3</v>
      </c>
      <c r="R515" s="2">
        <v>21.91</v>
      </c>
      <c r="S515" s="2">
        <v>5.7454000000000001E-4</v>
      </c>
      <c r="T515" s="2">
        <v>2.061E-4</v>
      </c>
      <c r="V515" s="11"/>
      <c r="W515" s="6"/>
      <c r="X515" s="6">
        <v>4.96</v>
      </c>
      <c r="Y515" s="11" t="str">
        <f t="shared" si="96"/>
        <v/>
      </c>
      <c r="Z515" s="6" t="str">
        <f t="shared" si="97"/>
        <v/>
      </c>
      <c r="AA515" s="23">
        <f t="shared" si="98"/>
        <v>34.96</v>
      </c>
      <c r="AB515" t="str">
        <f t="shared" si="87"/>
        <v/>
      </c>
      <c r="AC515" t="str">
        <f t="shared" si="88"/>
        <v/>
      </c>
      <c r="AD515">
        <f t="shared" si="89"/>
        <v>6.7292000000000003E-4</v>
      </c>
      <c r="AE515" s="18" t="str">
        <f t="shared" si="90"/>
        <v/>
      </c>
      <c r="AF515" s="7" t="str">
        <f t="shared" si="91"/>
        <v/>
      </c>
      <c r="AG515" s="12">
        <f t="shared" si="92"/>
        <v>0.99692460715944187</v>
      </c>
      <c r="AI515" s="54" t="str">
        <f t="shared" si="93"/>
        <v/>
      </c>
      <c r="AJ515" s="54" t="str">
        <f t="shared" si="94"/>
        <v/>
      </c>
      <c r="AK515" s="54">
        <f t="shared" si="95"/>
        <v>0.26628977584456087</v>
      </c>
    </row>
    <row r="516" spans="9:37" x14ac:dyDescent="0.45">
      <c r="I516" s="2">
        <v>66.2</v>
      </c>
      <c r="J516" s="2">
        <v>1.55394E-2</v>
      </c>
      <c r="K516" s="2">
        <v>9.0218E-3</v>
      </c>
      <c r="R516" s="2">
        <v>21.92</v>
      </c>
      <c r="S516" s="2">
        <v>5.7448000000000004E-4</v>
      </c>
      <c r="T516" s="2">
        <v>2.062E-4</v>
      </c>
      <c r="V516" s="11"/>
      <c r="W516" s="6"/>
      <c r="X516" s="6">
        <v>4.97</v>
      </c>
      <c r="Y516" s="11" t="str">
        <f t="shared" si="96"/>
        <v/>
      </c>
      <c r="Z516" s="6" t="str">
        <f t="shared" si="97"/>
        <v/>
      </c>
      <c r="AA516" s="23">
        <f t="shared" si="98"/>
        <v>34.97</v>
      </c>
      <c r="AB516" t="str">
        <f t="shared" si="87"/>
        <v/>
      </c>
      <c r="AC516" t="str">
        <f t="shared" si="88"/>
        <v/>
      </c>
      <c r="AD516">
        <f t="shared" si="89"/>
        <v>6.7319000000000005E-4</v>
      </c>
      <c r="AE516" s="18" t="str">
        <f t="shared" si="90"/>
        <v/>
      </c>
      <c r="AF516" s="7" t="str">
        <f t="shared" si="91"/>
        <v/>
      </c>
      <c r="AG516" s="12">
        <f t="shared" si="92"/>
        <v>0.99691789865437541</v>
      </c>
      <c r="AI516" s="54" t="str">
        <f t="shared" si="93"/>
        <v/>
      </c>
      <c r="AJ516" s="54" t="str">
        <f t="shared" si="94"/>
        <v/>
      </c>
      <c r="AK516" s="54">
        <f t="shared" si="95"/>
        <v>0.26688224630648683</v>
      </c>
    </row>
    <row r="517" spans="9:37" x14ac:dyDescent="0.45">
      <c r="I517" s="2">
        <v>66.3</v>
      </c>
      <c r="J517" s="2">
        <v>1.5721099999999998E-2</v>
      </c>
      <c r="K517" s="2">
        <v>9.1161999999999997E-3</v>
      </c>
      <c r="R517" s="2">
        <v>21.93</v>
      </c>
      <c r="S517" s="2">
        <v>5.7441999999999997E-4</v>
      </c>
      <c r="T517" s="2">
        <v>2.063E-4</v>
      </c>
      <c r="V517" s="11"/>
      <c r="W517" s="6"/>
      <c r="X517" s="6">
        <v>4.9800000000000004</v>
      </c>
      <c r="Y517" s="11" t="str">
        <f t="shared" si="96"/>
        <v/>
      </c>
      <c r="Z517" s="6" t="str">
        <f t="shared" si="97"/>
        <v/>
      </c>
      <c r="AA517" s="23">
        <f t="shared" si="98"/>
        <v>34.980000000000004</v>
      </c>
      <c r="AB517" t="str">
        <f t="shared" si="87"/>
        <v/>
      </c>
      <c r="AC517" t="str">
        <f t="shared" si="88"/>
        <v/>
      </c>
      <c r="AD517">
        <f t="shared" si="89"/>
        <v>6.7345999999999997E-4</v>
      </c>
      <c r="AE517" s="18" t="str">
        <f t="shared" si="90"/>
        <v/>
      </c>
      <c r="AF517" s="7" t="str">
        <f t="shared" si="91"/>
        <v/>
      </c>
      <c r="AG517" s="12">
        <f t="shared" si="92"/>
        <v>0.99691118750277341</v>
      </c>
      <c r="AI517" s="54" t="str">
        <f t="shared" si="93"/>
        <v/>
      </c>
      <c r="AJ517" s="54" t="str">
        <f t="shared" si="94"/>
        <v/>
      </c>
      <c r="AK517" s="54">
        <f t="shared" si="95"/>
        <v>0.26747495576403185</v>
      </c>
    </row>
    <row r="518" spans="9:37" x14ac:dyDescent="0.45">
      <c r="I518" s="2">
        <v>66.400000000000006</v>
      </c>
      <c r="J518" s="2">
        <v>1.5902800000000002E-2</v>
      </c>
      <c r="K518" s="2">
        <v>9.2105999999999993E-3</v>
      </c>
      <c r="R518" s="2">
        <v>21.94</v>
      </c>
      <c r="S518" s="2">
        <v>5.7436E-4</v>
      </c>
      <c r="T518" s="2">
        <v>2.064E-4</v>
      </c>
      <c r="V518" s="11"/>
      <c r="W518" s="6"/>
      <c r="X518" s="6">
        <v>4.99</v>
      </c>
      <c r="Y518" s="11" t="str">
        <f t="shared" si="96"/>
        <v/>
      </c>
      <c r="Z518" s="6" t="str">
        <f t="shared" si="97"/>
        <v/>
      </c>
      <c r="AA518" s="23">
        <f t="shared" si="98"/>
        <v>34.99</v>
      </c>
      <c r="AB518" t="str">
        <f t="shared" si="87"/>
        <v/>
      </c>
      <c r="AC518" t="str">
        <f t="shared" si="88"/>
        <v/>
      </c>
      <c r="AD518">
        <f t="shared" si="89"/>
        <v>6.7372999999999999E-4</v>
      </c>
      <c r="AE518" s="18" t="str">
        <f t="shared" si="90"/>
        <v/>
      </c>
      <c r="AF518" s="7" t="str">
        <f t="shared" si="91"/>
        <v/>
      </c>
      <c r="AG518" s="12">
        <f t="shared" si="92"/>
        <v>0.99690447370469004</v>
      </c>
      <c r="AI518" s="54" t="str">
        <f t="shared" si="93"/>
        <v/>
      </c>
      <c r="AJ518" s="54" t="str">
        <f t="shared" si="94"/>
        <v/>
      </c>
      <c r="AK518" s="54">
        <f t="shared" si="95"/>
        <v>0.26806790431760302</v>
      </c>
    </row>
    <row r="519" spans="9:37" x14ac:dyDescent="0.45">
      <c r="I519" s="2">
        <v>66.5</v>
      </c>
      <c r="J519" s="2">
        <v>1.6084500000000002E-2</v>
      </c>
      <c r="K519" s="2">
        <v>9.3050000000000008E-3</v>
      </c>
      <c r="R519" s="2">
        <v>21.95</v>
      </c>
      <c r="S519" s="2">
        <v>5.7430000000000003E-4</v>
      </c>
      <c r="T519" s="2">
        <v>2.065E-4</v>
      </c>
      <c r="V519" s="11"/>
      <c r="W519" s="6"/>
      <c r="X519" s="6">
        <v>5</v>
      </c>
      <c r="Y519" s="11" t="str">
        <f t="shared" si="96"/>
        <v/>
      </c>
      <c r="Z519" s="6" t="str">
        <f t="shared" si="97"/>
        <v/>
      </c>
      <c r="AA519" s="23">
        <f t="shared" si="98"/>
        <v>35</v>
      </c>
      <c r="AB519" t="str">
        <f t="shared" si="87"/>
        <v/>
      </c>
      <c r="AC519" t="str">
        <f t="shared" si="88"/>
        <v/>
      </c>
      <c r="AD519">
        <f t="shared" si="89"/>
        <v>6.7400000000000001E-4</v>
      </c>
      <c r="AE519" s="18" t="str">
        <f t="shared" si="90"/>
        <v/>
      </c>
      <c r="AF519" s="7" t="str">
        <f t="shared" si="91"/>
        <v/>
      </c>
      <c r="AG519" s="12">
        <f t="shared" si="92"/>
        <v>0.99689775726017937</v>
      </c>
      <c r="AI519" s="54" t="str">
        <f t="shared" si="93"/>
        <v/>
      </c>
      <c r="AJ519" s="54" t="str">
        <f t="shared" si="94"/>
        <v/>
      </c>
      <c r="AK519" s="54">
        <f t="shared" si="95"/>
        <v>0.26866109206765032</v>
      </c>
    </row>
    <row r="520" spans="9:37" x14ac:dyDescent="0.45">
      <c r="I520" s="2">
        <v>66.599999999999994</v>
      </c>
      <c r="J520" s="2">
        <v>1.6266200000000001E-2</v>
      </c>
      <c r="K520" s="2">
        <v>9.3994000000000005E-3</v>
      </c>
      <c r="R520" s="2">
        <v>21.96</v>
      </c>
      <c r="S520" s="2">
        <v>5.7423999999999995E-4</v>
      </c>
      <c r="T520" s="2">
        <v>2.0660000000000001E-4</v>
      </c>
      <c r="V520" s="11"/>
      <c r="W520" s="6"/>
      <c r="X520" s="6">
        <v>5.01</v>
      </c>
      <c r="Y520" s="11" t="str">
        <f t="shared" si="96"/>
        <v/>
      </c>
      <c r="Z520" s="6" t="str">
        <f t="shared" si="97"/>
        <v/>
      </c>
      <c r="AA520" s="23">
        <f t="shared" si="98"/>
        <v>35.01</v>
      </c>
      <c r="AB520" t="str">
        <f t="shared" si="87"/>
        <v/>
      </c>
      <c r="AC520" t="str">
        <f t="shared" si="88"/>
        <v/>
      </c>
      <c r="AD520">
        <f t="shared" si="89"/>
        <v>6.7431999999999995E-4</v>
      </c>
      <c r="AE520" s="18" t="str">
        <f t="shared" si="90"/>
        <v/>
      </c>
      <c r="AF520" s="7" t="str">
        <f t="shared" si="91"/>
        <v/>
      </c>
      <c r="AG520" s="12">
        <f t="shared" si="92"/>
        <v>0.99689103816929547</v>
      </c>
      <c r="AI520" s="54" t="str">
        <f t="shared" si="93"/>
        <v/>
      </c>
      <c r="AJ520" s="54" t="str">
        <f t="shared" si="94"/>
        <v/>
      </c>
      <c r="AK520" s="54">
        <f t="shared" si="95"/>
        <v>0.26925451911466641</v>
      </c>
    </row>
    <row r="521" spans="9:37" x14ac:dyDescent="0.45">
      <c r="I521" s="2">
        <v>66.7</v>
      </c>
      <c r="J521" s="2">
        <v>1.6447900000000001E-2</v>
      </c>
      <c r="K521" s="2">
        <v>9.4938000000000002E-3</v>
      </c>
      <c r="R521" s="2">
        <v>21.97</v>
      </c>
      <c r="S521" s="2">
        <v>5.7417999999999998E-4</v>
      </c>
      <c r="T521" s="2">
        <v>2.0670000000000001E-4</v>
      </c>
      <c r="V521" s="11"/>
      <c r="W521" s="6"/>
      <c r="X521" s="6">
        <v>5.0200000000000005</v>
      </c>
      <c r="Y521" s="11" t="str">
        <f t="shared" si="96"/>
        <v/>
      </c>
      <c r="Z521" s="6" t="str">
        <f t="shared" si="97"/>
        <v/>
      </c>
      <c r="AA521" s="23">
        <f t="shared" si="98"/>
        <v>35.020000000000003</v>
      </c>
      <c r="AB521" t="str">
        <f t="shared" si="87"/>
        <v/>
      </c>
      <c r="AC521" t="str">
        <f t="shared" si="88"/>
        <v/>
      </c>
      <c r="AD521">
        <f t="shared" si="89"/>
        <v>6.7464000000000001E-4</v>
      </c>
      <c r="AE521" s="18" t="str">
        <f t="shared" si="90"/>
        <v/>
      </c>
      <c r="AF521" s="7" t="str">
        <f t="shared" si="91"/>
        <v/>
      </c>
      <c r="AG521" s="12">
        <f t="shared" si="92"/>
        <v>0.9968843159336469</v>
      </c>
      <c r="AI521" s="54" t="str">
        <f t="shared" si="93"/>
        <v/>
      </c>
      <c r="AJ521" s="54" t="str">
        <f t="shared" si="94"/>
        <v/>
      </c>
      <c r="AK521" s="54">
        <f t="shared" si="95"/>
        <v>0.26984818519381409</v>
      </c>
    </row>
    <row r="522" spans="9:37" x14ac:dyDescent="0.45">
      <c r="I522" s="2">
        <v>66.8</v>
      </c>
      <c r="J522" s="2">
        <v>1.6629600000000001E-2</v>
      </c>
      <c r="K522" s="2">
        <v>9.5881999999999998E-3</v>
      </c>
      <c r="R522" s="2">
        <v>21.98</v>
      </c>
      <c r="S522" s="2">
        <v>5.7412000000000001E-4</v>
      </c>
      <c r="T522" s="2">
        <v>2.0680000000000001E-4</v>
      </c>
      <c r="V522" s="11"/>
      <c r="W522" s="6"/>
      <c r="X522" s="6">
        <v>5.03</v>
      </c>
      <c r="Y522" s="11" t="str">
        <f t="shared" si="96"/>
        <v/>
      </c>
      <c r="Z522" s="6" t="str">
        <f t="shared" si="97"/>
        <v/>
      </c>
      <c r="AA522" s="23">
        <f t="shared" si="98"/>
        <v>35.03</v>
      </c>
      <c r="AB522" t="str">
        <f t="shared" si="87"/>
        <v/>
      </c>
      <c r="AC522" t="str">
        <f t="shared" si="88"/>
        <v/>
      </c>
      <c r="AD522">
        <f t="shared" si="89"/>
        <v>6.7495999999999995E-4</v>
      </c>
      <c r="AE522" s="18" t="str">
        <f t="shared" si="90"/>
        <v/>
      </c>
      <c r="AF522" s="7" t="str">
        <f t="shared" si="91"/>
        <v/>
      </c>
      <c r="AG522" s="12">
        <f t="shared" si="92"/>
        <v>0.99687759055329794</v>
      </c>
      <c r="AI522" s="54" t="str">
        <f t="shared" si="93"/>
        <v/>
      </c>
      <c r="AJ522" s="54" t="str">
        <f t="shared" si="94"/>
        <v/>
      </c>
      <c r="AK522" s="54">
        <f t="shared" si="95"/>
        <v>0.27044209040611672</v>
      </c>
    </row>
    <row r="523" spans="9:37" x14ac:dyDescent="0.45">
      <c r="I523" s="2">
        <v>66.900000000000006</v>
      </c>
      <c r="J523" s="2">
        <v>1.6811300000000001E-2</v>
      </c>
      <c r="K523" s="2">
        <v>9.6825999999999995E-3</v>
      </c>
      <c r="R523" s="2">
        <v>21.99</v>
      </c>
      <c r="S523" s="2">
        <v>5.7406000000000004E-4</v>
      </c>
      <c r="T523" s="2">
        <v>2.0689999999999999E-4</v>
      </c>
      <c r="V523" s="11"/>
      <c r="W523" s="6"/>
      <c r="X523" s="6">
        <v>5.04</v>
      </c>
      <c r="Y523" s="11" t="str">
        <f t="shared" si="96"/>
        <v/>
      </c>
      <c r="Z523" s="6" t="str">
        <f t="shared" si="97"/>
        <v/>
      </c>
      <c r="AA523" s="23">
        <f t="shared" si="98"/>
        <v>35.04</v>
      </c>
      <c r="AB523" t="str">
        <f t="shared" si="87"/>
        <v/>
      </c>
      <c r="AC523" t="str">
        <f t="shared" si="88"/>
        <v/>
      </c>
      <c r="AD523">
        <f t="shared" si="89"/>
        <v>6.7528E-4</v>
      </c>
      <c r="AE523" s="18" t="str">
        <f t="shared" si="90"/>
        <v/>
      </c>
      <c r="AF523" s="7" t="str">
        <f t="shared" si="91"/>
        <v/>
      </c>
      <c r="AG523" s="12">
        <f t="shared" si="92"/>
        <v>0.99687086202831277</v>
      </c>
      <c r="AI523" s="54" t="str">
        <f t="shared" si="93"/>
        <v/>
      </c>
      <c r="AJ523" s="54" t="str">
        <f t="shared" si="94"/>
        <v/>
      </c>
      <c r="AK523" s="54">
        <f t="shared" si="95"/>
        <v>0.27103623485264106</v>
      </c>
    </row>
    <row r="524" spans="9:37" x14ac:dyDescent="0.45">
      <c r="I524" s="2">
        <v>67</v>
      </c>
      <c r="J524" s="2">
        <v>1.6993000000000001E-2</v>
      </c>
      <c r="K524" s="2">
        <v>9.7769999999999992E-3</v>
      </c>
      <c r="R524" s="2">
        <v>22</v>
      </c>
      <c r="S524" s="2">
        <v>5.7399999999999997E-4</v>
      </c>
      <c r="T524" s="2">
        <v>2.0699999999999999E-4</v>
      </c>
      <c r="V524" s="11"/>
      <c r="W524" s="6"/>
      <c r="X524" s="6">
        <v>5.05</v>
      </c>
      <c r="Y524" s="11" t="str">
        <f t="shared" si="96"/>
        <v/>
      </c>
      <c r="Z524" s="6" t="str">
        <f t="shared" si="97"/>
        <v/>
      </c>
      <c r="AA524" s="23">
        <f t="shared" si="98"/>
        <v>35.049999999999997</v>
      </c>
      <c r="AB524" t="str">
        <f t="shared" si="87"/>
        <v/>
      </c>
      <c r="AC524" t="str">
        <f t="shared" si="88"/>
        <v/>
      </c>
      <c r="AD524">
        <f t="shared" si="89"/>
        <v>6.7560000000000005E-4</v>
      </c>
      <c r="AE524" s="18" t="str">
        <f t="shared" si="90"/>
        <v/>
      </c>
      <c r="AF524" s="7" t="str">
        <f t="shared" si="91"/>
        <v/>
      </c>
      <c r="AG524" s="12">
        <f t="shared" si="92"/>
        <v>0.99686413035875565</v>
      </c>
      <c r="AI524" s="54" t="str">
        <f t="shared" si="93"/>
        <v/>
      </c>
      <c r="AJ524" s="54" t="str">
        <f t="shared" si="94"/>
        <v/>
      </c>
      <c r="AK524" s="54">
        <f t="shared" si="95"/>
        <v>0.27163061863449733</v>
      </c>
    </row>
    <row r="525" spans="9:37" x14ac:dyDescent="0.45">
      <c r="I525" s="2">
        <v>67.099999999999994</v>
      </c>
      <c r="J525" s="2">
        <v>1.7194899999999999E-2</v>
      </c>
      <c r="K525" s="2">
        <v>9.8814999999999997E-3</v>
      </c>
      <c r="R525" s="2">
        <v>22.01</v>
      </c>
      <c r="S525" s="2">
        <v>5.7395999999999999E-4</v>
      </c>
      <c r="T525" s="2">
        <v>2.0709999999999999E-4</v>
      </c>
      <c r="V525" s="11"/>
      <c r="W525" s="6"/>
      <c r="X525" s="6">
        <v>5.0600000000000005</v>
      </c>
      <c r="Y525" s="11" t="str">
        <f t="shared" si="96"/>
        <v/>
      </c>
      <c r="Z525" s="6" t="str">
        <f t="shared" si="97"/>
        <v/>
      </c>
      <c r="AA525" s="23">
        <f t="shared" si="98"/>
        <v>35.06</v>
      </c>
      <c r="AB525" t="str">
        <f t="shared" si="87"/>
        <v/>
      </c>
      <c r="AC525" t="str">
        <f t="shared" si="88"/>
        <v/>
      </c>
      <c r="AD525">
        <f t="shared" si="89"/>
        <v>6.7591999999999999E-4</v>
      </c>
      <c r="AE525" s="18" t="str">
        <f t="shared" si="90"/>
        <v/>
      </c>
      <c r="AF525" s="7" t="str">
        <f t="shared" si="91"/>
        <v/>
      </c>
      <c r="AG525" s="12">
        <f t="shared" si="92"/>
        <v>0.99685739554469099</v>
      </c>
      <c r="AI525" s="54" t="str">
        <f t="shared" si="93"/>
        <v/>
      </c>
      <c r="AJ525" s="54" t="str">
        <f t="shared" si="94"/>
        <v/>
      </c>
      <c r="AK525" s="54">
        <f t="shared" si="95"/>
        <v>0.27222524185283914</v>
      </c>
    </row>
    <row r="526" spans="9:37" x14ac:dyDescent="0.45">
      <c r="I526" s="2">
        <v>67.2</v>
      </c>
      <c r="J526" s="2">
        <v>1.73968E-2</v>
      </c>
      <c r="K526" s="2">
        <v>9.9860000000000001E-3</v>
      </c>
      <c r="R526" s="2">
        <v>22.02</v>
      </c>
      <c r="S526" s="2">
        <v>5.7392000000000001E-4</v>
      </c>
      <c r="T526" s="2">
        <v>2.0719999999999999E-4</v>
      </c>
      <c r="V526" s="11"/>
      <c r="W526" s="6"/>
      <c r="X526" s="6">
        <v>5.07</v>
      </c>
      <c r="Y526" s="11" t="str">
        <f t="shared" si="96"/>
        <v/>
      </c>
      <c r="Z526" s="6" t="str">
        <f t="shared" si="97"/>
        <v/>
      </c>
      <c r="AA526" s="23">
        <f t="shared" si="98"/>
        <v>35.07</v>
      </c>
      <c r="AB526" t="str">
        <f t="shared" si="87"/>
        <v/>
      </c>
      <c r="AC526" t="str">
        <f t="shared" si="88"/>
        <v/>
      </c>
      <c r="AD526">
        <f t="shared" si="89"/>
        <v>6.7624000000000004E-4</v>
      </c>
      <c r="AE526" s="18" t="str">
        <f t="shared" si="90"/>
        <v/>
      </c>
      <c r="AF526" s="7" t="str">
        <f t="shared" si="91"/>
        <v/>
      </c>
      <c r="AG526" s="12">
        <f t="shared" si="92"/>
        <v>0.99685065758618308</v>
      </c>
      <c r="AI526" s="54" t="str">
        <f t="shared" si="93"/>
        <v/>
      </c>
      <c r="AJ526" s="54" t="str">
        <f t="shared" si="94"/>
        <v/>
      </c>
      <c r="AK526" s="54">
        <f t="shared" si="95"/>
        <v>0.27282010460886352</v>
      </c>
    </row>
    <row r="527" spans="9:37" x14ac:dyDescent="0.45">
      <c r="I527" s="2">
        <v>67.3</v>
      </c>
      <c r="J527" s="2">
        <v>1.7598699999999998E-2</v>
      </c>
      <c r="K527" s="2">
        <v>1.0090500000000001E-2</v>
      </c>
      <c r="R527" s="2">
        <v>22.03</v>
      </c>
      <c r="S527" s="2">
        <v>5.7388000000000003E-4</v>
      </c>
      <c r="T527" s="2">
        <v>2.073E-4</v>
      </c>
      <c r="V527" s="11"/>
      <c r="W527" s="6"/>
      <c r="X527" s="6">
        <v>5.08</v>
      </c>
      <c r="Y527" s="11" t="str">
        <f t="shared" si="96"/>
        <v/>
      </c>
      <c r="Z527" s="6" t="str">
        <f t="shared" si="97"/>
        <v/>
      </c>
      <c r="AA527" s="23">
        <f t="shared" si="98"/>
        <v>35.08</v>
      </c>
      <c r="AB527" t="str">
        <f t="shared" si="87"/>
        <v/>
      </c>
      <c r="AC527" t="str">
        <f t="shared" si="88"/>
        <v/>
      </c>
      <c r="AD527">
        <f t="shared" si="89"/>
        <v>6.7655999999999999E-4</v>
      </c>
      <c r="AE527" s="18" t="str">
        <f t="shared" si="90"/>
        <v/>
      </c>
      <c r="AF527" s="7" t="str">
        <f t="shared" si="91"/>
        <v/>
      </c>
      <c r="AG527" s="12">
        <f t="shared" si="92"/>
        <v>0.99684391648329618</v>
      </c>
      <c r="AI527" s="54" t="str">
        <f t="shared" si="93"/>
        <v/>
      </c>
      <c r="AJ527" s="54" t="str">
        <f t="shared" si="94"/>
        <v/>
      </c>
      <c r="AK527" s="54">
        <f t="shared" si="95"/>
        <v>0.27341520700381094</v>
      </c>
    </row>
    <row r="528" spans="9:37" x14ac:dyDescent="0.45">
      <c r="I528" s="2">
        <v>67.400000000000006</v>
      </c>
      <c r="J528" s="2">
        <v>1.78006E-2</v>
      </c>
      <c r="K528" s="2">
        <v>1.0194999999999999E-2</v>
      </c>
      <c r="R528" s="2">
        <v>22.04</v>
      </c>
      <c r="S528" s="2">
        <v>5.7384000000000005E-4</v>
      </c>
      <c r="T528" s="2">
        <v>2.074E-4</v>
      </c>
      <c r="V528" s="11"/>
      <c r="W528" s="6"/>
      <c r="X528" s="6">
        <v>5.09</v>
      </c>
      <c r="Y528" s="11" t="str">
        <f t="shared" si="96"/>
        <v/>
      </c>
      <c r="Z528" s="6" t="str">
        <f t="shared" si="97"/>
        <v/>
      </c>
      <c r="AA528" s="23">
        <f t="shared" si="98"/>
        <v>35.090000000000003</v>
      </c>
      <c r="AB528" t="str">
        <f t="shared" si="87"/>
        <v/>
      </c>
      <c r="AC528" t="str">
        <f t="shared" si="88"/>
        <v/>
      </c>
      <c r="AD528">
        <f t="shared" si="89"/>
        <v>6.7688000000000004E-4</v>
      </c>
      <c r="AE528" s="18" t="str">
        <f t="shared" si="90"/>
        <v/>
      </c>
      <c r="AF528" s="7" t="str">
        <f t="shared" si="91"/>
        <v/>
      </c>
      <c r="AG528" s="12">
        <f t="shared" si="92"/>
        <v>0.9968371722360948</v>
      </c>
      <c r="AI528" s="54" t="str">
        <f t="shared" si="93"/>
        <v/>
      </c>
      <c r="AJ528" s="54" t="str">
        <f t="shared" si="94"/>
        <v/>
      </c>
      <c r="AK528" s="54">
        <f t="shared" si="95"/>
        <v>0.27401054913896544</v>
      </c>
    </row>
    <row r="529" spans="9:37" x14ac:dyDescent="0.45">
      <c r="I529" s="2">
        <v>67.5</v>
      </c>
      <c r="J529" s="2">
        <v>1.8002500000000001E-2</v>
      </c>
      <c r="K529" s="2">
        <v>1.02995E-2</v>
      </c>
      <c r="R529" s="2">
        <v>22.05</v>
      </c>
      <c r="S529" s="2">
        <v>5.7379999999999996E-4</v>
      </c>
      <c r="T529" s="2">
        <v>2.075E-4</v>
      </c>
      <c r="V529" s="11"/>
      <c r="W529" s="6"/>
      <c r="X529" s="6">
        <v>5.1000000000000005</v>
      </c>
      <c r="Y529" s="11" t="str">
        <f t="shared" si="96"/>
        <v/>
      </c>
      <c r="Z529" s="6" t="str">
        <f t="shared" si="97"/>
        <v/>
      </c>
      <c r="AA529" s="23">
        <f t="shared" si="98"/>
        <v>35.1</v>
      </c>
      <c r="AB529" t="str">
        <f t="shared" si="87"/>
        <v/>
      </c>
      <c r="AC529" t="str">
        <f t="shared" si="88"/>
        <v/>
      </c>
      <c r="AD529">
        <f t="shared" si="89"/>
        <v>6.7719999999999998E-4</v>
      </c>
      <c r="AE529" s="18" t="str">
        <f t="shared" si="90"/>
        <v/>
      </c>
      <c r="AF529" s="7" t="str">
        <f t="shared" si="91"/>
        <v/>
      </c>
      <c r="AG529" s="12">
        <f t="shared" si="92"/>
        <v>0.99683042484464335</v>
      </c>
      <c r="AI529" s="54" t="str">
        <f t="shared" si="93"/>
        <v/>
      </c>
      <c r="AJ529" s="54" t="str">
        <f t="shared" si="94"/>
        <v/>
      </c>
      <c r="AK529" s="54">
        <f t="shared" si="95"/>
        <v>0.27460613111565452</v>
      </c>
    </row>
    <row r="530" spans="9:37" x14ac:dyDescent="0.45">
      <c r="I530" s="2">
        <v>67.599999999999994</v>
      </c>
      <c r="J530" s="2">
        <v>1.8204399999999999E-2</v>
      </c>
      <c r="K530" s="2">
        <v>1.0404E-2</v>
      </c>
      <c r="R530" s="2">
        <v>22.06</v>
      </c>
      <c r="S530" s="2">
        <v>5.7375999999999998E-4</v>
      </c>
      <c r="T530" s="2">
        <v>2.076E-4</v>
      </c>
      <c r="V530" s="11"/>
      <c r="W530" s="6"/>
      <c r="X530" s="6">
        <v>5.1100000000000003</v>
      </c>
      <c r="Y530" s="11" t="str">
        <f t="shared" si="96"/>
        <v/>
      </c>
      <c r="Z530" s="6" t="str">
        <f t="shared" si="97"/>
        <v/>
      </c>
      <c r="AA530" s="23">
        <f t="shared" si="98"/>
        <v>35.11</v>
      </c>
      <c r="AB530" t="str">
        <f t="shared" si="87"/>
        <v/>
      </c>
      <c r="AC530" t="str">
        <f t="shared" si="88"/>
        <v/>
      </c>
      <c r="AD530">
        <f t="shared" si="89"/>
        <v>6.7752000000000003E-4</v>
      </c>
      <c r="AE530" s="18" t="str">
        <f t="shared" si="90"/>
        <v/>
      </c>
      <c r="AF530" s="7" t="str">
        <f t="shared" si="91"/>
        <v/>
      </c>
      <c r="AG530" s="12">
        <f t="shared" si="92"/>
        <v>0.99682367430900631</v>
      </c>
      <c r="AI530" s="54" t="str">
        <f t="shared" si="93"/>
        <v/>
      </c>
      <c r="AJ530" s="54" t="str">
        <f t="shared" si="94"/>
        <v/>
      </c>
      <c r="AK530" s="54">
        <f t="shared" si="95"/>
        <v>0.27520195303524919</v>
      </c>
    </row>
    <row r="531" spans="9:37" x14ac:dyDescent="0.45">
      <c r="I531" s="2">
        <v>67.7</v>
      </c>
      <c r="J531" s="2">
        <v>1.84063E-2</v>
      </c>
      <c r="K531" s="2">
        <v>1.05085E-2</v>
      </c>
      <c r="R531" s="2">
        <v>22.07</v>
      </c>
      <c r="S531" s="2">
        <v>5.7372E-4</v>
      </c>
      <c r="T531" s="2">
        <v>2.0770000000000001E-4</v>
      </c>
      <c r="V531" s="11"/>
      <c r="W531" s="6"/>
      <c r="X531" s="6">
        <v>5.12</v>
      </c>
      <c r="Y531" s="11" t="str">
        <f t="shared" si="96"/>
        <v/>
      </c>
      <c r="Z531" s="6" t="str">
        <f t="shared" si="97"/>
        <v/>
      </c>
      <c r="AA531" s="23">
        <f t="shared" si="98"/>
        <v>35.119999999999997</v>
      </c>
      <c r="AB531" t="str">
        <f t="shared" ref="AB531:AB594" si="99">IF(Y531="","",VLOOKUP(Y531,Table_1,2))</f>
        <v/>
      </c>
      <c r="AC531" t="str">
        <f t="shared" ref="AC531:AC594" si="100">IF(Z531="","",VLOOKUP(Z531,Table_2,2))</f>
        <v/>
      </c>
      <c r="AD531">
        <f t="shared" ref="AD531:AD594" si="101">IF(AA531="","",VLOOKUP(AA531,Table_3,2))</f>
        <v>6.7783999999999997E-4</v>
      </c>
      <c r="AE531" s="18" t="str">
        <f t="shared" si="90"/>
        <v/>
      </c>
      <c r="AF531" s="7" t="str">
        <f t="shared" si="91"/>
        <v/>
      </c>
      <c r="AG531" s="12">
        <f t="shared" si="92"/>
        <v>0.99681692062924809</v>
      </c>
      <c r="AI531" s="54" t="str">
        <f t="shared" si="93"/>
        <v/>
      </c>
      <c r="AJ531" s="54" t="str">
        <f t="shared" si="94"/>
        <v/>
      </c>
      <c r="AK531" s="54">
        <f t="shared" si="95"/>
        <v>0.27579801499916401</v>
      </c>
    </row>
    <row r="532" spans="9:37" x14ac:dyDescent="0.45">
      <c r="I532" s="2">
        <v>67.8</v>
      </c>
      <c r="J532" s="2">
        <v>1.8608199999999998E-2</v>
      </c>
      <c r="K532" s="2">
        <v>1.0612999999999999E-2</v>
      </c>
      <c r="R532" s="2">
        <v>22.08</v>
      </c>
      <c r="S532" s="2">
        <v>5.7368000000000002E-4</v>
      </c>
      <c r="T532" s="2">
        <v>2.0780000000000001E-4</v>
      </c>
      <c r="V532" s="11"/>
      <c r="W532" s="6"/>
      <c r="X532" s="6">
        <v>5.13</v>
      </c>
      <c r="Y532" s="11" t="str">
        <f t="shared" si="96"/>
        <v/>
      </c>
      <c r="Z532" s="6" t="str">
        <f t="shared" si="97"/>
        <v/>
      </c>
      <c r="AA532" s="23">
        <f t="shared" si="98"/>
        <v>35.130000000000003</v>
      </c>
      <c r="AB532" t="str">
        <f t="shared" si="99"/>
        <v/>
      </c>
      <c r="AC532" t="str">
        <f t="shared" si="100"/>
        <v/>
      </c>
      <c r="AD532">
        <f t="shared" si="101"/>
        <v>6.7816000000000003E-4</v>
      </c>
      <c r="AE532" s="18" t="str">
        <f t="shared" ref="AE532:AE595" si="102">IF(AB532="","",AE531+h_1*(-AE531*AB531))</f>
        <v/>
      </c>
      <c r="AF532" s="7" t="str">
        <f t="shared" ref="AF532:AF595" si="103">IF(AC532="","",AF531+h_2*(-AF531*AC531))</f>
        <v/>
      </c>
      <c r="AG532" s="12">
        <f t="shared" ref="AG532:AG595" si="104">IF(AD532="","",AG531+h_3*(-AG531*AD531))</f>
        <v>0.9968101638054333</v>
      </c>
      <c r="AI532" s="54" t="str">
        <f t="shared" ref="AI532:AI595" si="105">IF(Y532="","",AI531+AI$17*(AI531*delta+Prem1-AB531*(1-AI531)))</f>
        <v/>
      </c>
      <c r="AJ532" s="54" t="str">
        <f t="shared" ref="AJ532:AJ595" si="106">IF(Z532="","",AJ531+AJ$17*(AJ531*delta+Prem2-AC531*(1-AJ531)))</f>
        <v/>
      </c>
      <c r="AK532" s="54">
        <f t="shared" ref="AK532:AK595" si="107">IF(AA532="","",AK531+AK$17*(AK531*delta+Prem3-AD531*(1-AK531)))</f>
        <v>0.27639431710885703</v>
      </c>
    </row>
    <row r="533" spans="9:37" x14ac:dyDescent="0.45">
      <c r="I533" s="2">
        <v>67.900000000000006</v>
      </c>
      <c r="J533" s="2">
        <v>1.88101E-2</v>
      </c>
      <c r="K533" s="2">
        <v>1.07175E-2</v>
      </c>
      <c r="R533" s="2">
        <v>22.09</v>
      </c>
      <c r="S533" s="2">
        <v>5.7364000000000004E-4</v>
      </c>
      <c r="T533" s="2">
        <v>2.0790000000000001E-4</v>
      </c>
      <c r="V533" s="11"/>
      <c r="W533" s="6"/>
      <c r="X533" s="6">
        <v>5.14</v>
      </c>
      <c r="Y533" s="11" t="str">
        <f t="shared" ref="Y533:Y596" si="108">IF(ISBLANK(V533),"",$Y$19+V533)</f>
        <v/>
      </c>
      <c r="Z533" s="6" t="str">
        <f t="shared" ref="Z533:Z596" si="109">IF(ISBLANK(W533),"",$Y$19+W533)</f>
        <v/>
      </c>
      <c r="AA533" s="23">
        <f t="shared" ref="AA533:AA596" si="110">IF(ISBLANK(X533),"",$Y$19+X533)</f>
        <v>35.14</v>
      </c>
      <c r="AB533" t="str">
        <f t="shared" si="99"/>
        <v/>
      </c>
      <c r="AC533" t="str">
        <f t="shared" si="100"/>
        <v/>
      </c>
      <c r="AD533">
        <f t="shared" si="101"/>
        <v>6.7847999999999997E-4</v>
      </c>
      <c r="AE533" s="18" t="str">
        <f t="shared" si="102"/>
        <v/>
      </c>
      <c r="AF533" s="7" t="str">
        <f t="shared" si="103"/>
        <v/>
      </c>
      <c r="AG533" s="12">
        <f t="shared" si="104"/>
        <v>0.99680340383762644</v>
      </c>
      <c r="AI533" s="54" t="str">
        <f t="shared" si="105"/>
        <v/>
      </c>
      <c r="AJ533" s="54" t="str">
        <f t="shared" si="106"/>
        <v/>
      </c>
      <c r="AK533" s="54">
        <f t="shared" si="107"/>
        <v>0.27699085946582996</v>
      </c>
    </row>
    <row r="534" spans="9:37" x14ac:dyDescent="0.45">
      <c r="I534" s="2">
        <v>68</v>
      </c>
      <c r="J534" s="2">
        <v>1.9012000000000001E-2</v>
      </c>
      <c r="K534" s="2">
        <v>1.0822E-2</v>
      </c>
      <c r="R534" s="2">
        <v>22.1</v>
      </c>
      <c r="S534" s="2">
        <v>5.7359999999999996E-4</v>
      </c>
      <c r="T534" s="2">
        <v>2.0799999999999999E-4</v>
      </c>
      <c r="V534" s="11"/>
      <c r="W534" s="6"/>
      <c r="X534" s="6">
        <v>5.15</v>
      </c>
      <c r="Y534" s="11" t="str">
        <f t="shared" si="108"/>
        <v/>
      </c>
      <c r="Z534" s="6" t="str">
        <f t="shared" si="109"/>
        <v/>
      </c>
      <c r="AA534" s="23">
        <f t="shared" si="110"/>
        <v>35.15</v>
      </c>
      <c r="AB534" t="str">
        <f t="shared" si="99"/>
        <v/>
      </c>
      <c r="AC534" t="str">
        <f t="shared" si="100"/>
        <v/>
      </c>
      <c r="AD534">
        <f t="shared" si="101"/>
        <v>6.7880000000000002E-4</v>
      </c>
      <c r="AE534" s="18" t="str">
        <f t="shared" si="102"/>
        <v/>
      </c>
      <c r="AF534" s="7" t="str">
        <f t="shared" si="103"/>
        <v/>
      </c>
      <c r="AG534" s="12">
        <f t="shared" si="104"/>
        <v>0.99679664072589214</v>
      </c>
      <c r="AI534" s="54" t="str">
        <f t="shared" si="105"/>
        <v/>
      </c>
      <c r="AJ534" s="54" t="str">
        <f t="shared" si="106"/>
        <v/>
      </c>
      <c r="AK534" s="54">
        <f t="shared" si="107"/>
        <v>0.27758764217162807</v>
      </c>
    </row>
    <row r="535" spans="9:37" x14ac:dyDescent="0.45">
      <c r="I535" s="2">
        <v>68.099999999999994</v>
      </c>
      <c r="J535" s="2">
        <v>1.9236300000000001E-2</v>
      </c>
      <c r="K535" s="2">
        <v>1.09379E-2</v>
      </c>
      <c r="R535" s="2">
        <v>22.11</v>
      </c>
      <c r="S535" s="2">
        <v>5.7355999999999998E-4</v>
      </c>
      <c r="T535" s="2">
        <v>2.0809999999999999E-4</v>
      </c>
      <c r="V535" s="11"/>
      <c r="W535" s="6"/>
      <c r="X535" s="6">
        <v>5.16</v>
      </c>
      <c r="Y535" s="11" t="str">
        <f t="shared" si="108"/>
        <v/>
      </c>
      <c r="Z535" s="6" t="str">
        <f t="shared" si="109"/>
        <v/>
      </c>
      <c r="AA535" s="23">
        <f t="shared" si="110"/>
        <v>35.159999999999997</v>
      </c>
      <c r="AB535" t="str">
        <f t="shared" si="99"/>
        <v/>
      </c>
      <c r="AC535" t="str">
        <f t="shared" si="100"/>
        <v/>
      </c>
      <c r="AD535">
        <f t="shared" si="101"/>
        <v>6.7911999999999996E-4</v>
      </c>
      <c r="AE535" s="18" t="str">
        <f t="shared" si="102"/>
        <v/>
      </c>
      <c r="AF535" s="7" t="str">
        <f t="shared" si="103"/>
        <v/>
      </c>
      <c r="AG535" s="12">
        <f t="shared" si="104"/>
        <v>0.99678987447029488</v>
      </c>
      <c r="AI535" s="54" t="str">
        <f t="shared" si="105"/>
        <v/>
      </c>
      <c r="AJ535" s="54" t="str">
        <f t="shared" si="106"/>
        <v/>
      </c>
      <c r="AK535" s="54">
        <f t="shared" si="107"/>
        <v>0.27818466532784025</v>
      </c>
    </row>
    <row r="536" spans="9:37" x14ac:dyDescent="0.45">
      <c r="I536" s="2">
        <v>68.2</v>
      </c>
      <c r="J536" s="2">
        <v>1.9460600000000002E-2</v>
      </c>
      <c r="K536" s="2">
        <v>1.1053800000000001E-2</v>
      </c>
      <c r="R536" s="2">
        <v>22.12</v>
      </c>
      <c r="S536" s="2">
        <v>5.7352E-4</v>
      </c>
      <c r="T536" s="2">
        <v>2.0819999999999999E-4</v>
      </c>
      <c r="V536" s="11"/>
      <c r="W536" s="6"/>
      <c r="X536" s="6">
        <v>5.17</v>
      </c>
      <c r="Y536" s="11" t="str">
        <f t="shared" si="108"/>
        <v/>
      </c>
      <c r="Z536" s="6" t="str">
        <f t="shared" si="109"/>
        <v/>
      </c>
      <c r="AA536" s="23">
        <f t="shared" si="110"/>
        <v>35.17</v>
      </c>
      <c r="AB536" t="str">
        <f t="shared" si="99"/>
        <v/>
      </c>
      <c r="AC536" t="str">
        <f t="shared" si="100"/>
        <v/>
      </c>
      <c r="AD536">
        <f t="shared" si="101"/>
        <v>6.7944000000000001E-4</v>
      </c>
      <c r="AE536" s="18" t="str">
        <f t="shared" si="102"/>
        <v/>
      </c>
      <c r="AF536" s="7" t="str">
        <f t="shared" si="103"/>
        <v/>
      </c>
      <c r="AG536" s="12">
        <f t="shared" si="104"/>
        <v>0.9967831050708994</v>
      </c>
      <c r="AI536" s="54" t="str">
        <f t="shared" si="105"/>
        <v/>
      </c>
      <c r="AJ536" s="54" t="str">
        <f t="shared" si="106"/>
        <v/>
      </c>
      <c r="AK536" s="54">
        <f t="shared" si="107"/>
        <v>0.27878192903609905</v>
      </c>
    </row>
    <row r="537" spans="9:37" x14ac:dyDescent="0.45">
      <c r="I537" s="2">
        <v>68.3</v>
      </c>
      <c r="J537" s="2">
        <v>1.9684900000000002E-2</v>
      </c>
      <c r="K537" s="2">
        <v>1.1169699999999999E-2</v>
      </c>
      <c r="R537" s="2">
        <v>22.13</v>
      </c>
      <c r="S537" s="2">
        <v>5.7348000000000002E-4</v>
      </c>
      <c r="T537" s="2">
        <v>2.0829999999999999E-4</v>
      </c>
      <c r="V537" s="11"/>
      <c r="W537" s="6"/>
      <c r="X537" s="6">
        <v>5.18</v>
      </c>
      <c r="Y537" s="11" t="str">
        <f t="shared" si="108"/>
        <v/>
      </c>
      <c r="Z537" s="6" t="str">
        <f t="shared" si="109"/>
        <v/>
      </c>
      <c r="AA537" s="23">
        <f t="shared" si="110"/>
        <v>35.18</v>
      </c>
      <c r="AB537" t="str">
        <f t="shared" si="99"/>
        <v/>
      </c>
      <c r="AC537" t="str">
        <f t="shared" si="100"/>
        <v/>
      </c>
      <c r="AD537">
        <f t="shared" si="101"/>
        <v>6.7975999999999996E-4</v>
      </c>
      <c r="AE537" s="18" t="str">
        <f t="shared" si="102"/>
        <v/>
      </c>
      <c r="AF537" s="7" t="str">
        <f t="shared" si="103"/>
        <v/>
      </c>
      <c r="AG537" s="12">
        <f t="shared" si="104"/>
        <v>0.99677633252777031</v>
      </c>
      <c r="AI537" s="54" t="str">
        <f t="shared" si="105"/>
        <v/>
      </c>
      <c r="AJ537" s="54" t="str">
        <f t="shared" si="106"/>
        <v/>
      </c>
      <c r="AK537" s="54">
        <f t="shared" si="107"/>
        <v>0.27937943339808063</v>
      </c>
    </row>
    <row r="538" spans="9:37" x14ac:dyDescent="0.45">
      <c r="I538" s="2">
        <v>68.400000000000006</v>
      </c>
      <c r="J538" s="2">
        <v>1.9909199999999998E-2</v>
      </c>
      <c r="K538" s="2">
        <v>1.12856E-2</v>
      </c>
      <c r="R538" s="2">
        <v>22.14</v>
      </c>
      <c r="S538" s="2">
        <v>5.7344000000000004E-4</v>
      </c>
      <c r="T538" s="2">
        <v>2.084E-4</v>
      </c>
      <c r="V538" s="11"/>
      <c r="W538" s="6"/>
      <c r="X538" s="6">
        <v>5.19</v>
      </c>
      <c r="Y538" s="11" t="str">
        <f t="shared" si="108"/>
        <v/>
      </c>
      <c r="Z538" s="6" t="str">
        <f t="shared" si="109"/>
        <v/>
      </c>
      <c r="AA538" s="23">
        <f t="shared" si="110"/>
        <v>35.19</v>
      </c>
      <c r="AB538" t="str">
        <f t="shared" si="99"/>
        <v/>
      </c>
      <c r="AC538" t="str">
        <f t="shared" si="100"/>
        <v/>
      </c>
      <c r="AD538">
        <f t="shared" si="101"/>
        <v>6.8008000000000001E-4</v>
      </c>
      <c r="AE538" s="18" t="str">
        <f t="shared" si="102"/>
        <v/>
      </c>
      <c r="AF538" s="7" t="str">
        <f t="shared" si="103"/>
        <v/>
      </c>
      <c r="AG538" s="12">
        <f t="shared" si="104"/>
        <v>0.99676955684097235</v>
      </c>
      <c r="AI538" s="54" t="str">
        <f t="shared" si="105"/>
        <v/>
      </c>
      <c r="AJ538" s="54" t="str">
        <f t="shared" si="106"/>
        <v/>
      </c>
      <c r="AK538" s="54">
        <f t="shared" si="107"/>
        <v>0.27997717851550485</v>
      </c>
    </row>
    <row r="539" spans="9:37" x14ac:dyDescent="0.45">
      <c r="I539" s="2">
        <v>68.5</v>
      </c>
      <c r="J539" s="2">
        <v>2.0133499999999999E-2</v>
      </c>
      <c r="K539" s="2">
        <v>1.14015E-2</v>
      </c>
      <c r="R539" s="2">
        <v>22.15</v>
      </c>
      <c r="S539" s="2">
        <v>5.7339999999999995E-4</v>
      </c>
      <c r="T539" s="2">
        <v>2.085E-4</v>
      </c>
      <c r="V539" s="11"/>
      <c r="W539" s="6"/>
      <c r="X539" s="6">
        <v>5.2</v>
      </c>
      <c r="Y539" s="11" t="str">
        <f t="shared" si="108"/>
        <v/>
      </c>
      <c r="Z539" s="6" t="str">
        <f t="shared" si="109"/>
        <v/>
      </c>
      <c r="AA539" s="23">
        <f t="shared" si="110"/>
        <v>35.200000000000003</v>
      </c>
      <c r="AB539" t="str">
        <f t="shared" si="99"/>
        <v/>
      </c>
      <c r="AC539" t="str">
        <f t="shared" si="100"/>
        <v/>
      </c>
      <c r="AD539">
        <f t="shared" si="101"/>
        <v>6.8039999999999995E-4</v>
      </c>
      <c r="AE539" s="18" t="str">
        <f t="shared" si="102"/>
        <v/>
      </c>
      <c r="AF539" s="7" t="str">
        <f t="shared" si="103"/>
        <v/>
      </c>
      <c r="AG539" s="12">
        <f t="shared" si="104"/>
        <v>0.99676277801057023</v>
      </c>
      <c r="AI539" s="54" t="str">
        <f t="shared" si="105"/>
        <v/>
      </c>
      <c r="AJ539" s="54" t="str">
        <f t="shared" si="106"/>
        <v/>
      </c>
      <c r="AK539" s="54">
        <f t="shared" si="107"/>
        <v>0.2805751644901352</v>
      </c>
    </row>
    <row r="540" spans="9:37" x14ac:dyDescent="0.45">
      <c r="I540" s="2">
        <v>68.599999999999994</v>
      </c>
      <c r="J540" s="2">
        <v>2.0357799999999999E-2</v>
      </c>
      <c r="K540" s="2">
        <v>1.1517400000000001E-2</v>
      </c>
      <c r="R540" s="2">
        <v>22.16</v>
      </c>
      <c r="S540" s="2">
        <v>5.7335999999999997E-4</v>
      </c>
      <c r="T540" s="2">
        <v>2.086E-4</v>
      </c>
      <c r="V540" s="11"/>
      <c r="W540" s="6"/>
      <c r="X540" s="6">
        <v>5.21</v>
      </c>
      <c r="Y540" s="11" t="str">
        <f t="shared" si="108"/>
        <v/>
      </c>
      <c r="Z540" s="6" t="str">
        <f t="shared" si="109"/>
        <v/>
      </c>
      <c r="AA540" s="23">
        <f t="shared" si="110"/>
        <v>35.21</v>
      </c>
      <c r="AB540" t="str">
        <f t="shared" si="99"/>
        <v/>
      </c>
      <c r="AC540" t="str">
        <f t="shared" si="100"/>
        <v/>
      </c>
      <c r="AD540">
        <f t="shared" si="101"/>
        <v>6.8072E-4</v>
      </c>
      <c r="AE540" s="18" t="str">
        <f t="shared" si="102"/>
        <v/>
      </c>
      <c r="AF540" s="7" t="str">
        <f t="shared" si="103"/>
        <v/>
      </c>
      <c r="AG540" s="12">
        <f t="shared" si="104"/>
        <v>0.99675599603662868</v>
      </c>
      <c r="AI540" s="54" t="str">
        <f t="shared" si="105"/>
        <v/>
      </c>
      <c r="AJ540" s="54" t="str">
        <f t="shared" si="106"/>
        <v/>
      </c>
      <c r="AK540" s="54">
        <f t="shared" si="107"/>
        <v>0.28117339142377895</v>
      </c>
    </row>
    <row r="541" spans="9:37" x14ac:dyDescent="0.45">
      <c r="I541" s="2">
        <v>68.7</v>
      </c>
      <c r="J541" s="2">
        <v>2.0582099999999999E-2</v>
      </c>
      <c r="K541" s="2">
        <v>1.1633299999999999E-2</v>
      </c>
      <c r="R541" s="2">
        <v>22.17</v>
      </c>
      <c r="S541" s="2">
        <v>5.7331999999999999E-4</v>
      </c>
      <c r="T541" s="2">
        <v>2.087E-4</v>
      </c>
      <c r="V541" s="11"/>
      <c r="W541" s="6"/>
      <c r="X541" s="6">
        <v>5.22</v>
      </c>
      <c r="Y541" s="11" t="str">
        <f t="shared" si="108"/>
        <v/>
      </c>
      <c r="Z541" s="6" t="str">
        <f t="shared" si="109"/>
        <v/>
      </c>
      <c r="AA541" s="23">
        <f t="shared" si="110"/>
        <v>35.22</v>
      </c>
      <c r="AB541" t="str">
        <f t="shared" si="99"/>
        <v/>
      </c>
      <c r="AC541" t="str">
        <f t="shared" si="100"/>
        <v/>
      </c>
      <c r="AD541">
        <f t="shared" si="101"/>
        <v>6.8104000000000005E-4</v>
      </c>
      <c r="AE541" s="18" t="str">
        <f t="shared" si="102"/>
        <v/>
      </c>
      <c r="AF541" s="7" t="str">
        <f t="shared" si="103"/>
        <v/>
      </c>
      <c r="AG541" s="12">
        <f t="shared" si="104"/>
        <v>0.99674921091921242</v>
      </c>
      <c r="AI541" s="54" t="str">
        <f t="shared" si="105"/>
        <v/>
      </c>
      <c r="AJ541" s="54" t="str">
        <f t="shared" si="106"/>
        <v/>
      </c>
      <c r="AK541" s="54">
        <f t="shared" si="107"/>
        <v>0.28177185941828709</v>
      </c>
    </row>
    <row r="542" spans="9:37" x14ac:dyDescent="0.45">
      <c r="I542" s="2">
        <v>68.8</v>
      </c>
      <c r="J542" s="2">
        <v>2.0806399999999999E-2</v>
      </c>
      <c r="K542" s="2">
        <v>1.17492E-2</v>
      </c>
      <c r="R542" s="2">
        <v>22.18</v>
      </c>
      <c r="S542" s="2">
        <v>5.7328000000000001E-4</v>
      </c>
      <c r="T542" s="2">
        <v>2.0880000000000001E-4</v>
      </c>
      <c r="V542" s="11"/>
      <c r="W542" s="6"/>
      <c r="X542" s="6">
        <v>5.23</v>
      </c>
      <c r="Y542" s="11" t="str">
        <f t="shared" si="108"/>
        <v/>
      </c>
      <c r="Z542" s="6" t="str">
        <f t="shared" si="109"/>
        <v/>
      </c>
      <c r="AA542" s="23">
        <f t="shared" si="110"/>
        <v>35.230000000000004</v>
      </c>
      <c r="AB542" t="str">
        <f t="shared" si="99"/>
        <v/>
      </c>
      <c r="AC542" t="str">
        <f t="shared" si="100"/>
        <v/>
      </c>
      <c r="AD542">
        <f t="shared" si="101"/>
        <v>6.8136E-4</v>
      </c>
      <c r="AE542" s="18" t="str">
        <f t="shared" si="102"/>
        <v/>
      </c>
      <c r="AF542" s="7" t="str">
        <f t="shared" si="103"/>
        <v/>
      </c>
      <c r="AG542" s="12">
        <f t="shared" si="104"/>
        <v>0.99674242265838642</v>
      </c>
      <c r="AI542" s="54" t="str">
        <f t="shared" si="105"/>
        <v/>
      </c>
      <c r="AJ542" s="54" t="str">
        <f t="shared" si="106"/>
        <v/>
      </c>
      <c r="AK542" s="54">
        <f t="shared" si="107"/>
        <v>0.28237056857555426</v>
      </c>
    </row>
    <row r="543" spans="9:37" x14ac:dyDescent="0.45">
      <c r="I543" s="2">
        <v>68.900000000000006</v>
      </c>
      <c r="J543" s="2">
        <v>2.1030699999999999E-2</v>
      </c>
      <c r="K543" s="2">
        <v>1.18651E-2</v>
      </c>
      <c r="R543" s="2">
        <v>22.19</v>
      </c>
      <c r="S543" s="2">
        <v>5.7324000000000003E-4</v>
      </c>
      <c r="T543" s="2">
        <v>2.0890000000000001E-4</v>
      </c>
      <c r="V543" s="11"/>
      <c r="W543" s="6"/>
      <c r="X543" s="6">
        <v>5.24</v>
      </c>
      <c r="Y543" s="11" t="str">
        <f t="shared" si="108"/>
        <v/>
      </c>
      <c r="Z543" s="6" t="str">
        <f t="shared" si="109"/>
        <v/>
      </c>
      <c r="AA543" s="23">
        <f t="shared" si="110"/>
        <v>35.24</v>
      </c>
      <c r="AB543" t="str">
        <f t="shared" si="99"/>
        <v/>
      </c>
      <c r="AC543" t="str">
        <f t="shared" si="100"/>
        <v/>
      </c>
      <c r="AD543">
        <f t="shared" si="101"/>
        <v>6.8168000000000005E-4</v>
      </c>
      <c r="AE543" s="18" t="str">
        <f t="shared" si="102"/>
        <v/>
      </c>
      <c r="AF543" s="7" t="str">
        <f t="shared" si="103"/>
        <v/>
      </c>
      <c r="AG543" s="12">
        <f t="shared" si="104"/>
        <v>0.99673563125421538</v>
      </c>
      <c r="AI543" s="54" t="str">
        <f t="shared" si="105"/>
        <v/>
      </c>
      <c r="AJ543" s="54" t="str">
        <f t="shared" si="106"/>
        <v/>
      </c>
      <c r="AK543" s="54">
        <f t="shared" si="107"/>
        <v>0.28296951899751904</v>
      </c>
    </row>
    <row r="544" spans="9:37" x14ac:dyDescent="0.45">
      <c r="I544" s="2">
        <v>69</v>
      </c>
      <c r="J544" s="2">
        <v>2.1255E-2</v>
      </c>
      <c r="K544" s="2">
        <v>1.1981E-2</v>
      </c>
      <c r="R544" s="2">
        <v>22.2</v>
      </c>
      <c r="S544" s="2">
        <v>5.7319999999999995E-4</v>
      </c>
      <c r="T544" s="2">
        <v>2.0900000000000001E-4</v>
      </c>
      <c r="V544" s="11"/>
      <c r="W544" s="6"/>
      <c r="X544" s="6">
        <v>5.25</v>
      </c>
      <c r="Y544" s="11" t="str">
        <f t="shared" si="108"/>
        <v/>
      </c>
      <c r="Z544" s="6" t="str">
        <f t="shared" si="109"/>
        <v/>
      </c>
      <c r="AA544" s="23">
        <f t="shared" si="110"/>
        <v>35.25</v>
      </c>
      <c r="AB544" t="str">
        <f t="shared" si="99"/>
        <v/>
      </c>
      <c r="AC544" t="str">
        <f t="shared" si="100"/>
        <v/>
      </c>
      <c r="AD544">
        <f t="shared" si="101"/>
        <v>6.8199999999999999E-4</v>
      </c>
      <c r="AE544" s="18" t="str">
        <f t="shared" si="102"/>
        <v/>
      </c>
      <c r="AF544" s="7" t="str">
        <f t="shared" si="103"/>
        <v/>
      </c>
      <c r="AG544" s="12">
        <f t="shared" si="104"/>
        <v>0.99672883670676427</v>
      </c>
      <c r="AI544" s="54" t="str">
        <f t="shared" si="105"/>
        <v/>
      </c>
      <c r="AJ544" s="54" t="str">
        <f t="shared" si="106"/>
        <v/>
      </c>
      <c r="AK544" s="54">
        <f t="shared" si="107"/>
        <v>0.28356871078616364</v>
      </c>
    </row>
    <row r="545" spans="9:37" x14ac:dyDescent="0.45">
      <c r="I545" s="2">
        <v>69.099999999999994</v>
      </c>
      <c r="J545" s="2">
        <v>2.1503600000000001E-2</v>
      </c>
      <c r="K545" s="2">
        <v>1.2109399999999999E-2</v>
      </c>
      <c r="R545" s="2">
        <v>22.21</v>
      </c>
      <c r="S545" s="2">
        <v>5.7315999999999997E-4</v>
      </c>
      <c r="T545" s="2">
        <v>2.0909999999999999E-4</v>
      </c>
      <c r="V545" s="11"/>
      <c r="W545" s="6"/>
      <c r="X545" s="6">
        <v>5.26</v>
      </c>
      <c r="Y545" s="11" t="str">
        <f t="shared" si="108"/>
        <v/>
      </c>
      <c r="Z545" s="6" t="str">
        <f t="shared" si="109"/>
        <v/>
      </c>
      <c r="AA545" s="23">
        <f t="shared" si="110"/>
        <v>35.26</v>
      </c>
      <c r="AB545" t="str">
        <f t="shared" si="99"/>
        <v/>
      </c>
      <c r="AC545" t="str">
        <f t="shared" si="100"/>
        <v/>
      </c>
      <c r="AD545">
        <f t="shared" si="101"/>
        <v>6.8232000000000004E-4</v>
      </c>
      <c r="AE545" s="18" t="str">
        <f t="shared" si="102"/>
        <v/>
      </c>
      <c r="AF545" s="7" t="str">
        <f t="shared" si="103"/>
        <v/>
      </c>
      <c r="AG545" s="12">
        <f t="shared" si="104"/>
        <v>0.9967220390160979</v>
      </c>
      <c r="AI545" s="54" t="str">
        <f t="shared" si="105"/>
        <v/>
      </c>
      <c r="AJ545" s="54" t="str">
        <f t="shared" si="106"/>
        <v/>
      </c>
      <c r="AK545" s="54">
        <f t="shared" si="107"/>
        <v>0.28416814404351415</v>
      </c>
    </row>
    <row r="546" spans="9:37" x14ac:dyDescent="0.45">
      <c r="I546" s="2">
        <v>69.2</v>
      </c>
      <c r="J546" s="2">
        <v>2.1752199999999999E-2</v>
      </c>
      <c r="K546" s="2">
        <v>1.22378E-2</v>
      </c>
      <c r="R546" s="2">
        <v>22.22</v>
      </c>
      <c r="S546" s="2">
        <v>5.7311999999999999E-4</v>
      </c>
      <c r="T546" s="2">
        <v>2.0919999999999999E-4</v>
      </c>
      <c r="V546" s="11"/>
      <c r="W546" s="6"/>
      <c r="X546" s="6">
        <v>5.2700000000000005</v>
      </c>
      <c r="Y546" s="11" t="str">
        <f t="shared" si="108"/>
        <v/>
      </c>
      <c r="Z546" s="6" t="str">
        <f t="shared" si="109"/>
        <v/>
      </c>
      <c r="AA546" s="23">
        <f t="shared" si="110"/>
        <v>35.270000000000003</v>
      </c>
      <c r="AB546" t="str">
        <f t="shared" si="99"/>
        <v/>
      </c>
      <c r="AC546" t="str">
        <f t="shared" si="100"/>
        <v/>
      </c>
      <c r="AD546">
        <f t="shared" si="101"/>
        <v>6.8263999999999998E-4</v>
      </c>
      <c r="AE546" s="18" t="str">
        <f t="shared" si="102"/>
        <v/>
      </c>
      <c r="AF546" s="7" t="str">
        <f t="shared" si="103"/>
        <v/>
      </c>
      <c r="AG546" s="12">
        <f t="shared" si="104"/>
        <v>0.99671523818228125</v>
      </c>
      <c r="AI546" s="54" t="str">
        <f t="shared" si="105"/>
        <v/>
      </c>
      <c r="AJ546" s="54" t="str">
        <f t="shared" si="106"/>
        <v/>
      </c>
      <c r="AK546" s="54">
        <f t="shared" si="107"/>
        <v>0.28476781887164049</v>
      </c>
    </row>
    <row r="547" spans="9:37" x14ac:dyDescent="0.45">
      <c r="I547" s="2">
        <v>69.3</v>
      </c>
      <c r="J547" s="2">
        <v>2.2000800000000001E-2</v>
      </c>
      <c r="K547" s="2">
        <v>1.2366200000000001E-2</v>
      </c>
      <c r="R547" s="2">
        <v>22.23</v>
      </c>
      <c r="S547" s="2">
        <v>5.7308000000000001E-4</v>
      </c>
      <c r="T547" s="2">
        <v>2.0929999999999999E-4</v>
      </c>
      <c r="V547" s="11"/>
      <c r="W547" s="6"/>
      <c r="X547" s="6">
        <v>5.28</v>
      </c>
      <c r="Y547" s="11" t="str">
        <f t="shared" si="108"/>
        <v/>
      </c>
      <c r="Z547" s="6" t="str">
        <f t="shared" si="109"/>
        <v/>
      </c>
      <c r="AA547" s="23">
        <f t="shared" si="110"/>
        <v>35.28</v>
      </c>
      <c r="AB547" t="str">
        <f t="shared" si="99"/>
        <v/>
      </c>
      <c r="AC547" t="str">
        <f t="shared" si="100"/>
        <v/>
      </c>
      <c r="AD547">
        <f t="shared" si="101"/>
        <v>6.8296000000000003E-4</v>
      </c>
      <c r="AE547" s="18" t="str">
        <f t="shared" si="102"/>
        <v/>
      </c>
      <c r="AF547" s="7" t="str">
        <f t="shared" si="103"/>
        <v/>
      </c>
      <c r="AG547" s="12">
        <f t="shared" si="104"/>
        <v>0.99670843420537936</v>
      </c>
      <c r="AI547" s="54" t="str">
        <f t="shared" si="105"/>
        <v/>
      </c>
      <c r="AJ547" s="54" t="str">
        <f t="shared" si="106"/>
        <v/>
      </c>
      <c r="AK547" s="54">
        <f t="shared" si="107"/>
        <v>0.28536773537265636</v>
      </c>
    </row>
    <row r="548" spans="9:37" x14ac:dyDescent="0.45">
      <c r="I548" s="2">
        <v>69.400000000000006</v>
      </c>
      <c r="J548" s="2">
        <v>2.2249399999999999E-2</v>
      </c>
      <c r="K548" s="2">
        <v>1.24946E-2</v>
      </c>
      <c r="R548" s="2">
        <v>22.24</v>
      </c>
      <c r="S548" s="2">
        <v>5.7304000000000003E-4</v>
      </c>
      <c r="T548" s="2">
        <v>2.0939999999999999E-4</v>
      </c>
      <c r="V548" s="11"/>
      <c r="W548" s="6"/>
      <c r="X548" s="6">
        <v>5.29</v>
      </c>
      <c r="Y548" s="11" t="str">
        <f t="shared" si="108"/>
        <v/>
      </c>
      <c r="Z548" s="6" t="str">
        <f t="shared" si="109"/>
        <v/>
      </c>
      <c r="AA548" s="23">
        <f t="shared" si="110"/>
        <v>35.29</v>
      </c>
      <c r="AB548" t="str">
        <f t="shared" si="99"/>
        <v/>
      </c>
      <c r="AC548" t="str">
        <f t="shared" si="100"/>
        <v/>
      </c>
      <c r="AD548">
        <f t="shared" si="101"/>
        <v>6.8327999999999998E-4</v>
      </c>
      <c r="AE548" s="18" t="str">
        <f t="shared" si="102"/>
        <v/>
      </c>
      <c r="AF548" s="7" t="str">
        <f t="shared" si="103"/>
        <v/>
      </c>
      <c r="AG548" s="12">
        <f t="shared" si="104"/>
        <v>0.99670162708545706</v>
      </c>
      <c r="AI548" s="54" t="str">
        <f t="shared" si="105"/>
        <v/>
      </c>
      <c r="AJ548" s="54" t="str">
        <f t="shared" si="106"/>
        <v/>
      </c>
      <c r="AK548" s="54">
        <f t="shared" si="107"/>
        <v>0.28596789364871944</v>
      </c>
    </row>
    <row r="549" spans="9:37" x14ac:dyDescent="0.45">
      <c r="I549" s="2">
        <v>69.5</v>
      </c>
      <c r="J549" s="2">
        <v>2.2498000000000001E-2</v>
      </c>
      <c r="K549" s="2">
        <v>1.2623000000000001E-2</v>
      </c>
      <c r="R549" s="2">
        <v>22.25</v>
      </c>
      <c r="S549" s="2">
        <v>5.7300000000000005E-4</v>
      </c>
      <c r="T549" s="2">
        <v>2.095E-4</v>
      </c>
      <c r="V549" s="11"/>
      <c r="W549" s="6"/>
      <c r="X549" s="6">
        <v>5.3</v>
      </c>
      <c r="Y549" s="11" t="str">
        <f t="shared" si="108"/>
        <v/>
      </c>
      <c r="Z549" s="6" t="str">
        <f t="shared" si="109"/>
        <v/>
      </c>
      <c r="AA549" s="23">
        <f t="shared" si="110"/>
        <v>35.299999999999997</v>
      </c>
      <c r="AB549" t="str">
        <f t="shared" si="99"/>
        <v/>
      </c>
      <c r="AC549" t="str">
        <f t="shared" si="100"/>
        <v/>
      </c>
      <c r="AD549">
        <f t="shared" si="101"/>
        <v>6.8360000000000003E-4</v>
      </c>
      <c r="AE549" s="18" t="str">
        <f t="shared" si="102"/>
        <v/>
      </c>
      <c r="AF549" s="7" t="str">
        <f t="shared" si="103"/>
        <v/>
      </c>
      <c r="AG549" s="12">
        <f t="shared" si="104"/>
        <v>0.99669481682257954</v>
      </c>
      <c r="AI549" s="54" t="str">
        <f t="shared" si="105"/>
        <v/>
      </c>
      <c r="AJ549" s="54" t="str">
        <f t="shared" si="106"/>
        <v/>
      </c>
      <c r="AK549" s="54">
        <f t="shared" si="107"/>
        <v>0.28656829380203114</v>
      </c>
    </row>
    <row r="550" spans="9:37" x14ac:dyDescent="0.45">
      <c r="I550" s="2">
        <v>69.599999999999994</v>
      </c>
      <c r="J550" s="2">
        <v>2.2746599999999999E-2</v>
      </c>
      <c r="K550" s="2">
        <v>1.27514E-2</v>
      </c>
      <c r="R550" s="2">
        <v>22.26</v>
      </c>
      <c r="S550" s="2">
        <v>5.7295999999999996E-4</v>
      </c>
      <c r="T550" s="2">
        <v>2.096E-4</v>
      </c>
      <c r="V550" s="11"/>
      <c r="W550" s="6"/>
      <c r="X550" s="6">
        <v>5.3100000000000005</v>
      </c>
      <c r="Y550" s="11" t="str">
        <f t="shared" si="108"/>
        <v/>
      </c>
      <c r="Z550" s="6" t="str">
        <f t="shared" si="109"/>
        <v/>
      </c>
      <c r="AA550" s="23">
        <f t="shared" si="110"/>
        <v>35.31</v>
      </c>
      <c r="AB550" t="str">
        <f t="shared" si="99"/>
        <v/>
      </c>
      <c r="AC550" t="str">
        <f t="shared" si="100"/>
        <v/>
      </c>
      <c r="AD550">
        <f t="shared" si="101"/>
        <v>6.8391999999999997E-4</v>
      </c>
      <c r="AE550" s="18" t="str">
        <f t="shared" si="102"/>
        <v/>
      </c>
      <c r="AF550" s="7" t="str">
        <f t="shared" si="103"/>
        <v/>
      </c>
      <c r="AG550" s="12">
        <f t="shared" si="104"/>
        <v>0.99668800341681174</v>
      </c>
      <c r="AI550" s="54" t="str">
        <f t="shared" si="105"/>
        <v/>
      </c>
      <c r="AJ550" s="54" t="str">
        <f t="shared" si="106"/>
        <v/>
      </c>
      <c r="AK550" s="54">
        <f t="shared" si="107"/>
        <v>0.28716893593483689</v>
      </c>
    </row>
    <row r="551" spans="9:37" x14ac:dyDescent="0.45">
      <c r="I551" s="2">
        <v>69.7</v>
      </c>
      <c r="J551" s="2">
        <v>2.29952E-2</v>
      </c>
      <c r="K551" s="2">
        <v>1.28798E-2</v>
      </c>
      <c r="R551" s="2">
        <v>22.27</v>
      </c>
      <c r="S551" s="2">
        <v>5.7291999999999998E-4</v>
      </c>
      <c r="T551" s="2">
        <v>2.097E-4</v>
      </c>
      <c r="V551" s="11"/>
      <c r="W551" s="6"/>
      <c r="X551" s="6">
        <v>5.32</v>
      </c>
      <c r="Y551" s="11" t="str">
        <f t="shared" si="108"/>
        <v/>
      </c>
      <c r="Z551" s="6" t="str">
        <f t="shared" si="109"/>
        <v/>
      </c>
      <c r="AA551" s="23">
        <f t="shared" si="110"/>
        <v>35.32</v>
      </c>
      <c r="AB551" t="str">
        <f t="shared" si="99"/>
        <v/>
      </c>
      <c r="AC551" t="str">
        <f t="shared" si="100"/>
        <v/>
      </c>
      <c r="AD551">
        <f t="shared" si="101"/>
        <v>6.8424000000000002E-4</v>
      </c>
      <c r="AE551" s="18" t="str">
        <f t="shared" si="102"/>
        <v/>
      </c>
      <c r="AF551" s="7" t="str">
        <f t="shared" si="103"/>
        <v/>
      </c>
      <c r="AG551" s="12">
        <f t="shared" si="104"/>
        <v>0.99668118686821883</v>
      </c>
      <c r="AI551" s="54" t="str">
        <f t="shared" si="105"/>
        <v/>
      </c>
      <c r="AJ551" s="54" t="str">
        <f t="shared" si="106"/>
        <v/>
      </c>
      <c r="AK551" s="54">
        <f t="shared" si="107"/>
        <v>0.28776982014942598</v>
      </c>
    </row>
    <row r="552" spans="9:37" x14ac:dyDescent="0.45">
      <c r="I552" s="2">
        <v>69.8</v>
      </c>
      <c r="J552" s="2">
        <v>2.3243799999999998E-2</v>
      </c>
      <c r="K552" s="2">
        <v>1.3008199999999999E-2</v>
      </c>
      <c r="R552" s="2">
        <v>22.28</v>
      </c>
      <c r="S552" s="2">
        <v>5.7288E-4</v>
      </c>
      <c r="T552" s="2">
        <v>2.098E-4</v>
      </c>
      <c r="V552" s="11"/>
      <c r="W552" s="6"/>
      <c r="X552" s="6">
        <v>5.33</v>
      </c>
      <c r="Y552" s="11" t="str">
        <f t="shared" si="108"/>
        <v/>
      </c>
      <c r="Z552" s="6" t="str">
        <f t="shared" si="109"/>
        <v/>
      </c>
      <c r="AA552" s="23">
        <f t="shared" si="110"/>
        <v>35.33</v>
      </c>
      <c r="AB552" t="str">
        <f t="shared" si="99"/>
        <v/>
      </c>
      <c r="AC552" t="str">
        <f t="shared" si="100"/>
        <v/>
      </c>
      <c r="AD552">
        <f t="shared" si="101"/>
        <v>6.8455999999999996E-4</v>
      </c>
      <c r="AE552" s="18" t="str">
        <f t="shared" si="102"/>
        <v/>
      </c>
      <c r="AF552" s="7" t="str">
        <f t="shared" si="103"/>
        <v/>
      </c>
      <c r="AG552" s="12">
        <f t="shared" si="104"/>
        <v>0.99667436717686575</v>
      </c>
      <c r="AI552" s="54" t="str">
        <f t="shared" si="105"/>
        <v/>
      </c>
      <c r="AJ552" s="54" t="str">
        <f t="shared" si="106"/>
        <v/>
      </c>
      <c r="AK552" s="54">
        <f t="shared" si="107"/>
        <v>0.28837094654813161</v>
      </c>
    </row>
    <row r="553" spans="9:37" x14ac:dyDescent="0.45">
      <c r="I553" s="2">
        <v>69.900000000000006</v>
      </c>
      <c r="J553" s="2">
        <v>2.34924E-2</v>
      </c>
      <c r="K553" s="2">
        <v>1.31366E-2</v>
      </c>
      <c r="R553" s="2">
        <v>22.29</v>
      </c>
      <c r="S553" s="2">
        <v>5.7284000000000002E-4</v>
      </c>
      <c r="T553" s="2">
        <v>2.0990000000000001E-4</v>
      </c>
      <c r="V553" s="11"/>
      <c r="W553" s="6"/>
      <c r="X553" s="6">
        <v>5.34</v>
      </c>
      <c r="Y553" s="11" t="str">
        <f t="shared" si="108"/>
        <v/>
      </c>
      <c r="Z553" s="6" t="str">
        <f t="shared" si="109"/>
        <v/>
      </c>
      <c r="AA553" s="23">
        <f t="shared" si="110"/>
        <v>35.340000000000003</v>
      </c>
      <c r="AB553" t="str">
        <f t="shared" si="99"/>
        <v/>
      </c>
      <c r="AC553" t="str">
        <f t="shared" si="100"/>
        <v/>
      </c>
      <c r="AD553">
        <f t="shared" si="101"/>
        <v>6.8488000000000002E-4</v>
      </c>
      <c r="AE553" s="18" t="str">
        <f t="shared" si="102"/>
        <v/>
      </c>
      <c r="AF553" s="7" t="str">
        <f t="shared" si="103"/>
        <v/>
      </c>
      <c r="AG553" s="12">
        <f t="shared" si="104"/>
        <v>0.99666754434281779</v>
      </c>
      <c r="AI553" s="54" t="str">
        <f t="shared" si="105"/>
        <v/>
      </c>
      <c r="AJ553" s="54" t="str">
        <f t="shared" si="106"/>
        <v/>
      </c>
      <c r="AK553" s="54">
        <f t="shared" si="107"/>
        <v>0.28897231523333106</v>
      </c>
    </row>
    <row r="554" spans="9:37" x14ac:dyDescent="0.45">
      <c r="I554" s="2">
        <v>70</v>
      </c>
      <c r="J554" s="2">
        <v>2.3741000000000002E-2</v>
      </c>
      <c r="K554" s="2">
        <v>1.3265000000000001E-2</v>
      </c>
      <c r="R554" s="2">
        <v>22.3</v>
      </c>
      <c r="S554" s="2">
        <v>5.7280000000000005E-4</v>
      </c>
      <c r="T554" s="2">
        <v>2.1000000000000001E-4</v>
      </c>
      <c r="V554" s="11"/>
      <c r="W554" s="6"/>
      <c r="X554" s="6">
        <v>5.3500000000000005</v>
      </c>
      <c r="Y554" s="11" t="str">
        <f t="shared" si="108"/>
        <v/>
      </c>
      <c r="Z554" s="6" t="str">
        <f t="shared" si="109"/>
        <v/>
      </c>
      <c r="AA554" s="23">
        <f t="shared" si="110"/>
        <v>35.35</v>
      </c>
      <c r="AB554" t="str">
        <f t="shared" si="99"/>
        <v/>
      </c>
      <c r="AC554" t="str">
        <f t="shared" si="100"/>
        <v/>
      </c>
      <c r="AD554">
        <f t="shared" si="101"/>
        <v>6.8519999999999996E-4</v>
      </c>
      <c r="AE554" s="18" t="str">
        <f t="shared" si="102"/>
        <v/>
      </c>
      <c r="AF554" s="7" t="str">
        <f t="shared" si="103"/>
        <v/>
      </c>
      <c r="AG554" s="12">
        <f t="shared" si="104"/>
        <v>0.99666071836614012</v>
      </c>
      <c r="AI554" s="54" t="str">
        <f t="shared" si="105"/>
        <v/>
      </c>
      <c r="AJ554" s="54" t="str">
        <f t="shared" si="106"/>
        <v/>
      </c>
      <c r="AK554" s="54">
        <f t="shared" si="107"/>
        <v>0.28957392630744544</v>
      </c>
    </row>
    <row r="555" spans="9:37" x14ac:dyDescent="0.45">
      <c r="I555" s="2">
        <v>70.099999999999994</v>
      </c>
      <c r="J555" s="2">
        <v>2.40165E-2</v>
      </c>
      <c r="K555" s="2">
        <v>1.3407199999999999E-2</v>
      </c>
      <c r="R555" s="2">
        <v>22.31</v>
      </c>
      <c r="S555" s="2">
        <v>5.7275999999999996E-4</v>
      </c>
      <c r="T555" s="2">
        <v>2.1010000000000001E-4</v>
      </c>
      <c r="V555" s="11"/>
      <c r="W555" s="6"/>
      <c r="X555" s="6">
        <v>5.36</v>
      </c>
      <c r="Y555" s="11" t="str">
        <f t="shared" si="108"/>
        <v/>
      </c>
      <c r="Z555" s="6" t="str">
        <f t="shared" si="109"/>
        <v/>
      </c>
      <c r="AA555" s="23">
        <f t="shared" si="110"/>
        <v>35.36</v>
      </c>
      <c r="AB555" t="str">
        <f t="shared" si="99"/>
        <v/>
      </c>
      <c r="AC555" t="str">
        <f t="shared" si="100"/>
        <v/>
      </c>
      <c r="AD555">
        <f t="shared" si="101"/>
        <v>6.8552000000000001E-4</v>
      </c>
      <c r="AE555" s="18" t="str">
        <f t="shared" si="102"/>
        <v/>
      </c>
      <c r="AF555" s="7" t="str">
        <f t="shared" si="103"/>
        <v/>
      </c>
      <c r="AG555" s="12">
        <f t="shared" si="104"/>
        <v>0.99665388924689791</v>
      </c>
      <c r="AI555" s="54" t="str">
        <f t="shared" si="105"/>
        <v/>
      </c>
      <c r="AJ555" s="54" t="str">
        <f t="shared" si="106"/>
        <v/>
      </c>
      <c r="AK555" s="54">
        <f t="shared" si="107"/>
        <v>0.29017577987293997</v>
      </c>
    </row>
    <row r="556" spans="9:37" x14ac:dyDescent="0.45">
      <c r="I556" s="2">
        <v>70.2</v>
      </c>
      <c r="J556" s="2">
        <v>2.4292000000000001E-2</v>
      </c>
      <c r="K556" s="2">
        <v>1.35494E-2</v>
      </c>
      <c r="R556" s="2">
        <v>22.32</v>
      </c>
      <c r="S556" s="2">
        <v>5.7271999999999998E-4</v>
      </c>
      <c r="T556" s="2">
        <v>2.1019999999999999E-4</v>
      </c>
      <c r="V556" s="11"/>
      <c r="W556" s="6"/>
      <c r="X556" s="6">
        <v>5.37</v>
      </c>
      <c r="Y556" s="11" t="str">
        <f t="shared" si="108"/>
        <v/>
      </c>
      <c r="Z556" s="6" t="str">
        <f t="shared" si="109"/>
        <v/>
      </c>
      <c r="AA556" s="23">
        <f t="shared" si="110"/>
        <v>35.369999999999997</v>
      </c>
      <c r="AB556" t="str">
        <f t="shared" si="99"/>
        <v/>
      </c>
      <c r="AC556" t="str">
        <f t="shared" si="100"/>
        <v/>
      </c>
      <c r="AD556">
        <f t="shared" si="101"/>
        <v>6.8583999999999995E-4</v>
      </c>
      <c r="AE556" s="18" t="str">
        <f t="shared" si="102"/>
        <v/>
      </c>
      <c r="AF556" s="7" t="str">
        <f t="shared" si="103"/>
        <v/>
      </c>
      <c r="AG556" s="12">
        <f t="shared" si="104"/>
        <v>0.99664705698515632</v>
      </c>
      <c r="AI556" s="54" t="str">
        <f t="shared" si="105"/>
        <v/>
      </c>
      <c r="AJ556" s="54" t="str">
        <f t="shared" si="106"/>
        <v/>
      </c>
      <c r="AK556" s="54">
        <f t="shared" si="107"/>
        <v>0.2907778760323238</v>
      </c>
    </row>
    <row r="557" spans="9:37" x14ac:dyDescent="0.45">
      <c r="I557" s="2">
        <v>70.3</v>
      </c>
      <c r="J557" s="2">
        <v>2.4567499999999999E-2</v>
      </c>
      <c r="K557" s="2">
        <v>1.36916E-2</v>
      </c>
      <c r="R557" s="2">
        <v>22.33</v>
      </c>
      <c r="S557" s="2">
        <v>5.7268E-4</v>
      </c>
      <c r="T557" s="2">
        <v>2.1029999999999999E-4</v>
      </c>
      <c r="V557" s="11"/>
      <c r="W557" s="6"/>
      <c r="X557" s="6">
        <v>5.38</v>
      </c>
      <c r="Y557" s="11" t="str">
        <f t="shared" si="108"/>
        <v/>
      </c>
      <c r="Z557" s="6" t="str">
        <f t="shared" si="109"/>
        <v/>
      </c>
      <c r="AA557" s="23">
        <f t="shared" si="110"/>
        <v>35.380000000000003</v>
      </c>
      <c r="AB557" t="str">
        <f t="shared" si="99"/>
        <v/>
      </c>
      <c r="AC557" t="str">
        <f t="shared" si="100"/>
        <v/>
      </c>
      <c r="AD557">
        <f t="shared" si="101"/>
        <v>6.8616E-4</v>
      </c>
      <c r="AE557" s="18" t="str">
        <f t="shared" si="102"/>
        <v/>
      </c>
      <c r="AF557" s="7" t="str">
        <f t="shared" si="103"/>
        <v/>
      </c>
      <c r="AG557" s="12">
        <f t="shared" si="104"/>
        <v>0.99664022158098065</v>
      </c>
      <c r="AI557" s="54" t="str">
        <f t="shared" si="105"/>
        <v/>
      </c>
      <c r="AJ557" s="54" t="str">
        <f t="shared" si="106"/>
        <v/>
      </c>
      <c r="AK557" s="54">
        <f t="shared" si="107"/>
        <v>0.29138021488815019</v>
      </c>
    </row>
    <row r="558" spans="9:37" x14ac:dyDescent="0.45">
      <c r="I558" s="2">
        <v>70.400000000000006</v>
      </c>
      <c r="J558" s="2">
        <v>2.4843E-2</v>
      </c>
      <c r="K558" s="2">
        <v>1.38338E-2</v>
      </c>
      <c r="R558" s="2">
        <v>22.34</v>
      </c>
      <c r="S558" s="2">
        <v>5.7264000000000002E-4</v>
      </c>
      <c r="T558" s="2">
        <v>2.1039999999999999E-4</v>
      </c>
      <c r="V558" s="11"/>
      <c r="W558" s="6"/>
      <c r="X558" s="6">
        <v>5.39</v>
      </c>
      <c r="Y558" s="11" t="str">
        <f t="shared" si="108"/>
        <v/>
      </c>
      <c r="Z558" s="6" t="str">
        <f t="shared" si="109"/>
        <v/>
      </c>
      <c r="AA558" s="23">
        <f t="shared" si="110"/>
        <v>35.39</v>
      </c>
      <c r="AB558" t="str">
        <f t="shared" si="99"/>
        <v/>
      </c>
      <c r="AC558" t="str">
        <f t="shared" si="100"/>
        <v/>
      </c>
      <c r="AD558">
        <f t="shared" si="101"/>
        <v>6.8647999999999995E-4</v>
      </c>
      <c r="AE558" s="18" t="str">
        <f t="shared" si="102"/>
        <v/>
      </c>
      <c r="AF558" s="7" t="str">
        <f t="shared" si="103"/>
        <v/>
      </c>
      <c r="AG558" s="12">
        <f t="shared" si="104"/>
        <v>0.99663338303443627</v>
      </c>
      <c r="AI558" s="54" t="str">
        <f t="shared" si="105"/>
        <v/>
      </c>
      <c r="AJ558" s="54" t="str">
        <f t="shared" si="106"/>
        <v/>
      </c>
      <c r="AK558" s="54">
        <f t="shared" si="107"/>
        <v>0.2919827965430164</v>
      </c>
    </row>
    <row r="559" spans="9:37" x14ac:dyDescent="0.45">
      <c r="I559" s="2">
        <v>70.5</v>
      </c>
      <c r="J559" s="2">
        <v>2.5118499999999998E-2</v>
      </c>
      <c r="K559" s="2">
        <v>1.3976000000000001E-2</v>
      </c>
      <c r="R559" s="2">
        <v>22.35</v>
      </c>
      <c r="S559" s="2">
        <v>5.7260000000000004E-4</v>
      </c>
      <c r="T559" s="2">
        <v>2.1049999999999999E-4</v>
      </c>
      <c r="V559" s="11"/>
      <c r="W559" s="6"/>
      <c r="X559" s="6">
        <v>5.4</v>
      </c>
      <c r="Y559" s="11" t="str">
        <f t="shared" si="108"/>
        <v/>
      </c>
      <c r="Z559" s="6" t="str">
        <f t="shared" si="109"/>
        <v/>
      </c>
      <c r="AA559" s="23">
        <f t="shared" si="110"/>
        <v>35.4</v>
      </c>
      <c r="AB559" t="str">
        <f t="shared" si="99"/>
        <v/>
      </c>
      <c r="AC559" t="str">
        <f t="shared" si="100"/>
        <v/>
      </c>
      <c r="AD559">
        <f t="shared" si="101"/>
        <v>6.868E-4</v>
      </c>
      <c r="AE559" s="18" t="str">
        <f t="shared" si="102"/>
        <v/>
      </c>
      <c r="AF559" s="7" t="str">
        <f t="shared" si="103"/>
        <v/>
      </c>
      <c r="AG559" s="12">
        <f t="shared" si="104"/>
        <v>0.99662654134558837</v>
      </c>
      <c r="AI559" s="54" t="str">
        <f t="shared" si="105"/>
        <v/>
      </c>
      <c r="AJ559" s="54" t="str">
        <f t="shared" si="106"/>
        <v/>
      </c>
      <c r="AK559" s="54">
        <f t="shared" si="107"/>
        <v>0.29258562109956382</v>
      </c>
    </row>
    <row r="560" spans="9:37" x14ac:dyDescent="0.45">
      <c r="I560" s="2">
        <v>70.599999999999994</v>
      </c>
      <c r="J560" s="2">
        <v>2.5394E-2</v>
      </c>
      <c r="K560" s="2">
        <v>1.4118199999999999E-2</v>
      </c>
      <c r="R560" s="2">
        <v>22.36</v>
      </c>
      <c r="S560" s="2">
        <v>5.7255999999999995E-4</v>
      </c>
      <c r="T560" s="2">
        <v>2.106E-4</v>
      </c>
      <c r="V560" s="11"/>
      <c r="W560" s="6"/>
      <c r="X560" s="6">
        <v>5.41</v>
      </c>
      <c r="Y560" s="11" t="str">
        <f t="shared" si="108"/>
        <v/>
      </c>
      <c r="Z560" s="6" t="str">
        <f t="shared" si="109"/>
        <v/>
      </c>
      <c r="AA560" s="23">
        <f t="shared" si="110"/>
        <v>35.409999999999997</v>
      </c>
      <c r="AB560" t="str">
        <f t="shared" si="99"/>
        <v/>
      </c>
      <c r="AC560" t="str">
        <f t="shared" si="100"/>
        <v/>
      </c>
      <c r="AD560">
        <f t="shared" si="101"/>
        <v>6.8712000000000005E-4</v>
      </c>
      <c r="AE560" s="18" t="str">
        <f t="shared" si="102"/>
        <v/>
      </c>
      <c r="AF560" s="7" t="str">
        <f t="shared" si="103"/>
        <v/>
      </c>
      <c r="AG560" s="12">
        <f t="shared" si="104"/>
        <v>0.99661969651450244</v>
      </c>
      <c r="AI560" s="54" t="str">
        <f t="shared" si="105"/>
        <v/>
      </c>
      <c r="AJ560" s="54" t="str">
        <f t="shared" si="106"/>
        <v/>
      </c>
      <c r="AK560" s="54">
        <f t="shared" si="107"/>
        <v>0.29318868866047787</v>
      </c>
    </row>
    <row r="561" spans="9:37" x14ac:dyDescent="0.45">
      <c r="I561" s="2">
        <v>70.7</v>
      </c>
      <c r="J561" s="2">
        <v>2.5669500000000001E-2</v>
      </c>
      <c r="K561" s="2">
        <v>1.4260399999999999E-2</v>
      </c>
      <c r="R561" s="2">
        <v>22.37</v>
      </c>
      <c r="S561" s="2">
        <v>5.7251999999999997E-4</v>
      </c>
      <c r="T561" s="2">
        <v>2.107E-4</v>
      </c>
      <c r="V561" s="11"/>
      <c r="W561" s="6"/>
      <c r="X561" s="6">
        <v>5.42</v>
      </c>
      <c r="Y561" s="11" t="str">
        <f t="shared" si="108"/>
        <v/>
      </c>
      <c r="Z561" s="6" t="str">
        <f t="shared" si="109"/>
        <v/>
      </c>
      <c r="AA561" s="23">
        <f t="shared" si="110"/>
        <v>35.42</v>
      </c>
      <c r="AB561" t="str">
        <f t="shared" si="99"/>
        <v/>
      </c>
      <c r="AC561" t="str">
        <f t="shared" si="100"/>
        <v/>
      </c>
      <c r="AD561">
        <f t="shared" si="101"/>
        <v>6.8743999999999999E-4</v>
      </c>
      <c r="AE561" s="18" t="str">
        <f t="shared" si="102"/>
        <v/>
      </c>
      <c r="AF561" s="7" t="str">
        <f t="shared" si="103"/>
        <v/>
      </c>
      <c r="AG561" s="12">
        <f t="shared" si="104"/>
        <v>0.99661284854124377</v>
      </c>
      <c r="AI561" s="54" t="str">
        <f t="shared" si="105"/>
        <v/>
      </c>
      <c r="AJ561" s="54" t="str">
        <f t="shared" si="106"/>
        <v/>
      </c>
      <c r="AK561" s="54">
        <f t="shared" si="107"/>
        <v>0.2937919993284881</v>
      </c>
    </row>
    <row r="562" spans="9:37" x14ac:dyDescent="0.45">
      <c r="I562" s="2">
        <v>70.8</v>
      </c>
      <c r="J562" s="2">
        <v>2.5944999999999999E-2</v>
      </c>
      <c r="K562" s="2">
        <v>1.44026E-2</v>
      </c>
      <c r="R562" s="2">
        <v>22.38</v>
      </c>
      <c r="S562" s="2">
        <v>5.7247999999999999E-4</v>
      </c>
      <c r="T562" s="2">
        <v>2.108E-4</v>
      </c>
      <c r="V562" s="11"/>
      <c r="W562" s="6"/>
      <c r="X562" s="6">
        <v>5.43</v>
      </c>
      <c r="Y562" s="11" t="str">
        <f t="shared" si="108"/>
        <v/>
      </c>
      <c r="Z562" s="6" t="str">
        <f t="shared" si="109"/>
        <v/>
      </c>
      <c r="AA562" s="23">
        <f t="shared" si="110"/>
        <v>35.43</v>
      </c>
      <c r="AB562" t="str">
        <f t="shared" si="99"/>
        <v/>
      </c>
      <c r="AC562" t="str">
        <f t="shared" si="100"/>
        <v/>
      </c>
      <c r="AD562">
        <f t="shared" si="101"/>
        <v>6.8776000000000004E-4</v>
      </c>
      <c r="AE562" s="18" t="str">
        <f t="shared" si="102"/>
        <v/>
      </c>
      <c r="AF562" s="7" t="str">
        <f t="shared" si="103"/>
        <v/>
      </c>
      <c r="AG562" s="12">
        <f t="shared" si="104"/>
        <v>0.99660599742587774</v>
      </c>
      <c r="AI562" s="54" t="str">
        <f t="shared" si="105"/>
        <v/>
      </c>
      <c r="AJ562" s="54" t="str">
        <f t="shared" si="106"/>
        <v/>
      </c>
      <c r="AK562" s="54">
        <f t="shared" si="107"/>
        <v>0.29439555320636818</v>
      </c>
    </row>
    <row r="563" spans="9:37" x14ac:dyDescent="0.45">
      <c r="I563" s="2">
        <v>70.900000000000006</v>
      </c>
      <c r="J563" s="2">
        <v>2.6220500000000001E-2</v>
      </c>
      <c r="K563" s="2">
        <v>1.45448E-2</v>
      </c>
      <c r="R563" s="2">
        <v>22.39</v>
      </c>
      <c r="S563" s="2">
        <v>5.7244000000000001E-4</v>
      </c>
      <c r="T563" s="2">
        <v>2.109E-4</v>
      </c>
      <c r="V563" s="11"/>
      <c r="W563" s="6"/>
      <c r="X563" s="6">
        <v>5.44</v>
      </c>
      <c r="Y563" s="11" t="str">
        <f t="shared" si="108"/>
        <v/>
      </c>
      <c r="Z563" s="6" t="str">
        <f t="shared" si="109"/>
        <v/>
      </c>
      <c r="AA563" s="23">
        <f t="shared" si="110"/>
        <v>35.44</v>
      </c>
      <c r="AB563" t="str">
        <f t="shared" si="99"/>
        <v/>
      </c>
      <c r="AC563" t="str">
        <f t="shared" si="100"/>
        <v/>
      </c>
      <c r="AD563">
        <f t="shared" si="101"/>
        <v>6.8807999999999999E-4</v>
      </c>
      <c r="AE563" s="18" t="str">
        <f t="shared" si="102"/>
        <v/>
      </c>
      <c r="AF563" s="7" t="str">
        <f t="shared" si="103"/>
        <v/>
      </c>
      <c r="AG563" s="12">
        <f t="shared" si="104"/>
        <v>0.99659914316846987</v>
      </c>
      <c r="AI563" s="54" t="str">
        <f t="shared" si="105"/>
        <v/>
      </c>
      <c r="AJ563" s="54" t="str">
        <f t="shared" si="106"/>
        <v/>
      </c>
      <c r="AK563" s="54">
        <f t="shared" si="107"/>
        <v>0.29499935039693598</v>
      </c>
    </row>
    <row r="564" spans="9:37" x14ac:dyDescent="0.45">
      <c r="I564" s="2">
        <v>71</v>
      </c>
      <c r="J564" s="2">
        <v>2.6495999999999999E-2</v>
      </c>
      <c r="K564" s="2">
        <v>1.4687E-2</v>
      </c>
      <c r="R564" s="2">
        <v>22.4</v>
      </c>
      <c r="S564" s="2">
        <v>5.7240000000000004E-4</v>
      </c>
      <c r="T564" s="2">
        <v>2.1100000000000001E-4</v>
      </c>
      <c r="V564" s="11"/>
      <c r="W564" s="6"/>
      <c r="X564" s="6">
        <v>5.45</v>
      </c>
      <c r="Y564" s="11" t="str">
        <f t="shared" si="108"/>
        <v/>
      </c>
      <c r="Z564" s="6" t="str">
        <f t="shared" si="109"/>
        <v/>
      </c>
      <c r="AA564" s="23">
        <f t="shared" si="110"/>
        <v>35.450000000000003</v>
      </c>
      <c r="AB564" t="str">
        <f t="shared" si="99"/>
        <v/>
      </c>
      <c r="AC564" t="str">
        <f t="shared" si="100"/>
        <v/>
      </c>
      <c r="AD564">
        <f t="shared" si="101"/>
        <v>6.8840000000000004E-4</v>
      </c>
      <c r="AE564" s="18" t="str">
        <f t="shared" si="102"/>
        <v/>
      </c>
      <c r="AF564" s="7" t="str">
        <f t="shared" si="103"/>
        <v/>
      </c>
      <c r="AG564" s="12">
        <f t="shared" si="104"/>
        <v>0.99659228576908554</v>
      </c>
      <c r="AI564" s="54" t="str">
        <f t="shared" si="105"/>
        <v/>
      </c>
      <c r="AJ564" s="54" t="str">
        <f t="shared" si="106"/>
        <v/>
      </c>
      <c r="AK564" s="54">
        <f t="shared" si="107"/>
        <v>0.29560339100305344</v>
      </c>
    </row>
    <row r="565" spans="9:37" x14ac:dyDescent="0.45">
      <c r="I565" s="2">
        <v>71.099999999999994</v>
      </c>
      <c r="J565" s="2">
        <v>2.68007E-2</v>
      </c>
      <c r="K565" s="2">
        <v>1.4844700000000001E-2</v>
      </c>
      <c r="R565" s="2">
        <v>22.41</v>
      </c>
      <c r="S565" s="2">
        <v>5.7235999999999995E-4</v>
      </c>
      <c r="T565" s="2">
        <v>2.1110000000000001E-4</v>
      </c>
      <c r="V565" s="11"/>
      <c r="W565" s="6"/>
      <c r="X565" s="6">
        <v>5.46</v>
      </c>
      <c r="Y565" s="11" t="str">
        <f t="shared" si="108"/>
        <v/>
      </c>
      <c r="Z565" s="6" t="str">
        <f t="shared" si="109"/>
        <v/>
      </c>
      <c r="AA565" s="23">
        <f t="shared" si="110"/>
        <v>35.46</v>
      </c>
      <c r="AB565" t="str">
        <f t="shared" si="99"/>
        <v/>
      </c>
      <c r="AC565" t="str">
        <f t="shared" si="100"/>
        <v/>
      </c>
      <c r="AD565">
        <f t="shared" si="101"/>
        <v>6.8871999999999998E-4</v>
      </c>
      <c r="AE565" s="18" t="str">
        <f t="shared" si="102"/>
        <v/>
      </c>
      <c r="AF565" s="7" t="str">
        <f t="shared" si="103"/>
        <v/>
      </c>
      <c r="AG565" s="12">
        <f t="shared" si="104"/>
        <v>0.99658542522779026</v>
      </c>
      <c r="AI565" s="54" t="str">
        <f t="shared" si="105"/>
        <v/>
      </c>
      <c r="AJ565" s="54" t="str">
        <f t="shared" si="106"/>
        <v/>
      </c>
      <c r="AK565" s="54">
        <f t="shared" si="107"/>
        <v>0.2962076751276268</v>
      </c>
    </row>
    <row r="566" spans="9:37" x14ac:dyDescent="0.45">
      <c r="I566" s="2">
        <v>71.2</v>
      </c>
      <c r="J566" s="2">
        <v>2.7105400000000002E-2</v>
      </c>
      <c r="K566" s="2">
        <v>1.5002400000000001E-2</v>
      </c>
      <c r="R566" s="2">
        <v>22.42</v>
      </c>
      <c r="S566" s="2">
        <v>5.7231999999999997E-4</v>
      </c>
      <c r="T566" s="2">
        <v>2.1120000000000001E-4</v>
      </c>
      <c r="V566" s="11"/>
      <c r="W566" s="6"/>
      <c r="X566" s="6">
        <v>5.47</v>
      </c>
      <c r="Y566" s="11" t="str">
        <f t="shared" si="108"/>
        <v/>
      </c>
      <c r="Z566" s="6" t="str">
        <f t="shared" si="109"/>
        <v/>
      </c>
      <c r="AA566" s="23">
        <f t="shared" si="110"/>
        <v>35.47</v>
      </c>
      <c r="AB566" t="str">
        <f t="shared" si="99"/>
        <v/>
      </c>
      <c r="AC566" t="str">
        <f t="shared" si="100"/>
        <v/>
      </c>
      <c r="AD566">
        <f t="shared" si="101"/>
        <v>6.8904000000000003E-4</v>
      </c>
      <c r="AE566" s="18" t="str">
        <f t="shared" si="102"/>
        <v/>
      </c>
      <c r="AF566" s="7" t="str">
        <f t="shared" si="103"/>
        <v/>
      </c>
      <c r="AG566" s="12">
        <f t="shared" si="104"/>
        <v>0.99657856154464963</v>
      </c>
      <c r="AI566" s="54" t="str">
        <f t="shared" si="105"/>
        <v/>
      </c>
      <c r="AJ566" s="54" t="str">
        <f t="shared" si="106"/>
        <v/>
      </c>
      <c r="AK566" s="54">
        <f t="shared" si="107"/>
        <v>0.29681220287360649</v>
      </c>
    </row>
    <row r="567" spans="9:37" x14ac:dyDescent="0.45">
      <c r="I567" s="2">
        <v>71.3</v>
      </c>
      <c r="J567" s="2">
        <v>2.74101E-2</v>
      </c>
      <c r="K567" s="2">
        <v>1.5160099999999999E-2</v>
      </c>
      <c r="R567" s="2">
        <v>22.43</v>
      </c>
      <c r="S567" s="2">
        <v>5.7227999999999999E-4</v>
      </c>
      <c r="T567" s="2">
        <v>2.1130000000000001E-4</v>
      </c>
      <c r="V567" s="11"/>
      <c r="W567" s="6"/>
      <c r="X567" s="6">
        <v>5.48</v>
      </c>
      <c r="Y567" s="11" t="str">
        <f t="shared" si="108"/>
        <v/>
      </c>
      <c r="Z567" s="6" t="str">
        <f t="shared" si="109"/>
        <v/>
      </c>
      <c r="AA567" s="23">
        <f t="shared" si="110"/>
        <v>35.480000000000004</v>
      </c>
      <c r="AB567" t="str">
        <f t="shared" si="99"/>
        <v/>
      </c>
      <c r="AC567" t="str">
        <f t="shared" si="100"/>
        <v/>
      </c>
      <c r="AD567">
        <f t="shared" si="101"/>
        <v>6.8935999999999997E-4</v>
      </c>
      <c r="AE567" s="18" t="str">
        <f t="shared" si="102"/>
        <v/>
      </c>
      <c r="AF567" s="7" t="str">
        <f t="shared" si="103"/>
        <v/>
      </c>
      <c r="AG567" s="12">
        <f t="shared" si="104"/>
        <v>0.99657169471972917</v>
      </c>
      <c r="AI567" s="54" t="str">
        <f t="shared" si="105"/>
        <v/>
      </c>
      <c r="AJ567" s="54" t="str">
        <f t="shared" si="106"/>
        <v/>
      </c>
      <c r="AK567" s="54">
        <f t="shared" si="107"/>
        <v>0.29741697434398712</v>
      </c>
    </row>
    <row r="568" spans="9:37" x14ac:dyDescent="0.45">
      <c r="I568" s="2">
        <v>71.400000000000006</v>
      </c>
      <c r="J568" s="2">
        <v>2.7714800000000001E-2</v>
      </c>
      <c r="K568" s="2">
        <v>1.5317799999999999E-2</v>
      </c>
      <c r="R568" s="2">
        <v>22.44</v>
      </c>
      <c r="S568" s="2">
        <v>5.7224000000000001E-4</v>
      </c>
      <c r="T568" s="2">
        <v>2.1139999999999999E-4</v>
      </c>
      <c r="V568" s="11"/>
      <c r="W568" s="6"/>
      <c r="X568" s="6">
        <v>5.49</v>
      </c>
      <c r="Y568" s="11" t="str">
        <f t="shared" si="108"/>
        <v/>
      </c>
      <c r="Z568" s="6" t="str">
        <f t="shared" si="109"/>
        <v/>
      </c>
      <c r="AA568" s="23">
        <f t="shared" si="110"/>
        <v>35.49</v>
      </c>
      <c r="AB568" t="str">
        <f t="shared" si="99"/>
        <v/>
      </c>
      <c r="AC568" t="str">
        <f t="shared" si="100"/>
        <v/>
      </c>
      <c r="AD568">
        <f t="shared" si="101"/>
        <v>6.8968000000000002E-4</v>
      </c>
      <c r="AE568" s="18" t="str">
        <f t="shared" si="102"/>
        <v/>
      </c>
      <c r="AF568" s="7" t="str">
        <f t="shared" si="103"/>
        <v/>
      </c>
      <c r="AG568" s="12">
        <f t="shared" si="104"/>
        <v>0.99656482475309449</v>
      </c>
      <c r="AI568" s="54" t="str">
        <f t="shared" si="105"/>
        <v/>
      </c>
      <c r="AJ568" s="54" t="str">
        <f t="shared" si="106"/>
        <v/>
      </c>
      <c r="AK568" s="54">
        <f t="shared" si="107"/>
        <v>0.29802198964180754</v>
      </c>
    </row>
    <row r="569" spans="9:37" x14ac:dyDescent="0.45">
      <c r="I569" s="2">
        <v>71.5</v>
      </c>
      <c r="J569" s="2">
        <v>2.8019499999999999E-2</v>
      </c>
      <c r="K569" s="2">
        <v>1.54755E-2</v>
      </c>
      <c r="R569" s="2">
        <v>22.45</v>
      </c>
      <c r="S569" s="2">
        <v>5.7220000000000003E-4</v>
      </c>
      <c r="T569" s="2">
        <v>2.1149999999999999E-4</v>
      </c>
      <c r="V569" s="11"/>
      <c r="W569" s="6"/>
      <c r="X569" s="6">
        <v>5.5</v>
      </c>
      <c r="Y569" s="11" t="str">
        <f t="shared" si="108"/>
        <v/>
      </c>
      <c r="Z569" s="6" t="str">
        <f t="shared" si="109"/>
        <v/>
      </c>
      <c r="AA569" s="23">
        <f t="shared" si="110"/>
        <v>35.5</v>
      </c>
      <c r="AB569" t="str">
        <f t="shared" si="99"/>
        <v/>
      </c>
      <c r="AC569" t="str">
        <f t="shared" si="100"/>
        <v/>
      </c>
      <c r="AD569">
        <f t="shared" si="101"/>
        <v>6.8999999999999997E-4</v>
      </c>
      <c r="AE569" s="18" t="str">
        <f t="shared" si="102"/>
        <v/>
      </c>
      <c r="AF569" s="7" t="str">
        <f t="shared" si="103"/>
        <v/>
      </c>
      <c r="AG569" s="12">
        <f t="shared" si="104"/>
        <v>0.99655795164481109</v>
      </c>
      <c r="AI569" s="54" t="str">
        <f t="shared" si="105"/>
        <v/>
      </c>
      <c r="AJ569" s="54" t="str">
        <f t="shared" si="106"/>
        <v/>
      </c>
      <c r="AK569" s="54">
        <f t="shared" si="107"/>
        <v>0.29862724887015091</v>
      </c>
    </row>
    <row r="570" spans="9:37" x14ac:dyDescent="0.45">
      <c r="I570" s="2">
        <v>71.599999999999994</v>
      </c>
      <c r="J570" s="2">
        <v>2.8324200000000001E-2</v>
      </c>
      <c r="K570" s="2">
        <v>1.56332E-2</v>
      </c>
      <c r="R570" s="2">
        <v>22.46</v>
      </c>
      <c r="S570" s="2">
        <v>5.7216000000000005E-4</v>
      </c>
      <c r="T570" s="2">
        <v>2.1159999999999999E-4</v>
      </c>
      <c r="V570" s="11"/>
      <c r="W570" s="6"/>
      <c r="X570" s="6">
        <v>5.51</v>
      </c>
      <c r="Y570" s="11" t="str">
        <f t="shared" si="108"/>
        <v/>
      </c>
      <c r="Z570" s="6" t="str">
        <f t="shared" si="109"/>
        <v/>
      </c>
      <c r="AA570" s="23">
        <f t="shared" si="110"/>
        <v>35.51</v>
      </c>
      <c r="AB570" t="str">
        <f t="shared" si="99"/>
        <v/>
      </c>
      <c r="AC570" t="str">
        <f t="shared" si="100"/>
        <v/>
      </c>
      <c r="AD570">
        <f t="shared" si="101"/>
        <v>6.9032000000000002E-4</v>
      </c>
      <c r="AE570" s="18" t="str">
        <f t="shared" si="102"/>
        <v/>
      </c>
      <c r="AF570" s="7" t="str">
        <f t="shared" si="103"/>
        <v/>
      </c>
      <c r="AG570" s="12">
        <f t="shared" si="104"/>
        <v>0.9965510753949447</v>
      </c>
      <c r="AI570" s="54" t="str">
        <f t="shared" si="105"/>
        <v/>
      </c>
      <c r="AJ570" s="54" t="str">
        <f t="shared" si="106"/>
        <v/>
      </c>
      <c r="AK570" s="54">
        <f t="shared" si="107"/>
        <v>0.29923275213214467</v>
      </c>
    </row>
    <row r="571" spans="9:37" x14ac:dyDescent="0.45">
      <c r="I571" s="2">
        <v>71.7</v>
      </c>
      <c r="J571" s="2">
        <v>2.8628899999999999E-2</v>
      </c>
      <c r="K571" s="2">
        <v>1.57909E-2</v>
      </c>
      <c r="R571" s="2">
        <v>22.47</v>
      </c>
      <c r="S571" s="2">
        <v>5.7211999999999996E-4</v>
      </c>
      <c r="T571" s="2">
        <v>2.117E-4</v>
      </c>
      <c r="V571" s="11"/>
      <c r="W571" s="6"/>
      <c r="X571" s="6">
        <v>5.5200000000000005</v>
      </c>
      <c r="Y571" s="11" t="str">
        <f t="shared" si="108"/>
        <v/>
      </c>
      <c r="Z571" s="6" t="str">
        <f t="shared" si="109"/>
        <v/>
      </c>
      <c r="AA571" s="23">
        <f t="shared" si="110"/>
        <v>35.520000000000003</v>
      </c>
      <c r="AB571" t="str">
        <f t="shared" si="99"/>
        <v/>
      </c>
      <c r="AC571" t="str">
        <f t="shared" si="100"/>
        <v/>
      </c>
      <c r="AD571">
        <f t="shared" si="101"/>
        <v>6.9063999999999996E-4</v>
      </c>
      <c r="AE571" s="18" t="str">
        <f t="shared" si="102"/>
        <v/>
      </c>
      <c r="AF571" s="7" t="str">
        <f t="shared" si="103"/>
        <v/>
      </c>
      <c r="AG571" s="12">
        <f t="shared" si="104"/>
        <v>0.99654419600356103</v>
      </c>
      <c r="AI571" s="54" t="str">
        <f t="shared" si="105"/>
        <v/>
      </c>
      <c r="AJ571" s="54" t="str">
        <f t="shared" si="106"/>
        <v/>
      </c>
      <c r="AK571" s="54">
        <f t="shared" si="107"/>
        <v>0.29983849953096053</v>
      </c>
    </row>
    <row r="572" spans="9:37" x14ac:dyDescent="0.45">
      <c r="I572" s="2">
        <v>71.8</v>
      </c>
      <c r="J572" s="2">
        <v>2.89336E-2</v>
      </c>
      <c r="K572" s="2">
        <v>1.59486E-2</v>
      </c>
      <c r="R572" s="2">
        <v>22.48</v>
      </c>
      <c r="S572" s="2">
        <v>5.7207999999999998E-4</v>
      </c>
      <c r="T572" s="2">
        <v>2.118E-4</v>
      </c>
      <c r="V572" s="11"/>
      <c r="W572" s="6"/>
      <c r="X572" s="6">
        <v>5.53</v>
      </c>
      <c r="Y572" s="11" t="str">
        <f t="shared" si="108"/>
        <v/>
      </c>
      <c r="Z572" s="6" t="str">
        <f t="shared" si="109"/>
        <v/>
      </c>
      <c r="AA572" s="23">
        <f t="shared" si="110"/>
        <v>35.53</v>
      </c>
      <c r="AB572" t="str">
        <f t="shared" si="99"/>
        <v/>
      </c>
      <c r="AC572" t="str">
        <f t="shared" si="100"/>
        <v/>
      </c>
      <c r="AD572">
        <f t="shared" si="101"/>
        <v>6.9096000000000001E-4</v>
      </c>
      <c r="AE572" s="18" t="str">
        <f t="shared" si="102"/>
        <v/>
      </c>
      <c r="AF572" s="7" t="str">
        <f t="shared" si="103"/>
        <v/>
      </c>
      <c r="AG572" s="12">
        <f t="shared" si="104"/>
        <v>0.99653731347072572</v>
      </c>
      <c r="AI572" s="54" t="str">
        <f t="shared" si="105"/>
        <v/>
      </c>
      <c r="AJ572" s="54" t="str">
        <f t="shared" si="106"/>
        <v/>
      </c>
      <c r="AK572" s="54">
        <f t="shared" si="107"/>
        <v>0.30044449116981459</v>
      </c>
    </row>
    <row r="573" spans="9:37" x14ac:dyDescent="0.45">
      <c r="I573" s="2">
        <v>71.900000000000006</v>
      </c>
      <c r="J573" s="2">
        <v>2.9238299999999998E-2</v>
      </c>
      <c r="K573" s="2">
        <v>1.61063E-2</v>
      </c>
      <c r="R573" s="2">
        <v>22.49</v>
      </c>
      <c r="S573" s="2">
        <v>5.7204000000000001E-4</v>
      </c>
      <c r="T573" s="2">
        <v>2.119E-4</v>
      </c>
      <c r="V573" s="11"/>
      <c r="W573" s="6"/>
      <c r="X573" s="6">
        <v>5.54</v>
      </c>
      <c r="Y573" s="11" t="str">
        <f t="shared" si="108"/>
        <v/>
      </c>
      <c r="Z573" s="6" t="str">
        <f t="shared" si="109"/>
        <v/>
      </c>
      <c r="AA573" s="23">
        <f t="shared" si="110"/>
        <v>35.54</v>
      </c>
      <c r="AB573" t="str">
        <f t="shared" si="99"/>
        <v/>
      </c>
      <c r="AC573" t="str">
        <f t="shared" si="100"/>
        <v/>
      </c>
      <c r="AD573">
        <f t="shared" si="101"/>
        <v>6.9127999999999995E-4</v>
      </c>
      <c r="AE573" s="18" t="str">
        <f t="shared" si="102"/>
        <v/>
      </c>
      <c r="AF573" s="7" t="str">
        <f t="shared" si="103"/>
        <v/>
      </c>
      <c r="AG573" s="12">
        <f t="shared" si="104"/>
        <v>0.99653042779650458</v>
      </c>
      <c r="AI573" s="54" t="str">
        <f t="shared" si="105"/>
        <v/>
      </c>
      <c r="AJ573" s="54" t="str">
        <f t="shared" si="106"/>
        <v/>
      </c>
      <c r="AK573" s="54">
        <f t="shared" si="107"/>
        <v>0.30105072715196718</v>
      </c>
    </row>
    <row r="574" spans="9:37" x14ac:dyDescent="0.45">
      <c r="I574" s="2">
        <v>72</v>
      </c>
      <c r="J574" s="2">
        <v>2.9543E-2</v>
      </c>
      <c r="K574" s="2">
        <v>1.6264000000000001E-2</v>
      </c>
      <c r="R574" s="2">
        <v>22.5</v>
      </c>
      <c r="S574" s="2">
        <v>5.7200000000000003E-4</v>
      </c>
      <c r="T574" s="2">
        <v>2.12E-4</v>
      </c>
      <c r="V574" s="11"/>
      <c r="W574" s="6"/>
      <c r="X574" s="6">
        <v>5.55</v>
      </c>
      <c r="Y574" s="11" t="str">
        <f t="shared" si="108"/>
        <v/>
      </c>
      <c r="Z574" s="6" t="str">
        <f t="shared" si="109"/>
        <v/>
      </c>
      <c r="AA574" s="23">
        <f t="shared" si="110"/>
        <v>35.549999999999997</v>
      </c>
      <c r="AB574" t="str">
        <f t="shared" si="99"/>
        <v/>
      </c>
      <c r="AC574" t="str">
        <f t="shared" si="100"/>
        <v/>
      </c>
      <c r="AD574">
        <f t="shared" si="101"/>
        <v>6.9160000000000001E-4</v>
      </c>
      <c r="AE574" s="18" t="str">
        <f t="shared" si="102"/>
        <v/>
      </c>
      <c r="AF574" s="7" t="str">
        <f t="shared" si="103"/>
        <v/>
      </c>
      <c r="AG574" s="12">
        <f t="shared" si="104"/>
        <v>0.99652353898096335</v>
      </c>
      <c r="AI574" s="54" t="str">
        <f t="shared" si="105"/>
        <v/>
      </c>
      <c r="AJ574" s="54" t="str">
        <f t="shared" si="106"/>
        <v/>
      </c>
      <c r="AK574" s="54">
        <f t="shared" si="107"/>
        <v>0.30165720758072312</v>
      </c>
    </row>
    <row r="575" spans="9:37" x14ac:dyDescent="0.45">
      <c r="I575" s="2">
        <v>72.099999999999994</v>
      </c>
      <c r="J575" s="2">
        <v>2.9879900000000001E-2</v>
      </c>
      <c r="K575" s="2">
        <v>1.6438700000000001E-2</v>
      </c>
      <c r="R575" s="2">
        <v>22.51</v>
      </c>
      <c r="S575" s="2">
        <v>5.7196000000000005E-4</v>
      </c>
      <c r="T575" s="2">
        <v>2.1210000000000001E-4</v>
      </c>
      <c r="V575" s="11"/>
      <c r="W575" s="6"/>
      <c r="X575" s="6">
        <v>5.5600000000000005</v>
      </c>
      <c r="Y575" s="11" t="str">
        <f t="shared" si="108"/>
        <v/>
      </c>
      <c r="Z575" s="6" t="str">
        <f t="shared" si="109"/>
        <v/>
      </c>
      <c r="AA575" s="23">
        <f t="shared" si="110"/>
        <v>35.56</v>
      </c>
      <c r="AB575" t="str">
        <f t="shared" si="99"/>
        <v/>
      </c>
      <c r="AC575" t="str">
        <f t="shared" si="100"/>
        <v/>
      </c>
      <c r="AD575">
        <f t="shared" si="101"/>
        <v>6.9191999999999995E-4</v>
      </c>
      <c r="AE575" s="18" t="str">
        <f t="shared" si="102"/>
        <v/>
      </c>
      <c r="AF575" s="7" t="str">
        <f t="shared" si="103"/>
        <v/>
      </c>
      <c r="AG575" s="12">
        <f t="shared" si="104"/>
        <v>0.99651664702416776</v>
      </c>
      <c r="AI575" s="54" t="str">
        <f t="shared" si="105"/>
        <v/>
      </c>
      <c r="AJ575" s="54" t="str">
        <f t="shared" si="106"/>
        <v/>
      </c>
      <c r="AK575" s="54">
        <f t="shared" si="107"/>
        <v>0.30226393255943151</v>
      </c>
    </row>
    <row r="576" spans="9:37" x14ac:dyDescent="0.45">
      <c r="I576" s="2">
        <v>72.2</v>
      </c>
      <c r="J576" s="2">
        <v>3.0216799999999999E-2</v>
      </c>
      <c r="K576" s="2">
        <v>1.66134E-2</v>
      </c>
      <c r="R576" s="2">
        <v>22.52</v>
      </c>
      <c r="S576" s="2">
        <v>5.7191999999999996E-4</v>
      </c>
      <c r="T576" s="2">
        <v>2.1220000000000001E-4</v>
      </c>
      <c r="V576" s="11"/>
      <c r="W576" s="6"/>
      <c r="X576" s="6">
        <v>5.57</v>
      </c>
      <c r="Y576" s="11" t="str">
        <f t="shared" si="108"/>
        <v/>
      </c>
      <c r="Z576" s="6" t="str">
        <f t="shared" si="109"/>
        <v/>
      </c>
      <c r="AA576" s="23">
        <f t="shared" si="110"/>
        <v>35.57</v>
      </c>
      <c r="AB576" t="str">
        <f t="shared" si="99"/>
        <v/>
      </c>
      <c r="AC576" t="str">
        <f t="shared" si="100"/>
        <v/>
      </c>
      <c r="AD576">
        <f t="shared" si="101"/>
        <v>6.9224E-4</v>
      </c>
      <c r="AE576" s="18" t="str">
        <f t="shared" si="102"/>
        <v/>
      </c>
      <c r="AF576" s="7" t="str">
        <f t="shared" si="103"/>
        <v/>
      </c>
      <c r="AG576" s="12">
        <f t="shared" si="104"/>
        <v>0.99650975192618363</v>
      </c>
      <c r="AI576" s="54" t="str">
        <f t="shared" si="105"/>
        <v/>
      </c>
      <c r="AJ576" s="54" t="str">
        <f t="shared" si="106"/>
        <v/>
      </c>
      <c r="AK576" s="54">
        <f t="shared" si="107"/>
        <v>0.30287090219148594</v>
      </c>
    </row>
    <row r="577" spans="9:37" x14ac:dyDescent="0.45">
      <c r="I577" s="2">
        <v>72.3</v>
      </c>
      <c r="J577" s="2">
        <v>3.05537E-2</v>
      </c>
      <c r="K577" s="2">
        <v>1.67881E-2</v>
      </c>
      <c r="R577" s="2">
        <v>22.53</v>
      </c>
      <c r="S577" s="2">
        <v>5.7187999999999998E-4</v>
      </c>
      <c r="T577" s="2">
        <v>2.1230000000000001E-4</v>
      </c>
      <c r="V577" s="11"/>
      <c r="W577" s="6"/>
      <c r="X577" s="6">
        <v>5.58</v>
      </c>
      <c r="Y577" s="11" t="str">
        <f t="shared" si="108"/>
        <v/>
      </c>
      <c r="Z577" s="6" t="str">
        <f t="shared" si="109"/>
        <v/>
      </c>
      <c r="AA577" s="23">
        <f t="shared" si="110"/>
        <v>35.58</v>
      </c>
      <c r="AB577" t="str">
        <f t="shared" si="99"/>
        <v/>
      </c>
      <c r="AC577" t="str">
        <f t="shared" si="100"/>
        <v/>
      </c>
      <c r="AD577">
        <f t="shared" si="101"/>
        <v>6.9256000000000005E-4</v>
      </c>
      <c r="AE577" s="18" t="str">
        <f t="shared" si="102"/>
        <v/>
      </c>
      <c r="AF577" s="7" t="str">
        <f t="shared" si="103"/>
        <v/>
      </c>
      <c r="AG577" s="12">
        <f t="shared" si="104"/>
        <v>0.99650285368707692</v>
      </c>
      <c r="AI577" s="54" t="str">
        <f t="shared" si="105"/>
        <v/>
      </c>
      <c r="AJ577" s="54" t="str">
        <f t="shared" si="106"/>
        <v/>
      </c>
      <c r="AK577" s="54">
        <f t="shared" si="107"/>
        <v>0.30347811658032436</v>
      </c>
    </row>
    <row r="578" spans="9:37" x14ac:dyDescent="0.45">
      <c r="I578" s="2">
        <v>72.400000000000006</v>
      </c>
      <c r="J578" s="2">
        <v>3.0890600000000001E-2</v>
      </c>
      <c r="K578" s="2">
        <v>1.69628E-2</v>
      </c>
      <c r="R578" s="2">
        <v>22.54</v>
      </c>
      <c r="S578" s="2">
        <v>5.7184E-4</v>
      </c>
      <c r="T578" s="2">
        <v>2.1240000000000001E-4</v>
      </c>
      <c r="V578" s="11"/>
      <c r="W578" s="6"/>
      <c r="X578" s="6">
        <v>5.59</v>
      </c>
      <c r="Y578" s="11" t="str">
        <f t="shared" si="108"/>
        <v/>
      </c>
      <c r="Z578" s="6" t="str">
        <f t="shared" si="109"/>
        <v/>
      </c>
      <c r="AA578" s="23">
        <f t="shared" si="110"/>
        <v>35.590000000000003</v>
      </c>
      <c r="AB578" t="str">
        <f t="shared" si="99"/>
        <v/>
      </c>
      <c r="AC578" t="str">
        <f t="shared" si="100"/>
        <v/>
      </c>
      <c r="AD578">
        <f t="shared" si="101"/>
        <v>6.9287999999999999E-4</v>
      </c>
      <c r="AE578" s="18" t="str">
        <f t="shared" si="102"/>
        <v/>
      </c>
      <c r="AF578" s="7" t="str">
        <f t="shared" si="103"/>
        <v/>
      </c>
      <c r="AG578" s="12">
        <f t="shared" si="104"/>
        <v>0.99649595230691346</v>
      </c>
      <c r="AI578" s="54" t="str">
        <f t="shared" si="105"/>
        <v/>
      </c>
      <c r="AJ578" s="54" t="str">
        <f t="shared" si="106"/>
        <v/>
      </c>
      <c r="AK578" s="54">
        <f t="shared" si="107"/>
        <v>0.30408557582942919</v>
      </c>
    </row>
    <row r="579" spans="9:37" x14ac:dyDescent="0.45">
      <c r="I579" s="2">
        <v>72.5</v>
      </c>
      <c r="J579" s="2">
        <v>3.1227499999999998E-2</v>
      </c>
      <c r="K579" s="2">
        <v>1.71375E-2</v>
      </c>
      <c r="R579" s="2">
        <v>22.55</v>
      </c>
      <c r="S579" s="2">
        <v>5.7180000000000002E-4</v>
      </c>
      <c r="T579" s="2">
        <v>2.1249999999999999E-4</v>
      </c>
      <c r="V579" s="11"/>
      <c r="W579" s="6"/>
      <c r="X579" s="6">
        <v>5.6000000000000005</v>
      </c>
      <c r="Y579" s="11" t="str">
        <f t="shared" si="108"/>
        <v/>
      </c>
      <c r="Z579" s="6" t="str">
        <f t="shared" si="109"/>
        <v/>
      </c>
      <c r="AA579" s="23">
        <f t="shared" si="110"/>
        <v>35.6</v>
      </c>
      <c r="AB579" t="str">
        <f t="shared" si="99"/>
        <v/>
      </c>
      <c r="AC579" t="str">
        <f t="shared" si="100"/>
        <v/>
      </c>
      <c r="AD579">
        <f t="shared" si="101"/>
        <v>6.9320000000000004E-4</v>
      </c>
      <c r="AE579" s="18" t="str">
        <f t="shared" si="102"/>
        <v/>
      </c>
      <c r="AF579" s="7" t="str">
        <f t="shared" si="103"/>
        <v/>
      </c>
      <c r="AG579" s="12">
        <f t="shared" si="104"/>
        <v>0.99648904778575909</v>
      </c>
      <c r="AI579" s="54" t="str">
        <f t="shared" si="105"/>
        <v/>
      </c>
      <c r="AJ579" s="54" t="str">
        <f t="shared" si="106"/>
        <v/>
      </c>
      <c r="AK579" s="54">
        <f t="shared" si="107"/>
        <v>0.30469328004232726</v>
      </c>
    </row>
    <row r="580" spans="9:37" x14ac:dyDescent="0.45">
      <c r="I580" s="2">
        <v>72.599999999999994</v>
      </c>
      <c r="J580" s="2">
        <v>3.1564399999999999E-2</v>
      </c>
      <c r="K580" s="2">
        <v>1.73122E-2</v>
      </c>
      <c r="R580" s="2">
        <v>22.56</v>
      </c>
      <c r="S580" s="2">
        <v>5.7176000000000004E-4</v>
      </c>
      <c r="T580" s="2">
        <v>2.1259999999999999E-4</v>
      </c>
      <c r="V580" s="11"/>
      <c r="W580" s="6"/>
      <c r="X580" s="6">
        <v>5.61</v>
      </c>
      <c r="Y580" s="11" t="str">
        <f t="shared" si="108"/>
        <v/>
      </c>
      <c r="Z580" s="6" t="str">
        <f t="shared" si="109"/>
        <v/>
      </c>
      <c r="AA580" s="23">
        <f t="shared" si="110"/>
        <v>35.61</v>
      </c>
      <c r="AB580" t="str">
        <f t="shared" si="99"/>
        <v/>
      </c>
      <c r="AC580" t="str">
        <f t="shared" si="100"/>
        <v/>
      </c>
      <c r="AD580">
        <f t="shared" si="101"/>
        <v>6.9351999999999999E-4</v>
      </c>
      <c r="AE580" s="18" t="str">
        <f t="shared" si="102"/>
        <v/>
      </c>
      <c r="AF580" s="7" t="str">
        <f t="shared" si="103"/>
        <v/>
      </c>
      <c r="AG580" s="12">
        <f t="shared" si="104"/>
        <v>0.99648214012367986</v>
      </c>
      <c r="AI580" s="54" t="str">
        <f t="shared" si="105"/>
        <v/>
      </c>
      <c r="AJ580" s="54" t="str">
        <f t="shared" si="106"/>
        <v/>
      </c>
      <c r="AK580" s="54">
        <f t="shared" si="107"/>
        <v>0.30530122932258996</v>
      </c>
    </row>
    <row r="581" spans="9:37" x14ac:dyDescent="0.45">
      <c r="I581" s="2">
        <v>72.7</v>
      </c>
      <c r="J581" s="2">
        <v>3.19013E-2</v>
      </c>
      <c r="K581" s="2">
        <v>1.74869E-2</v>
      </c>
      <c r="R581" s="2">
        <v>22.57</v>
      </c>
      <c r="S581" s="2">
        <v>5.7171999999999995E-4</v>
      </c>
      <c r="T581" s="2">
        <v>2.1269999999999999E-4</v>
      </c>
      <c r="V581" s="11"/>
      <c r="W581" s="6"/>
      <c r="X581" s="6">
        <v>5.62</v>
      </c>
      <c r="Y581" s="11" t="str">
        <f t="shared" si="108"/>
        <v/>
      </c>
      <c r="Z581" s="6" t="str">
        <f t="shared" si="109"/>
        <v/>
      </c>
      <c r="AA581" s="23">
        <f t="shared" si="110"/>
        <v>35.619999999999997</v>
      </c>
      <c r="AB581" t="str">
        <f t="shared" si="99"/>
        <v/>
      </c>
      <c r="AC581" t="str">
        <f t="shared" si="100"/>
        <v/>
      </c>
      <c r="AD581">
        <f t="shared" si="101"/>
        <v>6.9384000000000004E-4</v>
      </c>
      <c r="AE581" s="18" t="str">
        <f t="shared" si="102"/>
        <v/>
      </c>
      <c r="AF581" s="7" t="str">
        <f t="shared" si="103"/>
        <v/>
      </c>
      <c r="AG581" s="12">
        <f t="shared" si="104"/>
        <v>0.99647522932074173</v>
      </c>
      <c r="AI581" s="54" t="str">
        <f t="shared" si="105"/>
        <v/>
      </c>
      <c r="AJ581" s="54" t="str">
        <f t="shared" si="106"/>
        <v/>
      </c>
      <c r="AK581" s="54">
        <f t="shared" si="107"/>
        <v>0.30590942377383307</v>
      </c>
    </row>
    <row r="582" spans="9:37" x14ac:dyDescent="0.45">
      <c r="I582" s="2">
        <v>72.8</v>
      </c>
      <c r="J582" s="2">
        <v>3.2238200000000002E-2</v>
      </c>
      <c r="K582" s="2">
        <v>1.76616E-2</v>
      </c>
      <c r="R582" s="2">
        <v>22.58</v>
      </c>
      <c r="S582" s="2">
        <v>5.7167999999999997E-4</v>
      </c>
      <c r="T582" s="2">
        <v>2.128E-4</v>
      </c>
      <c r="V582" s="11"/>
      <c r="W582" s="6"/>
      <c r="X582" s="6">
        <v>5.63</v>
      </c>
      <c r="Y582" s="11" t="str">
        <f t="shared" si="108"/>
        <v/>
      </c>
      <c r="Z582" s="6" t="str">
        <f t="shared" si="109"/>
        <v/>
      </c>
      <c r="AA582" s="23">
        <f t="shared" si="110"/>
        <v>35.630000000000003</v>
      </c>
      <c r="AB582" t="str">
        <f t="shared" si="99"/>
        <v/>
      </c>
      <c r="AC582" t="str">
        <f t="shared" si="100"/>
        <v/>
      </c>
      <c r="AD582">
        <f t="shared" si="101"/>
        <v>6.9415999999999998E-4</v>
      </c>
      <c r="AE582" s="18" t="str">
        <f t="shared" si="102"/>
        <v/>
      </c>
      <c r="AF582" s="7" t="str">
        <f t="shared" si="103"/>
        <v/>
      </c>
      <c r="AG582" s="12">
        <f t="shared" si="104"/>
        <v>0.99646831537701064</v>
      </c>
      <c r="AI582" s="54" t="str">
        <f t="shared" si="105"/>
        <v/>
      </c>
      <c r="AJ582" s="54" t="str">
        <f t="shared" si="106"/>
        <v/>
      </c>
      <c r="AK582" s="54">
        <f t="shared" si="107"/>
        <v>0.30651786349971699</v>
      </c>
    </row>
    <row r="583" spans="9:37" x14ac:dyDescent="0.45">
      <c r="I583" s="2">
        <v>72.900000000000006</v>
      </c>
      <c r="J583" s="2">
        <v>3.2575100000000003E-2</v>
      </c>
      <c r="K583" s="2">
        <v>1.7836299999999999E-2</v>
      </c>
      <c r="R583" s="2">
        <v>22.59</v>
      </c>
      <c r="S583" s="2">
        <v>5.7164E-4</v>
      </c>
      <c r="T583" s="2">
        <v>2.129E-4</v>
      </c>
      <c r="V583" s="11"/>
      <c r="W583" s="6"/>
      <c r="X583" s="6">
        <v>5.64</v>
      </c>
      <c r="Y583" s="11" t="str">
        <f t="shared" si="108"/>
        <v/>
      </c>
      <c r="Z583" s="6" t="str">
        <f t="shared" si="109"/>
        <v/>
      </c>
      <c r="AA583" s="23">
        <f t="shared" si="110"/>
        <v>35.64</v>
      </c>
      <c r="AB583" t="str">
        <f t="shared" si="99"/>
        <v/>
      </c>
      <c r="AC583" t="str">
        <f t="shared" si="100"/>
        <v/>
      </c>
      <c r="AD583">
        <f t="shared" si="101"/>
        <v>6.9448000000000003E-4</v>
      </c>
      <c r="AE583" s="18" t="str">
        <f t="shared" si="102"/>
        <v/>
      </c>
      <c r="AF583" s="7" t="str">
        <f t="shared" si="103"/>
        <v/>
      </c>
      <c r="AG583" s="12">
        <f t="shared" si="104"/>
        <v>0.99646139829255265</v>
      </c>
      <c r="AI583" s="54" t="str">
        <f t="shared" si="105"/>
        <v/>
      </c>
      <c r="AJ583" s="54" t="str">
        <f t="shared" si="106"/>
        <v/>
      </c>
      <c r="AK583" s="54">
        <f t="shared" si="107"/>
        <v>0.30712654860394667</v>
      </c>
    </row>
    <row r="584" spans="9:37" x14ac:dyDescent="0.45">
      <c r="I584" s="2">
        <v>73</v>
      </c>
      <c r="J584" s="2">
        <v>3.2911999999999997E-2</v>
      </c>
      <c r="K584" s="2">
        <v>1.8010999999999999E-2</v>
      </c>
      <c r="R584" s="2">
        <v>22.6</v>
      </c>
      <c r="S584" s="2">
        <v>5.7160000000000002E-4</v>
      </c>
      <c r="T584" s="2">
        <v>2.13E-4</v>
      </c>
      <c r="V584" s="11"/>
      <c r="W584" s="6"/>
      <c r="X584" s="6">
        <v>5.65</v>
      </c>
      <c r="Y584" s="11" t="str">
        <f t="shared" si="108"/>
        <v/>
      </c>
      <c r="Z584" s="6" t="str">
        <f t="shared" si="109"/>
        <v/>
      </c>
      <c r="AA584" s="23">
        <f t="shared" si="110"/>
        <v>35.65</v>
      </c>
      <c r="AB584" t="str">
        <f t="shared" si="99"/>
        <v/>
      </c>
      <c r="AC584" t="str">
        <f t="shared" si="100"/>
        <v/>
      </c>
      <c r="AD584">
        <f t="shared" si="101"/>
        <v>6.9479999999999997E-4</v>
      </c>
      <c r="AE584" s="18" t="str">
        <f t="shared" si="102"/>
        <v/>
      </c>
      <c r="AF584" s="7" t="str">
        <f t="shared" si="103"/>
        <v/>
      </c>
      <c r="AG584" s="12">
        <f t="shared" si="104"/>
        <v>0.99645447806743381</v>
      </c>
      <c r="AI584" s="54" t="str">
        <f t="shared" si="105"/>
        <v/>
      </c>
      <c r="AJ584" s="54" t="str">
        <f t="shared" si="106"/>
        <v/>
      </c>
      <c r="AK584" s="54">
        <f t="shared" si="107"/>
        <v>0.3077354791902715</v>
      </c>
    </row>
    <row r="585" spans="9:37" x14ac:dyDescent="0.45">
      <c r="I585" s="2">
        <v>73.099999999999994</v>
      </c>
      <c r="J585" s="2">
        <v>3.3283899999999998E-2</v>
      </c>
      <c r="K585" s="2">
        <v>1.8204600000000001E-2</v>
      </c>
      <c r="R585" s="2">
        <v>22.61</v>
      </c>
      <c r="S585" s="2">
        <v>5.7156000000000004E-4</v>
      </c>
      <c r="T585" s="2">
        <v>2.131E-4</v>
      </c>
      <c r="V585" s="11"/>
      <c r="W585" s="6"/>
      <c r="X585" s="6">
        <v>5.66</v>
      </c>
      <c r="Y585" s="11" t="str">
        <f t="shared" si="108"/>
        <v/>
      </c>
      <c r="Z585" s="6" t="str">
        <f t="shared" si="109"/>
        <v/>
      </c>
      <c r="AA585" s="23">
        <f t="shared" si="110"/>
        <v>35.659999999999997</v>
      </c>
      <c r="AB585" t="str">
        <f t="shared" si="99"/>
        <v/>
      </c>
      <c r="AC585" t="str">
        <f t="shared" si="100"/>
        <v/>
      </c>
      <c r="AD585">
        <f t="shared" si="101"/>
        <v>6.9512000000000003E-4</v>
      </c>
      <c r="AE585" s="18" t="str">
        <f t="shared" si="102"/>
        <v/>
      </c>
      <c r="AF585" s="7" t="str">
        <f t="shared" si="103"/>
        <v/>
      </c>
      <c r="AG585" s="12">
        <f t="shared" si="104"/>
        <v>0.9964475547017202</v>
      </c>
      <c r="AI585" s="54" t="str">
        <f t="shared" si="105"/>
        <v/>
      </c>
      <c r="AJ585" s="54" t="str">
        <f t="shared" si="106"/>
        <v/>
      </c>
      <c r="AK585" s="54">
        <f t="shared" si="107"/>
        <v>0.30834465536248551</v>
      </c>
    </row>
    <row r="586" spans="9:37" x14ac:dyDescent="0.45">
      <c r="I586" s="2">
        <v>73.2</v>
      </c>
      <c r="J586" s="2">
        <v>3.36558E-2</v>
      </c>
      <c r="K586" s="2">
        <v>1.83982E-2</v>
      </c>
      <c r="R586" s="2">
        <v>22.62</v>
      </c>
      <c r="S586" s="2">
        <v>5.7151999999999995E-4</v>
      </c>
      <c r="T586" s="2">
        <v>2.1320000000000001E-4</v>
      </c>
      <c r="V586" s="11"/>
      <c r="W586" s="6"/>
      <c r="X586" s="6">
        <v>5.67</v>
      </c>
      <c r="Y586" s="11" t="str">
        <f t="shared" si="108"/>
        <v/>
      </c>
      <c r="Z586" s="6" t="str">
        <f t="shared" si="109"/>
        <v/>
      </c>
      <c r="AA586" s="23">
        <f t="shared" si="110"/>
        <v>35.67</v>
      </c>
      <c r="AB586" t="str">
        <f t="shared" si="99"/>
        <v/>
      </c>
      <c r="AC586" t="str">
        <f t="shared" si="100"/>
        <v/>
      </c>
      <c r="AD586">
        <f t="shared" si="101"/>
        <v>6.9543999999999997E-4</v>
      </c>
      <c r="AE586" s="18" t="str">
        <f t="shared" si="102"/>
        <v/>
      </c>
      <c r="AF586" s="7" t="str">
        <f t="shared" si="103"/>
        <v/>
      </c>
      <c r="AG586" s="12">
        <f t="shared" si="104"/>
        <v>0.99644062819547796</v>
      </c>
      <c r="AI586" s="54" t="str">
        <f t="shared" si="105"/>
        <v/>
      </c>
      <c r="AJ586" s="54" t="str">
        <f t="shared" si="106"/>
        <v/>
      </c>
      <c r="AK586" s="54">
        <f t="shared" si="107"/>
        <v>0.30895407722442736</v>
      </c>
    </row>
    <row r="587" spans="9:37" x14ac:dyDescent="0.45">
      <c r="I587" s="2">
        <v>73.3</v>
      </c>
      <c r="J587" s="2">
        <v>3.4027700000000001E-2</v>
      </c>
      <c r="K587" s="2">
        <v>1.8591799999999999E-2</v>
      </c>
      <c r="R587" s="2">
        <v>22.63</v>
      </c>
      <c r="S587" s="2">
        <v>5.7147999999999997E-4</v>
      </c>
      <c r="T587" s="2">
        <v>2.1330000000000001E-4</v>
      </c>
      <c r="V587" s="11"/>
      <c r="W587" s="6"/>
      <c r="X587" s="6">
        <v>5.68</v>
      </c>
      <c r="Y587" s="11" t="str">
        <f t="shared" si="108"/>
        <v/>
      </c>
      <c r="Z587" s="6" t="str">
        <f t="shared" si="109"/>
        <v/>
      </c>
      <c r="AA587" s="23">
        <f t="shared" si="110"/>
        <v>35.68</v>
      </c>
      <c r="AB587" t="str">
        <f t="shared" si="99"/>
        <v/>
      </c>
      <c r="AC587" t="str">
        <f t="shared" si="100"/>
        <v/>
      </c>
      <c r="AD587">
        <f t="shared" si="101"/>
        <v>6.9576000000000002E-4</v>
      </c>
      <c r="AE587" s="18" t="str">
        <f t="shared" si="102"/>
        <v/>
      </c>
      <c r="AF587" s="7" t="str">
        <f t="shared" si="103"/>
        <v/>
      </c>
      <c r="AG587" s="12">
        <f t="shared" si="104"/>
        <v>0.99643369854877328</v>
      </c>
      <c r="AI587" s="54" t="str">
        <f t="shared" si="105"/>
        <v/>
      </c>
      <c r="AJ587" s="54" t="str">
        <f t="shared" si="106"/>
        <v/>
      </c>
      <c r="AK587" s="54">
        <f t="shared" si="107"/>
        <v>0.30956374487998028</v>
      </c>
    </row>
    <row r="588" spans="9:37" x14ac:dyDescent="0.45">
      <c r="I588" s="2">
        <v>73.400000000000006</v>
      </c>
      <c r="J588" s="2">
        <v>3.4399600000000002E-2</v>
      </c>
      <c r="K588" s="2">
        <v>1.8785400000000001E-2</v>
      </c>
      <c r="R588" s="2">
        <v>22.64</v>
      </c>
      <c r="S588" s="2">
        <v>5.7143999999999999E-4</v>
      </c>
      <c r="T588" s="2">
        <v>2.1340000000000001E-4</v>
      </c>
      <c r="V588" s="11"/>
      <c r="W588" s="6"/>
      <c r="X588" s="6">
        <v>5.69</v>
      </c>
      <c r="Y588" s="11" t="str">
        <f t="shared" si="108"/>
        <v/>
      </c>
      <c r="Z588" s="6" t="str">
        <f t="shared" si="109"/>
        <v/>
      </c>
      <c r="AA588" s="23">
        <f t="shared" si="110"/>
        <v>35.69</v>
      </c>
      <c r="AB588" t="str">
        <f t="shared" si="99"/>
        <v/>
      </c>
      <c r="AC588" t="str">
        <f t="shared" si="100"/>
        <v/>
      </c>
      <c r="AD588">
        <f t="shared" si="101"/>
        <v>6.9607999999999996E-4</v>
      </c>
      <c r="AE588" s="18" t="str">
        <f t="shared" si="102"/>
        <v/>
      </c>
      <c r="AF588" s="7" t="str">
        <f t="shared" si="103"/>
        <v/>
      </c>
      <c r="AG588" s="12">
        <f t="shared" si="104"/>
        <v>0.99642676576167222</v>
      </c>
      <c r="AI588" s="54" t="str">
        <f t="shared" si="105"/>
        <v/>
      </c>
      <c r="AJ588" s="54" t="str">
        <f t="shared" si="106"/>
        <v/>
      </c>
      <c r="AK588" s="54">
        <f t="shared" si="107"/>
        <v>0.31017365843307215</v>
      </c>
    </row>
    <row r="589" spans="9:37" x14ac:dyDescent="0.45">
      <c r="I589" s="2">
        <v>73.5</v>
      </c>
      <c r="J589" s="2">
        <v>3.4771499999999997E-2</v>
      </c>
      <c r="K589" s="2">
        <v>1.8978999999999999E-2</v>
      </c>
      <c r="R589" s="2">
        <v>22.65</v>
      </c>
      <c r="S589" s="2">
        <v>5.7140000000000001E-4</v>
      </c>
      <c r="T589" s="2">
        <v>2.1350000000000001E-4</v>
      </c>
      <c r="V589" s="11"/>
      <c r="W589" s="6"/>
      <c r="X589" s="6">
        <v>5.7</v>
      </c>
      <c r="Y589" s="11" t="str">
        <f t="shared" si="108"/>
        <v/>
      </c>
      <c r="Z589" s="6" t="str">
        <f t="shared" si="109"/>
        <v/>
      </c>
      <c r="AA589" s="23">
        <f t="shared" si="110"/>
        <v>35.700000000000003</v>
      </c>
      <c r="AB589" t="str">
        <f t="shared" si="99"/>
        <v/>
      </c>
      <c r="AC589" t="str">
        <f t="shared" si="100"/>
        <v/>
      </c>
      <c r="AD589">
        <f t="shared" si="101"/>
        <v>6.9640000000000001E-4</v>
      </c>
      <c r="AE589" s="18" t="str">
        <f t="shared" si="102"/>
        <v/>
      </c>
      <c r="AF589" s="7" t="str">
        <f t="shared" si="103"/>
        <v/>
      </c>
      <c r="AG589" s="12">
        <f t="shared" si="104"/>
        <v>0.99641982983424116</v>
      </c>
      <c r="AI589" s="54" t="str">
        <f t="shared" si="105"/>
        <v/>
      </c>
      <c r="AJ589" s="54" t="str">
        <f t="shared" si="106"/>
        <v/>
      </c>
      <c r="AK589" s="54">
        <f t="shared" si="107"/>
        <v>0.31078381798767551</v>
      </c>
    </row>
    <row r="590" spans="9:37" x14ac:dyDescent="0.45">
      <c r="I590" s="2">
        <v>73.599999999999994</v>
      </c>
      <c r="J590" s="2">
        <v>3.5143399999999998E-2</v>
      </c>
      <c r="K590" s="2">
        <v>1.9172600000000001E-2</v>
      </c>
      <c r="R590" s="2">
        <v>22.66</v>
      </c>
      <c r="S590" s="2">
        <v>5.7136000000000003E-4</v>
      </c>
      <c r="T590" s="2">
        <v>2.1359999999999999E-4</v>
      </c>
      <c r="V590" s="11"/>
      <c r="W590" s="6"/>
      <c r="X590" s="6">
        <v>5.71</v>
      </c>
      <c r="Y590" s="11" t="str">
        <f t="shared" si="108"/>
        <v/>
      </c>
      <c r="Z590" s="6" t="str">
        <f t="shared" si="109"/>
        <v/>
      </c>
      <c r="AA590" s="23">
        <f t="shared" si="110"/>
        <v>35.71</v>
      </c>
      <c r="AB590" t="str">
        <f t="shared" si="99"/>
        <v/>
      </c>
      <c r="AC590" t="str">
        <f t="shared" si="100"/>
        <v/>
      </c>
      <c r="AD590">
        <f t="shared" si="101"/>
        <v>6.9671999999999996E-4</v>
      </c>
      <c r="AE590" s="18" t="str">
        <f t="shared" si="102"/>
        <v/>
      </c>
      <c r="AF590" s="7" t="str">
        <f t="shared" si="103"/>
        <v/>
      </c>
      <c r="AG590" s="12">
        <f t="shared" si="104"/>
        <v>0.99641289076654616</v>
      </c>
      <c r="AI590" s="54" t="str">
        <f t="shared" si="105"/>
        <v/>
      </c>
      <c r="AJ590" s="54" t="str">
        <f t="shared" si="106"/>
        <v/>
      </c>
      <c r="AK590" s="54">
        <f t="shared" si="107"/>
        <v>0.31139422364780756</v>
      </c>
    </row>
    <row r="591" spans="9:37" x14ac:dyDescent="0.45">
      <c r="I591" s="2">
        <v>73.7</v>
      </c>
      <c r="J591" s="2">
        <v>3.55153E-2</v>
      </c>
      <c r="K591" s="2">
        <v>1.93662E-2</v>
      </c>
      <c r="R591" s="2">
        <v>22.67</v>
      </c>
      <c r="S591" s="2">
        <v>5.7132000000000005E-4</v>
      </c>
      <c r="T591" s="2">
        <v>2.1369999999999999E-4</v>
      </c>
      <c r="V591" s="11"/>
      <c r="W591" s="6"/>
      <c r="X591" s="6">
        <v>5.72</v>
      </c>
      <c r="Y591" s="11" t="str">
        <f t="shared" si="108"/>
        <v/>
      </c>
      <c r="Z591" s="6" t="str">
        <f t="shared" si="109"/>
        <v/>
      </c>
      <c r="AA591" s="23">
        <f t="shared" si="110"/>
        <v>35.72</v>
      </c>
      <c r="AB591" t="str">
        <f t="shared" si="99"/>
        <v/>
      </c>
      <c r="AC591" t="str">
        <f t="shared" si="100"/>
        <v/>
      </c>
      <c r="AD591">
        <f t="shared" si="101"/>
        <v>6.9704000000000001E-4</v>
      </c>
      <c r="AE591" s="18" t="str">
        <f t="shared" si="102"/>
        <v/>
      </c>
      <c r="AF591" s="7" t="str">
        <f t="shared" si="103"/>
        <v/>
      </c>
      <c r="AG591" s="12">
        <f t="shared" si="104"/>
        <v>0.99640594855865361</v>
      </c>
      <c r="AI591" s="54" t="str">
        <f t="shared" si="105"/>
        <v/>
      </c>
      <c r="AJ591" s="54" t="str">
        <f t="shared" si="106"/>
        <v/>
      </c>
      <c r="AK591" s="54">
        <f t="shared" si="107"/>
        <v>0.31200487551753014</v>
      </c>
    </row>
    <row r="592" spans="9:37" x14ac:dyDescent="0.45">
      <c r="I592" s="2">
        <v>73.8</v>
      </c>
      <c r="J592" s="2">
        <v>3.5887200000000001E-2</v>
      </c>
      <c r="K592" s="2">
        <v>1.9559799999999999E-2</v>
      </c>
      <c r="R592" s="2">
        <v>22.68</v>
      </c>
      <c r="S592" s="2">
        <v>5.7127999999999996E-4</v>
      </c>
      <c r="T592" s="2">
        <v>2.1379999999999999E-4</v>
      </c>
      <c r="V592" s="11"/>
      <c r="W592" s="6"/>
      <c r="X592" s="6">
        <v>5.73</v>
      </c>
      <c r="Y592" s="11" t="str">
        <f t="shared" si="108"/>
        <v/>
      </c>
      <c r="Z592" s="6" t="str">
        <f t="shared" si="109"/>
        <v/>
      </c>
      <c r="AA592" s="23">
        <f t="shared" si="110"/>
        <v>35.730000000000004</v>
      </c>
      <c r="AB592" t="str">
        <f t="shared" si="99"/>
        <v/>
      </c>
      <c r="AC592" t="str">
        <f t="shared" si="100"/>
        <v/>
      </c>
      <c r="AD592">
        <f t="shared" si="101"/>
        <v>6.9735999999999995E-4</v>
      </c>
      <c r="AE592" s="18" t="str">
        <f t="shared" si="102"/>
        <v/>
      </c>
      <c r="AF592" s="7" t="str">
        <f t="shared" si="103"/>
        <v/>
      </c>
      <c r="AG592" s="12">
        <f t="shared" si="104"/>
        <v>0.9963990032106298</v>
      </c>
      <c r="AI592" s="54" t="str">
        <f t="shared" si="105"/>
        <v/>
      </c>
      <c r="AJ592" s="54" t="str">
        <f t="shared" si="106"/>
        <v/>
      </c>
      <c r="AK592" s="54">
        <f t="shared" si="107"/>
        <v>0.31261577370094995</v>
      </c>
    </row>
    <row r="593" spans="9:37" x14ac:dyDescent="0.45">
      <c r="I593" s="2">
        <v>73.900000000000006</v>
      </c>
      <c r="J593" s="2">
        <v>3.6259100000000002E-2</v>
      </c>
      <c r="K593" s="2">
        <v>1.9753400000000001E-2</v>
      </c>
      <c r="R593" s="2">
        <v>22.69</v>
      </c>
      <c r="S593" s="2">
        <v>5.7123999999999999E-4</v>
      </c>
      <c r="T593" s="2">
        <v>2.139E-4</v>
      </c>
      <c r="V593" s="11"/>
      <c r="W593" s="6"/>
      <c r="X593" s="6">
        <v>5.74</v>
      </c>
      <c r="Y593" s="11" t="str">
        <f t="shared" si="108"/>
        <v/>
      </c>
      <c r="Z593" s="6" t="str">
        <f t="shared" si="109"/>
        <v/>
      </c>
      <c r="AA593" s="23">
        <f t="shared" si="110"/>
        <v>35.74</v>
      </c>
      <c r="AB593" t="str">
        <f t="shared" si="99"/>
        <v/>
      </c>
      <c r="AC593" t="str">
        <f t="shared" si="100"/>
        <v/>
      </c>
      <c r="AD593">
        <f t="shared" si="101"/>
        <v>6.9768E-4</v>
      </c>
      <c r="AE593" s="18" t="str">
        <f t="shared" si="102"/>
        <v/>
      </c>
      <c r="AF593" s="7" t="str">
        <f t="shared" si="103"/>
        <v/>
      </c>
      <c r="AG593" s="12">
        <f t="shared" si="104"/>
        <v>0.996392054722541</v>
      </c>
      <c r="AI593" s="54" t="str">
        <f t="shared" si="105"/>
        <v/>
      </c>
      <c r="AJ593" s="54" t="str">
        <f t="shared" si="106"/>
        <v/>
      </c>
      <c r="AK593" s="54">
        <f t="shared" si="107"/>
        <v>0.31322691830221833</v>
      </c>
    </row>
    <row r="594" spans="9:37" x14ac:dyDescent="0.45">
      <c r="I594" s="2">
        <v>74</v>
      </c>
      <c r="J594" s="2">
        <v>3.6630999999999997E-2</v>
      </c>
      <c r="K594" s="2">
        <v>1.9946999999999999E-2</v>
      </c>
      <c r="R594" s="2">
        <v>22.7</v>
      </c>
      <c r="S594" s="2">
        <v>5.7120000000000001E-4</v>
      </c>
      <c r="T594" s="2">
        <v>2.14E-4</v>
      </c>
      <c r="V594" s="11"/>
      <c r="W594" s="6"/>
      <c r="X594" s="6">
        <v>5.75</v>
      </c>
      <c r="Y594" s="11" t="str">
        <f t="shared" si="108"/>
        <v/>
      </c>
      <c r="Z594" s="6" t="str">
        <f t="shared" si="109"/>
        <v/>
      </c>
      <c r="AA594" s="23">
        <f t="shared" si="110"/>
        <v>35.75</v>
      </c>
      <c r="AB594" t="str">
        <f t="shared" si="99"/>
        <v/>
      </c>
      <c r="AC594" t="str">
        <f t="shared" si="100"/>
        <v/>
      </c>
      <c r="AD594">
        <f t="shared" si="101"/>
        <v>6.9800000000000005E-4</v>
      </c>
      <c r="AE594" s="18" t="str">
        <f t="shared" si="102"/>
        <v/>
      </c>
      <c r="AF594" s="7" t="str">
        <f t="shared" si="103"/>
        <v/>
      </c>
      <c r="AG594" s="12">
        <f t="shared" si="104"/>
        <v>0.99638510309445361</v>
      </c>
      <c r="AI594" s="54" t="str">
        <f t="shared" si="105"/>
        <v/>
      </c>
      <c r="AJ594" s="54" t="str">
        <f t="shared" si="106"/>
        <v/>
      </c>
      <c r="AK594" s="54">
        <f t="shared" si="107"/>
        <v>0.31383830942553131</v>
      </c>
    </row>
    <row r="595" spans="9:37" x14ac:dyDescent="0.45">
      <c r="I595" s="2">
        <v>74.099999999999994</v>
      </c>
      <c r="J595" s="2">
        <v>3.70411E-2</v>
      </c>
      <c r="K595" s="2">
        <v>2.0161599999999998E-2</v>
      </c>
      <c r="R595" s="2">
        <v>22.71</v>
      </c>
      <c r="S595" s="2">
        <v>5.7116000000000003E-4</v>
      </c>
      <c r="T595" s="2">
        <v>2.141E-4</v>
      </c>
      <c r="V595" s="11"/>
      <c r="W595" s="6"/>
      <c r="X595" s="6">
        <v>5.76</v>
      </c>
      <c r="Y595" s="11" t="str">
        <f t="shared" si="108"/>
        <v/>
      </c>
      <c r="Z595" s="6" t="str">
        <f t="shared" si="109"/>
        <v/>
      </c>
      <c r="AA595" s="23">
        <f t="shared" si="110"/>
        <v>35.76</v>
      </c>
      <c r="AB595" t="str">
        <f t="shared" ref="AB595:AB658" si="111">IF(Y595="","",VLOOKUP(Y595,Table_1,2))</f>
        <v/>
      </c>
      <c r="AC595" t="str">
        <f t="shared" ref="AC595:AC658" si="112">IF(Z595="","",VLOOKUP(Z595,Table_2,2))</f>
        <v/>
      </c>
      <c r="AD595">
        <f t="shared" ref="AD595:AD658" si="113">IF(AA595="","",VLOOKUP(AA595,Table_3,2))</f>
        <v>6.9832E-4</v>
      </c>
      <c r="AE595" s="18" t="str">
        <f t="shared" si="102"/>
        <v/>
      </c>
      <c r="AF595" s="7" t="str">
        <f t="shared" si="103"/>
        <v/>
      </c>
      <c r="AG595" s="12">
        <f t="shared" si="104"/>
        <v>0.99637814832643401</v>
      </c>
      <c r="AI595" s="54" t="str">
        <f t="shared" si="105"/>
        <v/>
      </c>
      <c r="AJ595" s="54" t="str">
        <f t="shared" si="106"/>
        <v/>
      </c>
      <c r="AK595" s="54">
        <f t="shared" si="107"/>
        <v>0.31444994717512981</v>
      </c>
    </row>
    <row r="596" spans="9:37" x14ac:dyDescent="0.45">
      <c r="I596" s="2">
        <v>74.2</v>
      </c>
      <c r="J596" s="2">
        <v>3.7451199999999997E-2</v>
      </c>
      <c r="K596" s="2">
        <v>2.0376200000000001E-2</v>
      </c>
      <c r="R596" s="2">
        <v>22.72</v>
      </c>
      <c r="S596" s="2">
        <v>5.7112000000000005E-4</v>
      </c>
      <c r="T596" s="2">
        <v>2.142E-4</v>
      </c>
      <c r="V596" s="11"/>
      <c r="W596" s="6"/>
      <c r="X596" s="6">
        <v>5.7700000000000005</v>
      </c>
      <c r="Y596" s="11" t="str">
        <f t="shared" si="108"/>
        <v/>
      </c>
      <c r="Z596" s="6" t="str">
        <f t="shared" si="109"/>
        <v/>
      </c>
      <c r="AA596" s="23">
        <f t="shared" si="110"/>
        <v>35.770000000000003</v>
      </c>
      <c r="AB596" t="str">
        <f t="shared" si="111"/>
        <v/>
      </c>
      <c r="AC596" t="str">
        <f t="shared" si="112"/>
        <v/>
      </c>
      <c r="AD596">
        <f t="shared" si="113"/>
        <v>6.9864000000000005E-4</v>
      </c>
      <c r="AE596" s="18" t="str">
        <f t="shared" ref="AE596:AE659" si="114">IF(AB596="","",AE595+h_1*(-AE595*AB595))</f>
        <v/>
      </c>
      <c r="AF596" s="7" t="str">
        <f t="shared" ref="AF596:AF659" si="115">IF(AC596="","",AF595+h_2*(-AF595*AC595))</f>
        <v/>
      </c>
      <c r="AG596" s="12">
        <f t="shared" ref="AG596:AG659" si="116">IF(AD596="","",AG595+h_3*(-AG595*AD595))</f>
        <v>0.9963711904185486</v>
      </c>
      <c r="AI596" s="54" t="str">
        <f t="shared" ref="AI596:AI659" si="117">IF(Y596="","",AI595+AI$17*(AI595*delta+Prem1-AB595*(1-AI595)))</f>
        <v/>
      </c>
      <c r="AJ596" s="54" t="str">
        <f t="shared" ref="AJ596:AJ659" si="118">IF(Z596="","",AJ595+AJ$17*(AJ595*delta+Prem2-AC595*(1-AJ595)))</f>
        <v/>
      </c>
      <c r="AK596" s="54">
        <f t="shared" ref="AK596:AK659" si="119">IF(AA596="","",AK595+AK$17*(AK595*delta+Prem3-AD595*(1-AK595)))</f>
        <v>0.31506183165529944</v>
      </c>
    </row>
    <row r="597" spans="9:37" x14ac:dyDescent="0.45">
      <c r="I597" s="2">
        <v>74.3</v>
      </c>
      <c r="J597" s="2">
        <v>3.7861300000000001E-2</v>
      </c>
      <c r="K597" s="2">
        <v>2.0590799999999999E-2</v>
      </c>
      <c r="R597" s="2">
        <v>22.73</v>
      </c>
      <c r="S597" s="2">
        <v>5.7107999999999996E-4</v>
      </c>
      <c r="T597" s="2">
        <v>2.143E-4</v>
      </c>
      <c r="V597" s="11"/>
      <c r="W597" s="6"/>
      <c r="X597" s="6">
        <v>5.78</v>
      </c>
      <c r="Y597" s="11" t="str">
        <f t="shared" ref="Y597:Y660" si="120">IF(ISBLANK(V597),"",$Y$19+V597)</f>
        <v/>
      </c>
      <c r="Z597" s="6" t="str">
        <f t="shared" ref="Z597:Z660" si="121">IF(ISBLANK(W597),"",$Y$19+W597)</f>
        <v/>
      </c>
      <c r="AA597" s="23">
        <f t="shared" ref="AA597:AA660" si="122">IF(ISBLANK(X597),"",$Y$19+X597)</f>
        <v>35.78</v>
      </c>
      <c r="AB597" t="str">
        <f t="shared" si="111"/>
        <v/>
      </c>
      <c r="AC597" t="str">
        <f t="shared" si="112"/>
        <v/>
      </c>
      <c r="AD597">
        <f t="shared" si="113"/>
        <v>6.9895999999999999E-4</v>
      </c>
      <c r="AE597" s="18" t="str">
        <f t="shared" si="114"/>
        <v/>
      </c>
      <c r="AF597" s="7" t="str">
        <f t="shared" si="115"/>
        <v/>
      </c>
      <c r="AG597" s="12">
        <f t="shared" si="116"/>
        <v>0.99636422937086389</v>
      </c>
      <c r="AI597" s="54" t="str">
        <f t="shared" si="117"/>
        <v/>
      </c>
      <c r="AJ597" s="54" t="str">
        <f t="shared" si="118"/>
        <v/>
      </c>
      <c r="AK597" s="54">
        <f t="shared" si="119"/>
        <v>0.31567396297037076</v>
      </c>
    </row>
    <row r="598" spans="9:37" x14ac:dyDescent="0.45">
      <c r="I598" s="2">
        <v>74.400000000000006</v>
      </c>
      <c r="J598" s="2">
        <v>3.8271399999999997E-2</v>
      </c>
      <c r="K598" s="2">
        <v>2.0805400000000002E-2</v>
      </c>
      <c r="R598" s="2">
        <v>22.74</v>
      </c>
      <c r="S598" s="2">
        <v>5.7103999999999998E-4</v>
      </c>
      <c r="T598" s="2">
        <v>2.1440000000000001E-4</v>
      </c>
      <c r="V598" s="11"/>
      <c r="W598" s="6"/>
      <c r="X598" s="6">
        <v>5.79</v>
      </c>
      <c r="Y598" s="11" t="str">
        <f t="shared" si="120"/>
        <v/>
      </c>
      <c r="Z598" s="6" t="str">
        <f t="shared" si="121"/>
        <v/>
      </c>
      <c r="AA598" s="23">
        <f t="shared" si="122"/>
        <v>35.79</v>
      </c>
      <c r="AB598" t="str">
        <f t="shared" si="111"/>
        <v/>
      </c>
      <c r="AC598" t="str">
        <f t="shared" si="112"/>
        <v/>
      </c>
      <c r="AD598">
        <f t="shared" si="113"/>
        <v>6.9928000000000004E-4</v>
      </c>
      <c r="AE598" s="18" t="str">
        <f t="shared" si="114"/>
        <v/>
      </c>
      <c r="AF598" s="7" t="str">
        <f t="shared" si="115"/>
        <v/>
      </c>
      <c r="AG598" s="12">
        <f t="shared" si="116"/>
        <v>0.99635726518344625</v>
      </c>
      <c r="AI598" s="54" t="str">
        <f t="shared" si="117"/>
        <v/>
      </c>
      <c r="AJ598" s="54" t="str">
        <f t="shared" si="118"/>
        <v/>
      </c>
      <c r="AK598" s="54">
        <f t="shared" si="119"/>
        <v>0.31628634122471899</v>
      </c>
    </row>
    <row r="599" spans="9:37" x14ac:dyDescent="0.45">
      <c r="I599" s="2">
        <v>74.5</v>
      </c>
      <c r="J599" s="2">
        <v>3.8681500000000001E-2</v>
      </c>
      <c r="K599" s="2">
        <v>2.102E-2</v>
      </c>
      <c r="R599" s="2">
        <v>22.75</v>
      </c>
      <c r="S599" s="2">
        <v>5.71E-4</v>
      </c>
      <c r="T599" s="2">
        <v>2.1450000000000001E-4</v>
      </c>
      <c r="V599" s="11"/>
      <c r="W599" s="6"/>
      <c r="X599" s="6">
        <v>5.8</v>
      </c>
      <c r="Y599" s="11" t="str">
        <f t="shared" si="120"/>
        <v/>
      </c>
      <c r="Z599" s="6" t="str">
        <f t="shared" si="121"/>
        <v/>
      </c>
      <c r="AA599" s="23">
        <f t="shared" si="122"/>
        <v>35.799999999999997</v>
      </c>
      <c r="AB599" t="str">
        <f t="shared" si="111"/>
        <v/>
      </c>
      <c r="AC599" t="str">
        <f t="shared" si="112"/>
        <v/>
      </c>
      <c r="AD599">
        <f t="shared" si="113"/>
        <v>6.9959999999999998E-4</v>
      </c>
      <c r="AE599" s="18" t="str">
        <f t="shared" si="114"/>
        <v/>
      </c>
      <c r="AF599" s="7" t="str">
        <f t="shared" si="115"/>
        <v/>
      </c>
      <c r="AG599" s="12">
        <f t="shared" si="116"/>
        <v>0.99635029785636231</v>
      </c>
      <c r="AI599" s="54" t="str">
        <f t="shared" si="117"/>
        <v/>
      </c>
      <c r="AJ599" s="54" t="str">
        <f t="shared" si="118"/>
        <v/>
      </c>
      <c r="AK599" s="54">
        <f t="shared" si="119"/>
        <v>0.31689896652276428</v>
      </c>
    </row>
    <row r="600" spans="9:37" x14ac:dyDescent="0.45">
      <c r="I600" s="2">
        <v>74.599999999999994</v>
      </c>
      <c r="J600" s="2">
        <v>3.9091599999999997E-2</v>
      </c>
      <c r="K600" s="2">
        <v>2.1234599999999999E-2</v>
      </c>
      <c r="R600" s="2">
        <v>22.76</v>
      </c>
      <c r="S600" s="2">
        <v>5.7096000000000002E-4</v>
      </c>
      <c r="T600" s="2">
        <v>2.1460000000000001E-4</v>
      </c>
      <c r="V600" s="11"/>
      <c r="W600" s="6"/>
      <c r="X600" s="6">
        <v>5.8100000000000005</v>
      </c>
      <c r="Y600" s="11" t="str">
        <f t="shared" si="120"/>
        <v/>
      </c>
      <c r="Z600" s="6" t="str">
        <f t="shared" si="121"/>
        <v/>
      </c>
      <c r="AA600" s="23">
        <f t="shared" si="122"/>
        <v>35.81</v>
      </c>
      <c r="AB600" t="str">
        <f t="shared" si="111"/>
        <v/>
      </c>
      <c r="AC600" t="str">
        <f t="shared" si="112"/>
        <v/>
      </c>
      <c r="AD600">
        <f t="shared" si="113"/>
        <v>6.9992000000000003E-4</v>
      </c>
      <c r="AE600" s="18" t="str">
        <f t="shared" si="114"/>
        <v/>
      </c>
      <c r="AF600" s="7" t="str">
        <f t="shared" si="115"/>
        <v/>
      </c>
      <c r="AG600" s="12">
        <f t="shared" si="116"/>
        <v>0.99634332738967846</v>
      </c>
      <c r="AI600" s="54" t="str">
        <f t="shared" si="117"/>
        <v/>
      </c>
      <c r="AJ600" s="54" t="str">
        <f t="shared" si="118"/>
        <v/>
      </c>
      <c r="AK600" s="54">
        <f t="shared" si="119"/>
        <v>0.31751183896897167</v>
      </c>
    </row>
    <row r="601" spans="9:37" x14ac:dyDescent="0.45">
      <c r="I601" s="2">
        <v>74.7</v>
      </c>
      <c r="J601" s="2">
        <v>3.9501700000000001E-2</v>
      </c>
      <c r="K601" s="2">
        <v>2.1449200000000002E-2</v>
      </c>
      <c r="R601" s="2">
        <v>22.77</v>
      </c>
      <c r="S601" s="2">
        <v>5.7092000000000004E-4</v>
      </c>
      <c r="T601" s="2">
        <v>2.1469999999999999E-4</v>
      </c>
      <c r="V601" s="11"/>
      <c r="W601" s="6"/>
      <c r="X601" s="6">
        <v>5.82</v>
      </c>
      <c r="Y601" s="11" t="str">
        <f t="shared" si="120"/>
        <v/>
      </c>
      <c r="Z601" s="6" t="str">
        <f t="shared" si="121"/>
        <v/>
      </c>
      <c r="AA601" s="23">
        <f t="shared" si="122"/>
        <v>35.82</v>
      </c>
      <c r="AB601" t="str">
        <f t="shared" si="111"/>
        <v/>
      </c>
      <c r="AC601" t="str">
        <f t="shared" si="112"/>
        <v/>
      </c>
      <c r="AD601">
        <f t="shared" si="113"/>
        <v>7.0023999999999998E-4</v>
      </c>
      <c r="AE601" s="18" t="str">
        <f t="shared" si="114"/>
        <v/>
      </c>
      <c r="AF601" s="7" t="str">
        <f t="shared" si="115"/>
        <v/>
      </c>
      <c r="AG601" s="12">
        <f t="shared" si="116"/>
        <v>0.99633635378346141</v>
      </c>
      <c r="AI601" s="54" t="str">
        <f t="shared" si="117"/>
        <v/>
      </c>
      <c r="AJ601" s="54" t="str">
        <f t="shared" si="118"/>
        <v/>
      </c>
      <c r="AK601" s="54">
        <f t="shared" si="119"/>
        <v>0.31812495866785107</v>
      </c>
    </row>
    <row r="602" spans="9:37" x14ac:dyDescent="0.45">
      <c r="I602" s="2">
        <v>74.8</v>
      </c>
      <c r="J602" s="2">
        <v>3.9911799999999997E-2</v>
      </c>
      <c r="K602" s="2">
        <v>2.16638E-2</v>
      </c>
      <c r="R602" s="2">
        <v>22.78</v>
      </c>
      <c r="S602" s="2">
        <v>5.7087999999999996E-4</v>
      </c>
      <c r="T602" s="2">
        <v>2.1479999999999999E-4</v>
      </c>
      <c r="V602" s="11"/>
      <c r="W602" s="6"/>
      <c r="X602" s="6">
        <v>5.83</v>
      </c>
      <c r="Y602" s="11" t="str">
        <f t="shared" si="120"/>
        <v/>
      </c>
      <c r="Z602" s="6" t="str">
        <f t="shared" si="121"/>
        <v/>
      </c>
      <c r="AA602" s="23">
        <f t="shared" si="122"/>
        <v>35.83</v>
      </c>
      <c r="AB602" t="str">
        <f t="shared" si="111"/>
        <v/>
      </c>
      <c r="AC602" t="str">
        <f t="shared" si="112"/>
        <v/>
      </c>
      <c r="AD602">
        <f t="shared" si="113"/>
        <v>7.0056000000000003E-4</v>
      </c>
      <c r="AE602" s="18" t="str">
        <f t="shared" si="114"/>
        <v/>
      </c>
      <c r="AF602" s="7" t="str">
        <f t="shared" si="115"/>
        <v/>
      </c>
      <c r="AG602" s="12">
        <f t="shared" si="116"/>
        <v>0.99632937703777769</v>
      </c>
      <c r="AI602" s="54" t="str">
        <f t="shared" si="117"/>
        <v/>
      </c>
      <c r="AJ602" s="54" t="str">
        <f t="shared" si="118"/>
        <v/>
      </c>
      <c r="AK602" s="54">
        <f t="shared" si="119"/>
        <v>0.31873832572395727</v>
      </c>
    </row>
    <row r="603" spans="9:37" x14ac:dyDescent="0.45">
      <c r="I603" s="2">
        <v>74.900000000000006</v>
      </c>
      <c r="J603" s="2">
        <v>4.0321900000000001E-2</v>
      </c>
      <c r="K603" s="2">
        <v>2.1878399999999999E-2</v>
      </c>
      <c r="R603" s="2">
        <v>22.79</v>
      </c>
      <c r="S603" s="2">
        <v>5.7083999999999998E-4</v>
      </c>
      <c r="T603" s="2">
        <v>2.1489999999999999E-4</v>
      </c>
      <c r="V603" s="11"/>
      <c r="W603" s="6"/>
      <c r="X603" s="6">
        <v>5.84</v>
      </c>
      <c r="Y603" s="11" t="str">
        <f t="shared" si="120"/>
        <v/>
      </c>
      <c r="Z603" s="6" t="str">
        <f t="shared" si="121"/>
        <v/>
      </c>
      <c r="AA603" s="23">
        <f t="shared" si="122"/>
        <v>35.840000000000003</v>
      </c>
      <c r="AB603" t="str">
        <f t="shared" si="111"/>
        <v/>
      </c>
      <c r="AC603" t="str">
        <f t="shared" si="112"/>
        <v/>
      </c>
      <c r="AD603">
        <f t="shared" si="113"/>
        <v>7.0087999999999997E-4</v>
      </c>
      <c r="AE603" s="18" t="str">
        <f t="shared" si="114"/>
        <v/>
      </c>
      <c r="AF603" s="7" t="str">
        <f t="shared" si="115"/>
        <v/>
      </c>
      <c r="AG603" s="12">
        <f t="shared" si="116"/>
        <v>0.99632239715269388</v>
      </c>
      <c r="AI603" s="54" t="str">
        <f t="shared" si="117"/>
        <v/>
      </c>
      <c r="AJ603" s="54" t="str">
        <f t="shared" si="118"/>
        <v/>
      </c>
      <c r="AK603" s="54">
        <f t="shared" si="119"/>
        <v>0.31935194024189006</v>
      </c>
    </row>
    <row r="604" spans="9:37" x14ac:dyDescent="0.45">
      <c r="I604" s="2">
        <v>75</v>
      </c>
      <c r="J604" s="2">
        <v>4.0731999999999997E-2</v>
      </c>
      <c r="K604" s="2">
        <v>2.2093000000000002E-2</v>
      </c>
      <c r="R604" s="2">
        <v>22.8</v>
      </c>
      <c r="S604" s="2">
        <v>5.708E-4</v>
      </c>
      <c r="T604" s="2">
        <v>2.1499999999999999E-4</v>
      </c>
      <c r="V604" s="11"/>
      <c r="W604" s="6"/>
      <c r="X604" s="6">
        <v>5.8500000000000005</v>
      </c>
      <c r="Y604" s="11" t="str">
        <f t="shared" si="120"/>
        <v/>
      </c>
      <c r="Z604" s="6" t="str">
        <f t="shared" si="121"/>
        <v/>
      </c>
      <c r="AA604" s="23">
        <f t="shared" si="122"/>
        <v>35.85</v>
      </c>
      <c r="AB604" t="str">
        <f t="shared" si="111"/>
        <v/>
      </c>
      <c r="AC604" t="str">
        <f t="shared" si="112"/>
        <v/>
      </c>
      <c r="AD604">
        <f t="shared" si="113"/>
        <v>7.0120000000000002E-4</v>
      </c>
      <c r="AE604" s="18" t="str">
        <f t="shared" si="114"/>
        <v/>
      </c>
      <c r="AF604" s="7" t="str">
        <f t="shared" si="115"/>
        <v/>
      </c>
      <c r="AG604" s="12">
        <f t="shared" si="116"/>
        <v>0.99631541412827673</v>
      </c>
      <c r="AI604" s="54" t="str">
        <f t="shared" si="117"/>
        <v/>
      </c>
      <c r="AJ604" s="54" t="str">
        <f t="shared" si="118"/>
        <v/>
      </c>
      <c r="AK604" s="54">
        <f t="shared" si="119"/>
        <v>0.31996580232629407</v>
      </c>
    </row>
    <row r="605" spans="9:37" x14ac:dyDescent="0.45">
      <c r="I605" s="2">
        <v>75.099999999999994</v>
      </c>
      <c r="J605" s="2">
        <v>4.1183900000000002E-2</v>
      </c>
      <c r="K605" s="2">
        <v>2.2330900000000001E-2</v>
      </c>
      <c r="R605" s="2">
        <v>22.81</v>
      </c>
      <c r="S605" s="2">
        <v>5.7076000000000002E-4</v>
      </c>
      <c r="T605" s="2">
        <v>2.151E-4</v>
      </c>
      <c r="V605" s="11"/>
      <c r="W605" s="6"/>
      <c r="X605" s="6">
        <v>5.86</v>
      </c>
      <c r="Y605" s="11" t="str">
        <f t="shared" si="120"/>
        <v/>
      </c>
      <c r="Z605" s="6" t="str">
        <f t="shared" si="121"/>
        <v/>
      </c>
      <c r="AA605" s="23">
        <f t="shared" si="122"/>
        <v>35.86</v>
      </c>
      <c r="AB605" t="str">
        <f t="shared" si="111"/>
        <v/>
      </c>
      <c r="AC605" t="str">
        <f t="shared" si="112"/>
        <v/>
      </c>
      <c r="AD605">
        <f t="shared" si="113"/>
        <v>7.0151999999999996E-4</v>
      </c>
      <c r="AE605" s="18" t="str">
        <f t="shared" si="114"/>
        <v/>
      </c>
      <c r="AF605" s="7" t="str">
        <f t="shared" si="115"/>
        <v/>
      </c>
      <c r="AG605" s="12">
        <f t="shared" si="116"/>
        <v>0.99630842796459285</v>
      </c>
      <c r="AI605" s="54" t="str">
        <f t="shared" si="117"/>
        <v/>
      </c>
      <c r="AJ605" s="54" t="str">
        <f t="shared" si="118"/>
        <v/>
      </c>
      <c r="AK605" s="54">
        <f t="shared" si="119"/>
        <v>0.32057991208185899</v>
      </c>
    </row>
    <row r="606" spans="9:37" x14ac:dyDescent="0.45">
      <c r="I606" s="2">
        <v>75.2</v>
      </c>
      <c r="J606" s="2">
        <v>4.1635800000000001E-2</v>
      </c>
      <c r="K606" s="2">
        <v>2.25688E-2</v>
      </c>
      <c r="R606" s="2">
        <v>22.82</v>
      </c>
      <c r="S606" s="2">
        <v>5.7072000000000004E-4</v>
      </c>
      <c r="T606" s="2">
        <v>2.152E-4</v>
      </c>
      <c r="V606" s="11"/>
      <c r="W606" s="6"/>
      <c r="X606" s="6">
        <v>5.87</v>
      </c>
      <c r="Y606" s="11" t="str">
        <f t="shared" si="120"/>
        <v/>
      </c>
      <c r="Z606" s="6" t="str">
        <f t="shared" si="121"/>
        <v/>
      </c>
      <c r="AA606" s="23">
        <f t="shared" si="122"/>
        <v>35.869999999999997</v>
      </c>
      <c r="AB606" t="str">
        <f t="shared" si="111"/>
        <v/>
      </c>
      <c r="AC606" t="str">
        <f t="shared" si="112"/>
        <v/>
      </c>
      <c r="AD606">
        <f t="shared" si="113"/>
        <v>7.0184000000000002E-4</v>
      </c>
      <c r="AE606" s="18" t="str">
        <f t="shared" si="114"/>
        <v/>
      </c>
      <c r="AF606" s="7" t="str">
        <f t="shared" si="115"/>
        <v/>
      </c>
      <c r="AG606" s="12">
        <f t="shared" si="116"/>
        <v>0.99630143866170895</v>
      </c>
      <c r="AI606" s="54" t="str">
        <f t="shared" si="117"/>
        <v/>
      </c>
      <c r="AJ606" s="54" t="str">
        <f t="shared" si="118"/>
        <v/>
      </c>
      <c r="AK606" s="54">
        <f t="shared" si="119"/>
        <v>0.32119426961331948</v>
      </c>
    </row>
    <row r="607" spans="9:37" x14ac:dyDescent="0.45">
      <c r="I607" s="2">
        <v>75.3</v>
      </c>
      <c r="J607" s="2">
        <v>4.2087699999999999E-2</v>
      </c>
      <c r="K607" s="2">
        <v>2.2806699999999999E-2</v>
      </c>
      <c r="R607" s="2">
        <v>22.83</v>
      </c>
      <c r="S607" s="2">
        <v>5.7067999999999995E-4</v>
      </c>
      <c r="T607" s="2">
        <v>2.153E-4</v>
      </c>
      <c r="V607" s="11"/>
      <c r="W607" s="6"/>
      <c r="X607" s="6">
        <v>5.88</v>
      </c>
      <c r="Y607" s="11" t="str">
        <f t="shared" si="120"/>
        <v/>
      </c>
      <c r="Z607" s="6" t="str">
        <f t="shared" si="121"/>
        <v/>
      </c>
      <c r="AA607" s="23">
        <f t="shared" si="122"/>
        <v>35.880000000000003</v>
      </c>
      <c r="AB607" t="str">
        <f t="shared" si="111"/>
        <v/>
      </c>
      <c r="AC607" t="str">
        <f t="shared" si="112"/>
        <v/>
      </c>
      <c r="AD607">
        <f t="shared" si="113"/>
        <v>7.0215999999999996E-4</v>
      </c>
      <c r="AE607" s="18" t="str">
        <f t="shared" si="114"/>
        <v/>
      </c>
      <c r="AF607" s="7" t="str">
        <f t="shared" si="115"/>
        <v/>
      </c>
      <c r="AG607" s="12">
        <f t="shared" si="116"/>
        <v>0.99629444621969188</v>
      </c>
      <c r="AI607" s="54" t="str">
        <f t="shared" si="117"/>
        <v/>
      </c>
      <c r="AJ607" s="54" t="str">
        <f t="shared" si="118"/>
        <v/>
      </c>
      <c r="AK607" s="54">
        <f t="shared" si="119"/>
        <v>0.32180887502545513</v>
      </c>
    </row>
    <row r="608" spans="9:37" x14ac:dyDescent="0.45">
      <c r="I608" s="2">
        <v>75.400000000000006</v>
      </c>
      <c r="J608" s="2">
        <v>4.2539599999999997E-2</v>
      </c>
      <c r="K608" s="2">
        <v>2.3044599999999998E-2</v>
      </c>
      <c r="R608" s="2">
        <v>22.84</v>
      </c>
      <c r="S608" s="2">
        <v>5.7063999999999997E-4</v>
      </c>
      <c r="T608" s="2">
        <v>2.154E-4</v>
      </c>
      <c r="V608" s="11"/>
      <c r="W608" s="6"/>
      <c r="X608" s="6">
        <v>5.89</v>
      </c>
      <c r="Y608" s="11" t="str">
        <f t="shared" si="120"/>
        <v/>
      </c>
      <c r="Z608" s="6" t="str">
        <f t="shared" si="121"/>
        <v/>
      </c>
      <c r="AA608" s="23">
        <f t="shared" si="122"/>
        <v>35.89</v>
      </c>
      <c r="AB608" t="str">
        <f t="shared" si="111"/>
        <v/>
      </c>
      <c r="AC608" t="str">
        <f t="shared" si="112"/>
        <v/>
      </c>
      <c r="AD608">
        <f t="shared" si="113"/>
        <v>7.0248000000000001E-4</v>
      </c>
      <c r="AE608" s="18" t="str">
        <f t="shared" si="114"/>
        <v/>
      </c>
      <c r="AF608" s="7" t="str">
        <f t="shared" si="115"/>
        <v/>
      </c>
      <c r="AG608" s="12">
        <f t="shared" si="116"/>
        <v>0.99628745063860835</v>
      </c>
      <c r="AI608" s="54" t="str">
        <f t="shared" si="117"/>
        <v/>
      </c>
      <c r="AJ608" s="54" t="str">
        <f t="shared" si="118"/>
        <v/>
      </c>
      <c r="AK608" s="54">
        <f t="shared" si="119"/>
        <v>0.32242372842309069</v>
      </c>
    </row>
    <row r="609" spans="9:37" x14ac:dyDescent="0.45">
      <c r="I609" s="2">
        <v>75.5</v>
      </c>
      <c r="J609" s="2">
        <v>4.2991500000000002E-2</v>
      </c>
      <c r="K609" s="2">
        <v>2.3282500000000001E-2</v>
      </c>
      <c r="R609" s="2">
        <v>22.85</v>
      </c>
      <c r="S609" s="2">
        <v>5.7059999999999999E-4</v>
      </c>
      <c r="T609" s="2">
        <v>2.1550000000000001E-4</v>
      </c>
      <c r="V609" s="11"/>
      <c r="W609" s="6"/>
      <c r="X609" s="6">
        <v>5.9</v>
      </c>
      <c r="Y609" s="11" t="str">
        <f t="shared" si="120"/>
        <v/>
      </c>
      <c r="Z609" s="6" t="str">
        <f t="shared" si="121"/>
        <v/>
      </c>
      <c r="AA609" s="23">
        <f t="shared" si="122"/>
        <v>35.9</v>
      </c>
      <c r="AB609" t="str">
        <f t="shared" si="111"/>
        <v/>
      </c>
      <c r="AC609" t="str">
        <f t="shared" si="112"/>
        <v/>
      </c>
      <c r="AD609">
        <f t="shared" si="113"/>
        <v>7.0279999999999995E-4</v>
      </c>
      <c r="AE609" s="18" t="str">
        <f t="shared" si="114"/>
        <v/>
      </c>
      <c r="AF609" s="7" t="str">
        <f t="shared" si="115"/>
        <v/>
      </c>
      <c r="AG609" s="12">
        <f t="shared" si="116"/>
        <v>0.9962804519185251</v>
      </c>
      <c r="AI609" s="54" t="str">
        <f t="shared" si="117"/>
        <v/>
      </c>
      <c r="AJ609" s="54" t="str">
        <f t="shared" si="118"/>
        <v/>
      </c>
      <c r="AK609" s="54">
        <f t="shared" si="119"/>
        <v>0.32303882991109584</v>
      </c>
    </row>
    <row r="610" spans="9:37" x14ac:dyDescent="0.45">
      <c r="I610" s="2">
        <v>75.599999999999994</v>
      </c>
      <c r="J610" s="2">
        <v>4.34434E-2</v>
      </c>
      <c r="K610" s="2">
        <v>2.35204E-2</v>
      </c>
      <c r="R610" s="2">
        <v>22.86</v>
      </c>
      <c r="S610" s="2">
        <v>5.7056000000000001E-4</v>
      </c>
      <c r="T610" s="2">
        <v>2.1560000000000001E-4</v>
      </c>
      <c r="V610" s="11"/>
      <c r="W610" s="6"/>
      <c r="X610" s="6">
        <v>5.91</v>
      </c>
      <c r="Y610" s="11" t="str">
        <f t="shared" si="120"/>
        <v/>
      </c>
      <c r="Z610" s="6" t="str">
        <f t="shared" si="121"/>
        <v/>
      </c>
      <c r="AA610" s="23">
        <f t="shared" si="122"/>
        <v>35.909999999999997</v>
      </c>
      <c r="AB610" t="str">
        <f t="shared" si="111"/>
        <v/>
      </c>
      <c r="AC610" t="str">
        <f t="shared" si="112"/>
        <v/>
      </c>
      <c r="AD610">
        <f t="shared" si="113"/>
        <v>7.0312E-4</v>
      </c>
      <c r="AE610" s="18" t="str">
        <f t="shared" si="114"/>
        <v/>
      </c>
      <c r="AF610" s="7" t="str">
        <f t="shared" si="115"/>
        <v/>
      </c>
      <c r="AG610" s="12">
        <f t="shared" si="116"/>
        <v>0.99627345005950907</v>
      </c>
      <c r="AI610" s="54" t="str">
        <f t="shared" si="117"/>
        <v/>
      </c>
      <c r="AJ610" s="54" t="str">
        <f t="shared" si="118"/>
        <v/>
      </c>
      <c r="AK610" s="54">
        <f t="shared" si="119"/>
        <v>0.32365417959438536</v>
      </c>
    </row>
    <row r="611" spans="9:37" x14ac:dyDescent="0.45">
      <c r="I611" s="2">
        <v>75.7</v>
      </c>
      <c r="J611" s="2">
        <v>4.3895299999999998E-2</v>
      </c>
      <c r="K611" s="2">
        <v>2.37583E-2</v>
      </c>
      <c r="R611" s="2">
        <v>22.87</v>
      </c>
      <c r="S611" s="2">
        <v>5.7052000000000003E-4</v>
      </c>
      <c r="T611" s="2">
        <v>2.1570000000000001E-4</v>
      </c>
      <c r="V611" s="11"/>
      <c r="W611" s="6"/>
      <c r="X611" s="6">
        <v>5.92</v>
      </c>
      <c r="Y611" s="11" t="str">
        <f t="shared" si="120"/>
        <v/>
      </c>
      <c r="Z611" s="6" t="str">
        <f t="shared" si="121"/>
        <v/>
      </c>
      <c r="AA611" s="23">
        <f t="shared" si="122"/>
        <v>35.92</v>
      </c>
      <c r="AB611" t="str">
        <f t="shared" si="111"/>
        <v/>
      </c>
      <c r="AC611" t="str">
        <f t="shared" si="112"/>
        <v/>
      </c>
      <c r="AD611">
        <f t="shared" si="113"/>
        <v>7.0343999999999995E-4</v>
      </c>
      <c r="AE611" s="18" t="str">
        <f t="shared" si="114"/>
        <v/>
      </c>
      <c r="AF611" s="7" t="str">
        <f t="shared" si="115"/>
        <v/>
      </c>
      <c r="AG611" s="12">
        <f t="shared" si="116"/>
        <v>0.99626644506162698</v>
      </c>
      <c r="AI611" s="54" t="str">
        <f t="shared" si="117"/>
        <v/>
      </c>
      <c r="AJ611" s="54" t="str">
        <f t="shared" si="118"/>
        <v/>
      </c>
      <c r="AK611" s="54">
        <f t="shared" si="119"/>
        <v>0.32426977757791919</v>
      </c>
    </row>
    <row r="612" spans="9:37" x14ac:dyDescent="0.45">
      <c r="I612" s="2">
        <v>75.8</v>
      </c>
      <c r="J612" s="2">
        <v>4.4347200000000003E-2</v>
      </c>
      <c r="K612" s="2">
        <v>2.3996199999999999E-2</v>
      </c>
      <c r="R612" s="2">
        <v>22.88</v>
      </c>
      <c r="S612" s="2">
        <v>5.7048000000000005E-4</v>
      </c>
      <c r="T612" s="2">
        <v>2.1579999999999999E-4</v>
      </c>
      <c r="V612" s="11"/>
      <c r="W612" s="6"/>
      <c r="X612" s="6">
        <v>5.93</v>
      </c>
      <c r="Y612" s="11" t="str">
        <f t="shared" si="120"/>
        <v/>
      </c>
      <c r="Z612" s="6" t="str">
        <f t="shared" si="121"/>
        <v/>
      </c>
      <c r="AA612" s="23">
        <f t="shared" si="122"/>
        <v>35.93</v>
      </c>
      <c r="AB612" t="str">
        <f t="shared" si="111"/>
        <v/>
      </c>
      <c r="AC612" t="str">
        <f t="shared" si="112"/>
        <v/>
      </c>
      <c r="AD612">
        <f t="shared" si="113"/>
        <v>7.0376E-4</v>
      </c>
      <c r="AE612" s="18" t="str">
        <f t="shared" si="114"/>
        <v/>
      </c>
      <c r="AF612" s="7" t="str">
        <f t="shared" si="115"/>
        <v/>
      </c>
      <c r="AG612" s="12">
        <f t="shared" si="116"/>
        <v>0.99625943692494578</v>
      </c>
      <c r="AI612" s="54" t="str">
        <f t="shared" si="117"/>
        <v/>
      </c>
      <c r="AJ612" s="54" t="str">
        <f t="shared" si="118"/>
        <v/>
      </c>
      <c r="AK612" s="54">
        <f t="shared" si="119"/>
        <v>0.32488562396670223</v>
      </c>
    </row>
    <row r="613" spans="9:37" x14ac:dyDescent="0.45">
      <c r="I613" s="2">
        <v>75.900000000000006</v>
      </c>
      <c r="J613" s="2">
        <v>4.4799100000000001E-2</v>
      </c>
      <c r="K613" s="2">
        <v>2.4234100000000001E-2</v>
      </c>
      <c r="R613" s="2">
        <v>22.89</v>
      </c>
      <c r="S613" s="2">
        <v>5.7043999999999997E-4</v>
      </c>
      <c r="T613" s="2">
        <v>2.1589999999999999E-4</v>
      </c>
      <c r="V613" s="11"/>
      <c r="W613" s="6"/>
      <c r="X613" s="6">
        <v>5.94</v>
      </c>
      <c r="Y613" s="11" t="str">
        <f t="shared" si="120"/>
        <v/>
      </c>
      <c r="Z613" s="6" t="str">
        <f t="shared" si="121"/>
        <v/>
      </c>
      <c r="AA613" s="23">
        <f t="shared" si="122"/>
        <v>35.94</v>
      </c>
      <c r="AB613" t="str">
        <f t="shared" si="111"/>
        <v/>
      </c>
      <c r="AC613" t="str">
        <f t="shared" si="112"/>
        <v/>
      </c>
      <c r="AD613">
        <f t="shared" si="113"/>
        <v>7.0408000000000005E-4</v>
      </c>
      <c r="AE613" s="18" t="str">
        <f t="shared" si="114"/>
        <v/>
      </c>
      <c r="AF613" s="7" t="str">
        <f t="shared" si="115"/>
        <v/>
      </c>
      <c r="AG613" s="12">
        <f t="shared" si="116"/>
        <v>0.99625242564953254</v>
      </c>
      <c r="AI613" s="54" t="str">
        <f t="shared" si="117"/>
        <v/>
      </c>
      <c r="AJ613" s="54" t="str">
        <f t="shared" si="118"/>
        <v/>
      </c>
      <c r="AK613" s="54">
        <f t="shared" si="119"/>
        <v>0.32550171886578466</v>
      </c>
    </row>
    <row r="614" spans="9:37" x14ac:dyDescent="0.45">
      <c r="I614" s="2">
        <v>76</v>
      </c>
      <c r="J614" s="2">
        <v>4.5251E-2</v>
      </c>
      <c r="K614" s="2">
        <v>2.4472000000000001E-2</v>
      </c>
      <c r="R614" s="2">
        <v>22.9</v>
      </c>
      <c r="S614" s="2">
        <v>5.7039999999999999E-4</v>
      </c>
      <c r="T614" s="2">
        <v>2.1599999999999999E-4</v>
      </c>
      <c r="V614" s="11"/>
      <c r="W614" s="6"/>
      <c r="X614" s="6">
        <v>5.95</v>
      </c>
      <c r="Y614" s="11" t="str">
        <f t="shared" si="120"/>
        <v/>
      </c>
      <c r="Z614" s="6" t="str">
        <f t="shared" si="121"/>
        <v/>
      </c>
      <c r="AA614" s="23">
        <f t="shared" si="122"/>
        <v>35.950000000000003</v>
      </c>
      <c r="AB614" t="str">
        <f t="shared" si="111"/>
        <v/>
      </c>
      <c r="AC614" t="str">
        <f t="shared" si="112"/>
        <v/>
      </c>
      <c r="AD614">
        <f t="shared" si="113"/>
        <v>7.0439999999999999E-4</v>
      </c>
      <c r="AE614" s="18" t="str">
        <f t="shared" si="114"/>
        <v/>
      </c>
      <c r="AF614" s="7" t="str">
        <f t="shared" si="115"/>
        <v/>
      </c>
      <c r="AG614" s="12">
        <f t="shared" si="116"/>
        <v>0.99624541123545407</v>
      </c>
      <c r="AI614" s="54" t="str">
        <f t="shared" si="117"/>
        <v/>
      </c>
      <c r="AJ614" s="54" t="str">
        <f t="shared" si="118"/>
        <v/>
      </c>
      <c r="AK614" s="54">
        <f t="shared" si="119"/>
        <v>0.32611806238026164</v>
      </c>
    </row>
    <row r="615" spans="9:37" x14ac:dyDescent="0.45">
      <c r="I615" s="2">
        <v>76.099999999999994</v>
      </c>
      <c r="J615" s="2">
        <v>4.5748200000000003E-2</v>
      </c>
      <c r="K615" s="2">
        <v>2.4735500000000001E-2</v>
      </c>
      <c r="R615" s="2">
        <v>22.91</v>
      </c>
      <c r="S615" s="2">
        <v>5.7036000000000001E-4</v>
      </c>
      <c r="T615" s="2">
        <v>2.1609999999999999E-4</v>
      </c>
      <c r="V615" s="11"/>
      <c r="W615" s="6"/>
      <c r="X615" s="6">
        <v>5.96</v>
      </c>
      <c r="Y615" s="11" t="str">
        <f t="shared" si="120"/>
        <v/>
      </c>
      <c r="Z615" s="6" t="str">
        <f t="shared" si="121"/>
        <v/>
      </c>
      <c r="AA615" s="23">
        <f t="shared" si="122"/>
        <v>35.96</v>
      </c>
      <c r="AB615" t="str">
        <f t="shared" si="111"/>
        <v/>
      </c>
      <c r="AC615" t="str">
        <f t="shared" si="112"/>
        <v/>
      </c>
      <c r="AD615">
        <f t="shared" si="113"/>
        <v>7.0472000000000004E-4</v>
      </c>
      <c r="AE615" s="18" t="str">
        <f t="shared" si="114"/>
        <v/>
      </c>
      <c r="AF615" s="7" t="str">
        <f t="shared" si="115"/>
        <v/>
      </c>
      <c r="AG615" s="12">
        <f t="shared" si="116"/>
        <v>0.99623839368277733</v>
      </c>
      <c r="AI615" s="54" t="str">
        <f t="shared" si="117"/>
        <v/>
      </c>
      <c r="AJ615" s="54" t="str">
        <f t="shared" si="118"/>
        <v/>
      </c>
      <c r="AK615" s="54">
        <f t="shared" si="119"/>
        <v>0.32673465461527362</v>
      </c>
    </row>
    <row r="616" spans="9:37" x14ac:dyDescent="0.45">
      <c r="I616" s="2">
        <v>76.2</v>
      </c>
      <c r="J616" s="2">
        <v>4.6245399999999999E-2</v>
      </c>
      <c r="K616" s="2">
        <v>2.4999E-2</v>
      </c>
      <c r="R616" s="2">
        <v>22.92</v>
      </c>
      <c r="S616" s="2">
        <v>5.7032000000000003E-4</v>
      </c>
      <c r="T616" s="2">
        <v>2.162E-4</v>
      </c>
      <c r="V616" s="11"/>
      <c r="W616" s="6"/>
      <c r="X616" s="6">
        <v>5.97</v>
      </c>
      <c r="Y616" s="11" t="str">
        <f t="shared" si="120"/>
        <v/>
      </c>
      <c r="Z616" s="6" t="str">
        <f t="shared" si="121"/>
        <v/>
      </c>
      <c r="AA616" s="23">
        <f t="shared" si="122"/>
        <v>35.97</v>
      </c>
      <c r="AB616" t="str">
        <f t="shared" si="111"/>
        <v/>
      </c>
      <c r="AC616" t="str">
        <f t="shared" si="112"/>
        <v/>
      </c>
      <c r="AD616">
        <f t="shared" si="113"/>
        <v>7.0503999999999999E-4</v>
      </c>
      <c r="AE616" s="18" t="str">
        <f t="shared" si="114"/>
        <v/>
      </c>
      <c r="AF616" s="7" t="str">
        <f t="shared" si="115"/>
        <v/>
      </c>
      <c r="AG616" s="12">
        <f t="shared" si="116"/>
        <v>0.99623137299156939</v>
      </c>
      <c r="AI616" s="54" t="str">
        <f t="shared" si="117"/>
        <v/>
      </c>
      <c r="AJ616" s="54" t="str">
        <f t="shared" si="118"/>
        <v/>
      </c>
      <c r="AK616" s="54">
        <f t="shared" si="119"/>
        <v>0.32735149567600624</v>
      </c>
    </row>
    <row r="617" spans="9:37" x14ac:dyDescent="0.45">
      <c r="I617" s="2">
        <v>76.3</v>
      </c>
      <c r="J617" s="2">
        <v>4.6742600000000002E-2</v>
      </c>
      <c r="K617" s="2">
        <v>2.52625E-2</v>
      </c>
      <c r="R617" s="2">
        <v>22.93</v>
      </c>
      <c r="S617" s="2">
        <v>5.7028000000000005E-4</v>
      </c>
      <c r="T617" s="2">
        <v>2.163E-4</v>
      </c>
      <c r="V617" s="11"/>
      <c r="W617" s="6"/>
      <c r="X617" s="6">
        <v>5.98</v>
      </c>
      <c r="Y617" s="11" t="str">
        <f t="shared" si="120"/>
        <v/>
      </c>
      <c r="Z617" s="6" t="str">
        <f t="shared" si="121"/>
        <v/>
      </c>
      <c r="AA617" s="23">
        <f t="shared" si="122"/>
        <v>35.980000000000004</v>
      </c>
      <c r="AB617" t="str">
        <f t="shared" si="111"/>
        <v/>
      </c>
      <c r="AC617" t="str">
        <f t="shared" si="112"/>
        <v/>
      </c>
      <c r="AD617">
        <f t="shared" si="113"/>
        <v>7.0536000000000004E-4</v>
      </c>
      <c r="AE617" s="18" t="str">
        <f t="shared" si="114"/>
        <v/>
      </c>
      <c r="AF617" s="7" t="str">
        <f t="shared" si="115"/>
        <v/>
      </c>
      <c r="AG617" s="12">
        <f t="shared" si="116"/>
        <v>0.99622434916189728</v>
      </c>
      <c r="AI617" s="54" t="str">
        <f t="shared" si="117"/>
        <v/>
      </c>
      <c r="AJ617" s="54" t="str">
        <f t="shared" si="118"/>
        <v/>
      </c>
      <c r="AK617" s="54">
        <f t="shared" si="119"/>
        <v>0.32796858566769027</v>
      </c>
    </row>
    <row r="618" spans="9:37" x14ac:dyDescent="0.45">
      <c r="I618" s="2">
        <v>76.400000000000006</v>
      </c>
      <c r="J618" s="2">
        <v>4.7239799999999998E-2</v>
      </c>
      <c r="K618" s="2">
        <v>2.5526E-2</v>
      </c>
      <c r="R618" s="2">
        <v>22.94</v>
      </c>
      <c r="S618" s="2">
        <v>5.7023999999999996E-4</v>
      </c>
      <c r="T618" s="2">
        <v>2.164E-4</v>
      </c>
      <c r="V618" s="11"/>
      <c r="W618" s="6"/>
      <c r="X618" s="6">
        <v>5.99</v>
      </c>
      <c r="Y618" s="11" t="str">
        <f t="shared" si="120"/>
        <v/>
      </c>
      <c r="Z618" s="6" t="str">
        <f t="shared" si="121"/>
        <v/>
      </c>
      <c r="AA618" s="23">
        <f t="shared" si="122"/>
        <v>35.99</v>
      </c>
      <c r="AB618" t="str">
        <f t="shared" si="111"/>
        <v/>
      </c>
      <c r="AC618" t="str">
        <f t="shared" si="112"/>
        <v/>
      </c>
      <c r="AD618">
        <f t="shared" si="113"/>
        <v>7.0567999999999998E-4</v>
      </c>
      <c r="AE618" s="18" t="str">
        <f t="shared" si="114"/>
        <v/>
      </c>
      <c r="AF618" s="7" t="str">
        <f t="shared" si="115"/>
        <v/>
      </c>
      <c r="AG618" s="12">
        <f t="shared" si="116"/>
        <v>0.99621732219382808</v>
      </c>
      <c r="AI618" s="54" t="str">
        <f t="shared" si="117"/>
        <v/>
      </c>
      <c r="AJ618" s="54" t="str">
        <f t="shared" si="118"/>
        <v/>
      </c>
      <c r="AK618" s="54">
        <f t="shared" si="119"/>
        <v>0.32858592469560172</v>
      </c>
    </row>
    <row r="619" spans="9:37" x14ac:dyDescent="0.45">
      <c r="I619" s="2">
        <v>76.5</v>
      </c>
      <c r="J619" s="2">
        <v>4.7737000000000002E-2</v>
      </c>
      <c r="K619" s="2">
        <v>2.57895E-2</v>
      </c>
      <c r="R619" s="2">
        <v>22.95</v>
      </c>
      <c r="S619" s="2">
        <v>5.7019999999999998E-4</v>
      </c>
      <c r="T619" s="2">
        <v>2.165E-4</v>
      </c>
      <c r="V619" s="11"/>
      <c r="W619" s="6"/>
      <c r="X619" s="6">
        <v>6</v>
      </c>
      <c r="Y619" s="11" t="str">
        <f t="shared" si="120"/>
        <v/>
      </c>
      <c r="Z619" s="6" t="str">
        <f t="shared" si="121"/>
        <v/>
      </c>
      <c r="AA619" s="23">
        <f t="shared" si="122"/>
        <v>36</v>
      </c>
      <c r="AB619" t="str">
        <f t="shared" si="111"/>
        <v/>
      </c>
      <c r="AC619" t="str">
        <f t="shared" si="112"/>
        <v/>
      </c>
      <c r="AD619">
        <f t="shared" si="113"/>
        <v>7.0600000000000003E-4</v>
      </c>
      <c r="AE619" s="18" t="str">
        <f t="shared" si="114"/>
        <v/>
      </c>
      <c r="AF619" s="7" t="str">
        <f t="shared" si="115"/>
        <v/>
      </c>
      <c r="AG619" s="12">
        <f t="shared" si="116"/>
        <v>0.99621029208742884</v>
      </c>
      <c r="AI619" s="54" t="str">
        <f t="shared" si="117"/>
        <v/>
      </c>
      <c r="AJ619" s="54" t="str">
        <f t="shared" si="118"/>
        <v/>
      </c>
      <c r="AK619" s="54">
        <f t="shared" si="119"/>
        <v>0.32920351286506183</v>
      </c>
    </row>
    <row r="620" spans="9:37" x14ac:dyDescent="0.45">
      <c r="I620" s="2">
        <v>76.599999999999994</v>
      </c>
      <c r="J620" s="2">
        <v>4.8234199999999998E-2</v>
      </c>
      <c r="K620" s="2">
        <v>2.6053E-2</v>
      </c>
      <c r="R620" s="2">
        <v>22.96</v>
      </c>
      <c r="S620" s="2">
        <v>5.7016E-4</v>
      </c>
      <c r="T620" s="2">
        <v>2.1660000000000001E-4</v>
      </c>
      <c r="V620" s="11"/>
      <c r="W620" s="6"/>
      <c r="X620" s="6">
        <v>6.01</v>
      </c>
      <c r="Y620" s="11" t="str">
        <f t="shared" si="120"/>
        <v/>
      </c>
      <c r="Z620" s="6" t="str">
        <f t="shared" si="121"/>
        <v/>
      </c>
      <c r="AA620" s="23">
        <f t="shared" si="122"/>
        <v>36.01</v>
      </c>
      <c r="AB620" t="str">
        <f t="shared" si="111"/>
        <v/>
      </c>
      <c r="AC620" t="str">
        <f t="shared" si="112"/>
        <v/>
      </c>
      <c r="AD620">
        <f t="shared" si="113"/>
        <v>7.0638000000000005E-4</v>
      </c>
      <c r="AE620" s="18" t="str">
        <f t="shared" si="114"/>
        <v/>
      </c>
      <c r="AF620" s="7" t="str">
        <f t="shared" si="115"/>
        <v/>
      </c>
      <c r="AG620" s="12">
        <f t="shared" si="116"/>
        <v>0.99620325884276673</v>
      </c>
      <c r="AI620" s="54" t="str">
        <f t="shared" si="117"/>
        <v/>
      </c>
      <c r="AJ620" s="54" t="str">
        <f t="shared" si="118"/>
        <v/>
      </c>
      <c r="AK620" s="54">
        <f t="shared" si="119"/>
        <v>0.32982135028143716</v>
      </c>
    </row>
    <row r="621" spans="9:37" x14ac:dyDescent="0.45">
      <c r="I621" s="2">
        <v>76.7</v>
      </c>
      <c r="J621" s="2">
        <v>4.8731400000000001E-2</v>
      </c>
      <c r="K621" s="2">
        <v>2.63165E-2</v>
      </c>
      <c r="R621" s="2">
        <v>22.97</v>
      </c>
      <c r="S621" s="2">
        <v>5.7012000000000002E-4</v>
      </c>
      <c r="T621" s="2">
        <v>2.1670000000000001E-4</v>
      </c>
      <c r="V621" s="11"/>
      <c r="W621" s="6"/>
      <c r="X621" s="6">
        <v>6.0200000000000005</v>
      </c>
      <c r="Y621" s="11" t="str">
        <f t="shared" si="120"/>
        <v/>
      </c>
      <c r="Z621" s="6" t="str">
        <f t="shared" si="121"/>
        <v/>
      </c>
      <c r="AA621" s="23">
        <f t="shared" si="122"/>
        <v>36.020000000000003</v>
      </c>
      <c r="AB621" t="str">
        <f t="shared" si="111"/>
        <v/>
      </c>
      <c r="AC621" t="str">
        <f t="shared" si="112"/>
        <v/>
      </c>
      <c r="AD621">
        <f t="shared" si="113"/>
        <v>7.0675999999999996E-4</v>
      </c>
      <c r="AE621" s="18" t="str">
        <f t="shared" si="114"/>
        <v/>
      </c>
      <c r="AF621" s="7" t="str">
        <f t="shared" si="115"/>
        <v/>
      </c>
      <c r="AG621" s="12">
        <f t="shared" si="116"/>
        <v>0.99619622186218693</v>
      </c>
      <c r="AI621" s="54" t="str">
        <f t="shared" si="117"/>
        <v/>
      </c>
      <c r="AJ621" s="54" t="str">
        <f t="shared" si="118"/>
        <v/>
      </c>
      <c r="AK621" s="54">
        <f t="shared" si="119"/>
        <v>0.33043943664803233</v>
      </c>
    </row>
    <row r="622" spans="9:37" x14ac:dyDescent="0.45">
      <c r="I622" s="2">
        <v>76.8</v>
      </c>
      <c r="J622" s="2">
        <v>4.9228599999999997E-2</v>
      </c>
      <c r="K622" s="2">
        <v>2.6579999999999999E-2</v>
      </c>
      <c r="R622" s="2">
        <v>22.98</v>
      </c>
      <c r="S622" s="2">
        <v>5.7008000000000004E-4</v>
      </c>
      <c r="T622" s="2">
        <v>2.1680000000000001E-4</v>
      </c>
      <c r="V622" s="11"/>
      <c r="W622" s="6"/>
      <c r="X622" s="6">
        <v>6.03</v>
      </c>
      <c r="Y622" s="11" t="str">
        <f t="shared" si="120"/>
        <v/>
      </c>
      <c r="Z622" s="6" t="str">
        <f t="shared" si="121"/>
        <v/>
      </c>
      <c r="AA622" s="23">
        <f t="shared" si="122"/>
        <v>36.03</v>
      </c>
      <c r="AB622" t="str">
        <f t="shared" si="111"/>
        <v/>
      </c>
      <c r="AC622" t="str">
        <f t="shared" si="112"/>
        <v/>
      </c>
      <c r="AD622">
        <f t="shared" si="113"/>
        <v>7.0713999999999998E-4</v>
      </c>
      <c r="AE622" s="18" t="str">
        <f t="shared" si="114"/>
        <v/>
      </c>
      <c r="AF622" s="7" t="str">
        <f t="shared" si="115"/>
        <v/>
      </c>
      <c r="AG622" s="12">
        <f t="shared" si="116"/>
        <v>0.99618918114576926</v>
      </c>
      <c r="AI622" s="54" t="str">
        <f t="shared" si="117"/>
        <v/>
      </c>
      <c r="AJ622" s="54" t="str">
        <f t="shared" si="118"/>
        <v/>
      </c>
      <c r="AK622" s="54">
        <f t="shared" si="119"/>
        <v>0.33105777207088249</v>
      </c>
    </row>
    <row r="623" spans="9:37" x14ac:dyDescent="0.45">
      <c r="I623" s="2">
        <v>76.900000000000006</v>
      </c>
      <c r="J623" s="2">
        <v>4.9725800000000001E-2</v>
      </c>
      <c r="K623" s="2">
        <v>2.6843499999999999E-2</v>
      </c>
      <c r="R623" s="2">
        <v>22.99</v>
      </c>
      <c r="S623" s="2">
        <v>5.7003999999999996E-4</v>
      </c>
      <c r="T623" s="2">
        <v>2.1689999999999999E-4</v>
      </c>
      <c r="V623" s="11"/>
      <c r="W623" s="6"/>
      <c r="X623" s="6">
        <v>6.04</v>
      </c>
      <c r="Y623" s="11" t="str">
        <f t="shared" si="120"/>
        <v/>
      </c>
      <c r="Z623" s="6" t="str">
        <f t="shared" si="121"/>
        <v/>
      </c>
      <c r="AA623" s="23">
        <f t="shared" si="122"/>
        <v>36.04</v>
      </c>
      <c r="AB623" t="str">
        <f t="shared" si="111"/>
        <v/>
      </c>
      <c r="AC623" t="str">
        <f t="shared" si="112"/>
        <v/>
      </c>
      <c r="AD623">
        <f t="shared" si="113"/>
        <v>7.0752E-4</v>
      </c>
      <c r="AE623" s="18" t="str">
        <f t="shared" si="114"/>
        <v/>
      </c>
      <c r="AF623" s="7" t="str">
        <f t="shared" si="115"/>
        <v/>
      </c>
      <c r="AG623" s="12">
        <f t="shared" si="116"/>
        <v>0.99618213669359368</v>
      </c>
      <c r="AI623" s="54" t="str">
        <f t="shared" si="117"/>
        <v/>
      </c>
      <c r="AJ623" s="54" t="str">
        <f t="shared" si="118"/>
        <v/>
      </c>
      <c r="AK623" s="54">
        <f t="shared" si="119"/>
        <v>0.33167635665606876</v>
      </c>
    </row>
    <row r="624" spans="9:37" x14ac:dyDescent="0.45">
      <c r="I624" s="2">
        <v>77</v>
      </c>
      <c r="J624" s="2">
        <v>5.0222999999999997E-2</v>
      </c>
      <c r="K624" s="2">
        <v>2.7106999999999999E-2</v>
      </c>
      <c r="R624" s="2">
        <v>23</v>
      </c>
      <c r="S624" s="2">
        <v>5.6999999999999998E-4</v>
      </c>
      <c r="T624" s="2">
        <v>2.1699999999999999E-4</v>
      </c>
      <c r="V624" s="11"/>
      <c r="W624" s="6"/>
      <c r="X624" s="6">
        <v>6.05</v>
      </c>
      <c r="Y624" s="11" t="str">
        <f t="shared" si="120"/>
        <v/>
      </c>
      <c r="Z624" s="6" t="str">
        <f t="shared" si="121"/>
        <v/>
      </c>
      <c r="AA624" s="23">
        <f t="shared" si="122"/>
        <v>36.049999999999997</v>
      </c>
      <c r="AB624" t="str">
        <f t="shared" si="111"/>
        <v/>
      </c>
      <c r="AC624" t="str">
        <f t="shared" si="112"/>
        <v/>
      </c>
      <c r="AD624">
        <f t="shared" si="113"/>
        <v>7.0790000000000002E-4</v>
      </c>
      <c r="AE624" s="18" t="str">
        <f t="shared" si="114"/>
        <v/>
      </c>
      <c r="AF624" s="7" t="str">
        <f t="shared" si="115"/>
        <v/>
      </c>
      <c r="AG624" s="12">
        <f t="shared" si="116"/>
        <v>0.9961750885057401</v>
      </c>
      <c r="AI624" s="54" t="str">
        <f t="shared" si="117"/>
        <v/>
      </c>
      <c r="AJ624" s="54" t="str">
        <f t="shared" si="118"/>
        <v/>
      </c>
      <c r="AK624" s="54">
        <f t="shared" si="119"/>
        <v>0.33229519050971829</v>
      </c>
    </row>
    <row r="625" spans="9:37" x14ac:dyDescent="0.45">
      <c r="I625" s="2">
        <v>77.099999999999994</v>
      </c>
      <c r="J625" s="2">
        <v>5.0769599999999998E-2</v>
      </c>
      <c r="K625" s="2">
        <v>2.7399E-2</v>
      </c>
      <c r="R625" s="2">
        <v>23.01</v>
      </c>
      <c r="S625" s="2">
        <v>5.6997999999999999E-4</v>
      </c>
      <c r="T625" s="2">
        <v>2.1712000000000001E-4</v>
      </c>
      <c r="V625" s="11"/>
      <c r="W625" s="6"/>
      <c r="X625" s="6">
        <v>6.0600000000000005</v>
      </c>
      <c r="Y625" s="11" t="str">
        <f t="shared" si="120"/>
        <v/>
      </c>
      <c r="Z625" s="6" t="str">
        <f t="shared" si="121"/>
        <v/>
      </c>
      <c r="AA625" s="23">
        <f t="shared" si="122"/>
        <v>36.06</v>
      </c>
      <c r="AB625" t="str">
        <f t="shared" si="111"/>
        <v/>
      </c>
      <c r="AC625" t="str">
        <f t="shared" si="112"/>
        <v/>
      </c>
      <c r="AD625">
        <f t="shared" si="113"/>
        <v>7.0828000000000004E-4</v>
      </c>
      <c r="AE625" s="18" t="str">
        <f t="shared" si="114"/>
        <v/>
      </c>
      <c r="AF625" s="7" t="str">
        <f t="shared" si="115"/>
        <v/>
      </c>
      <c r="AG625" s="12">
        <f t="shared" si="116"/>
        <v>0.99616803658228859</v>
      </c>
      <c r="AI625" s="54" t="str">
        <f t="shared" si="117"/>
        <v/>
      </c>
      <c r="AJ625" s="54" t="str">
        <f t="shared" si="118"/>
        <v/>
      </c>
      <c r="AK625" s="54">
        <f t="shared" si="119"/>
        <v>0.33291427373800431</v>
      </c>
    </row>
    <row r="626" spans="9:37" x14ac:dyDescent="0.45">
      <c r="I626" s="2">
        <v>77.2</v>
      </c>
      <c r="J626" s="2">
        <v>5.1316199999999999E-2</v>
      </c>
      <c r="K626" s="2">
        <v>2.7691E-2</v>
      </c>
      <c r="R626" s="2">
        <v>23.02</v>
      </c>
      <c r="S626" s="2">
        <v>5.6996E-4</v>
      </c>
      <c r="T626" s="2">
        <v>2.1724E-4</v>
      </c>
      <c r="V626" s="11"/>
      <c r="W626" s="6"/>
      <c r="X626" s="6">
        <v>6.07</v>
      </c>
      <c r="Y626" s="11" t="str">
        <f t="shared" si="120"/>
        <v/>
      </c>
      <c r="Z626" s="6" t="str">
        <f t="shared" si="121"/>
        <v/>
      </c>
      <c r="AA626" s="23">
        <f t="shared" si="122"/>
        <v>36.07</v>
      </c>
      <c r="AB626" t="str">
        <f t="shared" si="111"/>
        <v/>
      </c>
      <c r="AC626" t="str">
        <f t="shared" si="112"/>
        <v/>
      </c>
      <c r="AD626">
        <f t="shared" si="113"/>
        <v>7.0865999999999995E-4</v>
      </c>
      <c r="AE626" s="18" t="str">
        <f t="shared" si="114"/>
        <v/>
      </c>
      <c r="AF626" s="7" t="str">
        <f t="shared" si="115"/>
        <v/>
      </c>
      <c r="AG626" s="12">
        <f t="shared" si="116"/>
        <v>0.99616098092331906</v>
      </c>
      <c r="AI626" s="54" t="str">
        <f t="shared" si="117"/>
        <v/>
      </c>
      <c r="AJ626" s="54" t="str">
        <f t="shared" si="118"/>
        <v/>
      </c>
      <c r="AK626" s="54">
        <f t="shared" si="119"/>
        <v>0.33353360644714602</v>
      </c>
    </row>
    <row r="627" spans="9:37" x14ac:dyDescent="0.45">
      <c r="I627" s="2">
        <v>77.3</v>
      </c>
      <c r="J627" s="2">
        <v>5.1862800000000001E-2</v>
      </c>
      <c r="K627" s="2">
        <v>2.7983000000000001E-2</v>
      </c>
      <c r="R627" s="2">
        <v>23.03</v>
      </c>
      <c r="S627" s="2">
        <v>5.6994000000000001E-4</v>
      </c>
      <c r="T627" s="2">
        <v>2.1735999999999999E-4</v>
      </c>
      <c r="V627" s="11"/>
      <c r="W627" s="6"/>
      <c r="X627" s="6">
        <v>6.08</v>
      </c>
      <c r="Y627" s="11" t="str">
        <f t="shared" si="120"/>
        <v/>
      </c>
      <c r="Z627" s="6" t="str">
        <f t="shared" si="121"/>
        <v/>
      </c>
      <c r="AA627" s="23">
        <f t="shared" si="122"/>
        <v>36.08</v>
      </c>
      <c r="AB627" t="str">
        <f t="shared" si="111"/>
        <v/>
      </c>
      <c r="AC627" t="str">
        <f t="shared" si="112"/>
        <v/>
      </c>
      <c r="AD627">
        <f t="shared" si="113"/>
        <v>7.0903999999999997E-4</v>
      </c>
      <c r="AE627" s="18" t="str">
        <f t="shared" si="114"/>
        <v/>
      </c>
      <c r="AF627" s="7" t="str">
        <f t="shared" si="115"/>
        <v/>
      </c>
      <c r="AG627" s="12">
        <f t="shared" si="116"/>
        <v>0.99615392152891169</v>
      </c>
      <c r="AI627" s="54" t="str">
        <f t="shared" si="117"/>
        <v/>
      </c>
      <c r="AJ627" s="54" t="str">
        <f t="shared" si="118"/>
        <v/>
      </c>
      <c r="AK627" s="54">
        <f t="shared" si="119"/>
        <v>0.33415318874340882</v>
      </c>
    </row>
    <row r="628" spans="9:37" x14ac:dyDescent="0.45">
      <c r="I628" s="2">
        <v>77.400000000000006</v>
      </c>
      <c r="J628" s="2">
        <v>5.2409400000000002E-2</v>
      </c>
      <c r="K628" s="2">
        <v>2.8275000000000002E-2</v>
      </c>
      <c r="R628" s="2">
        <v>23.04</v>
      </c>
      <c r="S628" s="2">
        <v>5.6992000000000002E-4</v>
      </c>
      <c r="T628" s="2">
        <v>2.1748000000000001E-4</v>
      </c>
      <c r="V628" s="11"/>
      <c r="W628" s="6"/>
      <c r="X628" s="6">
        <v>6.09</v>
      </c>
      <c r="Y628" s="11" t="str">
        <f t="shared" si="120"/>
        <v/>
      </c>
      <c r="Z628" s="6" t="str">
        <f t="shared" si="121"/>
        <v/>
      </c>
      <c r="AA628" s="23">
        <f t="shared" si="122"/>
        <v>36.090000000000003</v>
      </c>
      <c r="AB628" t="str">
        <f t="shared" si="111"/>
        <v/>
      </c>
      <c r="AC628" t="str">
        <f t="shared" si="112"/>
        <v/>
      </c>
      <c r="AD628">
        <f t="shared" si="113"/>
        <v>7.0941999999999999E-4</v>
      </c>
      <c r="AE628" s="18" t="str">
        <f t="shared" si="114"/>
        <v/>
      </c>
      <c r="AF628" s="7" t="str">
        <f t="shared" si="115"/>
        <v/>
      </c>
      <c r="AG628" s="12">
        <f t="shared" si="116"/>
        <v>0.99614685839914652</v>
      </c>
      <c r="AI628" s="54" t="str">
        <f t="shared" si="117"/>
        <v/>
      </c>
      <c r="AJ628" s="54" t="str">
        <f t="shared" si="118"/>
        <v/>
      </c>
      <c r="AK628" s="54">
        <f t="shared" si="119"/>
        <v>0.33477302073310417</v>
      </c>
    </row>
    <row r="629" spans="9:37" x14ac:dyDescent="0.45">
      <c r="I629" s="2">
        <v>77.5</v>
      </c>
      <c r="J629" s="2">
        <v>5.2956000000000003E-2</v>
      </c>
      <c r="K629" s="2">
        <v>2.8566999999999999E-2</v>
      </c>
      <c r="R629" s="2">
        <v>23.05</v>
      </c>
      <c r="S629" s="2">
        <v>5.6990000000000003E-4</v>
      </c>
      <c r="T629" s="2">
        <v>2.176E-4</v>
      </c>
      <c r="V629" s="11"/>
      <c r="W629" s="6"/>
      <c r="X629" s="6">
        <v>6.1000000000000005</v>
      </c>
      <c r="Y629" s="11" t="str">
        <f t="shared" si="120"/>
        <v/>
      </c>
      <c r="Z629" s="6" t="str">
        <f t="shared" si="121"/>
        <v/>
      </c>
      <c r="AA629" s="23">
        <f t="shared" si="122"/>
        <v>36.1</v>
      </c>
      <c r="AB629" t="str">
        <f t="shared" si="111"/>
        <v/>
      </c>
      <c r="AC629" t="str">
        <f t="shared" si="112"/>
        <v/>
      </c>
      <c r="AD629">
        <f t="shared" si="113"/>
        <v>7.0980000000000001E-4</v>
      </c>
      <c r="AE629" s="18" t="str">
        <f t="shared" si="114"/>
        <v/>
      </c>
      <c r="AF629" s="7" t="str">
        <f t="shared" si="115"/>
        <v/>
      </c>
      <c r="AG629" s="12">
        <f t="shared" si="116"/>
        <v>0.9961397915341037</v>
      </c>
      <c r="AI629" s="54" t="str">
        <f t="shared" si="117"/>
        <v/>
      </c>
      <c r="AJ629" s="54" t="str">
        <f t="shared" si="118"/>
        <v/>
      </c>
      <c r="AK629" s="54">
        <f t="shared" si="119"/>
        <v>0.33539310252258958</v>
      </c>
    </row>
    <row r="630" spans="9:37" x14ac:dyDescent="0.45">
      <c r="I630" s="2">
        <v>77.599999999999994</v>
      </c>
      <c r="J630" s="2">
        <v>5.3502599999999997E-2</v>
      </c>
      <c r="K630" s="2">
        <v>2.8858999999999999E-2</v>
      </c>
      <c r="R630" s="2">
        <v>23.06</v>
      </c>
      <c r="S630" s="2">
        <v>5.6988000000000004E-4</v>
      </c>
      <c r="T630" s="2">
        <v>2.1772E-4</v>
      </c>
      <c r="V630" s="11"/>
      <c r="W630" s="6"/>
      <c r="X630" s="6">
        <v>6.11</v>
      </c>
      <c r="Y630" s="11" t="str">
        <f t="shared" si="120"/>
        <v/>
      </c>
      <c r="Z630" s="6" t="str">
        <f t="shared" si="121"/>
        <v/>
      </c>
      <c r="AA630" s="23">
        <f t="shared" si="122"/>
        <v>36.11</v>
      </c>
      <c r="AB630" t="str">
        <f t="shared" si="111"/>
        <v/>
      </c>
      <c r="AC630" t="str">
        <f t="shared" si="112"/>
        <v/>
      </c>
      <c r="AD630">
        <f t="shared" si="113"/>
        <v>7.1018000000000003E-4</v>
      </c>
      <c r="AE630" s="18" t="str">
        <f t="shared" si="114"/>
        <v/>
      </c>
      <c r="AF630" s="7" t="str">
        <f t="shared" si="115"/>
        <v/>
      </c>
      <c r="AG630" s="12">
        <f t="shared" si="116"/>
        <v>0.9961327209338634</v>
      </c>
      <c r="AI630" s="54" t="str">
        <f t="shared" si="117"/>
        <v/>
      </c>
      <c r="AJ630" s="54" t="str">
        <f t="shared" si="118"/>
        <v/>
      </c>
      <c r="AK630" s="54">
        <f t="shared" si="119"/>
        <v>0.33601343421826879</v>
      </c>
    </row>
    <row r="631" spans="9:37" x14ac:dyDescent="0.45">
      <c r="I631" s="2">
        <v>77.7</v>
      </c>
      <c r="J631" s="2">
        <v>5.4049199999999999E-2</v>
      </c>
      <c r="K631" s="2">
        <v>2.9151E-2</v>
      </c>
      <c r="R631" s="2">
        <v>23.07</v>
      </c>
      <c r="S631" s="2">
        <v>5.6986000000000005E-4</v>
      </c>
      <c r="T631" s="2">
        <v>2.1783999999999999E-4</v>
      </c>
      <c r="V631" s="11"/>
      <c r="W631" s="6"/>
      <c r="X631" s="6">
        <v>6.12</v>
      </c>
      <c r="Y631" s="11" t="str">
        <f t="shared" si="120"/>
        <v/>
      </c>
      <c r="Z631" s="6" t="str">
        <f t="shared" si="121"/>
        <v/>
      </c>
      <c r="AA631" s="23">
        <f t="shared" si="122"/>
        <v>36.119999999999997</v>
      </c>
      <c r="AB631" t="str">
        <f t="shared" si="111"/>
        <v/>
      </c>
      <c r="AC631" t="str">
        <f t="shared" si="112"/>
        <v/>
      </c>
      <c r="AD631">
        <f t="shared" si="113"/>
        <v>7.1055999999999995E-4</v>
      </c>
      <c r="AE631" s="18" t="str">
        <f t="shared" si="114"/>
        <v/>
      </c>
      <c r="AF631" s="7" t="str">
        <f t="shared" si="115"/>
        <v/>
      </c>
      <c r="AG631" s="12">
        <f t="shared" si="116"/>
        <v>0.99612564659850589</v>
      </c>
      <c r="AI631" s="54" t="str">
        <f t="shared" si="117"/>
        <v/>
      </c>
      <c r="AJ631" s="54" t="str">
        <f t="shared" si="118"/>
        <v/>
      </c>
      <c r="AK631" s="54">
        <f t="shared" si="119"/>
        <v>0.3366340159265917</v>
      </c>
    </row>
    <row r="632" spans="9:37" x14ac:dyDescent="0.45">
      <c r="I632" s="2">
        <v>77.8</v>
      </c>
      <c r="J632" s="2">
        <v>5.45958E-2</v>
      </c>
      <c r="K632" s="2">
        <v>2.9443E-2</v>
      </c>
      <c r="R632" s="2">
        <v>23.08</v>
      </c>
      <c r="S632" s="2">
        <v>5.6983999999999995E-4</v>
      </c>
      <c r="T632" s="2">
        <v>2.1796000000000001E-4</v>
      </c>
      <c r="V632" s="11"/>
      <c r="W632" s="6"/>
      <c r="X632" s="6">
        <v>6.13</v>
      </c>
      <c r="Y632" s="11" t="str">
        <f t="shared" si="120"/>
        <v/>
      </c>
      <c r="Z632" s="6" t="str">
        <f t="shared" si="121"/>
        <v/>
      </c>
      <c r="AA632" s="23">
        <f t="shared" si="122"/>
        <v>36.130000000000003</v>
      </c>
      <c r="AB632" t="str">
        <f t="shared" si="111"/>
        <v/>
      </c>
      <c r="AC632" t="str">
        <f t="shared" si="112"/>
        <v/>
      </c>
      <c r="AD632">
        <f t="shared" si="113"/>
        <v>7.1093999999999997E-4</v>
      </c>
      <c r="AE632" s="18" t="str">
        <f t="shared" si="114"/>
        <v/>
      </c>
      <c r="AF632" s="7" t="str">
        <f t="shared" si="115"/>
        <v/>
      </c>
      <c r="AG632" s="12">
        <f t="shared" si="116"/>
        <v>0.99611856852811143</v>
      </c>
      <c r="AI632" s="54" t="str">
        <f t="shared" si="117"/>
        <v/>
      </c>
      <c r="AJ632" s="54" t="str">
        <f t="shared" si="118"/>
        <v/>
      </c>
      <c r="AK632" s="54">
        <f t="shared" si="119"/>
        <v>0.3372548477540544</v>
      </c>
    </row>
    <row r="633" spans="9:37" x14ac:dyDescent="0.45">
      <c r="I633" s="2">
        <v>77.900000000000006</v>
      </c>
      <c r="J633" s="2">
        <v>5.5142400000000001E-2</v>
      </c>
      <c r="K633" s="2">
        <v>2.9735000000000001E-2</v>
      </c>
      <c r="R633" s="2">
        <v>23.09</v>
      </c>
      <c r="S633" s="2">
        <v>5.6981999999999996E-4</v>
      </c>
      <c r="T633" s="2">
        <v>2.1808E-4</v>
      </c>
      <c r="V633" s="11"/>
      <c r="W633" s="6"/>
      <c r="X633" s="6">
        <v>6.1400000000000006</v>
      </c>
      <c r="Y633" s="11" t="str">
        <f t="shared" si="120"/>
        <v/>
      </c>
      <c r="Z633" s="6" t="str">
        <f t="shared" si="121"/>
        <v/>
      </c>
      <c r="AA633" s="23">
        <f t="shared" si="122"/>
        <v>36.14</v>
      </c>
      <c r="AB633" t="str">
        <f t="shared" si="111"/>
        <v/>
      </c>
      <c r="AC633" t="str">
        <f t="shared" si="112"/>
        <v/>
      </c>
      <c r="AD633">
        <f t="shared" si="113"/>
        <v>7.1131999999999999E-4</v>
      </c>
      <c r="AE633" s="18" t="str">
        <f t="shared" si="114"/>
        <v/>
      </c>
      <c r="AF633" s="7" t="str">
        <f t="shared" si="115"/>
        <v/>
      </c>
      <c r="AG633" s="12">
        <f t="shared" si="116"/>
        <v>0.99611148672276029</v>
      </c>
      <c r="AI633" s="54" t="str">
        <f t="shared" si="117"/>
        <v/>
      </c>
      <c r="AJ633" s="54" t="str">
        <f t="shared" si="118"/>
        <v/>
      </c>
      <c r="AK633" s="54">
        <f t="shared" si="119"/>
        <v>0.33787592980719916</v>
      </c>
    </row>
    <row r="634" spans="9:37" x14ac:dyDescent="0.45">
      <c r="I634" s="2">
        <v>78</v>
      </c>
      <c r="J634" s="2">
        <v>5.5689000000000002E-2</v>
      </c>
      <c r="K634" s="2">
        <v>3.0027000000000002E-2</v>
      </c>
      <c r="R634" s="2">
        <v>23.1</v>
      </c>
      <c r="S634" s="2">
        <v>5.6979999999999997E-4</v>
      </c>
      <c r="T634" s="2">
        <v>2.1819999999999999E-4</v>
      </c>
      <c r="V634" s="11"/>
      <c r="W634" s="6"/>
      <c r="X634" s="6">
        <v>6.15</v>
      </c>
      <c r="Y634" s="11" t="str">
        <f t="shared" si="120"/>
        <v/>
      </c>
      <c r="Z634" s="6" t="str">
        <f t="shared" si="121"/>
        <v/>
      </c>
      <c r="AA634" s="23">
        <f t="shared" si="122"/>
        <v>36.15</v>
      </c>
      <c r="AB634" t="str">
        <f t="shared" si="111"/>
        <v/>
      </c>
      <c r="AC634" t="str">
        <f t="shared" si="112"/>
        <v/>
      </c>
      <c r="AD634">
        <f t="shared" si="113"/>
        <v>7.1170000000000001E-4</v>
      </c>
      <c r="AE634" s="18" t="str">
        <f t="shared" si="114"/>
        <v/>
      </c>
      <c r="AF634" s="7" t="str">
        <f t="shared" si="115"/>
        <v/>
      </c>
      <c r="AG634" s="12">
        <f t="shared" si="116"/>
        <v>0.99610440118253296</v>
      </c>
      <c r="AI634" s="54" t="str">
        <f t="shared" si="117"/>
        <v/>
      </c>
      <c r="AJ634" s="54" t="str">
        <f t="shared" si="118"/>
        <v/>
      </c>
      <c r="AK634" s="54">
        <f t="shared" si="119"/>
        <v>0.33849726219261445</v>
      </c>
    </row>
    <row r="635" spans="9:37" x14ac:dyDescent="0.45">
      <c r="I635" s="2">
        <v>78.099999999999994</v>
      </c>
      <c r="J635" s="2">
        <v>5.6288999999999999E-2</v>
      </c>
      <c r="K635" s="2">
        <v>3.0350599999999998E-2</v>
      </c>
      <c r="R635" s="2">
        <v>23.11</v>
      </c>
      <c r="S635" s="2">
        <v>5.6977999999999998E-4</v>
      </c>
      <c r="T635" s="2">
        <v>2.1832000000000001E-4</v>
      </c>
      <c r="V635" s="11"/>
      <c r="W635" s="6"/>
      <c r="X635" s="6">
        <v>6.16</v>
      </c>
      <c r="Y635" s="11" t="str">
        <f t="shared" si="120"/>
        <v/>
      </c>
      <c r="Z635" s="6" t="str">
        <f t="shared" si="121"/>
        <v/>
      </c>
      <c r="AA635" s="23">
        <f t="shared" si="122"/>
        <v>36.159999999999997</v>
      </c>
      <c r="AB635" t="str">
        <f t="shared" si="111"/>
        <v/>
      </c>
      <c r="AC635" t="str">
        <f t="shared" si="112"/>
        <v/>
      </c>
      <c r="AD635">
        <f t="shared" si="113"/>
        <v>7.1208000000000003E-4</v>
      </c>
      <c r="AE635" s="18" t="str">
        <f t="shared" si="114"/>
        <v/>
      </c>
      <c r="AF635" s="7" t="str">
        <f t="shared" si="115"/>
        <v/>
      </c>
      <c r="AG635" s="12">
        <f t="shared" si="116"/>
        <v>0.99609731190750972</v>
      </c>
      <c r="AI635" s="54" t="str">
        <f t="shared" si="117"/>
        <v/>
      </c>
      <c r="AJ635" s="54" t="str">
        <f t="shared" si="118"/>
        <v/>
      </c>
      <c r="AK635" s="54">
        <f t="shared" si="119"/>
        <v>0.33911884501693501</v>
      </c>
    </row>
    <row r="636" spans="9:37" x14ac:dyDescent="0.45">
      <c r="I636" s="2">
        <v>78.2</v>
      </c>
      <c r="J636" s="2">
        <v>5.6889000000000002E-2</v>
      </c>
      <c r="K636" s="2">
        <v>3.0674199999999999E-2</v>
      </c>
      <c r="R636" s="2">
        <v>23.12</v>
      </c>
      <c r="S636" s="2">
        <v>5.6975999999999999E-4</v>
      </c>
      <c r="T636" s="2">
        <v>2.1844E-4</v>
      </c>
      <c r="V636" s="11"/>
      <c r="W636" s="6"/>
      <c r="X636" s="6">
        <v>6.17</v>
      </c>
      <c r="Y636" s="11" t="str">
        <f t="shared" si="120"/>
        <v/>
      </c>
      <c r="Z636" s="6" t="str">
        <f t="shared" si="121"/>
        <v/>
      </c>
      <c r="AA636" s="23">
        <f t="shared" si="122"/>
        <v>36.17</v>
      </c>
      <c r="AB636" t="str">
        <f t="shared" si="111"/>
        <v/>
      </c>
      <c r="AC636" t="str">
        <f t="shared" si="112"/>
        <v/>
      </c>
      <c r="AD636">
        <f t="shared" si="113"/>
        <v>7.1246000000000005E-4</v>
      </c>
      <c r="AE636" s="18" t="str">
        <f t="shared" si="114"/>
        <v/>
      </c>
      <c r="AF636" s="7" t="str">
        <f t="shared" si="115"/>
        <v/>
      </c>
      <c r="AG636" s="12">
        <f t="shared" si="116"/>
        <v>0.99609021889777105</v>
      </c>
      <c r="AI636" s="54" t="str">
        <f t="shared" si="117"/>
        <v/>
      </c>
      <c r="AJ636" s="54" t="str">
        <f t="shared" si="118"/>
        <v/>
      </c>
      <c r="AK636" s="54">
        <f t="shared" si="119"/>
        <v>0.33974067838684185</v>
      </c>
    </row>
    <row r="637" spans="9:37" x14ac:dyDescent="0.45">
      <c r="I637" s="2">
        <v>78.3</v>
      </c>
      <c r="J637" s="2">
        <v>5.7488999999999998E-2</v>
      </c>
      <c r="K637" s="2">
        <v>3.0997799999999999E-2</v>
      </c>
      <c r="R637" s="2">
        <v>23.13</v>
      </c>
      <c r="S637" s="2">
        <v>5.6974E-4</v>
      </c>
      <c r="T637" s="2">
        <v>2.1855999999999999E-4</v>
      </c>
      <c r="V637" s="11"/>
      <c r="W637" s="6"/>
      <c r="X637" s="6">
        <v>6.18</v>
      </c>
      <c r="Y637" s="11" t="str">
        <f t="shared" si="120"/>
        <v/>
      </c>
      <c r="Z637" s="6" t="str">
        <f t="shared" si="121"/>
        <v/>
      </c>
      <c r="AA637" s="23">
        <f t="shared" si="122"/>
        <v>36.18</v>
      </c>
      <c r="AB637" t="str">
        <f t="shared" si="111"/>
        <v/>
      </c>
      <c r="AC637" t="str">
        <f t="shared" si="112"/>
        <v/>
      </c>
      <c r="AD637">
        <f t="shared" si="113"/>
        <v>7.1283999999999996E-4</v>
      </c>
      <c r="AE637" s="18" t="str">
        <f t="shared" si="114"/>
        <v/>
      </c>
      <c r="AF637" s="7" t="str">
        <f t="shared" si="115"/>
        <v/>
      </c>
      <c r="AG637" s="12">
        <f t="shared" si="116"/>
        <v>0.99608312215339745</v>
      </c>
      <c r="AI637" s="54" t="str">
        <f t="shared" si="117"/>
        <v/>
      </c>
      <c r="AJ637" s="54" t="str">
        <f t="shared" si="118"/>
        <v/>
      </c>
      <c r="AK637" s="54">
        <f t="shared" si="119"/>
        <v>0.34036276240906232</v>
      </c>
    </row>
    <row r="638" spans="9:37" x14ac:dyDescent="0.45">
      <c r="I638" s="2">
        <v>78.400000000000006</v>
      </c>
      <c r="J638" s="2">
        <v>5.8089000000000002E-2</v>
      </c>
      <c r="K638" s="2">
        <v>3.1321399999999999E-2</v>
      </c>
      <c r="R638" s="2">
        <v>23.14</v>
      </c>
      <c r="S638" s="2">
        <v>5.6972000000000001E-4</v>
      </c>
      <c r="T638" s="2">
        <v>2.1867999999999999E-4</v>
      </c>
      <c r="V638" s="11"/>
      <c r="W638" s="6"/>
      <c r="X638" s="6">
        <v>6.19</v>
      </c>
      <c r="Y638" s="11" t="str">
        <f t="shared" si="120"/>
        <v/>
      </c>
      <c r="Z638" s="6" t="str">
        <f t="shared" si="121"/>
        <v/>
      </c>
      <c r="AA638" s="23">
        <f t="shared" si="122"/>
        <v>36.19</v>
      </c>
      <c r="AB638" t="str">
        <f t="shared" si="111"/>
        <v/>
      </c>
      <c r="AC638" t="str">
        <f t="shared" si="112"/>
        <v/>
      </c>
      <c r="AD638">
        <f t="shared" si="113"/>
        <v>7.1321999999999998E-4</v>
      </c>
      <c r="AE638" s="18" t="str">
        <f t="shared" si="114"/>
        <v/>
      </c>
      <c r="AF638" s="7" t="str">
        <f t="shared" si="115"/>
        <v/>
      </c>
      <c r="AG638" s="12">
        <f t="shared" si="116"/>
        <v>0.99607602167446951</v>
      </c>
      <c r="AI638" s="54" t="str">
        <f t="shared" si="117"/>
        <v/>
      </c>
      <c r="AJ638" s="54" t="str">
        <f t="shared" si="118"/>
        <v/>
      </c>
      <c r="AK638" s="54">
        <f t="shared" si="119"/>
        <v>0.34098509719037001</v>
      </c>
    </row>
    <row r="639" spans="9:37" x14ac:dyDescent="0.45">
      <c r="I639" s="2">
        <v>78.5</v>
      </c>
      <c r="J639" s="2">
        <v>5.8688999999999998E-2</v>
      </c>
      <c r="K639" s="2">
        <v>3.1645E-2</v>
      </c>
      <c r="R639" s="2">
        <v>23.15</v>
      </c>
      <c r="S639" s="2">
        <v>5.6970000000000002E-4</v>
      </c>
      <c r="T639" s="2">
        <v>2.1880000000000001E-4</v>
      </c>
      <c r="V639" s="11"/>
      <c r="W639" s="6"/>
      <c r="X639" s="6">
        <v>6.2</v>
      </c>
      <c r="Y639" s="11" t="str">
        <f t="shared" si="120"/>
        <v/>
      </c>
      <c r="Z639" s="6" t="str">
        <f t="shared" si="121"/>
        <v/>
      </c>
      <c r="AA639" s="23">
        <f t="shared" si="122"/>
        <v>36.200000000000003</v>
      </c>
      <c r="AB639" t="str">
        <f t="shared" si="111"/>
        <v/>
      </c>
      <c r="AC639" t="str">
        <f t="shared" si="112"/>
        <v/>
      </c>
      <c r="AD639">
        <f t="shared" si="113"/>
        <v>7.136E-4</v>
      </c>
      <c r="AE639" s="18" t="str">
        <f t="shared" si="114"/>
        <v/>
      </c>
      <c r="AF639" s="7" t="str">
        <f t="shared" si="115"/>
        <v/>
      </c>
      <c r="AG639" s="12">
        <f t="shared" si="116"/>
        <v>0.99606891746106774</v>
      </c>
      <c r="AI639" s="54" t="str">
        <f t="shared" si="117"/>
        <v/>
      </c>
      <c r="AJ639" s="54" t="str">
        <f t="shared" si="118"/>
        <v/>
      </c>
      <c r="AK639" s="54">
        <f t="shared" si="119"/>
        <v>0.34160768283758486</v>
      </c>
    </row>
    <row r="640" spans="9:37" x14ac:dyDescent="0.45">
      <c r="I640" s="2">
        <v>78.599999999999994</v>
      </c>
      <c r="J640" s="2">
        <v>5.9289000000000001E-2</v>
      </c>
      <c r="K640" s="2">
        <v>3.19686E-2</v>
      </c>
      <c r="R640" s="2">
        <v>23.16</v>
      </c>
      <c r="S640" s="2">
        <v>5.6968000000000003E-4</v>
      </c>
      <c r="T640" s="2">
        <v>2.1892E-4</v>
      </c>
      <c r="V640" s="11"/>
      <c r="W640" s="6"/>
      <c r="X640" s="6">
        <v>6.21</v>
      </c>
      <c r="Y640" s="11" t="str">
        <f t="shared" si="120"/>
        <v/>
      </c>
      <c r="Z640" s="6" t="str">
        <f t="shared" si="121"/>
        <v/>
      </c>
      <c r="AA640" s="23">
        <f t="shared" si="122"/>
        <v>36.21</v>
      </c>
      <c r="AB640" t="str">
        <f t="shared" si="111"/>
        <v/>
      </c>
      <c r="AC640" t="str">
        <f t="shared" si="112"/>
        <v/>
      </c>
      <c r="AD640">
        <f t="shared" si="113"/>
        <v>7.1398000000000002E-4</v>
      </c>
      <c r="AE640" s="18" t="str">
        <f t="shared" si="114"/>
        <v/>
      </c>
      <c r="AF640" s="7" t="str">
        <f t="shared" si="115"/>
        <v/>
      </c>
      <c r="AG640" s="12">
        <f t="shared" si="116"/>
        <v>0.99606180951327272</v>
      </c>
      <c r="AI640" s="54" t="str">
        <f t="shared" si="117"/>
        <v/>
      </c>
      <c r="AJ640" s="54" t="str">
        <f t="shared" si="118"/>
        <v/>
      </c>
      <c r="AK640" s="54">
        <f t="shared" si="119"/>
        <v>0.3422305194575731</v>
      </c>
    </row>
    <row r="641" spans="9:37" x14ac:dyDescent="0.45">
      <c r="I641" s="2">
        <v>78.7</v>
      </c>
      <c r="J641" s="2">
        <v>5.9888999999999998E-2</v>
      </c>
      <c r="K641" s="2">
        <v>3.22922E-2</v>
      </c>
      <c r="R641" s="2">
        <v>23.17</v>
      </c>
      <c r="S641" s="2">
        <v>5.6966000000000004E-4</v>
      </c>
      <c r="T641" s="2">
        <v>2.1903999999999999E-4</v>
      </c>
      <c r="V641" s="11"/>
      <c r="W641" s="6"/>
      <c r="X641" s="6">
        <v>6.22</v>
      </c>
      <c r="Y641" s="11" t="str">
        <f t="shared" si="120"/>
        <v/>
      </c>
      <c r="Z641" s="6" t="str">
        <f t="shared" si="121"/>
        <v/>
      </c>
      <c r="AA641" s="23">
        <f t="shared" si="122"/>
        <v>36.22</v>
      </c>
      <c r="AB641" t="str">
        <f t="shared" si="111"/>
        <v/>
      </c>
      <c r="AC641" t="str">
        <f t="shared" si="112"/>
        <v/>
      </c>
      <c r="AD641">
        <f t="shared" si="113"/>
        <v>7.1436000000000004E-4</v>
      </c>
      <c r="AE641" s="18" t="str">
        <f t="shared" si="114"/>
        <v/>
      </c>
      <c r="AF641" s="7" t="str">
        <f t="shared" si="115"/>
        <v/>
      </c>
      <c r="AG641" s="12">
        <f t="shared" si="116"/>
        <v>0.99605469783116518</v>
      </c>
      <c r="AI641" s="54" t="str">
        <f t="shared" si="117"/>
        <v/>
      </c>
      <c r="AJ641" s="54" t="str">
        <f t="shared" si="118"/>
        <v/>
      </c>
      <c r="AK641" s="54">
        <f t="shared" si="119"/>
        <v>0.34285360715724744</v>
      </c>
    </row>
    <row r="642" spans="9:37" x14ac:dyDescent="0.45">
      <c r="I642" s="2">
        <v>78.8</v>
      </c>
      <c r="J642" s="2">
        <v>6.0489000000000001E-2</v>
      </c>
      <c r="K642" s="2">
        <v>3.26158E-2</v>
      </c>
      <c r="R642" s="2">
        <v>23.18</v>
      </c>
      <c r="S642" s="2">
        <v>5.6963999999999995E-4</v>
      </c>
      <c r="T642" s="2">
        <v>2.1916000000000001E-4</v>
      </c>
      <c r="V642" s="11"/>
      <c r="W642" s="6"/>
      <c r="X642" s="6">
        <v>6.23</v>
      </c>
      <c r="Y642" s="11" t="str">
        <f t="shared" si="120"/>
        <v/>
      </c>
      <c r="Z642" s="6" t="str">
        <f t="shared" si="121"/>
        <v/>
      </c>
      <c r="AA642" s="23">
        <f t="shared" si="122"/>
        <v>36.230000000000004</v>
      </c>
      <c r="AB642" t="str">
        <f t="shared" si="111"/>
        <v/>
      </c>
      <c r="AC642" t="str">
        <f t="shared" si="112"/>
        <v/>
      </c>
      <c r="AD642">
        <f t="shared" si="113"/>
        <v>7.1473999999999995E-4</v>
      </c>
      <c r="AE642" s="18" t="str">
        <f t="shared" si="114"/>
        <v/>
      </c>
      <c r="AF642" s="7" t="str">
        <f t="shared" si="115"/>
        <v/>
      </c>
      <c r="AG642" s="12">
        <f t="shared" si="116"/>
        <v>0.99604758241482572</v>
      </c>
      <c r="AI642" s="54" t="str">
        <f t="shared" si="117"/>
        <v/>
      </c>
      <c r="AJ642" s="54" t="str">
        <f t="shared" si="118"/>
        <v/>
      </c>
      <c r="AK642" s="54">
        <f t="shared" si="119"/>
        <v>0.34347694604356693</v>
      </c>
    </row>
    <row r="643" spans="9:37" x14ac:dyDescent="0.45">
      <c r="I643" s="2">
        <v>78.900000000000006</v>
      </c>
      <c r="J643" s="2">
        <v>6.1088999999999997E-2</v>
      </c>
      <c r="K643" s="2">
        <v>3.2939400000000001E-2</v>
      </c>
      <c r="R643" s="2">
        <v>23.19</v>
      </c>
      <c r="S643" s="2">
        <v>5.6961999999999996E-4</v>
      </c>
      <c r="T643" s="2">
        <v>2.1928E-4</v>
      </c>
      <c r="V643" s="11"/>
      <c r="W643" s="6"/>
      <c r="X643" s="6">
        <v>6.24</v>
      </c>
      <c r="Y643" s="11" t="str">
        <f t="shared" si="120"/>
        <v/>
      </c>
      <c r="Z643" s="6" t="str">
        <f t="shared" si="121"/>
        <v/>
      </c>
      <c r="AA643" s="23">
        <f t="shared" si="122"/>
        <v>36.24</v>
      </c>
      <c r="AB643" t="str">
        <f t="shared" si="111"/>
        <v/>
      </c>
      <c r="AC643" t="str">
        <f t="shared" si="112"/>
        <v/>
      </c>
      <c r="AD643">
        <f t="shared" si="113"/>
        <v>7.1511999999999997E-4</v>
      </c>
      <c r="AE643" s="18" t="str">
        <f t="shared" si="114"/>
        <v/>
      </c>
      <c r="AF643" s="7" t="str">
        <f t="shared" si="115"/>
        <v/>
      </c>
      <c r="AG643" s="12">
        <f t="shared" si="116"/>
        <v>0.99604046326433515</v>
      </c>
      <c r="AI643" s="54" t="str">
        <f t="shared" si="117"/>
        <v/>
      </c>
      <c r="AJ643" s="54" t="str">
        <f t="shared" si="118"/>
        <v/>
      </c>
      <c r="AK643" s="54">
        <f t="shared" si="119"/>
        <v>0.34410053622353698</v>
      </c>
    </row>
    <row r="644" spans="9:37" x14ac:dyDescent="0.45">
      <c r="I644" s="2">
        <v>79</v>
      </c>
      <c r="J644" s="2">
        <v>6.1689000000000001E-2</v>
      </c>
      <c r="K644" s="2">
        <v>3.3263000000000001E-2</v>
      </c>
      <c r="R644" s="2">
        <v>23.2</v>
      </c>
      <c r="S644" s="2">
        <v>5.6959999999999997E-4</v>
      </c>
      <c r="T644" s="2">
        <v>2.1939999999999999E-4</v>
      </c>
      <c r="V644" s="11"/>
      <c r="W644" s="6"/>
      <c r="X644" s="6">
        <v>6.25</v>
      </c>
      <c r="Y644" s="11" t="str">
        <f t="shared" si="120"/>
        <v/>
      </c>
      <c r="Z644" s="6" t="str">
        <f t="shared" si="121"/>
        <v/>
      </c>
      <c r="AA644" s="23">
        <f t="shared" si="122"/>
        <v>36.25</v>
      </c>
      <c r="AB644" t="str">
        <f t="shared" si="111"/>
        <v/>
      </c>
      <c r="AC644" t="str">
        <f t="shared" si="112"/>
        <v/>
      </c>
      <c r="AD644">
        <f t="shared" si="113"/>
        <v>7.1549999999999999E-4</v>
      </c>
      <c r="AE644" s="18" t="str">
        <f t="shared" si="114"/>
        <v/>
      </c>
      <c r="AF644" s="7" t="str">
        <f t="shared" si="115"/>
        <v/>
      </c>
      <c r="AG644" s="12">
        <f t="shared" si="116"/>
        <v>0.9960333403797742</v>
      </c>
      <c r="AI644" s="54" t="str">
        <f t="shared" si="117"/>
        <v/>
      </c>
      <c r="AJ644" s="54" t="str">
        <f t="shared" si="118"/>
        <v/>
      </c>
      <c r="AK644" s="54">
        <f t="shared" si="119"/>
        <v>0.3447243778042095</v>
      </c>
    </row>
    <row r="645" spans="9:37" x14ac:dyDescent="0.45">
      <c r="I645" s="2">
        <v>79.099999999999994</v>
      </c>
      <c r="J645" s="2">
        <v>6.2347199999999998E-2</v>
      </c>
      <c r="K645" s="2">
        <v>3.3621600000000001E-2</v>
      </c>
      <c r="R645" s="2">
        <v>23.21</v>
      </c>
      <c r="S645" s="2">
        <v>5.6957999999999998E-4</v>
      </c>
      <c r="T645" s="2">
        <v>2.1952000000000001E-4</v>
      </c>
      <c r="V645" s="11"/>
      <c r="W645" s="6"/>
      <c r="X645" s="6">
        <v>6.26</v>
      </c>
      <c r="Y645" s="11" t="str">
        <f t="shared" si="120"/>
        <v/>
      </c>
      <c r="Z645" s="6" t="str">
        <f t="shared" si="121"/>
        <v/>
      </c>
      <c r="AA645" s="23">
        <f t="shared" si="122"/>
        <v>36.26</v>
      </c>
      <c r="AB645" t="str">
        <f t="shared" si="111"/>
        <v/>
      </c>
      <c r="AC645" t="str">
        <f t="shared" si="112"/>
        <v/>
      </c>
      <c r="AD645">
        <f t="shared" si="113"/>
        <v>7.1588000000000001E-4</v>
      </c>
      <c r="AE645" s="18" t="str">
        <f t="shared" si="114"/>
        <v/>
      </c>
      <c r="AF645" s="7" t="str">
        <f t="shared" si="115"/>
        <v/>
      </c>
      <c r="AG645" s="12">
        <f t="shared" si="116"/>
        <v>0.9960262137612238</v>
      </c>
      <c r="AI645" s="54" t="str">
        <f t="shared" si="117"/>
        <v/>
      </c>
      <c r="AJ645" s="54" t="str">
        <f t="shared" si="118"/>
        <v/>
      </c>
      <c r="AK645" s="54">
        <f t="shared" si="119"/>
        <v>0.34534847089268289</v>
      </c>
    </row>
    <row r="646" spans="9:37" x14ac:dyDescent="0.45">
      <c r="I646" s="2">
        <v>79.2</v>
      </c>
      <c r="J646" s="2">
        <v>6.3005400000000003E-2</v>
      </c>
      <c r="K646" s="2">
        <v>3.3980200000000002E-2</v>
      </c>
      <c r="R646" s="2">
        <v>23.22</v>
      </c>
      <c r="S646" s="2">
        <v>5.6955999999999999E-4</v>
      </c>
      <c r="T646" s="2">
        <v>2.1964E-4</v>
      </c>
      <c r="V646" s="11"/>
      <c r="W646" s="6"/>
      <c r="X646" s="6">
        <v>6.2700000000000005</v>
      </c>
      <c r="Y646" s="11" t="str">
        <f t="shared" si="120"/>
        <v/>
      </c>
      <c r="Z646" s="6" t="str">
        <f t="shared" si="121"/>
        <v/>
      </c>
      <c r="AA646" s="23">
        <f t="shared" si="122"/>
        <v>36.270000000000003</v>
      </c>
      <c r="AB646" t="str">
        <f t="shared" si="111"/>
        <v/>
      </c>
      <c r="AC646" t="str">
        <f t="shared" si="112"/>
        <v/>
      </c>
      <c r="AD646">
        <f t="shared" si="113"/>
        <v>7.1626000000000003E-4</v>
      </c>
      <c r="AE646" s="18" t="str">
        <f t="shared" si="114"/>
        <v/>
      </c>
      <c r="AF646" s="7" t="str">
        <f t="shared" si="115"/>
        <v/>
      </c>
      <c r="AG646" s="12">
        <f t="shared" si="116"/>
        <v>0.99601908340876477</v>
      </c>
      <c r="AI646" s="54" t="str">
        <f t="shared" si="117"/>
        <v/>
      </c>
      <c r="AJ646" s="54" t="str">
        <f t="shared" si="118"/>
        <v/>
      </c>
      <c r="AK646" s="54">
        <f t="shared" si="119"/>
        <v>0.34597281559610188</v>
      </c>
    </row>
    <row r="647" spans="9:37" x14ac:dyDescent="0.45">
      <c r="I647" s="2">
        <v>79.3</v>
      </c>
      <c r="J647" s="2">
        <v>6.3663600000000001E-2</v>
      </c>
      <c r="K647" s="2">
        <v>3.4338800000000003E-2</v>
      </c>
      <c r="R647" s="2">
        <v>23.23</v>
      </c>
      <c r="S647" s="2">
        <v>5.6954E-4</v>
      </c>
      <c r="T647" s="2">
        <v>2.1976E-4</v>
      </c>
      <c r="V647" s="11"/>
      <c r="W647" s="6"/>
      <c r="X647" s="6">
        <v>6.28</v>
      </c>
      <c r="Y647" s="11" t="str">
        <f t="shared" si="120"/>
        <v/>
      </c>
      <c r="Z647" s="6" t="str">
        <f t="shared" si="121"/>
        <v/>
      </c>
      <c r="AA647" s="23">
        <f t="shared" si="122"/>
        <v>36.28</v>
      </c>
      <c r="AB647" t="str">
        <f t="shared" si="111"/>
        <v/>
      </c>
      <c r="AC647" t="str">
        <f t="shared" si="112"/>
        <v/>
      </c>
      <c r="AD647">
        <f t="shared" si="113"/>
        <v>7.1664000000000005E-4</v>
      </c>
      <c r="AE647" s="18" t="str">
        <f t="shared" si="114"/>
        <v/>
      </c>
      <c r="AF647" s="7" t="str">
        <f t="shared" si="115"/>
        <v/>
      </c>
      <c r="AG647" s="12">
        <f t="shared" si="116"/>
        <v>0.99601194932247794</v>
      </c>
      <c r="AI647" s="54" t="str">
        <f t="shared" si="117"/>
        <v/>
      </c>
      <c r="AJ647" s="54" t="str">
        <f t="shared" si="118"/>
        <v/>
      </c>
      <c r="AK647" s="54">
        <f t="shared" si="119"/>
        <v>0.34659741202165778</v>
      </c>
    </row>
    <row r="648" spans="9:37" x14ac:dyDescent="0.45">
      <c r="I648" s="2">
        <v>79.400000000000006</v>
      </c>
      <c r="J648" s="2">
        <v>6.4321799999999998E-2</v>
      </c>
      <c r="K648" s="2">
        <v>3.4697400000000003E-2</v>
      </c>
      <c r="R648" s="2">
        <v>23.24</v>
      </c>
      <c r="S648" s="2">
        <v>5.6952000000000001E-4</v>
      </c>
      <c r="T648" s="2">
        <v>2.1987999999999999E-4</v>
      </c>
      <c r="V648" s="11"/>
      <c r="W648" s="6"/>
      <c r="X648" s="6">
        <v>6.29</v>
      </c>
      <c r="Y648" s="11" t="str">
        <f t="shared" si="120"/>
        <v/>
      </c>
      <c r="Z648" s="6" t="str">
        <f t="shared" si="121"/>
        <v/>
      </c>
      <c r="AA648" s="23">
        <f t="shared" si="122"/>
        <v>36.29</v>
      </c>
      <c r="AB648" t="str">
        <f t="shared" si="111"/>
        <v/>
      </c>
      <c r="AC648" t="str">
        <f t="shared" si="112"/>
        <v/>
      </c>
      <c r="AD648">
        <f t="shared" si="113"/>
        <v>7.1701999999999996E-4</v>
      </c>
      <c r="AE648" s="18" t="str">
        <f t="shared" si="114"/>
        <v/>
      </c>
      <c r="AF648" s="7" t="str">
        <f t="shared" si="115"/>
        <v/>
      </c>
      <c r="AG648" s="12">
        <f t="shared" si="116"/>
        <v>0.99600481150244435</v>
      </c>
      <c r="AI648" s="54" t="str">
        <f t="shared" si="117"/>
        <v/>
      </c>
      <c r="AJ648" s="54" t="str">
        <f t="shared" si="118"/>
        <v/>
      </c>
      <c r="AK648" s="54">
        <f t="shared" si="119"/>
        <v>0.34722226027658842</v>
      </c>
    </row>
    <row r="649" spans="9:37" x14ac:dyDescent="0.45">
      <c r="I649" s="2">
        <v>79.5</v>
      </c>
      <c r="J649" s="2">
        <v>6.4979999999999996E-2</v>
      </c>
      <c r="K649" s="2">
        <v>3.5055999999999997E-2</v>
      </c>
      <c r="R649" s="2">
        <v>23.25</v>
      </c>
      <c r="S649" s="2">
        <v>5.6950000000000002E-4</v>
      </c>
      <c r="T649" s="2">
        <v>2.2000000000000001E-4</v>
      </c>
      <c r="V649" s="11"/>
      <c r="W649" s="6"/>
      <c r="X649" s="6">
        <v>6.3</v>
      </c>
      <c r="Y649" s="11" t="str">
        <f t="shared" si="120"/>
        <v/>
      </c>
      <c r="Z649" s="6" t="str">
        <f t="shared" si="121"/>
        <v/>
      </c>
      <c r="AA649" s="23">
        <f t="shared" si="122"/>
        <v>36.299999999999997</v>
      </c>
      <c r="AB649" t="str">
        <f t="shared" si="111"/>
        <v/>
      </c>
      <c r="AC649" t="str">
        <f t="shared" si="112"/>
        <v/>
      </c>
      <c r="AD649">
        <f t="shared" si="113"/>
        <v>7.1739999999999998E-4</v>
      </c>
      <c r="AE649" s="18" t="str">
        <f t="shared" si="114"/>
        <v/>
      </c>
      <c r="AF649" s="7" t="str">
        <f t="shared" si="115"/>
        <v/>
      </c>
      <c r="AG649" s="12">
        <f t="shared" si="116"/>
        <v>0.99599766994874495</v>
      </c>
      <c r="AI649" s="54" t="str">
        <f t="shared" si="117"/>
        <v/>
      </c>
      <c r="AJ649" s="54" t="str">
        <f t="shared" si="118"/>
        <v/>
      </c>
      <c r="AK649" s="54">
        <f t="shared" si="119"/>
        <v>0.34784736046817821</v>
      </c>
    </row>
    <row r="650" spans="9:37" x14ac:dyDescent="0.45">
      <c r="I650" s="2">
        <v>79.599999999999994</v>
      </c>
      <c r="J650" s="2">
        <v>6.5638199999999994E-2</v>
      </c>
      <c r="K650" s="2">
        <v>3.5414599999999997E-2</v>
      </c>
      <c r="R650" s="2">
        <v>23.26</v>
      </c>
      <c r="S650" s="2">
        <v>5.6948000000000003E-4</v>
      </c>
      <c r="T650" s="2">
        <v>2.2012E-4</v>
      </c>
      <c r="V650" s="11"/>
      <c r="W650" s="6"/>
      <c r="X650" s="6">
        <v>6.3100000000000005</v>
      </c>
      <c r="Y650" s="11" t="str">
        <f t="shared" si="120"/>
        <v/>
      </c>
      <c r="Z650" s="6" t="str">
        <f t="shared" si="121"/>
        <v/>
      </c>
      <c r="AA650" s="23">
        <f t="shared" si="122"/>
        <v>36.31</v>
      </c>
      <c r="AB650" t="str">
        <f t="shared" si="111"/>
        <v/>
      </c>
      <c r="AC650" t="str">
        <f t="shared" si="112"/>
        <v/>
      </c>
      <c r="AD650">
        <f t="shared" si="113"/>
        <v>7.1778E-4</v>
      </c>
      <c r="AE650" s="18" t="str">
        <f t="shared" si="114"/>
        <v/>
      </c>
      <c r="AF650" s="7" t="str">
        <f t="shared" si="115"/>
        <v/>
      </c>
      <c r="AG650" s="12">
        <f t="shared" si="116"/>
        <v>0.99599052466146076</v>
      </c>
      <c r="AI650" s="54" t="str">
        <f t="shared" si="117"/>
        <v/>
      </c>
      <c r="AJ650" s="54" t="str">
        <f t="shared" si="118"/>
        <v/>
      </c>
      <c r="AK650" s="54">
        <f t="shared" si="119"/>
        <v>0.34847271270375796</v>
      </c>
    </row>
    <row r="651" spans="9:37" x14ac:dyDescent="0.45">
      <c r="I651" s="2">
        <v>79.7</v>
      </c>
      <c r="J651" s="2">
        <v>6.6296400000000005E-2</v>
      </c>
      <c r="K651" s="2">
        <v>3.5773199999999998E-2</v>
      </c>
      <c r="R651" s="2">
        <v>23.27</v>
      </c>
      <c r="S651" s="2">
        <v>5.6946000000000004E-4</v>
      </c>
      <c r="T651" s="2">
        <v>2.2023999999999999E-4</v>
      </c>
      <c r="V651" s="11"/>
      <c r="W651" s="6"/>
      <c r="X651" s="6">
        <v>6.32</v>
      </c>
      <c r="Y651" s="11" t="str">
        <f t="shared" si="120"/>
        <v/>
      </c>
      <c r="Z651" s="6" t="str">
        <f t="shared" si="121"/>
        <v/>
      </c>
      <c r="AA651" s="23">
        <f t="shared" si="122"/>
        <v>36.32</v>
      </c>
      <c r="AB651" t="str">
        <f t="shared" si="111"/>
        <v/>
      </c>
      <c r="AC651" t="str">
        <f t="shared" si="112"/>
        <v/>
      </c>
      <c r="AD651">
        <f t="shared" si="113"/>
        <v>7.1816000000000002E-4</v>
      </c>
      <c r="AE651" s="18" t="str">
        <f t="shared" si="114"/>
        <v/>
      </c>
      <c r="AF651" s="7" t="str">
        <f t="shared" si="115"/>
        <v/>
      </c>
      <c r="AG651" s="12">
        <f t="shared" si="116"/>
        <v>0.99598337564067285</v>
      </c>
      <c r="AI651" s="54" t="str">
        <f t="shared" si="117"/>
        <v/>
      </c>
      <c r="AJ651" s="54" t="str">
        <f t="shared" si="118"/>
        <v/>
      </c>
      <c r="AK651" s="54">
        <f t="shared" si="119"/>
        <v>0.34909831709070521</v>
      </c>
    </row>
    <row r="652" spans="9:37" x14ac:dyDescent="0.45">
      <c r="I652" s="2">
        <v>79.8</v>
      </c>
      <c r="J652" s="2">
        <v>6.6954600000000003E-2</v>
      </c>
      <c r="K652" s="2">
        <v>3.6131799999999999E-2</v>
      </c>
      <c r="R652" s="2">
        <v>23.28</v>
      </c>
      <c r="S652" s="2">
        <v>5.6944000000000005E-4</v>
      </c>
      <c r="T652" s="2">
        <v>2.2036000000000001E-4</v>
      </c>
      <c r="V652" s="11"/>
      <c r="W652" s="6"/>
      <c r="X652" s="6">
        <v>6.33</v>
      </c>
      <c r="Y652" s="11" t="str">
        <f t="shared" si="120"/>
        <v/>
      </c>
      <c r="Z652" s="6" t="str">
        <f t="shared" si="121"/>
        <v/>
      </c>
      <c r="AA652" s="23">
        <f t="shared" si="122"/>
        <v>36.33</v>
      </c>
      <c r="AB652" t="str">
        <f t="shared" si="111"/>
        <v/>
      </c>
      <c r="AC652" t="str">
        <f t="shared" si="112"/>
        <v/>
      </c>
      <c r="AD652">
        <f t="shared" si="113"/>
        <v>7.1854000000000004E-4</v>
      </c>
      <c r="AE652" s="18" t="str">
        <f t="shared" si="114"/>
        <v/>
      </c>
      <c r="AF652" s="7" t="str">
        <f t="shared" si="115"/>
        <v/>
      </c>
      <c r="AG652" s="12">
        <f t="shared" si="116"/>
        <v>0.99597622288646237</v>
      </c>
      <c r="AI652" s="54" t="str">
        <f t="shared" si="117"/>
        <v/>
      </c>
      <c r="AJ652" s="54" t="str">
        <f t="shared" si="118"/>
        <v/>
      </c>
      <c r="AK652" s="54">
        <f t="shared" si="119"/>
        <v>0.34972417373644399</v>
      </c>
    </row>
    <row r="653" spans="9:37" x14ac:dyDescent="0.45">
      <c r="I653" s="2">
        <v>79.900000000000006</v>
      </c>
      <c r="J653" s="2">
        <v>6.7612800000000001E-2</v>
      </c>
      <c r="K653" s="2">
        <v>3.6490399999999999E-2</v>
      </c>
      <c r="R653" s="2">
        <v>23.29</v>
      </c>
      <c r="S653" s="2">
        <v>5.6941999999999995E-4</v>
      </c>
      <c r="T653" s="2">
        <v>2.2048E-4</v>
      </c>
      <c r="V653" s="11"/>
      <c r="W653" s="6"/>
      <c r="X653" s="6">
        <v>6.34</v>
      </c>
      <c r="Y653" s="11" t="str">
        <f t="shared" si="120"/>
        <v/>
      </c>
      <c r="Z653" s="6" t="str">
        <f t="shared" si="121"/>
        <v/>
      </c>
      <c r="AA653" s="23">
        <f t="shared" si="122"/>
        <v>36.340000000000003</v>
      </c>
      <c r="AB653" t="str">
        <f t="shared" si="111"/>
        <v/>
      </c>
      <c r="AC653" t="str">
        <f t="shared" si="112"/>
        <v/>
      </c>
      <c r="AD653">
        <f t="shared" si="113"/>
        <v>7.1891999999999995E-4</v>
      </c>
      <c r="AE653" s="18" t="str">
        <f t="shared" si="114"/>
        <v/>
      </c>
      <c r="AF653" s="7" t="str">
        <f t="shared" si="115"/>
        <v/>
      </c>
      <c r="AG653" s="12">
        <f t="shared" si="116"/>
        <v>0.99596906639891047</v>
      </c>
      <c r="AI653" s="54" t="str">
        <f t="shared" si="117"/>
        <v/>
      </c>
      <c r="AJ653" s="54" t="str">
        <f t="shared" si="118"/>
        <v/>
      </c>
      <c r="AK653" s="54">
        <f t="shared" si="119"/>
        <v>0.35035028274844504</v>
      </c>
    </row>
    <row r="654" spans="9:37" x14ac:dyDescent="0.45">
      <c r="I654" s="2">
        <v>80</v>
      </c>
      <c r="J654" s="2">
        <v>6.8270999999999998E-2</v>
      </c>
      <c r="K654" s="2">
        <v>3.6849E-2</v>
      </c>
      <c r="R654" s="2">
        <v>23.3</v>
      </c>
      <c r="S654" s="2">
        <v>5.6939999999999996E-4</v>
      </c>
      <c r="T654" s="2">
        <v>2.206E-4</v>
      </c>
      <c r="V654" s="11"/>
      <c r="W654" s="6"/>
      <c r="X654" s="6">
        <v>6.3500000000000005</v>
      </c>
      <c r="Y654" s="11" t="str">
        <f t="shared" si="120"/>
        <v/>
      </c>
      <c r="Z654" s="6" t="str">
        <f t="shared" si="121"/>
        <v/>
      </c>
      <c r="AA654" s="23">
        <f t="shared" si="122"/>
        <v>36.35</v>
      </c>
      <c r="AB654" t="str">
        <f t="shared" si="111"/>
        <v/>
      </c>
      <c r="AC654" t="str">
        <f t="shared" si="112"/>
        <v/>
      </c>
      <c r="AD654">
        <f t="shared" si="113"/>
        <v>7.1929999999999997E-4</v>
      </c>
      <c r="AE654" s="18" t="str">
        <f t="shared" si="114"/>
        <v/>
      </c>
      <c r="AF654" s="7" t="str">
        <f t="shared" si="115"/>
        <v/>
      </c>
      <c r="AG654" s="12">
        <f t="shared" si="116"/>
        <v>0.99596190617809832</v>
      </c>
      <c r="AI654" s="54" t="str">
        <f t="shared" si="117"/>
        <v/>
      </c>
      <c r="AJ654" s="54" t="str">
        <f t="shared" si="118"/>
        <v/>
      </c>
      <c r="AK654" s="54">
        <f t="shared" si="119"/>
        <v>0.35097664423422564</v>
      </c>
    </row>
    <row r="655" spans="9:37" x14ac:dyDescent="0.45">
      <c r="I655" s="2">
        <v>80.099999999999994</v>
      </c>
      <c r="J655" s="2">
        <v>6.8991999999999998E-2</v>
      </c>
      <c r="K655" s="2">
        <v>3.7246399999999999E-2</v>
      </c>
      <c r="R655" s="2">
        <v>23.31</v>
      </c>
      <c r="S655" s="2">
        <v>5.6937999999999997E-4</v>
      </c>
      <c r="T655" s="2">
        <v>2.2071999999999999E-4</v>
      </c>
      <c r="V655" s="11"/>
      <c r="W655" s="6"/>
      <c r="X655" s="6">
        <v>6.36</v>
      </c>
      <c r="Y655" s="11" t="str">
        <f t="shared" si="120"/>
        <v/>
      </c>
      <c r="Z655" s="6" t="str">
        <f t="shared" si="121"/>
        <v/>
      </c>
      <c r="AA655" s="23">
        <f t="shared" si="122"/>
        <v>36.36</v>
      </c>
      <c r="AB655" t="str">
        <f t="shared" si="111"/>
        <v/>
      </c>
      <c r="AC655" t="str">
        <f t="shared" si="112"/>
        <v/>
      </c>
      <c r="AD655">
        <f t="shared" si="113"/>
        <v>7.1967999999999999E-4</v>
      </c>
      <c r="AE655" s="18" t="str">
        <f t="shared" si="114"/>
        <v/>
      </c>
      <c r="AF655" s="7" t="str">
        <f t="shared" si="115"/>
        <v/>
      </c>
      <c r="AG655" s="12">
        <f t="shared" si="116"/>
        <v>0.99595474222410718</v>
      </c>
      <c r="AI655" s="54" t="str">
        <f t="shared" si="117"/>
        <v/>
      </c>
      <c r="AJ655" s="54" t="str">
        <f t="shared" si="118"/>
        <v/>
      </c>
      <c r="AK655" s="54">
        <f t="shared" si="119"/>
        <v>0.35160325830134981</v>
      </c>
    </row>
    <row r="656" spans="9:37" x14ac:dyDescent="0.45">
      <c r="I656" s="2">
        <v>80.2</v>
      </c>
      <c r="J656" s="2">
        <v>6.9712999999999997E-2</v>
      </c>
      <c r="K656" s="2">
        <v>3.7643799999999998E-2</v>
      </c>
      <c r="R656" s="2">
        <v>23.32</v>
      </c>
      <c r="S656" s="2">
        <v>5.6935999999999998E-4</v>
      </c>
      <c r="T656" s="2">
        <v>2.2084000000000001E-4</v>
      </c>
      <c r="V656" s="11"/>
      <c r="W656" s="6"/>
      <c r="X656" s="6">
        <v>6.37</v>
      </c>
      <c r="Y656" s="11" t="str">
        <f t="shared" si="120"/>
        <v/>
      </c>
      <c r="Z656" s="6" t="str">
        <f t="shared" si="121"/>
        <v/>
      </c>
      <c r="AA656" s="23">
        <f t="shared" si="122"/>
        <v>36.369999999999997</v>
      </c>
      <c r="AB656" t="str">
        <f t="shared" si="111"/>
        <v/>
      </c>
      <c r="AC656" t="str">
        <f t="shared" si="112"/>
        <v/>
      </c>
      <c r="AD656">
        <f t="shared" si="113"/>
        <v>7.2006000000000001E-4</v>
      </c>
      <c r="AE656" s="18" t="str">
        <f t="shared" si="114"/>
        <v/>
      </c>
      <c r="AF656" s="7" t="str">
        <f t="shared" si="115"/>
        <v/>
      </c>
      <c r="AG656" s="12">
        <f t="shared" si="116"/>
        <v>0.99594757453701832</v>
      </c>
      <c r="AI656" s="54" t="str">
        <f t="shared" si="117"/>
        <v/>
      </c>
      <c r="AJ656" s="54" t="str">
        <f t="shared" si="118"/>
        <v/>
      </c>
      <c r="AK656" s="54">
        <f t="shared" si="119"/>
        <v>0.35223012505742818</v>
      </c>
    </row>
    <row r="657" spans="9:37" x14ac:dyDescent="0.45">
      <c r="I657" s="2">
        <v>80.3</v>
      </c>
      <c r="J657" s="2">
        <v>7.0433999999999997E-2</v>
      </c>
      <c r="K657" s="2">
        <v>3.8041199999999997E-2</v>
      </c>
      <c r="R657" s="2">
        <v>23.33</v>
      </c>
      <c r="S657" s="2">
        <v>5.6933999999999999E-4</v>
      </c>
      <c r="T657" s="2">
        <v>2.2096E-4</v>
      </c>
      <c r="V657" s="11"/>
      <c r="W657" s="6"/>
      <c r="X657" s="6">
        <v>6.38</v>
      </c>
      <c r="Y657" s="11" t="str">
        <f t="shared" si="120"/>
        <v/>
      </c>
      <c r="Z657" s="6" t="str">
        <f t="shared" si="121"/>
        <v/>
      </c>
      <c r="AA657" s="23">
        <f t="shared" si="122"/>
        <v>36.380000000000003</v>
      </c>
      <c r="AB657" t="str">
        <f t="shared" si="111"/>
        <v/>
      </c>
      <c r="AC657" t="str">
        <f t="shared" si="112"/>
        <v/>
      </c>
      <c r="AD657">
        <f t="shared" si="113"/>
        <v>7.2044000000000003E-4</v>
      </c>
      <c r="AE657" s="18" t="str">
        <f t="shared" si="114"/>
        <v/>
      </c>
      <c r="AF657" s="7" t="str">
        <f t="shared" si="115"/>
        <v/>
      </c>
      <c r="AG657" s="12">
        <f t="shared" si="116"/>
        <v>0.99594040311691312</v>
      </c>
      <c r="AI657" s="54" t="str">
        <f t="shared" si="117"/>
        <v/>
      </c>
      <c r="AJ657" s="54" t="str">
        <f t="shared" si="118"/>
        <v/>
      </c>
      <c r="AK657" s="54">
        <f t="shared" si="119"/>
        <v>0.35285724461011814</v>
      </c>
    </row>
    <row r="658" spans="9:37" x14ac:dyDescent="0.45">
      <c r="I658" s="2">
        <v>80.400000000000006</v>
      </c>
      <c r="J658" s="2">
        <v>7.1154999999999996E-2</v>
      </c>
      <c r="K658" s="2">
        <v>3.8438600000000003E-2</v>
      </c>
      <c r="R658" s="2">
        <v>23.34</v>
      </c>
      <c r="S658" s="2">
        <v>5.6932E-4</v>
      </c>
      <c r="T658" s="2">
        <v>2.2107999999999999E-4</v>
      </c>
      <c r="V658" s="11"/>
      <c r="W658" s="6"/>
      <c r="X658" s="6">
        <v>6.3900000000000006</v>
      </c>
      <c r="Y658" s="11" t="str">
        <f t="shared" si="120"/>
        <v/>
      </c>
      <c r="Z658" s="6" t="str">
        <f t="shared" si="121"/>
        <v/>
      </c>
      <c r="AA658" s="23">
        <f t="shared" si="122"/>
        <v>36.39</v>
      </c>
      <c r="AB658" t="str">
        <f t="shared" si="111"/>
        <v/>
      </c>
      <c r="AC658" t="str">
        <f t="shared" si="112"/>
        <v/>
      </c>
      <c r="AD658">
        <f t="shared" si="113"/>
        <v>7.2081999999999995E-4</v>
      </c>
      <c r="AE658" s="18" t="str">
        <f t="shared" si="114"/>
        <v/>
      </c>
      <c r="AF658" s="7" t="str">
        <f t="shared" si="115"/>
        <v/>
      </c>
      <c r="AG658" s="12">
        <f t="shared" si="116"/>
        <v>0.99593322796387296</v>
      </c>
      <c r="AI658" s="54" t="str">
        <f t="shared" si="117"/>
        <v/>
      </c>
      <c r="AJ658" s="54" t="str">
        <f t="shared" si="118"/>
        <v/>
      </c>
      <c r="AK658" s="54">
        <f t="shared" si="119"/>
        <v>0.35348461706712375</v>
      </c>
    </row>
    <row r="659" spans="9:37" x14ac:dyDescent="0.45">
      <c r="I659" s="2">
        <v>80.5</v>
      </c>
      <c r="J659" s="2">
        <v>7.1875999999999995E-2</v>
      </c>
      <c r="K659" s="2">
        <v>3.8836000000000002E-2</v>
      </c>
      <c r="R659" s="2">
        <v>23.35</v>
      </c>
      <c r="S659" s="2">
        <v>5.6930000000000001E-4</v>
      </c>
      <c r="T659" s="2">
        <v>2.2120000000000001E-4</v>
      </c>
      <c r="V659" s="11"/>
      <c r="W659" s="6"/>
      <c r="X659" s="6">
        <v>6.4</v>
      </c>
      <c r="Y659" s="11" t="str">
        <f t="shared" si="120"/>
        <v/>
      </c>
      <c r="Z659" s="6" t="str">
        <f t="shared" si="121"/>
        <v/>
      </c>
      <c r="AA659" s="23">
        <f t="shared" si="122"/>
        <v>36.4</v>
      </c>
      <c r="AB659" t="str">
        <f t="shared" ref="AB659:AB722" si="123">IF(Y659="","",VLOOKUP(Y659,Table_1,2))</f>
        <v/>
      </c>
      <c r="AC659" t="str">
        <f t="shared" ref="AC659:AC722" si="124">IF(Z659="","",VLOOKUP(Z659,Table_2,2))</f>
        <v/>
      </c>
      <c r="AD659">
        <f t="shared" ref="AD659:AD722" si="125">IF(AA659="","",VLOOKUP(AA659,Table_3,2))</f>
        <v>7.2119999999999997E-4</v>
      </c>
      <c r="AE659" s="18" t="str">
        <f t="shared" si="114"/>
        <v/>
      </c>
      <c r="AF659" s="7" t="str">
        <f t="shared" si="115"/>
        <v/>
      </c>
      <c r="AG659" s="12">
        <f t="shared" si="116"/>
        <v>0.9959260490779791</v>
      </c>
      <c r="AI659" s="54" t="str">
        <f t="shared" si="117"/>
        <v/>
      </c>
      <c r="AJ659" s="54" t="str">
        <f t="shared" si="118"/>
        <v/>
      </c>
      <c r="AK659" s="54">
        <f t="shared" si="119"/>
        <v>0.35411224253619583</v>
      </c>
    </row>
    <row r="660" spans="9:37" x14ac:dyDescent="0.45">
      <c r="I660" s="2">
        <v>80.599999999999994</v>
      </c>
      <c r="J660" s="2">
        <v>7.2596999999999995E-2</v>
      </c>
      <c r="K660" s="2">
        <v>3.9233400000000002E-2</v>
      </c>
      <c r="R660" s="2">
        <v>23.36</v>
      </c>
      <c r="S660" s="2">
        <v>5.6928000000000002E-4</v>
      </c>
      <c r="T660" s="2">
        <v>2.2132E-4</v>
      </c>
      <c r="V660" s="11"/>
      <c r="W660" s="6"/>
      <c r="X660" s="6">
        <v>6.41</v>
      </c>
      <c r="Y660" s="11" t="str">
        <f t="shared" si="120"/>
        <v/>
      </c>
      <c r="Z660" s="6" t="str">
        <f t="shared" si="121"/>
        <v/>
      </c>
      <c r="AA660" s="23">
        <f t="shared" si="122"/>
        <v>36.409999999999997</v>
      </c>
      <c r="AB660" t="str">
        <f t="shared" si="123"/>
        <v/>
      </c>
      <c r="AC660" t="str">
        <f t="shared" si="124"/>
        <v/>
      </c>
      <c r="AD660">
        <f t="shared" si="125"/>
        <v>7.2157999999999999E-4</v>
      </c>
      <c r="AE660" s="18" t="str">
        <f t="shared" ref="AE660:AE723" si="126">IF(AB660="","",AE659+h_1*(-AE659*AB659))</f>
        <v/>
      </c>
      <c r="AF660" s="7" t="str">
        <f t="shared" ref="AF660:AF723" si="127">IF(AC660="","",AF659+h_2*(-AF659*AC659))</f>
        <v/>
      </c>
      <c r="AG660" s="12">
        <f t="shared" ref="AG660:AG723" si="128">IF(AD660="","",AG659+h_3*(-AG659*AD659))</f>
        <v>0.99591886645931316</v>
      </c>
      <c r="AI660" s="54" t="str">
        <f t="shared" ref="AI660:AI723" si="129">IF(Y660="","",AI659+AI$17*(AI659*delta+Prem1-AB659*(1-AI659)))</f>
        <v/>
      </c>
      <c r="AJ660" s="54" t="str">
        <f t="shared" ref="AJ660:AJ723" si="130">IF(Z660="","",AJ659+AJ$17*(AJ659*delta+Prem2-AC659*(1-AJ659)))</f>
        <v/>
      </c>
      <c r="AK660" s="54">
        <f t="shared" ref="AK660:AK723" si="131">IF(AA660="","",AK659+AK$17*(AK659*delta+Prem3-AD659*(1-AK659)))</f>
        <v>0.35474012112513198</v>
      </c>
    </row>
    <row r="661" spans="9:37" x14ac:dyDescent="0.45">
      <c r="I661" s="2">
        <v>80.7</v>
      </c>
      <c r="J661" s="2">
        <v>7.3317999999999994E-2</v>
      </c>
      <c r="K661" s="2">
        <v>3.9630800000000001E-2</v>
      </c>
      <c r="R661" s="2">
        <v>23.37</v>
      </c>
      <c r="S661" s="2">
        <v>5.6926000000000004E-4</v>
      </c>
      <c r="T661" s="2">
        <v>2.2143999999999999E-4</v>
      </c>
      <c r="V661" s="11"/>
      <c r="W661" s="6"/>
      <c r="X661" s="6">
        <v>6.42</v>
      </c>
      <c r="Y661" s="11" t="str">
        <f t="shared" ref="Y661:Y724" si="132">IF(ISBLANK(V661),"",$Y$19+V661)</f>
        <v/>
      </c>
      <c r="Z661" s="6" t="str">
        <f t="shared" ref="Z661:Z724" si="133">IF(ISBLANK(W661),"",$Y$19+W661)</f>
        <v/>
      </c>
      <c r="AA661" s="23">
        <f t="shared" ref="AA661:AA724" si="134">IF(ISBLANK(X661),"",$Y$19+X661)</f>
        <v>36.42</v>
      </c>
      <c r="AB661" t="str">
        <f t="shared" si="123"/>
        <v/>
      </c>
      <c r="AC661" t="str">
        <f t="shared" si="124"/>
        <v/>
      </c>
      <c r="AD661">
        <f t="shared" si="125"/>
        <v>7.2196000000000001E-4</v>
      </c>
      <c r="AE661" s="18" t="str">
        <f t="shared" si="126"/>
        <v/>
      </c>
      <c r="AF661" s="7" t="str">
        <f t="shared" si="127"/>
        <v/>
      </c>
      <c r="AG661" s="12">
        <f t="shared" si="128"/>
        <v>0.99591168010795661</v>
      </c>
      <c r="AI661" s="54" t="str">
        <f t="shared" si="129"/>
        <v/>
      </c>
      <c r="AJ661" s="54" t="str">
        <f t="shared" si="130"/>
        <v/>
      </c>
      <c r="AK661" s="54">
        <f t="shared" si="131"/>
        <v>0.35536825294177654</v>
      </c>
    </row>
    <row r="662" spans="9:37" x14ac:dyDescent="0.45">
      <c r="I662" s="2">
        <v>80.8</v>
      </c>
      <c r="J662" s="2">
        <v>7.4038999999999994E-2</v>
      </c>
      <c r="K662" s="2">
        <v>4.00282E-2</v>
      </c>
      <c r="R662" s="2">
        <v>23.38</v>
      </c>
      <c r="S662" s="2">
        <v>5.6924000000000005E-4</v>
      </c>
      <c r="T662" s="2">
        <v>2.2156000000000001E-4</v>
      </c>
      <c r="V662" s="11"/>
      <c r="W662" s="6"/>
      <c r="X662" s="6">
        <v>6.43</v>
      </c>
      <c r="Y662" s="11" t="str">
        <f t="shared" si="132"/>
        <v/>
      </c>
      <c r="Z662" s="6" t="str">
        <f t="shared" si="133"/>
        <v/>
      </c>
      <c r="AA662" s="23">
        <f t="shared" si="134"/>
        <v>36.43</v>
      </c>
      <c r="AB662" t="str">
        <f t="shared" si="123"/>
        <v/>
      </c>
      <c r="AC662" t="str">
        <f t="shared" si="124"/>
        <v/>
      </c>
      <c r="AD662">
        <f t="shared" si="125"/>
        <v>7.2234000000000003E-4</v>
      </c>
      <c r="AE662" s="18" t="str">
        <f t="shared" si="126"/>
        <v/>
      </c>
      <c r="AF662" s="7" t="str">
        <f t="shared" si="127"/>
        <v/>
      </c>
      <c r="AG662" s="12">
        <f t="shared" si="128"/>
        <v>0.99590449002399095</v>
      </c>
      <c r="AI662" s="54" t="str">
        <f t="shared" si="129"/>
        <v/>
      </c>
      <c r="AJ662" s="54" t="str">
        <f t="shared" si="130"/>
        <v/>
      </c>
      <c r="AK662" s="54">
        <f t="shared" si="131"/>
        <v>0.35599663809402071</v>
      </c>
    </row>
    <row r="663" spans="9:37" x14ac:dyDescent="0.45">
      <c r="I663" s="2">
        <v>80.900000000000006</v>
      </c>
      <c r="J663" s="2">
        <v>7.4759999999999993E-2</v>
      </c>
      <c r="K663" s="2">
        <v>4.0425599999999999E-2</v>
      </c>
      <c r="R663" s="2">
        <v>23.39</v>
      </c>
      <c r="S663" s="2">
        <v>5.6921999999999995E-4</v>
      </c>
      <c r="T663" s="2">
        <v>2.2168000000000001E-4</v>
      </c>
      <c r="V663" s="11"/>
      <c r="W663" s="6"/>
      <c r="X663" s="6">
        <v>6.44</v>
      </c>
      <c r="Y663" s="11" t="str">
        <f t="shared" si="132"/>
        <v/>
      </c>
      <c r="Z663" s="6" t="str">
        <f t="shared" si="133"/>
        <v/>
      </c>
      <c r="AA663" s="23">
        <f t="shared" si="134"/>
        <v>36.44</v>
      </c>
      <c r="AB663" t="str">
        <f t="shared" si="123"/>
        <v/>
      </c>
      <c r="AC663" t="str">
        <f t="shared" si="124"/>
        <v/>
      </c>
      <c r="AD663">
        <f t="shared" si="125"/>
        <v>7.2272000000000005E-4</v>
      </c>
      <c r="AE663" s="18" t="str">
        <f t="shared" si="126"/>
        <v/>
      </c>
      <c r="AF663" s="7" t="str">
        <f t="shared" si="127"/>
        <v/>
      </c>
      <c r="AG663" s="12">
        <f t="shared" si="128"/>
        <v>0.99589729620749767</v>
      </c>
      <c r="AI663" s="54" t="str">
        <f t="shared" si="129"/>
        <v/>
      </c>
      <c r="AJ663" s="54" t="str">
        <f t="shared" si="130"/>
        <v/>
      </c>
      <c r="AK663" s="54">
        <f t="shared" si="131"/>
        <v>0.35662527668980243</v>
      </c>
    </row>
    <row r="664" spans="9:37" x14ac:dyDescent="0.45">
      <c r="I664" s="2">
        <v>81</v>
      </c>
      <c r="J664" s="2">
        <v>7.5481000000000006E-2</v>
      </c>
      <c r="K664" s="2">
        <v>4.0822999999999998E-2</v>
      </c>
      <c r="R664" s="2">
        <v>23.4</v>
      </c>
      <c r="S664" s="2">
        <v>5.6919999999999996E-4</v>
      </c>
      <c r="T664" s="2">
        <v>2.218E-4</v>
      </c>
      <c r="V664" s="11"/>
      <c r="W664" s="6"/>
      <c r="X664" s="6">
        <v>6.45</v>
      </c>
      <c r="Y664" s="11" t="str">
        <f t="shared" si="132"/>
        <v/>
      </c>
      <c r="Z664" s="6" t="str">
        <f t="shared" si="133"/>
        <v/>
      </c>
      <c r="AA664" s="23">
        <f t="shared" si="134"/>
        <v>36.450000000000003</v>
      </c>
      <c r="AB664" t="str">
        <f t="shared" si="123"/>
        <v/>
      </c>
      <c r="AC664" t="str">
        <f t="shared" si="124"/>
        <v/>
      </c>
      <c r="AD664">
        <f t="shared" si="125"/>
        <v>7.2309999999999996E-4</v>
      </c>
      <c r="AE664" s="18" t="str">
        <f t="shared" si="126"/>
        <v/>
      </c>
      <c r="AF664" s="7" t="str">
        <f t="shared" si="127"/>
        <v/>
      </c>
      <c r="AG664" s="12">
        <f t="shared" si="128"/>
        <v>0.99589009865855849</v>
      </c>
      <c r="AI664" s="54" t="str">
        <f t="shared" si="129"/>
        <v/>
      </c>
      <c r="AJ664" s="54" t="str">
        <f t="shared" si="130"/>
        <v/>
      </c>
      <c r="AK664" s="54">
        <f t="shared" si="131"/>
        <v>0.35725416883710653</v>
      </c>
    </row>
    <row r="665" spans="9:37" x14ac:dyDescent="0.45">
      <c r="I665" s="2">
        <v>81.099999999999994</v>
      </c>
      <c r="J665" s="2">
        <v>7.6270099999999993E-2</v>
      </c>
      <c r="K665" s="2">
        <v>4.1263500000000002E-2</v>
      </c>
      <c r="R665" s="2">
        <v>23.41</v>
      </c>
      <c r="S665" s="2">
        <v>5.6917999999999997E-4</v>
      </c>
      <c r="T665" s="2">
        <v>2.2191999999999999E-4</v>
      </c>
      <c r="V665" s="11"/>
      <c r="W665" s="6"/>
      <c r="X665" s="6">
        <v>6.46</v>
      </c>
      <c r="Y665" s="11" t="str">
        <f t="shared" si="132"/>
        <v/>
      </c>
      <c r="Z665" s="6" t="str">
        <f t="shared" si="133"/>
        <v/>
      </c>
      <c r="AA665" s="23">
        <f t="shared" si="134"/>
        <v>36.46</v>
      </c>
      <c r="AB665" t="str">
        <f t="shared" si="123"/>
        <v/>
      </c>
      <c r="AC665" t="str">
        <f t="shared" si="124"/>
        <v/>
      </c>
      <c r="AD665">
        <f t="shared" si="125"/>
        <v>7.2347999999999998E-4</v>
      </c>
      <c r="AE665" s="18" t="str">
        <f t="shared" si="126"/>
        <v/>
      </c>
      <c r="AF665" s="7" t="str">
        <f t="shared" si="127"/>
        <v/>
      </c>
      <c r="AG665" s="12">
        <f t="shared" si="128"/>
        <v>0.99588289737725511</v>
      </c>
      <c r="AI665" s="54" t="str">
        <f t="shared" si="129"/>
        <v/>
      </c>
      <c r="AJ665" s="54" t="str">
        <f t="shared" si="130"/>
        <v/>
      </c>
      <c r="AK665" s="54">
        <f t="shared" si="131"/>
        <v>0.35788331464396472</v>
      </c>
    </row>
    <row r="666" spans="9:37" x14ac:dyDescent="0.45">
      <c r="I666" s="2">
        <v>81.2</v>
      </c>
      <c r="J666" s="2">
        <v>7.7059199999999994E-2</v>
      </c>
      <c r="K666" s="2">
        <v>4.1703999999999998E-2</v>
      </c>
      <c r="R666" s="2">
        <v>23.42</v>
      </c>
      <c r="S666" s="2">
        <v>5.6915999999999998E-4</v>
      </c>
      <c r="T666" s="2">
        <v>2.2204000000000001E-4</v>
      </c>
      <c r="V666" s="11"/>
      <c r="W666" s="6"/>
      <c r="X666" s="6">
        <v>6.47</v>
      </c>
      <c r="Y666" s="11" t="str">
        <f t="shared" si="132"/>
        <v/>
      </c>
      <c r="Z666" s="6" t="str">
        <f t="shared" si="133"/>
        <v/>
      </c>
      <c r="AA666" s="23">
        <f t="shared" si="134"/>
        <v>36.47</v>
      </c>
      <c r="AB666" t="str">
        <f t="shared" si="123"/>
        <v/>
      </c>
      <c r="AC666" t="str">
        <f t="shared" si="124"/>
        <v/>
      </c>
      <c r="AD666">
        <f t="shared" si="125"/>
        <v>7.2386E-4</v>
      </c>
      <c r="AE666" s="18" t="str">
        <f t="shared" si="126"/>
        <v/>
      </c>
      <c r="AF666" s="7" t="str">
        <f t="shared" si="127"/>
        <v/>
      </c>
      <c r="AG666" s="12">
        <f t="shared" si="128"/>
        <v>0.99587569236366913</v>
      </c>
      <c r="AI666" s="54" t="str">
        <f t="shared" si="129"/>
        <v/>
      </c>
      <c r="AJ666" s="54" t="str">
        <f t="shared" si="130"/>
        <v/>
      </c>
      <c r="AK666" s="54">
        <f t="shared" si="131"/>
        <v>0.3585127142184556</v>
      </c>
    </row>
    <row r="667" spans="9:37" x14ac:dyDescent="0.45">
      <c r="I667" s="2">
        <v>81.3</v>
      </c>
      <c r="J667" s="2">
        <v>7.7848299999999995E-2</v>
      </c>
      <c r="K667" s="2">
        <v>4.2144500000000001E-2</v>
      </c>
      <c r="R667" s="2">
        <v>23.43</v>
      </c>
      <c r="S667" s="2">
        <v>5.6913999999999999E-4</v>
      </c>
      <c r="T667" s="2">
        <v>2.2216E-4</v>
      </c>
      <c r="V667" s="11"/>
      <c r="W667" s="6"/>
      <c r="X667" s="6">
        <v>6.48</v>
      </c>
      <c r="Y667" s="11" t="str">
        <f t="shared" si="132"/>
        <v/>
      </c>
      <c r="Z667" s="6" t="str">
        <f t="shared" si="133"/>
        <v/>
      </c>
      <c r="AA667" s="23">
        <f t="shared" si="134"/>
        <v>36.480000000000004</v>
      </c>
      <c r="AB667" t="str">
        <f t="shared" si="123"/>
        <v/>
      </c>
      <c r="AC667" t="str">
        <f t="shared" si="124"/>
        <v/>
      </c>
      <c r="AD667">
        <f t="shared" si="125"/>
        <v>7.2424000000000002E-4</v>
      </c>
      <c r="AE667" s="18" t="str">
        <f t="shared" si="126"/>
        <v/>
      </c>
      <c r="AF667" s="7" t="str">
        <f t="shared" si="127"/>
        <v/>
      </c>
      <c r="AG667" s="12">
        <f t="shared" si="128"/>
        <v>0.99586848361788238</v>
      </c>
      <c r="AI667" s="54" t="str">
        <f t="shared" si="129"/>
        <v/>
      </c>
      <c r="AJ667" s="54" t="str">
        <f t="shared" si="130"/>
        <v/>
      </c>
      <c r="AK667" s="54">
        <f t="shared" si="131"/>
        <v>0.35914236766870461</v>
      </c>
    </row>
    <row r="668" spans="9:37" x14ac:dyDescent="0.45">
      <c r="I668" s="2">
        <v>81.400000000000006</v>
      </c>
      <c r="J668" s="2">
        <v>7.8637399999999996E-2</v>
      </c>
      <c r="K668" s="2">
        <v>4.2584999999999998E-2</v>
      </c>
      <c r="R668" s="2">
        <v>23.44</v>
      </c>
      <c r="S668" s="2">
        <v>5.6912E-4</v>
      </c>
      <c r="T668" s="2">
        <v>2.2227999999999999E-4</v>
      </c>
      <c r="V668" s="11"/>
      <c r="W668" s="6"/>
      <c r="X668" s="6">
        <v>6.49</v>
      </c>
      <c r="Y668" s="11" t="str">
        <f t="shared" si="132"/>
        <v/>
      </c>
      <c r="Z668" s="6" t="str">
        <f t="shared" si="133"/>
        <v/>
      </c>
      <c r="AA668" s="23">
        <f t="shared" si="134"/>
        <v>36.49</v>
      </c>
      <c r="AB668" t="str">
        <f t="shared" si="123"/>
        <v/>
      </c>
      <c r="AC668" t="str">
        <f t="shared" si="124"/>
        <v/>
      </c>
      <c r="AD668">
        <f t="shared" si="125"/>
        <v>7.2462000000000004E-4</v>
      </c>
      <c r="AE668" s="18" t="str">
        <f t="shared" si="126"/>
        <v/>
      </c>
      <c r="AF668" s="7" t="str">
        <f t="shared" si="127"/>
        <v/>
      </c>
      <c r="AG668" s="12">
        <f t="shared" si="128"/>
        <v>0.99586127113997658</v>
      </c>
      <c r="AI668" s="54" t="str">
        <f t="shared" si="129"/>
        <v/>
      </c>
      <c r="AJ668" s="54" t="str">
        <f t="shared" si="130"/>
        <v/>
      </c>
      <c r="AK668" s="54">
        <f t="shared" si="131"/>
        <v>0.35977227510288418</v>
      </c>
    </row>
    <row r="669" spans="9:37" x14ac:dyDescent="0.45">
      <c r="I669" s="2">
        <v>81.5</v>
      </c>
      <c r="J669" s="2">
        <v>7.9426499999999997E-2</v>
      </c>
      <c r="K669" s="2">
        <v>4.3025500000000001E-2</v>
      </c>
      <c r="R669" s="2">
        <v>23.45</v>
      </c>
      <c r="S669" s="2">
        <v>5.6910000000000001E-4</v>
      </c>
      <c r="T669" s="2">
        <v>2.2240000000000001E-4</v>
      </c>
      <c r="V669" s="11"/>
      <c r="W669" s="6"/>
      <c r="X669" s="6">
        <v>6.5</v>
      </c>
      <c r="Y669" s="11" t="str">
        <f t="shared" si="132"/>
        <v/>
      </c>
      <c r="Z669" s="6" t="str">
        <f t="shared" si="133"/>
        <v/>
      </c>
      <c r="AA669" s="23">
        <f t="shared" si="134"/>
        <v>36.5</v>
      </c>
      <c r="AB669" t="str">
        <f t="shared" si="123"/>
        <v/>
      </c>
      <c r="AC669" t="str">
        <f t="shared" si="124"/>
        <v/>
      </c>
      <c r="AD669">
        <f t="shared" si="125"/>
        <v>7.2499999999999995E-4</v>
      </c>
      <c r="AE669" s="18" t="str">
        <f t="shared" si="126"/>
        <v/>
      </c>
      <c r="AF669" s="7" t="str">
        <f t="shared" si="127"/>
        <v/>
      </c>
      <c r="AG669" s="12">
        <f t="shared" si="128"/>
        <v>0.99585405493003365</v>
      </c>
      <c r="AI669" s="54" t="str">
        <f t="shared" si="129"/>
        <v/>
      </c>
      <c r="AJ669" s="54" t="str">
        <f t="shared" si="130"/>
        <v/>
      </c>
      <c r="AK669" s="54">
        <f t="shared" si="131"/>
        <v>0.36040243662921367</v>
      </c>
    </row>
    <row r="670" spans="9:37" x14ac:dyDescent="0.45">
      <c r="I670" s="2">
        <v>81.599999999999994</v>
      </c>
      <c r="J670" s="2">
        <v>8.0215599999999998E-2</v>
      </c>
      <c r="K670" s="2">
        <v>4.3465999999999998E-2</v>
      </c>
      <c r="R670" s="2">
        <v>23.46</v>
      </c>
      <c r="S670" s="2">
        <v>5.6908000000000002E-4</v>
      </c>
      <c r="T670" s="2">
        <v>2.2252E-4</v>
      </c>
      <c r="V670" s="11"/>
      <c r="W670" s="6"/>
      <c r="X670" s="6">
        <v>6.51</v>
      </c>
      <c r="Y670" s="11" t="str">
        <f t="shared" si="132"/>
        <v/>
      </c>
      <c r="Z670" s="6" t="str">
        <f t="shared" si="133"/>
        <v/>
      </c>
      <c r="AA670" s="23">
        <f t="shared" si="134"/>
        <v>36.51</v>
      </c>
      <c r="AB670" t="str">
        <f t="shared" si="123"/>
        <v/>
      </c>
      <c r="AC670" t="str">
        <f t="shared" si="124"/>
        <v/>
      </c>
      <c r="AD670">
        <f t="shared" si="125"/>
        <v>7.2537999999999997E-4</v>
      </c>
      <c r="AE670" s="18" t="str">
        <f t="shared" si="126"/>
        <v/>
      </c>
      <c r="AF670" s="7" t="str">
        <f t="shared" si="127"/>
        <v/>
      </c>
      <c r="AG670" s="12">
        <f t="shared" si="128"/>
        <v>0.99584683498813542</v>
      </c>
      <c r="AI670" s="54" t="str">
        <f t="shared" si="129"/>
        <v/>
      </c>
      <c r="AJ670" s="54" t="str">
        <f t="shared" si="130"/>
        <v/>
      </c>
      <c r="AK670" s="54">
        <f t="shared" si="131"/>
        <v>0.36103285235595939</v>
      </c>
    </row>
    <row r="671" spans="9:37" x14ac:dyDescent="0.45">
      <c r="I671" s="2">
        <v>81.7</v>
      </c>
      <c r="J671" s="2">
        <v>8.1004699999999999E-2</v>
      </c>
      <c r="K671" s="2">
        <v>4.3906500000000001E-2</v>
      </c>
      <c r="R671" s="2">
        <v>23.47</v>
      </c>
      <c r="S671" s="2">
        <v>5.6906000000000003E-4</v>
      </c>
      <c r="T671" s="2">
        <v>2.2264E-4</v>
      </c>
      <c r="V671" s="11"/>
      <c r="W671" s="6"/>
      <c r="X671" s="6">
        <v>6.5200000000000005</v>
      </c>
      <c r="Y671" s="11" t="str">
        <f t="shared" si="132"/>
        <v/>
      </c>
      <c r="Z671" s="6" t="str">
        <f t="shared" si="133"/>
        <v/>
      </c>
      <c r="AA671" s="23">
        <f t="shared" si="134"/>
        <v>36.520000000000003</v>
      </c>
      <c r="AB671" t="str">
        <f t="shared" si="123"/>
        <v/>
      </c>
      <c r="AC671" t="str">
        <f t="shared" si="124"/>
        <v/>
      </c>
      <c r="AD671">
        <f t="shared" si="125"/>
        <v>7.2575999999999999E-4</v>
      </c>
      <c r="AE671" s="18" t="str">
        <f t="shared" si="126"/>
        <v/>
      </c>
      <c r="AF671" s="7" t="str">
        <f t="shared" si="127"/>
        <v/>
      </c>
      <c r="AG671" s="12">
        <f t="shared" si="128"/>
        <v>0.99583961131436383</v>
      </c>
      <c r="AI671" s="54" t="str">
        <f t="shared" si="129"/>
        <v/>
      </c>
      <c r="AJ671" s="54" t="str">
        <f t="shared" si="130"/>
        <v/>
      </c>
      <c r="AK671" s="54">
        <f t="shared" si="131"/>
        <v>0.36166352239143468</v>
      </c>
    </row>
    <row r="672" spans="9:37" x14ac:dyDescent="0.45">
      <c r="I672" s="2">
        <v>81.8</v>
      </c>
      <c r="J672" s="2">
        <v>8.17938E-2</v>
      </c>
      <c r="K672" s="2">
        <v>4.4346999999999998E-2</v>
      </c>
      <c r="R672" s="2">
        <v>23.48</v>
      </c>
      <c r="S672" s="2">
        <v>5.6904000000000004E-4</v>
      </c>
      <c r="T672" s="2">
        <v>2.2275999999999999E-4</v>
      </c>
      <c r="V672" s="11"/>
      <c r="W672" s="6"/>
      <c r="X672" s="6">
        <v>6.53</v>
      </c>
      <c r="Y672" s="11" t="str">
        <f t="shared" si="132"/>
        <v/>
      </c>
      <c r="Z672" s="6" t="str">
        <f t="shared" si="133"/>
        <v/>
      </c>
      <c r="AA672" s="23">
        <f t="shared" si="134"/>
        <v>36.53</v>
      </c>
      <c r="AB672" t="str">
        <f t="shared" si="123"/>
        <v/>
      </c>
      <c r="AC672" t="str">
        <f t="shared" si="124"/>
        <v/>
      </c>
      <c r="AD672">
        <f t="shared" si="125"/>
        <v>7.2614000000000001E-4</v>
      </c>
      <c r="AE672" s="18" t="str">
        <f t="shared" si="126"/>
        <v/>
      </c>
      <c r="AF672" s="7" t="str">
        <f t="shared" si="127"/>
        <v/>
      </c>
      <c r="AG672" s="12">
        <f t="shared" si="128"/>
        <v>0.9958323839088008</v>
      </c>
      <c r="AI672" s="54" t="str">
        <f t="shared" si="129"/>
        <v/>
      </c>
      <c r="AJ672" s="54" t="str">
        <f t="shared" si="130"/>
        <v/>
      </c>
      <c r="AK672" s="54">
        <f t="shared" si="131"/>
        <v>0.36229444684399986</v>
      </c>
    </row>
    <row r="673" spans="9:37" x14ac:dyDescent="0.45">
      <c r="I673" s="2">
        <v>81.900000000000006</v>
      </c>
      <c r="J673" s="2">
        <v>8.2582900000000001E-2</v>
      </c>
      <c r="K673" s="2">
        <v>4.4787500000000001E-2</v>
      </c>
      <c r="R673" s="2">
        <v>23.49</v>
      </c>
      <c r="S673" s="2">
        <v>5.6902000000000005E-4</v>
      </c>
      <c r="T673" s="2">
        <v>2.2288000000000001E-4</v>
      </c>
      <c r="V673" s="11"/>
      <c r="W673" s="6"/>
      <c r="X673" s="6">
        <v>6.54</v>
      </c>
      <c r="Y673" s="11" t="str">
        <f t="shared" si="132"/>
        <v/>
      </c>
      <c r="Z673" s="6" t="str">
        <f t="shared" si="133"/>
        <v/>
      </c>
      <c r="AA673" s="23">
        <f t="shared" si="134"/>
        <v>36.54</v>
      </c>
      <c r="AB673" t="str">
        <f t="shared" si="123"/>
        <v/>
      </c>
      <c r="AC673" t="str">
        <f t="shared" si="124"/>
        <v/>
      </c>
      <c r="AD673">
        <f t="shared" si="125"/>
        <v>7.2652000000000003E-4</v>
      </c>
      <c r="AE673" s="18" t="str">
        <f t="shared" si="126"/>
        <v/>
      </c>
      <c r="AF673" s="7" t="str">
        <f t="shared" si="127"/>
        <v/>
      </c>
      <c r="AG673" s="12">
        <f t="shared" si="128"/>
        <v>0.99582515277152828</v>
      </c>
      <c r="AI673" s="54" t="str">
        <f t="shared" si="129"/>
        <v/>
      </c>
      <c r="AJ673" s="54" t="str">
        <f t="shared" si="130"/>
        <v/>
      </c>
      <c r="AK673" s="54">
        <f t="shared" si="131"/>
        <v>0.36292562582206228</v>
      </c>
    </row>
    <row r="674" spans="9:37" x14ac:dyDescent="0.45">
      <c r="I674" s="2">
        <v>82</v>
      </c>
      <c r="J674" s="2">
        <v>8.3372000000000002E-2</v>
      </c>
      <c r="K674" s="2">
        <v>4.5227999999999997E-2</v>
      </c>
      <c r="R674" s="2">
        <v>23.5</v>
      </c>
      <c r="S674" s="2">
        <v>5.6899999999999995E-4</v>
      </c>
      <c r="T674" s="2">
        <v>2.23E-4</v>
      </c>
      <c r="V674" s="11"/>
      <c r="W674" s="6"/>
      <c r="X674" s="6">
        <v>6.55</v>
      </c>
      <c r="Y674" s="11" t="str">
        <f t="shared" si="132"/>
        <v/>
      </c>
      <c r="Z674" s="6" t="str">
        <f t="shared" si="133"/>
        <v/>
      </c>
      <c r="AA674" s="23">
        <f t="shared" si="134"/>
        <v>36.549999999999997</v>
      </c>
      <c r="AB674" t="str">
        <f t="shared" si="123"/>
        <v/>
      </c>
      <c r="AC674" t="str">
        <f t="shared" si="124"/>
        <v/>
      </c>
      <c r="AD674">
        <f t="shared" si="125"/>
        <v>7.2690000000000005E-4</v>
      </c>
      <c r="AE674" s="18" t="str">
        <f t="shared" si="126"/>
        <v/>
      </c>
      <c r="AF674" s="7" t="str">
        <f t="shared" si="127"/>
        <v/>
      </c>
      <c r="AG674" s="12">
        <f t="shared" si="128"/>
        <v>0.99581791790262841</v>
      </c>
      <c r="AI674" s="54" t="str">
        <f t="shared" si="129"/>
        <v/>
      </c>
      <c r="AJ674" s="54" t="str">
        <f t="shared" si="130"/>
        <v/>
      </c>
      <c r="AK674" s="54">
        <f t="shared" si="131"/>
        <v>0.36355705943407635</v>
      </c>
    </row>
    <row r="675" spans="9:37" x14ac:dyDescent="0.45">
      <c r="I675" s="2">
        <v>82.1</v>
      </c>
      <c r="J675" s="2">
        <v>8.4234699999999996E-2</v>
      </c>
      <c r="K675" s="2">
        <v>4.5716E-2</v>
      </c>
      <c r="R675" s="2">
        <v>23.51</v>
      </c>
      <c r="S675" s="2">
        <v>5.6897999999999996E-4</v>
      </c>
      <c r="T675" s="2">
        <v>2.2311999999999999E-4</v>
      </c>
      <c r="V675" s="11"/>
      <c r="W675" s="6"/>
      <c r="X675" s="6">
        <v>6.5600000000000005</v>
      </c>
      <c r="Y675" s="11" t="str">
        <f t="shared" si="132"/>
        <v/>
      </c>
      <c r="Z675" s="6" t="str">
        <f t="shared" si="133"/>
        <v/>
      </c>
      <c r="AA675" s="23">
        <f t="shared" si="134"/>
        <v>36.56</v>
      </c>
      <c r="AB675" t="str">
        <f t="shared" si="123"/>
        <v/>
      </c>
      <c r="AC675" t="str">
        <f t="shared" si="124"/>
        <v/>
      </c>
      <c r="AD675">
        <f t="shared" si="125"/>
        <v>7.2727999999999996E-4</v>
      </c>
      <c r="AE675" s="18" t="str">
        <f t="shared" si="126"/>
        <v/>
      </c>
      <c r="AF675" s="7" t="str">
        <f t="shared" si="127"/>
        <v/>
      </c>
      <c r="AG675" s="12">
        <f t="shared" si="128"/>
        <v>0.99581067930218314</v>
      </c>
      <c r="AI675" s="54" t="str">
        <f t="shared" si="129"/>
        <v/>
      </c>
      <c r="AJ675" s="54" t="str">
        <f t="shared" si="130"/>
        <v/>
      </c>
      <c r="AK675" s="54">
        <f t="shared" si="131"/>
        <v>0.36418874778854349</v>
      </c>
    </row>
    <row r="676" spans="9:37" x14ac:dyDescent="0.45">
      <c r="I676" s="2">
        <v>82.2</v>
      </c>
      <c r="J676" s="2">
        <v>8.5097400000000004E-2</v>
      </c>
      <c r="K676" s="2">
        <v>4.6204000000000002E-2</v>
      </c>
      <c r="R676" s="2">
        <v>23.52</v>
      </c>
      <c r="S676" s="2">
        <v>5.6895999999999997E-4</v>
      </c>
      <c r="T676" s="2">
        <v>2.2324000000000001E-4</v>
      </c>
      <c r="V676" s="11"/>
      <c r="W676" s="6"/>
      <c r="X676" s="6">
        <v>6.57</v>
      </c>
      <c r="Y676" s="11" t="str">
        <f t="shared" si="132"/>
        <v/>
      </c>
      <c r="Z676" s="6" t="str">
        <f t="shared" si="133"/>
        <v/>
      </c>
      <c r="AA676" s="23">
        <f t="shared" si="134"/>
        <v>36.57</v>
      </c>
      <c r="AB676" t="str">
        <f t="shared" si="123"/>
        <v/>
      </c>
      <c r="AC676" t="str">
        <f t="shared" si="124"/>
        <v/>
      </c>
      <c r="AD676">
        <f t="shared" si="125"/>
        <v>7.2765999999999998E-4</v>
      </c>
      <c r="AE676" s="18" t="str">
        <f t="shared" si="126"/>
        <v/>
      </c>
      <c r="AF676" s="7" t="str">
        <f t="shared" si="127"/>
        <v/>
      </c>
      <c r="AG676" s="12">
        <f t="shared" si="128"/>
        <v>0.99580343697027474</v>
      </c>
      <c r="AI676" s="54" t="str">
        <f t="shared" si="129"/>
        <v/>
      </c>
      <c r="AJ676" s="54" t="str">
        <f t="shared" si="130"/>
        <v/>
      </c>
      <c r="AK676" s="54">
        <f t="shared" si="131"/>
        <v>0.36482069099401232</v>
      </c>
    </row>
    <row r="677" spans="9:37" x14ac:dyDescent="0.45">
      <c r="I677" s="2">
        <v>82.3</v>
      </c>
      <c r="J677" s="2">
        <v>8.5960099999999998E-2</v>
      </c>
      <c r="K677" s="2">
        <v>4.6691999999999997E-2</v>
      </c>
      <c r="R677" s="2">
        <v>23.53</v>
      </c>
      <c r="S677" s="2">
        <v>5.6893999999999998E-4</v>
      </c>
      <c r="T677" s="2">
        <v>2.2336E-4</v>
      </c>
      <c r="V677" s="11"/>
      <c r="W677" s="6"/>
      <c r="X677" s="6">
        <v>6.58</v>
      </c>
      <c r="Y677" s="11" t="str">
        <f t="shared" si="132"/>
        <v/>
      </c>
      <c r="Z677" s="6" t="str">
        <f t="shared" si="133"/>
        <v/>
      </c>
      <c r="AA677" s="23">
        <f t="shared" si="134"/>
        <v>36.58</v>
      </c>
      <c r="AB677" t="str">
        <f t="shared" si="123"/>
        <v/>
      </c>
      <c r="AC677" t="str">
        <f t="shared" si="124"/>
        <v/>
      </c>
      <c r="AD677">
        <f t="shared" si="125"/>
        <v>7.2804E-4</v>
      </c>
      <c r="AE677" s="18" t="str">
        <f t="shared" si="126"/>
        <v/>
      </c>
      <c r="AF677" s="7" t="str">
        <f t="shared" si="127"/>
        <v/>
      </c>
      <c r="AG677" s="12">
        <f t="shared" si="128"/>
        <v>0.99579619090698523</v>
      </c>
      <c r="AI677" s="54" t="str">
        <f t="shared" si="129"/>
        <v/>
      </c>
      <c r="AJ677" s="54" t="str">
        <f t="shared" si="130"/>
        <v/>
      </c>
      <c r="AK677" s="54">
        <f t="shared" si="131"/>
        <v>0.36545288915907853</v>
      </c>
    </row>
    <row r="678" spans="9:37" x14ac:dyDescent="0.45">
      <c r="I678" s="2">
        <v>82.4</v>
      </c>
      <c r="J678" s="2">
        <v>8.6822800000000006E-2</v>
      </c>
      <c r="K678" s="2">
        <v>4.718E-2</v>
      </c>
      <c r="R678" s="2">
        <v>23.54</v>
      </c>
      <c r="S678" s="2">
        <v>5.6891999999999999E-4</v>
      </c>
      <c r="T678" s="2">
        <v>2.2347999999999999E-4</v>
      </c>
      <c r="V678" s="11"/>
      <c r="W678" s="6"/>
      <c r="X678" s="6">
        <v>6.59</v>
      </c>
      <c r="Y678" s="11" t="str">
        <f t="shared" si="132"/>
        <v/>
      </c>
      <c r="Z678" s="6" t="str">
        <f t="shared" si="133"/>
        <v/>
      </c>
      <c r="AA678" s="23">
        <f t="shared" si="134"/>
        <v>36.590000000000003</v>
      </c>
      <c r="AB678" t="str">
        <f t="shared" si="123"/>
        <v/>
      </c>
      <c r="AC678" t="str">
        <f t="shared" si="124"/>
        <v/>
      </c>
      <c r="AD678">
        <f t="shared" si="125"/>
        <v>7.2842000000000002E-4</v>
      </c>
      <c r="AE678" s="18" t="str">
        <f t="shared" si="126"/>
        <v/>
      </c>
      <c r="AF678" s="7" t="str">
        <f t="shared" si="127"/>
        <v/>
      </c>
      <c r="AG678" s="12">
        <f t="shared" si="128"/>
        <v>0.99578894111239691</v>
      </c>
      <c r="AI678" s="54" t="str">
        <f t="shared" si="129"/>
        <v/>
      </c>
      <c r="AJ678" s="54" t="str">
        <f t="shared" si="130"/>
        <v/>
      </c>
      <c r="AK678" s="54">
        <f t="shared" si="131"/>
        <v>0.36608534239238488</v>
      </c>
    </row>
    <row r="679" spans="9:37" x14ac:dyDescent="0.45">
      <c r="I679" s="2">
        <v>82.5</v>
      </c>
      <c r="J679" s="2">
        <v>8.76855E-2</v>
      </c>
      <c r="K679" s="2">
        <v>4.7668000000000002E-2</v>
      </c>
      <c r="R679" s="2">
        <v>23.55</v>
      </c>
      <c r="S679" s="2">
        <v>5.689E-4</v>
      </c>
      <c r="T679" s="2">
        <v>2.2359999999999999E-4</v>
      </c>
      <c r="V679" s="11"/>
      <c r="W679" s="6"/>
      <c r="X679" s="6">
        <v>6.6000000000000005</v>
      </c>
      <c r="Y679" s="11" t="str">
        <f t="shared" si="132"/>
        <v/>
      </c>
      <c r="Z679" s="6" t="str">
        <f t="shared" si="133"/>
        <v/>
      </c>
      <c r="AA679" s="23">
        <f t="shared" si="134"/>
        <v>36.6</v>
      </c>
      <c r="AB679" t="str">
        <f t="shared" si="123"/>
        <v/>
      </c>
      <c r="AC679" t="str">
        <f t="shared" si="124"/>
        <v/>
      </c>
      <c r="AD679">
        <f t="shared" si="125"/>
        <v>7.2880000000000004E-4</v>
      </c>
      <c r="AE679" s="18" t="str">
        <f t="shared" si="126"/>
        <v/>
      </c>
      <c r="AF679" s="7" t="str">
        <f t="shared" si="127"/>
        <v/>
      </c>
      <c r="AG679" s="12">
        <f t="shared" si="128"/>
        <v>0.99578168758659202</v>
      </c>
      <c r="AI679" s="54" t="str">
        <f t="shared" si="129"/>
        <v/>
      </c>
      <c r="AJ679" s="54" t="str">
        <f t="shared" si="130"/>
        <v/>
      </c>
      <c r="AK679" s="54">
        <f t="shared" si="131"/>
        <v>0.36671805080262138</v>
      </c>
    </row>
    <row r="680" spans="9:37" x14ac:dyDescent="0.45">
      <c r="I680" s="2">
        <v>82.6</v>
      </c>
      <c r="J680" s="2">
        <v>8.8548199999999994E-2</v>
      </c>
      <c r="K680" s="2">
        <v>4.8155999999999997E-2</v>
      </c>
      <c r="R680" s="2">
        <v>23.56</v>
      </c>
      <c r="S680" s="2">
        <v>5.6888000000000001E-4</v>
      </c>
      <c r="T680" s="2">
        <v>2.2372000000000001E-4</v>
      </c>
      <c r="V680" s="11"/>
      <c r="W680" s="6"/>
      <c r="X680" s="6">
        <v>6.61</v>
      </c>
      <c r="Y680" s="11" t="str">
        <f t="shared" si="132"/>
        <v/>
      </c>
      <c r="Z680" s="6" t="str">
        <f t="shared" si="133"/>
        <v/>
      </c>
      <c r="AA680" s="23">
        <f t="shared" si="134"/>
        <v>36.61</v>
      </c>
      <c r="AB680" t="str">
        <f t="shared" si="123"/>
        <v/>
      </c>
      <c r="AC680" t="str">
        <f t="shared" si="124"/>
        <v/>
      </c>
      <c r="AD680">
        <f t="shared" si="125"/>
        <v>7.2917999999999995E-4</v>
      </c>
      <c r="AE680" s="18" t="str">
        <f t="shared" si="126"/>
        <v/>
      </c>
      <c r="AF680" s="7" t="str">
        <f t="shared" si="127"/>
        <v/>
      </c>
      <c r="AG680" s="12">
        <f t="shared" si="128"/>
        <v>0.99577443032965285</v>
      </c>
      <c r="AI680" s="54" t="str">
        <f t="shared" si="129"/>
        <v/>
      </c>
      <c r="AJ680" s="54" t="str">
        <f t="shared" si="130"/>
        <v/>
      </c>
      <c r="AK680" s="54">
        <f t="shared" si="131"/>
        <v>0.36735101449852514</v>
      </c>
    </row>
    <row r="681" spans="9:37" x14ac:dyDescent="0.45">
      <c r="I681" s="2">
        <v>82.7</v>
      </c>
      <c r="J681" s="2">
        <v>8.9410900000000001E-2</v>
      </c>
      <c r="K681" s="2">
        <v>4.8644E-2</v>
      </c>
      <c r="R681" s="2">
        <v>23.57</v>
      </c>
      <c r="S681" s="2">
        <v>5.6886000000000003E-4</v>
      </c>
      <c r="T681" s="2">
        <v>2.2384E-4</v>
      </c>
      <c r="V681" s="11"/>
      <c r="W681" s="6"/>
      <c r="X681" s="6">
        <v>6.62</v>
      </c>
      <c r="Y681" s="11" t="str">
        <f t="shared" si="132"/>
        <v/>
      </c>
      <c r="Z681" s="6" t="str">
        <f t="shared" si="133"/>
        <v/>
      </c>
      <c r="AA681" s="23">
        <f t="shared" si="134"/>
        <v>36.619999999999997</v>
      </c>
      <c r="AB681" t="str">
        <f t="shared" si="123"/>
        <v/>
      </c>
      <c r="AC681" t="str">
        <f t="shared" si="124"/>
        <v/>
      </c>
      <c r="AD681">
        <f t="shared" si="125"/>
        <v>7.2955999999999997E-4</v>
      </c>
      <c r="AE681" s="18" t="str">
        <f t="shared" si="126"/>
        <v/>
      </c>
      <c r="AF681" s="7" t="str">
        <f t="shared" si="127"/>
        <v/>
      </c>
      <c r="AG681" s="12">
        <f t="shared" si="128"/>
        <v>0.99576716934166176</v>
      </c>
      <c r="AI681" s="54" t="str">
        <f t="shared" si="129"/>
        <v/>
      </c>
      <c r="AJ681" s="54" t="str">
        <f t="shared" si="130"/>
        <v/>
      </c>
      <c r="AK681" s="54">
        <f t="shared" si="131"/>
        <v>0.36798423358888055</v>
      </c>
    </row>
    <row r="682" spans="9:37" x14ac:dyDescent="0.45">
      <c r="I682" s="2">
        <v>82.8</v>
      </c>
      <c r="J682" s="2">
        <v>9.0273599999999996E-2</v>
      </c>
      <c r="K682" s="2">
        <v>4.9132000000000002E-2</v>
      </c>
      <c r="R682" s="2">
        <v>23.58</v>
      </c>
      <c r="S682" s="2">
        <v>5.6884000000000004E-4</v>
      </c>
      <c r="T682" s="2">
        <v>2.2395999999999999E-4</v>
      </c>
      <c r="V682" s="11"/>
      <c r="W682" s="6"/>
      <c r="X682" s="6">
        <v>6.63</v>
      </c>
      <c r="Y682" s="11" t="str">
        <f t="shared" si="132"/>
        <v/>
      </c>
      <c r="Z682" s="6" t="str">
        <f t="shared" si="133"/>
        <v/>
      </c>
      <c r="AA682" s="23">
        <f t="shared" si="134"/>
        <v>36.630000000000003</v>
      </c>
      <c r="AB682" t="str">
        <f t="shared" si="123"/>
        <v/>
      </c>
      <c r="AC682" t="str">
        <f t="shared" si="124"/>
        <v/>
      </c>
      <c r="AD682">
        <f t="shared" si="125"/>
        <v>7.2993999999999999E-4</v>
      </c>
      <c r="AE682" s="18" t="str">
        <f t="shared" si="126"/>
        <v/>
      </c>
      <c r="AF682" s="7" t="str">
        <f t="shared" si="127"/>
        <v/>
      </c>
      <c r="AG682" s="12">
        <f t="shared" si="128"/>
        <v>0.99575990462270114</v>
      </c>
      <c r="AI682" s="54" t="str">
        <f t="shared" si="129"/>
        <v/>
      </c>
      <c r="AJ682" s="54" t="str">
        <f t="shared" si="130"/>
        <v/>
      </c>
      <c r="AK682" s="54">
        <f t="shared" si="131"/>
        <v>0.36861770818251915</v>
      </c>
    </row>
    <row r="683" spans="9:37" x14ac:dyDescent="0.45">
      <c r="I683" s="2">
        <v>82.9</v>
      </c>
      <c r="J683" s="2">
        <v>9.1136300000000003E-2</v>
      </c>
      <c r="K683" s="2">
        <v>4.9619999999999997E-2</v>
      </c>
      <c r="R683" s="2">
        <v>23.59</v>
      </c>
      <c r="S683" s="2">
        <v>5.6882000000000005E-4</v>
      </c>
      <c r="T683" s="2">
        <v>2.2408000000000001E-4</v>
      </c>
      <c r="V683" s="11"/>
      <c r="W683" s="6"/>
      <c r="X683" s="6">
        <v>6.6400000000000006</v>
      </c>
      <c r="Y683" s="11" t="str">
        <f t="shared" si="132"/>
        <v/>
      </c>
      <c r="Z683" s="6" t="str">
        <f t="shared" si="133"/>
        <v/>
      </c>
      <c r="AA683" s="23">
        <f t="shared" si="134"/>
        <v>36.64</v>
      </c>
      <c r="AB683" t="str">
        <f t="shared" si="123"/>
        <v/>
      </c>
      <c r="AC683" t="str">
        <f t="shared" si="124"/>
        <v/>
      </c>
      <c r="AD683">
        <f t="shared" si="125"/>
        <v>7.3032000000000001E-4</v>
      </c>
      <c r="AE683" s="18" t="str">
        <f t="shared" si="126"/>
        <v/>
      </c>
      <c r="AF683" s="7" t="str">
        <f t="shared" si="127"/>
        <v/>
      </c>
      <c r="AG683" s="12">
        <f t="shared" si="128"/>
        <v>0.99575263617285337</v>
      </c>
      <c r="AI683" s="54" t="str">
        <f t="shared" si="129"/>
        <v/>
      </c>
      <c r="AJ683" s="54" t="str">
        <f t="shared" si="130"/>
        <v/>
      </c>
      <c r="AK683" s="54">
        <f t="shared" si="131"/>
        <v>0.36925143838831975</v>
      </c>
    </row>
    <row r="684" spans="9:37" x14ac:dyDescent="0.45">
      <c r="I684" s="2">
        <v>83</v>
      </c>
      <c r="J684" s="2">
        <v>9.1998999999999997E-2</v>
      </c>
      <c r="K684" s="2">
        <v>5.0108E-2</v>
      </c>
      <c r="R684" s="2">
        <v>23.6</v>
      </c>
      <c r="S684" s="2">
        <v>5.6879999999999995E-4</v>
      </c>
      <c r="T684" s="2">
        <v>2.242E-4</v>
      </c>
      <c r="V684" s="11"/>
      <c r="W684" s="6"/>
      <c r="X684" s="6">
        <v>6.65</v>
      </c>
      <c r="Y684" s="11" t="str">
        <f t="shared" si="132"/>
        <v/>
      </c>
      <c r="Z684" s="6" t="str">
        <f t="shared" si="133"/>
        <v/>
      </c>
      <c r="AA684" s="23">
        <f t="shared" si="134"/>
        <v>36.65</v>
      </c>
      <c r="AB684" t="str">
        <f t="shared" si="123"/>
        <v/>
      </c>
      <c r="AC684" t="str">
        <f t="shared" si="124"/>
        <v/>
      </c>
      <c r="AD684">
        <f t="shared" si="125"/>
        <v>7.3070000000000003E-4</v>
      </c>
      <c r="AE684" s="18" t="str">
        <f t="shared" si="126"/>
        <v/>
      </c>
      <c r="AF684" s="7" t="str">
        <f t="shared" si="127"/>
        <v/>
      </c>
      <c r="AG684" s="12">
        <f t="shared" si="128"/>
        <v>0.99574536399220082</v>
      </c>
      <c r="AI684" s="54" t="str">
        <f t="shared" si="129"/>
        <v/>
      </c>
      <c r="AJ684" s="54" t="str">
        <f t="shared" si="130"/>
        <v/>
      </c>
      <c r="AK684" s="54">
        <f t="shared" si="131"/>
        <v>0.36988542431520843</v>
      </c>
    </row>
    <row r="685" spans="9:37" x14ac:dyDescent="0.45">
      <c r="I685" s="2">
        <v>83.1</v>
      </c>
      <c r="J685" s="2">
        <v>9.2940800000000004E-2</v>
      </c>
      <c r="K685" s="2">
        <v>5.0648800000000001E-2</v>
      </c>
      <c r="R685" s="2">
        <v>23.61</v>
      </c>
      <c r="S685" s="2">
        <v>5.6877999999999996E-4</v>
      </c>
      <c r="T685" s="2">
        <v>2.2431999999999999E-4</v>
      </c>
      <c r="V685" s="11"/>
      <c r="W685" s="6"/>
      <c r="X685" s="6">
        <v>6.66</v>
      </c>
      <c r="Y685" s="11" t="str">
        <f t="shared" si="132"/>
        <v/>
      </c>
      <c r="Z685" s="6" t="str">
        <f t="shared" si="133"/>
        <v/>
      </c>
      <c r="AA685" s="23">
        <f t="shared" si="134"/>
        <v>36.659999999999997</v>
      </c>
      <c r="AB685" t="str">
        <f t="shared" si="123"/>
        <v/>
      </c>
      <c r="AC685" t="str">
        <f t="shared" si="124"/>
        <v/>
      </c>
      <c r="AD685">
        <f t="shared" si="125"/>
        <v>7.3107999999999995E-4</v>
      </c>
      <c r="AE685" s="18" t="str">
        <f t="shared" si="126"/>
        <v/>
      </c>
      <c r="AF685" s="7" t="str">
        <f t="shared" si="127"/>
        <v/>
      </c>
      <c r="AG685" s="12">
        <f t="shared" si="128"/>
        <v>0.99573808808082609</v>
      </c>
      <c r="AI685" s="54" t="str">
        <f t="shared" si="129"/>
        <v/>
      </c>
      <c r="AJ685" s="54" t="str">
        <f t="shared" si="130"/>
        <v/>
      </c>
      <c r="AK685" s="54">
        <f t="shared" si="131"/>
        <v>0.37051966607215847</v>
      </c>
    </row>
    <row r="686" spans="9:37" x14ac:dyDescent="0.45">
      <c r="I686" s="2">
        <v>83.2</v>
      </c>
      <c r="J686" s="2">
        <v>9.3882599999999997E-2</v>
      </c>
      <c r="K686" s="2">
        <v>5.1189600000000002E-2</v>
      </c>
      <c r="R686" s="2">
        <v>23.62</v>
      </c>
      <c r="S686" s="2">
        <v>5.6875999999999997E-4</v>
      </c>
      <c r="T686" s="2">
        <v>2.2444000000000001E-4</v>
      </c>
      <c r="V686" s="11"/>
      <c r="W686" s="6"/>
      <c r="X686" s="6">
        <v>6.67</v>
      </c>
      <c r="Y686" s="11" t="str">
        <f t="shared" si="132"/>
        <v/>
      </c>
      <c r="Z686" s="6" t="str">
        <f t="shared" si="133"/>
        <v/>
      </c>
      <c r="AA686" s="23">
        <f t="shared" si="134"/>
        <v>36.67</v>
      </c>
      <c r="AB686" t="str">
        <f t="shared" si="123"/>
        <v/>
      </c>
      <c r="AC686" t="str">
        <f t="shared" si="124"/>
        <v/>
      </c>
      <c r="AD686">
        <f t="shared" si="125"/>
        <v>7.3145999999999997E-4</v>
      </c>
      <c r="AE686" s="18" t="str">
        <f t="shared" si="126"/>
        <v/>
      </c>
      <c r="AF686" s="7" t="str">
        <f t="shared" si="127"/>
        <v/>
      </c>
      <c r="AG686" s="12">
        <f t="shared" si="128"/>
        <v>0.99573080843881179</v>
      </c>
      <c r="AI686" s="54" t="str">
        <f t="shared" si="129"/>
        <v/>
      </c>
      <c r="AJ686" s="54" t="str">
        <f t="shared" si="130"/>
        <v/>
      </c>
      <c r="AK686" s="54">
        <f t="shared" si="131"/>
        <v>0.37115416376819055</v>
      </c>
    </row>
    <row r="687" spans="9:37" x14ac:dyDescent="0.45">
      <c r="I687" s="2">
        <v>83.3</v>
      </c>
      <c r="J687" s="2">
        <v>9.4824400000000003E-2</v>
      </c>
      <c r="K687" s="2">
        <v>5.1730400000000003E-2</v>
      </c>
      <c r="R687" s="2">
        <v>23.63</v>
      </c>
      <c r="S687" s="2">
        <v>5.6873999999999998E-4</v>
      </c>
      <c r="T687" s="2">
        <v>2.2456E-4</v>
      </c>
      <c r="V687" s="11"/>
      <c r="W687" s="6"/>
      <c r="X687" s="6">
        <v>6.68</v>
      </c>
      <c r="Y687" s="11" t="str">
        <f t="shared" si="132"/>
        <v/>
      </c>
      <c r="Z687" s="6" t="str">
        <f t="shared" si="133"/>
        <v/>
      </c>
      <c r="AA687" s="23">
        <f t="shared" si="134"/>
        <v>36.68</v>
      </c>
      <c r="AB687" t="str">
        <f t="shared" si="123"/>
        <v/>
      </c>
      <c r="AC687" t="str">
        <f t="shared" si="124"/>
        <v/>
      </c>
      <c r="AD687">
        <f t="shared" si="125"/>
        <v>7.3183999999999999E-4</v>
      </c>
      <c r="AE687" s="18" t="str">
        <f t="shared" si="126"/>
        <v/>
      </c>
      <c r="AF687" s="7" t="str">
        <f t="shared" si="127"/>
        <v/>
      </c>
      <c r="AG687" s="12">
        <f t="shared" si="128"/>
        <v>0.9957235250662404</v>
      </c>
      <c r="AI687" s="54" t="str">
        <f t="shared" si="129"/>
        <v/>
      </c>
      <c r="AJ687" s="54" t="str">
        <f t="shared" si="130"/>
        <v/>
      </c>
      <c r="AK687" s="54">
        <f t="shared" si="131"/>
        <v>0.37178891751237264</v>
      </c>
    </row>
    <row r="688" spans="9:37" x14ac:dyDescent="0.45">
      <c r="I688" s="2">
        <v>83.4</v>
      </c>
      <c r="J688" s="2">
        <v>9.5766199999999996E-2</v>
      </c>
      <c r="K688" s="2">
        <v>5.2271199999999997E-2</v>
      </c>
      <c r="R688" s="2">
        <v>23.64</v>
      </c>
      <c r="S688" s="2">
        <v>5.6871999999999999E-4</v>
      </c>
      <c r="T688" s="2">
        <v>2.2468E-4</v>
      </c>
      <c r="V688" s="11"/>
      <c r="W688" s="6"/>
      <c r="X688" s="6">
        <v>6.69</v>
      </c>
      <c r="Y688" s="11" t="str">
        <f t="shared" si="132"/>
        <v/>
      </c>
      <c r="Z688" s="6" t="str">
        <f t="shared" si="133"/>
        <v/>
      </c>
      <c r="AA688" s="23">
        <f t="shared" si="134"/>
        <v>36.69</v>
      </c>
      <c r="AB688" t="str">
        <f t="shared" si="123"/>
        <v/>
      </c>
      <c r="AC688" t="str">
        <f t="shared" si="124"/>
        <v/>
      </c>
      <c r="AD688">
        <f t="shared" si="125"/>
        <v>7.3222000000000001E-4</v>
      </c>
      <c r="AE688" s="18" t="str">
        <f t="shared" si="126"/>
        <v/>
      </c>
      <c r="AF688" s="7" t="str">
        <f t="shared" si="127"/>
        <v/>
      </c>
      <c r="AG688" s="12">
        <f t="shared" si="128"/>
        <v>0.99571623796319453</v>
      </c>
      <c r="AI688" s="54" t="str">
        <f t="shared" si="129"/>
        <v/>
      </c>
      <c r="AJ688" s="54" t="str">
        <f t="shared" si="130"/>
        <v/>
      </c>
      <c r="AK688" s="54">
        <f t="shared" si="131"/>
        <v>0.37242392741382002</v>
      </c>
    </row>
    <row r="689" spans="9:37" x14ac:dyDescent="0.45">
      <c r="I689" s="2">
        <v>83.5</v>
      </c>
      <c r="J689" s="2">
        <v>9.6708000000000002E-2</v>
      </c>
      <c r="K689" s="2">
        <v>5.2811999999999998E-2</v>
      </c>
      <c r="R689" s="2">
        <v>23.65</v>
      </c>
      <c r="S689" s="2">
        <v>5.687E-4</v>
      </c>
      <c r="T689" s="2">
        <v>2.2479999999999999E-4</v>
      </c>
      <c r="V689" s="11"/>
      <c r="W689" s="6"/>
      <c r="X689" s="6">
        <v>6.7</v>
      </c>
      <c r="Y689" s="11" t="str">
        <f t="shared" si="132"/>
        <v/>
      </c>
      <c r="Z689" s="6" t="str">
        <f t="shared" si="133"/>
        <v/>
      </c>
      <c r="AA689" s="23">
        <f t="shared" si="134"/>
        <v>36.700000000000003</v>
      </c>
      <c r="AB689" t="str">
        <f t="shared" si="123"/>
        <v/>
      </c>
      <c r="AC689" t="str">
        <f t="shared" si="124"/>
        <v/>
      </c>
      <c r="AD689">
        <f t="shared" si="125"/>
        <v>7.3260000000000003E-4</v>
      </c>
      <c r="AE689" s="18" t="str">
        <f t="shared" si="126"/>
        <v/>
      </c>
      <c r="AF689" s="7" t="str">
        <f t="shared" si="127"/>
        <v/>
      </c>
      <c r="AG689" s="12">
        <f t="shared" si="128"/>
        <v>0.99570894712975688</v>
      </c>
      <c r="AI689" s="54" t="str">
        <f t="shared" si="129"/>
        <v/>
      </c>
      <c r="AJ689" s="54" t="str">
        <f t="shared" si="130"/>
        <v/>
      </c>
      <c r="AK689" s="54">
        <f t="shared" si="131"/>
        <v>0.37305919358169537</v>
      </c>
    </row>
    <row r="690" spans="9:37" x14ac:dyDescent="0.45">
      <c r="I690" s="2">
        <v>83.6</v>
      </c>
      <c r="J690" s="2">
        <v>9.7649799999999995E-2</v>
      </c>
      <c r="K690" s="2">
        <v>5.3352799999999999E-2</v>
      </c>
      <c r="R690" s="2">
        <v>23.66</v>
      </c>
      <c r="S690" s="2">
        <v>5.6868000000000001E-4</v>
      </c>
      <c r="T690" s="2">
        <v>2.2492000000000001E-4</v>
      </c>
      <c r="V690" s="11"/>
      <c r="W690" s="6"/>
      <c r="X690" s="6">
        <v>6.71</v>
      </c>
      <c r="Y690" s="11" t="str">
        <f t="shared" si="132"/>
        <v/>
      </c>
      <c r="Z690" s="6" t="str">
        <f t="shared" si="133"/>
        <v/>
      </c>
      <c r="AA690" s="23">
        <f t="shared" si="134"/>
        <v>36.71</v>
      </c>
      <c r="AB690" t="str">
        <f t="shared" si="123"/>
        <v/>
      </c>
      <c r="AC690" t="str">
        <f t="shared" si="124"/>
        <v/>
      </c>
      <c r="AD690">
        <f t="shared" si="125"/>
        <v>7.3298000000000005E-4</v>
      </c>
      <c r="AE690" s="18" t="str">
        <f t="shared" si="126"/>
        <v/>
      </c>
      <c r="AF690" s="7" t="str">
        <f t="shared" si="127"/>
        <v/>
      </c>
      <c r="AG690" s="12">
        <f t="shared" si="128"/>
        <v>0.99570165256601018</v>
      </c>
      <c r="AI690" s="54" t="str">
        <f t="shared" si="129"/>
        <v/>
      </c>
      <c r="AJ690" s="54" t="str">
        <f t="shared" si="130"/>
        <v/>
      </c>
      <c r="AK690" s="54">
        <f t="shared" si="131"/>
        <v>0.37369471612520871</v>
      </c>
    </row>
    <row r="691" spans="9:37" x14ac:dyDescent="0.45">
      <c r="I691" s="2">
        <v>83.7</v>
      </c>
      <c r="J691" s="2">
        <v>9.8591600000000001E-2</v>
      </c>
      <c r="K691" s="2">
        <v>5.38936E-2</v>
      </c>
      <c r="R691" s="2">
        <v>23.67</v>
      </c>
      <c r="S691" s="2">
        <v>5.6866000000000002E-4</v>
      </c>
      <c r="T691" s="2">
        <v>2.2504E-4</v>
      </c>
      <c r="V691" s="11"/>
      <c r="W691" s="6"/>
      <c r="X691" s="6">
        <v>6.72</v>
      </c>
      <c r="Y691" s="11" t="str">
        <f t="shared" si="132"/>
        <v/>
      </c>
      <c r="Z691" s="6" t="str">
        <f t="shared" si="133"/>
        <v/>
      </c>
      <c r="AA691" s="23">
        <f t="shared" si="134"/>
        <v>36.72</v>
      </c>
      <c r="AB691" t="str">
        <f t="shared" si="123"/>
        <v/>
      </c>
      <c r="AC691" t="str">
        <f t="shared" si="124"/>
        <v/>
      </c>
      <c r="AD691">
        <f t="shared" si="125"/>
        <v>7.3335999999999996E-4</v>
      </c>
      <c r="AE691" s="18" t="str">
        <f t="shared" si="126"/>
        <v/>
      </c>
      <c r="AF691" s="7" t="str">
        <f t="shared" si="127"/>
        <v/>
      </c>
      <c r="AG691" s="12">
        <f t="shared" si="128"/>
        <v>0.99569435427203723</v>
      </c>
      <c r="AI691" s="54" t="str">
        <f t="shared" si="129"/>
        <v/>
      </c>
      <c r="AJ691" s="54" t="str">
        <f t="shared" si="130"/>
        <v/>
      </c>
      <c r="AK691" s="54">
        <f t="shared" si="131"/>
        <v>0.37433049515361755</v>
      </c>
    </row>
    <row r="692" spans="9:37" x14ac:dyDescent="0.45">
      <c r="I692" s="2">
        <v>83.8</v>
      </c>
      <c r="J692" s="2">
        <v>9.9533399999999994E-2</v>
      </c>
      <c r="K692" s="2">
        <v>5.4434400000000001E-2</v>
      </c>
      <c r="R692" s="2">
        <v>23.68</v>
      </c>
      <c r="S692" s="2">
        <v>5.6864000000000003E-4</v>
      </c>
      <c r="T692" s="2">
        <v>2.2515999999999999E-4</v>
      </c>
      <c r="V692" s="11"/>
      <c r="W692" s="6"/>
      <c r="X692" s="6">
        <v>6.73</v>
      </c>
      <c r="Y692" s="11" t="str">
        <f t="shared" si="132"/>
        <v/>
      </c>
      <c r="Z692" s="6" t="str">
        <f t="shared" si="133"/>
        <v/>
      </c>
      <c r="AA692" s="23">
        <f t="shared" si="134"/>
        <v>36.730000000000004</v>
      </c>
      <c r="AB692" t="str">
        <f t="shared" si="123"/>
        <v/>
      </c>
      <c r="AC692" t="str">
        <f t="shared" si="124"/>
        <v/>
      </c>
      <c r="AD692">
        <f t="shared" si="125"/>
        <v>7.3373999999999998E-4</v>
      </c>
      <c r="AE692" s="18" t="str">
        <f t="shared" si="126"/>
        <v/>
      </c>
      <c r="AF692" s="7" t="str">
        <f t="shared" si="127"/>
        <v/>
      </c>
      <c r="AG692" s="12">
        <f t="shared" si="128"/>
        <v>0.99568705224792076</v>
      </c>
      <c r="AI692" s="54" t="str">
        <f t="shared" si="129"/>
        <v/>
      </c>
      <c r="AJ692" s="54" t="str">
        <f t="shared" si="130"/>
        <v/>
      </c>
      <c r="AK692" s="54">
        <f t="shared" si="131"/>
        <v>0.37496653077622677</v>
      </c>
    </row>
    <row r="693" spans="9:37" x14ac:dyDescent="0.45">
      <c r="I693" s="2">
        <v>83.9</v>
      </c>
      <c r="J693" s="2">
        <v>0.1004752</v>
      </c>
      <c r="K693" s="2">
        <v>5.4975200000000002E-2</v>
      </c>
      <c r="R693" s="2">
        <v>23.69</v>
      </c>
      <c r="S693" s="2">
        <v>5.6862000000000004E-4</v>
      </c>
      <c r="T693" s="2">
        <v>2.2528000000000001E-4</v>
      </c>
      <c r="V693" s="11"/>
      <c r="W693" s="6"/>
      <c r="X693" s="6">
        <v>6.74</v>
      </c>
      <c r="Y693" s="11" t="str">
        <f t="shared" si="132"/>
        <v/>
      </c>
      <c r="Z693" s="6" t="str">
        <f t="shared" si="133"/>
        <v/>
      </c>
      <c r="AA693" s="23">
        <f t="shared" si="134"/>
        <v>36.74</v>
      </c>
      <c r="AB693" t="str">
        <f t="shared" si="123"/>
        <v/>
      </c>
      <c r="AC693" t="str">
        <f t="shared" si="124"/>
        <v/>
      </c>
      <c r="AD693">
        <f t="shared" si="125"/>
        <v>7.3412E-4</v>
      </c>
      <c r="AE693" s="18" t="str">
        <f t="shared" si="126"/>
        <v/>
      </c>
      <c r="AF693" s="7" t="str">
        <f t="shared" si="127"/>
        <v/>
      </c>
      <c r="AG693" s="12">
        <f t="shared" si="128"/>
        <v>0.99567974649374358</v>
      </c>
      <c r="AI693" s="54" t="str">
        <f t="shared" si="129"/>
        <v/>
      </c>
      <c r="AJ693" s="54" t="str">
        <f t="shared" si="130"/>
        <v/>
      </c>
      <c r="AK693" s="54">
        <f t="shared" si="131"/>
        <v>0.37560282310238868</v>
      </c>
    </row>
    <row r="694" spans="9:37" x14ac:dyDescent="0.45">
      <c r="I694" s="2">
        <v>84</v>
      </c>
      <c r="J694" s="2">
        <v>0.10141699999999999</v>
      </c>
      <c r="K694" s="2">
        <v>5.5516000000000003E-2</v>
      </c>
      <c r="R694" s="2">
        <v>23.7</v>
      </c>
      <c r="S694" s="2">
        <v>5.6860000000000005E-4</v>
      </c>
      <c r="T694" s="2">
        <v>2.254E-4</v>
      </c>
      <c r="V694" s="11"/>
      <c r="W694" s="6"/>
      <c r="X694" s="6">
        <v>6.75</v>
      </c>
      <c r="Y694" s="11" t="str">
        <f t="shared" si="132"/>
        <v/>
      </c>
      <c r="Z694" s="6" t="str">
        <f t="shared" si="133"/>
        <v/>
      </c>
      <c r="AA694" s="23">
        <f t="shared" si="134"/>
        <v>36.75</v>
      </c>
      <c r="AB694" t="str">
        <f t="shared" si="123"/>
        <v/>
      </c>
      <c r="AC694" t="str">
        <f t="shared" si="124"/>
        <v/>
      </c>
      <c r="AD694">
        <f t="shared" si="125"/>
        <v>7.3450000000000002E-4</v>
      </c>
      <c r="AE694" s="18" t="str">
        <f t="shared" si="126"/>
        <v/>
      </c>
      <c r="AF694" s="7" t="str">
        <f t="shared" si="127"/>
        <v/>
      </c>
      <c r="AG694" s="12">
        <f t="shared" si="128"/>
        <v>0.99567243700958863</v>
      </c>
      <c r="AI694" s="54" t="str">
        <f t="shared" si="129"/>
        <v/>
      </c>
      <c r="AJ694" s="54" t="str">
        <f t="shared" si="130"/>
        <v/>
      </c>
      <c r="AK694" s="54">
        <f t="shared" si="131"/>
        <v>0.37623937224150311</v>
      </c>
    </row>
    <row r="695" spans="9:37" x14ac:dyDescent="0.45">
      <c r="I695" s="2">
        <v>84.1</v>
      </c>
      <c r="J695" s="2">
        <v>0.1024444</v>
      </c>
      <c r="K695" s="2">
        <v>5.6115400000000003E-2</v>
      </c>
      <c r="R695" s="2">
        <v>23.71</v>
      </c>
      <c r="S695" s="2">
        <v>5.6857999999999995E-4</v>
      </c>
      <c r="T695" s="2">
        <v>2.2552E-4</v>
      </c>
      <c r="V695" s="11"/>
      <c r="W695" s="6"/>
      <c r="X695" s="6">
        <v>6.76</v>
      </c>
      <c r="Y695" s="11" t="str">
        <f t="shared" si="132"/>
        <v/>
      </c>
      <c r="Z695" s="6" t="str">
        <f t="shared" si="133"/>
        <v/>
      </c>
      <c r="AA695" s="23">
        <f t="shared" si="134"/>
        <v>36.76</v>
      </c>
      <c r="AB695" t="str">
        <f t="shared" si="123"/>
        <v/>
      </c>
      <c r="AC695" t="str">
        <f t="shared" si="124"/>
        <v/>
      </c>
      <c r="AD695">
        <f t="shared" si="125"/>
        <v>7.3488000000000004E-4</v>
      </c>
      <c r="AE695" s="18" t="str">
        <f t="shared" si="126"/>
        <v/>
      </c>
      <c r="AF695" s="7" t="str">
        <f t="shared" si="127"/>
        <v/>
      </c>
      <c r="AG695" s="12">
        <f t="shared" si="128"/>
        <v>0.99566512379553884</v>
      </c>
      <c r="AI695" s="54" t="str">
        <f t="shared" si="129"/>
        <v/>
      </c>
      <c r="AJ695" s="54" t="str">
        <f t="shared" si="130"/>
        <v/>
      </c>
      <c r="AK695" s="54">
        <f t="shared" si="131"/>
        <v>0.37687617830301734</v>
      </c>
    </row>
    <row r="696" spans="9:37" x14ac:dyDescent="0.45">
      <c r="I696" s="2">
        <v>84.2</v>
      </c>
      <c r="J696" s="2">
        <v>0.1034718</v>
      </c>
      <c r="K696" s="2">
        <v>5.6714800000000003E-2</v>
      </c>
      <c r="R696" s="2">
        <v>23.72</v>
      </c>
      <c r="S696" s="2">
        <v>5.6855999999999996E-4</v>
      </c>
      <c r="T696" s="2">
        <v>2.2563999999999999E-4</v>
      </c>
      <c r="V696" s="11"/>
      <c r="W696" s="6"/>
      <c r="X696" s="6">
        <v>6.7700000000000005</v>
      </c>
      <c r="Y696" s="11" t="str">
        <f t="shared" si="132"/>
        <v/>
      </c>
      <c r="Z696" s="6" t="str">
        <f t="shared" si="133"/>
        <v/>
      </c>
      <c r="AA696" s="23">
        <f t="shared" si="134"/>
        <v>36.770000000000003</v>
      </c>
      <c r="AB696" t="str">
        <f t="shared" si="123"/>
        <v/>
      </c>
      <c r="AC696" t="str">
        <f t="shared" si="124"/>
        <v/>
      </c>
      <c r="AD696">
        <f t="shared" si="125"/>
        <v>7.3525999999999995E-4</v>
      </c>
      <c r="AE696" s="18" t="str">
        <f t="shared" si="126"/>
        <v/>
      </c>
      <c r="AF696" s="7" t="str">
        <f t="shared" si="127"/>
        <v/>
      </c>
      <c r="AG696" s="12">
        <f t="shared" si="128"/>
        <v>0.99565780685167704</v>
      </c>
      <c r="AI696" s="54" t="str">
        <f t="shared" si="129"/>
        <v/>
      </c>
      <c r="AJ696" s="54" t="str">
        <f t="shared" si="130"/>
        <v/>
      </c>
      <c r="AK696" s="54">
        <f t="shared" si="131"/>
        <v>0.37751324139642617</v>
      </c>
    </row>
    <row r="697" spans="9:37" x14ac:dyDescent="0.45">
      <c r="I697" s="2">
        <v>84.3</v>
      </c>
      <c r="J697" s="2">
        <v>0.1044992</v>
      </c>
      <c r="K697" s="2">
        <v>5.7314200000000003E-2</v>
      </c>
      <c r="R697" s="2">
        <v>23.73</v>
      </c>
      <c r="S697" s="2">
        <v>5.6853999999999997E-4</v>
      </c>
      <c r="T697" s="2">
        <v>2.2576000000000001E-4</v>
      </c>
      <c r="V697" s="11"/>
      <c r="W697" s="6"/>
      <c r="X697" s="6">
        <v>6.78</v>
      </c>
      <c r="Y697" s="11" t="str">
        <f t="shared" si="132"/>
        <v/>
      </c>
      <c r="Z697" s="6" t="str">
        <f t="shared" si="133"/>
        <v/>
      </c>
      <c r="AA697" s="23">
        <f t="shared" si="134"/>
        <v>36.78</v>
      </c>
      <c r="AB697" t="str">
        <f t="shared" si="123"/>
        <v/>
      </c>
      <c r="AC697" t="str">
        <f t="shared" si="124"/>
        <v/>
      </c>
      <c r="AD697">
        <f t="shared" si="125"/>
        <v>7.3563999999999997E-4</v>
      </c>
      <c r="AE697" s="18" t="str">
        <f t="shared" si="126"/>
        <v/>
      </c>
      <c r="AF697" s="7" t="str">
        <f t="shared" si="127"/>
        <v/>
      </c>
      <c r="AG697" s="12">
        <f t="shared" si="128"/>
        <v>0.99565048617808638</v>
      </c>
      <c r="AI697" s="54" t="str">
        <f t="shared" si="129"/>
        <v/>
      </c>
      <c r="AJ697" s="54" t="str">
        <f t="shared" si="130"/>
        <v/>
      </c>
      <c r="AK697" s="54">
        <f t="shared" si="131"/>
        <v>0.37815056163127192</v>
      </c>
    </row>
    <row r="698" spans="9:37" x14ac:dyDescent="0.45">
      <c r="I698" s="2">
        <v>84.4</v>
      </c>
      <c r="J698" s="2">
        <v>0.1055266</v>
      </c>
      <c r="K698" s="2">
        <v>5.7913600000000003E-2</v>
      </c>
      <c r="R698" s="2">
        <v>23.74</v>
      </c>
      <c r="S698" s="2">
        <v>5.6851999999999998E-4</v>
      </c>
      <c r="T698" s="2">
        <v>2.2588E-4</v>
      </c>
      <c r="V698" s="11"/>
      <c r="W698" s="6"/>
      <c r="X698" s="6">
        <v>6.79</v>
      </c>
      <c r="Y698" s="11" t="str">
        <f t="shared" si="132"/>
        <v/>
      </c>
      <c r="Z698" s="6" t="str">
        <f t="shared" si="133"/>
        <v/>
      </c>
      <c r="AA698" s="23">
        <f t="shared" si="134"/>
        <v>36.79</v>
      </c>
      <c r="AB698" t="str">
        <f t="shared" si="123"/>
        <v/>
      </c>
      <c r="AC698" t="str">
        <f t="shared" si="124"/>
        <v/>
      </c>
      <c r="AD698">
        <f t="shared" si="125"/>
        <v>7.3601999999999999E-4</v>
      </c>
      <c r="AE698" s="18" t="str">
        <f t="shared" si="126"/>
        <v/>
      </c>
      <c r="AF698" s="7" t="str">
        <f t="shared" si="127"/>
        <v/>
      </c>
      <c r="AG698" s="12">
        <f t="shared" si="128"/>
        <v>0.99564316177484991</v>
      </c>
      <c r="AI698" s="54" t="str">
        <f t="shared" si="129"/>
        <v/>
      </c>
      <c r="AJ698" s="54" t="str">
        <f t="shared" si="130"/>
        <v/>
      </c>
      <c r="AK698" s="54">
        <f t="shared" si="131"/>
        <v>0.37878813911714448</v>
      </c>
    </row>
    <row r="699" spans="9:37" x14ac:dyDescent="0.45">
      <c r="I699" s="2">
        <v>84.5</v>
      </c>
      <c r="J699" s="2">
        <v>0.106554</v>
      </c>
      <c r="K699" s="2">
        <v>5.8513000000000003E-2</v>
      </c>
      <c r="R699" s="2">
        <v>23.75</v>
      </c>
      <c r="S699" s="2">
        <v>5.6849999999999999E-4</v>
      </c>
      <c r="T699" s="2">
        <v>2.2599999999999999E-4</v>
      </c>
      <c r="V699" s="11"/>
      <c r="W699" s="6"/>
      <c r="X699" s="6">
        <v>6.8</v>
      </c>
      <c r="Y699" s="11" t="str">
        <f t="shared" si="132"/>
        <v/>
      </c>
      <c r="Z699" s="6" t="str">
        <f t="shared" si="133"/>
        <v/>
      </c>
      <c r="AA699" s="23">
        <f t="shared" si="134"/>
        <v>36.799999999999997</v>
      </c>
      <c r="AB699" t="str">
        <f t="shared" si="123"/>
        <v/>
      </c>
      <c r="AC699" t="str">
        <f t="shared" si="124"/>
        <v/>
      </c>
      <c r="AD699">
        <f t="shared" si="125"/>
        <v>7.3640000000000001E-4</v>
      </c>
      <c r="AE699" s="18" t="str">
        <f t="shared" si="126"/>
        <v/>
      </c>
      <c r="AF699" s="7" t="str">
        <f t="shared" si="127"/>
        <v/>
      </c>
      <c r="AG699" s="12">
        <f t="shared" si="128"/>
        <v>0.99563583364205066</v>
      </c>
      <c r="AI699" s="54" t="str">
        <f t="shared" si="129"/>
        <v/>
      </c>
      <c r="AJ699" s="54" t="str">
        <f t="shared" si="130"/>
        <v/>
      </c>
      <c r="AK699" s="54">
        <f t="shared" si="131"/>
        <v>0.37942597396368138</v>
      </c>
    </row>
    <row r="700" spans="9:37" x14ac:dyDescent="0.45">
      <c r="I700" s="2">
        <v>84.6</v>
      </c>
      <c r="J700" s="2">
        <v>0.10758139999999999</v>
      </c>
      <c r="K700" s="2">
        <v>5.9112400000000002E-2</v>
      </c>
      <c r="R700" s="2">
        <v>23.76</v>
      </c>
      <c r="S700" s="2">
        <v>5.6848000000000001E-4</v>
      </c>
      <c r="T700" s="2">
        <v>2.2612000000000001E-4</v>
      </c>
      <c r="V700" s="11"/>
      <c r="W700" s="6"/>
      <c r="X700" s="6">
        <v>6.8100000000000005</v>
      </c>
      <c r="Y700" s="11" t="str">
        <f t="shared" si="132"/>
        <v/>
      </c>
      <c r="Z700" s="6" t="str">
        <f t="shared" si="133"/>
        <v/>
      </c>
      <c r="AA700" s="23">
        <f t="shared" si="134"/>
        <v>36.81</v>
      </c>
      <c r="AB700" t="str">
        <f t="shared" si="123"/>
        <v/>
      </c>
      <c r="AC700" t="str">
        <f t="shared" si="124"/>
        <v/>
      </c>
      <c r="AD700">
        <f t="shared" si="125"/>
        <v>7.3678000000000003E-4</v>
      </c>
      <c r="AE700" s="18" t="str">
        <f t="shared" si="126"/>
        <v/>
      </c>
      <c r="AF700" s="7" t="str">
        <f t="shared" si="127"/>
        <v/>
      </c>
      <c r="AG700" s="12">
        <f t="shared" si="128"/>
        <v>0.99562850177977169</v>
      </c>
      <c r="AI700" s="54" t="str">
        <f t="shared" si="129"/>
        <v/>
      </c>
      <c r="AJ700" s="54" t="str">
        <f t="shared" si="130"/>
        <v/>
      </c>
      <c r="AK700" s="54">
        <f t="shared" si="131"/>
        <v>0.3800640662805676</v>
      </c>
    </row>
    <row r="701" spans="9:37" x14ac:dyDescent="0.45">
      <c r="I701" s="2">
        <v>84.7</v>
      </c>
      <c r="J701" s="2">
        <v>0.10860880000000001</v>
      </c>
      <c r="K701" s="2">
        <v>5.9711800000000002E-2</v>
      </c>
      <c r="R701" s="2">
        <v>23.77</v>
      </c>
      <c r="S701" s="2">
        <v>5.6846000000000002E-4</v>
      </c>
      <c r="T701" s="2">
        <v>2.2624E-4</v>
      </c>
      <c r="V701" s="11"/>
      <c r="W701" s="6"/>
      <c r="X701" s="6">
        <v>6.82</v>
      </c>
      <c r="Y701" s="11" t="str">
        <f t="shared" si="132"/>
        <v/>
      </c>
      <c r="Z701" s="6" t="str">
        <f t="shared" si="133"/>
        <v/>
      </c>
      <c r="AA701" s="23">
        <f t="shared" si="134"/>
        <v>36.82</v>
      </c>
      <c r="AB701" t="str">
        <f t="shared" si="123"/>
        <v/>
      </c>
      <c r="AC701" t="str">
        <f t="shared" si="124"/>
        <v/>
      </c>
      <c r="AD701">
        <f t="shared" si="125"/>
        <v>7.3716000000000005E-4</v>
      </c>
      <c r="AE701" s="18" t="str">
        <f t="shared" si="126"/>
        <v/>
      </c>
      <c r="AF701" s="7" t="str">
        <f t="shared" si="127"/>
        <v/>
      </c>
      <c r="AG701" s="12">
        <f t="shared" si="128"/>
        <v>0.99562116618809626</v>
      </c>
      <c r="AI701" s="54" t="str">
        <f t="shared" si="129"/>
        <v/>
      </c>
      <c r="AJ701" s="54" t="str">
        <f t="shared" si="130"/>
        <v/>
      </c>
      <c r="AK701" s="54">
        <f t="shared" si="131"/>
        <v>0.38070241617753586</v>
      </c>
    </row>
    <row r="702" spans="9:37" x14ac:dyDescent="0.45">
      <c r="I702" s="2">
        <v>84.8</v>
      </c>
      <c r="J702" s="2">
        <v>0.1096362</v>
      </c>
      <c r="K702" s="2">
        <v>6.0311200000000002E-2</v>
      </c>
      <c r="R702" s="2">
        <v>23.78</v>
      </c>
      <c r="S702" s="2">
        <v>5.6844000000000003E-4</v>
      </c>
      <c r="T702" s="2">
        <v>2.2635999999999999E-4</v>
      </c>
      <c r="V702" s="11"/>
      <c r="W702" s="6"/>
      <c r="X702" s="6">
        <v>6.83</v>
      </c>
      <c r="Y702" s="11" t="str">
        <f t="shared" si="132"/>
        <v/>
      </c>
      <c r="Z702" s="6" t="str">
        <f t="shared" si="133"/>
        <v/>
      </c>
      <c r="AA702" s="23">
        <f t="shared" si="134"/>
        <v>36.83</v>
      </c>
      <c r="AB702" t="str">
        <f t="shared" si="123"/>
        <v/>
      </c>
      <c r="AC702" t="str">
        <f t="shared" si="124"/>
        <v/>
      </c>
      <c r="AD702">
        <f t="shared" si="125"/>
        <v>7.3753999999999996E-4</v>
      </c>
      <c r="AE702" s="18" t="str">
        <f t="shared" si="126"/>
        <v/>
      </c>
      <c r="AF702" s="7" t="str">
        <f t="shared" si="127"/>
        <v/>
      </c>
      <c r="AG702" s="12">
        <f t="shared" si="128"/>
        <v>0.99561382686710764</v>
      </c>
      <c r="AI702" s="54" t="str">
        <f t="shared" si="129"/>
        <v/>
      </c>
      <c r="AJ702" s="54" t="str">
        <f t="shared" si="130"/>
        <v/>
      </c>
      <c r="AK702" s="54">
        <f t="shared" si="131"/>
        <v>0.38134102376436646</v>
      </c>
    </row>
    <row r="703" spans="9:37" x14ac:dyDescent="0.45">
      <c r="I703" s="2">
        <v>84.9</v>
      </c>
      <c r="J703" s="2">
        <v>0.1106636</v>
      </c>
      <c r="K703" s="2">
        <v>6.0910600000000002E-2</v>
      </c>
      <c r="R703" s="2">
        <v>23.79</v>
      </c>
      <c r="S703" s="2">
        <v>5.6842000000000004E-4</v>
      </c>
      <c r="T703" s="2">
        <v>2.2647999999999999E-4</v>
      </c>
      <c r="V703" s="11"/>
      <c r="W703" s="6"/>
      <c r="X703" s="6">
        <v>6.84</v>
      </c>
      <c r="Y703" s="11" t="str">
        <f t="shared" si="132"/>
        <v/>
      </c>
      <c r="Z703" s="6" t="str">
        <f t="shared" si="133"/>
        <v/>
      </c>
      <c r="AA703" s="23">
        <f t="shared" si="134"/>
        <v>36.840000000000003</v>
      </c>
      <c r="AB703" t="str">
        <f t="shared" si="123"/>
        <v/>
      </c>
      <c r="AC703" t="str">
        <f t="shared" si="124"/>
        <v/>
      </c>
      <c r="AD703">
        <f t="shared" si="125"/>
        <v>7.3791999999999998E-4</v>
      </c>
      <c r="AE703" s="18" t="str">
        <f t="shared" si="126"/>
        <v/>
      </c>
      <c r="AF703" s="7" t="str">
        <f t="shared" si="127"/>
        <v/>
      </c>
      <c r="AG703" s="12">
        <f t="shared" si="128"/>
        <v>0.99560648381688899</v>
      </c>
      <c r="AI703" s="54" t="str">
        <f t="shared" si="129"/>
        <v/>
      </c>
      <c r="AJ703" s="54" t="str">
        <f t="shared" si="130"/>
        <v/>
      </c>
      <c r="AK703" s="54">
        <f t="shared" si="131"/>
        <v>0.38197988915088738</v>
      </c>
    </row>
    <row r="704" spans="9:37" x14ac:dyDescent="0.45">
      <c r="I704" s="2">
        <v>85</v>
      </c>
      <c r="J704" s="2">
        <v>0.111691</v>
      </c>
      <c r="K704" s="2">
        <v>6.1510000000000002E-2</v>
      </c>
      <c r="R704" s="2">
        <v>23.8</v>
      </c>
      <c r="S704" s="2">
        <v>5.6840000000000005E-4</v>
      </c>
      <c r="T704" s="2">
        <v>2.2660000000000001E-4</v>
      </c>
      <c r="V704" s="11"/>
      <c r="W704" s="6"/>
      <c r="X704" s="6">
        <v>6.8500000000000005</v>
      </c>
      <c r="Y704" s="11" t="str">
        <f t="shared" si="132"/>
        <v/>
      </c>
      <c r="Z704" s="6" t="str">
        <f t="shared" si="133"/>
        <v/>
      </c>
      <c r="AA704" s="23">
        <f t="shared" si="134"/>
        <v>36.85</v>
      </c>
      <c r="AB704" t="str">
        <f t="shared" si="123"/>
        <v/>
      </c>
      <c r="AC704" t="str">
        <f t="shared" si="124"/>
        <v/>
      </c>
      <c r="AD704">
        <f t="shared" si="125"/>
        <v>7.383E-4</v>
      </c>
      <c r="AE704" s="18" t="str">
        <f t="shared" si="126"/>
        <v/>
      </c>
      <c r="AF704" s="7" t="str">
        <f t="shared" si="127"/>
        <v/>
      </c>
      <c r="AG704" s="12">
        <f t="shared" si="128"/>
        <v>0.99559913703752356</v>
      </c>
      <c r="AI704" s="54" t="str">
        <f t="shared" si="129"/>
        <v/>
      </c>
      <c r="AJ704" s="54" t="str">
        <f t="shared" si="130"/>
        <v/>
      </c>
      <c r="AK704" s="54">
        <f t="shared" si="131"/>
        <v>0.38261901244697427</v>
      </c>
    </row>
    <row r="705" spans="9:37" x14ac:dyDescent="0.45">
      <c r="I705" s="2">
        <v>85.1</v>
      </c>
      <c r="J705" s="2">
        <v>0.1128103</v>
      </c>
      <c r="K705" s="2">
        <v>6.2174199999999999E-2</v>
      </c>
      <c r="R705" s="2">
        <v>23.81</v>
      </c>
      <c r="S705" s="2">
        <v>5.6837999999999995E-4</v>
      </c>
      <c r="T705" s="2">
        <v>2.2672E-4</v>
      </c>
      <c r="V705" s="11"/>
      <c r="W705" s="6"/>
      <c r="X705" s="6">
        <v>6.86</v>
      </c>
      <c r="Y705" s="11" t="str">
        <f t="shared" si="132"/>
        <v/>
      </c>
      <c r="Z705" s="6" t="str">
        <f t="shared" si="133"/>
        <v/>
      </c>
      <c r="AA705" s="23">
        <f t="shared" si="134"/>
        <v>36.86</v>
      </c>
      <c r="AB705" t="str">
        <f t="shared" si="123"/>
        <v/>
      </c>
      <c r="AC705" t="str">
        <f t="shared" si="124"/>
        <v/>
      </c>
      <c r="AD705">
        <f t="shared" si="125"/>
        <v>7.3868000000000002E-4</v>
      </c>
      <c r="AE705" s="18" t="str">
        <f t="shared" si="126"/>
        <v/>
      </c>
      <c r="AF705" s="7" t="str">
        <f t="shared" si="127"/>
        <v/>
      </c>
      <c r="AG705" s="12">
        <f t="shared" si="128"/>
        <v>0.99559178652909486</v>
      </c>
      <c r="AI705" s="54" t="str">
        <f t="shared" si="129"/>
        <v/>
      </c>
      <c r="AJ705" s="54" t="str">
        <f t="shared" si="130"/>
        <v/>
      </c>
      <c r="AK705" s="54">
        <f t="shared" si="131"/>
        <v>0.38325839376255044</v>
      </c>
    </row>
    <row r="706" spans="9:37" x14ac:dyDescent="0.45">
      <c r="I706" s="2">
        <v>85.2</v>
      </c>
      <c r="J706" s="2">
        <v>0.11392960000000001</v>
      </c>
      <c r="K706" s="2">
        <v>6.2838400000000003E-2</v>
      </c>
      <c r="R706" s="2">
        <v>23.82</v>
      </c>
      <c r="S706" s="2">
        <v>5.6835999999999996E-4</v>
      </c>
      <c r="T706" s="2">
        <v>2.2683999999999999E-4</v>
      </c>
      <c r="V706" s="11"/>
      <c r="W706" s="6"/>
      <c r="X706" s="6">
        <v>6.87</v>
      </c>
      <c r="Y706" s="11" t="str">
        <f t="shared" si="132"/>
        <v/>
      </c>
      <c r="Z706" s="6" t="str">
        <f t="shared" si="133"/>
        <v/>
      </c>
      <c r="AA706" s="23">
        <f t="shared" si="134"/>
        <v>36.869999999999997</v>
      </c>
      <c r="AB706" t="str">
        <f t="shared" si="123"/>
        <v/>
      </c>
      <c r="AC706" t="str">
        <f t="shared" si="124"/>
        <v/>
      </c>
      <c r="AD706">
        <f t="shared" si="125"/>
        <v>7.3906000000000004E-4</v>
      </c>
      <c r="AE706" s="18" t="str">
        <f t="shared" si="126"/>
        <v/>
      </c>
      <c r="AF706" s="7" t="str">
        <f t="shared" si="127"/>
        <v/>
      </c>
      <c r="AG706" s="12">
        <f t="shared" si="128"/>
        <v>0.99558443229168614</v>
      </c>
      <c r="AI706" s="54" t="str">
        <f t="shared" si="129"/>
        <v/>
      </c>
      <c r="AJ706" s="54" t="str">
        <f t="shared" si="130"/>
        <v/>
      </c>
      <c r="AK706" s="54">
        <f t="shared" si="131"/>
        <v>0.38389803320758698</v>
      </c>
    </row>
    <row r="707" spans="9:37" x14ac:dyDescent="0.45">
      <c r="I707" s="2">
        <v>85.3</v>
      </c>
      <c r="J707" s="2">
        <v>0.1150489</v>
      </c>
      <c r="K707" s="2">
        <v>6.3502600000000006E-2</v>
      </c>
      <c r="R707" s="2">
        <v>23.83</v>
      </c>
      <c r="S707" s="2">
        <v>5.6833999999999997E-4</v>
      </c>
      <c r="T707" s="2">
        <v>2.2696000000000001E-4</v>
      </c>
      <c r="V707" s="11"/>
      <c r="W707" s="6"/>
      <c r="X707" s="6">
        <v>6.88</v>
      </c>
      <c r="Y707" s="11" t="str">
        <f t="shared" si="132"/>
        <v/>
      </c>
      <c r="Z707" s="6" t="str">
        <f t="shared" si="133"/>
        <v/>
      </c>
      <c r="AA707" s="23">
        <f t="shared" si="134"/>
        <v>36.880000000000003</v>
      </c>
      <c r="AB707" t="str">
        <f t="shared" si="123"/>
        <v/>
      </c>
      <c r="AC707" t="str">
        <f t="shared" si="124"/>
        <v/>
      </c>
      <c r="AD707">
        <f t="shared" si="125"/>
        <v>7.3943999999999995E-4</v>
      </c>
      <c r="AE707" s="18" t="str">
        <f t="shared" si="126"/>
        <v/>
      </c>
      <c r="AF707" s="7" t="str">
        <f t="shared" si="127"/>
        <v/>
      </c>
      <c r="AG707" s="12">
        <f t="shared" si="128"/>
        <v>0.9955770743253809</v>
      </c>
      <c r="AI707" s="54" t="str">
        <f t="shared" si="129"/>
        <v/>
      </c>
      <c r="AJ707" s="54" t="str">
        <f t="shared" si="130"/>
        <v/>
      </c>
      <c r="AK707" s="54">
        <f t="shared" si="131"/>
        <v>0.38453793089210275</v>
      </c>
    </row>
    <row r="708" spans="9:37" x14ac:dyDescent="0.45">
      <c r="I708" s="2">
        <v>85.4</v>
      </c>
      <c r="J708" s="2">
        <v>0.1161682</v>
      </c>
      <c r="K708" s="2">
        <v>6.4166799999999996E-2</v>
      </c>
      <c r="R708" s="2">
        <v>23.84</v>
      </c>
      <c r="S708" s="2">
        <v>5.6831999999999998E-4</v>
      </c>
      <c r="T708" s="2">
        <v>2.2708E-4</v>
      </c>
      <c r="V708" s="11"/>
      <c r="W708" s="6"/>
      <c r="X708" s="6">
        <v>6.8900000000000006</v>
      </c>
      <c r="Y708" s="11" t="str">
        <f t="shared" si="132"/>
        <v/>
      </c>
      <c r="Z708" s="6" t="str">
        <f t="shared" si="133"/>
        <v/>
      </c>
      <c r="AA708" s="23">
        <f t="shared" si="134"/>
        <v>36.89</v>
      </c>
      <c r="AB708" t="str">
        <f t="shared" si="123"/>
        <v/>
      </c>
      <c r="AC708" t="str">
        <f t="shared" si="124"/>
        <v/>
      </c>
      <c r="AD708">
        <f t="shared" si="125"/>
        <v>7.3981999999999997E-4</v>
      </c>
      <c r="AE708" s="18" t="str">
        <f t="shared" si="126"/>
        <v/>
      </c>
      <c r="AF708" s="7" t="str">
        <f t="shared" si="127"/>
        <v/>
      </c>
      <c r="AG708" s="12">
        <f t="shared" si="128"/>
        <v>0.9955697126302625</v>
      </c>
      <c r="AI708" s="54" t="str">
        <f t="shared" si="129"/>
        <v/>
      </c>
      <c r="AJ708" s="54" t="str">
        <f t="shared" si="130"/>
        <v/>
      </c>
      <c r="AK708" s="54">
        <f t="shared" si="131"/>
        <v>0.38517808692616429</v>
      </c>
    </row>
    <row r="709" spans="9:37" x14ac:dyDescent="0.45">
      <c r="I709" s="2">
        <v>85.5</v>
      </c>
      <c r="J709" s="2">
        <v>0.1172875</v>
      </c>
      <c r="K709" s="2">
        <v>6.4831E-2</v>
      </c>
      <c r="R709" s="2">
        <v>23.85</v>
      </c>
      <c r="S709" s="2">
        <v>5.6829999999999999E-4</v>
      </c>
      <c r="T709" s="2">
        <v>2.2719999999999999E-4</v>
      </c>
      <c r="V709" s="11"/>
      <c r="W709" s="6"/>
      <c r="X709" s="6">
        <v>6.9</v>
      </c>
      <c r="Y709" s="11" t="str">
        <f t="shared" si="132"/>
        <v/>
      </c>
      <c r="Z709" s="6" t="str">
        <f t="shared" si="133"/>
        <v/>
      </c>
      <c r="AA709" s="23">
        <f t="shared" si="134"/>
        <v>36.9</v>
      </c>
      <c r="AB709" t="str">
        <f t="shared" si="123"/>
        <v/>
      </c>
      <c r="AC709" t="str">
        <f t="shared" si="124"/>
        <v/>
      </c>
      <c r="AD709">
        <f t="shared" si="125"/>
        <v>7.4019999999999999E-4</v>
      </c>
      <c r="AE709" s="18" t="str">
        <f t="shared" si="126"/>
        <v/>
      </c>
      <c r="AF709" s="7" t="str">
        <f t="shared" si="127"/>
        <v/>
      </c>
      <c r="AG709" s="12">
        <f t="shared" si="128"/>
        <v>0.99556234720641457</v>
      </c>
      <c r="AI709" s="54" t="str">
        <f t="shared" si="129"/>
        <v/>
      </c>
      <c r="AJ709" s="54" t="str">
        <f t="shared" si="130"/>
        <v/>
      </c>
      <c r="AK709" s="54">
        <f t="shared" si="131"/>
        <v>0.38581850141988594</v>
      </c>
    </row>
    <row r="710" spans="9:37" x14ac:dyDescent="0.45">
      <c r="I710" s="2">
        <v>85.6</v>
      </c>
      <c r="J710" s="2">
        <v>0.11840680000000001</v>
      </c>
      <c r="K710" s="2">
        <v>6.5495200000000003E-2</v>
      </c>
      <c r="R710" s="2">
        <v>23.86</v>
      </c>
      <c r="S710" s="2">
        <v>5.6828E-4</v>
      </c>
      <c r="T710" s="2">
        <v>2.2732000000000001E-4</v>
      </c>
      <c r="V710" s="11"/>
      <c r="W710" s="6"/>
      <c r="X710" s="6">
        <v>6.91</v>
      </c>
      <c r="Y710" s="11" t="str">
        <f t="shared" si="132"/>
        <v/>
      </c>
      <c r="Z710" s="6" t="str">
        <f t="shared" si="133"/>
        <v/>
      </c>
      <c r="AA710" s="23">
        <f t="shared" si="134"/>
        <v>36.909999999999997</v>
      </c>
      <c r="AB710" t="str">
        <f t="shared" si="123"/>
        <v/>
      </c>
      <c r="AC710" t="str">
        <f t="shared" si="124"/>
        <v/>
      </c>
      <c r="AD710">
        <f t="shared" si="125"/>
        <v>7.4058000000000001E-4</v>
      </c>
      <c r="AE710" s="18" t="str">
        <f t="shared" si="126"/>
        <v/>
      </c>
      <c r="AF710" s="7" t="str">
        <f t="shared" si="127"/>
        <v/>
      </c>
      <c r="AG710" s="12">
        <f t="shared" si="128"/>
        <v>0.99555497805392057</v>
      </c>
      <c r="AI710" s="54" t="str">
        <f t="shared" si="129"/>
        <v/>
      </c>
      <c r="AJ710" s="54" t="str">
        <f t="shared" si="130"/>
        <v/>
      </c>
      <c r="AK710" s="54">
        <f t="shared" si="131"/>
        <v>0.38645917448342992</v>
      </c>
    </row>
    <row r="711" spans="9:37" x14ac:dyDescent="0.45">
      <c r="I711" s="2">
        <v>85.7</v>
      </c>
      <c r="J711" s="2">
        <v>0.1195261</v>
      </c>
      <c r="K711" s="2">
        <v>6.6159399999999993E-2</v>
      </c>
      <c r="R711" s="2">
        <v>23.87</v>
      </c>
      <c r="S711" s="2">
        <v>5.6826000000000001E-4</v>
      </c>
      <c r="T711" s="2">
        <v>2.2744E-4</v>
      </c>
      <c r="V711" s="11"/>
      <c r="W711" s="6"/>
      <c r="X711" s="6">
        <v>6.92</v>
      </c>
      <c r="Y711" s="11" t="str">
        <f t="shared" si="132"/>
        <v/>
      </c>
      <c r="Z711" s="6" t="str">
        <f t="shared" si="133"/>
        <v/>
      </c>
      <c r="AA711" s="23">
        <f t="shared" si="134"/>
        <v>36.92</v>
      </c>
      <c r="AB711" t="str">
        <f t="shared" si="123"/>
        <v/>
      </c>
      <c r="AC711" t="str">
        <f t="shared" si="124"/>
        <v/>
      </c>
      <c r="AD711">
        <f t="shared" si="125"/>
        <v>7.4096000000000003E-4</v>
      </c>
      <c r="AE711" s="18" t="str">
        <f t="shared" si="126"/>
        <v/>
      </c>
      <c r="AF711" s="7" t="str">
        <f t="shared" si="127"/>
        <v/>
      </c>
      <c r="AG711" s="12">
        <f t="shared" si="128"/>
        <v>0.99554760517286411</v>
      </c>
      <c r="AI711" s="54" t="str">
        <f t="shared" si="129"/>
        <v/>
      </c>
      <c r="AJ711" s="54" t="str">
        <f t="shared" si="130"/>
        <v/>
      </c>
      <c r="AK711" s="54">
        <f t="shared" si="131"/>
        <v>0.38710010622700619</v>
      </c>
    </row>
    <row r="712" spans="9:37" x14ac:dyDescent="0.45">
      <c r="I712" s="2">
        <v>85.8</v>
      </c>
      <c r="J712" s="2">
        <v>0.1206454</v>
      </c>
      <c r="K712" s="2">
        <v>6.6823599999999997E-2</v>
      </c>
      <c r="R712" s="2">
        <v>23.88</v>
      </c>
      <c r="S712" s="2">
        <v>5.6824000000000002E-4</v>
      </c>
      <c r="T712" s="2">
        <v>2.2756E-4</v>
      </c>
      <c r="V712" s="11"/>
      <c r="W712" s="6"/>
      <c r="X712" s="6">
        <v>6.93</v>
      </c>
      <c r="Y712" s="11" t="str">
        <f t="shared" si="132"/>
        <v/>
      </c>
      <c r="Z712" s="6" t="str">
        <f t="shared" si="133"/>
        <v/>
      </c>
      <c r="AA712" s="23">
        <f t="shared" si="134"/>
        <v>36.93</v>
      </c>
      <c r="AB712" t="str">
        <f t="shared" si="123"/>
        <v/>
      </c>
      <c r="AC712" t="str">
        <f t="shared" si="124"/>
        <v/>
      </c>
      <c r="AD712">
        <f t="shared" si="125"/>
        <v>7.4133999999999995E-4</v>
      </c>
      <c r="AE712" s="18" t="str">
        <f t="shared" si="126"/>
        <v/>
      </c>
      <c r="AF712" s="7" t="str">
        <f t="shared" si="127"/>
        <v/>
      </c>
      <c r="AG712" s="12">
        <f t="shared" si="128"/>
        <v>0.9955402285633288</v>
      </c>
      <c r="AI712" s="54" t="str">
        <f t="shared" si="129"/>
        <v/>
      </c>
      <c r="AJ712" s="54" t="str">
        <f t="shared" si="130"/>
        <v/>
      </c>
      <c r="AK712" s="54">
        <f t="shared" si="131"/>
        <v>0.3877412967608726</v>
      </c>
    </row>
    <row r="713" spans="9:37" x14ac:dyDescent="0.45">
      <c r="I713" s="2">
        <v>85.9</v>
      </c>
      <c r="J713" s="2">
        <v>0.1217647</v>
      </c>
      <c r="K713" s="2">
        <v>6.7487800000000001E-2</v>
      </c>
      <c r="R713" s="2">
        <v>23.89</v>
      </c>
      <c r="S713" s="2">
        <v>5.6822000000000003E-4</v>
      </c>
      <c r="T713" s="2">
        <v>2.2767999999999999E-4</v>
      </c>
      <c r="V713" s="11"/>
      <c r="W713" s="6"/>
      <c r="X713" s="6">
        <v>6.94</v>
      </c>
      <c r="Y713" s="11" t="str">
        <f t="shared" si="132"/>
        <v/>
      </c>
      <c r="Z713" s="6" t="str">
        <f t="shared" si="133"/>
        <v/>
      </c>
      <c r="AA713" s="23">
        <f t="shared" si="134"/>
        <v>36.94</v>
      </c>
      <c r="AB713" t="str">
        <f t="shared" si="123"/>
        <v/>
      </c>
      <c r="AC713" t="str">
        <f t="shared" si="124"/>
        <v/>
      </c>
      <c r="AD713">
        <f t="shared" si="125"/>
        <v>7.4171999999999997E-4</v>
      </c>
      <c r="AE713" s="18" t="str">
        <f t="shared" si="126"/>
        <v/>
      </c>
      <c r="AF713" s="7" t="str">
        <f t="shared" si="127"/>
        <v/>
      </c>
      <c r="AG713" s="12">
        <f t="shared" si="128"/>
        <v>0.99553284822539834</v>
      </c>
      <c r="AI713" s="54" t="str">
        <f t="shared" si="129"/>
        <v/>
      </c>
      <c r="AJ713" s="54" t="str">
        <f t="shared" si="130"/>
        <v/>
      </c>
      <c r="AK713" s="54">
        <f t="shared" si="131"/>
        <v>0.38838274619533486</v>
      </c>
    </row>
    <row r="714" spans="9:37" x14ac:dyDescent="0.45">
      <c r="I714" s="2">
        <v>86</v>
      </c>
      <c r="J714" s="2">
        <v>0.12288399999999999</v>
      </c>
      <c r="K714" s="2">
        <v>6.8152000000000004E-2</v>
      </c>
      <c r="R714" s="2">
        <v>23.9</v>
      </c>
      <c r="S714" s="2">
        <v>5.6820000000000004E-4</v>
      </c>
      <c r="T714" s="2">
        <v>2.2780000000000001E-4</v>
      </c>
      <c r="V714" s="11"/>
      <c r="W714" s="6"/>
      <c r="X714" s="6">
        <v>6.95</v>
      </c>
      <c r="Y714" s="11" t="str">
        <f t="shared" si="132"/>
        <v/>
      </c>
      <c r="Z714" s="6" t="str">
        <f t="shared" si="133"/>
        <v/>
      </c>
      <c r="AA714" s="23">
        <f t="shared" si="134"/>
        <v>36.950000000000003</v>
      </c>
      <c r="AB714" t="str">
        <f t="shared" si="123"/>
        <v/>
      </c>
      <c r="AC714" t="str">
        <f t="shared" si="124"/>
        <v/>
      </c>
      <c r="AD714">
        <f t="shared" si="125"/>
        <v>7.4209999999999999E-4</v>
      </c>
      <c r="AE714" s="18" t="str">
        <f t="shared" si="126"/>
        <v/>
      </c>
      <c r="AF714" s="7" t="str">
        <f t="shared" si="127"/>
        <v/>
      </c>
      <c r="AG714" s="12">
        <f t="shared" si="128"/>
        <v>0.99552546415915644</v>
      </c>
      <c r="AI714" s="54" t="str">
        <f t="shared" si="129"/>
        <v/>
      </c>
      <c r="AJ714" s="54" t="str">
        <f t="shared" si="130"/>
        <v/>
      </c>
      <c r="AK714" s="54">
        <f t="shared" si="131"/>
        <v>0.38902445464074659</v>
      </c>
    </row>
    <row r="715" spans="9:37" x14ac:dyDescent="0.45">
      <c r="I715" s="2">
        <v>86.1</v>
      </c>
      <c r="J715" s="2">
        <v>0.1241022</v>
      </c>
      <c r="K715" s="2">
        <v>6.8888000000000005E-2</v>
      </c>
      <c r="R715" s="2">
        <v>23.91</v>
      </c>
      <c r="S715" s="2">
        <v>5.6818000000000005E-4</v>
      </c>
      <c r="T715" s="2">
        <v>2.2792E-4</v>
      </c>
      <c r="V715" s="11"/>
      <c r="W715" s="6"/>
      <c r="X715" s="6">
        <v>6.96</v>
      </c>
      <c r="Y715" s="11" t="str">
        <f t="shared" si="132"/>
        <v/>
      </c>
      <c r="Z715" s="6" t="str">
        <f t="shared" si="133"/>
        <v/>
      </c>
      <c r="AA715" s="23">
        <f t="shared" si="134"/>
        <v>36.96</v>
      </c>
      <c r="AB715" t="str">
        <f t="shared" si="123"/>
        <v/>
      </c>
      <c r="AC715" t="str">
        <f t="shared" si="124"/>
        <v/>
      </c>
      <c r="AD715">
        <f t="shared" si="125"/>
        <v>7.4248000000000001E-4</v>
      </c>
      <c r="AE715" s="18" t="str">
        <f t="shared" si="126"/>
        <v/>
      </c>
      <c r="AF715" s="7" t="str">
        <f t="shared" si="127"/>
        <v/>
      </c>
      <c r="AG715" s="12">
        <f t="shared" si="128"/>
        <v>0.99551807636468692</v>
      </c>
      <c r="AI715" s="54" t="str">
        <f t="shared" si="129"/>
        <v/>
      </c>
      <c r="AJ715" s="54" t="str">
        <f t="shared" si="130"/>
        <v/>
      </c>
      <c r="AK715" s="54">
        <f t="shared" si="131"/>
        <v>0.38966642220750924</v>
      </c>
    </row>
    <row r="716" spans="9:37" x14ac:dyDescent="0.45">
      <c r="I716" s="2">
        <v>86.2</v>
      </c>
      <c r="J716" s="2">
        <v>0.1253204</v>
      </c>
      <c r="K716" s="2">
        <v>6.9624000000000005E-2</v>
      </c>
      <c r="R716" s="2">
        <v>23.92</v>
      </c>
      <c r="S716" s="2">
        <v>5.6815999999999995E-4</v>
      </c>
      <c r="T716" s="2">
        <v>2.2803999999999999E-4</v>
      </c>
      <c r="V716" s="11"/>
      <c r="W716" s="6"/>
      <c r="X716" s="6">
        <v>6.97</v>
      </c>
      <c r="Y716" s="11" t="str">
        <f t="shared" si="132"/>
        <v/>
      </c>
      <c r="Z716" s="6" t="str">
        <f t="shared" si="133"/>
        <v/>
      </c>
      <c r="AA716" s="23">
        <f t="shared" si="134"/>
        <v>36.97</v>
      </c>
      <c r="AB716" t="str">
        <f t="shared" si="123"/>
        <v/>
      </c>
      <c r="AC716" t="str">
        <f t="shared" si="124"/>
        <v/>
      </c>
      <c r="AD716">
        <f t="shared" si="125"/>
        <v>7.4286000000000003E-4</v>
      </c>
      <c r="AE716" s="18" t="str">
        <f t="shared" si="126"/>
        <v/>
      </c>
      <c r="AF716" s="7" t="str">
        <f t="shared" si="127"/>
        <v/>
      </c>
      <c r="AG716" s="12">
        <f t="shared" si="128"/>
        <v>0.9955106848420735</v>
      </c>
      <c r="AI716" s="54" t="str">
        <f t="shared" si="129"/>
        <v/>
      </c>
      <c r="AJ716" s="54" t="str">
        <f t="shared" si="130"/>
        <v/>
      </c>
      <c r="AK716" s="54">
        <f t="shared" si="131"/>
        <v>0.39030864900607237</v>
      </c>
    </row>
    <row r="717" spans="9:37" x14ac:dyDescent="0.45">
      <c r="I717" s="2">
        <v>86.3</v>
      </c>
      <c r="J717" s="2">
        <v>0.1265386</v>
      </c>
      <c r="K717" s="2">
        <v>7.0360000000000006E-2</v>
      </c>
      <c r="R717" s="2">
        <v>23.93</v>
      </c>
      <c r="S717" s="2">
        <v>5.6813999999999996E-4</v>
      </c>
      <c r="T717" s="2">
        <v>2.2816000000000001E-4</v>
      </c>
      <c r="V717" s="11"/>
      <c r="W717" s="6"/>
      <c r="X717" s="6">
        <v>6.98</v>
      </c>
      <c r="Y717" s="11" t="str">
        <f t="shared" si="132"/>
        <v/>
      </c>
      <c r="Z717" s="6" t="str">
        <f t="shared" si="133"/>
        <v/>
      </c>
      <c r="AA717" s="23">
        <f t="shared" si="134"/>
        <v>36.980000000000004</v>
      </c>
      <c r="AB717" t="str">
        <f t="shared" si="123"/>
        <v/>
      </c>
      <c r="AC717" t="str">
        <f t="shared" si="124"/>
        <v/>
      </c>
      <c r="AD717">
        <f t="shared" si="125"/>
        <v>7.4324000000000005E-4</v>
      </c>
      <c r="AE717" s="18" t="str">
        <f t="shared" si="126"/>
        <v/>
      </c>
      <c r="AF717" s="7" t="str">
        <f t="shared" si="127"/>
        <v/>
      </c>
      <c r="AG717" s="12">
        <f t="shared" si="128"/>
        <v>0.99550328959140011</v>
      </c>
      <c r="AI717" s="54" t="str">
        <f t="shared" si="129"/>
        <v/>
      </c>
      <c r="AJ717" s="54" t="str">
        <f t="shared" si="130"/>
        <v/>
      </c>
      <c r="AK717" s="54">
        <f t="shared" si="131"/>
        <v>0.3909511351469333</v>
      </c>
    </row>
    <row r="718" spans="9:37" x14ac:dyDescent="0.45">
      <c r="I718" s="2">
        <v>86.4</v>
      </c>
      <c r="J718" s="2">
        <v>0.1277568</v>
      </c>
      <c r="K718" s="2">
        <v>7.1096000000000006E-2</v>
      </c>
      <c r="R718" s="2">
        <v>23.94</v>
      </c>
      <c r="S718" s="2">
        <v>5.6811999999999997E-4</v>
      </c>
      <c r="T718" s="2">
        <v>2.2828E-4</v>
      </c>
      <c r="V718" s="11"/>
      <c r="W718" s="6"/>
      <c r="X718" s="6">
        <v>6.99</v>
      </c>
      <c r="Y718" s="11" t="str">
        <f t="shared" si="132"/>
        <v/>
      </c>
      <c r="Z718" s="6" t="str">
        <f t="shared" si="133"/>
        <v/>
      </c>
      <c r="AA718" s="23">
        <f t="shared" si="134"/>
        <v>36.99</v>
      </c>
      <c r="AB718" t="str">
        <f t="shared" si="123"/>
        <v/>
      </c>
      <c r="AC718" t="str">
        <f t="shared" si="124"/>
        <v/>
      </c>
      <c r="AD718">
        <f t="shared" si="125"/>
        <v>7.4361999999999996E-4</v>
      </c>
      <c r="AE718" s="18" t="str">
        <f t="shared" si="126"/>
        <v/>
      </c>
      <c r="AF718" s="7" t="str">
        <f t="shared" si="127"/>
        <v/>
      </c>
      <c r="AG718" s="12">
        <f t="shared" si="128"/>
        <v>0.99549589061275057</v>
      </c>
      <c r="AI718" s="54" t="str">
        <f t="shared" si="129"/>
        <v/>
      </c>
      <c r="AJ718" s="54" t="str">
        <f t="shared" si="130"/>
        <v/>
      </c>
      <c r="AK718" s="54">
        <f t="shared" si="131"/>
        <v>0.39159388074063745</v>
      </c>
    </row>
    <row r="719" spans="9:37" x14ac:dyDescent="0.45">
      <c r="I719" s="2">
        <v>86.5</v>
      </c>
      <c r="J719" s="2">
        <v>0.12897500000000001</v>
      </c>
      <c r="K719" s="2">
        <v>7.1831999999999993E-2</v>
      </c>
      <c r="R719" s="2">
        <v>23.95</v>
      </c>
      <c r="S719" s="2">
        <v>5.6809999999999999E-4</v>
      </c>
      <c r="T719" s="2">
        <v>2.284E-4</v>
      </c>
      <c r="V719" s="11"/>
      <c r="W719" s="6"/>
      <c r="X719" s="6">
        <v>7</v>
      </c>
      <c r="Y719" s="11" t="str">
        <f t="shared" si="132"/>
        <v/>
      </c>
      <c r="Z719" s="6" t="str">
        <f t="shared" si="133"/>
        <v/>
      </c>
      <c r="AA719" s="23">
        <f t="shared" si="134"/>
        <v>37</v>
      </c>
      <c r="AB719" t="str">
        <f t="shared" si="123"/>
        <v/>
      </c>
      <c r="AC719" t="str">
        <f t="shared" si="124"/>
        <v/>
      </c>
      <c r="AD719">
        <f t="shared" si="125"/>
        <v>7.4399999999999998E-4</v>
      </c>
      <c r="AE719" s="18" t="str">
        <f t="shared" si="126"/>
        <v/>
      </c>
      <c r="AF719" s="7" t="str">
        <f t="shared" si="127"/>
        <v/>
      </c>
      <c r="AG719" s="12">
        <f t="shared" si="128"/>
        <v>0.99548848790620881</v>
      </c>
      <c r="AI719" s="54" t="str">
        <f t="shared" si="129"/>
        <v/>
      </c>
      <c r="AJ719" s="54" t="str">
        <f t="shared" si="130"/>
        <v/>
      </c>
      <c r="AK719" s="54">
        <f t="shared" si="131"/>
        <v>0.39223688589777816</v>
      </c>
    </row>
    <row r="720" spans="9:37" x14ac:dyDescent="0.45">
      <c r="I720" s="2">
        <v>86.6</v>
      </c>
      <c r="J720" s="2">
        <v>0.13019320000000001</v>
      </c>
      <c r="K720" s="2">
        <v>7.2567999999999994E-2</v>
      </c>
      <c r="R720" s="2">
        <v>23.96</v>
      </c>
      <c r="S720" s="2">
        <v>5.6808E-4</v>
      </c>
      <c r="T720" s="2">
        <v>2.2851999999999999E-4</v>
      </c>
      <c r="V720" s="11"/>
      <c r="W720" s="6"/>
      <c r="X720" s="6">
        <v>7.01</v>
      </c>
      <c r="Y720" s="11" t="str">
        <f t="shared" si="132"/>
        <v/>
      </c>
      <c r="Z720" s="6" t="str">
        <f t="shared" si="133"/>
        <v/>
      </c>
      <c r="AA720" s="23">
        <f t="shared" si="134"/>
        <v>37.01</v>
      </c>
      <c r="AB720" t="str">
        <f t="shared" si="123"/>
        <v/>
      </c>
      <c r="AC720" t="str">
        <f t="shared" si="124"/>
        <v/>
      </c>
      <c r="AD720">
        <f t="shared" si="125"/>
        <v>7.4443999999999997E-4</v>
      </c>
      <c r="AE720" s="18" t="str">
        <f t="shared" si="126"/>
        <v/>
      </c>
      <c r="AF720" s="7" t="str">
        <f t="shared" si="127"/>
        <v/>
      </c>
      <c r="AG720" s="12">
        <f t="shared" si="128"/>
        <v>0.99548108147185876</v>
      </c>
      <c r="AI720" s="54" t="str">
        <f t="shared" si="129"/>
        <v/>
      </c>
      <c r="AJ720" s="54" t="str">
        <f t="shared" si="130"/>
        <v/>
      </c>
      <c r="AK720" s="54">
        <f t="shared" si="131"/>
        <v>0.39288015072899685</v>
      </c>
    </row>
    <row r="721" spans="9:37" x14ac:dyDescent="0.45">
      <c r="I721" s="2">
        <v>86.7</v>
      </c>
      <c r="J721" s="2">
        <v>0.13141140000000001</v>
      </c>
      <c r="K721" s="2">
        <v>7.3303999999999994E-2</v>
      </c>
      <c r="R721" s="2">
        <v>23.97</v>
      </c>
      <c r="S721" s="2">
        <v>5.6806000000000001E-4</v>
      </c>
      <c r="T721" s="2">
        <v>2.2864000000000001E-4</v>
      </c>
      <c r="V721" s="11"/>
      <c r="W721" s="6"/>
      <c r="X721" s="6">
        <v>7.0200000000000005</v>
      </c>
      <c r="Y721" s="11" t="str">
        <f t="shared" si="132"/>
        <v/>
      </c>
      <c r="Z721" s="6" t="str">
        <f t="shared" si="133"/>
        <v/>
      </c>
      <c r="AA721" s="23">
        <f t="shared" si="134"/>
        <v>37.020000000000003</v>
      </c>
      <c r="AB721" t="str">
        <f t="shared" si="123"/>
        <v/>
      </c>
      <c r="AC721" t="str">
        <f t="shared" si="124"/>
        <v/>
      </c>
      <c r="AD721">
        <f t="shared" si="125"/>
        <v>7.4487999999999996E-4</v>
      </c>
      <c r="AE721" s="18" t="str">
        <f t="shared" si="126"/>
        <v/>
      </c>
      <c r="AF721" s="7" t="str">
        <f t="shared" si="127"/>
        <v/>
      </c>
      <c r="AG721" s="12">
        <f t="shared" si="128"/>
        <v>0.99547367071249582</v>
      </c>
      <c r="AI721" s="54" t="str">
        <f t="shared" si="129"/>
        <v/>
      </c>
      <c r="AJ721" s="54" t="str">
        <f t="shared" si="130"/>
        <v/>
      </c>
      <c r="AK721" s="54">
        <f t="shared" si="131"/>
        <v>0.393523674980711</v>
      </c>
    </row>
    <row r="722" spans="9:37" x14ac:dyDescent="0.45">
      <c r="I722" s="2">
        <v>86.8</v>
      </c>
      <c r="J722" s="2">
        <v>0.13262959999999999</v>
      </c>
      <c r="K722" s="2">
        <v>7.4039999999999995E-2</v>
      </c>
      <c r="R722" s="2">
        <v>23.98</v>
      </c>
      <c r="S722" s="2">
        <v>5.6804000000000002E-4</v>
      </c>
      <c r="T722" s="2">
        <v>2.2876E-4</v>
      </c>
      <c r="V722" s="11"/>
      <c r="W722" s="6"/>
      <c r="X722" s="6">
        <v>7.03</v>
      </c>
      <c r="Y722" s="11" t="str">
        <f t="shared" si="132"/>
        <v/>
      </c>
      <c r="Z722" s="6" t="str">
        <f t="shared" si="133"/>
        <v/>
      </c>
      <c r="AA722" s="23">
        <f t="shared" si="134"/>
        <v>37.03</v>
      </c>
      <c r="AB722" t="str">
        <f t="shared" si="123"/>
        <v/>
      </c>
      <c r="AC722" t="str">
        <f t="shared" si="124"/>
        <v/>
      </c>
      <c r="AD722">
        <f t="shared" si="125"/>
        <v>7.4532000000000005E-4</v>
      </c>
      <c r="AE722" s="18" t="str">
        <f t="shared" si="126"/>
        <v/>
      </c>
      <c r="AF722" s="7" t="str">
        <f t="shared" si="127"/>
        <v/>
      </c>
      <c r="AG722" s="12">
        <f t="shared" si="128"/>
        <v>0.99546625562821744</v>
      </c>
      <c r="AI722" s="54" t="str">
        <f t="shared" si="129"/>
        <v/>
      </c>
      <c r="AJ722" s="54" t="str">
        <f t="shared" si="130"/>
        <v/>
      </c>
      <c r="AK722" s="54">
        <f t="shared" si="131"/>
        <v>0.394167458764282</v>
      </c>
    </row>
    <row r="723" spans="9:37" x14ac:dyDescent="0.45">
      <c r="I723" s="2">
        <v>86.9</v>
      </c>
      <c r="J723" s="2">
        <v>0.13384779999999999</v>
      </c>
      <c r="K723" s="2">
        <v>7.4775999999999995E-2</v>
      </c>
      <c r="R723" s="2">
        <v>23.99</v>
      </c>
      <c r="S723" s="2">
        <v>5.6802000000000003E-4</v>
      </c>
      <c r="T723" s="2">
        <v>2.2887999999999999E-4</v>
      </c>
      <c r="V723" s="11"/>
      <c r="W723" s="6"/>
      <c r="X723" s="6">
        <v>7.04</v>
      </c>
      <c r="Y723" s="11" t="str">
        <f t="shared" si="132"/>
        <v/>
      </c>
      <c r="Z723" s="6" t="str">
        <f t="shared" si="133"/>
        <v/>
      </c>
      <c r="AA723" s="23">
        <f t="shared" si="134"/>
        <v>37.04</v>
      </c>
      <c r="AB723" t="str">
        <f t="shared" ref="AB723:AB786" si="135">IF(Y723="","",VLOOKUP(Y723,Table_1,2))</f>
        <v/>
      </c>
      <c r="AC723" t="str">
        <f t="shared" ref="AC723:AC786" si="136">IF(Z723="","",VLOOKUP(Z723,Table_2,2))</f>
        <v/>
      </c>
      <c r="AD723">
        <f t="shared" ref="AD723:AD786" si="137">IF(AA723="","",VLOOKUP(AA723,Table_3,2))</f>
        <v>7.4576000000000004E-4</v>
      </c>
      <c r="AE723" s="18" t="str">
        <f t="shared" si="126"/>
        <v/>
      </c>
      <c r="AF723" s="7" t="str">
        <f t="shared" si="127"/>
        <v/>
      </c>
      <c r="AG723" s="12">
        <f t="shared" si="128"/>
        <v>0.99545883621912101</v>
      </c>
      <c r="AI723" s="54" t="str">
        <f t="shared" si="129"/>
        <v/>
      </c>
      <c r="AJ723" s="54" t="str">
        <f t="shared" si="130"/>
        <v/>
      </c>
      <c r="AK723" s="54">
        <f t="shared" si="131"/>
        <v>0.39481150219111988</v>
      </c>
    </row>
    <row r="724" spans="9:37" x14ac:dyDescent="0.45">
      <c r="I724" s="2">
        <v>87</v>
      </c>
      <c r="J724" s="2">
        <v>0.13506599999999999</v>
      </c>
      <c r="K724" s="2">
        <v>7.5511999999999996E-2</v>
      </c>
      <c r="R724" s="2">
        <v>24</v>
      </c>
      <c r="S724" s="2">
        <v>5.6800000000000004E-4</v>
      </c>
      <c r="T724" s="2">
        <v>2.2900000000000001E-4</v>
      </c>
      <c r="V724" s="11"/>
      <c r="W724" s="6"/>
      <c r="X724" s="6">
        <v>7.05</v>
      </c>
      <c r="Y724" s="11" t="str">
        <f t="shared" si="132"/>
        <v/>
      </c>
      <c r="Z724" s="6" t="str">
        <f t="shared" si="133"/>
        <v/>
      </c>
      <c r="AA724" s="23">
        <f t="shared" si="134"/>
        <v>37.049999999999997</v>
      </c>
      <c r="AB724" t="str">
        <f t="shared" si="135"/>
        <v/>
      </c>
      <c r="AC724" t="str">
        <f t="shared" si="136"/>
        <v/>
      </c>
      <c r="AD724">
        <f t="shared" si="137"/>
        <v>7.4620000000000003E-4</v>
      </c>
      <c r="AE724" s="18" t="str">
        <f t="shared" ref="AE724:AE787" si="138">IF(AB724="","",AE723+h_1*(-AE723*AB723))</f>
        <v/>
      </c>
      <c r="AF724" s="7" t="str">
        <f t="shared" ref="AF724:AF787" si="139">IF(AC724="","",AF723+h_2*(-AF723*AC723))</f>
        <v/>
      </c>
      <c r="AG724" s="12">
        <f t="shared" ref="AG724:AG787" si="140">IF(AD724="","",AG723+h_3*(-AG723*AD723))</f>
        <v>0.995451412485304</v>
      </c>
      <c r="AI724" s="54" t="str">
        <f t="shared" ref="AI724:AI787" si="141">IF(Y724="","",AI723+AI$17*(AI723*delta+Prem1-AB723*(1-AI723)))</f>
        <v/>
      </c>
      <c r="AJ724" s="54" t="str">
        <f t="shared" ref="AJ724:AJ787" si="142">IF(Z724="","",AJ723+AJ$17*(AJ723*delta+Prem2-AC723*(1-AJ723)))</f>
        <v/>
      </c>
      <c r="AK724" s="54">
        <f t="shared" ref="AK724:AK787" si="143">IF(AA724="","",AK723+AK$17*(AK723*delta+Prem3-AD723*(1-AK723)))</f>
        <v>0.39545580537268354</v>
      </c>
    </row>
    <row r="725" spans="9:37" x14ac:dyDescent="0.45">
      <c r="I725" s="2">
        <v>87.1</v>
      </c>
      <c r="J725" s="2">
        <v>0.13639029999999999</v>
      </c>
      <c r="K725" s="2">
        <v>7.6327599999999995E-2</v>
      </c>
      <c r="R725" s="2">
        <v>24.01</v>
      </c>
      <c r="S725" s="2">
        <v>5.6798000000000005E-4</v>
      </c>
      <c r="T725" s="2">
        <v>2.2912E-4</v>
      </c>
      <c r="V725" s="11"/>
      <c r="W725" s="6"/>
      <c r="X725" s="6">
        <v>7.0600000000000005</v>
      </c>
      <c r="Y725" s="11" t="str">
        <f t="shared" ref="Y725:Y788" si="144">IF(ISBLANK(V725),"",$Y$19+V725)</f>
        <v/>
      </c>
      <c r="Z725" s="6" t="str">
        <f t="shared" ref="Z725:Z788" si="145">IF(ISBLANK(W725),"",$Y$19+W725)</f>
        <v/>
      </c>
      <c r="AA725" s="23">
        <f t="shared" ref="AA725:AA788" si="146">IF(ISBLANK(X725),"",$Y$19+X725)</f>
        <v>37.06</v>
      </c>
      <c r="AB725" t="str">
        <f t="shared" si="135"/>
        <v/>
      </c>
      <c r="AC725" t="str">
        <f t="shared" si="136"/>
        <v/>
      </c>
      <c r="AD725">
        <f t="shared" si="137"/>
        <v>7.4664000000000002E-4</v>
      </c>
      <c r="AE725" s="18" t="str">
        <f t="shared" si="138"/>
        <v/>
      </c>
      <c r="AF725" s="7" t="str">
        <f t="shared" si="139"/>
        <v/>
      </c>
      <c r="AG725" s="12">
        <f t="shared" si="140"/>
        <v>0.99544398442686399</v>
      </c>
      <c r="AI725" s="54" t="str">
        <f t="shared" si="141"/>
        <v/>
      </c>
      <c r="AJ725" s="54" t="str">
        <f t="shared" si="142"/>
        <v/>
      </c>
      <c r="AK725" s="54">
        <f t="shared" si="143"/>
        <v>0.3961003684204808</v>
      </c>
    </row>
    <row r="726" spans="9:37" x14ac:dyDescent="0.45">
      <c r="I726" s="2">
        <v>87.2</v>
      </c>
      <c r="J726" s="2">
        <v>0.13771459999999999</v>
      </c>
      <c r="K726" s="2">
        <v>7.7143199999999995E-2</v>
      </c>
      <c r="R726" s="2">
        <v>24.02</v>
      </c>
      <c r="S726" s="2">
        <v>5.6795999999999995E-4</v>
      </c>
      <c r="T726" s="2">
        <v>2.2923999999999999E-4</v>
      </c>
      <c r="V726" s="11"/>
      <c r="W726" s="6"/>
      <c r="X726" s="6">
        <v>7.07</v>
      </c>
      <c r="Y726" s="11" t="str">
        <f t="shared" si="144"/>
        <v/>
      </c>
      <c r="Z726" s="6" t="str">
        <f t="shared" si="145"/>
        <v/>
      </c>
      <c r="AA726" s="23">
        <f t="shared" si="146"/>
        <v>37.07</v>
      </c>
      <c r="AB726" t="str">
        <f t="shared" si="135"/>
        <v/>
      </c>
      <c r="AC726" t="str">
        <f t="shared" si="136"/>
        <v/>
      </c>
      <c r="AD726">
        <f t="shared" si="137"/>
        <v>7.4708000000000001E-4</v>
      </c>
      <c r="AE726" s="18" t="str">
        <f t="shared" si="138"/>
        <v/>
      </c>
      <c r="AF726" s="7" t="str">
        <f t="shared" si="139"/>
        <v/>
      </c>
      <c r="AG726" s="12">
        <f t="shared" si="140"/>
        <v>0.99543655204389869</v>
      </c>
      <c r="AI726" s="54" t="str">
        <f t="shared" si="141"/>
        <v/>
      </c>
      <c r="AJ726" s="54" t="str">
        <f t="shared" si="142"/>
        <v/>
      </c>
      <c r="AK726" s="54">
        <f t="shared" si="143"/>
        <v>0.39674519144606823</v>
      </c>
    </row>
    <row r="727" spans="9:37" x14ac:dyDescent="0.45">
      <c r="I727" s="2">
        <v>87.3</v>
      </c>
      <c r="J727" s="2">
        <v>0.13903889999999999</v>
      </c>
      <c r="K727" s="2">
        <v>7.7958799999999995E-2</v>
      </c>
      <c r="R727" s="2">
        <v>24.03</v>
      </c>
      <c r="S727" s="2">
        <v>5.6793999999999996E-4</v>
      </c>
      <c r="T727" s="2">
        <v>2.2936000000000001E-4</v>
      </c>
      <c r="V727" s="11"/>
      <c r="W727" s="6"/>
      <c r="X727" s="6">
        <v>7.08</v>
      </c>
      <c r="Y727" s="11" t="str">
        <f t="shared" si="144"/>
        <v/>
      </c>
      <c r="Z727" s="6" t="str">
        <f t="shared" si="145"/>
        <v/>
      </c>
      <c r="AA727" s="23">
        <f t="shared" si="146"/>
        <v>37.08</v>
      </c>
      <c r="AB727" t="str">
        <f t="shared" si="135"/>
        <v/>
      </c>
      <c r="AC727" t="str">
        <f t="shared" si="136"/>
        <v/>
      </c>
      <c r="AD727">
        <f t="shared" si="137"/>
        <v>7.4752E-4</v>
      </c>
      <c r="AE727" s="18" t="str">
        <f t="shared" si="138"/>
        <v/>
      </c>
      <c r="AF727" s="7" t="str">
        <f t="shared" si="139"/>
        <v/>
      </c>
      <c r="AG727" s="12">
        <f t="shared" si="140"/>
        <v>0.99542911533650569</v>
      </c>
      <c r="AI727" s="54" t="str">
        <f t="shared" si="141"/>
        <v/>
      </c>
      <c r="AJ727" s="54" t="str">
        <f t="shared" si="142"/>
        <v/>
      </c>
      <c r="AK727" s="54">
        <f t="shared" si="143"/>
        <v>0.39739027456105142</v>
      </c>
    </row>
    <row r="728" spans="9:37" x14ac:dyDescent="0.45">
      <c r="I728" s="2">
        <v>87.4</v>
      </c>
      <c r="J728" s="2">
        <v>0.14036319999999999</v>
      </c>
      <c r="K728" s="2">
        <v>7.8774399999999994E-2</v>
      </c>
      <c r="R728" s="2">
        <v>24.04</v>
      </c>
      <c r="S728" s="2">
        <v>5.6791999999999997E-4</v>
      </c>
      <c r="T728" s="2">
        <v>2.2948000000000001E-4</v>
      </c>
      <c r="V728" s="11"/>
      <c r="W728" s="6"/>
      <c r="X728" s="6">
        <v>7.09</v>
      </c>
      <c r="Y728" s="11" t="str">
        <f t="shared" si="144"/>
        <v/>
      </c>
      <c r="Z728" s="6" t="str">
        <f t="shared" si="145"/>
        <v/>
      </c>
      <c r="AA728" s="23">
        <f t="shared" si="146"/>
        <v>37.090000000000003</v>
      </c>
      <c r="AB728" t="str">
        <f t="shared" si="135"/>
        <v/>
      </c>
      <c r="AC728" t="str">
        <f t="shared" si="136"/>
        <v/>
      </c>
      <c r="AD728">
        <f t="shared" si="137"/>
        <v>7.4795999999999999E-4</v>
      </c>
      <c r="AE728" s="18" t="str">
        <f t="shared" si="138"/>
        <v/>
      </c>
      <c r="AF728" s="7" t="str">
        <f t="shared" si="139"/>
        <v/>
      </c>
      <c r="AG728" s="12">
        <f t="shared" si="140"/>
        <v>0.99542167430478268</v>
      </c>
      <c r="AI728" s="54" t="str">
        <f t="shared" si="141"/>
        <v/>
      </c>
      <c r="AJ728" s="54" t="str">
        <f t="shared" si="142"/>
        <v/>
      </c>
      <c r="AK728" s="54">
        <f t="shared" si="143"/>
        <v>0.39803561787708475</v>
      </c>
    </row>
    <row r="729" spans="9:37" x14ac:dyDescent="0.45">
      <c r="I729" s="2">
        <v>87.5</v>
      </c>
      <c r="J729" s="2">
        <v>0.14168749999999999</v>
      </c>
      <c r="K729" s="2">
        <v>7.9589999999999994E-2</v>
      </c>
      <c r="R729" s="2">
        <v>24.05</v>
      </c>
      <c r="S729" s="2">
        <v>5.6789999999999998E-4</v>
      </c>
      <c r="T729" s="2">
        <v>2.296E-4</v>
      </c>
      <c r="V729" s="11"/>
      <c r="W729" s="6"/>
      <c r="X729" s="6">
        <v>7.1000000000000005</v>
      </c>
      <c r="Y729" s="11" t="str">
        <f t="shared" si="144"/>
        <v/>
      </c>
      <c r="Z729" s="6" t="str">
        <f t="shared" si="145"/>
        <v/>
      </c>
      <c r="AA729" s="23">
        <f t="shared" si="146"/>
        <v>37.1</v>
      </c>
      <c r="AB729" t="str">
        <f t="shared" si="135"/>
        <v/>
      </c>
      <c r="AC729" t="str">
        <f t="shared" si="136"/>
        <v/>
      </c>
      <c r="AD729">
        <f t="shared" si="137"/>
        <v>7.4839999999999998E-4</v>
      </c>
      <c r="AE729" s="18" t="str">
        <f t="shared" si="138"/>
        <v/>
      </c>
      <c r="AF729" s="7" t="str">
        <f t="shared" si="139"/>
        <v/>
      </c>
      <c r="AG729" s="12">
        <f t="shared" si="140"/>
        <v>0.99541422894882758</v>
      </c>
      <c r="AI729" s="54" t="str">
        <f t="shared" si="141"/>
        <v/>
      </c>
      <c r="AJ729" s="54" t="str">
        <f t="shared" si="142"/>
        <v/>
      </c>
      <c r="AK729" s="54">
        <f t="shared" si="143"/>
        <v>0.39868122150587154</v>
      </c>
    </row>
    <row r="730" spans="9:37" x14ac:dyDescent="0.45">
      <c r="I730" s="2">
        <v>87.6</v>
      </c>
      <c r="J730" s="2">
        <v>0.14301179999999999</v>
      </c>
      <c r="K730" s="2">
        <v>8.0405599999999994E-2</v>
      </c>
      <c r="R730" s="2">
        <v>24.06</v>
      </c>
      <c r="S730" s="2">
        <v>5.6787999999999999E-4</v>
      </c>
      <c r="T730" s="2">
        <v>2.2971999999999999E-4</v>
      </c>
      <c r="V730" s="11"/>
      <c r="W730" s="6"/>
      <c r="X730" s="6">
        <v>7.11</v>
      </c>
      <c r="Y730" s="11" t="str">
        <f t="shared" si="144"/>
        <v/>
      </c>
      <c r="Z730" s="6" t="str">
        <f t="shared" si="145"/>
        <v/>
      </c>
      <c r="AA730" s="23">
        <f t="shared" si="146"/>
        <v>37.11</v>
      </c>
      <c r="AB730" t="str">
        <f t="shared" si="135"/>
        <v/>
      </c>
      <c r="AC730" t="str">
        <f t="shared" si="136"/>
        <v/>
      </c>
      <c r="AD730">
        <f t="shared" si="137"/>
        <v>7.4883999999999997E-4</v>
      </c>
      <c r="AE730" s="18" t="str">
        <f t="shared" si="138"/>
        <v/>
      </c>
      <c r="AF730" s="7" t="str">
        <f t="shared" si="139"/>
        <v/>
      </c>
      <c r="AG730" s="12">
        <f t="shared" si="140"/>
        <v>0.99540677926873811</v>
      </c>
      <c r="AI730" s="54" t="str">
        <f t="shared" si="141"/>
        <v/>
      </c>
      <c r="AJ730" s="54" t="str">
        <f t="shared" si="142"/>
        <v/>
      </c>
      <c r="AK730" s="54">
        <f t="shared" si="143"/>
        <v>0.39932708555916413</v>
      </c>
    </row>
    <row r="731" spans="9:37" x14ac:dyDescent="0.45">
      <c r="I731" s="2">
        <v>87.7</v>
      </c>
      <c r="J731" s="2">
        <v>0.14433609999999999</v>
      </c>
      <c r="K731" s="2">
        <v>8.1221199999999993E-2</v>
      </c>
      <c r="R731" s="2">
        <v>24.07</v>
      </c>
      <c r="S731" s="2">
        <v>5.6786E-4</v>
      </c>
      <c r="T731" s="2">
        <v>2.2984000000000001E-4</v>
      </c>
      <c r="V731" s="11"/>
      <c r="W731" s="6"/>
      <c r="X731" s="6">
        <v>7.12</v>
      </c>
      <c r="Y731" s="11" t="str">
        <f t="shared" si="144"/>
        <v/>
      </c>
      <c r="Z731" s="6" t="str">
        <f t="shared" si="145"/>
        <v/>
      </c>
      <c r="AA731" s="23">
        <f t="shared" si="146"/>
        <v>37.119999999999997</v>
      </c>
      <c r="AB731" t="str">
        <f t="shared" si="135"/>
        <v/>
      </c>
      <c r="AC731" t="str">
        <f t="shared" si="136"/>
        <v/>
      </c>
      <c r="AD731">
        <f t="shared" si="137"/>
        <v>7.4927999999999995E-4</v>
      </c>
      <c r="AE731" s="18" t="str">
        <f t="shared" si="138"/>
        <v/>
      </c>
      <c r="AF731" s="7" t="str">
        <f t="shared" si="139"/>
        <v/>
      </c>
      <c r="AG731" s="12">
        <f t="shared" si="140"/>
        <v>0.99539932526461228</v>
      </c>
      <c r="AI731" s="54" t="str">
        <f t="shared" si="141"/>
        <v/>
      </c>
      <c r="AJ731" s="54" t="str">
        <f t="shared" si="142"/>
        <v/>
      </c>
      <c r="AK731" s="54">
        <f t="shared" si="143"/>
        <v>0.3999732101487638</v>
      </c>
    </row>
    <row r="732" spans="9:37" x14ac:dyDescent="0.45">
      <c r="I732" s="2">
        <v>87.8</v>
      </c>
      <c r="J732" s="2">
        <v>0.1456604</v>
      </c>
      <c r="K732" s="2">
        <v>8.2036799999999993E-2</v>
      </c>
      <c r="R732" s="2">
        <v>24.08</v>
      </c>
      <c r="S732" s="2">
        <v>5.6784000000000001E-4</v>
      </c>
      <c r="T732" s="2">
        <v>2.2996E-4</v>
      </c>
      <c r="V732" s="11"/>
      <c r="W732" s="6"/>
      <c r="X732" s="6">
        <v>7.13</v>
      </c>
      <c r="Y732" s="11" t="str">
        <f t="shared" si="144"/>
        <v/>
      </c>
      <c r="Z732" s="6" t="str">
        <f t="shared" si="145"/>
        <v/>
      </c>
      <c r="AA732" s="23">
        <f t="shared" si="146"/>
        <v>37.130000000000003</v>
      </c>
      <c r="AB732" t="str">
        <f t="shared" si="135"/>
        <v/>
      </c>
      <c r="AC732" t="str">
        <f t="shared" si="136"/>
        <v/>
      </c>
      <c r="AD732">
        <f t="shared" si="137"/>
        <v>7.4972000000000005E-4</v>
      </c>
      <c r="AE732" s="18" t="str">
        <f t="shared" si="138"/>
        <v/>
      </c>
      <c r="AF732" s="7" t="str">
        <f t="shared" si="139"/>
        <v/>
      </c>
      <c r="AG732" s="12">
        <f t="shared" si="140"/>
        <v>0.99539186693654791</v>
      </c>
      <c r="AI732" s="54" t="str">
        <f t="shared" si="141"/>
        <v/>
      </c>
      <c r="AJ732" s="54" t="str">
        <f t="shared" si="142"/>
        <v/>
      </c>
      <c r="AK732" s="54">
        <f t="shared" si="143"/>
        <v>0.40061959538652081</v>
      </c>
    </row>
    <row r="733" spans="9:37" x14ac:dyDescent="0.45">
      <c r="I733" s="2">
        <v>87.9</v>
      </c>
      <c r="J733" s="2">
        <v>0.1469847</v>
      </c>
      <c r="K733" s="2">
        <v>8.2852400000000007E-2</v>
      </c>
      <c r="R733" s="2">
        <v>24.09</v>
      </c>
      <c r="S733" s="2">
        <v>5.6782000000000002E-4</v>
      </c>
      <c r="T733" s="2">
        <v>2.3007999999999999E-4</v>
      </c>
      <c r="V733" s="11"/>
      <c r="W733" s="6"/>
      <c r="X733" s="6">
        <v>7.1400000000000006</v>
      </c>
      <c r="Y733" s="11" t="str">
        <f t="shared" si="144"/>
        <v/>
      </c>
      <c r="Z733" s="6" t="str">
        <f t="shared" si="145"/>
        <v/>
      </c>
      <c r="AA733" s="23">
        <f t="shared" si="146"/>
        <v>37.14</v>
      </c>
      <c r="AB733" t="str">
        <f t="shared" si="135"/>
        <v/>
      </c>
      <c r="AC733" t="str">
        <f t="shared" si="136"/>
        <v/>
      </c>
      <c r="AD733">
        <f t="shared" si="137"/>
        <v>7.5016000000000004E-4</v>
      </c>
      <c r="AE733" s="18" t="str">
        <f t="shared" si="138"/>
        <v/>
      </c>
      <c r="AF733" s="7" t="str">
        <f t="shared" si="139"/>
        <v/>
      </c>
      <c r="AG733" s="12">
        <f t="shared" si="140"/>
        <v>0.99538440428464314</v>
      </c>
      <c r="AI733" s="54" t="str">
        <f t="shared" si="141"/>
        <v/>
      </c>
      <c r="AJ733" s="54" t="str">
        <f t="shared" si="142"/>
        <v/>
      </c>
      <c r="AK733" s="54">
        <f t="shared" si="143"/>
        <v>0.40126624138433442</v>
      </c>
    </row>
    <row r="734" spans="9:37" x14ac:dyDescent="0.45">
      <c r="I734" s="2">
        <v>88</v>
      </c>
      <c r="J734" s="2">
        <v>0.148309</v>
      </c>
      <c r="K734" s="2">
        <v>8.3668000000000006E-2</v>
      </c>
      <c r="R734" s="2">
        <v>24.1</v>
      </c>
      <c r="S734" s="2">
        <v>5.6780000000000003E-4</v>
      </c>
      <c r="T734" s="2">
        <v>2.3020000000000001E-4</v>
      </c>
      <c r="V734" s="11"/>
      <c r="W734" s="6"/>
      <c r="X734" s="6">
        <v>7.15</v>
      </c>
      <c r="Y734" s="11" t="str">
        <f t="shared" si="144"/>
        <v/>
      </c>
      <c r="Z734" s="6" t="str">
        <f t="shared" si="145"/>
        <v/>
      </c>
      <c r="AA734" s="23">
        <f t="shared" si="146"/>
        <v>37.15</v>
      </c>
      <c r="AB734" t="str">
        <f t="shared" si="135"/>
        <v/>
      </c>
      <c r="AC734" t="str">
        <f t="shared" si="136"/>
        <v/>
      </c>
      <c r="AD734">
        <f t="shared" si="137"/>
        <v>7.5060000000000003E-4</v>
      </c>
      <c r="AE734" s="18" t="str">
        <f t="shared" si="138"/>
        <v/>
      </c>
      <c r="AF734" s="7" t="str">
        <f t="shared" si="139"/>
        <v/>
      </c>
      <c r="AG734" s="12">
        <f t="shared" si="140"/>
        <v>0.99537693730899601</v>
      </c>
      <c r="AI734" s="54" t="str">
        <f t="shared" si="141"/>
        <v/>
      </c>
      <c r="AJ734" s="54" t="str">
        <f t="shared" si="142"/>
        <v/>
      </c>
      <c r="AK734" s="54">
        <f t="shared" si="143"/>
        <v>0.40191314825415303</v>
      </c>
    </row>
    <row r="735" spans="9:37" x14ac:dyDescent="0.45">
      <c r="I735" s="2">
        <v>88.1</v>
      </c>
      <c r="J735" s="2">
        <v>0.1497472</v>
      </c>
      <c r="K735" s="2">
        <v>8.4571900000000005E-2</v>
      </c>
      <c r="R735" s="2">
        <v>24.11</v>
      </c>
      <c r="S735" s="2">
        <v>5.6778000000000004E-4</v>
      </c>
      <c r="T735" s="2">
        <v>2.3032E-4</v>
      </c>
      <c r="V735" s="11"/>
      <c r="W735" s="6"/>
      <c r="X735" s="6">
        <v>7.16</v>
      </c>
      <c r="Y735" s="11" t="str">
        <f t="shared" si="144"/>
        <v/>
      </c>
      <c r="Z735" s="6" t="str">
        <f t="shared" si="145"/>
        <v/>
      </c>
      <c r="AA735" s="23">
        <f t="shared" si="146"/>
        <v>37.159999999999997</v>
      </c>
      <c r="AB735" t="str">
        <f t="shared" si="135"/>
        <v/>
      </c>
      <c r="AC735" t="str">
        <f t="shared" si="136"/>
        <v/>
      </c>
      <c r="AD735">
        <f t="shared" si="137"/>
        <v>7.5104000000000002E-4</v>
      </c>
      <c r="AE735" s="18" t="str">
        <f t="shared" si="138"/>
        <v/>
      </c>
      <c r="AF735" s="7" t="str">
        <f t="shared" si="139"/>
        <v/>
      </c>
      <c r="AG735" s="12">
        <f t="shared" si="140"/>
        <v>0.99536946600970455</v>
      </c>
      <c r="AI735" s="54" t="str">
        <f t="shared" si="141"/>
        <v/>
      </c>
      <c r="AJ735" s="54" t="str">
        <f t="shared" si="142"/>
        <v/>
      </c>
      <c r="AK735" s="54">
        <f t="shared" si="143"/>
        <v>0.40256031610797399</v>
      </c>
    </row>
    <row r="736" spans="9:37" x14ac:dyDescent="0.45">
      <c r="I736" s="2">
        <v>88.2</v>
      </c>
      <c r="J736" s="2">
        <v>0.1511854</v>
      </c>
      <c r="K736" s="2">
        <v>8.5475800000000005E-2</v>
      </c>
      <c r="R736" s="2">
        <v>24.12</v>
      </c>
      <c r="S736" s="2">
        <v>5.6776000000000005E-4</v>
      </c>
      <c r="T736" s="2">
        <v>2.3044E-4</v>
      </c>
      <c r="V736" s="11"/>
      <c r="W736" s="6"/>
      <c r="X736" s="6">
        <v>7.17</v>
      </c>
      <c r="Y736" s="11" t="str">
        <f t="shared" si="144"/>
        <v/>
      </c>
      <c r="Z736" s="6" t="str">
        <f t="shared" si="145"/>
        <v/>
      </c>
      <c r="AA736" s="23">
        <f t="shared" si="146"/>
        <v>37.17</v>
      </c>
      <c r="AB736" t="str">
        <f t="shared" si="135"/>
        <v/>
      </c>
      <c r="AC736" t="str">
        <f t="shared" si="136"/>
        <v/>
      </c>
      <c r="AD736">
        <f t="shared" si="137"/>
        <v>7.5148000000000001E-4</v>
      </c>
      <c r="AE736" s="18" t="str">
        <f t="shared" si="138"/>
        <v/>
      </c>
      <c r="AF736" s="7" t="str">
        <f t="shared" si="139"/>
        <v/>
      </c>
      <c r="AG736" s="12">
        <f t="shared" si="140"/>
        <v>0.99536199038686701</v>
      </c>
      <c r="AI736" s="54" t="str">
        <f t="shared" si="141"/>
        <v/>
      </c>
      <c r="AJ736" s="54" t="str">
        <f t="shared" si="142"/>
        <v/>
      </c>
      <c r="AK736" s="54">
        <f t="shared" si="143"/>
        <v>0.40320774505784379</v>
      </c>
    </row>
    <row r="737" spans="9:37" x14ac:dyDescent="0.45">
      <c r="I737" s="2">
        <v>88.3</v>
      </c>
      <c r="J737" s="2">
        <v>0.1526236</v>
      </c>
      <c r="K737" s="2">
        <v>8.6379700000000004E-2</v>
      </c>
      <c r="R737" s="2">
        <v>24.13</v>
      </c>
      <c r="S737" s="2">
        <v>5.6773999999999995E-4</v>
      </c>
      <c r="T737" s="2">
        <v>2.3055999999999999E-4</v>
      </c>
      <c r="V737" s="11"/>
      <c r="W737" s="6"/>
      <c r="X737" s="6">
        <v>7.18</v>
      </c>
      <c r="Y737" s="11" t="str">
        <f t="shared" si="144"/>
        <v/>
      </c>
      <c r="Z737" s="6" t="str">
        <f t="shared" si="145"/>
        <v/>
      </c>
      <c r="AA737" s="23">
        <f t="shared" si="146"/>
        <v>37.18</v>
      </c>
      <c r="AB737" t="str">
        <f t="shared" si="135"/>
        <v/>
      </c>
      <c r="AC737" t="str">
        <f t="shared" si="136"/>
        <v/>
      </c>
      <c r="AD737">
        <f t="shared" si="137"/>
        <v>7.5192E-4</v>
      </c>
      <c r="AE737" s="18" t="str">
        <f t="shared" si="138"/>
        <v/>
      </c>
      <c r="AF737" s="7" t="str">
        <f t="shared" si="139"/>
        <v/>
      </c>
      <c r="AG737" s="12">
        <f t="shared" si="140"/>
        <v>0.99535451044058165</v>
      </c>
      <c r="AI737" s="54" t="str">
        <f t="shared" si="141"/>
        <v/>
      </c>
      <c r="AJ737" s="54" t="str">
        <f t="shared" si="142"/>
        <v/>
      </c>
      <c r="AK737" s="54">
        <f t="shared" si="143"/>
        <v>0.40385543521585798</v>
      </c>
    </row>
    <row r="738" spans="9:37" x14ac:dyDescent="0.45">
      <c r="I738" s="2">
        <v>88.4</v>
      </c>
      <c r="J738" s="2">
        <v>0.1540618</v>
      </c>
      <c r="K738" s="2">
        <v>8.7283600000000003E-2</v>
      </c>
      <c r="R738" s="2">
        <v>24.14</v>
      </c>
      <c r="S738" s="2">
        <v>5.6771999999999997E-4</v>
      </c>
      <c r="T738" s="2">
        <v>2.3068000000000001E-4</v>
      </c>
      <c r="V738" s="11"/>
      <c r="W738" s="6"/>
      <c r="X738" s="6">
        <v>7.19</v>
      </c>
      <c r="Y738" s="11" t="str">
        <f t="shared" si="144"/>
        <v/>
      </c>
      <c r="Z738" s="6" t="str">
        <f t="shared" si="145"/>
        <v/>
      </c>
      <c r="AA738" s="23">
        <f t="shared" si="146"/>
        <v>37.19</v>
      </c>
      <c r="AB738" t="str">
        <f t="shared" si="135"/>
        <v/>
      </c>
      <c r="AC738" t="str">
        <f t="shared" si="136"/>
        <v/>
      </c>
      <c r="AD738">
        <f t="shared" si="137"/>
        <v>7.5235999999999999E-4</v>
      </c>
      <c r="AE738" s="18" t="str">
        <f t="shared" si="138"/>
        <v/>
      </c>
      <c r="AF738" s="7" t="str">
        <f t="shared" si="139"/>
        <v/>
      </c>
      <c r="AG738" s="12">
        <f t="shared" si="140"/>
        <v>0.99534702617094672</v>
      </c>
      <c r="AI738" s="54" t="str">
        <f t="shared" si="141"/>
        <v/>
      </c>
      <c r="AJ738" s="54" t="str">
        <f t="shared" si="142"/>
        <v/>
      </c>
      <c r="AK738" s="54">
        <f t="shared" si="143"/>
        <v>0.4045033866941613</v>
      </c>
    </row>
    <row r="739" spans="9:37" x14ac:dyDescent="0.45">
      <c r="I739" s="2">
        <v>88.5</v>
      </c>
      <c r="J739" s="2">
        <v>0.1555</v>
      </c>
      <c r="K739" s="2">
        <v>8.8187500000000002E-2</v>
      </c>
      <c r="R739" s="2">
        <v>24.15</v>
      </c>
      <c r="S739" s="2">
        <v>5.6769999999999998E-4</v>
      </c>
      <c r="T739" s="2">
        <v>2.308E-4</v>
      </c>
      <c r="V739" s="11"/>
      <c r="W739" s="6"/>
      <c r="X739" s="6">
        <v>7.2</v>
      </c>
      <c r="Y739" s="11" t="str">
        <f t="shared" si="144"/>
        <v/>
      </c>
      <c r="Z739" s="6" t="str">
        <f t="shared" si="145"/>
        <v/>
      </c>
      <c r="AA739" s="23">
        <f t="shared" si="146"/>
        <v>37.200000000000003</v>
      </c>
      <c r="AB739" t="str">
        <f t="shared" si="135"/>
        <v/>
      </c>
      <c r="AC739" t="str">
        <f t="shared" si="136"/>
        <v/>
      </c>
      <c r="AD739">
        <f t="shared" si="137"/>
        <v>7.5279999999999998E-4</v>
      </c>
      <c r="AE739" s="18" t="str">
        <f t="shared" si="138"/>
        <v/>
      </c>
      <c r="AF739" s="7" t="str">
        <f t="shared" si="139"/>
        <v/>
      </c>
      <c r="AG739" s="12">
        <f t="shared" si="140"/>
        <v>0.9953395375780606</v>
      </c>
      <c r="AI739" s="54" t="str">
        <f t="shared" si="141"/>
        <v/>
      </c>
      <c r="AJ739" s="54" t="str">
        <f t="shared" si="142"/>
        <v/>
      </c>
      <c r="AK739" s="54">
        <f t="shared" si="143"/>
        <v>0.40515159960494762</v>
      </c>
    </row>
    <row r="740" spans="9:37" x14ac:dyDescent="0.45">
      <c r="I740" s="2">
        <v>88.6</v>
      </c>
      <c r="J740" s="2">
        <v>0.1569382</v>
      </c>
      <c r="K740" s="2">
        <v>8.9091400000000001E-2</v>
      </c>
      <c r="R740" s="2">
        <v>24.16</v>
      </c>
      <c r="S740" s="2">
        <v>5.6767999999999999E-4</v>
      </c>
      <c r="T740" s="2">
        <v>2.3091999999999999E-4</v>
      </c>
      <c r="V740" s="11"/>
      <c r="W740" s="6"/>
      <c r="X740" s="6">
        <v>7.21</v>
      </c>
      <c r="Y740" s="11" t="str">
        <f t="shared" si="144"/>
        <v/>
      </c>
      <c r="Z740" s="6" t="str">
        <f t="shared" si="145"/>
        <v/>
      </c>
      <c r="AA740" s="23">
        <f t="shared" si="146"/>
        <v>37.21</v>
      </c>
      <c r="AB740" t="str">
        <f t="shared" si="135"/>
        <v/>
      </c>
      <c r="AC740" t="str">
        <f t="shared" si="136"/>
        <v/>
      </c>
      <c r="AD740">
        <f t="shared" si="137"/>
        <v>7.5323999999999996E-4</v>
      </c>
      <c r="AE740" s="18" t="str">
        <f t="shared" si="138"/>
        <v/>
      </c>
      <c r="AF740" s="7" t="str">
        <f t="shared" si="139"/>
        <v/>
      </c>
      <c r="AG740" s="12">
        <f t="shared" si="140"/>
        <v>0.99533204466202174</v>
      </c>
      <c r="AI740" s="54" t="str">
        <f t="shared" si="141"/>
        <v/>
      </c>
      <c r="AJ740" s="54" t="str">
        <f t="shared" si="142"/>
        <v/>
      </c>
      <c r="AK740" s="54">
        <f t="shared" si="143"/>
        <v>0.40580007406045993</v>
      </c>
    </row>
    <row r="741" spans="9:37" x14ac:dyDescent="0.45">
      <c r="I741" s="2">
        <v>88.7</v>
      </c>
      <c r="J741" s="2">
        <v>0.1583764</v>
      </c>
      <c r="K741" s="2">
        <v>8.99953E-2</v>
      </c>
      <c r="R741" s="2">
        <v>24.17</v>
      </c>
      <c r="S741" s="2">
        <v>5.6766E-4</v>
      </c>
      <c r="T741" s="2">
        <v>2.3104000000000001E-4</v>
      </c>
      <c r="V741" s="11"/>
      <c r="W741" s="6"/>
      <c r="X741" s="6">
        <v>7.22</v>
      </c>
      <c r="Y741" s="11" t="str">
        <f t="shared" si="144"/>
        <v/>
      </c>
      <c r="Z741" s="6" t="str">
        <f t="shared" si="145"/>
        <v/>
      </c>
      <c r="AA741" s="23">
        <f t="shared" si="146"/>
        <v>37.22</v>
      </c>
      <c r="AB741" t="str">
        <f t="shared" si="135"/>
        <v/>
      </c>
      <c r="AC741" t="str">
        <f t="shared" si="136"/>
        <v/>
      </c>
      <c r="AD741">
        <f t="shared" si="137"/>
        <v>7.5367999999999995E-4</v>
      </c>
      <c r="AE741" s="18" t="str">
        <f t="shared" si="138"/>
        <v/>
      </c>
      <c r="AF741" s="7" t="str">
        <f t="shared" si="139"/>
        <v/>
      </c>
      <c r="AG741" s="12">
        <f t="shared" si="140"/>
        <v>0.99532454742292853</v>
      </c>
      <c r="AI741" s="54" t="str">
        <f t="shared" si="141"/>
        <v/>
      </c>
      <c r="AJ741" s="54" t="str">
        <f t="shared" si="142"/>
        <v/>
      </c>
      <c r="AK741" s="54">
        <f t="shared" si="143"/>
        <v>0.40644881017299045</v>
      </c>
    </row>
    <row r="742" spans="9:37" x14ac:dyDescent="0.45">
      <c r="I742" s="2">
        <v>88.8</v>
      </c>
      <c r="J742" s="2">
        <v>0.1598146</v>
      </c>
      <c r="K742" s="2">
        <v>9.0899199999999999E-2</v>
      </c>
      <c r="R742" s="2">
        <v>24.18</v>
      </c>
      <c r="S742" s="2">
        <v>5.6764000000000001E-4</v>
      </c>
      <c r="T742" s="2">
        <v>2.3116E-4</v>
      </c>
      <c r="V742" s="11"/>
      <c r="W742" s="6"/>
      <c r="X742" s="6">
        <v>7.23</v>
      </c>
      <c r="Y742" s="11" t="str">
        <f t="shared" si="144"/>
        <v/>
      </c>
      <c r="Z742" s="6" t="str">
        <f t="shared" si="145"/>
        <v/>
      </c>
      <c r="AA742" s="23">
        <f t="shared" si="146"/>
        <v>37.230000000000004</v>
      </c>
      <c r="AB742" t="str">
        <f t="shared" si="135"/>
        <v/>
      </c>
      <c r="AC742" t="str">
        <f t="shared" si="136"/>
        <v/>
      </c>
      <c r="AD742">
        <f t="shared" si="137"/>
        <v>7.5412000000000005E-4</v>
      </c>
      <c r="AE742" s="18" t="str">
        <f t="shared" si="138"/>
        <v/>
      </c>
      <c r="AF742" s="7" t="str">
        <f t="shared" si="139"/>
        <v/>
      </c>
      <c r="AG742" s="12">
        <f t="shared" si="140"/>
        <v>0.99531704586087955</v>
      </c>
      <c r="AI742" s="54" t="str">
        <f t="shared" si="141"/>
        <v/>
      </c>
      <c r="AJ742" s="54" t="str">
        <f t="shared" si="142"/>
        <v/>
      </c>
      <c r="AK742" s="54">
        <f t="shared" si="143"/>
        <v>0.40709780805488066</v>
      </c>
    </row>
    <row r="743" spans="9:37" x14ac:dyDescent="0.45">
      <c r="I743" s="2">
        <v>88.9</v>
      </c>
      <c r="J743" s="2">
        <v>0.1612528</v>
      </c>
      <c r="K743" s="2">
        <v>9.1803099999999999E-2</v>
      </c>
      <c r="R743" s="2">
        <v>24.19</v>
      </c>
      <c r="S743" s="2">
        <v>5.6762000000000002E-4</v>
      </c>
      <c r="T743" s="2">
        <v>2.3127999999999999E-4</v>
      </c>
      <c r="V743" s="11"/>
      <c r="W743" s="6"/>
      <c r="X743" s="6">
        <v>7.24</v>
      </c>
      <c r="Y743" s="11" t="str">
        <f t="shared" si="144"/>
        <v/>
      </c>
      <c r="Z743" s="6" t="str">
        <f t="shared" si="145"/>
        <v/>
      </c>
      <c r="AA743" s="23">
        <f t="shared" si="146"/>
        <v>37.24</v>
      </c>
      <c r="AB743" t="str">
        <f t="shared" si="135"/>
        <v/>
      </c>
      <c r="AC743" t="str">
        <f t="shared" si="136"/>
        <v/>
      </c>
      <c r="AD743">
        <f t="shared" si="137"/>
        <v>7.5456000000000004E-4</v>
      </c>
      <c r="AE743" s="18" t="str">
        <f t="shared" si="138"/>
        <v/>
      </c>
      <c r="AF743" s="7" t="str">
        <f t="shared" si="139"/>
        <v/>
      </c>
      <c r="AG743" s="12">
        <f t="shared" si="140"/>
        <v>0.99530953997597327</v>
      </c>
      <c r="AI743" s="54" t="str">
        <f t="shared" si="141"/>
        <v/>
      </c>
      <c r="AJ743" s="54" t="str">
        <f t="shared" si="142"/>
        <v/>
      </c>
      <c r="AK743" s="54">
        <f t="shared" si="143"/>
        <v>0.40774706781852121</v>
      </c>
    </row>
    <row r="744" spans="9:37" x14ac:dyDescent="0.45">
      <c r="I744" s="2">
        <v>89</v>
      </c>
      <c r="J744" s="2">
        <v>0.162691</v>
      </c>
      <c r="K744" s="2">
        <v>9.2706999999999998E-2</v>
      </c>
      <c r="R744" s="2">
        <v>24.2</v>
      </c>
      <c r="S744" s="2">
        <v>5.6760000000000003E-4</v>
      </c>
      <c r="T744" s="2">
        <v>2.3139999999999999E-4</v>
      </c>
      <c r="V744" s="11"/>
      <c r="W744" s="6"/>
      <c r="X744" s="6">
        <v>7.25</v>
      </c>
      <c r="Y744" s="11" t="str">
        <f t="shared" si="144"/>
        <v/>
      </c>
      <c r="Z744" s="6" t="str">
        <f t="shared" si="145"/>
        <v/>
      </c>
      <c r="AA744" s="23">
        <f t="shared" si="146"/>
        <v>37.25</v>
      </c>
      <c r="AB744" t="str">
        <f t="shared" si="135"/>
        <v/>
      </c>
      <c r="AC744" t="str">
        <f t="shared" si="136"/>
        <v/>
      </c>
      <c r="AD744">
        <f t="shared" si="137"/>
        <v>7.5500000000000003E-4</v>
      </c>
      <c r="AE744" s="18" t="str">
        <f t="shared" si="138"/>
        <v/>
      </c>
      <c r="AF744" s="7" t="str">
        <f t="shared" si="139"/>
        <v/>
      </c>
      <c r="AG744" s="12">
        <f t="shared" si="140"/>
        <v>0.99530202976830839</v>
      </c>
      <c r="AI744" s="54" t="str">
        <f t="shared" si="141"/>
        <v/>
      </c>
      <c r="AJ744" s="54" t="str">
        <f t="shared" si="142"/>
        <v/>
      </c>
      <c r="AK744" s="54">
        <f t="shared" si="143"/>
        <v>0.40839658957635205</v>
      </c>
    </row>
    <row r="745" spans="9:37" x14ac:dyDescent="0.45">
      <c r="I745" s="2">
        <v>89.1</v>
      </c>
      <c r="J745" s="2">
        <v>0.1642508</v>
      </c>
      <c r="K745" s="2">
        <v>9.3708700000000006E-2</v>
      </c>
      <c r="R745" s="2">
        <v>24.21</v>
      </c>
      <c r="S745" s="2">
        <v>5.6758000000000004E-4</v>
      </c>
      <c r="T745" s="2">
        <v>2.3152000000000001E-4</v>
      </c>
      <c r="V745" s="11"/>
      <c r="W745" s="6"/>
      <c r="X745" s="6">
        <v>7.26</v>
      </c>
      <c r="Y745" s="11" t="str">
        <f t="shared" si="144"/>
        <v/>
      </c>
      <c r="Z745" s="6" t="str">
        <f t="shared" si="145"/>
        <v/>
      </c>
      <c r="AA745" s="23">
        <f t="shared" si="146"/>
        <v>37.26</v>
      </c>
      <c r="AB745" t="str">
        <f t="shared" si="135"/>
        <v/>
      </c>
      <c r="AC745" t="str">
        <f t="shared" si="136"/>
        <v/>
      </c>
      <c r="AD745">
        <f t="shared" si="137"/>
        <v>7.5544000000000002E-4</v>
      </c>
      <c r="AE745" s="18" t="str">
        <f t="shared" si="138"/>
        <v/>
      </c>
      <c r="AF745" s="7" t="str">
        <f t="shared" si="139"/>
        <v/>
      </c>
      <c r="AG745" s="12">
        <f t="shared" si="140"/>
        <v>0.99529451523798362</v>
      </c>
      <c r="AI745" s="54" t="str">
        <f t="shared" si="141"/>
        <v/>
      </c>
      <c r="AJ745" s="54" t="str">
        <f t="shared" si="142"/>
        <v/>
      </c>
      <c r="AK745" s="54">
        <f t="shared" si="143"/>
        <v>0.40904637344086237</v>
      </c>
    </row>
    <row r="746" spans="9:37" x14ac:dyDescent="0.45">
      <c r="I746" s="2">
        <v>89.2</v>
      </c>
      <c r="J746" s="2">
        <v>0.1658106</v>
      </c>
      <c r="K746" s="2">
        <v>9.47104E-2</v>
      </c>
      <c r="R746" s="2">
        <v>24.22</v>
      </c>
      <c r="S746" s="2">
        <v>5.6756000000000005E-4</v>
      </c>
      <c r="T746" s="2">
        <v>2.3164E-4</v>
      </c>
      <c r="V746" s="11"/>
      <c r="W746" s="6"/>
      <c r="X746" s="6">
        <v>7.2700000000000005</v>
      </c>
      <c r="Y746" s="11" t="str">
        <f t="shared" si="144"/>
        <v/>
      </c>
      <c r="Z746" s="6" t="str">
        <f t="shared" si="145"/>
        <v/>
      </c>
      <c r="AA746" s="23">
        <f t="shared" si="146"/>
        <v>37.270000000000003</v>
      </c>
      <c r="AB746" t="str">
        <f t="shared" si="135"/>
        <v/>
      </c>
      <c r="AC746" t="str">
        <f t="shared" si="136"/>
        <v/>
      </c>
      <c r="AD746">
        <f t="shared" si="137"/>
        <v>7.5588000000000001E-4</v>
      </c>
      <c r="AE746" s="18" t="str">
        <f t="shared" si="138"/>
        <v/>
      </c>
      <c r="AF746" s="7" t="str">
        <f t="shared" si="139"/>
        <v/>
      </c>
      <c r="AG746" s="12">
        <f t="shared" si="140"/>
        <v>0.99528699638509766</v>
      </c>
      <c r="AI746" s="54" t="str">
        <f t="shared" si="141"/>
        <v/>
      </c>
      <c r="AJ746" s="54" t="str">
        <f t="shared" si="142"/>
        <v/>
      </c>
      <c r="AK746" s="54">
        <f t="shared" si="143"/>
        <v>0.40969641952459074</v>
      </c>
    </row>
    <row r="747" spans="9:37" x14ac:dyDescent="0.45">
      <c r="I747" s="2">
        <v>89.3</v>
      </c>
      <c r="J747" s="2">
        <v>0.1673704</v>
      </c>
      <c r="K747" s="2">
        <v>9.5712099999999994E-2</v>
      </c>
      <c r="R747" s="2">
        <v>24.23</v>
      </c>
      <c r="S747" s="2">
        <v>5.6753999999999995E-4</v>
      </c>
      <c r="T747" s="2">
        <v>2.3175999999999999E-4</v>
      </c>
      <c r="V747" s="11"/>
      <c r="W747" s="6"/>
      <c r="X747" s="6">
        <v>7.28</v>
      </c>
      <c r="Y747" s="11" t="str">
        <f t="shared" si="144"/>
        <v/>
      </c>
      <c r="Z747" s="6" t="str">
        <f t="shared" si="145"/>
        <v/>
      </c>
      <c r="AA747" s="23">
        <f t="shared" si="146"/>
        <v>37.28</v>
      </c>
      <c r="AB747" t="str">
        <f t="shared" si="135"/>
        <v/>
      </c>
      <c r="AC747" t="str">
        <f t="shared" si="136"/>
        <v/>
      </c>
      <c r="AD747">
        <f t="shared" si="137"/>
        <v>7.5632E-4</v>
      </c>
      <c r="AE747" s="18" t="str">
        <f t="shared" si="138"/>
        <v/>
      </c>
      <c r="AF747" s="7" t="str">
        <f t="shared" si="139"/>
        <v/>
      </c>
      <c r="AG747" s="12">
        <f t="shared" si="140"/>
        <v>0.99527947320974941</v>
      </c>
      <c r="AI747" s="54" t="str">
        <f t="shared" si="141"/>
        <v/>
      </c>
      <c r="AJ747" s="54" t="str">
        <f t="shared" si="142"/>
        <v/>
      </c>
      <c r="AK747" s="54">
        <f t="shared" si="143"/>
        <v>0.41034672794012494</v>
      </c>
    </row>
    <row r="748" spans="9:37" x14ac:dyDescent="0.45">
      <c r="I748" s="2">
        <v>89.4</v>
      </c>
      <c r="J748" s="2">
        <v>0.1689302</v>
      </c>
      <c r="K748" s="2">
        <v>9.6713800000000003E-2</v>
      </c>
      <c r="R748" s="2">
        <v>24.24</v>
      </c>
      <c r="S748" s="2">
        <v>5.6751999999999996E-4</v>
      </c>
      <c r="T748" s="2">
        <v>2.3188000000000001E-4</v>
      </c>
      <c r="V748" s="11"/>
      <c r="W748" s="6"/>
      <c r="X748" s="6">
        <v>7.29</v>
      </c>
      <c r="Y748" s="11" t="str">
        <f t="shared" si="144"/>
        <v/>
      </c>
      <c r="Z748" s="6" t="str">
        <f t="shared" si="145"/>
        <v/>
      </c>
      <c r="AA748" s="23">
        <f t="shared" si="146"/>
        <v>37.29</v>
      </c>
      <c r="AB748" t="str">
        <f t="shared" si="135"/>
        <v/>
      </c>
      <c r="AC748" t="str">
        <f t="shared" si="136"/>
        <v/>
      </c>
      <c r="AD748">
        <f t="shared" si="137"/>
        <v>7.5675999999999998E-4</v>
      </c>
      <c r="AE748" s="18" t="str">
        <f t="shared" si="138"/>
        <v/>
      </c>
      <c r="AF748" s="7" t="str">
        <f t="shared" si="139"/>
        <v/>
      </c>
      <c r="AG748" s="12">
        <f t="shared" si="140"/>
        <v>0.99527194571203759</v>
      </c>
      <c r="AI748" s="54" t="str">
        <f t="shared" si="141"/>
        <v/>
      </c>
      <c r="AJ748" s="54" t="str">
        <f t="shared" si="142"/>
        <v/>
      </c>
      <c r="AK748" s="54">
        <f t="shared" si="143"/>
        <v>0.41099729880010227</v>
      </c>
    </row>
    <row r="749" spans="9:37" x14ac:dyDescent="0.45">
      <c r="I749" s="2">
        <v>89.5</v>
      </c>
      <c r="J749" s="2">
        <v>0.17049</v>
      </c>
      <c r="K749" s="2">
        <v>9.7715499999999997E-2</v>
      </c>
      <c r="R749" s="2">
        <v>24.25</v>
      </c>
      <c r="S749" s="2">
        <v>5.6749999999999997E-4</v>
      </c>
      <c r="T749" s="2">
        <v>2.32E-4</v>
      </c>
      <c r="V749" s="11"/>
      <c r="W749" s="6"/>
      <c r="X749" s="6">
        <v>7.3</v>
      </c>
      <c r="Y749" s="11" t="str">
        <f t="shared" si="144"/>
        <v/>
      </c>
      <c r="Z749" s="6" t="str">
        <f t="shared" si="145"/>
        <v/>
      </c>
      <c r="AA749" s="23">
        <f t="shared" si="146"/>
        <v>37.299999999999997</v>
      </c>
      <c r="AB749" t="str">
        <f t="shared" si="135"/>
        <v/>
      </c>
      <c r="AC749" t="str">
        <f t="shared" si="136"/>
        <v/>
      </c>
      <c r="AD749">
        <f t="shared" si="137"/>
        <v>7.5719999999999997E-4</v>
      </c>
      <c r="AE749" s="18" t="str">
        <f t="shared" si="138"/>
        <v/>
      </c>
      <c r="AF749" s="7" t="str">
        <f t="shared" si="139"/>
        <v/>
      </c>
      <c r="AG749" s="12">
        <f t="shared" si="140"/>
        <v>0.99526441389206122</v>
      </c>
      <c r="AI749" s="54" t="str">
        <f t="shared" si="141"/>
        <v/>
      </c>
      <c r="AJ749" s="54" t="str">
        <f t="shared" si="142"/>
        <v/>
      </c>
      <c r="AK749" s="54">
        <f t="shared" si="143"/>
        <v>0.4116481322172092</v>
      </c>
    </row>
    <row r="750" spans="9:37" x14ac:dyDescent="0.45">
      <c r="I750" s="2">
        <v>89.6</v>
      </c>
      <c r="J750" s="2">
        <v>0.1720498</v>
      </c>
      <c r="K750" s="2">
        <v>9.8717200000000005E-2</v>
      </c>
      <c r="R750" s="2">
        <v>24.26</v>
      </c>
      <c r="S750" s="2">
        <v>5.6747999999999998E-4</v>
      </c>
      <c r="T750" s="2">
        <v>2.3211999999999999E-4</v>
      </c>
      <c r="V750" s="11"/>
      <c r="W750" s="6"/>
      <c r="X750" s="6">
        <v>7.3100000000000005</v>
      </c>
      <c r="Y750" s="11" t="str">
        <f t="shared" si="144"/>
        <v/>
      </c>
      <c r="Z750" s="6" t="str">
        <f t="shared" si="145"/>
        <v/>
      </c>
      <c r="AA750" s="23">
        <f t="shared" si="146"/>
        <v>37.31</v>
      </c>
      <c r="AB750" t="str">
        <f t="shared" si="135"/>
        <v/>
      </c>
      <c r="AC750" t="str">
        <f t="shared" si="136"/>
        <v/>
      </c>
      <c r="AD750">
        <f t="shared" si="137"/>
        <v>7.5763999999999996E-4</v>
      </c>
      <c r="AE750" s="18" t="str">
        <f t="shared" si="138"/>
        <v/>
      </c>
      <c r="AF750" s="7" t="str">
        <f t="shared" si="139"/>
        <v/>
      </c>
      <c r="AG750" s="12">
        <f t="shared" si="140"/>
        <v>0.99525687774991922</v>
      </c>
      <c r="AI750" s="54" t="str">
        <f t="shared" si="141"/>
        <v/>
      </c>
      <c r="AJ750" s="54" t="str">
        <f t="shared" si="142"/>
        <v/>
      </c>
      <c r="AK750" s="54">
        <f t="shared" si="143"/>
        <v>0.4122992283041817</v>
      </c>
    </row>
    <row r="751" spans="9:37" x14ac:dyDescent="0.45">
      <c r="I751" s="2">
        <v>89.7</v>
      </c>
      <c r="J751" s="2">
        <v>0.1736096</v>
      </c>
      <c r="K751" s="2">
        <v>9.9718899999999999E-2</v>
      </c>
      <c r="R751" s="2">
        <v>24.27</v>
      </c>
      <c r="S751" s="2">
        <v>5.6745999999999999E-4</v>
      </c>
      <c r="T751" s="2">
        <v>2.3224000000000001E-4</v>
      </c>
      <c r="V751" s="11"/>
      <c r="W751" s="6"/>
      <c r="X751" s="6">
        <v>7.32</v>
      </c>
      <c r="Y751" s="11" t="str">
        <f t="shared" si="144"/>
        <v/>
      </c>
      <c r="Z751" s="6" t="str">
        <f t="shared" si="145"/>
        <v/>
      </c>
      <c r="AA751" s="23">
        <f t="shared" si="146"/>
        <v>37.32</v>
      </c>
      <c r="AB751" t="str">
        <f t="shared" si="135"/>
        <v/>
      </c>
      <c r="AC751" t="str">
        <f t="shared" si="136"/>
        <v/>
      </c>
      <c r="AD751">
        <f t="shared" si="137"/>
        <v>7.5807999999999995E-4</v>
      </c>
      <c r="AE751" s="18" t="str">
        <f t="shared" si="138"/>
        <v/>
      </c>
      <c r="AF751" s="7" t="str">
        <f t="shared" si="139"/>
        <v/>
      </c>
      <c r="AG751" s="12">
        <f t="shared" si="140"/>
        <v>0.99524933728571063</v>
      </c>
      <c r="AI751" s="54" t="str">
        <f t="shared" si="141"/>
        <v/>
      </c>
      <c r="AJ751" s="54" t="str">
        <f t="shared" si="142"/>
        <v/>
      </c>
      <c r="AK751" s="54">
        <f t="shared" si="143"/>
        <v>0.41295058717380517</v>
      </c>
    </row>
    <row r="752" spans="9:37" x14ac:dyDescent="0.45">
      <c r="I752" s="2">
        <v>89.8</v>
      </c>
      <c r="J752" s="2">
        <v>0.1751694</v>
      </c>
      <c r="K752" s="2">
        <v>0.10072059999999999</v>
      </c>
      <c r="R752" s="2">
        <v>24.28</v>
      </c>
      <c r="S752" s="2">
        <v>5.6744E-4</v>
      </c>
      <c r="T752" s="2">
        <v>2.3236E-4</v>
      </c>
      <c r="V752" s="11"/>
      <c r="W752" s="6"/>
      <c r="X752" s="6">
        <v>7.33</v>
      </c>
      <c r="Y752" s="11" t="str">
        <f t="shared" si="144"/>
        <v/>
      </c>
      <c r="Z752" s="6" t="str">
        <f t="shared" si="145"/>
        <v/>
      </c>
      <c r="AA752" s="23">
        <f t="shared" si="146"/>
        <v>37.33</v>
      </c>
      <c r="AB752" t="str">
        <f t="shared" si="135"/>
        <v/>
      </c>
      <c r="AC752" t="str">
        <f t="shared" si="136"/>
        <v/>
      </c>
      <c r="AD752">
        <f t="shared" si="137"/>
        <v>7.5852000000000005E-4</v>
      </c>
      <c r="AE752" s="18" t="str">
        <f t="shared" si="138"/>
        <v/>
      </c>
      <c r="AF752" s="7" t="str">
        <f t="shared" si="139"/>
        <v/>
      </c>
      <c r="AG752" s="12">
        <f t="shared" si="140"/>
        <v>0.99524179249953448</v>
      </c>
      <c r="AI752" s="54" t="str">
        <f t="shared" si="141"/>
        <v/>
      </c>
      <c r="AJ752" s="54" t="str">
        <f t="shared" si="142"/>
        <v/>
      </c>
      <c r="AK752" s="54">
        <f t="shared" si="143"/>
        <v>0.41360220893891442</v>
      </c>
    </row>
    <row r="753" spans="9:37" x14ac:dyDescent="0.45">
      <c r="I753" s="2">
        <v>89.9</v>
      </c>
      <c r="J753" s="2">
        <v>0.1767292</v>
      </c>
      <c r="K753" s="2">
        <v>0.1017223</v>
      </c>
      <c r="R753" s="2">
        <v>24.29</v>
      </c>
      <c r="S753" s="2">
        <v>5.6742000000000001E-4</v>
      </c>
      <c r="T753" s="2">
        <v>2.3248E-4</v>
      </c>
      <c r="V753" s="11"/>
      <c r="W753" s="6"/>
      <c r="X753" s="6">
        <v>7.34</v>
      </c>
      <c r="Y753" s="11" t="str">
        <f t="shared" si="144"/>
        <v/>
      </c>
      <c r="Z753" s="6" t="str">
        <f t="shared" si="145"/>
        <v/>
      </c>
      <c r="AA753" s="23">
        <f t="shared" si="146"/>
        <v>37.340000000000003</v>
      </c>
      <c r="AB753" t="str">
        <f t="shared" si="135"/>
        <v/>
      </c>
      <c r="AC753" t="str">
        <f t="shared" si="136"/>
        <v/>
      </c>
      <c r="AD753">
        <f t="shared" si="137"/>
        <v>7.5896000000000004E-4</v>
      </c>
      <c r="AE753" s="18" t="str">
        <f t="shared" si="138"/>
        <v/>
      </c>
      <c r="AF753" s="7" t="str">
        <f t="shared" si="139"/>
        <v/>
      </c>
      <c r="AG753" s="12">
        <f t="shared" si="140"/>
        <v>0.99523424339149003</v>
      </c>
      <c r="AI753" s="54" t="str">
        <f t="shared" si="141"/>
        <v/>
      </c>
      <c r="AJ753" s="54" t="str">
        <f t="shared" si="142"/>
        <v/>
      </c>
      <c r="AK753" s="54">
        <f t="shared" si="143"/>
        <v>0.41425409371239375</v>
      </c>
    </row>
    <row r="754" spans="9:37" x14ac:dyDescent="0.45">
      <c r="I754" s="2">
        <v>90</v>
      </c>
      <c r="J754" s="2">
        <v>0.178289</v>
      </c>
      <c r="K754" s="2">
        <v>0.102724</v>
      </c>
      <c r="R754" s="2">
        <v>24.3</v>
      </c>
      <c r="S754" s="2">
        <v>5.6740000000000002E-4</v>
      </c>
      <c r="T754" s="2">
        <v>2.3259999999999999E-4</v>
      </c>
      <c r="V754" s="11"/>
      <c r="W754" s="6"/>
      <c r="X754" s="6">
        <v>7.3500000000000005</v>
      </c>
      <c r="Y754" s="11" t="str">
        <f t="shared" si="144"/>
        <v/>
      </c>
      <c r="Z754" s="6" t="str">
        <f t="shared" si="145"/>
        <v/>
      </c>
      <c r="AA754" s="23">
        <f t="shared" si="146"/>
        <v>37.35</v>
      </c>
      <c r="AB754" t="str">
        <f t="shared" si="135"/>
        <v/>
      </c>
      <c r="AC754" t="str">
        <f t="shared" si="136"/>
        <v/>
      </c>
      <c r="AD754">
        <f t="shared" si="137"/>
        <v>7.5940000000000003E-4</v>
      </c>
      <c r="AE754" s="18" t="str">
        <f t="shared" si="138"/>
        <v/>
      </c>
      <c r="AF754" s="7" t="str">
        <f t="shared" si="139"/>
        <v/>
      </c>
      <c r="AG754" s="12">
        <f t="shared" si="140"/>
        <v>0.9952266899616764</v>
      </c>
      <c r="AI754" s="54" t="str">
        <f t="shared" si="141"/>
        <v/>
      </c>
      <c r="AJ754" s="54" t="str">
        <f t="shared" si="142"/>
        <v/>
      </c>
      <c r="AK754" s="54">
        <f t="shared" si="143"/>
        <v>0.41490624160717682</v>
      </c>
    </row>
    <row r="755" spans="9:37" x14ac:dyDescent="0.45">
      <c r="I755" s="2">
        <v>90.1</v>
      </c>
      <c r="J755" s="2">
        <v>0.1799791</v>
      </c>
      <c r="K755" s="2">
        <v>0.103834</v>
      </c>
      <c r="R755" s="2">
        <v>24.31</v>
      </c>
      <c r="S755" s="2">
        <v>5.6738000000000003E-4</v>
      </c>
      <c r="T755" s="2">
        <v>2.3272000000000001E-4</v>
      </c>
      <c r="V755" s="11"/>
      <c r="W755" s="6"/>
      <c r="X755" s="6">
        <v>7.36</v>
      </c>
      <c r="Y755" s="11" t="str">
        <f t="shared" si="144"/>
        <v/>
      </c>
      <c r="Z755" s="6" t="str">
        <f t="shared" si="145"/>
        <v/>
      </c>
      <c r="AA755" s="23">
        <f t="shared" si="146"/>
        <v>37.36</v>
      </c>
      <c r="AB755" t="str">
        <f t="shared" si="135"/>
        <v/>
      </c>
      <c r="AC755" t="str">
        <f t="shared" si="136"/>
        <v/>
      </c>
      <c r="AD755">
        <f t="shared" si="137"/>
        <v>7.5984000000000002E-4</v>
      </c>
      <c r="AE755" s="18" t="str">
        <f t="shared" si="138"/>
        <v/>
      </c>
      <c r="AF755" s="7" t="str">
        <f t="shared" si="139"/>
        <v/>
      </c>
      <c r="AG755" s="12">
        <f t="shared" si="140"/>
        <v>0.99521913221019287</v>
      </c>
      <c r="AI755" s="54" t="str">
        <f t="shared" si="141"/>
        <v/>
      </c>
      <c r="AJ755" s="54" t="str">
        <f t="shared" si="142"/>
        <v/>
      </c>
      <c r="AK755" s="54">
        <f t="shared" si="143"/>
        <v>0.41555865273624693</v>
      </c>
    </row>
    <row r="756" spans="9:37" x14ac:dyDescent="0.45">
      <c r="I756" s="2">
        <v>90.2</v>
      </c>
      <c r="J756" s="2">
        <v>0.1816692</v>
      </c>
      <c r="K756" s="2">
        <v>0.104944</v>
      </c>
      <c r="R756" s="2">
        <v>24.32</v>
      </c>
      <c r="S756" s="2">
        <v>5.6736000000000004E-4</v>
      </c>
      <c r="T756" s="2">
        <v>2.3284E-4</v>
      </c>
      <c r="V756" s="11"/>
      <c r="W756" s="6"/>
      <c r="X756" s="6">
        <v>7.37</v>
      </c>
      <c r="Y756" s="11" t="str">
        <f t="shared" si="144"/>
        <v/>
      </c>
      <c r="Z756" s="6" t="str">
        <f t="shared" si="145"/>
        <v/>
      </c>
      <c r="AA756" s="23">
        <f t="shared" si="146"/>
        <v>37.369999999999997</v>
      </c>
      <c r="AB756" t="str">
        <f t="shared" si="135"/>
        <v/>
      </c>
      <c r="AC756" t="str">
        <f t="shared" si="136"/>
        <v/>
      </c>
      <c r="AD756">
        <f t="shared" si="137"/>
        <v>7.6028000000000001E-4</v>
      </c>
      <c r="AE756" s="18" t="str">
        <f t="shared" si="138"/>
        <v/>
      </c>
      <c r="AF756" s="7" t="str">
        <f t="shared" si="139"/>
        <v/>
      </c>
      <c r="AG756" s="12">
        <f t="shared" si="140"/>
        <v>0.99521157013713868</v>
      </c>
      <c r="AI756" s="54" t="str">
        <f t="shared" si="141"/>
        <v/>
      </c>
      <c r="AJ756" s="54" t="str">
        <f t="shared" si="142"/>
        <v/>
      </c>
      <c r="AK756" s="54">
        <f t="shared" si="143"/>
        <v>0.41621132721263687</v>
      </c>
    </row>
    <row r="757" spans="9:37" x14ac:dyDescent="0.45">
      <c r="I757" s="2">
        <v>90.3</v>
      </c>
      <c r="J757" s="2">
        <v>0.1833593</v>
      </c>
      <c r="K757" s="2">
        <v>0.106054</v>
      </c>
      <c r="R757" s="2">
        <v>24.33</v>
      </c>
      <c r="S757" s="2">
        <v>5.6734000000000005E-4</v>
      </c>
      <c r="T757" s="2">
        <v>2.3295999999999999E-4</v>
      </c>
      <c r="V757" s="11"/>
      <c r="W757" s="6"/>
      <c r="X757" s="6">
        <v>7.38</v>
      </c>
      <c r="Y757" s="11" t="str">
        <f t="shared" si="144"/>
        <v/>
      </c>
      <c r="Z757" s="6" t="str">
        <f t="shared" si="145"/>
        <v/>
      </c>
      <c r="AA757" s="23">
        <f t="shared" si="146"/>
        <v>37.380000000000003</v>
      </c>
      <c r="AB757" t="str">
        <f t="shared" si="135"/>
        <v/>
      </c>
      <c r="AC757" t="str">
        <f t="shared" si="136"/>
        <v/>
      </c>
      <c r="AD757">
        <f t="shared" si="137"/>
        <v>7.6071999999999999E-4</v>
      </c>
      <c r="AE757" s="18" t="str">
        <f t="shared" si="138"/>
        <v/>
      </c>
      <c r="AF757" s="7" t="str">
        <f t="shared" si="139"/>
        <v/>
      </c>
      <c r="AG757" s="12">
        <f t="shared" si="140"/>
        <v>0.9952040037426132</v>
      </c>
      <c r="AI757" s="54" t="str">
        <f t="shared" si="141"/>
        <v/>
      </c>
      <c r="AJ757" s="54" t="str">
        <f t="shared" si="142"/>
        <v/>
      </c>
      <c r="AK757" s="54">
        <f t="shared" si="143"/>
        <v>0.41686426514942898</v>
      </c>
    </row>
    <row r="758" spans="9:37" x14ac:dyDescent="0.45">
      <c r="I758" s="2">
        <v>90.4</v>
      </c>
      <c r="J758" s="2">
        <v>0.1850494</v>
      </c>
      <c r="K758" s="2">
        <v>0.107164</v>
      </c>
      <c r="R758" s="2">
        <v>24.34</v>
      </c>
      <c r="S758" s="2">
        <v>5.6731999999999996E-4</v>
      </c>
      <c r="T758" s="2">
        <v>2.3308000000000001E-4</v>
      </c>
      <c r="V758" s="11"/>
      <c r="W758" s="6"/>
      <c r="X758" s="6">
        <v>7.3900000000000006</v>
      </c>
      <c r="Y758" s="11" t="str">
        <f t="shared" si="144"/>
        <v/>
      </c>
      <c r="Z758" s="6" t="str">
        <f t="shared" si="145"/>
        <v/>
      </c>
      <c r="AA758" s="23">
        <f t="shared" si="146"/>
        <v>37.39</v>
      </c>
      <c r="AB758" t="str">
        <f t="shared" si="135"/>
        <v/>
      </c>
      <c r="AC758" t="str">
        <f t="shared" si="136"/>
        <v/>
      </c>
      <c r="AD758">
        <f t="shared" si="137"/>
        <v>7.6115999999999998E-4</v>
      </c>
      <c r="AE758" s="18" t="str">
        <f t="shared" si="138"/>
        <v/>
      </c>
      <c r="AF758" s="7" t="str">
        <f t="shared" si="139"/>
        <v/>
      </c>
      <c r="AG758" s="12">
        <f t="shared" si="140"/>
        <v>0.9951964330267159</v>
      </c>
      <c r="AI758" s="54" t="str">
        <f t="shared" si="141"/>
        <v/>
      </c>
      <c r="AJ758" s="54" t="str">
        <f t="shared" si="142"/>
        <v/>
      </c>
      <c r="AK758" s="54">
        <f t="shared" si="143"/>
        <v>0.41751746665975509</v>
      </c>
    </row>
    <row r="759" spans="9:37" x14ac:dyDescent="0.45">
      <c r="I759" s="2">
        <v>90.5</v>
      </c>
      <c r="J759" s="2">
        <v>0.1867395</v>
      </c>
      <c r="K759" s="2">
        <v>0.108274</v>
      </c>
      <c r="R759" s="2">
        <v>24.35</v>
      </c>
      <c r="S759" s="2">
        <v>5.6729999999999997E-4</v>
      </c>
      <c r="T759" s="2">
        <v>2.332E-4</v>
      </c>
      <c r="V759" s="11"/>
      <c r="W759" s="6"/>
      <c r="X759" s="6">
        <v>7.4</v>
      </c>
      <c r="Y759" s="11" t="str">
        <f t="shared" si="144"/>
        <v/>
      </c>
      <c r="Z759" s="6" t="str">
        <f t="shared" si="145"/>
        <v/>
      </c>
      <c r="AA759" s="23">
        <f t="shared" si="146"/>
        <v>37.4</v>
      </c>
      <c r="AB759" t="str">
        <f t="shared" si="135"/>
        <v/>
      </c>
      <c r="AC759" t="str">
        <f t="shared" si="136"/>
        <v/>
      </c>
      <c r="AD759">
        <f t="shared" si="137"/>
        <v>7.6159999999999997E-4</v>
      </c>
      <c r="AE759" s="18" t="str">
        <f t="shared" si="138"/>
        <v/>
      </c>
      <c r="AF759" s="7" t="str">
        <f t="shared" si="139"/>
        <v/>
      </c>
      <c r="AG759" s="12">
        <f t="shared" si="140"/>
        <v>0.99518885798954626</v>
      </c>
      <c r="AI759" s="54" t="str">
        <f t="shared" si="141"/>
        <v/>
      </c>
      <c r="AJ759" s="54" t="str">
        <f t="shared" si="142"/>
        <v/>
      </c>
      <c r="AK759" s="54">
        <f t="shared" si="143"/>
        <v>0.41817093185679671</v>
      </c>
    </row>
    <row r="760" spans="9:37" x14ac:dyDescent="0.45">
      <c r="I760" s="2">
        <v>90.6</v>
      </c>
      <c r="J760" s="2">
        <v>0.1884296</v>
      </c>
      <c r="K760" s="2">
        <v>0.109384</v>
      </c>
      <c r="R760" s="2">
        <v>24.36</v>
      </c>
      <c r="S760" s="2">
        <v>5.6727999999999998E-4</v>
      </c>
      <c r="T760" s="2">
        <v>2.3332E-4</v>
      </c>
      <c r="V760" s="11"/>
      <c r="W760" s="6"/>
      <c r="X760" s="6">
        <v>7.41</v>
      </c>
      <c r="Y760" s="11" t="str">
        <f t="shared" si="144"/>
        <v/>
      </c>
      <c r="Z760" s="6" t="str">
        <f t="shared" si="145"/>
        <v/>
      </c>
      <c r="AA760" s="23">
        <f t="shared" si="146"/>
        <v>37.409999999999997</v>
      </c>
      <c r="AB760" t="str">
        <f t="shared" si="135"/>
        <v/>
      </c>
      <c r="AC760" t="str">
        <f t="shared" si="136"/>
        <v/>
      </c>
      <c r="AD760">
        <f t="shared" si="137"/>
        <v>7.6203999999999996E-4</v>
      </c>
      <c r="AE760" s="18" t="str">
        <f t="shared" si="138"/>
        <v/>
      </c>
      <c r="AF760" s="7" t="str">
        <f t="shared" si="139"/>
        <v/>
      </c>
      <c r="AG760" s="12">
        <f t="shared" si="140"/>
        <v>0.99518127863120376</v>
      </c>
      <c r="AI760" s="54" t="str">
        <f t="shared" si="141"/>
        <v/>
      </c>
      <c r="AJ760" s="54" t="str">
        <f t="shared" si="142"/>
        <v/>
      </c>
      <c r="AK760" s="54">
        <f t="shared" si="143"/>
        <v>0.41882466085378495</v>
      </c>
    </row>
    <row r="761" spans="9:37" x14ac:dyDescent="0.45">
      <c r="I761" s="2">
        <v>90.7</v>
      </c>
      <c r="J761" s="2">
        <v>0.1901197</v>
      </c>
      <c r="K761" s="2">
        <v>0.11049399999999999</v>
      </c>
      <c r="R761" s="2">
        <v>24.37</v>
      </c>
      <c r="S761" s="2">
        <v>5.6725999999999999E-4</v>
      </c>
      <c r="T761" s="2">
        <v>2.3343999999999999E-4</v>
      </c>
      <c r="V761" s="11"/>
      <c r="W761" s="6"/>
      <c r="X761" s="6">
        <v>7.42</v>
      </c>
      <c r="Y761" s="11" t="str">
        <f t="shared" si="144"/>
        <v/>
      </c>
      <c r="Z761" s="6" t="str">
        <f t="shared" si="145"/>
        <v/>
      </c>
      <c r="AA761" s="23">
        <f t="shared" si="146"/>
        <v>37.42</v>
      </c>
      <c r="AB761" t="str">
        <f t="shared" si="135"/>
        <v/>
      </c>
      <c r="AC761" t="str">
        <f t="shared" si="136"/>
        <v/>
      </c>
      <c r="AD761">
        <f t="shared" si="137"/>
        <v>7.6247999999999995E-4</v>
      </c>
      <c r="AE761" s="18" t="str">
        <f t="shared" si="138"/>
        <v/>
      </c>
      <c r="AF761" s="7" t="str">
        <f t="shared" si="139"/>
        <v/>
      </c>
      <c r="AG761" s="12">
        <f t="shared" si="140"/>
        <v>0.99517369495178809</v>
      </c>
      <c r="AI761" s="54" t="str">
        <f t="shared" si="141"/>
        <v/>
      </c>
      <c r="AJ761" s="54" t="str">
        <f t="shared" si="142"/>
        <v/>
      </c>
      <c r="AK761" s="54">
        <f t="shared" si="143"/>
        <v>0.41947865376400051</v>
      </c>
    </row>
    <row r="762" spans="9:37" x14ac:dyDescent="0.45">
      <c r="I762" s="2">
        <v>90.8</v>
      </c>
      <c r="J762" s="2">
        <v>0.1918098</v>
      </c>
      <c r="K762" s="2">
        <v>0.11160399999999999</v>
      </c>
      <c r="R762" s="2">
        <v>24.38</v>
      </c>
      <c r="S762" s="2">
        <v>5.6724E-4</v>
      </c>
      <c r="T762" s="2">
        <v>2.3356000000000001E-4</v>
      </c>
      <c r="V762" s="11"/>
      <c r="W762" s="6"/>
      <c r="X762" s="6">
        <v>7.43</v>
      </c>
      <c r="Y762" s="11" t="str">
        <f t="shared" si="144"/>
        <v/>
      </c>
      <c r="Z762" s="6" t="str">
        <f t="shared" si="145"/>
        <v/>
      </c>
      <c r="AA762" s="23">
        <f t="shared" si="146"/>
        <v>37.43</v>
      </c>
      <c r="AB762" t="str">
        <f t="shared" si="135"/>
        <v/>
      </c>
      <c r="AC762" t="str">
        <f t="shared" si="136"/>
        <v/>
      </c>
      <c r="AD762">
        <f t="shared" si="137"/>
        <v>7.6292000000000005E-4</v>
      </c>
      <c r="AE762" s="18" t="str">
        <f t="shared" si="138"/>
        <v/>
      </c>
      <c r="AF762" s="7" t="str">
        <f t="shared" si="139"/>
        <v/>
      </c>
      <c r="AG762" s="12">
        <f t="shared" si="140"/>
        <v>0.99516610695139884</v>
      </c>
      <c r="AI762" s="54" t="str">
        <f t="shared" si="141"/>
        <v/>
      </c>
      <c r="AJ762" s="54" t="str">
        <f t="shared" si="142"/>
        <v/>
      </c>
      <c r="AK762" s="54">
        <f t="shared" si="143"/>
        <v>0.4201329107007738</v>
      </c>
    </row>
    <row r="763" spans="9:37" x14ac:dyDescent="0.45">
      <c r="I763" s="2">
        <v>90.9</v>
      </c>
      <c r="J763" s="2">
        <v>0.1934999</v>
      </c>
      <c r="K763" s="2">
        <v>0.11271399999999999</v>
      </c>
      <c r="R763" s="2">
        <v>24.39</v>
      </c>
      <c r="S763" s="2">
        <v>5.6722000000000001E-4</v>
      </c>
      <c r="T763" s="2">
        <v>2.3368E-4</v>
      </c>
      <c r="V763" s="11"/>
      <c r="W763" s="6"/>
      <c r="X763" s="6">
        <v>7.44</v>
      </c>
      <c r="Y763" s="11" t="str">
        <f t="shared" si="144"/>
        <v/>
      </c>
      <c r="Z763" s="6" t="str">
        <f t="shared" si="145"/>
        <v/>
      </c>
      <c r="AA763" s="23">
        <f t="shared" si="146"/>
        <v>37.44</v>
      </c>
      <c r="AB763" t="str">
        <f t="shared" si="135"/>
        <v/>
      </c>
      <c r="AC763" t="str">
        <f t="shared" si="136"/>
        <v/>
      </c>
      <c r="AD763">
        <f t="shared" si="137"/>
        <v>7.6336000000000004E-4</v>
      </c>
      <c r="AE763" s="18" t="str">
        <f t="shared" si="138"/>
        <v/>
      </c>
      <c r="AF763" s="7" t="str">
        <f t="shared" si="139"/>
        <v/>
      </c>
      <c r="AG763" s="12">
        <f t="shared" si="140"/>
        <v>0.99515851463013572</v>
      </c>
      <c r="AI763" s="54" t="str">
        <f t="shared" si="141"/>
        <v/>
      </c>
      <c r="AJ763" s="54" t="str">
        <f t="shared" si="142"/>
        <v/>
      </c>
      <c r="AK763" s="54">
        <f t="shared" si="143"/>
        <v>0.4207874317774849</v>
      </c>
    </row>
    <row r="764" spans="9:37" x14ac:dyDescent="0.45">
      <c r="I764" s="2">
        <v>91</v>
      </c>
      <c r="J764" s="2">
        <v>0.19519</v>
      </c>
      <c r="K764" s="2">
        <v>0.11382399999999999</v>
      </c>
      <c r="R764" s="2">
        <v>24.4</v>
      </c>
      <c r="S764" s="2">
        <v>5.6720000000000002E-4</v>
      </c>
      <c r="T764" s="2">
        <v>2.3379999999999999E-4</v>
      </c>
      <c r="V764" s="11"/>
      <c r="W764" s="6"/>
      <c r="X764" s="6">
        <v>7.45</v>
      </c>
      <c r="Y764" s="11" t="str">
        <f t="shared" si="144"/>
        <v/>
      </c>
      <c r="Z764" s="6" t="str">
        <f t="shared" si="145"/>
        <v/>
      </c>
      <c r="AA764" s="23">
        <f t="shared" si="146"/>
        <v>37.450000000000003</v>
      </c>
      <c r="AB764" t="str">
        <f t="shared" si="135"/>
        <v/>
      </c>
      <c r="AC764" t="str">
        <f t="shared" si="136"/>
        <v/>
      </c>
      <c r="AD764">
        <f t="shared" si="137"/>
        <v>7.6380000000000003E-4</v>
      </c>
      <c r="AE764" s="18" t="str">
        <f t="shared" si="138"/>
        <v/>
      </c>
      <c r="AF764" s="7" t="str">
        <f t="shared" si="139"/>
        <v/>
      </c>
      <c r="AG764" s="12">
        <f t="shared" si="140"/>
        <v>0.9951509179880984</v>
      </c>
      <c r="AI764" s="54" t="str">
        <f t="shared" si="141"/>
        <v/>
      </c>
      <c r="AJ764" s="54" t="str">
        <f t="shared" si="142"/>
        <v/>
      </c>
      <c r="AK764" s="54">
        <f t="shared" si="143"/>
        <v>0.42144221710756358</v>
      </c>
    </row>
    <row r="765" spans="9:37" x14ac:dyDescent="0.45">
      <c r="I765" s="2">
        <v>91.1</v>
      </c>
      <c r="J765" s="2">
        <v>0.19701920000000001</v>
      </c>
      <c r="K765" s="2">
        <v>0.11505410000000001</v>
      </c>
      <c r="R765" s="2">
        <v>24.41</v>
      </c>
      <c r="S765" s="2">
        <v>5.6718000000000003E-4</v>
      </c>
      <c r="T765" s="2">
        <v>2.3392000000000001E-4</v>
      </c>
      <c r="V765" s="11"/>
      <c r="W765" s="6"/>
      <c r="X765" s="6">
        <v>7.46</v>
      </c>
      <c r="Y765" s="11" t="str">
        <f t="shared" si="144"/>
        <v/>
      </c>
      <c r="Z765" s="6" t="str">
        <f t="shared" si="145"/>
        <v/>
      </c>
      <c r="AA765" s="23">
        <f t="shared" si="146"/>
        <v>37.46</v>
      </c>
      <c r="AB765" t="str">
        <f t="shared" si="135"/>
        <v/>
      </c>
      <c r="AC765" t="str">
        <f t="shared" si="136"/>
        <v/>
      </c>
      <c r="AD765">
        <f t="shared" si="137"/>
        <v>7.6424000000000001E-4</v>
      </c>
      <c r="AE765" s="18" t="str">
        <f t="shared" si="138"/>
        <v/>
      </c>
      <c r="AF765" s="7" t="str">
        <f t="shared" si="139"/>
        <v/>
      </c>
      <c r="AG765" s="12">
        <f t="shared" si="140"/>
        <v>0.99514331702538683</v>
      </c>
      <c r="AI765" s="54" t="str">
        <f t="shared" si="141"/>
        <v/>
      </c>
      <c r="AJ765" s="54" t="str">
        <f t="shared" si="142"/>
        <v/>
      </c>
      <c r="AK765" s="54">
        <f t="shared" si="143"/>
        <v>0.42209726680448939</v>
      </c>
    </row>
    <row r="766" spans="9:37" x14ac:dyDescent="0.45">
      <c r="I766" s="2">
        <v>91.2</v>
      </c>
      <c r="J766" s="2">
        <v>0.19884840000000001</v>
      </c>
      <c r="K766" s="2">
        <v>0.1162842</v>
      </c>
      <c r="R766" s="2">
        <v>24.42</v>
      </c>
      <c r="S766" s="2">
        <v>5.6716000000000004E-4</v>
      </c>
      <c r="T766" s="2">
        <v>2.3404E-4</v>
      </c>
      <c r="V766" s="11"/>
      <c r="W766" s="6"/>
      <c r="X766" s="6">
        <v>7.47</v>
      </c>
      <c r="Y766" s="11" t="str">
        <f t="shared" si="144"/>
        <v/>
      </c>
      <c r="Z766" s="6" t="str">
        <f t="shared" si="145"/>
        <v/>
      </c>
      <c r="AA766" s="23">
        <f t="shared" si="146"/>
        <v>37.47</v>
      </c>
      <c r="AB766" t="str">
        <f t="shared" si="135"/>
        <v/>
      </c>
      <c r="AC766" t="str">
        <f t="shared" si="136"/>
        <v/>
      </c>
      <c r="AD766">
        <f t="shared" si="137"/>
        <v>7.6468E-4</v>
      </c>
      <c r="AE766" s="18" t="str">
        <f t="shared" si="138"/>
        <v/>
      </c>
      <c r="AF766" s="7" t="str">
        <f t="shared" si="139"/>
        <v/>
      </c>
      <c r="AG766" s="12">
        <f t="shared" si="140"/>
        <v>0.9951357117421008</v>
      </c>
      <c r="AI766" s="54" t="str">
        <f t="shared" si="141"/>
        <v/>
      </c>
      <c r="AJ766" s="54" t="str">
        <f t="shared" si="142"/>
        <v/>
      </c>
      <c r="AK766" s="54">
        <f t="shared" si="143"/>
        <v>0.42275258098179153</v>
      </c>
    </row>
    <row r="767" spans="9:37" x14ac:dyDescent="0.45">
      <c r="I767" s="2">
        <v>91.3</v>
      </c>
      <c r="J767" s="2">
        <v>0.20067760000000001</v>
      </c>
      <c r="K767" s="2">
        <v>0.1175143</v>
      </c>
      <c r="R767" s="2">
        <v>24.43</v>
      </c>
      <c r="S767" s="2">
        <v>5.6714000000000005E-4</v>
      </c>
      <c r="T767" s="2">
        <v>2.3415999999999999E-4</v>
      </c>
      <c r="V767" s="11"/>
      <c r="W767" s="6"/>
      <c r="X767" s="6">
        <v>7.48</v>
      </c>
      <c r="Y767" s="11" t="str">
        <f t="shared" si="144"/>
        <v/>
      </c>
      <c r="Z767" s="6" t="str">
        <f t="shared" si="145"/>
        <v/>
      </c>
      <c r="AA767" s="23">
        <f t="shared" si="146"/>
        <v>37.480000000000004</v>
      </c>
      <c r="AB767" t="str">
        <f t="shared" si="135"/>
        <v/>
      </c>
      <c r="AC767" t="str">
        <f t="shared" si="136"/>
        <v/>
      </c>
      <c r="AD767">
        <f t="shared" si="137"/>
        <v>7.6511999999999999E-4</v>
      </c>
      <c r="AE767" s="18" t="str">
        <f t="shared" si="138"/>
        <v/>
      </c>
      <c r="AF767" s="7" t="str">
        <f t="shared" si="139"/>
        <v/>
      </c>
      <c r="AG767" s="12">
        <f t="shared" si="140"/>
        <v>0.99512810213834024</v>
      </c>
      <c r="AI767" s="54" t="str">
        <f t="shared" si="141"/>
        <v/>
      </c>
      <c r="AJ767" s="54" t="str">
        <f t="shared" si="142"/>
        <v/>
      </c>
      <c r="AK767" s="54">
        <f t="shared" si="143"/>
        <v>0.42340815975304896</v>
      </c>
    </row>
    <row r="768" spans="9:37" x14ac:dyDescent="0.45">
      <c r="I768" s="2">
        <v>91.4</v>
      </c>
      <c r="J768" s="2">
        <v>0.20250679999999999</v>
      </c>
      <c r="K768" s="2">
        <v>0.1187444</v>
      </c>
      <c r="R768" s="2">
        <v>24.44</v>
      </c>
      <c r="S768" s="2">
        <v>5.6711999999999995E-4</v>
      </c>
      <c r="T768" s="2">
        <v>2.3428000000000001E-4</v>
      </c>
      <c r="V768" s="11"/>
      <c r="W768" s="6"/>
      <c r="X768" s="6">
        <v>7.49</v>
      </c>
      <c r="Y768" s="11" t="str">
        <f t="shared" si="144"/>
        <v/>
      </c>
      <c r="Z768" s="6" t="str">
        <f t="shared" si="145"/>
        <v/>
      </c>
      <c r="AA768" s="23">
        <f t="shared" si="146"/>
        <v>37.49</v>
      </c>
      <c r="AB768" t="str">
        <f t="shared" si="135"/>
        <v/>
      </c>
      <c r="AC768" t="str">
        <f t="shared" si="136"/>
        <v/>
      </c>
      <c r="AD768">
        <f t="shared" si="137"/>
        <v>7.6555999999999998E-4</v>
      </c>
      <c r="AE768" s="18" t="str">
        <f t="shared" si="138"/>
        <v/>
      </c>
      <c r="AF768" s="7" t="str">
        <f t="shared" si="139"/>
        <v/>
      </c>
      <c r="AG768" s="12">
        <f t="shared" si="140"/>
        <v>0.99512048821420518</v>
      </c>
      <c r="AI768" s="54" t="str">
        <f t="shared" si="141"/>
        <v/>
      </c>
      <c r="AJ768" s="54" t="str">
        <f t="shared" si="142"/>
        <v/>
      </c>
      <c r="AK768" s="54">
        <f t="shared" si="143"/>
        <v>0.42406400323189058</v>
      </c>
    </row>
    <row r="769" spans="9:37" x14ac:dyDescent="0.45">
      <c r="I769" s="2">
        <v>91.5</v>
      </c>
      <c r="J769" s="2">
        <v>0.20433599999999999</v>
      </c>
      <c r="K769" s="2">
        <v>0.1199745</v>
      </c>
      <c r="R769" s="2">
        <v>24.45</v>
      </c>
      <c r="S769" s="2">
        <v>5.6709999999999996E-4</v>
      </c>
      <c r="T769" s="2">
        <v>2.3440000000000001E-4</v>
      </c>
      <c r="V769" s="11"/>
      <c r="W769" s="6"/>
      <c r="X769" s="6">
        <v>7.5</v>
      </c>
      <c r="Y769" s="11" t="str">
        <f t="shared" si="144"/>
        <v/>
      </c>
      <c r="Z769" s="6" t="str">
        <f t="shared" si="145"/>
        <v/>
      </c>
      <c r="AA769" s="23">
        <f t="shared" si="146"/>
        <v>37.5</v>
      </c>
      <c r="AB769" t="str">
        <f t="shared" si="135"/>
        <v/>
      </c>
      <c r="AC769" t="str">
        <f t="shared" si="136"/>
        <v/>
      </c>
      <c r="AD769">
        <f t="shared" si="137"/>
        <v>7.6599999999999997E-4</v>
      </c>
      <c r="AE769" s="18" t="str">
        <f t="shared" si="138"/>
        <v/>
      </c>
      <c r="AF769" s="7" t="str">
        <f t="shared" si="139"/>
        <v/>
      </c>
      <c r="AG769" s="12">
        <f t="shared" si="140"/>
        <v>0.99511286996979564</v>
      </c>
      <c r="AI769" s="54" t="str">
        <f t="shared" si="141"/>
        <v/>
      </c>
      <c r="AJ769" s="54" t="str">
        <f t="shared" si="142"/>
        <v/>
      </c>
      <c r="AK769" s="54">
        <f t="shared" si="143"/>
        <v>0.42472011153199496</v>
      </c>
    </row>
    <row r="770" spans="9:37" x14ac:dyDescent="0.45">
      <c r="I770" s="2">
        <v>91.6</v>
      </c>
      <c r="J770" s="2">
        <v>0.20616519999999999</v>
      </c>
      <c r="K770" s="2">
        <v>0.1212046</v>
      </c>
      <c r="R770" s="2">
        <v>24.46</v>
      </c>
      <c r="S770" s="2">
        <v>5.6707999999999997E-4</v>
      </c>
      <c r="T770" s="2">
        <v>2.3452E-4</v>
      </c>
      <c r="V770" s="11"/>
      <c r="W770" s="6"/>
      <c r="X770" s="6">
        <v>7.51</v>
      </c>
      <c r="Y770" s="11" t="str">
        <f t="shared" si="144"/>
        <v/>
      </c>
      <c r="Z770" s="6" t="str">
        <f t="shared" si="145"/>
        <v/>
      </c>
      <c r="AA770" s="23">
        <f t="shared" si="146"/>
        <v>37.51</v>
      </c>
      <c r="AB770" t="str">
        <f t="shared" si="135"/>
        <v/>
      </c>
      <c r="AC770" t="str">
        <f t="shared" si="136"/>
        <v/>
      </c>
      <c r="AD770">
        <f t="shared" si="137"/>
        <v>7.6643999999999996E-4</v>
      </c>
      <c r="AE770" s="18" t="str">
        <f t="shared" si="138"/>
        <v/>
      </c>
      <c r="AF770" s="7" t="str">
        <f t="shared" si="139"/>
        <v/>
      </c>
      <c r="AG770" s="12">
        <f t="shared" si="140"/>
        <v>0.99510524740521167</v>
      </c>
      <c r="AI770" s="54" t="str">
        <f t="shared" si="141"/>
        <v/>
      </c>
      <c r="AJ770" s="54" t="str">
        <f t="shared" si="142"/>
        <v/>
      </c>
      <c r="AK770" s="54">
        <f t="shared" si="143"/>
        <v>0.42537648476709061</v>
      </c>
    </row>
    <row r="771" spans="9:37" x14ac:dyDescent="0.45">
      <c r="I771" s="2">
        <v>91.7</v>
      </c>
      <c r="J771" s="2">
        <v>0.2079944</v>
      </c>
      <c r="K771" s="2">
        <v>0.12243469999999999</v>
      </c>
      <c r="R771" s="2">
        <v>24.47</v>
      </c>
      <c r="S771" s="2">
        <v>5.6705999999999998E-4</v>
      </c>
      <c r="T771" s="2">
        <v>2.3463999999999999E-4</v>
      </c>
      <c r="V771" s="11"/>
      <c r="W771" s="6"/>
      <c r="X771" s="6">
        <v>7.5200000000000005</v>
      </c>
      <c r="Y771" s="11" t="str">
        <f t="shared" si="144"/>
        <v/>
      </c>
      <c r="Z771" s="6" t="str">
        <f t="shared" si="145"/>
        <v/>
      </c>
      <c r="AA771" s="23">
        <f t="shared" si="146"/>
        <v>37.520000000000003</v>
      </c>
      <c r="AB771" t="str">
        <f t="shared" si="135"/>
        <v/>
      </c>
      <c r="AC771" t="str">
        <f t="shared" si="136"/>
        <v/>
      </c>
      <c r="AD771">
        <f t="shared" si="137"/>
        <v>7.6687999999999995E-4</v>
      </c>
      <c r="AE771" s="18" t="str">
        <f t="shared" si="138"/>
        <v/>
      </c>
      <c r="AF771" s="7" t="str">
        <f t="shared" si="139"/>
        <v/>
      </c>
      <c r="AG771" s="12">
        <f t="shared" si="140"/>
        <v>0.99509762052055351</v>
      </c>
      <c r="AI771" s="54" t="str">
        <f t="shared" si="141"/>
        <v/>
      </c>
      <c r="AJ771" s="54" t="str">
        <f t="shared" si="142"/>
        <v/>
      </c>
      <c r="AK771" s="54">
        <f t="shared" si="143"/>
        <v>0.42603312305095581</v>
      </c>
    </row>
    <row r="772" spans="9:37" x14ac:dyDescent="0.45">
      <c r="I772" s="2">
        <v>91.8</v>
      </c>
      <c r="J772" s="2">
        <v>0.2098236</v>
      </c>
      <c r="K772" s="2">
        <v>0.12366480000000001</v>
      </c>
      <c r="R772" s="2">
        <v>24.48</v>
      </c>
      <c r="S772" s="2">
        <v>5.6703999999999999E-4</v>
      </c>
      <c r="T772" s="2">
        <v>2.3476000000000001E-4</v>
      </c>
      <c r="V772" s="11"/>
      <c r="W772" s="6"/>
      <c r="X772" s="6">
        <v>7.53</v>
      </c>
      <c r="Y772" s="11" t="str">
        <f t="shared" si="144"/>
        <v/>
      </c>
      <c r="Z772" s="6" t="str">
        <f t="shared" si="145"/>
        <v/>
      </c>
      <c r="AA772" s="23">
        <f t="shared" si="146"/>
        <v>37.53</v>
      </c>
      <c r="AB772" t="str">
        <f t="shared" si="135"/>
        <v/>
      </c>
      <c r="AC772" t="str">
        <f t="shared" si="136"/>
        <v/>
      </c>
      <c r="AD772">
        <f t="shared" si="137"/>
        <v>7.6732000000000005E-4</v>
      </c>
      <c r="AE772" s="18" t="str">
        <f t="shared" si="138"/>
        <v/>
      </c>
      <c r="AF772" s="7" t="str">
        <f t="shared" si="139"/>
        <v/>
      </c>
      <c r="AG772" s="12">
        <f t="shared" si="140"/>
        <v>0.9950899893159213</v>
      </c>
      <c r="AI772" s="54" t="str">
        <f t="shared" si="141"/>
        <v/>
      </c>
      <c r="AJ772" s="54" t="str">
        <f t="shared" si="142"/>
        <v/>
      </c>
      <c r="AK772" s="54">
        <f t="shared" si="143"/>
        <v>0.42669002649741872</v>
      </c>
    </row>
    <row r="773" spans="9:37" x14ac:dyDescent="0.45">
      <c r="I773" s="2">
        <v>91.9</v>
      </c>
      <c r="J773" s="2">
        <v>0.2116528</v>
      </c>
      <c r="K773" s="2">
        <v>0.1248949</v>
      </c>
      <c r="R773" s="2">
        <v>24.49</v>
      </c>
      <c r="S773" s="2">
        <v>5.6702E-4</v>
      </c>
      <c r="T773" s="2">
        <v>2.3488E-4</v>
      </c>
      <c r="V773" s="11"/>
      <c r="W773" s="6"/>
      <c r="X773" s="6">
        <v>7.54</v>
      </c>
      <c r="Y773" s="11" t="str">
        <f t="shared" si="144"/>
        <v/>
      </c>
      <c r="Z773" s="6" t="str">
        <f t="shared" si="145"/>
        <v/>
      </c>
      <c r="AA773" s="23">
        <f t="shared" si="146"/>
        <v>37.54</v>
      </c>
      <c r="AB773" t="str">
        <f t="shared" si="135"/>
        <v/>
      </c>
      <c r="AC773" t="str">
        <f t="shared" si="136"/>
        <v/>
      </c>
      <c r="AD773">
        <f t="shared" si="137"/>
        <v>7.6776000000000004E-4</v>
      </c>
      <c r="AE773" s="18" t="str">
        <f t="shared" si="138"/>
        <v/>
      </c>
      <c r="AF773" s="7" t="str">
        <f t="shared" si="139"/>
        <v/>
      </c>
      <c r="AG773" s="12">
        <f t="shared" si="140"/>
        <v>0.9950823537914153</v>
      </c>
      <c r="AI773" s="54" t="str">
        <f t="shared" si="141"/>
        <v/>
      </c>
      <c r="AJ773" s="54" t="str">
        <f t="shared" si="142"/>
        <v/>
      </c>
      <c r="AK773" s="54">
        <f t="shared" si="143"/>
        <v>0.42734719522035752</v>
      </c>
    </row>
    <row r="774" spans="9:37" x14ac:dyDescent="0.45">
      <c r="I774" s="2">
        <v>92</v>
      </c>
      <c r="J774" s="2">
        <v>0.21348200000000001</v>
      </c>
      <c r="K774" s="2">
        <v>0.12612499999999999</v>
      </c>
      <c r="R774" s="2">
        <v>24.5</v>
      </c>
      <c r="S774" s="2">
        <v>5.6700000000000001E-4</v>
      </c>
      <c r="T774" s="2">
        <v>2.3499999999999999E-4</v>
      </c>
      <c r="V774" s="11"/>
      <c r="W774" s="6"/>
      <c r="X774" s="6">
        <v>7.55</v>
      </c>
      <c r="Y774" s="11" t="str">
        <f t="shared" si="144"/>
        <v/>
      </c>
      <c r="Z774" s="6" t="str">
        <f t="shared" si="145"/>
        <v/>
      </c>
      <c r="AA774" s="23">
        <f t="shared" si="146"/>
        <v>37.549999999999997</v>
      </c>
      <c r="AB774" t="str">
        <f t="shared" si="135"/>
        <v/>
      </c>
      <c r="AC774" t="str">
        <f t="shared" si="136"/>
        <v/>
      </c>
      <c r="AD774">
        <f t="shared" si="137"/>
        <v>7.6820000000000002E-4</v>
      </c>
      <c r="AE774" s="18" t="str">
        <f t="shared" si="138"/>
        <v/>
      </c>
      <c r="AF774" s="7" t="str">
        <f t="shared" si="139"/>
        <v/>
      </c>
      <c r="AG774" s="12">
        <f t="shared" si="140"/>
        <v>0.99507471394713587</v>
      </c>
      <c r="AI774" s="54" t="str">
        <f t="shared" si="141"/>
        <v/>
      </c>
      <c r="AJ774" s="54" t="str">
        <f t="shared" si="142"/>
        <v/>
      </c>
      <c r="AK774" s="54">
        <f t="shared" si="143"/>
        <v>0.4280046293337002</v>
      </c>
    </row>
    <row r="775" spans="9:37" x14ac:dyDescent="0.45">
      <c r="I775" s="2">
        <v>92.1</v>
      </c>
      <c r="J775" s="2">
        <v>0.2154595</v>
      </c>
      <c r="K775" s="2">
        <v>0.12748809999999999</v>
      </c>
      <c r="R775" s="2">
        <v>24.51</v>
      </c>
      <c r="S775" s="2">
        <v>5.6698000000000002E-4</v>
      </c>
      <c r="T775" s="2">
        <v>2.3512000000000001E-4</v>
      </c>
      <c r="V775" s="11"/>
      <c r="W775" s="6"/>
      <c r="X775" s="6">
        <v>7.5600000000000005</v>
      </c>
      <c r="Y775" s="11" t="str">
        <f t="shared" si="144"/>
        <v/>
      </c>
      <c r="Z775" s="6" t="str">
        <f t="shared" si="145"/>
        <v/>
      </c>
      <c r="AA775" s="23">
        <f t="shared" si="146"/>
        <v>37.56</v>
      </c>
      <c r="AB775" t="str">
        <f t="shared" si="135"/>
        <v/>
      </c>
      <c r="AC775" t="str">
        <f t="shared" si="136"/>
        <v/>
      </c>
      <c r="AD775">
        <f t="shared" si="137"/>
        <v>7.6864000000000001E-4</v>
      </c>
      <c r="AE775" s="18" t="str">
        <f t="shared" si="138"/>
        <v/>
      </c>
      <c r="AF775" s="7" t="str">
        <f t="shared" si="139"/>
        <v/>
      </c>
      <c r="AG775" s="12">
        <f t="shared" si="140"/>
        <v>0.99506706978318338</v>
      </c>
      <c r="AI775" s="54" t="str">
        <f t="shared" si="141"/>
        <v/>
      </c>
      <c r="AJ775" s="54" t="str">
        <f t="shared" si="142"/>
        <v/>
      </c>
      <c r="AK775" s="54">
        <f t="shared" si="143"/>
        <v>0.4286623289514247</v>
      </c>
    </row>
    <row r="776" spans="9:37" x14ac:dyDescent="0.45">
      <c r="I776" s="2">
        <v>92.2</v>
      </c>
      <c r="J776" s="2">
        <v>0.21743699999999999</v>
      </c>
      <c r="K776" s="2">
        <v>0.1288512</v>
      </c>
      <c r="R776" s="2">
        <v>24.52</v>
      </c>
      <c r="S776" s="2">
        <v>5.6696000000000003E-4</v>
      </c>
      <c r="T776" s="2">
        <v>2.3524E-4</v>
      </c>
      <c r="V776" s="11"/>
      <c r="W776" s="6"/>
      <c r="X776" s="6">
        <v>7.57</v>
      </c>
      <c r="Y776" s="11" t="str">
        <f t="shared" si="144"/>
        <v/>
      </c>
      <c r="Z776" s="6" t="str">
        <f t="shared" si="145"/>
        <v/>
      </c>
      <c r="AA776" s="23">
        <f t="shared" si="146"/>
        <v>37.57</v>
      </c>
      <c r="AB776" t="str">
        <f t="shared" si="135"/>
        <v/>
      </c>
      <c r="AC776" t="str">
        <f t="shared" si="136"/>
        <v/>
      </c>
      <c r="AD776">
        <f t="shared" si="137"/>
        <v>7.6908E-4</v>
      </c>
      <c r="AE776" s="18" t="str">
        <f t="shared" si="138"/>
        <v/>
      </c>
      <c r="AF776" s="7" t="str">
        <f t="shared" si="139"/>
        <v/>
      </c>
      <c r="AG776" s="12">
        <f t="shared" si="140"/>
        <v>0.99505942129965819</v>
      </c>
      <c r="AI776" s="54" t="str">
        <f t="shared" si="141"/>
        <v/>
      </c>
      <c r="AJ776" s="54" t="str">
        <f t="shared" si="142"/>
        <v/>
      </c>
      <c r="AK776" s="54">
        <f t="shared" si="143"/>
        <v>0.42932029418755902</v>
      </c>
    </row>
    <row r="777" spans="9:37" x14ac:dyDescent="0.45">
      <c r="I777" s="2">
        <v>92.3</v>
      </c>
      <c r="J777" s="2">
        <v>0.21941450000000001</v>
      </c>
      <c r="K777" s="2">
        <v>0.13021430000000001</v>
      </c>
      <c r="R777" s="2">
        <v>24.53</v>
      </c>
      <c r="S777" s="2">
        <v>5.6694000000000004E-4</v>
      </c>
      <c r="T777" s="2">
        <v>2.3536E-4</v>
      </c>
      <c r="V777" s="11"/>
      <c r="W777" s="6"/>
      <c r="X777" s="6">
        <v>7.58</v>
      </c>
      <c r="Y777" s="11" t="str">
        <f t="shared" si="144"/>
        <v/>
      </c>
      <c r="Z777" s="6" t="str">
        <f t="shared" si="145"/>
        <v/>
      </c>
      <c r="AA777" s="23">
        <f t="shared" si="146"/>
        <v>37.58</v>
      </c>
      <c r="AB777" t="str">
        <f t="shared" si="135"/>
        <v/>
      </c>
      <c r="AC777" t="str">
        <f t="shared" si="136"/>
        <v/>
      </c>
      <c r="AD777">
        <f t="shared" si="137"/>
        <v>7.6951999999999999E-4</v>
      </c>
      <c r="AE777" s="18" t="str">
        <f t="shared" si="138"/>
        <v/>
      </c>
      <c r="AF777" s="7" t="str">
        <f t="shared" si="139"/>
        <v/>
      </c>
      <c r="AG777" s="12">
        <f t="shared" si="140"/>
        <v>0.99505176849666088</v>
      </c>
      <c r="AI777" s="54" t="str">
        <f t="shared" si="141"/>
        <v/>
      </c>
      <c r="AJ777" s="54" t="str">
        <f t="shared" si="142"/>
        <v/>
      </c>
      <c r="AK777" s="54">
        <f t="shared" si="143"/>
        <v>0.42997852515618107</v>
      </c>
    </row>
    <row r="778" spans="9:37" x14ac:dyDescent="0.45">
      <c r="I778" s="2">
        <v>92.4</v>
      </c>
      <c r="J778" s="2">
        <v>0.22139200000000001</v>
      </c>
      <c r="K778" s="2">
        <v>0.13157740000000001</v>
      </c>
      <c r="R778" s="2">
        <v>24.54</v>
      </c>
      <c r="S778" s="2">
        <v>5.6692000000000005E-4</v>
      </c>
      <c r="T778" s="2">
        <v>2.3547999999999999E-4</v>
      </c>
      <c r="V778" s="11"/>
      <c r="W778" s="6"/>
      <c r="X778" s="6">
        <v>7.59</v>
      </c>
      <c r="Y778" s="11" t="str">
        <f t="shared" si="144"/>
        <v/>
      </c>
      <c r="Z778" s="6" t="str">
        <f t="shared" si="145"/>
        <v/>
      </c>
      <c r="AA778" s="23">
        <f t="shared" si="146"/>
        <v>37.590000000000003</v>
      </c>
      <c r="AB778" t="str">
        <f t="shared" si="135"/>
        <v/>
      </c>
      <c r="AC778" t="str">
        <f t="shared" si="136"/>
        <v/>
      </c>
      <c r="AD778">
        <f t="shared" si="137"/>
        <v>7.6995999999999998E-4</v>
      </c>
      <c r="AE778" s="18" t="str">
        <f t="shared" si="138"/>
        <v/>
      </c>
      <c r="AF778" s="7" t="str">
        <f t="shared" si="139"/>
        <v/>
      </c>
      <c r="AG778" s="12">
        <f t="shared" si="140"/>
        <v>0.99504411137429194</v>
      </c>
      <c r="AI778" s="54" t="str">
        <f t="shared" si="141"/>
        <v/>
      </c>
      <c r="AJ778" s="54" t="str">
        <f t="shared" si="142"/>
        <v/>
      </c>
      <c r="AK778" s="54">
        <f t="shared" si="143"/>
        <v>0.43063702197141884</v>
      </c>
    </row>
    <row r="779" spans="9:37" x14ac:dyDescent="0.45">
      <c r="I779" s="2">
        <v>92.5</v>
      </c>
      <c r="J779" s="2">
        <v>0.2233695</v>
      </c>
      <c r="K779" s="2">
        <v>0.13294049999999999</v>
      </c>
      <c r="R779" s="2">
        <v>24.55</v>
      </c>
      <c r="S779" s="2">
        <v>5.6689999999999996E-4</v>
      </c>
      <c r="T779" s="2">
        <v>2.3560000000000001E-4</v>
      </c>
      <c r="V779" s="11"/>
      <c r="W779" s="6"/>
      <c r="X779" s="6">
        <v>7.6000000000000005</v>
      </c>
      <c r="Y779" s="11" t="str">
        <f t="shared" si="144"/>
        <v/>
      </c>
      <c r="Z779" s="6" t="str">
        <f t="shared" si="145"/>
        <v/>
      </c>
      <c r="AA779" s="23">
        <f t="shared" si="146"/>
        <v>37.6</v>
      </c>
      <c r="AB779" t="str">
        <f t="shared" si="135"/>
        <v/>
      </c>
      <c r="AC779" t="str">
        <f t="shared" si="136"/>
        <v/>
      </c>
      <c r="AD779">
        <f t="shared" si="137"/>
        <v>7.7039999999999997E-4</v>
      </c>
      <c r="AE779" s="18" t="str">
        <f t="shared" si="138"/>
        <v/>
      </c>
      <c r="AF779" s="7" t="str">
        <f t="shared" si="139"/>
        <v/>
      </c>
      <c r="AG779" s="12">
        <f t="shared" si="140"/>
        <v>0.99503644993265206</v>
      </c>
      <c r="AI779" s="54" t="str">
        <f t="shared" si="141"/>
        <v/>
      </c>
      <c r="AJ779" s="54" t="str">
        <f t="shared" si="142"/>
        <v/>
      </c>
      <c r="AK779" s="54">
        <f t="shared" si="143"/>
        <v>0.43129578474745028</v>
      </c>
    </row>
    <row r="780" spans="9:37" x14ac:dyDescent="0.45">
      <c r="I780" s="2">
        <v>92.6</v>
      </c>
      <c r="J780" s="2">
        <v>0.22534699999999999</v>
      </c>
      <c r="K780" s="2">
        <v>0.1343036</v>
      </c>
      <c r="R780" s="2">
        <v>24.56</v>
      </c>
      <c r="S780" s="2">
        <v>5.6687999999999997E-4</v>
      </c>
      <c r="T780" s="2">
        <v>2.3572E-4</v>
      </c>
      <c r="V780" s="11"/>
      <c r="W780" s="6"/>
      <c r="X780" s="6">
        <v>7.61</v>
      </c>
      <c r="Y780" s="11" t="str">
        <f t="shared" si="144"/>
        <v/>
      </c>
      <c r="Z780" s="6" t="str">
        <f t="shared" si="145"/>
        <v/>
      </c>
      <c r="AA780" s="23">
        <f t="shared" si="146"/>
        <v>37.61</v>
      </c>
      <c r="AB780" t="str">
        <f t="shared" si="135"/>
        <v/>
      </c>
      <c r="AC780" t="str">
        <f t="shared" si="136"/>
        <v/>
      </c>
      <c r="AD780">
        <f t="shared" si="137"/>
        <v>7.7083999999999996E-4</v>
      </c>
      <c r="AE780" s="18" t="str">
        <f t="shared" si="138"/>
        <v/>
      </c>
      <c r="AF780" s="7" t="str">
        <f t="shared" si="139"/>
        <v/>
      </c>
      <c r="AG780" s="12">
        <f t="shared" si="140"/>
        <v>0.99502878417184182</v>
      </c>
      <c r="AI780" s="54" t="str">
        <f t="shared" si="141"/>
        <v/>
      </c>
      <c r="AJ780" s="54" t="str">
        <f t="shared" si="142"/>
        <v/>
      </c>
      <c r="AK780" s="54">
        <f t="shared" si="143"/>
        <v>0.43195481359850346</v>
      </c>
    </row>
    <row r="781" spans="9:37" x14ac:dyDescent="0.45">
      <c r="I781" s="2">
        <v>92.7</v>
      </c>
      <c r="J781" s="2">
        <v>0.22732450000000001</v>
      </c>
      <c r="K781" s="2">
        <v>0.1356667</v>
      </c>
      <c r="R781" s="2">
        <v>24.57</v>
      </c>
      <c r="S781" s="2">
        <v>5.6685999999999998E-4</v>
      </c>
      <c r="T781" s="2">
        <v>2.3583999999999999E-4</v>
      </c>
      <c r="V781" s="11"/>
      <c r="W781" s="6"/>
      <c r="X781" s="6">
        <v>7.62</v>
      </c>
      <c r="Y781" s="11" t="str">
        <f t="shared" si="144"/>
        <v/>
      </c>
      <c r="Z781" s="6" t="str">
        <f t="shared" si="145"/>
        <v/>
      </c>
      <c r="AA781" s="23">
        <f t="shared" si="146"/>
        <v>37.619999999999997</v>
      </c>
      <c r="AB781" t="str">
        <f t="shared" si="135"/>
        <v/>
      </c>
      <c r="AC781" t="str">
        <f t="shared" si="136"/>
        <v/>
      </c>
      <c r="AD781">
        <f t="shared" si="137"/>
        <v>7.7127999999999995E-4</v>
      </c>
      <c r="AE781" s="18" t="str">
        <f t="shared" si="138"/>
        <v/>
      </c>
      <c r="AF781" s="7" t="str">
        <f t="shared" si="139"/>
        <v/>
      </c>
      <c r="AG781" s="12">
        <f t="shared" si="140"/>
        <v>0.99502111409196192</v>
      </c>
      <c r="AI781" s="54" t="str">
        <f t="shared" si="141"/>
        <v/>
      </c>
      <c r="AJ781" s="54" t="str">
        <f t="shared" si="142"/>
        <v/>
      </c>
      <c r="AK781" s="54">
        <f t="shared" si="143"/>
        <v>0.43261410863885652</v>
      </c>
    </row>
    <row r="782" spans="9:37" x14ac:dyDescent="0.45">
      <c r="I782" s="2">
        <v>92.8</v>
      </c>
      <c r="J782" s="2">
        <v>0.22930200000000001</v>
      </c>
      <c r="K782" s="2">
        <v>0.13702980000000001</v>
      </c>
      <c r="R782" s="2">
        <v>24.58</v>
      </c>
      <c r="S782" s="2">
        <v>5.6683999999999999E-4</v>
      </c>
      <c r="T782" s="2">
        <v>2.3596000000000001E-4</v>
      </c>
      <c r="V782" s="11"/>
      <c r="W782" s="6"/>
      <c r="X782" s="6">
        <v>7.63</v>
      </c>
      <c r="Y782" s="11" t="str">
        <f t="shared" si="144"/>
        <v/>
      </c>
      <c r="Z782" s="6" t="str">
        <f t="shared" si="145"/>
        <v/>
      </c>
      <c r="AA782" s="23">
        <f t="shared" si="146"/>
        <v>37.630000000000003</v>
      </c>
      <c r="AB782" t="str">
        <f t="shared" si="135"/>
        <v/>
      </c>
      <c r="AC782" t="str">
        <f t="shared" si="136"/>
        <v/>
      </c>
      <c r="AD782">
        <f t="shared" si="137"/>
        <v>7.7172000000000004E-4</v>
      </c>
      <c r="AE782" s="18" t="str">
        <f t="shared" si="138"/>
        <v/>
      </c>
      <c r="AF782" s="7" t="str">
        <f t="shared" si="139"/>
        <v/>
      </c>
      <c r="AG782" s="12">
        <f t="shared" si="140"/>
        <v>0.99501343969311318</v>
      </c>
      <c r="AI782" s="54" t="str">
        <f t="shared" si="141"/>
        <v/>
      </c>
      <c r="AJ782" s="54" t="str">
        <f t="shared" si="142"/>
        <v/>
      </c>
      <c r="AK782" s="54">
        <f t="shared" si="143"/>
        <v>0.43327366998283767</v>
      </c>
    </row>
    <row r="783" spans="9:37" x14ac:dyDescent="0.45">
      <c r="I783" s="2">
        <v>92.9</v>
      </c>
      <c r="J783" s="2">
        <v>0.2312795</v>
      </c>
      <c r="K783" s="2">
        <v>0.13839290000000001</v>
      </c>
      <c r="R783" s="2">
        <v>24.59</v>
      </c>
      <c r="S783" s="2">
        <v>5.6682E-4</v>
      </c>
      <c r="T783" s="2">
        <v>2.3608E-4</v>
      </c>
      <c r="V783" s="11"/>
      <c r="W783" s="6"/>
      <c r="X783" s="6">
        <v>7.6400000000000006</v>
      </c>
      <c r="Y783" s="11" t="str">
        <f t="shared" si="144"/>
        <v/>
      </c>
      <c r="Z783" s="6" t="str">
        <f t="shared" si="145"/>
        <v/>
      </c>
      <c r="AA783" s="23">
        <f t="shared" si="146"/>
        <v>37.64</v>
      </c>
      <c r="AB783" t="str">
        <f t="shared" si="135"/>
        <v/>
      </c>
      <c r="AC783" t="str">
        <f t="shared" si="136"/>
        <v/>
      </c>
      <c r="AD783">
        <f t="shared" si="137"/>
        <v>7.7216000000000003E-4</v>
      </c>
      <c r="AE783" s="18" t="str">
        <f t="shared" si="138"/>
        <v/>
      </c>
      <c r="AF783" s="7" t="str">
        <f t="shared" si="139"/>
        <v/>
      </c>
      <c r="AG783" s="12">
        <f t="shared" si="140"/>
        <v>0.99500576097539639</v>
      </c>
      <c r="AI783" s="54" t="str">
        <f t="shared" si="141"/>
        <v/>
      </c>
      <c r="AJ783" s="54" t="str">
        <f t="shared" si="142"/>
        <v/>
      </c>
      <c r="AK783" s="54">
        <f t="shared" si="143"/>
        <v>0.43393349774482531</v>
      </c>
    </row>
    <row r="784" spans="9:37" x14ac:dyDescent="0.45">
      <c r="I784" s="2">
        <v>93</v>
      </c>
      <c r="J784" s="2">
        <v>0.23325699999999999</v>
      </c>
      <c r="K784" s="2">
        <v>0.13975599999999999</v>
      </c>
      <c r="R784" s="2">
        <v>24.6</v>
      </c>
      <c r="S784" s="2">
        <v>5.6680000000000001E-4</v>
      </c>
      <c r="T784" s="2">
        <v>2.362E-4</v>
      </c>
      <c r="V784" s="11"/>
      <c r="W784" s="6"/>
      <c r="X784" s="6">
        <v>7.65</v>
      </c>
      <c r="Y784" s="11" t="str">
        <f t="shared" si="144"/>
        <v/>
      </c>
      <c r="Z784" s="6" t="str">
        <f t="shared" si="145"/>
        <v/>
      </c>
      <c r="AA784" s="23">
        <f t="shared" si="146"/>
        <v>37.65</v>
      </c>
      <c r="AB784" t="str">
        <f t="shared" si="135"/>
        <v/>
      </c>
      <c r="AC784" t="str">
        <f t="shared" si="136"/>
        <v/>
      </c>
      <c r="AD784">
        <f t="shared" si="137"/>
        <v>7.7260000000000002E-4</v>
      </c>
      <c r="AE784" s="18" t="str">
        <f t="shared" si="138"/>
        <v/>
      </c>
      <c r="AF784" s="7" t="str">
        <f t="shared" si="139"/>
        <v/>
      </c>
      <c r="AG784" s="12">
        <f t="shared" si="140"/>
        <v>0.99499807793891248</v>
      </c>
      <c r="AI784" s="54" t="str">
        <f t="shared" si="141"/>
        <v/>
      </c>
      <c r="AJ784" s="54" t="str">
        <f t="shared" si="142"/>
        <v/>
      </c>
      <c r="AK784" s="54">
        <f t="shared" si="143"/>
        <v>0.43459359203924791</v>
      </c>
    </row>
    <row r="785" spans="9:37" x14ac:dyDescent="0.45">
      <c r="I785" s="2">
        <v>93.1</v>
      </c>
      <c r="J785" s="2">
        <v>0.2353923</v>
      </c>
      <c r="K785" s="2">
        <v>0.1412667</v>
      </c>
      <c r="R785" s="2">
        <v>24.61</v>
      </c>
      <c r="S785" s="2">
        <v>5.6678000000000002E-4</v>
      </c>
      <c r="T785" s="2">
        <v>2.3631999999999999E-4</v>
      </c>
      <c r="V785" s="11"/>
      <c r="W785" s="6"/>
      <c r="X785" s="6">
        <v>7.66</v>
      </c>
      <c r="Y785" s="11" t="str">
        <f t="shared" si="144"/>
        <v/>
      </c>
      <c r="Z785" s="6" t="str">
        <f t="shared" si="145"/>
        <v/>
      </c>
      <c r="AA785" s="23">
        <f t="shared" si="146"/>
        <v>37.659999999999997</v>
      </c>
      <c r="AB785" t="str">
        <f t="shared" si="135"/>
        <v/>
      </c>
      <c r="AC785" t="str">
        <f t="shared" si="136"/>
        <v/>
      </c>
      <c r="AD785">
        <f t="shared" si="137"/>
        <v>7.7304000000000001E-4</v>
      </c>
      <c r="AE785" s="18" t="str">
        <f t="shared" si="138"/>
        <v/>
      </c>
      <c r="AF785" s="7" t="str">
        <f t="shared" si="139"/>
        <v/>
      </c>
      <c r="AG785" s="12">
        <f t="shared" si="140"/>
        <v>0.99499039058376237</v>
      </c>
      <c r="AI785" s="54" t="str">
        <f t="shared" si="141"/>
        <v/>
      </c>
      <c r="AJ785" s="54" t="str">
        <f t="shared" si="142"/>
        <v/>
      </c>
      <c r="AK785" s="54">
        <f t="shared" si="143"/>
        <v>0.43525395298058422</v>
      </c>
    </row>
    <row r="786" spans="9:37" x14ac:dyDescent="0.45">
      <c r="I786" s="2">
        <v>93.2</v>
      </c>
      <c r="J786" s="2">
        <v>0.23752760000000001</v>
      </c>
      <c r="K786" s="2">
        <v>0.1427774</v>
      </c>
      <c r="R786" s="2">
        <v>24.62</v>
      </c>
      <c r="S786" s="2">
        <v>5.6676000000000003E-4</v>
      </c>
      <c r="T786" s="2">
        <v>2.3644000000000001E-4</v>
      </c>
      <c r="V786" s="11"/>
      <c r="W786" s="6"/>
      <c r="X786" s="6">
        <v>7.67</v>
      </c>
      <c r="Y786" s="11" t="str">
        <f t="shared" si="144"/>
        <v/>
      </c>
      <c r="Z786" s="6" t="str">
        <f t="shared" si="145"/>
        <v/>
      </c>
      <c r="AA786" s="23">
        <f t="shared" si="146"/>
        <v>37.67</v>
      </c>
      <c r="AB786" t="str">
        <f t="shared" si="135"/>
        <v/>
      </c>
      <c r="AC786" t="str">
        <f t="shared" si="136"/>
        <v/>
      </c>
      <c r="AD786">
        <f t="shared" si="137"/>
        <v>7.7348E-4</v>
      </c>
      <c r="AE786" s="18" t="str">
        <f t="shared" si="138"/>
        <v/>
      </c>
      <c r="AF786" s="7" t="str">
        <f t="shared" si="139"/>
        <v/>
      </c>
      <c r="AG786" s="12">
        <f t="shared" si="140"/>
        <v>0.99498269891004698</v>
      </c>
      <c r="AI786" s="54" t="str">
        <f t="shared" si="141"/>
        <v/>
      </c>
      <c r="AJ786" s="54" t="str">
        <f t="shared" si="142"/>
        <v/>
      </c>
      <c r="AK786" s="54">
        <f t="shared" si="143"/>
        <v>0.43591458068336308</v>
      </c>
    </row>
    <row r="787" spans="9:37" x14ac:dyDescent="0.45">
      <c r="I787" s="2">
        <v>93.3</v>
      </c>
      <c r="J787" s="2">
        <v>0.23966290000000001</v>
      </c>
      <c r="K787" s="2">
        <v>0.1442881</v>
      </c>
      <c r="R787" s="2">
        <v>24.63</v>
      </c>
      <c r="S787" s="2">
        <v>5.6674000000000004E-4</v>
      </c>
      <c r="T787" s="2">
        <v>2.3656E-4</v>
      </c>
      <c r="V787" s="11"/>
      <c r="W787" s="6"/>
      <c r="X787" s="6">
        <v>7.68</v>
      </c>
      <c r="Y787" s="11" t="str">
        <f t="shared" si="144"/>
        <v/>
      </c>
      <c r="Z787" s="6" t="str">
        <f t="shared" si="145"/>
        <v/>
      </c>
      <c r="AA787" s="23">
        <f t="shared" si="146"/>
        <v>37.68</v>
      </c>
      <c r="AB787" t="str">
        <f t="shared" ref="AB787:AB850" si="147">IF(Y787="","",VLOOKUP(Y787,Table_1,2))</f>
        <v/>
      </c>
      <c r="AC787" t="str">
        <f t="shared" ref="AC787:AC850" si="148">IF(Z787="","",VLOOKUP(Z787,Table_2,2))</f>
        <v/>
      </c>
      <c r="AD787">
        <f t="shared" ref="AD787:AD850" si="149">IF(AA787="","",VLOOKUP(AA787,Table_3,2))</f>
        <v>7.7391999999999999E-4</v>
      </c>
      <c r="AE787" s="18" t="str">
        <f t="shared" si="138"/>
        <v/>
      </c>
      <c r="AF787" s="7" t="str">
        <f t="shared" si="139"/>
        <v/>
      </c>
      <c r="AG787" s="12">
        <f t="shared" si="140"/>
        <v>0.99497500291786745</v>
      </c>
      <c r="AI787" s="54" t="str">
        <f t="shared" si="141"/>
        <v/>
      </c>
      <c r="AJ787" s="54" t="str">
        <f t="shared" si="142"/>
        <v/>
      </c>
      <c r="AK787" s="54">
        <f t="shared" si="143"/>
        <v>0.43657547526216361</v>
      </c>
    </row>
    <row r="788" spans="9:37" x14ac:dyDescent="0.45">
      <c r="I788" s="2">
        <v>93.4</v>
      </c>
      <c r="J788" s="2">
        <v>0.24179819999999999</v>
      </c>
      <c r="K788" s="2">
        <v>0.14579880000000001</v>
      </c>
      <c r="R788" s="2">
        <v>24.64</v>
      </c>
      <c r="S788" s="2">
        <v>5.6672000000000005E-4</v>
      </c>
      <c r="T788" s="2">
        <v>2.3667999999999999E-4</v>
      </c>
      <c r="V788" s="11"/>
      <c r="W788" s="6"/>
      <c r="X788" s="6">
        <v>7.69</v>
      </c>
      <c r="Y788" s="11" t="str">
        <f t="shared" si="144"/>
        <v/>
      </c>
      <c r="Z788" s="6" t="str">
        <f t="shared" si="145"/>
        <v/>
      </c>
      <c r="AA788" s="23">
        <f t="shared" si="146"/>
        <v>37.69</v>
      </c>
      <c r="AB788" t="str">
        <f t="shared" si="147"/>
        <v/>
      </c>
      <c r="AC788" t="str">
        <f t="shared" si="148"/>
        <v/>
      </c>
      <c r="AD788">
        <f t="shared" si="149"/>
        <v>7.7435999999999998E-4</v>
      </c>
      <c r="AE788" s="18" t="str">
        <f t="shared" ref="AE788:AE851" si="150">IF(AB788="","",AE787+h_1*(-AE787*AB787))</f>
        <v/>
      </c>
      <c r="AF788" s="7" t="str">
        <f t="shared" ref="AF788:AF851" si="151">IF(AC788="","",AF787+h_2*(-AF787*AC787))</f>
        <v/>
      </c>
      <c r="AG788" s="12">
        <f t="shared" ref="AG788:AG851" si="152">IF(AD788="","",AG787+h_3*(-AG787*AD787))</f>
        <v>0.99496730260732491</v>
      </c>
      <c r="AI788" s="54" t="str">
        <f t="shared" ref="AI788:AI851" si="153">IF(Y788="","",AI787+AI$17*(AI787*delta+Prem1-AB787*(1-AI787)))</f>
        <v/>
      </c>
      <c r="AJ788" s="54" t="str">
        <f t="shared" ref="AJ788:AJ851" si="154">IF(Z788="","",AJ787+AJ$17*(AJ787*delta+Prem2-AC787*(1-AJ787)))</f>
        <v/>
      </c>
      <c r="AK788" s="54">
        <f t="shared" ref="AK788:AK851" si="155">IF(AA788="","",AK787+AK$17*(AK787*delta+Prem3-AD787*(1-AK787)))</f>
        <v>0.43723663683161512</v>
      </c>
    </row>
    <row r="789" spans="9:37" x14ac:dyDescent="0.45">
      <c r="I789" s="2">
        <v>93.5</v>
      </c>
      <c r="J789" s="2">
        <v>0.2439335</v>
      </c>
      <c r="K789" s="2">
        <v>0.14730950000000001</v>
      </c>
      <c r="R789" s="2">
        <v>24.65</v>
      </c>
      <c r="S789" s="2">
        <v>5.6669999999999995E-4</v>
      </c>
      <c r="T789" s="2">
        <v>2.3680000000000001E-4</v>
      </c>
      <c r="V789" s="11"/>
      <c r="W789" s="6"/>
      <c r="X789" s="6">
        <v>7.7</v>
      </c>
      <c r="Y789" s="11" t="str">
        <f t="shared" ref="Y789:Y852" si="156">IF(ISBLANK(V789),"",$Y$19+V789)</f>
        <v/>
      </c>
      <c r="Z789" s="6" t="str">
        <f t="shared" ref="Z789:Z852" si="157">IF(ISBLANK(W789),"",$Y$19+W789)</f>
        <v/>
      </c>
      <c r="AA789" s="23">
        <f t="shared" ref="AA789:AA852" si="158">IF(ISBLANK(X789),"",$Y$19+X789)</f>
        <v>37.700000000000003</v>
      </c>
      <c r="AB789" t="str">
        <f t="shared" si="147"/>
        <v/>
      </c>
      <c r="AC789" t="str">
        <f t="shared" si="148"/>
        <v/>
      </c>
      <c r="AD789">
        <f t="shared" si="149"/>
        <v>7.7479999999999997E-4</v>
      </c>
      <c r="AE789" s="18" t="str">
        <f t="shared" si="150"/>
        <v/>
      </c>
      <c r="AF789" s="7" t="str">
        <f t="shared" si="151"/>
        <v/>
      </c>
      <c r="AG789" s="12">
        <f t="shared" si="152"/>
        <v>0.9949595979785204</v>
      </c>
      <c r="AI789" s="54" t="str">
        <f t="shared" si="153"/>
        <v/>
      </c>
      <c r="AJ789" s="54" t="str">
        <f t="shared" si="154"/>
        <v/>
      </c>
      <c r="AK789" s="54">
        <f t="shared" si="155"/>
        <v>0.4378980655063972</v>
      </c>
    </row>
    <row r="790" spans="9:37" x14ac:dyDescent="0.45">
      <c r="I790" s="2">
        <v>93.6</v>
      </c>
      <c r="J790" s="2">
        <v>0.2460688</v>
      </c>
      <c r="K790" s="2">
        <v>0.14882020000000001</v>
      </c>
      <c r="R790" s="2">
        <v>24.66</v>
      </c>
      <c r="S790" s="2">
        <v>5.6667999999999996E-4</v>
      </c>
      <c r="T790" s="2">
        <v>2.3692E-4</v>
      </c>
      <c r="V790" s="11"/>
      <c r="W790" s="6"/>
      <c r="X790" s="6">
        <v>7.71</v>
      </c>
      <c r="Y790" s="11" t="str">
        <f t="shared" si="156"/>
        <v/>
      </c>
      <c r="Z790" s="6" t="str">
        <f t="shared" si="157"/>
        <v/>
      </c>
      <c r="AA790" s="23">
        <f t="shared" si="158"/>
        <v>37.71</v>
      </c>
      <c r="AB790" t="str">
        <f t="shared" si="147"/>
        <v/>
      </c>
      <c r="AC790" t="str">
        <f t="shared" si="148"/>
        <v/>
      </c>
      <c r="AD790">
        <f t="shared" si="149"/>
        <v>7.7523999999999996E-4</v>
      </c>
      <c r="AE790" s="18" t="str">
        <f t="shared" si="150"/>
        <v/>
      </c>
      <c r="AF790" s="7" t="str">
        <f t="shared" si="151"/>
        <v/>
      </c>
      <c r="AG790" s="12">
        <f t="shared" si="152"/>
        <v>0.99495188903155529</v>
      </c>
      <c r="AI790" s="54" t="str">
        <f t="shared" si="153"/>
        <v/>
      </c>
      <c r="AJ790" s="54" t="str">
        <f t="shared" si="154"/>
        <v/>
      </c>
      <c r="AK790" s="54">
        <f t="shared" si="155"/>
        <v>0.43855976140123981</v>
      </c>
    </row>
    <row r="791" spans="9:37" x14ac:dyDescent="0.45">
      <c r="I791" s="2">
        <v>93.7</v>
      </c>
      <c r="J791" s="2">
        <v>0.24820410000000001</v>
      </c>
      <c r="K791" s="2">
        <v>0.15033089999999999</v>
      </c>
      <c r="R791" s="2">
        <v>24.67</v>
      </c>
      <c r="S791" s="2">
        <v>5.6665999999999997E-4</v>
      </c>
      <c r="T791" s="2">
        <v>2.3703999999999999E-4</v>
      </c>
      <c r="V791" s="11"/>
      <c r="W791" s="6"/>
      <c r="X791" s="6">
        <v>7.72</v>
      </c>
      <c r="Y791" s="11" t="str">
        <f t="shared" si="156"/>
        <v/>
      </c>
      <c r="Z791" s="6" t="str">
        <f t="shared" si="157"/>
        <v/>
      </c>
      <c r="AA791" s="23">
        <f t="shared" si="158"/>
        <v>37.72</v>
      </c>
      <c r="AB791" t="str">
        <f t="shared" si="147"/>
        <v/>
      </c>
      <c r="AC791" t="str">
        <f t="shared" si="148"/>
        <v/>
      </c>
      <c r="AD791">
        <f t="shared" si="149"/>
        <v>7.7567999999999995E-4</v>
      </c>
      <c r="AE791" s="18" t="str">
        <f t="shared" si="150"/>
        <v/>
      </c>
      <c r="AF791" s="7" t="str">
        <f t="shared" si="151"/>
        <v/>
      </c>
      <c r="AG791" s="12">
        <f t="shared" si="152"/>
        <v>0.99494417576653071</v>
      </c>
      <c r="AI791" s="54" t="str">
        <f t="shared" si="153"/>
        <v/>
      </c>
      <c r="AJ791" s="54" t="str">
        <f t="shared" si="154"/>
        <v/>
      </c>
      <c r="AK791" s="54">
        <f t="shared" si="155"/>
        <v>0.43922172463092307</v>
      </c>
    </row>
    <row r="792" spans="9:37" x14ac:dyDescent="0.45">
      <c r="I792" s="2">
        <v>93.8</v>
      </c>
      <c r="J792" s="2">
        <v>0.25033939999999999</v>
      </c>
      <c r="K792" s="2">
        <v>0.15184159999999999</v>
      </c>
      <c r="R792" s="2">
        <v>24.68</v>
      </c>
      <c r="S792" s="2">
        <v>5.6663999999999998E-4</v>
      </c>
      <c r="T792" s="2">
        <v>2.3716000000000001E-4</v>
      </c>
      <c r="V792" s="11"/>
      <c r="W792" s="6"/>
      <c r="X792" s="6">
        <v>7.73</v>
      </c>
      <c r="Y792" s="11" t="str">
        <f t="shared" si="156"/>
        <v/>
      </c>
      <c r="Z792" s="6" t="str">
        <f t="shared" si="157"/>
        <v/>
      </c>
      <c r="AA792" s="23">
        <f t="shared" si="158"/>
        <v>37.730000000000004</v>
      </c>
      <c r="AB792" t="str">
        <f t="shared" si="147"/>
        <v/>
      </c>
      <c r="AC792" t="str">
        <f t="shared" si="148"/>
        <v/>
      </c>
      <c r="AD792">
        <f t="shared" si="149"/>
        <v>7.7612000000000004E-4</v>
      </c>
      <c r="AE792" s="18" t="str">
        <f t="shared" si="150"/>
        <v/>
      </c>
      <c r="AF792" s="7" t="str">
        <f t="shared" si="151"/>
        <v/>
      </c>
      <c r="AG792" s="12">
        <f t="shared" si="152"/>
        <v>0.99493645818354814</v>
      </c>
      <c r="AI792" s="54" t="str">
        <f t="shared" si="153"/>
        <v/>
      </c>
      <c r="AJ792" s="54" t="str">
        <f t="shared" si="154"/>
        <v/>
      </c>
      <c r="AK792" s="54">
        <f t="shared" si="155"/>
        <v>0.43988395531027757</v>
      </c>
    </row>
    <row r="793" spans="9:37" x14ac:dyDescent="0.45">
      <c r="I793" s="2">
        <v>93.9</v>
      </c>
      <c r="J793" s="2">
        <v>0.2524747</v>
      </c>
      <c r="K793" s="2">
        <v>0.1533523</v>
      </c>
      <c r="R793" s="2">
        <v>24.69</v>
      </c>
      <c r="S793" s="2">
        <v>5.6661999999999999E-4</v>
      </c>
      <c r="T793" s="2">
        <v>2.3728000000000001E-4</v>
      </c>
      <c r="V793" s="11"/>
      <c r="W793" s="6"/>
      <c r="X793" s="6">
        <v>7.74</v>
      </c>
      <c r="Y793" s="11" t="str">
        <f t="shared" si="156"/>
        <v/>
      </c>
      <c r="Z793" s="6" t="str">
        <f t="shared" si="157"/>
        <v/>
      </c>
      <c r="AA793" s="23">
        <f t="shared" si="158"/>
        <v>37.74</v>
      </c>
      <c r="AB793" t="str">
        <f t="shared" si="147"/>
        <v/>
      </c>
      <c r="AC793" t="str">
        <f t="shared" si="148"/>
        <v/>
      </c>
      <c r="AD793">
        <f t="shared" si="149"/>
        <v>7.7656000000000003E-4</v>
      </c>
      <c r="AE793" s="18" t="str">
        <f t="shared" si="150"/>
        <v/>
      </c>
      <c r="AF793" s="7" t="str">
        <f t="shared" si="151"/>
        <v/>
      </c>
      <c r="AG793" s="12">
        <f t="shared" si="152"/>
        <v>0.99492873628270884</v>
      </c>
      <c r="AI793" s="54" t="str">
        <f t="shared" si="153"/>
        <v/>
      </c>
      <c r="AJ793" s="54" t="str">
        <f t="shared" si="154"/>
        <v/>
      </c>
      <c r="AK793" s="54">
        <f t="shared" si="155"/>
        <v>0.44054645355418415</v>
      </c>
    </row>
    <row r="794" spans="9:37" x14ac:dyDescent="0.45">
      <c r="I794" s="2">
        <v>94</v>
      </c>
      <c r="J794" s="2">
        <v>0.25461</v>
      </c>
      <c r="K794" s="2">
        <v>0.154863</v>
      </c>
      <c r="R794" s="2">
        <v>24.7</v>
      </c>
      <c r="S794" s="2">
        <v>5.666E-4</v>
      </c>
      <c r="T794" s="2">
        <v>2.374E-4</v>
      </c>
      <c r="V794" s="11"/>
      <c r="W794" s="6"/>
      <c r="X794" s="6">
        <v>7.75</v>
      </c>
      <c r="Y794" s="11" t="str">
        <f t="shared" si="156"/>
        <v/>
      </c>
      <c r="Z794" s="6" t="str">
        <f t="shared" si="157"/>
        <v/>
      </c>
      <c r="AA794" s="23">
        <f t="shared" si="158"/>
        <v>37.75</v>
      </c>
      <c r="AB794" t="str">
        <f t="shared" si="147"/>
        <v/>
      </c>
      <c r="AC794" t="str">
        <f t="shared" si="148"/>
        <v/>
      </c>
      <c r="AD794">
        <f t="shared" si="149"/>
        <v>7.7700000000000002E-4</v>
      </c>
      <c r="AE794" s="18" t="str">
        <f t="shared" si="150"/>
        <v/>
      </c>
      <c r="AF794" s="7" t="str">
        <f t="shared" si="151"/>
        <v/>
      </c>
      <c r="AG794" s="12">
        <f t="shared" si="152"/>
        <v>0.99492101006411438</v>
      </c>
      <c r="AI794" s="54" t="str">
        <f t="shared" si="153"/>
        <v/>
      </c>
      <c r="AJ794" s="54" t="str">
        <f t="shared" si="154"/>
        <v/>
      </c>
      <c r="AK794" s="54">
        <f t="shared" si="155"/>
        <v>0.44120921947757402</v>
      </c>
    </row>
    <row r="795" spans="9:37" x14ac:dyDescent="0.45">
      <c r="I795" s="2">
        <v>94.1</v>
      </c>
      <c r="J795" s="2">
        <v>0.25691350000000002</v>
      </c>
      <c r="K795" s="2">
        <v>0.15653710000000001</v>
      </c>
      <c r="R795" s="2">
        <v>24.71</v>
      </c>
      <c r="S795" s="2">
        <v>5.6658000000000001E-4</v>
      </c>
      <c r="T795" s="2">
        <v>2.3751999999999999E-4</v>
      </c>
      <c r="V795" s="11"/>
      <c r="W795" s="6"/>
      <c r="X795" s="6">
        <v>7.76</v>
      </c>
      <c r="Y795" s="11" t="str">
        <f t="shared" si="156"/>
        <v/>
      </c>
      <c r="Z795" s="6" t="str">
        <f t="shared" si="157"/>
        <v/>
      </c>
      <c r="AA795" s="23">
        <f t="shared" si="158"/>
        <v>37.76</v>
      </c>
      <c r="AB795" t="str">
        <f t="shared" si="147"/>
        <v/>
      </c>
      <c r="AC795" t="str">
        <f t="shared" si="148"/>
        <v/>
      </c>
      <c r="AD795">
        <f t="shared" si="149"/>
        <v>7.7744000000000001E-4</v>
      </c>
      <c r="AE795" s="18" t="str">
        <f t="shared" si="150"/>
        <v/>
      </c>
      <c r="AF795" s="7" t="str">
        <f t="shared" si="151"/>
        <v/>
      </c>
      <c r="AG795" s="12">
        <f t="shared" si="152"/>
        <v>0.99491327952786612</v>
      </c>
      <c r="AI795" s="54" t="str">
        <f t="shared" si="153"/>
        <v/>
      </c>
      <c r="AJ795" s="54" t="str">
        <f t="shared" si="154"/>
        <v/>
      </c>
      <c r="AK795" s="54">
        <f t="shared" si="155"/>
        <v>0.44187225319542889</v>
      </c>
    </row>
    <row r="796" spans="9:37" x14ac:dyDescent="0.45">
      <c r="I796" s="2">
        <v>94.2</v>
      </c>
      <c r="J796" s="2">
        <v>0.25921699999999998</v>
      </c>
      <c r="K796" s="2">
        <v>0.1582112</v>
      </c>
      <c r="R796" s="2">
        <v>24.72</v>
      </c>
      <c r="S796" s="2">
        <v>5.6656000000000002E-4</v>
      </c>
      <c r="T796" s="2">
        <v>2.3764000000000001E-4</v>
      </c>
      <c r="V796" s="11"/>
      <c r="W796" s="6"/>
      <c r="X796" s="6">
        <v>7.7700000000000005</v>
      </c>
      <c r="Y796" s="11" t="str">
        <f t="shared" si="156"/>
        <v/>
      </c>
      <c r="Z796" s="6" t="str">
        <f t="shared" si="157"/>
        <v/>
      </c>
      <c r="AA796" s="23">
        <f t="shared" si="158"/>
        <v>37.770000000000003</v>
      </c>
      <c r="AB796" t="str">
        <f t="shared" si="147"/>
        <v/>
      </c>
      <c r="AC796" t="str">
        <f t="shared" si="148"/>
        <v/>
      </c>
      <c r="AD796">
        <f t="shared" si="149"/>
        <v>7.7788E-4</v>
      </c>
      <c r="AE796" s="18" t="str">
        <f t="shared" si="150"/>
        <v/>
      </c>
      <c r="AF796" s="7" t="str">
        <f t="shared" si="151"/>
        <v/>
      </c>
      <c r="AG796" s="12">
        <f t="shared" si="152"/>
        <v>0.99490554467406578</v>
      </c>
      <c r="AI796" s="54" t="str">
        <f t="shared" si="153"/>
        <v/>
      </c>
      <c r="AJ796" s="54" t="str">
        <f t="shared" si="154"/>
        <v/>
      </c>
      <c r="AK796" s="54">
        <f t="shared" si="155"/>
        <v>0.44253555482278079</v>
      </c>
    </row>
    <row r="797" spans="9:37" x14ac:dyDescent="0.45">
      <c r="I797" s="2">
        <v>94.3</v>
      </c>
      <c r="J797" s="2">
        <v>0.26152049999999999</v>
      </c>
      <c r="K797" s="2">
        <v>0.15988530000000001</v>
      </c>
      <c r="R797" s="2">
        <v>24.73</v>
      </c>
      <c r="S797" s="2">
        <v>5.6654000000000003E-4</v>
      </c>
      <c r="T797" s="2">
        <v>2.3776E-4</v>
      </c>
      <c r="V797" s="11"/>
      <c r="W797" s="6"/>
      <c r="X797" s="6">
        <v>7.78</v>
      </c>
      <c r="Y797" s="11" t="str">
        <f t="shared" si="156"/>
        <v/>
      </c>
      <c r="Z797" s="6" t="str">
        <f t="shared" si="157"/>
        <v/>
      </c>
      <c r="AA797" s="23">
        <f t="shared" si="158"/>
        <v>37.78</v>
      </c>
      <c r="AB797" t="str">
        <f t="shared" si="147"/>
        <v/>
      </c>
      <c r="AC797" t="str">
        <f t="shared" si="148"/>
        <v/>
      </c>
      <c r="AD797">
        <f t="shared" si="149"/>
        <v>7.7831999999999999E-4</v>
      </c>
      <c r="AE797" s="18" t="str">
        <f t="shared" si="150"/>
        <v/>
      </c>
      <c r="AF797" s="7" t="str">
        <f t="shared" si="151"/>
        <v/>
      </c>
      <c r="AG797" s="12">
        <f t="shared" si="152"/>
        <v>0.99489780550281481</v>
      </c>
      <c r="AI797" s="54" t="str">
        <f t="shared" si="153"/>
        <v/>
      </c>
      <c r="AJ797" s="54" t="str">
        <f t="shared" si="154"/>
        <v/>
      </c>
      <c r="AK797" s="54">
        <f t="shared" si="155"/>
        <v>0.44319912447471227</v>
      </c>
    </row>
    <row r="798" spans="9:37" x14ac:dyDescent="0.45">
      <c r="I798" s="2">
        <v>94.4</v>
      </c>
      <c r="J798" s="2">
        <v>0.263824</v>
      </c>
      <c r="K798" s="2">
        <v>0.16155939999999999</v>
      </c>
      <c r="R798" s="2">
        <v>24.74</v>
      </c>
      <c r="S798" s="2">
        <v>5.6652000000000004E-4</v>
      </c>
      <c r="T798" s="2">
        <v>2.3787999999999999E-4</v>
      </c>
      <c r="V798" s="11"/>
      <c r="W798" s="6"/>
      <c r="X798" s="6">
        <v>7.79</v>
      </c>
      <c r="Y798" s="11" t="str">
        <f t="shared" si="156"/>
        <v/>
      </c>
      <c r="Z798" s="6" t="str">
        <f t="shared" si="157"/>
        <v/>
      </c>
      <c r="AA798" s="23">
        <f t="shared" si="158"/>
        <v>37.79</v>
      </c>
      <c r="AB798" t="str">
        <f t="shared" si="147"/>
        <v/>
      </c>
      <c r="AC798" t="str">
        <f t="shared" si="148"/>
        <v/>
      </c>
      <c r="AD798">
        <f t="shared" si="149"/>
        <v>7.7875999999999998E-4</v>
      </c>
      <c r="AE798" s="18" t="str">
        <f t="shared" si="150"/>
        <v/>
      </c>
      <c r="AF798" s="7" t="str">
        <f t="shared" si="151"/>
        <v/>
      </c>
      <c r="AG798" s="12">
        <f t="shared" si="152"/>
        <v>0.99489006201421504</v>
      </c>
      <c r="AI798" s="54" t="str">
        <f t="shared" si="153"/>
        <v/>
      </c>
      <c r="AJ798" s="54" t="str">
        <f t="shared" si="154"/>
        <v/>
      </c>
      <c r="AK798" s="54">
        <f t="shared" si="155"/>
        <v>0.44386296226635624</v>
      </c>
    </row>
    <row r="799" spans="9:37" x14ac:dyDescent="0.45">
      <c r="I799" s="2">
        <v>94.5</v>
      </c>
      <c r="J799" s="2">
        <v>0.26612750000000002</v>
      </c>
      <c r="K799" s="2">
        <v>0.1632335</v>
      </c>
      <c r="R799" s="2">
        <v>24.75</v>
      </c>
      <c r="S799" s="2">
        <v>5.6649999999999995E-4</v>
      </c>
      <c r="T799" s="2">
        <v>2.3800000000000001E-4</v>
      </c>
      <c r="V799" s="11"/>
      <c r="W799" s="6"/>
      <c r="X799" s="6">
        <v>7.8</v>
      </c>
      <c r="Y799" s="11" t="str">
        <f t="shared" si="156"/>
        <v/>
      </c>
      <c r="Z799" s="6" t="str">
        <f t="shared" si="157"/>
        <v/>
      </c>
      <c r="AA799" s="23">
        <f t="shared" si="158"/>
        <v>37.799999999999997</v>
      </c>
      <c r="AB799" t="str">
        <f t="shared" si="147"/>
        <v/>
      </c>
      <c r="AC799" t="str">
        <f t="shared" si="148"/>
        <v/>
      </c>
      <c r="AD799">
        <f t="shared" si="149"/>
        <v>7.7919999999999997E-4</v>
      </c>
      <c r="AE799" s="18" t="str">
        <f t="shared" si="150"/>
        <v/>
      </c>
      <c r="AF799" s="7" t="str">
        <f t="shared" si="151"/>
        <v/>
      </c>
      <c r="AG799" s="12">
        <f t="shared" si="152"/>
        <v>0.99488231420836815</v>
      </c>
      <c r="AI799" s="54" t="str">
        <f t="shared" si="153"/>
        <v/>
      </c>
      <c r="AJ799" s="54" t="str">
        <f t="shared" si="154"/>
        <v/>
      </c>
      <c r="AK799" s="54">
        <f t="shared" si="155"/>
        <v>0.44452706831289623</v>
      </c>
    </row>
    <row r="800" spans="9:37" x14ac:dyDescent="0.45">
      <c r="I800" s="2">
        <v>94.6</v>
      </c>
      <c r="J800" s="2">
        <v>0.26843099999999998</v>
      </c>
      <c r="K800" s="2">
        <v>0.16490759999999999</v>
      </c>
      <c r="R800" s="2">
        <v>24.76</v>
      </c>
      <c r="S800" s="2">
        <v>5.6647999999999996E-4</v>
      </c>
      <c r="T800" s="2">
        <v>2.3812E-4</v>
      </c>
      <c r="V800" s="11"/>
      <c r="W800" s="6"/>
      <c r="X800" s="6">
        <v>7.8100000000000005</v>
      </c>
      <c r="Y800" s="11" t="str">
        <f t="shared" si="156"/>
        <v/>
      </c>
      <c r="Z800" s="6" t="str">
        <f t="shared" si="157"/>
        <v/>
      </c>
      <c r="AA800" s="23">
        <f t="shared" si="158"/>
        <v>37.81</v>
      </c>
      <c r="AB800" t="str">
        <f t="shared" si="147"/>
        <v/>
      </c>
      <c r="AC800" t="str">
        <f t="shared" si="148"/>
        <v/>
      </c>
      <c r="AD800">
        <f t="shared" si="149"/>
        <v>7.7963999999999996E-4</v>
      </c>
      <c r="AE800" s="18" t="str">
        <f t="shared" si="150"/>
        <v/>
      </c>
      <c r="AF800" s="7" t="str">
        <f t="shared" si="151"/>
        <v/>
      </c>
      <c r="AG800" s="12">
        <f t="shared" si="152"/>
        <v>0.99487456208537584</v>
      </c>
      <c r="AI800" s="54" t="str">
        <f t="shared" si="153"/>
        <v/>
      </c>
      <c r="AJ800" s="54" t="str">
        <f t="shared" si="154"/>
        <v/>
      </c>
      <c r="AK800" s="54">
        <f t="shared" si="155"/>
        <v>0.44519144272956618</v>
      </c>
    </row>
    <row r="801" spans="9:37" x14ac:dyDescent="0.45">
      <c r="I801" s="2">
        <v>94.7</v>
      </c>
      <c r="J801" s="2">
        <v>0.27073449999999999</v>
      </c>
      <c r="K801" s="2">
        <v>0.1665817</v>
      </c>
      <c r="R801" s="2">
        <v>24.77</v>
      </c>
      <c r="S801" s="2">
        <v>5.6645999999999997E-4</v>
      </c>
      <c r="T801" s="2">
        <v>2.3824E-4</v>
      </c>
      <c r="V801" s="11"/>
      <c r="W801" s="6"/>
      <c r="X801" s="6">
        <v>7.82</v>
      </c>
      <c r="Y801" s="11" t="str">
        <f t="shared" si="156"/>
        <v/>
      </c>
      <c r="Z801" s="6" t="str">
        <f t="shared" si="157"/>
        <v/>
      </c>
      <c r="AA801" s="23">
        <f t="shared" si="158"/>
        <v>37.82</v>
      </c>
      <c r="AB801" t="str">
        <f t="shared" si="147"/>
        <v/>
      </c>
      <c r="AC801" t="str">
        <f t="shared" si="148"/>
        <v/>
      </c>
      <c r="AD801">
        <f t="shared" si="149"/>
        <v>7.8008000000000005E-4</v>
      </c>
      <c r="AE801" s="18" t="str">
        <f t="shared" si="150"/>
        <v/>
      </c>
      <c r="AF801" s="7" t="str">
        <f t="shared" si="151"/>
        <v/>
      </c>
      <c r="AG801" s="12">
        <f t="shared" si="152"/>
        <v>0.99486680564534002</v>
      </c>
      <c r="AI801" s="54" t="str">
        <f t="shared" si="153"/>
        <v/>
      </c>
      <c r="AJ801" s="54" t="str">
        <f t="shared" si="154"/>
        <v/>
      </c>
      <c r="AK801" s="54">
        <f t="shared" si="155"/>
        <v>0.44585608563165058</v>
      </c>
    </row>
    <row r="802" spans="9:37" x14ac:dyDescent="0.45">
      <c r="I802" s="2">
        <v>94.8</v>
      </c>
      <c r="J802" s="2">
        <v>0.273038</v>
      </c>
      <c r="K802" s="2">
        <v>0.16825580000000001</v>
      </c>
      <c r="R802" s="2">
        <v>24.78</v>
      </c>
      <c r="S802" s="2">
        <v>5.6643999999999998E-4</v>
      </c>
      <c r="T802" s="2">
        <v>2.3835999999999999E-4</v>
      </c>
      <c r="V802" s="11"/>
      <c r="W802" s="6"/>
      <c r="X802" s="6">
        <v>7.83</v>
      </c>
      <c r="Y802" s="11" t="str">
        <f t="shared" si="156"/>
        <v/>
      </c>
      <c r="Z802" s="6" t="str">
        <f t="shared" si="157"/>
        <v/>
      </c>
      <c r="AA802" s="23">
        <f t="shared" si="158"/>
        <v>37.83</v>
      </c>
      <c r="AB802" t="str">
        <f t="shared" si="147"/>
        <v/>
      </c>
      <c r="AC802" t="str">
        <f t="shared" si="148"/>
        <v/>
      </c>
      <c r="AD802">
        <f t="shared" si="149"/>
        <v>7.8052000000000004E-4</v>
      </c>
      <c r="AE802" s="18" t="str">
        <f t="shared" si="150"/>
        <v/>
      </c>
      <c r="AF802" s="7" t="str">
        <f t="shared" si="151"/>
        <v/>
      </c>
      <c r="AG802" s="12">
        <f t="shared" si="152"/>
        <v>0.99485904488836252</v>
      </c>
      <c r="AI802" s="54" t="str">
        <f t="shared" si="153"/>
        <v/>
      </c>
      <c r="AJ802" s="54" t="str">
        <f t="shared" si="154"/>
        <v/>
      </c>
      <c r="AK802" s="54">
        <f t="shared" si="155"/>
        <v>0.44652099713448451</v>
      </c>
    </row>
    <row r="803" spans="9:37" x14ac:dyDescent="0.45">
      <c r="I803" s="2">
        <v>94.9</v>
      </c>
      <c r="J803" s="2">
        <v>0.27534150000000002</v>
      </c>
      <c r="K803" s="2">
        <v>0.16992989999999999</v>
      </c>
      <c r="R803" s="2">
        <v>24.79</v>
      </c>
      <c r="S803" s="2">
        <v>5.6641999999999999E-4</v>
      </c>
      <c r="T803" s="2">
        <v>2.3848000000000001E-4</v>
      </c>
      <c r="V803" s="11"/>
      <c r="W803" s="6"/>
      <c r="X803" s="6">
        <v>7.84</v>
      </c>
      <c r="Y803" s="11" t="str">
        <f t="shared" si="156"/>
        <v/>
      </c>
      <c r="Z803" s="6" t="str">
        <f t="shared" si="157"/>
        <v/>
      </c>
      <c r="AA803" s="23">
        <f t="shared" si="158"/>
        <v>37.840000000000003</v>
      </c>
      <c r="AB803" t="str">
        <f t="shared" si="147"/>
        <v/>
      </c>
      <c r="AC803" t="str">
        <f t="shared" si="148"/>
        <v/>
      </c>
      <c r="AD803">
        <f t="shared" si="149"/>
        <v>7.8096000000000003E-4</v>
      </c>
      <c r="AE803" s="18" t="str">
        <f t="shared" si="150"/>
        <v/>
      </c>
      <c r="AF803" s="7" t="str">
        <f t="shared" si="151"/>
        <v/>
      </c>
      <c r="AG803" s="12">
        <f t="shared" si="152"/>
        <v>0.99485127981454535</v>
      </c>
      <c r="AI803" s="54" t="str">
        <f t="shared" si="153"/>
        <v/>
      </c>
      <c r="AJ803" s="54" t="str">
        <f t="shared" si="154"/>
        <v/>
      </c>
      <c r="AK803" s="54">
        <f t="shared" si="155"/>
        <v>0.44718617735345362</v>
      </c>
    </row>
    <row r="804" spans="9:37" x14ac:dyDescent="0.45">
      <c r="I804" s="2">
        <v>95</v>
      </c>
      <c r="J804" s="2">
        <v>0.27764499999999998</v>
      </c>
      <c r="K804" s="2">
        <v>0.17160400000000001</v>
      </c>
      <c r="R804" s="2">
        <v>24.8</v>
      </c>
      <c r="S804" s="2">
        <v>5.664E-4</v>
      </c>
      <c r="T804" s="2">
        <v>2.386E-4</v>
      </c>
      <c r="V804" s="11"/>
      <c r="W804" s="6"/>
      <c r="X804" s="6">
        <v>7.8500000000000005</v>
      </c>
      <c r="Y804" s="11" t="str">
        <f t="shared" si="156"/>
        <v/>
      </c>
      <c r="Z804" s="6" t="str">
        <f t="shared" si="157"/>
        <v/>
      </c>
      <c r="AA804" s="23">
        <f t="shared" si="158"/>
        <v>37.85</v>
      </c>
      <c r="AB804" t="str">
        <f t="shared" si="147"/>
        <v/>
      </c>
      <c r="AC804" t="str">
        <f t="shared" si="148"/>
        <v/>
      </c>
      <c r="AD804">
        <f t="shared" si="149"/>
        <v>7.8140000000000002E-4</v>
      </c>
      <c r="AE804" s="18" t="str">
        <f t="shared" si="150"/>
        <v/>
      </c>
      <c r="AF804" s="7" t="str">
        <f t="shared" si="151"/>
        <v/>
      </c>
      <c r="AG804" s="12">
        <f t="shared" si="152"/>
        <v>0.99484351042399055</v>
      </c>
      <c r="AI804" s="54" t="str">
        <f t="shared" si="153"/>
        <v/>
      </c>
      <c r="AJ804" s="54" t="str">
        <f t="shared" si="154"/>
        <v/>
      </c>
      <c r="AK804" s="54">
        <f t="shared" si="155"/>
        <v>0.44785162640399417</v>
      </c>
    </row>
    <row r="805" spans="9:37" x14ac:dyDescent="0.45">
      <c r="I805" s="2">
        <v>95.1</v>
      </c>
      <c r="J805" s="2">
        <v>0.28012670000000001</v>
      </c>
      <c r="K805" s="2">
        <v>0.1734591</v>
      </c>
      <c r="R805" s="2">
        <v>24.81</v>
      </c>
      <c r="S805" s="2">
        <v>5.6638000000000001E-4</v>
      </c>
      <c r="T805" s="2">
        <v>2.3871999999999999E-4</v>
      </c>
      <c r="V805" s="11"/>
      <c r="W805" s="6"/>
      <c r="X805" s="6">
        <v>7.86</v>
      </c>
      <c r="Y805" s="11" t="str">
        <f t="shared" si="156"/>
        <v/>
      </c>
      <c r="Z805" s="6" t="str">
        <f t="shared" si="157"/>
        <v/>
      </c>
      <c r="AA805" s="23">
        <f t="shared" si="158"/>
        <v>37.86</v>
      </c>
      <c r="AB805" t="str">
        <f t="shared" si="147"/>
        <v/>
      </c>
      <c r="AC805" t="str">
        <f t="shared" si="148"/>
        <v/>
      </c>
      <c r="AD805">
        <f t="shared" si="149"/>
        <v>7.8184000000000001E-4</v>
      </c>
      <c r="AE805" s="18" t="str">
        <f t="shared" si="150"/>
        <v/>
      </c>
      <c r="AF805" s="7" t="str">
        <f t="shared" si="151"/>
        <v/>
      </c>
      <c r="AG805" s="12">
        <f t="shared" si="152"/>
        <v>0.99483573671680015</v>
      </c>
      <c r="AI805" s="54" t="str">
        <f t="shared" si="153"/>
        <v/>
      </c>
      <c r="AJ805" s="54" t="str">
        <f t="shared" si="154"/>
        <v/>
      </c>
      <c r="AK805" s="54">
        <f t="shared" si="155"/>
        <v>0.44851734440159297</v>
      </c>
    </row>
    <row r="806" spans="9:37" x14ac:dyDescent="0.45">
      <c r="I806" s="2">
        <v>95.2</v>
      </c>
      <c r="J806" s="2">
        <v>0.28260839999999998</v>
      </c>
      <c r="K806" s="2">
        <v>0.1753142</v>
      </c>
      <c r="R806" s="2">
        <v>24.82</v>
      </c>
      <c r="S806" s="2">
        <v>5.6636000000000002E-4</v>
      </c>
      <c r="T806" s="2">
        <v>2.3884000000000001E-4</v>
      </c>
      <c r="V806" s="11"/>
      <c r="W806" s="6"/>
      <c r="X806" s="6">
        <v>7.87</v>
      </c>
      <c r="Y806" s="11" t="str">
        <f t="shared" si="156"/>
        <v/>
      </c>
      <c r="Z806" s="6" t="str">
        <f t="shared" si="157"/>
        <v/>
      </c>
      <c r="AA806" s="23">
        <f t="shared" si="158"/>
        <v>37.869999999999997</v>
      </c>
      <c r="AB806" t="str">
        <f t="shared" si="147"/>
        <v/>
      </c>
      <c r="AC806" t="str">
        <f t="shared" si="148"/>
        <v/>
      </c>
      <c r="AD806">
        <f t="shared" si="149"/>
        <v>7.8228E-4</v>
      </c>
      <c r="AE806" s="18" t="str">
        <f t="shared" si="150"/>
        <v/>
      </c>
      <c r="AF806" s="7" t="str">
        <f t="shared" si="151"/>
        <v/>
      </c>
      <c r="AG806" s="12">
        <f t="shared" si="152"/>
        <v>0.99482795869307616</v>
      </c>
      <c r="AI806" s="54" t="str">
        <f t="shared" si="153"/>
        <v/>
      </c>
      <c r="AJ806" s="54" t="str">
        <f t="shared" si="154"/>
        <v/>
      </c>
      <c r="AK806" s="54">
        <f t="shared" si="155"/>
        <v>0.44918333146178757</v>
      </c>
    </row>
    <row r="807" spans="9:37" x14ac:dyDescent="0.45">
      <c r="I807" s="2">
        <v>95.3</v>
      </c>
      <c r="J807" s="2">
        <v>0.28509010000000001</v>
      </c>
      <c r="K807" s="2">
        <v>0.1771693</v>
      </c>
      <c r="R807" s="2">
        <v>24.83</v>
      </c>
      <c r="S807" s="2">
        <v>5.6634000000000003E-4</v>
      </c>
      <c r="T807" s="2">
        <v>2.3896E-4</v>
      </c>
      <c r="V807" s="11"/>
      <c r="W807" s="6"/>
      <c r="X807" s="6">
        <v>7.88</v>
      </c>
      <c r="Y807" s="11" t="str">
        <f t="shared" si="156"/>
        <v/>
      </c>
      <c r="Z807" s="6" t="str">
        <f t="shared" si="157"/>
        <v/>
      </c>
      <c r="AA807" s="23">
        <f t="shared" si="158"/>
        <v>37.880000000000003</v>
      </c>
      <c r="AB807" t="str">
        <f t="shared" si="147"/>
        <v/>
      </c>
      <c r="AC807" t="str">
        <f t="shared" si="148"/>
        <v/>
      </c>
      <c r="AD807">
        <f t="shared" si="149"/>
        <v>7.8271999999999999E-4</v>
      </c>
      <c r="AE807" s="18" t="str">
        <f t="shared" si="150"/>
        <v/>
      </c>
      <c r="AF807" s="7" t="str">
        <f t="shared" si="151"/>
        <v/>
      </c>
      <c r="AG807" s="12">
        <f t="shared" si="152"/>
        <v>0.99482017635292086</v>
      </c>
      <c r="AI807" s="54" t="str">
        <f t="shared" si="153"/>
        <v/>
      </c>
      <c r="AJ807" s="54" t="str">
        <f t="shared" si="154"/>
        <v/>
      </c>
      <c r="AK807" s="54">
        <f t="shared" si="155"/>
        <v>0.44984958770016614</v>
      </c>
    </row>
    <row r="808" spans="9:37" x14ac:dyDescent="0.45">
      <c r="I808" s="2">
        <v>95.4</v>
      </c>
      <c r="J808" s="2">
        <v>0.28757179999999999</v>
      </c>
      <c r="K808" s="2">
        <v>0.1790244</v>
      </c>
      <c r="R808" s="2">
        <v>24.84</v>
      </c>
      <c r="S808" s="2">
        <v>5.6632000000000004E-4</v>
      </c>
      <c r="T808" s="2">
        <v>2.3907999999999999E-4</v>
      </c>
      <c r="V808" s="11"/>
      <c r="W808" s="6"/>
      <c r="X808" s="6">
        <v>7.8900000000000006</v>
      </c>
      <c r="Y808" s="11" t="str">
        <f t="shared" si="156"/>
        <v/>
      </c>
      <c r="Z808" s="6" t="str">
        <f t="shared" si="157"/>
        <v/>
      </c>
      <c r="AA808" s="23">
        <f t="shared" si="158"/>
        <v>37.89</v>
      </c>
      <c r="AB808" t="str">
        <f t="shared" si="147"/>
        <v/>
      </c>
      <c r="AC808" t="str">
        <f t="shared" si="148"/>
        <v/>
      </c>
      <c r="AD808">
        <f t="shared" si="149"/>
        <v>7.8315999999999998E-4</v>
      </c>
      <c r="AE808" s="18" t="str">
        <f t="shared" si="150"/>
        <v/>
      </c>
      <c r="AF808" s="7" t="str">
        <f t="shared" si="151"/>
        <v/>
      </c>
      <c r="AG808" s="12">
        <f t="shared" si="152"/>
        <v>0.99481238969643648</v>
      </c>
      <c r="AI808" s="54" t="str">
        <f t="shared" si="153"/>
        <v/>
      </c>
      <c r="AJ808" s="54" t="str">
        <f t="shared" si="154"/>
        <v/>
      </c>
      <c r="AK808" s="54">
        <f t="shared" si="155"/>
        <v>0.45051611323236757</v>
      </c>
    </row>
    <row r="809" spans="9:37" x14ac:dyDescent="0.45">
      <c r="I809" s="2">
        <v>95.5</v>
      </c>
      <c r="J809" s="2">
        <v>0.29005350000000002</v>
      </c>
      <c r="K809" s="2">
        <v>0.1808795</v>
      </c>
      <c r="R809" s="2">
        <v>24.85</v>
      </c>
      <c r="S809" s="2">
        <v>5.6630000000000005E-4</v>
      </c>
      <c r="T809" s="2">
        <v>2.3919999999999999E-4</v>
      </c>
      <c r="V809" s="11"/>
      <c r="W809" s="6"/>
      <c r="X809" s="6">
        <v>7.9</v>
      </c>
      <c r="Y809" s="11" t="str">
        <f t="shared" si="156"/>
        <v/>
      </c>
      <c r="Z809" s="6" t="str">
        <f t="shared" si="157"/>
        <v/>
      </c>
      <c r="AA809" s="23">
        <f t="shared" si="158"/>
        <v>37.9</v>
      </c>
      <c r="AB809" t="str">
        <f t="shared" si="147"/>
        <v/>
      </c>
      <c r="AC809" t="str">
        <f t="shared" si="148"/>
        <v/>
      </c>
      <c r="AD809">
        <f t="shared" si="149"/>
        <v>7.8359999999999996E-4</v>
      </c>
      <c r="AE809" s="18" t="str">
        <f t="shared" si="150"/>
        <v/>
      </c>
      <c r="AF809" s="7" t="str">
        <f t="shared" si="151"/>
        <v/>
      </c>
      <c r="AG809" s="12">
        <f t="shared" si="152"/>
        <v>0.99480459872372529</v>
      </c>
      <c r="AI809" s="54" t="str">
        <f t="shared" si="153"/>
        <v/>
      </c>
      <c r="AJ809" s="54" t="str">
        <f t="shared" si="154"/>
        <v/>
      </c>
      <c r="AK809" s="54">
        <f t="shared" si="155"/>
        <v>0.45118290817408141</v>
      </c>
    </row>
    <row r="810" spans="9:37" x14ac:dyDescent="0.45">
      <c r="I810" s="2">
        <v>95.6</v>
      </c>
      <c r="J810" s="2">
        <v>0.2925352</v>
      </c>
      <c r="K810" s="2">
        <v>0.1827346</v>
      </c>
      <c r="R810" s="2">
        <v>24.86</v>
      </c>
      <c r="S810" s="2">
        <v>5.6627999999999995E-4</v>
      </c>
      <c r="T810" s="2">
        <v>2.3932000000000001E-4</v>
      </c>
      <c r="V810" s="11"/>
      <c r="W810" s="6"/>
      <c r="X810" s="6">
        <v>7.91</v>
      </c>
      <c r="Y810" s="11" t="str">
        <f t="shared" si="156"/>
        <v/>
      </c>
      <c r="Z810" s="6" t="str">
        <f t="shared" si="157"/>
        <v/>
      </c>
      <c r="AA810" s="23">
        <f t="shared" si="158"/>
        <v>37.909999999999997</v>
      </c>
      <c r="AB810" t="str">
        <f t="shared" si="147"/>
        <v/>
      </c>
      <c r="AC810" t="str">
        <f t="shared" si="148"/>
        <v/>
      </c>
      <c r="AD810">
        <f t="shared" si="149"/>
        <v>7.8403999999999995E-4</v>
      </c>
      <c r="AE810" s="18" t="str">
        <f t="shared" si="150"/>
        <v/>
      </c>
      <c r="AF810" s="7" t="str">
        <f t="shared" si="151"/>
        <v/>
      </c>
      <c r="AG810" s="12">
        <f t="shared" si="152"/>
        <v>0.99479680343488974</v>
      </c>
      <c r="AI810" s="54" t="str">
        <f t="shared" si="153"/>
        <v/>
      </c>
      <c r="AJ810" s="54" t="str">
        <f t="shared" si="154"/>
        <v/>
      </c>
      <c r="AK810" s="54">
        <f t="shared" si="155"/>
        <v>0.45184997264104798</v>
      </c>
    </row>
    <row r="811" spans="9:37" x14ac:dyDescent="0.45">
      <c r="I811" s="2">
        <v>95.7</v>
      </c>
      <c r="J811" s="2">
        <v>0.29501690000000003</v>
      </c>
      <c r="K811" s="2">
        <v>0.1845897</v>
      </c>
      <c r="R811" s="2">
        <v>24.87</v>
      </c>
      <c r="S811" s="2">
        <v>5.6625999999999996E-4</v>
      </c>
      <c r="T811" s="2">
        <v>2.3944E-4</v>
      </c>
      <c r="V811" s="11"/>
      <c r="W811" s="6"/>
      <c r="X811" s="6">
        <v>7.92</v>
      </c>
      <c r="Y811" s="11" t="str">
        <f t="shared" si="156"/>
        <v/>
      </c>
      <c r="Z811" s="6" t="str">
        <f t="shared" si="157"/>
        <v/>
      </c>
      <c r="AA811" s="23">
        <f t="shared" si="158"/>
        <v>37.92</v>
      </c>
      <c r="AB811" t="str">
        <f t="shared" si="147"/>
        <v/>
      </c>
      <c r="AC811" t="str">
        <f t="shared" si="148"/>
        <v/>
      </c>
      <c r="AD811">
        <f t="shared" si="149"/>
        <v>7.8448000000000005E-4</v>
      </c>
      <c r="AE811" s="18" t="str">
        <f t="shared" si="150"/>
        <v/>
      </c>
      <c r="AF811" s="7" t="str">
        <f t="shared" si="151"/>
        <v/>
      </c>
      <c r="AG811" s="12">
        <f t="shared" si="152"/>
        <v>0.9947890038300321</v>
      </c>
      <c r="AI811" s="54" t="str">
        <f t="shared" si="153"/>
        <v/>
      </c>
      <c r="AJ811" s="54" t="str">
        <f t="shared" si="154"/>
        <v/>
      </c>
      <c r="AK811" s="54">
        <f t="shared" si="155"/>
        <v>0.45251730674905838</v>
      </c>
    </row>
    <row r="812" spans="9:37" x14ac:dyDescent="0.45">
      <c r="I812" s="2">
        <v>95.8</v>
      </c>
      <c r="J812" s="2">
        <v>0.2974986</v>
      </c>
      <c r="K812" s="2">
        <v>0.18644479999999999</v>
      </c>
      <c r="R812" s="2">
        <v>24.88</v>
      </c>
      <c r="S812" s="2">
        <v>5.6623999999999997E-4</v>
      </c>
      <c r="T812" s="2">
        <v>2.3955999999999999E-4</v>
      </c>
      <c r="V812" s="11"/>
      <c r="W812" s="6"/>
      <c r="X812" s="6">
        <v>7.9300000000000006</v>
      </c>
      <c r="Y812" s="11" t="str">
        <f t="shared" si="156"/>
        <v/>
      </c>
      <c r="Z812" s="6" t="str">
        <f t="shared" si="157"/>
        <v/>
      </c>
      <c r="AA812" s="23">
        <f t="shared" si="158"/>
        <v>37.93</v>
      </c>
      <c r="AB812" t="str">
        <f t="shared" si="147"/>
        <v/>
      </c>
      <c r="AC812" t="str">
        <f t="shared" si="148"/>
        <v/>
      </c>
      <c r="AD812">
        <f t="shared" si="149"/>
        <v>7.8492000000000004E-4</v>
      </c>
      <c r="AE812" s="18" t="str">
        <f t="shared" si="150"/>
        <v/>
      </c>
      <c r="AF812" s="7" t="str">
        <f t="shared" si="151"/>
        <v/>
      </c>
      <c r="AG812" s="12">
        <f t="shared" si="152"/>
        <v>0.99478119990925484</v>
      </c>
      <c r="AI812" s="54" t="str">
        <f t="shared" si="153"/>
        <v/>
      </c>
      <c r="AJ812" s="54" t="str">
        <f t="shared" si="154"/>
        <v/>
      </c>
      <c r="AK812" s="54">
        <f t="shared" si="155"/>
        <v>0.45318491061395449</v>
      </c>
    </row>
    <row r="813" spans="9:37" x14ac:dyDescent="0.45">
      <c r="I813" s="2">
        <v>95.9</v>
      </c>
      <c r="J813" s="2">
        <v>0.29998029999999998</v>
      </c>
      <c r="K813" s="2">
        <v>0.18829989999999999</v>
      </c>
      <c r="R813" s="2">
        <v>24.89</v>
      </c>
      <c r="S813" s="2">
        <v>5.6621999999999998E-4</v>
      </c>
      <c r="T813" s="2">
        <v>2.3968000000000001E-4</v>
      </c>
      <c r="V813" s="11"/>
      <c r="W813" s="6"/>
      <c r="X813" s="6">
        <v>7.94</v>
      </c>
      <c r="Y813" s="11" t="str">
        <f t="shared" si="156"/>
        <v/>
      </c>
      <c r="Z813" s="6" t="str">
        <f t="shared" si="157"/>
        <v/>
      </c>
      <c r="AA813" s="23">
        <f t="shared" si="158"/>
        <v>37.94</v>
      </c>
      <c r="AB813" t="str">
        <f t="shared" si="147"/>
        <v/>
      </c>
      <c r="AC813" t="str">
        <f t="shared" si="148"/>
        <v/>
      </c>
      <c r="AD813">
        <f t="shared" si="149"/>
        <v>7.8536000000000003E-4</v>
      </c>
      <c r="AE813" s="18" t="str">
        <f t="shared" si="150"/>
        <v/>
      </c>
      <c r="AF813" s="7" t="str">
        <f t="shared" si="151"/>
        <v/>
      </c>
      <c r="AG813" s="12">
        <f t="shared" si="152"/>
        <v>0.99477339167266055</v>
      </c>
      <c r="AI813" s="54" t="str">
        <f t="shared" si="153"/>
        <v/>
      </c>
      <c r="AJ813" s="54" t="str">
        <f t="shared" si="154"/>
        <v/>
      </c>
      <c r="AK813" s="54">
        <f t="shared" si="155"/>
        <v>0.45385278435162896</v>
      </c>
    </row>
    <row r="814" spans="9:37" x14ac:dyDescent="0.45">
      <c r="I814" s="2">
        <v>96</v>
      </c>
      <c r="J814" s="2">
        <v>0.30246200000000001</v>
      </c>
      <c r="K814" s="2">
        <v>0.19015499999999999</v>
      </c>
      <c r="R814" s="2">
        <v>24.9</v>
      </c>
      <c r="S814" s="2">
        <v>5.6619999999999999E-4</v>
      </c>
      <c r="T814" s="2">
        <v>2.398E-4</v>
      </c>
      <c r="V814" s="11"/>
      <c r="W814" s="6"/>
      <c r="X814" s="6">
        <v>7.95</v>
      </c>
      <c r="Y814" s="11" t="str">
        <f t="shared" si="156"/>
        <v/>
      </c>
      <c r="Z814" s="6" t="str">
        <f t="shared" si="157"/>
        <v/>
      </c>
      <c r="AA814" s="23">
        <f t="shared" si="158"/>
        <v>37.950000000000003</v>
      </c>
      <c r="AB814" t="str">
        <f t="shared" si="147"/>
        <v/>
      </c>
      <c r="AC814" t="str">
        <f t="shared" si="148"/>
        <v/>
      </c>
      <c r="AD814">
        <f t="shared" si="149"/>
        <v>7.8580000000000002E-4</v>
      </c>
      <c r="AE814" s="18" t="str">
        <f t="shared" si="150"/>
        <v/>
      </c>
      <c r="AF814" s="7" t="str">
        <f t="shared" si="151"/>
        <v/>
      </c>
      <c r="AG814" s="12">
        <f t="shared" si="152"/>
        <v>0.99476557912035168</v>
      </c>
      <c r="AI814" s="54" t="str">
        <f t="shared" si="153"/>
        <v/>
      </c>
      <c r="AJ814" s="54" t="str">
        <f t="shared" si="154"/>
        <v/>
      </c>
      <c r="AK814" s="54">
        <f t="shared" si="155"/>
        <v>0.4545209280780253</v>
      </c>
    </row>
    <row r="815" spans="9:37" x14ac:dyDescent="0.45">
      <c r="I815" s="2">
        <v>96.1</v>
      </c>
      <c r="J815" s="2">
        <v>0.30513279999999998</v>
      </c>
      <c r="K815" s="2">
        <v>0.19221079999999999</v>
      </c>
      <c r="R815" s="2">
        <v>24.91</v>
      </c>
      <c r="S815" s="2">
        <v>5.6618E-4</v>
      </c>
      <c r="T815" s="2">
        <v>2.3991999999999999E-4</v>
      </c>
      <c r="V815" s="11"/>
      <c r="W815" s="6"/>
      <c r="X815" s="6">
        <v>7.96</v>
      </c>
      <c r="Y815" s="11" t="str">
        <f t="shared" si="156"/>
        <v/>
      </c>
      <c r="Z815" s="6" t="str">
        <f t="shared" si="157"/>
        <v/>
      </c>
      <c r="AA815" s="23">
        <f t="shared" si="158"/>
        <v>37.96</v>
      </c>
      <c r="AB815" t="str">
        <f t="shared" si="147"/>
        <v/>
      </c>
      <c r="AC815" t="str">
        <f t="shared" si="148"/>
        <v/>
      </c>
      <c r="AD815">
        <f t="shared" si="149"/>
        <v>7.8624000000000001E-4</v>
      </c>
      <c r="AE815" s="18" t="str">
        <f t="shared" si="150"/>
        <v/>
      </c>
      <c r="AF815" s="7" t="str">
        <f t="shared" si="151"/>
        <v/>
      </c>
      <c r="AG815" s="12">
        <f t="shared" si="152"/>
        <v>0.99475776225243095</v>
      </c>
      <c r="AI815" s="54" t="str">
        <f t="shared" si="153"/>
        <v/>
      </c>
      <c r="AJ815" s="54" t="str">
        <f t="shared" si="154"/>
        <v/>
      </c>
      <c r="AK815" s="54">
        <f t="shared" si="155"/>
        <v>0.45518934190913785</v>
      </c>
    </row>
    <row r="816" spans="9:37" x14ac:dyDescent="0.45">
      <c r="I816" s="2">
        <v>96.2</v>
      </c>
      <c r="J816" s="2">
        <v>0.30780360000000001</v>
      </c>
      <c r="K816" s="2">
        <v>0.19426660000000001</v>
      </c>
      <c r="R816" s="2">
        <v>24.92</v>
      </c>
      <c r="S816" s="2">
        <v>5.6616000000000001E-4</v>
      </c>
      <c r="T816" s="2">
        <v>2.4004000000000001E-4</v>
      </c>
      <c r="V816" s="11"/>
      <c r="W816" s="6"/>
      <c r="X816" s="6">
        <v>7.97</v>
      </c>
      <c r="Y816" s="11" t="str">
        <f t="shared" si="156"/>
        <v/>
      </c>
      <c r="Z816" s="6" t="str">
        <f t="shared" si="157"/>
        <v/>
      </c>
      <c r="AA816" s="23">
        <f t="shared" si="158"/>
        <v>37.97</v>
      </c>
      <c r="AB816" t="str">
        <f t="shared" si="147"/>
        <v/>
      </c>
      <c r="AC816" t="str">
        <f t="shared" si="148"/>
        <v/>
      </c>
      <c r="AD816">
        <f t="shared" si="149"/>
        <v>7.8668E-4</v>
      </c>
      <c r="AE816" s="18" t="str">
        <f t="shared" si="150"/>
        <v/>
      </c>
      <c r="AF816" s="7" t="str">
        <f t="shared" si="151"/>
        <v/>
      </c>
      <c r="AG816" s="12">
        <f t="shared" si="152"/>
        <v>0.99474994106900105</v>
      </c>
      <c r="AI816" s="54" t="str">
        <f t="shared" si="153"/>
        <v/>
      </c>
      <c r="AJ816" s="54" t="str">
        <f t="shared" si="154"/>
        <v/>
      </c>
      <c r="AK816" s="54">
        <f t="shared" si="155"/>
        <v>0.45585802596101183</v>
      </c>
    </row>
    <row r="817" spans="9:37" x14ac:dyDescent="0.45">
      <c r="I817" s="2">
        <v>96.3</v>
      </c>
      <c r="J817" s="2">
        <v>0.31047439999999998</v>
      </c>
      <c r="K817" s="2">
        <v>0.19632240000000001</v>
      </c>
      <c r="R817" s="2">
        <v>24.93</v>
      </c>
      <c r="S817" s="2">
        <v>5.6614000000000002E-4</v>
      </c>
      <c r="T817" s="2">
        <v>2.4016E-4</v>
      </c>
      <c r="V817" s="11"/>
      <c r="W817" s="6"/>
      <c r="X817" s="6">
        <v>7.98</v>
      </c>
      <c r="Y817" s="11" t="str">
        <f t="shared" si="156"/>
        <v/>
      </c>
      <c r="Z817" s="6" t="str">
        <f t="shared" si="157"/>
        <v/>
      </c>
      <c r="AA817" s="23">
        <f t="shared" si="158"/>
        <v>37.980000000000004</v>
      </c>
      <c r="AB817" t="str">
        <f t="shared" si="147"/>
        <v/>
      </c>
      <c r="AC817" t="str">
        <f t="shared" si="148"/>
        <v/>
      </c>
      <c r="AD817">
        <f t="shared" si="149"/>
        <v>7.8711999999999999E-4</v>
      </c>
      <c r="AE817" s="18" t="str">
        <f t="shared" si="150"/>
        <v/>
      </c>
      <c r="AF817" s="7" t="str">
        <f t="shared" si="151"/>
        <v/>
      </c>
      <c r="AG817" s="12">
        <f t="shared" si="152"/>
        <v>0.99474211557016468</v>
      </c>
      <c r="AI817" s="54" t="str">
        <f t="shared" si="153"/>
        <v/>
      </c>
      <c r="AJ817" s="54" t="str">
        <f t="shared" si="154"/>
        <v/>
      </c>
      <c r="AK817" s="54">
        <f t="shared" si="155"/>
        <v>0.45652698034974337</v>
      </c>
    </row>
    <row r="818" spans="9:37" x14ac:dyDescent="0.45">
      <c r="I818" s="2">
        <v>96.4</v>
      </c>
      <c r="J818" s="2">
        <v>0.31314520000000001</v>
      </c>
      <c r="K818" s="2">
        <v>0.1983782</v>
      </c>
      <c r="R818" s="2">
        <v>24.94</v>
      </c>
      <c r="S818" s="2">
        <v>5.6612000000000003E-4</v>
      </c>
      <c r="T818" s="2">
        <v>2.4028E-4</v>
      </c>
      <c r="V818" s="11"/>
      <c r="W818" s="6"/>
      <c r="X818" s="6">
        <v>7.99</v>
      </c>
      <c r="Y818" s="11" t="str">
        <f t="shared" si="156"/>
        <v/>
      </c>
      <c r="Z818" s="6" t="str">
        <f t="shared" si="157"/>
        <v/>
      </c>
      <c r="AA818" s="23">
        <f t="shared" si="158"/>
        <v>37.99</v>
      </c>
      <c r="AB818" t="str">
        <f t="shared" si="147"/>
        <v/>
      </c>
      <c r="AC818" t="str">
        <f t="shared" si="148"/>
        <v/>
      </c>
      <c r="AD818">
        <f t="shared" si="149"/>
        <v>7.8755999999999997E-4</v>
      </c>
      <c r="AE818" s="18" t="str">
        <f t="shared" si="150"/>
        <v/>
      </c>
      <c r="AF818" s="7" t="str">
        <f t="shared" si="151"/>
        <v/>
      </c>
      <c r="AG818" s="12">
        <f t="shared" si="152"/>
        <v>0.99473428575602463</v>
      </c>
      <c r="AI818" s="54" t="str">
        <f t="shared" si="153"/>
        <v/>
      </c>
      <c r="AJ818" s="54" t="str">
        <f t="shared" si="154"/>
        <v/>
      </c>
      <c r="AK818" s="54">
        <f t="shared" si="155"/>
        <v>0.45719620519147947</v>
      </c>
    </row>
    <row r="819" spans="9:37" x14ac:dyDescent="0.45">
      <c r="I819" s="2">
        <v>96.5</v>
      </c>
      <c r="J819" s="2">
        <v>0.31581599999999999</v>
      </c>
      <c r="K819" s="2">
        <v>0.200434</v>
      </c>
      <c r="R819" s="2">
        <v>24.95</v>
      </c>
      <c r="S819" s="2">
        <v>5.6610000000000005E-4</v>
      </c>
      <c r="T819" s="2">
        <v>2.4039999999999999E-4</v>
      </c>
      <c r="V819" s="11"/>
      <c r="W819" s="6"/>
      <c r="X819" s="6">
        <v>8</v>
      </c>
      <c r="Y819" s="11" t="str">
        <f t="shared" si="156"/>
        <v/>
      </c>
      <c r="Z819" s="6" t="str">
        <f t="shared" si="157"/>
        <v/>
      </c>
      <c r="AA819" s="23">
        <f t="shared" si="158"/>
        <v>38</v>
      </c>
      <c r="AB819" t="str">
        <f t="shared" si="147"/>
        <v/>
      </c>
      <c r="AC819" t="str">
        <f t="shared" si="148"/>
        <v/>
      </c>
      <c r="AD819">
        <f t="shared" si="149"/>
        <v>7.8799999999999996E-4</v>
      </c>
      <c r="AE819" s="18" t="str">
        <f t="shared" si="150"/>
        <v/>
      </c>
      <c r="AF819" s="7" t="str">
        <f t="shared" si="151"/>
        <v/>
      </c>
      <c r="AG819" s="12">
        <f t="shared" si="152"/>
        <v>0.99472645162668372</v>
      </c>
      <c r="AI819" s="54" t="str">
        <f t="shared" si="153"/>
        <v/>
      </c>
      <c r="AJ819" s="54" t="str">
        <f t="shared" si="154"/>
        <v/>
      </c>
      <c r="AK819" s="54">
        <f t="shared" si="155"/>
        <v>0.45786570060241816</v>
      </c>
    </row>
    <row r="820" spans="9:37" x14ac:dyDescent="0.45">
      <c r="I820" s="2">
        <v>96.6</v>
      </c>
      <c r="J820" s="2">
        <v>0.31848680000000001</v>
      </c>
      <c r="K820" s="2">
        <v>0.2024898</v>
      </c>
      <c r="R820" s="2">
        <v>24.96</v>
      </c>
      <c r="S820" s="2">
        <v>5.6607999999999995E-4</v>
      </c>
      <c r="T820" s="2">
        <v>2.4052000000000001E-4</v>
      </c>
      <c r="V820" s="11"/>
      <c r="W820" s="6"/>
      <c r="X820" s="6">
        <v>8.01</v>
      </c>
      <c r="Y820" s="11" t="str">
        <f t="shared" si="156"/>
        <v/>
      </c>
      <c r="Z820" s="6" t="str">
        <f t="shared" si="157"/>
        <v/>
      </c>
      <c r="AA820" s="23">
        <f t="shared" si="158"/>
        <v>38.01</v>
      </c>
      <c r="AB820" t="str">
        <f t="shared" si="147"/>
        <v/>
      </c>
      <c r="AC820" t="str">
        <f t="shared" si="148"/>
        <v/>
      </c>
      <c r="AD820">
        <f t="shared" si="149"/>
        <v>7.8852000000000002E-4</v>
      </c>
      <c r="AE820" s="18" t="str">
        <f t="shared" si="150"/>
        <v/>
      </c>
      <c r="AF820" s="7" t="str">
        <f t="shared" si="151"/>
        <v/>
      </c>
      <c r="AG820" s="12">
        <f t="shared" si="152"/>
        <v>0.99471861318224486</v>
      </c>
      <c r="AI820" s="54" t="str">
        <f t="shared" si="153"/>
        <v/>
      </c>
      <c r="AJ820" s="54" t="str">
        <f t="shared" si="154"/>
        <v/>
      </c>
      <c r="AK820" s="54">
        <f t="shared" si="155"/>
        <v>0.45853546669880835</v>
      </c>
    </row>
    <row r="821" spans="9:37" x14ac:dyDescent="0.45">
      <c r="I821" s="2">
        <v>96.7</v>
      </c>
      <c r="J821" s="2">
        <v>0.32115759999999999</v>
      </c>
      <c r="K821" s="2">
        <v>0.20454559999999999</v>
      </c>
      <c r="R821" s="2">
        <v>24.97</v>
      </c>
      <c r="S821" s="2">
        <v>5.6605999999999996E-4</v>
      </c>
      <c r="T821" s="2">
        <v>2.4064E-4</v>
      </c>
      <c r="V821" s="11"/>
      <c r="W821" s="6"/>
      <c r="X821" s="6">
        <v>8.02</v>
      </c>
      <c r="Y821" s="11" t="str">
        <f t="shared" si="156"/>
        <v/>
      </c>
      <c r="Z821" s="6" t="str">
        <f t="shared" si="157"/>
        <v/>
      </c>
      <c r="AA821" s="23">
        <f t="shared" si="158"/>
        <v>38.019999999999996</v>
      </c>
      <c r="AB821" t="str">
        <f t="shared" si="147"/>
        <v/>
      </c>
      <c r="AC821" t="str">
        <f t="shared" si="148"/>
        <v/>
      </c>
      <c r="AD821">
        <f t="shared" si="149"/>
        <v>7.8852000000000002E-4</v>
      </c>
      <c r="AE821" s="18" t="str">
        <f t="shared" si="150"/>
        <v/>
      </c>
      <c r="AF821" s="7" t="str">
        <f t="shared" si="151"/>
        <v/>
      </c>
      <c r="AG821" s="12">
        <f t="shared" si="152"/>
        <v>0.9947107696270362</v>
      </c>
      <c r="AI821" s="54" t="str">
        <f t="shared" si="153"/>
        <v/>
      </c>
      <c r="AJ821" s="54" t="str">
        <f t="shared" si="154"/>
        <v/>
      </c>
      <c r="AK821" s="54">
        <f t="shared" si="155"/>
        <v>0.45920550316377839</v>
      </c>
    </row>
    <row r="822" spans="9:37" x14ac:dyDescent="0.45">
      <c r="I822" s="2">
        <v>96.8</v>
      </c>
      <c r="J822" s="2">
        <v>0.32382840000000002</v>
      </c>
      <c r="K822" s="2">
        <v>0.20660139999999999</v>
      </c>
      <c r="R822" s="2">
        <v>24.98</v>
      </c>
      <c r="S822" s="2">
        <v>5.6603999999999997E-4</v>
      </c>
      <c r="T822" s="2">
        <v>2.4075999999999999E-4</v>
      </c>
      <c r="V822" s="11"/>
      <c r="W822" s="6"/>
      <c r="X822" s="6">
        <v>8.0299999999999994</v>
      </c>
      <c r="Y822" s="11" t="str">
        <f t="shared" si="156"/>
        <v/>
      </c>
      <c r="Z822" s="6" t="str">
        <f t="shared" si="157"/>
        <v/>
      </c>
      <c r="AA822" s="23">
        <f t="shared" si="158"/>
        <v>38.03</v>
      </c>
      <c r="AB822" t="str">
        <f t="shared" si="147"/>
        <v/>
      </c>
      <c r="AC822" t="str">
        <f t="shared" si="148"/>
        <v/>
      </c>
      <c r="AD822">
        <f t="shared" si="149"/>
        <v>7.8956000000000002E-4</v>
      </c>
      <c r="AE822" s="18" t="str">
        <f t="shared" si="150"/>
        <v/>
      </c>
      <c r="AF822" s="7" t="str">
        <f t="shared" si="151"/>
        <v/>
      </c>
      <c r="AG822" s="12">
        <f t="shared" si="152"/>
        <v>0.9947029261336755</v>
      </c>
      <c r="AI822" s="54" t="str">
        <f t="shared" si="153"/>
        <v/>
      </c>
      <c r="AJ822" s="54" t="str">
        <f t="shared" si="154"/>
        <v/>
      </c>
      <c r="AK822" s="54">
        <f t="shared" si="155"/>
        <v>0.45987581292670593</v>
      </c>
    </row>
    <row r="823" spans="9:37" x14ac:dyDescent="0.45">
      <c r="I823" s="2">
        <v>96.9</v>
      </c>
      <c r="J823" s="2">
        <v>0.32649919999999999</v>
      </c>
      <c r="K823" s="2">
        <v>0.20865719999999999</v>
      </c>
      <c r="R823" s="2">
        <v>24.99</v>
      </c>
      <c r="S823" s="2">
        <v>5.6601999999999998E-4</v>
      </c>
      <c r="T823" s="2">
        <v>2.4088000000000001E-4</v>
      </c>
      <c r="V823" s="11"/>
      <c r="W823" s="6"/>
      <c r="X823" s="6">
        <v>8.0400000000000009</v>
      </c>
      <c r="Y823" s="11" t="str">
        <f t="shared" si="156"/>
        <v/>
      </c>
      <c r="Z823" s="6" t="str">
        <f t="shared" si="157"/>
        <v/>
      </c>
      <c r="AA823" s="23">
        <f t="shared" si="158"/>
        <v>38.04</v>
      </c>
      <c r="AB823" t="str">
        <f t="shared" si="147"/>
        <v/>
      </c>
      <c r="AC823" t="str">
        <f t="shared" si="148"/>
        <v/>
      </c>
      <c r="AD823">
        <f t="shared" si="149"/>
        <v>7.9007999999999997E-4</v>
      </c>
      <c r="AE823" s="18" t="str">
        <f t="shared" si="150"/>
        <v/>
      </c>
      <c r="AF823" s="7" t="str">
        <f t="shared" si="151"/>
        <v/>
      </c>
      <c r="AG823" s="12">
        <f t="shared" si="152"/>
        <v>0.99469507235725196</v>
      </c>
      <c r="AI823" s="54" t="str">
        <f t="shared" si="153"/>
        <v/>
      </c>
      <c r="AJ823" s="54" t="str">
        <f t="shared" si="154"/>
        <v/>
      </c>
      <c r="AK823" s="54">
        <f t="shared" si="155"/>
        <v>0.46054639048177365</v>
      </c>
    </row>
    <row r="824" spans="9:37" x14ac:dyDescent="0.45">
      <c r="I824" s="2">
        <v>97</v>
      </c>
      <c r="J824" s="2">
        <v>0.32917000000000002</v>
      </c>
      <c r="K824" s="2">
        <v>0.21071300000000001</v>
      </c>
      <c r="R824" s="2">
        <v>25</v>
      </c>
      <c r="S824" s="2">
        <v>5.6599999999999999E-4</v>
      </c>
      <c r="T824" s="2">
        <v>2.41E-4</v>
      </c>
      <c r="V824" s="11"/>
      <c r="W824" s="6"/>
      <c r="X824" s="6">
        <v>8.0500000000000007</v>
      </c>
      <c r="Y824" s="11" t="str">
        <f t="shared" si="156"/>
        <v/>
      </c>
      <c r="Z824" s="6" t="str">
        <f t="shared" si="157"/>
        <v/>
      </c>
      <c r="AA824" s="23">
        <f t="shared" si="158"/>
        <v>38.049999999999997</v>
      </c>
      <c r="AB824" t="str">
        <f t="shared" si="147"/>
        <v/>
      </c>
      <c r="AC824" t="str">
        <f t="shared" si="148"/>
        <v/>
      </c>
      <c r="AD824">
        <f t="shared" si="149"/>
        <v>7.9060000000000003E-4</v>
      </c>
      <c r="AE824" s="18" t="str">
        <f t="shared" si="150"/>
        <v/>
      </c>
      <c r="AF824" s="7" t="str">
        <f t="shared" si="151"/>
        <v/>
      </c>
      <c r="AG824" s="12">
        <f t="shared" si="152"/>
        <v>0.99468721347042433</v>
      </c>
      <c r="AI824" s="54" t="str">
        <f t="shared" si="153"/>
        <v/>
      </c>
      <c r="AJ824" s="54" t="str">
        <f t="shared" si="154"/>
        <v/>
      </c>
      <c r="AK824" s="54">
        <f t="shared" si="155"/>
        <v>0.46121723875731679</v>
      </c>
    </row>
    <row r="825" spans="9:37" x14ac:dyDescent="0.45">
      <c r="I825" s="2">
        <v>97.1</v>
      </c>
      <c r="J825" s="2">
        <v>0.33204119999999998</v>
      </c>
      <c r="K825" s="2">
        <v>0.21299119999999999</v>
      </c>
      <c r="R825" s="2">
        <v>25.01</v>
      </c>
      <c r="S825" s="2">
        <v>5.6599999999999999E-4</v>
      </c>
      <c r="T825" s="2">
        <v>2.4114000000000001E-4</v>
      </c>
      <c r="V825" s="11"/>
      <c r="W825" s="6"/>
      <c r="X825" s="6">
        <v>8.06</v>
      </c>
      <c r="Y825" s="11" t="str">
        <f t="shared" si="156"/>
        <v/>
      </c>
      <c r="Z825" s="6" t="str">
        <f t="shared" si="157"/>
        <v/>
      </c>
      <c r="AA825" s="23">
        <f t="shared" si="158"/>
        <v>38.06</v>
      </c>
      <c r="AB825" t="str">
        <f t="shared" si="147"/>
        <v/>
      </c>
      <c r="AC825" t="str">
        <f t="shared" si="148"/>
        <v/>
      </c>
      <c r="AD825">
        <f t="shared" si="149"/>
        <v>7.9111999999999997E-4</v>
      </c>
      <c r="AE825" s="18" t="str">
        <f t="shared" si="150"/>
        <v/>
      </c>
      <c r="AF825" s="7" t="str">
        <f t="shared" si="151"/>
        <v/>
      </c>
      <c r="AG825" s="12">
        <f t="shared" si="152"/>
        <v>0.9946793494733146</v>
      </c>
      <c r="AI825" s="54" t="str">
        <f t="shared" si="153"/>
        <v/>
      </c>
      <c r="AJ825" s="54" t="str">
        <f t="shared" si="154"/>
        <v/>
      </c>
      <c r="AK825" s="54">
        <f t="shared" si="155"/>
        <v>0.46188835787073784</v>
      </c>
    </row>
    <row r="826" spans="9:37" x14ac:dyDescent="0.45">
      <c r="I826" s="2">
        <v>97.2</v>
      </c>
      <c r="J826" s="2">
        <v>0.3349124</v>
      </c>
      <c r="K826" s="2">
        <v>0.2152694</v>
      </c>
      <c r="R826" s="2">
        <v>25.02</v>
      </c>
      <c r="S826" s="2">
        <v>5.6599999999999999E-4</v>
      </c>
      <c r="T826" s="2">
        <v>2.4127999999999999E-4</v>
      </c>
      <c r="V826" s="11"/>
      <c r="W826" s="6"/>
      <c r="X826" s="6">
        <v>8.07</v>
      </c>
      <c r="Y826" s="11" t="str">
        <f t="shared" si="156"/>
        <v/>
      </c>
      <c r="Z826" s="6" t="str">
        <f t="shared" si="157"/>
        <v/>
      </c>
      <c r="AA826" s="23">
        <f t="shared" si="158"/>
        <v>38.07</v>
      </c>
      <c r="AB826" t="str">
        <f t="shared" si="147"/>
        <v/>
      </c>
      <c r="AC826" t="str">
        <f t="shared" si="148"/>
        <v/>
      </c>
      <c r="AD826">
        <f t="shared" si="149"/>
        <v>7.9164000000000003E-4</v>
      </c>
      <c r="AE826" s="18" t="str">
        <f t="shared" si="150"/>
        <v/>
      </c>
      <c r="AF826" s="7" t="str">
        <f t="shared" si="151"/>
        <v/>
      </c>
      <c r="AG826" s="12">
        <f t="shared" si="152"/>
        <v>0.99467148036604502</v>
      </c>
      <c r="AI826" s="54" t="str">
        <f t="shared" si="153"/>
        <v/>
      </c>
      <c r="AJ826" s="54" t="str">
        <f t="shared" si="154"/>
        <v/>
      </c>
      <c r="AK826" s="54">
        <f t="shared" si="155"/>
        <v>0.46255974793949139</v>
      </c>
    </row>
    <row r="827" spans="9:37" x14ac:dyDescent="0.45">
      <c r="I827" s="2">
        <v>97.3</v>
      </c>
      <c r="J827" s="2">
        <v>0.33778360000000002</v>
      </c>
      <c r="K827" s="2">
        <v>0.21754760000000001</v>
      </c>
      <c r="R827" s="2">
        <v>25.03</v>
      </c>
      <c r="S827" s="2">
        <v>5.6599999999999999E-4</v>
      </c>
      <c r="T827" s="2">
        <v>2.4142E-4</v>
      </c>
      <c r="V827" s="11"/>
      <c r="W827" s="6"/>
      <c r="X827" s="6">
        <v>8.08</v>
      </c>
      <c r="Y827" s="11" t="str">
        <f t="shared" si="156"/>
        <v/>
      </c>
      <c r="Z827" s="6" t="str">
        <f t="shared" si="157"/>
        <v/>
      </c>
      <c r="AA827" s="23">
        <f t="shared" si="158"/>
        <v>38.08</v>
      </c>
      <c r="AB827" t="str">
        <f t="shared" si="147"/>
        <v/>
      </c>
      <c r="AC827" t="str">
        <f t="shared" si="148"/>
        <v/>
      </c>
      <c r="AD827">
        <f t="shared" si="149"/>
        <v>7.9215999999999998E-4</v>
      </c>
      <c r="AE827" s="18" t="str">
        <f t="shared" si="150"/>
        <v/>
      </c>
      <c r="AF827" s="7" t="str">
        <f t="shared" si="151"/>
        <v/>
      </c>
      <c r="AG827" s="12">
        <f t="shared" si="152"/>
        <v>0.99466360614873783</v>
      </c>
      <c r="AI827" s="54" t="str">
        <f t="shared" si="153"/>
        <v/>
      </c>
      <c r="AJ827" s="54" t="str">
        <f t="shared" si="154"/>
        <v/>
      </c>
      <c r="AK827" s="54">
        <f t="shared" si="155"/>
        <v>0.46323140908108429</v>
      </c>
    </row>
    <row r="828" spans="9:37" x14ac:dyDescent="0.45">
      <c r="I828" s="2">
        <v>97.4</v>
      </c>
      <c r="J828" s="2">
        <v>0.34065479999999998</v>
      </c>
      <c r="K828" s="2">
        <v>0.21982579999999999</v>
      </c>
      <c r="R828" s="2">
        <v>25.04</v>
      </c>
      <c r="S828" s="2">
        <v>5.6599999999999999E-4</v>
      </c>
      <c r="T828" s="2">
        <v>2.4156000000000001E-4</v>
      </c>
      <c r="V828" s="11"/>
      <c r="W828" s="6"/>
      <c r="X828" s="6">
        <v>8.09</v>
      </c>
      <c r="Y828" s="11" t="str">
        <f t="shared" si="156"/>
        <v/>
      </c>
      <c r="Z828" s="6" t="str">
        <f t="shared" si="157"/>
        <v/>
      </c>
      <c r="AA828" s="23">
        <f t="shared" si="158"/>
        <v>38.090000000000003</v>
      </c>
      <c r="AB828" t="str">
        <f t="shared" si="147"/>
        <v/>
      </c>
      <c r="AC828" t="str">
        <f t="shared" si="148"/>
        <v/>
      </c>
      <c r="AD828">
        <f t="shared" si="149"/>
        <v>7.9268000000000003E-4</v>
      </c>
      <c r="AE828" s="18" t="str">
        <f t="shared" si="150"/>
        <v/>
      </c>
      <c r="AF828" s="7" t="str">
        <f t="shared" si="151"/>
        <v/>
      </c>
      <c r="AG828" s="12">
        <f t="shared" si="152"/>
        <v>0.99465572682151537</v>
      </c>
      <c r="AI828" s="54" t="str">
        <f t="shared" si="153"/>
        <v/>
      </c>
      <c r="AJ828" s="54" t="str">
        <f t="shared" si="154"/>
        <v/>
      </c>
      <c r="AK828" s="54">
        <f t="shared" si="155"/>
        <v>0.46390334141307538</v>
      </c>
    </row>
    <row r="829" spans="9:37" x14ac:dyDescent="0.45">
      <c r="I829" s="2">
        <v>97.5</v>
      </c>
      <c r="J829" s="2">
        <v>0.343526</v>
      </c>
      <c r="K829" s="2">
        <v>0.222104</v>
      </c>
      <c r="R829" s="2">
        <v>25.05</v>
      </c>
      <c r="S829" s="2">
        <v>5.6599999999999999E-4</v>
      </c>
      <c r="T829" s="2">
        <v>2.4169999999999999E-4</v>
      </c>
      <c r="V829" s="11"/>
      <c r="W829" s="6"/>
      <c r="X829" s="6">
        <v>8.1</v>
      </c>
      <c r="Y829" s="11" t="str">
        <f t="shared" si="156"/>
        <v/>
      </c>
      <c r="Z829" s="6" t="str">
        <f t="shared" si="157"/>
        <v/>
      </c>
      <c r="AA829" s="23">
        <f t="shared" si="158"/>
        <v>38.1</v>
      </c>
      <c r="AB829" t="str">
        <f t="shared" si="147"/>
        <v/>
      </c>
      <c r="AC829" t="str">
        <f t="shared" si="148"/>
        <v/>
      </c>
      <c r="AD829">
        <f t="shared" si="149"/>
        <v>7.9319999999999998E-4</v>
      </c>
      <c r="AE829" s="18" t="str">
        <f t="shared" si="150"/>
        <v/>
      </c>
      <c r="AF829" s="7" t="str">
        <f t="shared" si="151"/>
        <v/>
      </c>
      <c r="AG829" s="12">
        <f t="shared" si="152"/>
        <v>0.99464784238449999</v>
      </c>
      <c r="AI829" s="54" t="str">
        <f t="shared" si="153"/>
        <v/>
      </c>
      <c r="AJ829" s="54" t="str">
        <f t="shared" si="154"/>
        <v/>
      </c>
      <c r="AK829" s="54">
        <f t="shared" si="155"/>
        <v>0.4645755450530758</v>
      </c>
    </row>
    <row r="830" spans="9:37" x14ac:dyDescent="0.45">
      <c r="I830" s="2">
        <v>97.6</v>
      </c>
      <c r="J830" s="2">
        <v>0.34639720000000002</v>
      </c>
      <c r="K830" s="2">
        <v>0.2243822</v>
      </c>
      <c r="R830" s="2">
        <v>25.06</v>
      </c>
      <c r="S830" s="2">
        <v>5.6599999999999999E-4</v>
      </c>
      <c r="T830" s="2">
        <v>2.4184E-4</v>
      </c>
      <c r="V830" s="11"/>
      <c r="W830" s="6"/>
      <c r="X830" s="6">
        <v>8.11</v>
      </c>
      <c r="Y830" s="11" t="str">
        <f t="shared" si="156"/>
        <v/>
      </c>
      <c r="Z830" s="6" t="str">
        <f t="shared" si="157"/>
        <v/>
      </c>
      <c r="AA830" s="23">
        <f t="shared" si="158"/>
        <v>38.11</v>
      </c>
      <c r="AB830" t="str">
        <f t="shared" si="147"/>
        <v/>
      </c>
      <c r="AC830" t="str">
        <f t="shared" si="148"/>
        <v/>
      </c>
      <c r="AD830">
        <f t="shared" si="149"/>
        <v>7.9372000000000004E-4</v>
      </c>
      <c r="AE830" s="18" t="str">
        <f t="shared" si="150"/>
        <v/>
      </c>
      <c r="AF830" s="7" t="str">
        <f t="shared" si="151"/>
        <v/>
      </c>
      <c r="AG830" s="12">
        <f t="shared" si="152"/>
        <v>0.99463995283781415</v>
      </c>
      <c r="AI830" s="54" t="str">
        <f t="shared" si="153"/>
        <v/>
      </c>
      <c r="AJ830" s="54" t="str">
        <f t="shared" si="154"/>
        <v/>
      </c>
      <c r="AK830" s="54">
        <f t="shared" si="155"/>
        <v>0.46524802011874888</v>
      </c>
    </row>
    <row r="831" spans="9:37" x14ac:dyDescent="0.45">
      <c r="I831" s="2">
        <v>97.7</v>
      </c>
      <c r="J831" s="2">
        <v>0.34926839999999998</v>
      </c>
      <c r="K831" s="2">
        <v>0.22666040000000001</v>
      </c>
      <c r="R831" s="2">
        <v>25.07</v>
      </c>
      <c r="S831" s="2">
        <v>5.6599999999999999E-4</v>
      </c>
      <c r="T831" s="2">
        <v>2.4198000000000001E-4</v>
      </c>
      <c r="V831" s="11"/>
      <c r="W831" s="6"/>
      <c r="X831" s="6">
        <v>8.120000000000001</v>
      </c>
      <c r="Y831" s="11" t="str">
        <f t="shared" si="156"/>
        <v/>
      </c>
      <c r="Z831" s="6" t="str">
        <f t="shared" si="157"/>
        <v/>
      </c>
      <c r="AA831" s="23">
        <f t="shared" si="158"/>
        <v>38.120000000000005</v>
      </c>
      <c r="AB831" t="str">
        <f t="shared" si="147"/>
        <v/>
      </c>
      <c r="AC831" t="str">
        <f t="shared" si="148"/>
        <v/>
      </c>
      <c r="AD831">
        <f t="shared" si="149"/>
        <v>7.9423999999999999E-4</v>
      </c>
      <c r="AE831" s="18" t="str">
        <f t="shared" si="150"/>
        <v/>
      </c>
      <c r="AF831" s="7" t="str">
        <f t="shared" si="151"/>
        <v/>
      </c>
      <c r="AG831" s="12">
        <f t="shared" si="152"/>
        <v>0.99463205818158051</v>
      </c>
      <c r="AI831" s="54" t="str">
        <f t="shared" si="153"/>
        <v/>
      </c>
      <c r="AJ831" s="54" t="str">
        <f t="shared" si="154"/>
        <v/>
      </c>
      <c r="AK831" s="54">
        <f t="shared" si="155"/>
        <v>0.46592076672781019</v>
      </c>
    </row>
    <row r="832" spans="9:37" x14ac:dyDescent="0.45">
      <c r="I832" s="2">
        <v>97.8</v>
      </c>
      <c r="J832" s="2">
        <v>0.3521396</v>
      </c>
      <c r="K832" s="2">
        <v>0.22893859999999999</v>
      </c>
      <c r="R832" s="2">
        <v>25.08</v>
      </c>
      <c r="S832" s="2">
        <v>5.6599999999999999E-4</v>
      </c>
      <c r="T832" s="2">
        <v>2.4211999999999999E-4</v>
      </c>
      <c r="V832" s="11"/>
      <c r="W832" s="6"/>
      <c r="X832" s="6">
        <v>8.1300000000000008</v>
      </c>
      <c r="Y832" s="11" t="str">
        <f t="shared" si="156"/>
        <v/>
      </c>
      <c r="Z832" s="6" t="str">
        <f t="shared" si="157"/>
        <v/>
      </c>
      <c r="AA832" s="23">
        <f t="shared" si="158"/>
        <v>38.130000000000003</v>
      </c>
      <c r="AB832" t="str">
        <f t="shared" si="147"/>
        <v/>
      </c>
      <c r="AC832" t="str">
        <f t="shared" si="148"/>
        <v/>
      </c>
      <c r="AD832">
        <f t="shared" si="149"/>
        <v>7.9476000000000004E-4</v>
      </c>
      <c r="AE832" s="18" t="str">
        <f t="shared" si="150"/>
        <v/>
      </c>
      <c r="AF832" s="7" t="str">
        <f t="shared" si="151"/>
        <v/>
      </c>
      <c r="AG832" s="12">
        <f t="shared" si="152"/>
        <v>0.99462415841592167</v>
      </c>
      <c r="AI832" s="54" t="str">
        <f t="shared" si="153"/>
        <v/>
      </c>
      <c r="AJ832" s="54" t="str">
        <f t="shared" si="154"/>
        <v/>
      </c>
      <c r="AK832" s="54">
        <f t="shared" si="155"/>
        <v>0.46659378499802745</v>
      </c>
    </row>
    <row r="833" spans="9:37" x14ac:dyDescent="0.45">
      <c r="I833" s="2">
        <v>97.9</v>
      </c>
      <c r="J833" s="2">
        <v>0.35501080000000002</v>
      </c>
      <c r="K833" s="2">
        <v>0.2312168</v>
      </c>
      <c r="R833" s="2">
        <v>25.09</v>
      </c>
      <c r="S833" s="2">
        <v>5.6599999999999999E-4</v>
      </c>
      <c r="T833" s="2">
        <v>2.4226E-4</v>
      </c>
      <c r="V833" s="11"/>
      <c r="W833" s="6"/>
      <c r="X833" s="6">
        <v>8.14</v>
      </c>
      <c r="Y833" s="11" t="str">
        <f t="shared" si="156"/>
        <v/>
      </c>
      <c r="Z833" s="6" t="str">
        <f t="shared" si="157"/>
        <v/>
      </c>
      <c r="AA833" s="23">
        <f t="shared" si="158"/>
        <v>38.14</v>
      </c>
      <c r="AB833" t="str">
        <f t="shared" si="147"/>
        <v/>
      </c>
      <c r="AC833" t="str">
        <f t="shared" si="148"/>
        <v/>
      </c>
      <c r="AD833">
        <f t="shared" si="149"/>
        <v>7.9527999999999999E-4</v>
      </c>
      <c r="AE833" s="18" t="str">
        <f t="shared" si="150"/>
        <v/>
      </c>
      <c r="AF833" s="7" t="str">
        <f t="shared" si="151"/>
        <v/>
      </c>
      <c r="AG833" s="12">
        <f t="shared" si="152"/>
        <v>0.99461625354096028</v>
      </c>
      <c r="AI833" s="54" t="str">
        <f t="shared" si="153"/>
        <v/>
      </c>
      <c r="AJ833" s="54" t="str">
        <f t="shared" si="154"/>
        <v/>
      </c>
      <c r="AK833" s="54">
        <f t="shared" si="155"/>
        <v>0.46726707504722081</v>
      </c>
    </row>
    <row r="834" spans="9:37" x14ac:dyDescent="0.45">
      <c r="I834" s="2">
        <v>98</v>
      </c>
      <c r="J834" s="2">
        <v>0.35788199999999998</v>
      </c>
      <c r="K834" s="2">
        <v>0.23349500000000001</v>
      </c>
      <c r="R834" s="2">
        <v>25.1</v>
      </c>
      <c r="S834" s="2">
        <v>5.6599999999999999E-4</v>
      </c>
      <c r="T834" s="2">
        <v>2.4240000000000001E-4</v>
      </c>
      <c r="V834" s="11"/>
      <c r="W834" s="6"/>
      <c r="X834" s="6">
        <v>8.15</v>
      </c>
      <c r="Y834" s="11" t="str">
        <f t="shared" si="156"/>
        <v/>
      </c>
      <c r="Z834" s="6" t="str">
        <f t="shared" si="157"/>
        <v/>
      </c>
      <c r="AA834" s="23">
        <f t="shared" si="158"/>
        <v>38.15</v>
      </c>
      <c r="AB834" t="str">
        <f t="shared" si="147"/>
        <v/>
      </c>
      <c r="AC834" t="str">
        <f t="shared" si="148"/>
        <v/>
      </c>
      <c r="AD834">
        <f t="shared" si="149"/>
        <v>7.9580000000000004E-4</v>
      </c>
      <c r="AE834" s="18" t="str">
        <f t="shared" si="150"/>
        <v/>
      </c>
      <c r="AF834" s="7" t="str">
        <f t="shared" si="151"/>
        <v/>
      </c>
      <c r="AG834" s="12">
        <f t="shared" si="152"/>
        <v>0.99460834355681915</v>
      </c>
      <c r="AI834" s="54" t="str">
        <f t="shared" si="153"/>
        <v/>
      </c>
      <c r="AJ834" s="54" t="str">
        <f t="shared" si="154"/>
        <v/>
      </c>
      <c r="AK834" s="54">
        <f t="shared" si="155"/>
        <v>0.46794063699326266</v>
      </c>
    </row>
    <row r="835" spans="9:37" x14ac:dyDescent="0.45">
      <c r="I835" s="2">
        <v>98.1</v>
      </c>
      <c r="J835" s="2">
        <v>0.36096489999999998</v>
      </c>
      <c r="K835" s="2">
        <v>0.2360196</v>
      </c>
      <c r="R835" s="2">
        <v>25.11</v>
      </c>
      <c r="S835" s="2">
        <v>5.6599999999999999E-4</v>
      </c>
      <c r="T835" s="2">
        <v>2.4253999999999999E-4</v>
      </c>
      <c r="V835" s="11"/>
      <c r="W835" s="6"/>
      <c r="X835" s="6">
        <v>8.16</v>
      </c>
      <c r="Y835" s="11" t="str">
        <f t="shared" si="156"/>
        <v/>
      </c>
      <c r="Z835" s="6" t="str">
        <f t="shared" si="157"/>
        <v/>
      </c>
      <c r="AA835" s="23">
        <f t="shared" si="158"/>
        <v>38.159999999999997</v>
      </c>
      <c r="AB835" t="str">
        <f t="shared" si="147"/>
        <v/>
      </c>
      <c r="AC835" t="str">
        <f t="shared" si="148"/>
        <v/>
      </c>
      <c r="AD835">
        <f t="shared" si="149"/>
        <v>7.9631999999999999E-4</v>
      </c>
      <c r="AE835" s="18" t="str">
        <f t="shared" si="150"/>
        <v/>
      </c>
      <c r="AF835" s="7" t="str">
        <f t="shared" si="151"/>
        <v/>
      </c>
      <c r="AG835" s="12">
        <f t="shared" si="152"/>
        <v>0.99460042846362118</v>
      </c>
      <c r="AI835" s="54" t="str">
        <f t="shared" si="153"/>
        <v/>
      </c>
      <c r="AJ835" s="54" t="str">
        <f t="shared" si="154"/>
        <v/>
      </c>
      <c r="AK835" s="54">
        <f t="shared" si="155"/>
        <v>0.46861447095407766</v>
      </c>
    </row>
    <row r="836" spans="9:37" x14ac:dyDescent="0.45">
      <c r="I836" s="2">
        <v>98.2</v>
      </c>
      <c r="J836" s="2">
        <v>0.36404779999999998</v>
      </c>
      <c r="K836" s="2">
        <v>0.23854420000000001</v>
      </c>
      <c r="R836" s="2">
        <v>25.12</v>
      </c>
      <c r="S836" s="2">
        <v>5.6599999999999999E-4</v>
      </c>
      <c r="T836" s="2">
        <v>2.4268E-4</v>
      </c>
      <c r="V836" s="11"/>
      <c r="W836" s="6"/>
      <c r="X836" s="6">
        <v>8.17</v>
      </c>
      <c r="Y836" s="11" t="str">
        <f t="shared" si="156"/>
        <v/>
      </c>
      <c r="Z836" s="6" t="str">
        <f t="shared" si="157"/>
        <v/>
      </c>
      <c r="AA836" s="23">
        <f t="shared" si="158"/>
        <v>38.17</v>
      </c>
      <c r="AB836" t="str">
        <f t="shared" si="147"/>
        <v/>
      </c>
      <c r="AC836" t="str">
        <f t="shared" si="148"/>
        <v/>
      </c>
      <c r="AD836">
        <f t="shared" si="149"/>
        <v>7.9684000000000005E-4</v>
      </c>
      <c r="AE836" s="18" t="str">
        <f t="shared" si="150"/>
        <v/>
      </c>
      <c r="AF836" s="7" t="str">
        <f t="shared" si="151"/>
        <v/>
      </c>
      <c r="AG836" s="12">
        <f t="shared" si="152"/>
        <v>0.99459250826148926</v>
      </c>
      <c r="AI836" s="54" t="str">
        <f t="shared" si="153"/>
        <v/>
      </c>
      <c r="AJ836" s="54" t="str">
        <f t="shared" si="154"/>
        <v/>
      </c>
      <c r="AK836" s="54">
        <f t="shared" si="155"/>
        <v>0.46928857704764287</v>
      </c>
    </row>
    <row r="837" spans="9:37" x14ac:dyDescent="0.45">
      <c r="I837" s="2">
        <v>98.3</v>
      </c>
      <c r="J837" s="2">
        <v>0.36713069999999998</v>
      </c>
      <c r="K837" s="2">
        <v>0.2410688</v>
      </c>
      <c r="R837" s="2">
        <v>25.13</v>
      </c>
      <c r="S837" s="2">
        <v>5.6599999999999999E-4</v>
      </c>
      <c r="T837" s="2">
        <v>2.4282000000000001E-4</v>
      </c>
      <c r="V837" s="11"/>
      <c r="W837" s="6"/>
      <c r="X837" s="6">
        <v>8.18</v>
      </c>
      <c r="Y837" s="11" t="str">
        <f t="shared" si="156"/>
        <v/>
      </c>
      <c r="Z837" s="6" t="str">
        <f t="shared" si="157"/>
        <v/>
      </c>
      <c r="AA837" s="23">
        <f t="shared" si="158"/>
        <v>38.18</v>
      </c>
      <c r="AB837" t="str">
        <f t="shared" si="147"/>
        <v/>
      </c>
      <c r="AC837" t="str">
        <f t="shared" si="148"/>
        <v/>
      </c>
      <c r="AD837">
        <f t="shared" si="149"/>
        <v>7.9736E-4</v>
      </c>
      <c r="AE837" s="18" t="str">
        <f t="shared" si="150"/>
        <v/>
      </c>
      <c r="AF837" s="7" t="str">
        <f t="shared" si="151"/>
        <v/>
      </c>
      <c r="AG837" s="12">
        <f t="shared" si="152"/>
        <v>0.99458458295054641</v>
      </c>
      <c r="AI837" s="54" t="str">
        <f t="shared" si="153"/>
        <v/>
      </c>
      <c r="AJ837" s="54" t="str">
        <f t="shared" si="154"/>
        <v/>
      </c>
      <c r="AK837" s="54">
        <f t="shared" si="155"/>
        <v>0.46996295539198779</v>
      </c>
    </row>
    <row r="838" spans="9:37" x14ac:dyDescent="0.45">
      <c r="I838" s="2">
        <v>98.4</v>
      </c>
      <c r="J838" s="2">
        <v>0.37021359999999998</v>
      </c>
      <c r="K838" s="2">
        <v>0.24359339999999999</v>
      </c>
      <c r="R838" s="2">
        <v>25.14</v>
      </c>
      <c r="S838" s="2">
        <v>5.6599999999999999E-4</v>
      </c>
      <c r="T838" s="2">
        <v>2.4295999999999999E-4</v>
      </c>
      <c r="V838" s="11"/>
      <c r="W838" s="6"/>
      <c r="X838" s="6">
        <v>8.19</v>
      </c>
      <c r="Y838" s="11" t="str">
        <f t="shared" si="156"/>
        <v/>
      </c>
      <c r="Z838" s="6" t="str">
        <f t="shared" si="157"/>
        <v/>
      </c>
      <c r="AA838" s="23">
        <f t="shared" si="158"/>
        <v>38.19</v>
      </c>
      <c r="AB838" t="str">
        <f t="shared" si="147"/>
        <v/>
      </c>
      <c r="AC838" t="str">
        <f t="shared" si="148"/>
        <v/>
      </c>
      <c r="AD838">
        <f t="shared" si="149"/>
        <v>7.9788000000000005E-4</v>
      </c>
      <c r="AE838" s="18" t="str">
        <f t="shared" si="150"/>
        <v/>
      </c>
      <c r="AF838" s="7" t="str">
        <f t="shared" si="151"/>
        <v/>
      </c>
      <c r="AG838" s="12">
        <f t="shared" si="152"/>
        <v>0.99457665253091576</v>
      </c>
      <c r="AI838" s="54" t="str">
        <f t="shared" si="153"/>
        <v/>
      </c>
      <c r="AJ838" s="54" t="str">
        <f t="shared" si="154"/>
        <v/>
      </c>
      <c r="AK838" s="54">
        <f t="shared" si="155"/>
        <v>0.47063760610519417</v>
      </c>
    </row>
    <row r="839" spans="9:37" x14ac:dyDescent="0.45">
      <c r="I839" s="2">
        <v>98.5</v>
      </c>
      <c r="J839" s="2">
        <v>0.37329649999999998</v>
      </c>
      <c r="K839" s="2">
        <v>0.246118</v>
      </c>
      <c r="R839" s="2">
        <v>25.15</v>
      </c>
      <c r="S839" s="2">
        <v>5.6599999999999999E-4</v>
      </c>
      <c r="T839" s="2">
        <v>2.431E-4</v>
      </c>
      <c r="V839" s="11"/>
      <c r="W839" s="6"/>
      <c r="X839" s="6">
        <v>8.1999999999999993</v>
      </c>
      <c r="Y839" s="11" t="str">
        <f t="shared" si="156"/>
        <v/>
      </c>
      <c r="Z839" s="6" t="str">
        <f t="shared" si="157"/>
        <v/>
      </c>
      <c r="AA839" s="23">
        <f t="shared" si="158"/>
        <v>38.200000000000003</v>
      </c>
      <c r="AB839" t="str">
        <f t="shared" si="147"/>
        <v/>
      </c>
      <c r="AC839" t="str">
        <f t="shared" si="148"/>
        <v/>
      </c>
      <c r="AD839">
        <f t="shared" si="149"/>
        <v>7.984E-4</v>
      </c>
      <c r="AE839" s="18" t="str">
        <f t="shared" si="150"/>
        <v/>
      </c>
      <c r="AF839" s="7" t="str">
        <f t="shared" si="151"/>
        <v/>
      </c>
      <c r="AG839" s="12">
        <f t="shared" si="152"/>
        <v>0.99456871700272054</v>
      </c>
      <c r="AI839" s="54" t="str">
        <f t="shared" si="153"/>
        <v/>
      </c>
      <c r="AJ839" s="54" t="str">
        <f t="shared" si="154"/>
        <v/>
      </c>
      <c r="AK839" s="54">
        <f t="shared" si="155"/>
        <v>0.47131252930539635</v>
      </c>
    </row>
    <row r="840" spans="9:37" x14ac:dyDescent="0.45">
      <c r="I840" s="2">
        <v>98.6</v>
      </c>
      <c r="J840" s="2">
        <v>0.37637939999999998</v>
      </c>
      <c r="K840" s="2">
        <v>0.24864259999999999</v>
      </c>
      <c r="R840" s="2">
        <v>25.16</v>
      </c>
      <c r="S840" s="2">
        <v>5.6599999999999999E-4</v>
      </c>
      <c r="T840" s="2">
        <v>2.4324000000000001E-4</v>
      </c>
      <c r="V840" s="11"/>
      <c r="W840" s="6"/>
      <c r="X840" s="6">
        <v>8.2100000000000009</v>
      </c>
      <c r="Y840" s="11" t="str">
        <f t="shared" si="156"/>
        <v/>
      </c>
      <c r="Z840" s="6" t="str">
        <f t="shared" si="157"/>
        <v/>
      </c>
      <c r="AA840" s="23">
        <f t="shared" si="158"/>
        <v>38.21</v>
      </c>
      <c r="AB840" t="str">
        <f t="shared" si="147"/>
        <v/>
      </c>
      <c r="AC840" t="str">
        <f t="shared" si="148"/>
        <v/>
      </c>
      <c r="AD840">
        <f t="shared" si="149"/>
        <v>7.9891999999999995E-4</v>
      </c>
      <c r="AE840" s="18" t="str">
        <f t="shared" si="150"/>
        <v/>
      </c>
      <c r="AF840" s="7" t="str">
        <f t="shared" si="151"/>
        <v/>
      </c>
      <c r="AG840" s="12">
        <f t="shared" si="152"/>
        <v>0.99456077636608398</v>
      </c>
      <c r="AI840" s="54" t="str">
        <f t="shared" si="153"/>
        <v/>
      </c>
      <c r="AJ840" s="54" t="str">
        <f t="shared" si="154"/>
        <v/>
      </c>
      <c r="AK840" s="54">
        <f t="shared" si="155"/>
        <v>0.47198772511078096</v>
      </c>
    </row>
    <row r="841" spans="9:37" x14ac:dyDescent="0.45">
      <c r="I841" s="2">
        <v>98.7</v>
      </c>
      <c r="J841" s="2">
        <v>0.37946229999999997</v>
      </c>
      <c r="K841" s="2">
        <v>0.25116719999999998</v>
      </c>
      <c r="R841" s="2">
        <v>25.17</v>
      </c>
      <c r="S841" s="2">
        <v>5.6599999999999999E-4</v>
      </c>
      <c r="T841" s="2">
        <v>2.4337999999999999E-4</v>
      </c>
      <c r="V841" s="11"/>
      <c r="W841" s="6"/>
      <c r="X841" s="6">
        <v>8.2200000000000006</v>
      </c>
      <c r="Y841" s="11" t="str">
        <f t="shared" si="156"/>
        <v/>
      </c>
      <c r="Z841" s="6" t="str">
        <f t="shared" si="157"/>
        <v/>
      </c>
      <c r="AA841" s="23">
        <f t="shared" si="158"/>
        <v>38.22</v>
      </c>
      <c r="AB841" t="str">
        <f t="shared" si="147"/>
        <v/>
      </c>
      <c r="AC841" t="str">
        <f t="shared" si="148"/>
        <v/>
      </c>
      <c r="AD841">
        <f t="shared" si="149"/>
        <v>7.9944E-4</v>
      </c>
      <c r="AE841" s="18" t="str">
        <f t="shared" si="150"/>
        <v/>
      </c>
      <c r="AF841" s="7" t="str">
        <f t="shared" si="151"/>
        <v/>
      </c>
      <c r="AG841" s="12">
        <f t="shared" si="152"/>
        <v>0.99455283062112942</v>
      </c>
      <c r="AI841" s="54" t="str">
        <f t="shared" si="153"/>
        <v/>
      </c>
      <c r="AJ841" s="54" t="str">
        <f t="shared" si="154"/>
        <v/>
      </c>
      <c r="AK841" s="54">
        <f t="shared" si="155"/>
        <v>0.47266319363958725</v>
      </c>
    </row>
    <row r="842" spans="9:37" x14ac:dyDescent="0.45">
      <c r="I842" s="2">
        <v>98.8</v>
      </c>
      <c r="J842" s="2">
        <v>0.38254519999999997</v>
      </c>
      <c r="K842" s="2">
        <v>0.25369180000000002</v>
      </c>
      <c r="R842" s="2">
        <v>25.18</v>
      </c>
      <c r="S842" s="2">
        <v>5.6599999999999999E-4</v>
      </c>
      <c r="T842" s="2">
        <v>2.4352E-4</v>
      </c>
      <c r="V842" s="11"/>
      <c r="W842" s="6"/>
      <c r="X842" s="6">
        <v>8.23</v>
      </c>
      <c r="Y842" s="11" t="str">
        <f t="shared" si="156"/>
        <v/>
      </c>
      <c r="Z842" s="6" t="str">
        <f t="shared" si="157"/>
        <v/>
      </c>
      <c r="AA842" s="23">
        <f t="shared" si="158"/>
        <v>38.230000000000004</v>
      </c>
      <c r="AB842" t="str">
        <f t="shared" si="147"/>
        <v/>
      </c>
      <c r="AC842" t="str">
        <f t="shared" si="148"/>
        <v/>
      </c>
      <c r="AD842">
        <f t="shared" si="149"/>
        <v>7.9995999999999995E-4</v>
      </c>
      <c r="AE842" s="18" t="str">
        <f t="shared" si="150"/>
        <v/>
      </c>
      <c r="AF842" s="7" t="str">
        <f t="shared" si="151"/>
        <v/>
      </c>
      <c r="AG842" s="12">
        <f t="shared" si="152"/>
        <v>0.99454487976798034</v>
      </c>
      <c r="AI842" s="54" t="str">
        <f t="shared" si="153"/>
        <v/>
      </c>
      <c r="AJ842" s="54" t="str">
        <f t="shared" si="154"/>
        <v/>
      </c>
      <c r="AK842" s="54">
        <f t="shared" si="155"/>
        <v>0.47333893501010682</v>
      </c>
    </row>
    <row r="843" spans="9:37" x14ac:dyDescent="0.45">
      <c r="I843" s="2">
        <v>98.9</v>
      </c>
      <c r="J843" s="2">
        <v>0.38562809999999997</v>
      </c>
      <c r="K843" s="2">
        <v>0.25621640000000001</v>
      </c>
      <c r="R843" s="2">
        <v>25.19</v>
      </c>
      <c r="S843" s="2">
        <v>5.6599999999999999E-4</v>
      </c>
      <c r="T843" s="2">
        <v>2.4366000000000001E-4</v>
      </c>
      <c r="V843" s="11"/>
      <c r="W843" s="6"/>
      <c r="X843" s="6">
        <v>8.24</v>
      </c>
      <c r="Y843" s="11" t="str">
        <f t="shared" si="156"/>
        <v/>
      </c>
      <c r="Z843" s="6" t="str">
        <f t="shared" si="157"/>
        <v/>
      </c>
      <c r="AA843" s="23">
        <f t="shared" si="158"/>
        <v>38.24</v>
      </c>
      <c r="AB843" t="str">
        <f t="shared" si="147"/>
        <v/>
      </c>
      <c r="AC843" t="str">
        <f t="shared" si="148"/>
        <v/>
      </c>
      <c r="AD843">
        <f t="shared" si="149"/>
        <v>8.0048000000000001E-4</v>
      </c>
      <c r="AE843" s="18" t="str">
        <f t="shared" si="150"/>
        <v/>
      </c>
      <c r="AF843" s="7" t="str">
        <f t="shared" si="151"/>
        <v/>
      </c>
      <c r="AG843" s="12">
        <f t="shared" si="152"/>
        <v>0.99453692380676018</v>
      </c>
      <c r="AI843" s="54" t="str">
        <f t="shared" si="153"/>
        <v/>
      </c>
      <c r="AJ843" s="54" t="str">
        <f t="shared" si="154"/>
        <v/>
      </c>
      <c r="AK843" s="54">
        <f t="shared" si="155"/>
        <v>0.47401494934068389</v>
      </c>
    </row>
    <row r="844" spans="9:37" x14ac:dyDescent="0.45">
      <c r="I844" s="2">
        <v>99</v>
      </c>
      <c r="J844" s="2">
        <v>0.38871099999999997</v>
      </c>
      <c r="K844" s="2">
        <v>0.258741</v>
      </c>
      <c r="R844" s="2">
        <v>25.2</v>
      </c>
      <c r="S844" s="2">
        <v>5.6599999999999999E-4</v>
      </c>
      <c r="T844" s="2">
        <v>2.4379999999999999E-4</v>
      </c>
      <c r="V844" s="11"/>
      <c r="W844" s="6"/>
      <c r="X844" s="6">
        <v>8.25</v>
      </c>
      <c r="Y844" s="11" t="str">
        <f t="shared" si="156"/>
        <v/>
      </c>
      <c r="Z844" s="6" t="str">
        <f t="shared" si="157"/>
        <v/>
      </c>
      <c r="AA844" s="23">
        <f t="shared" si="158"/>
        <v>38.25</v>
      </c>
      <c r="AB844" t="str">
        <f t="shared" si="147"/>
        <v/>
      </c>
      <c r="AC844" t="str">
        <f t="shared" si="148"/>
        <v/>
      </c>
      <c r="AD844">
        <f t="shared" si="149"/>
        <v>8.0099999999999995E-4</v>
      </c>
      <c r="AE844" s="18" t="str">
        <f t="shared" si="150"/>
        <v/>
      </c>
      <c r="AF844" s="7" t="str">
        <f t="shared" si="151"/>
        <v/>
      </c>
      <c r="AG844" s="12">
        <f t="shared" si="152"/>
        <v>0.9945289627375925</v>
      </c>
      <c r="AI844" s="54" t="str">
        <f t="shared" si="153"/>
        <v/>
      </c>
      <c r="AJ844" s="54" t="str">
        <f t="shared" si="154"/>
        <v/>
      </c>
      <c r="AK844" s="54">
        <f t="shared" si="155"/>
        <v>0.47469123674971514</v>
      </c>
    </row>
    <row r="845" spans="9:37" x14ac:dyDescent="0.45">
      <c r="I845" s="2">
        <v>99.1</v>
      </c>
      <c r="J845" s="2">
        <v>0.39201760000000002</v>
      </c>
      <c r="K845" s="2">
        <v>0.26153880000000002</v>
      </c>
      <c r="R845" s="2">
        <v>25.21</v>
      </c>
      <c r="S845" s="2">
        <v>5.6599999999999999E-4</v>
      </c>
      <c r="T845" s="2">
        <v>2.4394E-4</v>
      </c>
      <c r="V845" s="11"/>
      <c r="W845" s="6"/>
      <c r="X845" s="6">
        <v>8.26</v>
      </c>
      <c r="Y845" s="11" t="str">
        <f t="shared" si="156"/>
        <v/>
      </c>
      <c r="Z845" s="6" t="str">
        <f t="shared" si="157"/>
        <v/>
      </c>
      <c r="AA845" s="23">
        <f t="shared" si="158"/>
        <v>38.26</v>
      </c>
      <c r="AB845" t="str">
        <f t="shared" si="147"/>
        <v/>
      </c>
      <c r="AC845" t="str">
        <f t="shared" si="148"/>
        <v/>
      </c>
      <c r="AD845">
        <f t="shared" si="149"/>
        <v>8.0152000000000001E-4</v>
      </c>
      <c r="AE845" s="18" t="str">
        <f t="shared" si="150"/>
        <v/>
      </c>
      <c r="AF845" s="7" t="str">
        <f t="shared" si="151"/>
        <v/>
      </c>
      <c r="AG845" s="12">
        <f t="shared" si="152"/>
        <v>0.994520996560601</v>
      </c>
      <c r="AI845" s="54" t="str">
        <f t="shared" si="153"/>
        <v/>
      </c>
      <c r="AJ845" s="54" t="str">
        <f t="shared" si="154"/>
        <v/>
      </c>
      <c r="AK845" s="54">
        <f t="shared" si="155"/>
        <v>0.47536779735564988</v>
      </c>
    </row>
    <row r="846" spans="9:37" x14ac:dyDescent="0.45">
      <c r="I846" s="2">
        <v>99.2</v>
      </c>
      <c r="J846" s="2">
        <v>0.39532420000000001</v>
      </c>
      <c r="K846" s="2">
        <v>0.26433659999999998</v>
      </c>
      <c r="R846" s="2">
        <v>25.22</v>
      </c>
      <c r="S846" s="2">
        <v>5.6599999999999999E-4</v>
      </c>
      <c r="T846" s="2">
        <v>2.4408000000000001E-4</v>
      </c>
      <c r="V846" s="11"/>
      <c r="W846" s="6"/>
      <c r="X846" s="6">
        <v>8.27</v>
      </c>
      <c r="Y846" s="11" t="str">
        <f t="shared" si="156"/>
        <v/>
      </c>
      <c r="Z846" s="6" t="str">
        <f t="shared" si="157"/>
        <v/>
      </c>
      <c r="AA846" s="23">
        <f t="shared" si="158"/>
        <v>38.269999999999996</v>
      </c>
      <c r="AB846" t="str">
        <f t="shared" si="147"/>
        <v/>
      </c>
      <c r="AC846" t="str">
        <f t="shared" si="148"/>
        <v/>
      </c>
      <c r="AD846">
        <f t="shared" si="149"/>
        <v>8.0152000000000001E-4</v>
      </c>
      <c r="AE846" s="18" t="str">
        <f t="shared" si="150"/>
        <v/>
      </c>
      <c r="AF846" s="7" t="str">
        <f t="shared" si="151"/>
        <v/>
      </c>
      <c r="AG846" s="12">
        <f t="shared" si="152"/>
        <v>0.99451302527590935</v>
      </c>
      <c r="AI846" s="54" t="str">
        <f t="shared" si="153"/>
        <v/>
      </c>
      <c r="AJ846" s="54" t="str">
        <f t="shared" si="154"/>
        <v/>
      </c>
      <c r="AK846" s="54">
        <f t="shared" si="155"/>
        <v>0.47604463127698998</v>
      </c>
    </row>
    <row r="847" spans="9:37" x14ac:dyDescent="0.45">
      <c r="I847" s="2">
        <v>99.3</v>
      </c>
      <c r="J847" s="2">
        <v>0.39863080000000001</v>
      </c>
      <c r="K847" s="2">
        <v>0.26713439999999999</v>
      </c>
      <c r="R847" s="2">
        <v>25.23</v>
      </c>
      <c r="S847" s="2">
        <v>5.6599999999999999E-4</v>
      </c>
      <c r="T847" s="2">
        <v>2.4422000000000002E-4</v>
      </c>
      <c r="V847" s="11"/>
      <c r="W847" s="6"/>
      <c r="X847" s="6">
        <v>8.2799999999999994</v>
      </c>
      <c r="Y847" s="11" t="str">
        <f t="shared" si="156"/>
        <v/>
      </c>
      <c r="Z847" s="6" t="str">
        <f t="shared" si="157"/>
        <v/>
      </c>
      <c r="AA847" s="23">
        <f t="shared" si="158"/>
        <v>38.28</v>
      </c>
      <c r="AB847" t="str">
        <f t="shared" si="147"/>
        <v/>
      </c>
      <c r="AC847" t="str">
        <f t="shared" si="148"/>
        <v/>
      </c>
      <c r="AD847">
        <f t="shared" si="149"/>
        <v>8.0256000000000001E-4</v>
      </c>
      <c r="AE847" s="18" t="str">
        <f t="shared" si="150"/>
        <v/>
      </c>
      <c r="AF847" s="7" t="str">
        <f t="shared" si="151"/>
        <v/>
      </c>
      <c r="AG847" s="12">
        <f t="shared" si="152"/>
        <v>0.99450505405510914</v>
      </c>
      <c r="AI847" s="54" t="str">
        <f t="shared" si="153"/>
        <v/>
      </c>
      <c r="AJ847" s="54" t="str">
        <f t="shared" si="154"/>
        <v/>
      </c>
      <c r="AK847" s="54">
        <f t="shared" si="155"/>
        <v>0.47672174135685791</v>
      </c>
    </row>
    <row r="848" spans="9:37" x14ac:dyDescent="0.45">
      <c r="I848" s="2">
        <v>99.4</v>
      </c>
      <c r="J848" s="2">
        <v>0.4019374</v>
      </c>
      <c r="K848" s="2">
        <v>0.26993220000000001</v>
      </c>
      <c r="R848" s="2">
        <v>25.24</v>
      </c>
      <c r="S848" s="2">
        <v>5.6599999999999999E-4</v>
      </c>
      <c r="T848" s="2">
        <v>2.4436E-4</v>
      </c>
      <c r="V848" s="11"/>
      <c r="W848" s="6"/>
      <c r="X848" s="6">
        <v>8.2900000000000009</v>
      </c>
      <c r="Y848" s="11" t="str">
        <f t="shared" si="156"/>
        <v/>
      </c>
      <c r="Z848" s="6" t="str">
        <f t="shared" si="157"/>
        <v/>
      </c>
      <c r="AA848" s="23">
        <f t="shared" si="158"/>
        <v>38.29</v>
      </c>
      <c r="AB848" t="str">
        <f t="shared" si="147"/>
        <v/>
      </c>
      <c r="AC848" t="str">
        <f t="shared" si="148"/>
        <v/>
      </c>
      <c r="AD848">
        <f t="shared" si="149"/>
        <v>8.0307999999999996E-4</v>
      </c>
      <c r="AE848" s="18" t="str">
        <f t="shared" si="150"/>
        <v/>
      </c>
      <c r="AF848" s="7" t="str">
        <f t="shared" si="151"/>
        <v/>
      </c>
      <c r="AG848" s="12">
        <f t="shared" si="152"/>
        <v>0.99449707255534736</v>
      </c>
      <c r="AI848" s="54" t="str">
        <f t="shared" si="153"/>
        <v/>
      </c>
      <c r="AJ848" s="54" t="str">
        <f t="shared" si="154"/>
        <v/>
      </c>
      <c r="AK848" s="54">
        <f t="shared" si="155"/>
        <v>0.47739912226583658</v>
      </c>
    </row>
    <row r="849" spans="9:37" x14ac:dyDescent="0.45">
      <c r="I849" s="2">
        <v>99.5</v>
      </c>
      <c r="J849" s="2">
        <v>0.40524399999999999</v>
      </c>
      <c r="K849" s="2">
        <v>0.27272999999999997</v>
      </c>
      <c r="R849" s="2">
        <v>25.25</v>
      </c>
      <c r="S849" s="2">
        <v>5.6599999999999999E-4</v>
      </c>
      <c r="T849" s="2">
        <v>2.4449999999999998E-4</v>
      </c>
      <c r="V849" s="11"/>
      <c r="W849" s="6"/>
      <c r="X849" s="6">
        <v>8.3000000000000007</v>
      </c>
      <c r="Y849" s="11" t="str">
        <f t="shared" si="156"/>
        <v/>
      </c>
      <c r="Z849" s="6" t="str">
        <f t="shared" si="157"/>
        <v/>
      </c>
      <c r="AA849" s="23">
        <f t="shared" si="158"/>
        <v>38.299999999999997</v>
      </c>
      <c r="AB849" t="str">
        <f t="shared" si="147"/>
        <v/>
      </c>
      <c r="AC849" t="str">
        <f t="shared" si="148"/>
        <v/>
      </c>
      <c r="AD849">
        <f t="shared" si="149"/>
        <v>8.0360000000000002E-4</v>
      </c>
      <c r="AE849" s="18" t="str">
        <f t="shared" si="150"/>
        <v/>
      </c>
      <c r="AF849" s="7" t="str">
        <f t="shared" si="151"/>
        <v/>
      </c>
      <c r="AG849" s="12">
        <f t="shared" si="152"/>
        <v>0.99448908594825713</v>
      </c>
      <c r="AI849" s="54" t="str">
        <f t="shared" si="153"/>
        <v/>
      </c>
      <c r="AJ849" s="54" t="str">
        <f t="shared" si="154"/>
        <v/>
      </c>
      <c r="AK849" s="54">
        <f t="shared" si="155"/>
        <v>0.47807677684604249</v>
      </c>
    </row>
    <row r="850" spans="9:37" x14ac:dyDescent="0.45">
      <c r="I850" s="2">
        <v>99.6</v>
      </c>
      <c r="J850" s="2">
        <v>0.40855059999999999</v>
      </c>
      <c r="K850" s="2">
        <v>0.27552779999999999</v>
      </c>
      <c r="R850" s="2">
        <v>25.26</v>
      </c>
      <c r="S850" s="2">
        <v>5.6599999999999999E-4</v>
      </c>
      <c r="T850" s="2">
        <v>2.4464000000000002E-4</v>
      </c>
      <c r="V850" s="11"/>
      <c r="W850" s="6"/>
      <c r="X850" s="6">
        <v>8.31</v>
      </c>
      <c r="Y850" s="11" t="str">
        <f t="shared" si="156"/>
        <v/>
      </c>
      <c r="Z850" s="6" t="str">
        <f t="shared" si="157"/>
        <v/>
      </c>
      <c r="AA850" s="23">
        <f t="shared" si="158"/>
        <v>38.31</v>
      </c>
      <c r="AB850" t="str">
        <f t="shared" si="147"/>
        <v/>
      </c>
      <c r="AC850" t="str">
        <f t="shared" si="148"/>
        <v/>
      </c>
      <c r="AD850">
        <f t="shared" si="149"/>
        <v>8.0411999999999997E-4</v>
      </c>
      <c r="AE850" s="18" t="str">
        <f t="shared" si="150"/>
        <v/>
      </c>
      <c r="AF850" s="7" t="str">
        <f t="shared" si="151"/>
        <v/>
      </c>
      <c r="AG850" s="12">
        <f t="shared" si="152"/>
        <v>0.99448109423396247</v>
      </c>
      <c r="AI850" s="54" t="str">
        <f t="shared" si="153"/>
        <v/>
      </c>
      <c r="AJ850" s="54" t="str">
        <f t="shared" si="154"/>
        <v/>
      </c>
      <c r="AK850" s="54">
        <f t="shared" si="155"/>
        <v>0.47875470521618813</v>
      </c>
    </row>
    <row r="851" spans="9:37" x14ac:dyDescent="0.45">
      <c r="I851" s="2">
        <v>99.7</v>
      </c>
      <c r="J851" s="2">
        <v>0.41185719999999998</v>
      </c>
      <c r="K851" s="2">
        <v>0.27832560000000001</v>
      </c>
      <c r="R851" s="2">
        <v>25.27</v>
      </c>
      <c r="S851" s="2">
        <v>5.6599999999999999E-4</v>
      </c>
      <c r="T851" s="2">
        <v>2.4478E-4</v>
      </c>
      <c r="V851" s="11"/>
      <c r="W851" s="6"/>
      <c r="X851" s="6">
        <v>8.32</v>
      </c>
      <c r="Y851" s="11" t="str">
        <f t="shared" si="156"/>
        <v/>
      </c>
      <c r="Z851" s="6" t="str">
        <f t="shared" si="157"/>
        <v/>
      </c>
      <c r="AA851" s="23">
        <f t="shared" si="158"/>
        <v>38.32</v>
      </c>
      <c r="AB851" t="str">
        <f t="shared" ref="AB851:AB914" si="159">IF(Y851="","",VLOOKUP(Y851,Table_1,2))</f>
        <v/>
      </c>
      <c r="AC851" t="str">
        <f t="shared" ref="AC851:AC914" si="160">IF(Z851="","",VLOOKUP(Z851,Table_2,2))</f>
        <v/>
      </c>
      <c r="AD851">
        <f t="shared" ref="AD851:AD914" si="161">IF(AA851="","",VLOOKUP(AA851,Table_3,2))</f>
        <v>8.0464000000000002E-4</v>
      </c>
      <c r="AE851" s="18" t="str">
        <f t="shared" si="150"/>
        <v/>
      </c>
      <c r="AF851" s="7" t="str">
        <f t="shared" si="151"/>
        <v/>
      </c>
      <c r="AG851" s="12">
        <f t="shared" si="152"/>
        <v>0.99447309741258749</v>
      </c>
      <c r="AI851" s="54" t="str">
        <f t="shared" si="153"/>
        <v/>
      </c>
      <c r="AJ851" s="54" t="str">
        <f t="shared" si="154"/>
        <v/>
      </c>
      <c r="AK851" s="54">
        <f t="shared" si="155"/>
        <v>0.4794329074950387</v>
      </c>
    </row>
    <row r="852" spans="9:37" x14ac:dyDescent="0.45">
      <c r="I852" s="2">
        <v>99.8</v>
      </c>
      <c r="J852" s="2">
        <v>0.41516380000000003</v>
      </c>
      <c r="K852" s="2">
        <v>0.28112340000000002</v>
      </c>
      <c r="R852" s="2">
        <v>25.28</v>
      </c>
      <c r="S852" s="2">
        <v>5.6599999999999999E-4</v>
      </c>
      <c r="T852" s="2">
        <v>2.4491999999999998E-4</v>
      </c>
      <c r="V852" s="11"/>
      <c r="W852" s="6"/>
      <c r="X852" s="6">
        <v>8.33</v>
      </c>
      <c r="Y852" s="11" t="str">
        <f t="shared" si="156"/>
        <v/>
      </c>
      <c r="Z852" s="6" t="str">
        <f t="shared" si="157"/>
        <v/>
      </c>
      <c r="AA852" s="23">
        <f t="shared" si="158"/>
        <v>38.33</v>
      </c>
      <c r="AB852" t="str">
        <f t="shared" si="159"/>
        <v/>
      </c>
      <c r="AC852" t="str">
        <f t="shared" si="160"/>
        <v/>
      </c>
      <c r="AD852">
        <f t="shared" si="161"/>
        <v>8.0515999999999997E-4</v>
      </c>
      <c r="AE852" s="18" t="str">
        <f t="shared" ref="AE852:AE915" si="162">IF(AB852="","",AE851+h_1*(-AE851*AB851))</f>
        <v/>
      </c>
      <c r="AF852" s="7" t="str">
        <f t="shared" ref="AF852:AF915" si="163">IF(AC852="","",AF851+h_2*(-AF851*AC851))</f>
        <v/>
      </c>
      <c r="AG852" s="12">
        <f t="shared" ref="AG852:AG915" si="164">IF(AD852="","",AG851+h_3*(-AG851*AD851))</f>
        <v>0.99446509548425643</v>
      </c>
      <c r="AI852" s="54" t="str">
        <f t="shared" ref="AI852:AI915" si="165">IF(Y852="","",AI851+AI$17*(AI851*delta+Prem1-AB851*(1-AI851)))</f>
        <v/>
      </c>
      <c r="AJ852" s="54" t="str">
        <f t="shared" ref="AJ852:AJ915" si="166">IF(Z852="","",AJ851+AJ$17*(AJ851*delta+Prem2-AC851*(1-AJ851)))</f>
        <v/>
      </c>
      <c r="AK852" s="54">
        <f t="shared" ref="AK852:AK915" si="167">IF(AA852="","",AK851+AK$17*(AK851*delta+Prem3-AD851*(1-AK851)))</f>
        <v>0.48011138380141205</v>
      </c>
    </row>
    <row r="853" spans="9:37" x14ac:dyDescent="0.45">
      <c r="I853" s="2">
        <v>99.9</v>
      </c>
      <c r="J853" s="2">
        <v>0.41847040000000002</v>
      </c>
      <c r="K853" s="2">
        <v>0.28392119999999998</v>
      </c>
      <c r="R853" s="2">
        <v>25.29</v>
      </c>
      <c r="S853" s="2">
        <v>5.6599999999999999E-4</v>
      </c>
      <c r="T853" s="2">
        <v>2.4506000000000002E-4</v>
      </c>
      <c r="V853" s="11"/>
      <c r="W853" s="6"/>
      <c r="X853" s="6">
        <v>8.34</v>
      </c>
      <c r="Y853" s="11" t="str">
        <f t="shared" ref="Y853:Y916" si="168">IF(ISBLANK(V853),"",$Y$19+V853)</f>
        <v/>
      </c>
      <c r="Z853" s="6" t="str">
        <f t="shared" ref="Z853:Z916" si="169">IF(ISBLANK(W853),"",$Y$19+W853)</f>
        <v/>
      </c>
      <c r="AA853" s="23">
        <f t="shared" ref="AA853:AA916" si="170">IF(ISBLANK(X853),"",$Y$19+X853)</f>
        <v>38.340000000000003</v>
      </c>
      <c r="AB853" t="str">
        <f t="shared" si="159"/>
        <v/>
      </c>
      <c r="AC853" t="str">
        <f t="shared" si="160"/>
        <v/>
      </c>
      <c r="AD853">
        <f t="shared" si="161"/>
        <v>8.0568000000000002E-4</v>
      </c>
      <c r="AE853" s="18" t="str">
        <f t="shared" si="162"/>
        <v/>
      </c>
      <c r="AF853" s="7" t="str">
        <f t="shared" si="163"/>
        <v/>
      </c>
      <c r="AG853" s="12">
        <f t="shared" si="164"/>
        <v>0.99445708844909364</v>
      </c>
      <c r="AI853" s="54" t="str">
        <f t="shared" si="165"/>
        <v/>
      </c>
      <c r="AJ853" s="54" t="str">
        <f t="shared" si="166"/>
        <v/>
      </c>
      <c r="AK853" s="54">
        <f t="shared" si="167"/>
        <v>0.48079013425417894</v>
      </c>
    </row>
    <row r="854" spans="9:37" x14ac:dyDescent="0.45">
      <c r="I854" s="2">
        <v>100</v>
      </c>
      <c r="J854" s="2">
        <v>0.42177700000000001</v>
      </c>
      <c r="K854" s="2">
        <v>0.286719</v>
      </c>
      <c r="R854" s="2">
        <v>25.3</v>
      </c>
      <c r="S854" s="2">
        <v>5.6599999999999999E-4</v>
      </c>
      <c r="T854" s="2">
        <v>2.452E-4</v>
      </c>
      <c r="V854" s="11"/>
      <c r="W854" s="6"/>
      <c r="X854" s="6">
        <v>8.35</v>
      </c>
      <c r="Y854" s="11" t="str">
        <f t="shared" si="168"/>
        <v/>
      </c>
      <c r="Z854" s="6" t="str">
        <f t="shared" si="169"/>
        <v/>
      </c>
      <c r="AA854" s="23">
        <f t="shared" si="170"/>
        <v>38.35</v>
      </c>
      <c r="AB854" t="str">
        <f t="shared" si="159"/>
        <v/>
      </c>
      <c r="AC854" t="str">
        <f t="shared" si="160"/>
        <v/>
      </c>
      <c r="AD854">
        <f t="shared" si="161"/>
        <v>8.0619999999999997E-4</v>
      </c>
      <c r="AE854" s="18" t="str">
        <f t="shared" si="162"/>
        <v/>
      </c>
      <c r="AF854" s="7" t="str">
        <f t="shared" si="163"/>
        <v/>
      </c>
      <c r="AG854" s="12">
        <f t="shared" si="164"/>
        <v>0.99444907630722346</v>
      </c>
      <c r="AI854" s="54" t="str">
        <f t="shared" si="165"/>
        <v/>
      </c>
      <c r="AJ854" s="54" t="str">
        <f t="shared" si="166"/>
        <v/>
      </c>
      <c r="AK854" s="54">
        <f t="shared" si="167"/>
        <v>0.48146915897226278</v>
      </c>
    </row>
    <row r="855" spans="9:37" x14ac:dyDescent="0.45">
      <c r="I855" s="2">
        <v>100.1</v>
      </c>
      <c r="J855" s="2">
        <v>0.42531950000000002</v>
      </c>
      <c r="K855" s="2">
        <v>0.28981950000000001</v>
      </c>
      <c r="R855" s="2">
        <v>25.31</v>
      </c>
      <c r="S855" s="2">
        <v>5.6599999999999999E-4</v>
      </c>
      <c r="T855" s="2">
        <v>2.4533999999999998E-4</v>
      </c>
      <c r="V855" s="11"/>
      <c r="W855" s="6"/>
      <c r="X855" s="6">
        <v>8.36</v>
      </c>
      <c r="Y855" s="11" t="str">
        <f t="shared" si="168"/>
        <v/>
      </c>
      <c r="Z855" s="6" t="str">
        <f t="shared" si="169"/>
        <v/>
      </c>
      <c r="AA855" s="23">
        <f t="shared" si="170"/>
        <v>38.36</v>
      </c>
      <c r="AB855" t="str">
        <f t="shared" si="159"/>
        <v/>
      </c>
      <c r="AC855" t="str">
        <f t="shared" si="160"/>
        <v/>
      </c>
      <c r="AD855">
        <f t="shared" si="161"/>
        <v>8.0672000000000003E-4</v>
      </c>
      <c r="AE855" s="18" t="str">
        <f t="shared" si="162"/>
        <v/>
      </c>
      <c r="AF855" s="7" t="str">
        <f t="shared" si="163"/>
        <v/>
      </c>
      <c r="AG855" s="12">
        <f t="shared" si="164"/>
        <v>0.99444105905877023</v>
      </c>
      <c r="AI855" s="54" t="str">
        <f t="shared" si="165"/>
        <v/>
      </c>
      <c r="AJ855" s="54" t="str">
        <f t="shared" si="166"/>
        <v/>
      </c>
      <c r="AK855" s="54">
        <f t="shared" si="167"/>
        <v>0.4821484580746398</v>
      </c>
    </row>
    <row r="856" spans="9:37" x14ac:dyDescent="0.45">
      <c r="I856" s="2">
        <v>100.2</v>
      </c>
      <c r="J856" s="2">
        <v>0.42886200000000002</v>
      </c>
      <c r="K856" s="2">
        <v>0.29292000000000001</v>
      </c>
      <c r="R856" s="2">
        <v>25.32</v>
      </c>
      <c r="S856" s="2">
        <v>5.6599999999999999E-4</v>
      </c>
      <c r="T856" s="2">
        <v>2.4548000000000001E-4</v>
      </c>
      <c r="V856" s="11"/>
      <c r="W856" s="6"/>
      <c r="X856" s="6">
        <v>8.370000000000001</v>
      </c>
      <c r="Y856" s="11" t="str">
        <f t="shared" si="168"/>
        <v/>
      </c>
      <c r="Z856" s="6" t="str">
        <f t="shared" si="169"/>
        <v/>
      </c>
      <c r="AA856" s="23">
        <f t="shared" si="170"/>
        <v>38.370000000000005</v>
      </c>
      <c r="AB856" t="str">
        <f t="shared" si="159"/>
        <v/>
      </c>
      <c r="AC856" t="str">
        <f t="shared" si="160"/>
        <v/>
      </c>
      <c r="AD856">
        <f t="shared" si="161"/>
        <v>8.0723999999999998E-4</v>
      </c>
      <c r="AE856" s="18" t="str">
        <f t="shared" si="162"/>
        <v/>
      </c>
      <c r="AF856" s="7" t="str">
        <f t="shared" si="163"/>
        <v/>
      </c>
      <c r="AG856" s="12">
        <f t="shared" si="164"/>
        <v>0.99443303670385863</v>
      </c>
      <c r="AI856" s="54" t="str">
        <f t="shared" si="165"/>
        <v/>
      </c>
      <c r="AJ856" s="54" t="str">
        <f t="shared" si="166"/>
        <v/>
      </c>
      <c r="AK856" s="54">
        <f t="shared" si="167"/>
        <v>0.48282803168033911</v>
      </c>
    </row>
    <row r="857" spans="9:37" x14ac:dyDescent="0.45">
      <c r="I857" s="2">
        <v>100.3</v>
      </c>
      <c r="J857" s="2">
        <v>0.43240450000000002</v>
      </c>
      <c r="K857" s="2">
        <v>0.29602050000000002</v>
      </c>
      <c r="R857" s="2">
        <v>25.33</v>
      </c>
      <c r="S857" s="2">
        <v>5.6599999999999999E-4</v>
      </c>
      <c r="T857" s="2">
        <v>2.4562E-4</v>
      </c>
      <c r="V857" s="11"/>
      <c r="W857" s="6"/>
      <c r="X857" s="6">
        <v>8.3800000000000008</v>
      </c>
      <c r="Y857" s="11" t="str">
        <f t="shared" si="168"/>
        <v/>
      </c>
      <c r="Z857" s="6" t="str">
        <f t="shared" si="169"/>
        <v/>
      </c>
      <c r="AA857" s="23">
        <f t="shared" si="170"/>
        <v>38.380000000000003</v>
      </c>
      <c r="AB857" t="str">
        <f t="shared" si="159"/>
        <v/>
      </c>
      <c r="AC857" t="str">
        <f t="shared" si="160"/>
        <v/>
      </c>
      <c r="AD857">
        <f t="shared" si="161"/>
        <v>8.0776000000000003E-4</v>
      </c>
      <c r="AE857" s="18" t="str">
        <f t="shared" si="162"/>
        <v/>
      </c>
      <c r="AF857" s="7" t="str">
        <f t="shared" si="163"/>
        <v/>
      </c>
      <c r="AG857" s="12">
        <f t="shared" si="164"/>
        <v>0.99442500924261312</v>
      </c>
      <c r="AI857" s="54" t="str">
        <f t="shared" si="165"/>
        <v/>
      </c>
      <c r="AJ857" s="54" t="str">
        <f t="shared" si="166"/>
        <v/>
      </c>
      <c r="AK857" s="54">
        <f t="shared" si="167"/>
        <v>0.48350787990844268</v>
      </c>
    </row>
    <row r="858" spans="9:37" x14ac:dyDescent="0.45">
      <c r="I858" s="2">
        <v>100.4</v>
      </c>
      <c r="J858" s="2">
        <v>0.43594699999999997</v>
      </c>
      <c r="K858" s="2">
        <v>0.29912100000000003</v>
      </c>
      <c r="R858" s="2">
        <v>25.34</v>
      </c>
      <c r="S858" s="2">
        <v>5.6599999999999999E-4</v>
      </c>
      <c r="T858" s="2">
        <v>2.4575999999999998E-4</v>
      </c>
      <c r="V858" s="11"/>
      <c r="W858" s="6"/>
      <c r="X858" s="6">
        <v>8.39</v>
      </c>
      <c r="Y858" s="11" t="str">
        <f t="shared" si="168"/>
        <v/>
      </c>
      <c r="Z858" s="6" t="str">
        <f t="shared" si="169"/>
        <v/>
      </c>
      <c r="AA858" s="23">
        <f t="shared" si="170"/>
        <v>38.39</v>
      </c>
      <c r="AB858" t="str">
        <f t="shared" si="159"/>
        <v/>
      </c>
      <c r="AC858" t="str">
        <f t="shared" si="160"/>
        <v/>
      </c>
      <c r="AD858">
        <f t="shared" si="161"/>
        <v>8.0827999999999998E-4</v>
      </c>
      <c r="AE858" s="18" t="str">
        <f t="shared" si="162"/>
        <v/>
      </c>
      <c r="AF858" s="7" t="str">
        <f t="shared" si="163"/>
        <v/>
      </c>
      <c r="AG858" s="12">
        <f t="shared" si="164"/>
        <v>0.99441697667515849</v>
      </c>
      <c r="AI858" s="54" t="str">
        <f t="shared" si="165"/>
        <v/>
      </c>
      <c r="AJ858" s="54" t="str">
        <f t="shared" si="166"/>
        <v/>
      </c>
      <c r="AK858" s="54">
        <f t="shared" si="167"/>
        <v>0.48418800287808528</v>
      </c>
    </row>
    <row r="859" spans="9:37" x14ac:dyDescent="0.45">
      <c r="I859" s="2">
        <v>100.5</v>
      </c>
      <c r="J859" s="2">
        <v>0.43948949999999998</v>
      </c>
      <c r="K859" s="2">
        <v>0.30222149999999998</v>
      </c>
      <c r="R859" s="2">
        <v>25.35</v>
      </c>
      <c r="S859" s="2">
        <v>5.6599999999999999E-4</v>
      </c>
      <c r="T859" s="2">
        <v>2.4590000000000001E-4</v>
      </c>
      <c r="V859" s="11"/>
      <c r="W859" s="6"/>
      <c r="X859" s="6">
        <v>8.4</v>
      </c>
      <c r="Y859" s="11" t="str">
        <f t="shared" si="168"/>
        <v/>
      </c>
      <c r="Z859" s="6" t="str">
        <f t="shared" si="169"/>
        <v/>
      </c>
      <c r="AA859" s="23">
        <f t="shared" si="170"/>
        <v>38.4</v>
      </c>
      <c r="AB859" t="str">
        <f t="shared" si="159"/>
        <v/>
      </c>
      <c r="AC859" t="str">
        <f t="shared" si="160"/>
        <v/>
      </c>
      <c r="AD859">
        <f t="shared" si="161"/>
        <v>8.0880000000000004E-4</v>
      </c>
      <c r="AE859" s="18" t="str">
        <f t="shared" si="162"/>
        <v/>
      </c>
      <c r="AF859" s="7" t="str">
        <f t="shared" si="163"/>
        <v/>
      </c>
      <c r="AG859" s="12">
        <f t="shared" si="164"/>
        <v>0.99440893900161942</v>
      </c>
      <c r="AI859" s="54" t="str">
        <f t="shared" si="165"/>
        <v/>
      </c>
      <c r="AJ859" s="54" t="str">
        <f t="shared" si="166"/>
        <v/>
      </c>
      <c r="AK859" s="54">
        <f t="shared" si="167"/>
        <v>0.48486840070845466</v>
      </c>
    </row>
    <row r="860" spans="9:37" x14ac:dyDescent="0.45">
      <c r="I860" s="2">
        <v>100.6</v>
      </c>
      <c r="J860" s="2">
        <v>0.44303199999999998</v>
      </c>
      <c r="K860" s="2">
        <v>0.30532199999999998</v>
      </c>
      <c r="R860" s="2">
        <v>25.36</v>
      </c>
      <c r="S860" s="2">
        <v>5.6599999999999999E-4</v>
      </c>
      <c r="T860" s="2">
        <v>2.4604E-4</v>
      </c>
      <c r="V860" s="11"/>
      <c r="W860" s="6"/>
      <c r="X860" s="6">
        <v>8.41</v>
      </c>
      <c r="Y860" s="11" t="str">
        <f t="shared" si="168"/>
        <v/>
      </c>
      <c r="Z860" s="6" t="str">
        <f t="shared" si="169"/>
        <v/>
      </c>
      <c r="AA860" s="23">
        <f t="shared" si="170"/>
        <v>38.409999999999997</v>
      </c>
      <c r="AB860" t="str">
        <f t="shared" si="159"/>
        <v/>
      </c>
      <c r="AC860" t="str">
        <f t="shared" si="160"/>
        <v/>
      </c>
      <c r="AD860">
        <f t="shared" si="161"/>
        <v>8.0931999999999998E-4</v>
      </c>
      <c r="AE860" s="18" t="str">
        <f t="shared" si="162"/>
        <v/>
      </c>
      <c r="AF860" s="7" t="str">
        <f t="shared" si="163"/>
        <v/>
      </c>
      <c r="AG860" s="12">
        <f t="shared" si="164"/>
        <v>0.9944008962221208</v>
      </c>
      <c r="AI860" s="54" t="str">
        <f t="shared" si="165"/>
        <v/>
      </c>
      <c r="AJ860" s="54" t="str">
        <f t="shared" si="166"/>
        <v/>
      </c>
      <c r="AK860" s="54">
        <f t="shared" si="167"/>
        <v>0.48554907351879145</v>
      </c>
    </row>
    <row r="861" spans="9:37" x14ac:dyDescent="0.45">
      <c r="I861" s="2">
        <v>100.7</v>
      </c>
      <c r="J861" s="2">
        <v>0.44657449999999999</v>
      </c>
      <c r="K861" s="2">
        <v>0.30842249999999999</v>
      </c>
      <c r="R861" s="2">
        <v>25.37</v>
      </c>
      <c r="S861" s="2">
        <v>5.6599999999999999E-4</v>
      </c>
      <c r="T861" s="2">
        <v>2.4617999999999998E-4</v>
      </c>
      <c r="V861" s="11"/>
      <c r="W861" s="6"/>
      <c r="X861" s="6">
        <v>8.42</v>
      </c>
      <c r="Y861" s="11" t="str">
        <f t="shared" si="168"/>
        <v/>
      </c>
      <c r="Z861" s="6" t="str">
        <f t="shared" si="169"/>
        <v/>
      </c>
      <c r="AA861" s="23">
        <f t="shared" si="170"/>
        <v>38.42</v>
      </c>
      <c r="AB861" t="str">
        <f t="shared" si="159"/>
        <v/>
      </c>
      <c r="AC861" t="str">
        <f t="shared" si="160"/>
        <v/>
      </c>
      <c r="AD861">
        <f t="shared" si="161"/>
        <v>8.0984000000000004E-4</v>
      </c>
      <c r="AE861" s="18" t="str">
        <f t="shared" si="162"/>
        <v/>
      </c>
      <c r="AF861" s="7" t="str">
        <f t="shared" si="163"/>
        <v/>
      </c>
      <c r="AG861" s="12">
        <f t="shared" si="164"/>
        <v>0.99439284833678754</v>
      </c>
      <c r="AI861" s="54" t="str">
        <f t="shared" si="165"/>
        <v/>
      </c>
      <c r="AJ861" s="54" t="str">
        <f t="shared" si="166"/>
        <v/>
      </c>
      <c r="AK861" s="54">
        <f t="shared" si="167"/>
        <v>0.48623002142838928</v>
      </c>
    </row>
    <row r="862" spans="9:37" x14ac:dyDescent="0.45">
      <c r="I862" s="2">
        <v>100.8</v>
      </c>
      <c r="J862" s="2">
        <v>0.45011699999999999</v>
      </c>
      <c r="K862" s="2">
        <v>0.31152299999999999</v>
      </c>
      <c r="R862" s="2">
        <v>25.38</v>
      </c>
      <c r="S862" s="2">
        <v>5.6599999999999999E-4</v>
      </c>
      <c r="T862" s="2">
        <v>2.4632000000000001E-4</v>
      </c>
      <c r="V862" s="11"/>
      <c r="W862" s="6"/>
      <c r="X862" s="6">
        <v>8.43</v>
      </c>
      <c r="Y862" s="11" t="str">
        <f t="shared" si="168"/>
        <v/>
      </c>
      <c r="Z862" s="6" t="str">
        <f t="shared" si="169"/>
        <v/>
      </c>
      <c r="AA862" s="23">
        <f t="shared" si="170"/>
        <v>38.43</v>
      </c>
      <c r="AB862" t="str">
        <f t="shared" si="159"/>
        <v/>
      </c>
      <c r="AC862" t="str">
        <f t="shared" si="160"/>
        <v/>
      </c>
      <c r="AD862">
        <f t="shared" si="161"/>
        <v>8.1035999999999999E-4</v>
      </c>
      <c r="AE862" s="18" t="str">
        <f t="shared" si="162"/>
        <v/>
      </c>
      <c r="AF862" s="7" t="str">
        <f t="shared" si="163"/>
        <v/>
      </c>
      <c r="AG862" s="12">
        <f t="shared" si="164"/>
        <v>0.99438479534574453</v>
      </c>
      <c r="AI862" s="54" t="str">
        <f t="shared" si="165"/>
        <v/>
      </c>
      <c r="AJ862" s="54" t="str">
        <f t="shared" si="166"/>
        <v/>
      </c>
      <c r="AK862" s="54">
        <f t="shared" si="167"/>
        <v>0.48691124455659468</v>
      </c>
    </row>
    <row r="863" spans="9:37" x14ac:dyDescent="0.45">
      <c r="I863" s="2">
        <v>100.9</v>
      </c>
      <c r="J863" s="2">
        <v>0.45365949999999999</v>
      </c>
      <c r="K863" s="2">
        <v>0.3146235</v>
      </c>
      <c r="R863" s="2">
        <v>25.39</v>
      </c>
      <c r="S863" s="2">
        <v>5.6599999999999999E-4</v>
      </c>
      <c r="T863" s="2">
        <v>2.4646E-4</v>
      </c>
      <c r="V863" s="11"/>
      <c r="W863" s="6"/>
      <c r="X863" s="6">
        <v>8.44</v>
      </c>
      <c r="Y863" s="11" t="str">
        <f t="shared" si="168"/>
        <v/>
      </c>
      <c r="Z863" s="6" t="str">
        <f t="shared" si="169"/>
        <v/>
      </c>
      <c r="AA863" s="23">
        <f t="shared" si="170"/>
        <v>38.44</v>
      </c>
      <c r="AB863" t="str">
        <f t="shared" si="159"/>
        <v/>
      </c>
      <c r="AC863" t="str">
        <f t="shared" si="160"/>
        <v/>
      </c>
      <c r="AD863">
        <f t="shared" si="161"/>
        <v>8.1088000000000004E-4</v>
      </c>
      <c r="AE863" s="18" t="str">
        <f t="shared" si="162"/>
        <v/>
      </c>
      <c r="AF863" s="7" t="str">
        <f t="shared" si="163"/>
        <v/>
      </c>
      <c r="AG863" s="12">
        <f t="shared" si="164"/>
        <v>0.99437673724911702</v>
      </c>
      <c r="AI863" s="54" t="str">
        <f t="shared" si="165"/>
        <v/>
      </c>
      <c r="AJ863" s="54" t="str">
        <f t="shared" si="166"/>
        <v/>
      </c>
      <c r="AK863" s="54">
        <f t="shared" si="167"/>
        <v>0.4875927430228072</v>
      </c>
    </row>
    <row r="864" spans="9:37" x14ac:dyDescent="0.45">
      <c r="I864" s="2">
        <v>101</v>
      </c>
      <c r="J864" s="2">
        <v>0.457202</v>
      </c>
      <c r="K864" s="2">
        <v>0.31772400000000001</v>
      </c>
      <c r="R864" s="2">
        <v>25.4</v>
      </c>
      <c r="S864" s="2">
        <v>5.6599999999999999E-4</v>
      </c>
      <c r="T864" s="2">
        <v>2.4659999999999998E-4</v>
      </c>
      <c r="V864" s="11"/>
      <c r="W864" s="6"/>
      <c r="X864" s="6">
        <v>8.4499999999999993</v>
      </c>
      <c r="Y864" s="11" t="str">
        <f t="shared" si="168"/>
        <v/>
      </c>
      <c r="Z864" s="6" t="str">
        <f t="shared" si="169"/>
        <v/>
      </c>
      <c r="AA864" s="23">
        <f t="shared" si="170"/>
        <v>38.450000000000003</v>
      </c>
      <c r="AB864" t="str">
        <f t="shared" si="159"/>
        <v/>
      </c>
      <c r="AC864" t="str">
        <f t="shared" si="160"/>
        <v/>
      </c>
      <c r="AD864">
        <f t="shared" si="161"/>
        <v>8.1139999999999999E-4</v>
      </c>
      <c r="AE864" s="18" t="str">
        <f t="shared" si="162"/>
        <v/>
      </c>
      <c r="AF864" s="7" t="str">
        <f t="shared" si="163"/>
        <v/>
      </c>
      <c r="AG864" s="12">
        <f t="shared" si="164"/>
        <v>0.99436867404703</v>
      </c>
      <c r="AI864" s="54" t="str">
        <f t="shared" si="165"/>
        <v/>
      </c>
      <c r="AJ864" s="54" t="str">
        <f t="shared" si="166"/>
        <v/>
      </c>
      <c r="AK864" s="54">
        <f t="shared" si="167"/>
        <v>0.48827451694647944</v>
      </c>
    </row>
    <row r="865" spans="9:37" x14ac:dyDescent="0.45">
      <c r="I865" s="2">
        <v>101.1</v>
      </c>
      <c r="J865" s="2">
        <v>0.46099289999999998</v>
      </c>
      <c r="K865" s="2">
        <v>0.3211598</v>
      </c>
      <c r="R865" s="2">
        <v>25.41</v>
      </c>
      <c r="S865" s="2">
        <v>5.6599999999999999E-4</v>
      </c>
      <c r="T865" s="2">
        <v>2.4674000000000001E-4</v>
      </c>
      <c r="V865" s="11"/>
      <c r="W865" s="6"/>
      <c r="X865" s="6">
        <v>8.4600000000000009</v>
      </c>
      <c r="Y865" s="11" t="str">
        <f t="shared" si="168"/>
        <v/>
      </c>
      <c r="Z865" s="6" t="str">
        <f t="shared" si="169"/>
        <v/>
      </c>
      <c r="AA865" s="23">
        <f t="shared" si="170"/>
        <v>38.46</v>
      </c>
      <c r="AB865" t="str">
        <f t="shared" si="159"/>
        <v/>
      </c>
      <c r="AC865" t="str">
        <f t="shared" si="160"/>
        <v/>
      </c>
      <c r="AD865">
        <f t="shared" si="161"/>
        <v>8.1192000000000005E-4</v>
      </c>
      <c r="AE865" s="18" t="str">
        <f t="shared" si="162"/>
        <v/>
      </c>
      <c r="AF865" s="7" t="str">
        <f t="shared" si="163"/>
        <v/>
      </c>
      <c r="AG865" s="12">
        <f t="shared" si="164"/>
        <v>0.99436060573960883</v>
      </c>
      <c r="AI865" s="54" t="str">
        <f t="shared" si="165"/>
        <v/>
      </c>
      <c r="AJ865" s="54" t="str">
        <f t="shared" si="166"/>
        <v/>
      </c>
      <c r="AK865" s="54">
        <f t="shared" si="167"/>
        <v>0.48895656644711705</v>
      </c>
    </row>
    <row r="866" spans="9:37" x14ac:dyDescent="0.45">
      <c r="I866" s="2">
        <v>101.2</v>
      </c>
      <c r="J866" s="2">
        <v>0.46478380000000002</v>
      </c>
      <c r="K866" s="2">
        <v>0.32459559999999998</v>
      </c>
      <c r="R866" s="2">
        <v>25.42</v>
      </c>
      <c r="S866" s="2">
        <v>5.6599999999999999E-4</v>
      </c>
      <c r="T866" s="2">
        <v>2.4687999999999999E-4</v>
      </c>
      <c r="V866" s="11"/>
      <c r="W866" s="6"/>
      <c r="X866" s="6">
        <v>8.4700000000000006</v>
      </c>
      <c r="Y866" s="11" t="str">
        <f t="shared" si="168"/>
        <v/>
      </c>
      <c r="Z866" s="6" t="str">
        <f t="shared" si="169"/>
        <v/>
      </c>
      <c r="AA866" s="23">
        <f t="shared" si="170"/>
        <v>38.47</v>
      </c>
      <c r="AB866" t="str">
        <f t="shared" si="159"/>
        <v/>
      </c>
      <c r="AC866" t="str">
        <f t="shared" si="160"/>
        <v/>
      </c>
      <c r="AD866">
        <f t="shared" si="161"/>
        <v>8.1243999999999999E-4</v>
      </c>
      <c r="AE866" s="18" t="str">
        <f t="shared" si="162"/>
        <v/>
      </c>
      <c r="AF866" s="7" t="str">
        <f t="shared" si="163"/>
        <v/>
      </c>
      <c r="AG866" s="12">
        <f t="shared" si="164"/>
        <v>0.99435253232697873</v>
      </c>
      <c r="AI866" s="54" t="str">
        <f t="shared" si="165"/>
        <v/>
      </c>
      <c r="AJ866" s="54" t="str">
        <f t="shared" si="166"/>
        <v/>
      </c>
      <c r="AK866" s="54">
        <f t="shared" si="167"/>
        <v>0.48963889164427871</v>
      </c>
    </row>
    <row r="867" spans="9:37" x14ac:dyDescent="0.45">
      <c r="I867" s="2">
        <v>101.3</v>
      </c>
      <c r="J867" s="2">
        <v>0.46857470000000001</v>
      </c>
      <c r="K867" s="2">
        <v>0.32803139999999997</v>
      </c>
      <c r="R867" s="2">
        <v>25.43</v>
      </c>
      <c r="S867" s="2">
        <v>5.6599999999999999E-4</v>
      </c>
      <c r="T867" s="2">
        <v>2.4701999999999998E-4</v>
      </c>
      <c r="V867" s="11"/>
      <c r="W867" s="6"/>
      <c r="X867" s="6">
        <v>8.48</v>
      </c>
      <c r="Y867" s="11" t="str">
        <f t="shared" si="168"/>
        <v/>
      </c>
      <c r="Z867" s="6" t="str">
        <f t="shared" si="169"/>
        <v/>
      </c>
      <c r="AA867" s="23">
        <f t="shared" si="170"/>
        <v>38.480000000000004</v>
      </c>
      <c r="AB867" t="str">
        <f t="shared" si="159"/>
        <v/>
      </c>
      <c r="AC867" t="str">
        <f t="shared" si="160"/>
        <v/>
      </c>
      <c r="AD867">
        <f t="shared" si="161"/>
        <v>8.1296000000000005E-4</v>
      </c>
      <c r="AE867" s="18" t="str">
        <f t="shared" si="162"/>
        <v/>
      </c>
      <c r="AF867" s="7" t="str">
        <f t="shared" si="163"/>
        <v/>
      </c>
      <c r="AG867" s="12">
        <f t="shared" si="164"/>
        <v>0.99434445380926506</v>
      </c>
      <c r="AI867" s="54" t="str">
        <f t="shared" si="165"/>
        <v/>
      </c>
      <c r="AJ867" s="54" t="str">
        <f t="shared" si="166"/>
        <v/>
      </c>
      <c r="AK867" s="54">
        <f t="shared" si="167"/>
        <v>0.49032149265757619</v>
      </c>
    </row>
    <row r="868" spans="9:37" x14ac:dyDescent="0.45">
      <c r="I868" s="2">
        <v>101.4</v>
      </c>
      <c r="J868" s="2">
        <v>0.4723656</v>
      </c>
      <c r="K868" s="2">
        <v>0.33146720000000002</v>
      </c>
      <c r="R868" s="2">
        <v>25.44</v>
      </c>
      <c r="S868" s="2">
        <v>5.6599999999999999E-4</v>
      </c>
      <c r="T868" s="2">
        <v>2.4716000000000001E-4</v>
      </c>
      <c r="V868" s="11"/>
      <c r="W868" s="6"/>
      <c r="X868" s="6">
        <v>8.49</v>
      </c>
      <c r="Y868" s="11" t="str">
        <f t="shared" si="168"/>
        <v/>
      </c>
      <c r="Z868" s="6" t="str">
        <f t="shared" si="169"/>
        <v/>
      </c>
      <c r="AA868" s="23">
        <f t="shared" si="170"/>
        <v>38.49</v>
      </c>
      <c r="AB868" t="str">
        <f t="shared" si="159"/>
        <v/>
      </c>
      <c r="AC868" t="str">
        <f t="shared" si="160"/>
        <v/>
      </c>
      <c r="AD868">
        <f t="shared" si="161"/>
        <v>8.1348E-4</v>
      </c>
      <c r="AE868" s="18" t="str">
        <f t="shared" si="162"/>
        <v/>
      </c>
      <c r="AF868" s="7" t="str">
        <f t="shared" si="163"/>
        <v/>
      </c>
      <c r="AG868" s="12">
        <f t="shared" si="164"/>
        <v>0.99433637018659338</v>
      </c>
      <c r="AI868" s="54" t="str">
        <f t="shared" si="165"/>
        <v/>
      </c>
      <c r="AJ868" s="54" t="str">
        <f t="shared" si="166"/>
        <v/>
      </c>
      <c r="AK868" s="54">
        <f t="shared" si="167"/>
        <v>0.49100436960667443</v>
      </c>
    </row>
    <row r="869" spans="9:37" x14ac:dyDescent="0.45">
      <c r="I869" s="2">
        <v>101.5</v>
      </c>
      <c r="J869" s="2">
        <v>0.47615649999999998</v>
      </c>
      <c r="K869" s="2">
        <v>0.33490300000000001</v>
      </c>
      <c r="R869" s="2">
        <v>25.45</v>
      </c>
      <c r="S869" s="2">
        <v>5.6599999999999999E-4</v>
      </c>
      <c r="T869" s="2">
        <v>2.4729999999999999E-4</v>
      </c>
      <c r="V869" s="11"/>
      <c r="W869" s="6"/>
      <c r="X869" s="6">
        <v>8.5</v>
      </c>
      <c r="Y869" s="11" t="str">
        <f t="shared" si="168"/>
        <v/>
      </c>
      <c r="Z869" s="6" t="str">
        <f t="shared" si="169"/>
        <v/>
      </c>
      <c r="AA869" s="23">
        <f t="shared" si="170"/>
        <v>38.5</v>
      </c>
      <c r="AB869" t="str">
        <f t="shared" si="159"/>
        <v/>
      </c>
      <c r="AC869" t="str">
        <f t="shared" si="160"/>
        <v/>
      </c>
      <c r="AD869">
        <f t="shared" si="161"/>
        <v>8.1400000000000005E-4</v>
      </c>
      <c r="AE869" s="18" t="str">
        <f t="shared" si="162"/>
        <v/>
      </c>
      <c r="AF869" s="7" t="str">
        <f t="shared" si="163"/>
        <v/>
      </c>
      <c r="AG869" s="12">
        <f t="shared" si="164"/>
        <v>0.99432828145908914</v>
      </c>
      <c r="AI869" s="54" t="str">
        <f t="shared" si="165"/>
        <v/>
      </c>
      <c r="AJ869" s="54" t="str">
        <f t="shared" si="166"/>
        <v/>
      </c>
      <c r="AK869" s="54">
        <f t="shared" si="167"/>
        <v>0.49168752261129145</v>
      </c>
    </row>
    <row r="870" spans="9:37" x14ac:dyDescent="0.45">
      <c r="I870" s="2">
        <v>101.6</v>
      </c>
      <c r="J870" s="2">
        <v>0.47994740000000002</v>
      </c>
      <c r="K870" s="2">
        <v>0.3383388</v>
      </c>
      <c r="R870" s="2">
        <v>25.46</v>
      </c>
      <c r="S870" s="2">
        <v>5.6599999999999999E-4</v>
      </c>
      <c r="T870" s="2">
        <v>2.4743999999999998E-4</v>
      </c>
      <c r="V870" s="11"/>
      <c r="W870" s="6"/>
      <c r="X870" s="6">
        <v>8.51</v>
      </c>
      <c r="Y870" s="11" t="str">
        <f t="shared" si="168"/>
        <v/>
      </c>
      <c r="Z870" s="6" t="str">
        <f t="shared" si="169"/>
        <v/>
      </c>
      <c r="AA870" s="23">
        <f t="shared" si="170"/>
        <v>38.51</v>
      </c>
      <c r="AB870" t="str">
        <f t="shared" si="159"/>
        <v/>
      </c>
      <c r="AC870" t="str">
        <f t="shared" si="160"/>
        <v/>
      </c>
      <c r="AD870">
        <f t="shared" si="161"/>
        <v>8.1452E-4</v>
      </c>
      <c r="AE870" s="18" t="str">
        <f t="shared" si="162"/>
        <v/>
      </c>
      <c r="AF870" s="7" t="str">
        <f t="shared" si="163"/>
        <v/>
      </c>
      <c r="AG870" s="12">
        <f t="shared" si="164"/>
        <v>0.99432018762687802</v>
      </c>
      <c r="AI870" s="54" t="str">
        <f t="shared" si="165"/>
        <v/>
      </c>
      <c r="AJ870" s="54" t="str">
        <f t="shared" si="166"/>
        <v/>
      </c>
      <c r="AK870" s="54">
        <f t="shared" si="167"/>
        <v>0.4923709517911985</v>
      </c>
    </row>
    <row r="871" spans="9:37" x14ac:dyDescent="0.45">
      <c r="I871" s="2">
        <v>101.7</v>
      </c>
      <c r="J871" s="2">
        <v>0.48373830000000001</v>
      </c>
      <c r="K871" s="2">
        <v>0.34177459999999998</v>
      </c>
      <c r="R871" s="2">
        <v>25.47</v>
      </c>
      <c r="S871" s="2">
        <v>5.6599999999999999E-4</v>
      </c>
      <c r="T871" s="2">
        <v>2.4758000000000001E-4</v>
      </c>
      <c r="V871" s="11"/>
      <c r="W871" s="6"/>
      <c r="X871" s="6">
        <v>8.52</v>
      </c>
      <c r="Y871" s="11" t="str">
        <f t="shared" si="168"/>
        <v/>
      </c>
      <c r="Z871" s="6" t="str">
        <f t="shared" si="169"/>
        <v/>
      </c>
      <c r="AA871" s="23">
        <f t="shared" si="170"/>
        <v>38.519999999999996</v>
      </c>
      <c r="AB871" t="str">
        <f t="shared" si="159"/>
        <v/>
      </c>
      <c r="AC871" t="str">
        <f t="shared" si="160"/>
        <v/>
      </c>
      <c r="AD871">
        <f t="shared" si="161"/>
        <v>8.1452E-4</v>
      </c>
      <c r="AE871" s="18" t="str">
        <f t="shared" si="162"/>
        <v/>
      </c>
      <c r="AF871" s="7" t="str">
        <f t="shared" si="163"/>
        <v/>
      </c>
      <c r="AG871" s="12">
        <f t="shared" si="164"/>
        <v>0.9943120886900858</v>
      </c>
      <c r="AI871" s="54" t="str">
        <f t="shared" si="165"/>
        <v/>
      </c>
      <c r="AJ871" s="54" t="str">
        <f t="shared" si="166"/>
        <v/>
      </c>
      <c r="AK871" s="54">
        <f t="shared" si="167"/>
        <v>0.49305465726622</v>
      </c>
    </row>
    <row r="872" spans="9:37" x14ac:dyDescent="0.45">
      <c r="I872" s="2">
        <v>101.8</v>
      </c>
      <c r="J872" s="2">
        <v>0.4875292</v>
      </c>
      <c r="K872" s="2">
        <v>0.34521039999999997</v>
      </c>
      <c r="R872" s="2">
        <v>25.48</v>
      </c>
      <c r="S872" s="2">
        <v>5.6599999999999999E-4</v>
      </c>
      <c r="T872" s="2">
        <v>2.4771999999999999E-4</v>
      </c>
      <c r="V872" s="11"/>
      <c r="W872" s="6"/>
      <c r="X872" s="6">
        <v>8.5299999999999994</v>
      </c>
      <c r="Y872" s="11" t="str">
        <f t="shared" si="168"/>
        <v/>
      </c>
      <c r="Z872" s="6" t="str">
        <f t="shared" si="169"/>
        <v/>
      </c>
      <c r="AA872" s="23">
        <f t="shared" si="170"/>
        <v>38.53</v>
      </c>
      <c r="AB872" t="str">
        <f t="shared" si="159"/>
        <v/>
      </c>
      <c r="AC872" t="str">
        <f t="shared" si="160"/>
        <v/>
      </c>
      <c r="AD872">
        <f t="shared" si="161"/>
        <v>8.1556E-4</v>
      </c>
      <c r="AE872" s="18" t="str">
        <f t="shared" si="162"/>
        <v/>
      </c>
      <c r="AF872" s="7" t="str">
        <f t="shared" si="163"/>
        <v/>
      </c>
      <c r="AG872" s="12">
        <f t="shared" si="164"/>
        <v>0.99430398981926105</v>
      </c>
      <c r="AI872" s="54" t="str">
        <f t="shared" si="165"/>
        <v/>
      </c>
      <c r="AJ872" s="54" t="str">
        <f t="shared" si="166"/>
        <v/>
      </c>
      <c r="AK872" s="54">
        <f t="shared" si="167"/>
        <v>0.49373864179234933</v>
      </c>
    </row>
    <row r="873" spans="9:37" x14ac:dyDescent="0.45">
      <c r="I873" s="2">
        <v>101.9</v>
      </c>
      <c r="J873" s="2">
        <v>0.49132009999999998</v>
      </c>
      <c r="K873" s="2">
        <v>0.34864620000000002</v>
      </c>
      <c r="R873" s="2">
        <v>25.49</v>
      </c>
      <c r="S873" s="2">
        <v>5.6599999999999999E-4</v>
      </c>
      <c r="T873" s="2">
        <v>2.4785999999999997E-4</v>
      </c>
      <c r="V873" s="11"/>
      <c r="W873" s="6"/>
      <c r="X873" s="6">
        <v>8.5400000000000009</v>
      </c>
      <c r="Y873" s="11" t="str">
        <f t="shared" si="168"/>
        <v/>
      </c>
      <c r="Z873" s="6" t="str">
        <f t="shared" si="169"/>
        <v/>
      </c>
      <c r="AA873" s="23">
        <f t="shared" si="170"/>
        <v>38.54</v>
      </c>
      <c r="AB873" t="str">
        <f t="shared" si="159"/>
        <v/>
      </c>
      <c r="AC873" t="str">
        <f t="shared" si="160"/>
        <v/>
      </c>
      <c r="AD873">
        <f t="shared" si="161"/>
        <v>8.1607999999999995E-4</v>
      </c>
      <c r="AE873" s="18" t="str">
        <f t="shared" si="162"/>
        <v/>
      </c>
      <c r="AF873" s="7" t="str">
        <f t="shared" si="163"/>
        <v/>
      </c>
      <c r="AG873" s="12">
        <f t="shared" si="164"/>
        <v>0.99429588067364172</v>
      </c>
      <c r="AI873" s="54" t="str">
        <f t="shared" si="165"/>
        <v/>
      </c>
      <c r="AJ873" s="54" t="str">
        <f t="shared" si="166"/>
        <v/>
      </c>
      <c r="AK873" s="54">
        <f t="shared" si="167"/>
        <v>0.49442290021836177</v>
      </c>
    </row>
    <row r="874" spans="9:37" x14ac:dyDescent="0.45">
      <c r="I874" s="2">
        <v>102</v>
      </c>
      <c r="J874" s="2">
        <v>0.49511100000000002</v>
      </c>
      <c r="K874" s="2">
        <v>0.35208200000000001</v>
      </c>
      <c r="R874" s="2">
        <v>25.5</v>
      </c>
      <c r="S874" s="2">
        <v>5.6599999999999999E-4</v>
      </c>
      <c r="T874" s="2">
        <v>2.4800000000000001E-4</v>
      </c>
      <c r="V874" s="11"/>
      <c r="W874" s="6"/>
      <c r="X874" s="6">
        <v>8.5500000000000007</v>
      </c>
      <c r="Y874" s="11" t="str">
        <f t="shared" si="168"/>
        <v/>
      </c>
      <c r="Z874" s="6" t="str">
        <f t="shared" si="169"/>
        <v/>
      </c>
      <c r="AA874" s="23">
        <f t="shared" si="170"/>
        <v>38.549999999999997</v>
      </c>
      <c r="AB874" t="str">
        <f t="shared" si="159"/>
        <v/>
      </c>
      <c r="AC874" t="str">
        <f t="shared" si="160"/>
        <v/>
      </c>
      <c r="AD874">
        <f t="shared" si="161"/>
        <v>8.1660000000000001E-4</v>
      </c>
      <c r="AE874" s="18" t="str">
        <f t="shared" si="162"/>
        <v/>
      </c>
      <c r="AF874" s="7" t="str">
        <f t="shared" si="163"/>
        <v/>
      </c>
      <c r="AG874" s="12">
        <f t="shared" si="164"/>
        <v>0.99428776642381866</v>
      </c>
      <c r="AI874" s="54" t="str">
        <f t="shared" si="165"/>
        <v/>
      </c>
      <c r="AJ874" s="54" t="str">
        <f t="shared" si="166"/>
        <v/>
      </c>
      <c r="AK874" s="54">
        <f t="shared" si="167"/>
        <v>0.4951074352992817</v>
      </c>
    </row>
    <row r="875" spans="9:37" x14ac:dyDescent="0.45">
      <c r="I875" s="2">
        <v>102.1</v>
      </c>
      <c r="J875" s="2">
        <v>0.49916300000000002</v>
      </c>
      <c r="K875" s="2">
        <v>0.35588950000000003</v>
      </c>
      <c r="R875" s="2">
        <v>25.51</v>
      </c>
      <c r="S875" s="2">
        <v>5.6599999999999999E-4</v>
      </c>
      <c r="T875" s="2">
        <v>2.4813999999999999E-4</v>
      </c>
      <c r="V875" s="11"/>
      <c r="W875" s="6"/>
      <c r="X875" s="6">
        <v>8.56</v>
      </c>
      <c r="Y875" s="11" t="str">
        <f t="shared" si="168"/>
        <v/>
      </c>
      <c r="Z875" s="6" t="str">
        <f t="shared" si="169"/>
        <v/>
      </c>
      <c r="AA875" s="23">
        <f t="shared" si="170"/>
        <v>38.56</v>
      </c>
      <c r="AB875" t="str">
        <f t="shared" si="159"/>
        <v/>
      </c>
      <c r="AC875" t="str">
        <f t="shared" si="160"/>
        <v/>
      </c>
      <c r="AD875">
        <f t="shared" si="161"/>
        <v>8.1711999999999996E-4</v>
      </c>
      <c r="AE875" s="18" t="str">
        <f t="shared" si="162"/>
        <v/>
      </c>
      <c r="AF875" s="7" t="str">
        <f t="shared" si="163"/>
        <v/>
      </c>
      <c r="AG875" s="12">
        <f t="shared" si="164"/>
        <v>0.994279647069918</v>
      </c>
      <c r="AI875" s="54" t="str">
        <f t="shared" si="165"/>
        <v/>
      </c>
      <c r="AJ875" s="54" t="str">
        <f t="shared" si="166"/>
        <v/>
      </c>
      <c r="AK875" s="54">
        <f t="shared" si="167"/>
        <v>0.49579224715514658</v>
      </c>
    </row>
    <row r="876" spans="9:37" x14ac:dyDescent="0.45">
      <c r="I876" s="2">
        <v>102.2</v>
      </c>
      <c r="J876" s="2">
        <v>0.50321499999999997</v>
      </c>
      <c r="K876" s="2">
        <v>0.35969699999999999</v>
      </c>
      <c r="R876" s="2">
        <v>25.52</v>
      </c>
      <c r="S876" s="2">
        <v>5.6599999999999999E-4</v>
      </c>
      <c r="T876" s="2">
        <v>2.4827999999999997E-4</v>
      </c>
      <c r="V876" s="11"/>
      <c r="W876" s="6"/>
      <c r="X876" s="6">
        <v>8.57</v>
      </c>
      <c r="Y876" s="11" t="str">
        <f t="shared" si="168"/>
        <v/>
      </c>
      <c r="Z876" s="6" t="str">
        <f t="shared" si="169"/>
        <v/>
      </c>
      <c r="AA876" s="23">
        <f t="shared" si="170"/>
        <v>38.57</v>
      </c>
      <c r="AB876" t="str">
        <f t="shared" si="159"/>
        <v/>
      </c>
      <c r="AC876" t="str">
        <f t="shared" si="160"/>
        <v/>
      </c>
      <c r="AD876">
        <f t="shared" si="161"/>
        <v>8.1764000000000001E-4</v>
      </c>
      <c r="AE876" s="18" t="str">
        <f t="shared" si="162"/>
        <v/>
      </c>
      <c r="AF876" s="7" t="str">
        <f t="shared" si="163"/>
        <v/>
      </c>
      <c r="AG876" s="12">
        <f t="shared" si="164"/>
        <v>0.99427152261206586</v>
      </c>
      <c r="AI876" s="54" t="str">
        <f t="shared" si="165"/>
        <v/>
      </c>
      <c r="AJ876" s="54" t="str">
        <f t="shared" si="166"/>
        <v/>
      </c>
      <c r="AK876" s="54">
        <f t="shared" si="167"/>
        <v>0.49647733590604709</v>
      </c>
    </row>
    <row r="877" spans="9:37" x14ac:dyDescent="0.45">
      <c r="I877" s="2">
        <v>102.3</v>
      </c>
      <c r="J877" s="2">
        <v>0.50726700000000002</v>
      </c>
      <c r="K877" s="2">
        <v>0.36350450000000001</v>
      </c>
      <c r="R877" s="2">
        <v>25.53</v>
      </c>
      <c r="S877" s="2">
        <v>5.6599999999999999E-4</v>
      </c>
      <c r="T877" s="2">
        <v>2.4842000000000001E-4</v>
      </c>
      <c r="V877" s="11"/>
      <c r="W877" s="6"/>
      <c r="X877" s="6">
        <v>8.58</v>
      </c>
      <c r="Y877" s="11" t="str">
        <f t="shared" si="168"/>
        <v/>
      </c>
      <c r="Z877" s="6" t="str">
        <f t="shared" si="169"/>
        <v/>
      </c>
      <c r="AA877" s="23">
        <f t="shared" si="170"/>
        <v>38.58</v>
      </c>
      <c r="AB877" t="str">
        <f t="shared" si="159"/>
        <v/>
      </c>
      <c r="AC877" t="str">
        <f t="shared" si="160"/>
        <v/>
      </c>
      <c r="AD877">
        <f t="shared" si="161"/>
        <v>8.1815999999999996E-4</v>
      </c>
      <c r="AE877" s="18" t="str">
        <f t="shared" si="162"/>
        <v/>
      </c>
      <c r="AF877" s="7" t="str">
        <f t="shared" si="163"/>
        <v/>
      </c>
      <c r="AG877" s="12">
        <f t="shared" si="164"/>
        <v>0.99426339305038836</v>
      </c>
      <c r="AI877" s="54" t="str">
        <f t="shared" si="165"/>
        <v/>
      </c>
      <c r="AJ877" s="54" t="str">
        <f t="shared" si="166"/>
        <v/>
      </c>
      <c r="AK877" s="54">
        <f t="shared" si="167"/>
        <v>0.49716270167212728</v>
      </c>
    </row>
    <row r="878" spans="9:37" x14ac:dyDescent="0.45">
      <c r="I878" s="2">
        <v>102.4</v>
      </c>
      <c r="J878" s="2">
        <v>0.51131899999999997</v>
      </c>
      <c r="K878" s="2">
        <v>0.36731200000000003</v>
      </c>
      <c r="R878" s="2">
        <v>25.54</v>
      </c>
      <c r="S878" s="2">
        <v>5.6599999999999999E-4</v>
      </c>
      <c r="T878" s="2">
        <v>2.4855999999999999E-4</v>
      </c>
      <c r="V878" s="11"/>
      <c r="W878" s="6"/>
      <c r="X878" s="6">
        <v>8.59</v>
      </c>
      <c r="Y878" s="11" t="str">
        <f t="shared" si="168"/>
        <v/>
      </c>
      <c r="Z878" s="6" t="str">
        <f t="shared" si="169"/>
        <v/>
      </c>
      <c r="AA878" s="23">
        <f t="shared" si="170"/>
        <v>38.590000000000003</v>
      </c>
      <c r="AB878" t="str">
        <f t="shared" si="159"/>
        <v/>
      </c>
      <c r="AC878" t="str">
        <f t="shared" si="160"/>
        <v/>
      </c>
      <c r="AD878">
        <f t="shared" si="161"/>
        <v>8.1868000000000002E-4</v>
      </c>
      <c r="AE878" s="18" t="str">
        <f t="shared" si="162"/>
        <v/>
      </c>
      <c r="AF878" s="7" t="str">
        <f t="shared" si="163"/>
        <v/>
      </c>
      <c r="AG878" s="12">
        <f t="shared" si="164"/>
        <v>0.99425525838501172</v>
      </c>
      <c r="AI878" s="54" t="str">
        <f t="shared" si="165"/>
        <v/>
      </c>
      <c r="AJ878" s="54" t="str">
        <f t="shared" si="166"/>
        <v/>
      </c>
      <c r="AK878" s="54">
        <f t="shared" si="167"/>
        <v>0.49784834457358462</v>
      </c>
    </row>
    <row r="879" spans="9:37" x14ac:dyDescent="0.45">
      <c r="I879" s="2">
        <v>102.5</v>
      </c>
      <c r="J879" s="2">
        <v>0.51537100000000002</v>
      </c>
      <c r="K879" s="2">
        <v>0.37111949999999999</v>
      </c>
      <c r="R879" s="2">
        <v>25.55</v>
      </c>
      <c r="S879" s="2">
        <v>5.6599999999999999E-4</v>
      </c>
      <c r="T879" s="2">
        <v>2.4869999999999997E-4</v>
      </c>
      <c r="V879" s="11"/>
      <c r="W879" s="6"/>
      <c r="X879" s="6">
        <v>8.6</v>
      </c>
      <c r="Y879" s="11" t="str">
        <f t="shared" si="168"/>
        <v/>
      </c>
      <c r="Z879" s="6" t="str">
        <f t="shared" si="169"/>
        <v/>
      </c>
      <c r="AA879" s="23">
        <f t="shared" si="170"/>
        <v>38.6</v>
      </c>
      <c r="AB879" t="str">
        <f t="shared" si="159"/>
        <v/>
      </c>
      <c r="AC879" t="str">
        <f t="shared" si="160"/>
        <v/>
      </c>
      <c r="AD879">
        <f t="shared" si="161"/>
        <v>8.1919999999999996E-4</v>
      </c>
      <c r="AE879" s="18" t="str">
        <f t="shared" si="162"/>
        <v/>
      </c>
      <c r="AF879" s="7" t="str">
        <f t="shared" si="163"/>
        <v/>
      </c>
      <c r="AG879" s="12">
        <f t="shared" si="164"/>
        <v>0.99424711861606241</v>
      </c>
      <c r="AI879" s="54" t="str">
        <f t="shared" si="165"/>
        <v/>
      </c>
      <c r="AJ879" s="54" t="str">
        <f t="shared" si="166"/>
        <v/>
      </c>
      <c r="AK879" s="54">
        <f t="shared" si="167"/>
        <v>0.49853426473066992</v>
      </c>
    </row>
    <row r="880" spans="9:37" x14ac:dyDescent="0.45">
      <c r="I880" s="2">
        <v>102.6</v>
      </c>
      <c r="J880" s="2">
        <v>0.51942299999999997</v>
      </c>
      <c r="K880" s="2">
        <v>0.37492700000000001</v>
      </c>
      <c r="R880" s="2">
        <v>25.56</v>
      </c>
      <c r="S880" s="2">
        <v>5.6599999999999999E-4</v>
      </c>
      <c r="T880" s="2">
        <v>2.4884000000000001E-4</v>
      </c>
      <c r="V880" s="11"/>
      <c r="W880" s="6"/>
      <c r="X880" s="6">
        <v>8.61</v>
      </c>
      <c r="Y880" s="11" t="str">
        <f t="shared" si="168"/>
        <v/>
      </c>
      <c r="Z880" s="6" t="str">
        <f t="shared" si="169"/>
        <v/>
      </c>
      <c r="AA880" s="23">
        <f t="shared" si="170"/>
        <v>38.61</v>
      </c>
      <c r="AB880" t="str">
        <f t="shared" si="159"/>
        <v/>
      </c>
      <c r="AC880" t="str">
        <f t="shared" si="160"/>
        <v/>
      </c>
      <c r="AD880">
        <f t="shared" si="161"/>
        <v>8.1972000000000002E-4</v>
      </c>
      <c r="AE880" s="18" t="str">
        <f t="shared" si="162"/>
        <v/>
      </c>
      <c r="AF880" s="7" t="str">
        <f t="shared" si="163"/>
        <v/>
      </c>
      <c r="AG880" s="12">
        <f t="shared" si="164"/>
        <v>0.99423897374366665</v>
      </c>
      <c r="AI880" s="54" t="str">
        <f t="shared" si="165"/>
        <v/>
      </c>
      <c r="AJ880" s="54" t="str">
        <f t="shared" si="166"/>
        <v/>
      </c>
      <c r="AK880" s="54">
        <f t="shared" si="167"/>
        <v>0.49922046226368738</v>
      </c>
    </row>
    <row r="881" spans="9:37" x14ac:dyDescent="0.45">
      <c r="I881" s="2">
        <v>102.7</v>
      </c>
      <c r="J881" s="2">
        <v>0.52347500000000002</v>
      </c>
      <c r="K881" s="2">
        <v>0.37873449999999997</v>
      </c>
      <c r="R881" s="2">
        <v>25.57</v>
      </c>
      <c r="S881" s="2">
        <v>5.6599999999999999E-4</v>
      </c>
      <c r="T881" s="2">
        <v>2.4897999999999999E-4</v>
      </c>
      <c r="V881" s="11"/>
      <c r="W881" s="6"/>
      <c r="X881" s="6">
        <v>8.620000000000001</v>
      </c>
      <c r="Y881" s="11" t="str">
        <f t="shared" si="168"/>
        <v/>
      </c>
      <c r="Z881" s="6" t="str">
        <f t="shared" si="169"/>
        <v/>
      </c>
      <c r="AA881" s="23">
        <f t="shared" si="170"/>
        <v>38.620000000000005</v>
      </c>
      <c r="AB881" t="str">
        <f t="shared" si="159"/>
        <v/>
      </c>
      <c r="AC881" t="str">
        <f t="shared" si="160"/>
        <v/>
      </c>
      <c r="AD881">
        <f t="shared" si="161"/>
        <v>8.2023999999999997E-4</v>
      </c>
      <c r="AE881" s="18" t="str">
        <f t="shared" si="162"/>
        <v/>
      </c>
      <c r="AF881" s="7" t="str">
        <f t="shared" si="163"/>
        <v/>
      </c>
      <c r="AG881" s="12">
        <f t="shared" si="164"/>
        <v>0.99423082376795113</v>
      </c>
      <c r="AI881" s="54" t="str">
        <f t="shared" si="165"/>
        <v/>
      </c>
      <c r="AJ881" s="54" t="str">
        <f t="shared" si="166"/>
        <v/>
      </c>
      <c r="AK881" s="54">
        <f t="shared" si="167"/>
        <v>0.49990693729299462</v>
      </c>
    </row>
    <row r="882" spans="9:37" x14ac:dyDescent="0.45">
      <c r="I882" s="2">
        <v>102.8</v>
      </c>
      <c r="J882" s="2">
        <v>0.52752699999999997</v>
      </c>
      <c r="K882" s="2">
        <v>0.38254199999999999</v>
      </c>
      <c r="R882" s="2">
        <v>25.58</v>
      </c>
      <c r="S882" s="2">
        <v>5.6599999999999999E-4</v>
      </c>
      <c r="T882" s="2">
        <v>2.4911999999999997E-4</v>
      </c>
      <c r="V882" s="11"/>
      <c r="W882" s="6"/>
      <c r="X882" s="6">
        <v>8.6300000000000008</v>
      </c>
      <c r="Y882" s="11" t="str">
        <f t="shared" si="168"/>
        <v/>
      </c>
      <c r="Z882" s="6" t="str">
        <f t="shared" si="169"/>
        <v/>
      </c>
      <c r="AA882" s="23">
        <f t="shared" si="170"/>
        <v>38.630000000000003</v>
      </c>
      <c r="AB882" t="str">
        <f t="shared" si="159"/>
        <v/>
      </c>
      <c r="AC882" t="str">
        <f t="shared" si="160"/>
        <v/>
      </c>
      <c r="AD882">
        <f t="shared" si="161"/>
        <v>8.2076000000000002E-4</v>
      </c>
      <c r="AE882" s="18" t="str">
        <f t="shared" si="162"/>
        <v/>
      </c>
      <c r="AF882" s="7" t="str">
        <f t="shared" si="163"/>
        <v/>
      </c>
      <c r="AG882" s="12">
        <f t="shared" si="164"/>
        <v>0.9942226686890423</v>
      </c>
      <c r="AI882" s="54" t="str">
        <f t="shared" si="165"/>
        <v/>
      </c>
      <c r="AJ882" s="54" t="str">
        <f t="shared" si="166"/>
        <v/>
      </c>
      <c r="AK882" s="54">
        <f t="shared" si="167"/>
        <v>0.50059368993900277</v>
      </c>
    </row>
    <row r="883" spans="9:37" x14ac:dyDescent="0.45">
      <c r="I883" s="2">
        <v>102.9</v>
      </c>
      <c r="J883" s="2">
        <v>0.53157900000000002</v>
      </c>
      <c r="K883" s="2">
        <v>0.38634950000000001</v>
      </c>
      <c r="R883" s="2">
        <v>25.59</v>
      </c>
      <c r="S883" s="2">
        <v>5.6599999999999999E-4</v>
      </c>
      <c r="T883" s="2">
        <v>2.4926000000000001E-4</v>
      </c>
      <c r="V883" s="11"/>
      <c r="W883" s="6"/>
      <c r="X883" s="6">
        <v>8.64</v>
      </c>
      <c r="Y883" s="11" t="str">
        <f t="shared" si="168"/>
        <v/>
      </c>
      <c r="Z883" s="6" t="str">
        <f t="shared" si="169"/>
        <v/>
      </c>
      <c r="AA883" s="23">
        <f t="shared" si="170"/>
        <v>38.64</v>
      </c>
      <c r="AB883" t="str">
        <f t="shared" si="159"/>
        <v/>
      </c>
      <c r="AC883" t="str">
        <f t="shared" si="160"/>
        <v/>
      </c>
      <c r="AD883">
        <f t="shared" si="161"/>
        <v>8.2127999999999997E-4</v>
      </c>
      <c r="AE883" s="18" t="str">
        <f t="shared" si="162"/>
        <v/>
      </c>
      <c r="AF883" s="7" t="str">
        <f t="shared" si="163"/>
        <v/>
      </c>
      <c r="AG883" s="12">
        <f t="shared" si="164"/>
        <v>0.99421450850706672</v>
      </c>
      <c r="AI883" s="54" t="str">
        <f t="shared" si="165"/>
        <v/>
      </c>
      <c r="AJ883" s="54" t="str">
        <f t="shared" si="166"/>
        <v/>
      </c>
      <c r="AK883" s="54">
        <f t="shared" si="167"/>
        <v>0.50128072032217641</v>
      </c>
    </row>
    <row r="884" spans="9:37" x14ac:dyDescent="0.45">
      <c r="I884" s="2">
        <v>103</v>
      </c>
      <c r="J884" s="2">
        <v>0.53563099999999997</v>
      </c>
      <c r="K884" s="2">
        <v>0.39015699999999998</v>
      </c>
      <c r="R884" s="2">
        <v>25.6</v>
      </c>
      <c r="S884" s="2">
        <v>5.6599999999999999E-4</v>
      </c>
      <c r="T884" s="2">
        <v>2.4939999999999999E-4</v>
      </c>
      <c r="V884" s="11"/>
      <c r="W884" s="6"/>
      <c r="X884" s="6">
        <v>8.65</v>
      </c>
      <c r="Y884" s="11" t="str">
        <f t="shared" si="168"/>
        <v/>
      </c>
      <c r="Z884" s="6" t="str">
        <f t="shared" si="169"/>
        <v/>
      </c>
      <c r="AA884" s="23">
        <f t="shared" si="170"/>
        <v>38.65</v>
      </c>
      <c r="AB884" t="str">
        <f t="shared" si="159"/>
        <v/>
      </c>
      <c r="AC884" t="str">
        <f t="shared" si="160"/>
        <v/>
      </c>
      <c r="AD884">
        <f t="shared" si="161"/>
        <v>8.2180000000000003E-4</v>
      </c>
      <c r="AE884" s="18" t="str">
        <f t="shared" si="162"/>
        <v/>
      </c>
      <c r="AF884" s="7" t="str">
        <f t="shared" si="163"/>
        <v/>
      </c>
      <c r="AG884" s="12">
        <f t="shared" si="164"/>
        <v>0.99420634322215129</v>
      </c>
      <c r="AI884" s="54" t="str">
        <f t="shared" si="165"/>
        <v/>
      </c>
      <c r="AJ884" s="54" t="str">
        <f t="shared" si="166"/>
        <v/>
      </c>
      <c r="AK884" s="54">
        <f t="shared" si="167"/>
        <v>0.50196802856303369</v>
      </c>
    </row>
    <row r="885" spans="9:37" x14ac:dyDescent="0.45">
      <c r="I885" s="2">
        <v>103.1</v>
      </c>
      <c r="J885" s="2">
        <v>0.53995689999999996</v>
      </c>
      <c r="K885" s="2">
        <v>0.39437640000000002</v>
      </c>
      <c r="R885" s="2">
        <v>25.61</v>
      </c>
      <c r="S885" s="2">
        <v>5.6599999999999999E-4</v>
      </c>
      <c r="T885" s="2">
        <v>2.4954000000000003E-4</v>
      </c>
      <c r="V885" s="11"/>
      <c r="W885" s="6"/>
      <c r="X885" s="6">
        <v>8.66</v>
      </c>
      <c r="Y885" s="11" t="str">
        <f t="shared" si="168"/>
        <v/>
      </c>
      <c r="Z885" s="6" t="str">
        <f t="shared" si="169"/>
        <v/>
      </c>
      <c r="AA885" s="23">
        <f t="shared" si="170"/>
        <v>38.659999999999997</v>
      </c>
      <c r="AB885" t="str">
        <f t="shared" si="159"/>
        <v/>
      </c>
      <c r="AC885" t="str">
        <f t="shared" si="160"/>
        <v/>
      </c>
      <c r="AD885">
        <f t="shared" si="161"/>
        <v>8.2231999999999997E-4</v>
      </c>
      <c r="AE885" s="18" t="str">
        <f t="shared" si="162"/>
        <v/>
      </c>
      <c r="AF885" s="7" t="str">
        <f t="shared" si="163"/>
        <v/>
      </c>
      <c r="AG885" s="12">
        <f t="shared" si="164"/>
        <v>0.99419817283442269</v>
      </c>
      <c r="AI885" s="54" t="str">
        <f t="shared" si="165"/>
        <v/>
      </c>
      <c r="AJ885" s="54" t="str">
        <f t="shared" si="166"/>
        <v/>
      </c>
      <c r="AK885" s="54">
        <f t="shared" si="167"/>
        <v>0.50265561478214615</v>
      </c>
    </row>
    <row r="886" spans="9:37" x14ac:dyDescent="0.45">
      <c r="I886" s="2">
        <v>103.2</v>
      </c>
      <c r="J886" s="2">
        <v>0.54428279999999996</v>
      </c>
      <c r="K886" s="2">
        <v>0.3985958</v>
      </c>
      <c r="R886" s="2">
        <v>25.62</v>
      </c>
      <c r="S886" s="2">
        <v>5.6599999999999999E-4</v>
      </c>
      <c r="T886" s="2">
        <v>2.4968000000000001E-4</v>
      </c>
      <c r="V886" s="11"/>
      <c r="W886" s="6"/>
      <c r="X886" s="6">
        <v>8.67</v>
      </c>
      <c r="Y886" s="11" t="str">
        <f t="shared" si="168"/>
        <v/>
      </c>
      <c r="Z886" s="6" t="str">
        <f t="shared" si="169"/>
        <v/>
      </c>
      <c r="AA886" s="23">
        <f t="shared" si="170"/>
        <v>38.67</v>
      </c>
      <c r="AB886" t="str">
        <f t="shared" si="159"/>
        <v/>
      </c>
      <c r="AC886" t="str">
        <f t="shared" si="160"/>
        <v/>
      </c>
      <c r="AD886">
        <f t="shared" si="161"/>
        <v>8.2284000000000003E-4</v>
      </c>
      <c r="AE886" s="18" t="str">
        <f t="shared" si="162"/>
        <v/>
      </c>
      <c r="AF886" s="7" t="str">
        <f t="shared" si="163"/>
        <v/>
      </c>
      <c r="AG886" s="12">
        <f t="shared" si="164"/>
        <v>0.99418999734400781</v>
      </c>
      <c r="AI886" s="54" t="str">
        <f t="shared" si="165"/>
        <v/>
      </c>
      <c r="AJ886" s="54" t="str">
        <f t="shared" si="166"/>
        <v/>
      </c>
      <c r="AK886" s="54">
        <f t="shared" si="167"/>
        <v>0.50334347910013899</v>
      </c>
    </row>
    <row r="887" spans="9:37" x14ac:dyDescent="0.45">
      <c r="I887" s="2">
        <v>103.3</v>
      </c>
      <c r="J887" s="2">
        <v>0.54860869999999995</v>
      </c>
      <c r="K887" s="2">
        <v>0.40281519999999998</v>
      </c>
      <c r="R887" s="2">
        <v>25.63</v>
      </c>
      <c r="S887" s="2">
        <v>5.6599999999999999E-4</v>
      </c>
      <c r="T887" s="2">
        <v>2.4981999999999999E-4</v>
      </c>
      <c r="V887" s="11"/>
      <c r="W887" s="6"/>
      <c r="X887" s="6">
        <v>8.68</v>
      </c>
      <c r="Y887" s="11" t="str">
        <f t="shared" si="168"/>
        <v/>
      </c>
      <c r="Z887" s="6" t="str">
        <f t="shared" si="169"/>
        <v/>
      </c>
      <c r="AA887" s="23">
        <f t="shared" si="170"/>
        <v>38.68</v>
      </c>
      <c r="AB887" t="str">
        <f t="shared" si="159"/>
        <v/>
      </c>
      <c r="AC887" t="str">
        <f t="shared" si="160"/>
        <v/>
      </c>
      <c r="AD887">
        <f t="shared" si="161"/>
        <v>8.2335999999999998E-4</v>
      </c>
      <c r="AE887" s="18" t="str">
        <f t="shared" si="162"/>
        <v/>
      </c>
      <c r="AF887" s="7" t="str">
        <f t="shared" si="163"/>
        <v/>
      </c>
      <c r="AG887" s="12">
        <f t="shared" si="164"/>
        <v>0.99418181675103368</v>
      </c>
      <c r="AI887" s="54" t="str">
        <f t="shared" si="165"/>
        <v/>
      </c>
      <c r="AJ887" s="54" t="str">
        <f t="shared" si="166"/>
        <v/>
      </c>
      <c r="AK887" s="54">
        <f t="shared" si="167"/>
        <v>0.504031621637691</v>
      </c>
    </row>
    <row r="888" spans="9:37" x14ac:dyDescent="0.45">
      <c r="I888" s="2">
        <v>103.4</v>
      </c>
      <c r="J888" s="2">
        <v>0.55293460000000005</v>
      </c>
      <c r="K888" s="2">
        <v>0.40703460000000002</v>
      </c>
      <c r="R888" s="2">
        <v>25.64</v>
      </c>
      <c r="S888" s="2">
        <v>5.6599999999999999E-4</v>
      </c>
      <c r="T888" s="2">
        <v>2.4996000000000003E-4</v>
      </c>
      <c r="V888" s="11"/>
      <c r="W888" s="6"/>
      <c r="X888" s="6">
        <v>8.69</v>
      </c>
      <c r="Y888" s="11" t="str">
        <f t="shared" si="168"/>
        <v/>
      </c>
      <c r="Z888" s="6" t="str">
        <f t="shared" si="169"/>
        <v/>
      </c>
      <c r="AA888" s="23">
        <f t="shared" si="170"/>
        <v>38.69</v>
      </c>
      <c r="AB888" t="str">
        <f t="shared" si="159"/>
        <v/>
      </c>
      <c r="AC888" t="str">
        <f t="shared" si="160"/>
        <v/>
      </c>
      <c r="AD888">
        <f t="shared" si="161"/>
        <v>8.2388000000000003E-4</v>
      </c>
      <c r="AE888" s="18" t="str">
        <f t="shared" si="162"/>
        <v/>
      </c>
      <c r="AF888" s="7" t="str">
        <f t="shared" si="163"/>
        <v/>
      </c>
      <c r="AG888" s="12">
        <f t="shared" si="164"/>
        <v>0.99417363105562728</v>
      </c>
      <c r="AI888" s="54" t="str">
        <f t="shared" si="165"/>
        <v/>
      </c>
      <c r="AJ888" s="54" t="str">
        <f t="shared" si="166"/>
        <v/>
      </c>
      <c r="AK888" s="54">
        <f t="shared" si="167"/>
        <v>0.50472004251553448</v>
      </c>
    </row>
    <row r="889" spans="9:37" x14ac:dyDescent="0.45">
      <c r="I889" s="2">
        <v>103.5</v>
      </c>
      <c r="J889" s="2">
        <v>0.55726050000000005</v>
      </c>
      <c r="K889" s="2">
        <v>0.41125400000000001</v>
      </c>
      <c r="R889" s="2">
        <v>25.65</v>
      </c>
      <c r="S889" s="2">
        <v>5.6599999999999999E-4</v>
      </c>
      <c r="T889" s="2">
        <v>2.5010000000000001E-4</v>
      </c>
      <c r="V889" s="11"/>
      <c r="W889" s="6"/>
      <c r="X889" s="6">
        <v>8.7000000000000011</v>
      </c>
      <c r="Y889" s="11" t="str">
        <f t="shared" si="168"/>
        <v/>
      </c>
      <c r="Z889" s="6" t="str">
        <f t="shared" si="169"/>
        <v/>
      </c>
      <c r="AA889" s="23">
        <f t="shared" si="170"/>
        <v>38.700000000000003</v>
      </c>
      <c r="AB889" t="str">
        <f t="shared" si="159"/>
        <v/>
      </c>
      <c r="AC889" t="str">
        <f t="shared" si="160"/>
        <v/>
      </c>
      <c r="AD889">
        <f t="shared" si="161"/>
        <v>8.2439999999999998E-4</v>
      </c>
      <c r="AE889" s="18" t="str">
        <f t="shared" si="162"/>
        <v/>
      </c>
      <c r="AF889" s="7" t="str">
        <f t="shared" si="163"/>
        <v/>
      </c>
      <c r="AG889" s="12">
        <f t="shared" si="164"/>
        <v>0.99416544025791576</v>
      </c>
      <c r="AI889" s="54" t="str">
        <f t="shared" si="165"/>
        <v/>
      </c>
      <c r="AJ889" s="54" t="str">
        <f t="shared" si="166"/>
        <v/>
      </c>
      <c r="AK889" s="54">
        <f t="shared" si="167"/>
        <v>0.5054087418544555</v>
      </c>
    </row>
    <row r="890" spans="9:37" x14ac:dyDescent="0.45">
      <c r="I890" s="2">
        <v>103.6</v>
      </c>
      <c r="J890" s="2">
        <v>0.56158640000000004</v>
      </c>
      <c r="K890" s="2">
        <v>0.41547339999999999</v>
      </c>
      <c r="R890" s="2">
        <v>25.66</v>
      </c>
      <c r="S890" s="2">
        <v>5.6599999999999999E-4</v>
      </c>
      <c r="T890" s="2">
        <v>2.5023999999999999E-4</v>
      </c>
      <c r="V890" s="11"/>
      <c r="W890" s="6"/>
      <c r="X890" s="6">
        <v>8.7100000000000009</v>
      </c>
      <c r="Y890" s="11" t="str">
        <f t="shared" si="168"/>
        <v/>
      </c>
      <c r="Z890" s="6" t="str">
        <f t="shared" si="169"/>
        <v/>
      </c>
      <c r="AA890" s="23">
        <f t="shared" si="170"/>
        <v>38.71</v>
      </c>
      <c r="AB890" t="str">
        <f t="shared" si="159"/>
        <v/>
      </c>
      <c r="AC890" t="str">
        <f t="shared" si="160"/>
        <v/>
      </c>
      <c r="AD890">
        <f t="shared" si="161"/>
        <v>8.2492000000000004E-4</v>
      </c>
      <c r="AE890" s="18" t="str">
        <f t="shared" si="162"/>
        <v/>
      </c>
      <c r="AF890" s="7" t="str">
        <f t="shared" si="163"/>
        <v/>
      </c>
      <c r="AG890" s="12">
        <f t="shared" si="164"/>
        <v>0.99415724435802622</v>
      </c>
      <c r="AI890" s="54" t="str">
        <f t="shared" si="165"/>
        <v/>
      </c>
      <c r="AJ890" s="54" t="str">
        <f t="shared" si="166"/>
        <v/>
      </c>
      <c r="AK890" s="54">
        <f t="shared" si="167"/>
        <v>0.50609771977529361</v>
      </c>
    </row>
    <row r="891" spans="9:37" x14ac:dyDescent="0.45">
      <c r="I891" s="2">
        <v>103.7</v>
      </c>
      <c r="J891" s="2">
        <v>0.56591230000000003</v>
      </c>
      <c r="K891" s="2">
        <v>0.41969279999999998</v>
      </c>
      <c r="R891" s="2">
        <v>25.67</v>
      </c>
      <c r="S891" s="2">
        <v>5.6599999999999999E-4</v>
      </c>
      <c r="T891" s="2">
        <v>2.5038000000000003E-4</v>
      </c>
      <c r="V891" s="11"/>
      <c r="W891" s="6"/>
      <c r="X891" s="6">
        <v>8.7200000000000006</v>
      </c>
      <c r="Y891" s="11" t="str">
        <f t="shared" si="168"/>
        <v/>
      </c>
      <c r="Z891" s="6" t="str">
        <f t="shared" si="169"/>
        <v/>
      </c>
      <c r="AA891" s="23">
        <f t="shared" si="170"/>
        <v>38.72</v>
      </c>
      <c r="AB891" t="str">
        <f t="shared" si="159"/>
        <v/>
      </c>
      <c r="AC891" t="str">
        <f t="shared" si="160"/>
        <v/>
      </c>
      <c r="AD891">
        <f t="shared" si="161"/>
        <v>8.2543999999999998E-4</v>
      </c>
      <c r="AE891" s="18" t="str">
        <f t="shared" si="162"/>
        <v/>
      </c>
      <c r="AF891" s="7" t="str">
        <f t="shared" si="163"/>
        <v/>
      </c>
      <c r="AG891" s="12">
        <f t="shared" si="164"/>
        <v>0.994149043356086</v>
      </c>
      <c r="AI891" s="54" t="str">
        <f t="shared" si="165"/>
        <v/>
      </c>
      <c r="AJ891" s="54" t="str">
        <f t="shared" si="166"/>
        <v/>
      </c>
      <c r="AK891" s="54">
        <f t="shared" si="167"/>
        <v>0.50678697639894221</v>
      </c>
    </row>
    <row r="892" spans="9:37" x14ac:dyDescent="0.45">
      <c r="I892" s="2">
        <v>103.8</v>
      </c>
      <c r="J892" s="2">
        <v>0.57023820000000003</v>
      </c>
      <c r="K892" s="2">
        <v>0.42391220000000002</v>
      </c>
      <c r="R892" s="2">
        <v>25.68</v>
      </c>
      <c r="S892" s="2">
        <v>5.6599999999999999E-4</v>
      </c>
      <c r="T892" s="2">
        <v>2.5052000000000001E-4</v>
      </c>
      <c r="V892" s="11"/>
      <c r="W892" s="6"/>
      <c r="X892" s="6">
        <v>8.73</v>
      </c>
      <c r="Y892" s="11" t="str">
        <f t="shared" si="168"/>
        <v/>
      </c>
      <c r="Z892" s="6" t="str">
        <f t="shared" si="169"/>
        <v/>
      </c>
      <c r="AA892" s="23">
        <f t="shared" si="170"/>
        <v>38.730000000000004</v>
      </c>
      <c r="AB892" t="str">
        <f t="shared" si="159"/>
        <v/>
      </c>
      <c r="AC892" t="str">
        <f t="shared" si="160"/>
        <v/>
      </c>
      <c r="AD892">
        <f t="shared" si="161"/>
        <v>8.2596000000000004E-4</v>
      </c>
      <c r="AE892" s="18" t="str">
        <f t="shared" si="162"/>
        <v/>
      </c>
      <c r="AF892" s="7" t="str">
        <f t="shared" si="163"/>
        <v/>
      </c>
      <c r="AG892" s="12">
        <f t="shared" si="164"/>
        <v>0.99414083725222258</v>
      </c>
      <c r="AI892" s="54" t="str">
        <f t="shared" si="165"/>
        <v/>
      </c>
      <c r="AJ892" s="54" t="str">
        <f t="shared" si="166"/>
        <v/>
      </c>
      <c r="AK892" s="54">
        <f t="shared" si="167"/>
        <v>0.50747651184634823</v>
      </c>
    </row>
    <row r="893" spans="9:37" x14ac:dyDescent="0.45">
      <c r="I893" s="2">
        <v>103.9</v>
      </c>
      <c r="J893" s="2">
        <v>0.57456410000000002</v>
      </c>
      <c r="K893" s="2">
        <v>0.4281316</v>
      </c>
      <c r="R893" s="2">
        <v>25.69</v>
      </c>
      <c r="S893" s="2">
        <v>5.6599999999999999E-4</v>
      </c>
      <c r="T893" s="2">
        <v>2.5065999999999999E-4</v>
      </c>
      <c r="V893" s="11"/>
      <c r="W893" s="6"/>
      <c r="X893" s="6">
        <v>8.74</v>
      </c>
      <c r="Y893" s="11" t="str">
        <f t="shared" si="168"/>
        <v/>
      </c>
      <c r="Z893" s="6" t="str">
        <f t="shared" si="169"/>
        <v/>
      </c>
      <c r="AA893" s="23">
        <f t="shared" si="170"/>
        <v>38.74</v>
      </c>
      <c r="AB893" t="str">
        <f t="shared" si="159"/>
        <v/>
      </c>
      <c r="AC893" t="str">
        <f t="shared" si="160"/>
        <v/>
      </c>
      <c r="AD893">
        <f t="shared" si="161"/>
        <v>8.2647999999999999E-4</v>
      </c>
      <c r="AE893" s="18" t="str">
        <f t="shared" si="162"/>
        <v/>
      </c>
      <c r="AF893" s="7" t="str">
        <f t="shared" si="163"/>
        <v/>
      </c>
      <c r="AG893" s="12">
        <f t="shared" si="164"/>
        <v>0.99413262604656316</v>
      </c>
      <c r="AI893" s="54" t="str">
        <f t="shared" si="165"/>
        <v/>
      </c>
      <c r="AJ893" s="54" t="str">
        <f t="shared" si="166"/>
        <v/>
      </c>
      <c r="AK893" s="54">
        <f t="shared" si="167"/>
        <v>0.50816632623851254</v>
      </c>
    </row>
    <row r="894" spans="9:37" x14ac:dyDescent="0.45">
      <c r="I894" s="2">
        <v>104</v>
      </c>
      <c r="J894" s="2">
        <v>0.57889000000000002</v>
      </c>
      <c r="K894" s="2">
        <v>0.43235099999999999</v>
      </c>
      <c r="R894" s="2">
        <v>25.7</v>
      </c>
      <c r="S894" s="2">
        <v>5.6599999999999999E-4</v>
      </c>
      <c r="T894" s="2">
        <v>2.5080000000000002E-4</v>
      </c>
      <c r="V894" s="11"/>
      <c r="W894" s="6"/>
      <c r="X894" s="6">
        <v>8.75</v>
      </c>
      <c r="Y894" s="11" t="str">
        <f t="shared" si="168"/>
        <v/>
      </c>
      <c r="Z894" s="6" t="str">
        <f t="shared" si="169"/>
        <v/>
      </c>
      <c r="AA894" s="23">
        <f t="shared" si="170"/>
        <v>38.75</v>
      </c>
      <c r="AB894" t="str">
        <f t="shared" si="159"/>
        <v/>
      </c>
      <c r="AC894" t="str">
        <f t="shared" si="160"/>
        <v/>
      </c>
      <c r="AD894">
        <f t="shared" si="161"/>
        <v>8.2700000000000004E-4</v>
      </c>
      <c r="AE894" s="18" t="str">
        <f t="shared" si="162"/>
        <v/>
      </c>
      <c r="AF894" s="7" t="str">
        <f t="shared" si="163"/>
        <v/>
      </c>
      <c r="AG894" s="12">
        <f t="shared" si="164"/>
        <v>0.99412440973923544</v>
      </c>
      <c r="AI894" s="54" t="str">
        <f t="shared" si="165"/>
        <v/>
      </c>
      <c r="AJ894" s="54" t="str">
        <f t="shared" si="166"/>
        <v/>
      </c>
      <c r="AK894" s="54">
        <f t="shared" si="167"/>
        <v>0.50885641969648954</v>
      </c>
    </row>
    <row r="895" spans="9:37" x14ac:dyDescent="0.45">
      <c r="I895" s="2">
        <v>104.1</v>
      </c>
      <c r="J895" s="2">
        <v>0.58350329999999995</v>
      </c>
      <c r="K895" s="2">
        <v>0.43702679999999999</v>
      </c>
      <c r="R895" s="2">
        <v>25.71</v>
      </c>
      <c r="S895" s="2">
        <v>5.6599999999999999E-4</v>
      </c>
      <c r="T895" s="2">
        <v>2.5094000000000001E-4</v>
      </c>
      <c r="V895" s="11"/>
      <c r="W895" s="6"/>
      <c r="X895" s="6">
        <v>8.76</v>
      </c>
      <c r="Y895" s="11" t="str">
        <f t="shared" si="168"/>
        <v/>
      </c>
      <c r="Z895" s="6" t="str">
        <f t="shared" si="169"/>
        <v/>
      </c>
      <c r="AA895" s="23">
        <f t="shared" si="170"/>
        <v>38.76</v>
      </c>
      <c r="AB895" t="str">
        <f t="shared" si="159"/>
        <v/>
      </c>
      <c r="AC895" t="str">
        <f t="shared" si="160"/>
        <v/>
      </c>
      <c r="AD895">
        <f t="shared" si="161"/>
        <v>8.2751999999999999E-4</v>
      </c>
      <c r="AE895" s="18" t="str">
        <f t="shared" si="162"/>
        <v/>
      </c>
      <c r="AF895" s="7" t="str">
        <f t="shared" si="163"/>
        <v/>
      </c>
      <c r="AG895" s="12">
        <f t="shared" si="164"/>
        <v>0.99411618833036686</v>
      </c>
      <c r="AI895" s="54" t="str">
        <f t="shared" si="165"/>
        <v/>
      </c>
      <c r="AJ895" s="54" t="str">
        <f t="shared" si="166"/>
        <v/>
      </c>
      <c r="AK895" s="54">
        <f t="shared" si="167"/>
        <v>0.50954679234138756</v>
      </c>
    </row>
    <row r="896" spans="9:37" x14ac:dyDescent="0.45">
      <c r="I896" s="2">
        <v>104.2</v>
      </c>
      <c r="J896" s="2">
        <v>0.58811659999999999</v>
      </c>
      <c r="K896" s="2">
        <v>0.4417026</v>
      </c>
      <c r="R896" s="2">
        <v>25.72</v>
      </c>
      <c r="S896" s="2">
        <v>5.6599999999999999E-4</v>
      </c>
      <c r="T896" s="2">
        <v>2.5107999999999999E-4</v>
      </c>
      <c r="V896" s="11"/>
      <c r="W896" s="6"/>
      <c r="X896" s="6">
        <v>8.77</v>
      </c>
      <c r="Y896" s="11" t="str">
        <f t="shared" si="168"/>
        <v/>
      </c>
      <c r="Z896" s="6" t="str">
        <f t="shared" si="169"/>
        <v/>
      </c>
      <c r="AA896" s="23">
        <f t="shared" si="170"/>
        <v>38.769999999999996</v>
      </c>
      <c r="AB896" t="str">
        <f t="shared" si="159"/>
        <v/>
      </c>
      <c r="AC896" t="str">
        <f t="shared" si="160"/>
        <v/>
      </c>
      <c r="AD896">
        <f t="shared" si="161"/>
        <v>8.2751999999999999E-4</v>
      </c>
      <c r="AE896" s="18" t="str">
        <f t="shared" si="162"/>
        <v/>
      </c>
      <c r="AF896" s="7" t="str">
        <f t="shared" si="163"/>
        <v/>
      </c>
      <c r="AG896" s="12">
        <f t="shared" si="164"/>
        <v>0.99410796182008521</v>
      </c>
      <c r="AI896" s="54" t="str">
        <f t="shared" si="165"/>
        <v/>
      </c>
      <c r="AJ896" s="54" t="str">
        <f t="shared" si="166"/>
        <v/>
      </c>
      <c r="AK896" s="54">
        <f t="shared" si="167"/>
        <v>0.51023744429436857</v>
      </c>
    </row>
    <row r="897" spans="9:37" x14ac:dyDescent="0.45">
      <c r="I897" s="2">
        <v>104.3</v>
      </c>
      <c r="J897" s="2">
        <v>0.59272990000000003</v>
      </c>
      <c r="K897" s="2">
        <v>0.44637840000000001</v>
      </c>
      <c r="R897" s="2">
        <v>25.73</v>
      </c>
      <c r="S897" s="2">
        <v>5.6599999999999999E-4</v>
      </c>
      <c r="T897" s="2">
        <v>2.5122000000000002E-4</v>
      </c>
      <c r="V897" s="11"/>
      <c r="W897" s="6"/>
      <c r="X897" s="6">
        <v>8.7799999999999994</v>
      </c>
      <c r="Y897" s="11" t="str">
        <f t="shared" si="168"/>
        <v/>
      </c>
      <c r="Z897" s="6" t="str">
        <f t="shared" si="169"/>
        <v/>
      </c>
      <c r="AA897" s="23">
        <f t="shared" si="170"/>
        <v>38.78</v>
      </c>
      <c r="AB897" t="str">
        <f t="shared" si="159"/>
        <v/>
      </c>
      <c r="AC897" t="str">
        <f t="shared" si="160"/>
        <v/>
      </c>
      <c r="AD897">
        <f t="shared" si="161"/>
        <v>8.2856E-4</v>
      </c>
      <c r="AE897" s="18" t="str">
        <f t="shared" si="162"/>
        <v/>
      </c>
      <c r="AF897" s="7" t="str">
        <f t="shared" si="163"/>
        <v/>
      </c>
      <c r="AG897" s="12">
        <f t="shared" si="164"/>
        <v>0.99409973537787955</v>
      </c>
      <c r="AI897" s="54" t="str">
        <f t="shared" si="165"/>
        <v/>
      </c>
      <c r="AJ897" s="54" t="str">
        <f t="shared" si="166"/>
        <v/>
      </c>
      <c r="AK897" s="54">
        <f t="shared" si="167"/>
        <v>0.51092837822341386</v>
      </c>
    </row>
    <row r="898" spans="9:37" x14ac:dyDescent="0.45">
      <c r="I898" s="2">
        <v>104.4</v>
      </c>
      <c r="J898" s="2">
        <v>0.59734319999999996</v>
      </c>
      <c r="K898" s="2">
        <v>0.45105420000000002</v>
      </c>
      <c r="R898" s="2">
        <v>25.74</v>
      </c>
      <c r="S898" s="2">
        <v>5.6599999999999999E-4</v>
      </c>
      <c r="T898" s="2">
        <v>2.5136000000000001E-4</v>
      </c>
      <c r="V898" s="11"/>
      <c r="W898" s="6"/>
      <c r="X898" s="6">
        <v>8.7900000000000009</v>
      </c>
      <c r="Y898" s="11" t="str">
        <f t="shared" si="168"/>
        <v/>
      </c>
      <c r="Z898" s="6" t="str">
        <f t="shared" si="169"/>
        <v/>
      </c>
      <c r="AA898" s="23">
        <f t="shared" si="170"/>
        <v>38.79</v>
      </c>
      <c r="AB898" t="str">
        <f t="shared" si="159"/>
        <v/>
      </c>
      <c r="AC898" t="str">
        <f t="shared" si="160"/>
        <v/>
      </c>
      <c r="AD898">
        <f t="shared" si="161"/>
        <v>8.2908000000000005E-4</v>
      </c>
      <c r="AE898" s="18" t="str">
        <f t="shared" si="162"/>
        <v/>
      </c>
      <c r="AF898" s="7" t="str">
        <f t="shared" si="163"/>
        <v/>
      </c>
      <c r="AG898" s="12">
        <f t="shared" si="164"/>
        <v>0.99409149866511215</v>
      </c>
      <c r="AI898" s="54" t="str">
        <f t="shared" si="165"/>
        <v/>
      </c>
      <c r="AJ898" s="54" t="str">
        <f t="shared" si="166"/>
        <v/>
      </c>
      <c r="AK898" s="54">
        <f t="shared" si="167"/>
        <v>0.51161958915730232</v>
      </c>
    </row>
    <row r="899" spans="9:37" x14ac:dyDescent="0.45">
      <c r="I899" s="2">
        <v>104.5</v>
      </c>
      <c r="J899" s="2">
        <v>0.60195650000000001</v>
      </c>
      <c r="K899" s="2">
        <v>0.45573000000000002</v>
      </c>
      <c r="R899" s="2">
        <v>25.75</v>
      </c>
      <c r="S899" s="2">
        <v>5.6599999999999999E-4</v>
      </c>
      <c r="T899" s="2">
        <v>2.5149999999999999E-4</v>
      </c>
      <c r="V899" s="11"/>
      <c r="W899" s="6"/>
      <c r="X899" s="6">
        <v>8.8000000000000007</v>
      </c>
      <c r="Y899" s="11" t="str">
        <f t="shared" si="168"/>
        <v/>
      </c>
      <c r="Z899" s="6" t="str">
        <f t="shared" si="169"/>
        <v/>
      </c>
      <c r="AA899" s="23">
        <f t="shared" si="170"/>
        <v>38.799999999999997</v>
      </c>
      <c r="AB899" t="str">
        <f t="shared" si="159"/>
        <v/>
      </c>
      <c r="AC899" t="str">
        <f t="shared" si="160"/>
        <v/>
      </c>
      <c r="AD899">
        <f t="shared" si="161"/>
        <v>8.296E-4</v>
      </c>
      <c r="AE899" s="18" t="str">
        <f t="shared" si="162"/>
        <v/>
      </c>
      <c r="AF899" s="7" t="str">
        <f t="shared" si="163"/>
        <v/>
      </c>
      <c r="AG899" s="12">
        <f t="shared" si="164"/>
        <v>0.99408325685131504</v>
      </c>
      <c r="AI899" s="54" t="str">
        <f t="shared" si="165"/>
        <v/>
      </c>
      <c r="AJ899" s="54" t="str">
        <f t="shared" si="166"/>
        <v/>
      </c>
      <c r="AK899" s="54">
        <f t="shared" si="167"/>
        <v>0.51231107976308354</v>
      </c>
    </row>
    <row r="900" spans="9:37" x14ac:dyDescent="0.45">
      <c r="I900" s="2">
        <v>104.6</v>
      </c>
      <c r="J900" s="2">
        <v>0.60656980000000005</v>
      </c>
      <c r="K900" s="2">
        <v>0.46040579999999998</v>
      </c>
      <c r="R900" s="2">
        <v>25.76</v>
      </c>
      <c r="S900" s="2">
        <v>5.6599999999999999E-4</v>
      </c>
      <c r="T900" s="2">
        <v>2.5164000000000002E-4</v>
      </c>
      <c r="V900" s="11"/>
      <c r="W900" s="6"/>
      <c r="X900" s="6">
        <v>8.81</v>
      </c>
      <c r="Y900" s="11" t="str">
        <f t="shared" si="168"/>
        <v/>
      </c>
      <c r="Z900" s="6" t="str">
        <f t="shared" si="169"/>
        <v/>
      </c>
      <c r="AA900" s="23">
        <f t="shared" si="170"/>
        <v>38.81</v>
      </c>
      <c r="AB900" t="str">
        <f t="shared" si="159"/>
        <v/>
      </c>
      <c r="AC900" t="str">
        <f t="shared" si="160"/>
        <v/>
      </c>
      <c r="AD900">
        <f t="shared" si="161"/>
        <v>8.3011999999999995E-4</v>
      </c>
      <c r="AE900" s="18" t="str">
        <f t="shared" si="162"/>
        <v/>
      </c>
      <c r="AF900" s="7" t="str">
        <f t="shared" si="163"/>
        <v/>
      </c>
      <c r="AG900" s="12">
        <f t="shared" si="164"/>
        <v>0.99407500993661624</v>
      </c>
      <c r="AI900" s="54" t="str">
        <f t="shared" si="165"/>
        <v/>
      </c>
      <c r="AJ900" s="54" t="str">
        <f t="shared" si="166"/>
        <v/>
      </c>
      <c r="AK900" s="54">
        <f t="shared" si="167"/>
        <v>0.51300285016213498</v>
      </c>
    </row>
    <row r="901" spans="9:37" x14ac:dyDescent="0.45">
      <c r="I901" s="2">
        <v>104.7</v>
      </c>
      <c r="J901" s="2">
        <v>0.61118309999999998</v>
      </c>
      <c r="K901" s="2">
        <v>0.46508159999999998</v>
      </c>
      <c r="R901" s="2">
        <v>25.77</v>
      </c>
      <c r="S901" s="2">
        <v>5.6599999999999999E-4</v>
      </c>
      <c r="T901" s="2">
        <v>2.5178000000000001E-4</v>
      </c>
      <c r="V901" s="11"/>
      <c r="W901" s="6"/>
      <c r="X901" s="6">
        <v>8.82</v>
      </c>
      <c r="Y901" s="11" t="str">
        <f t="shared" si="168"/>
        <v/>
      </c>
      <c r="Z901" s="6" t="str">
        <f t="shared" si="169"/>
        <v/>
      </c>
      <c r="AA901" s="23">
        <f t="shared" si="170"/>
        <v>38.82</v>
      </c>
      <c r="AB901" t="str">
        <f t="shared" si="159"/>
        <v/>
      </c>
      <c r="AC901" t="str">
        <f t="shared" si="160"/>
        <v/>
      </c>
      <c r="AD901">
        <f t="shared" si="161"/>
        <v>8.3064E-4</v>
      </c>
      <c r="AE901" s="18" t="str">
        <f t="shared" si="162"/>
        <v/>
      </c>
      <c r="AF901" s="7" t="str">
        <f t="shared" si="163"/>
        <v/>
      </c>
      <c r="AG901" s="12">
        <f t="shared" si="164"/>
        <v>0.99406675792114374</v>
      </c>
      <c r="AI901" s="54" t="str">
        <f t="shared" si="165"/>
        <v/>
      </c>
      <c r="AJ901" s="54" t="str">
        <f t="shared" si="166"/>
        <v/>
      </c>
      <c r="AK901" s="54">
        <f t="shared" si="167"/>
        <v>0.51369490047588806</v>
      </c>
    </row>
    <row r="902" spans="9:37" x14ac:dyDescent="0.45">
      <c r="I902" s="2">
        <v>104.8</v>
      </c>
      <c r="J902" s="2">
        <v>0.61579640000000002</v>
      </c>
      <c r="K902" s="2">
        <v>0.46975739999999999</v>
      </c>
      <c r="R902" s="2">
        <v>25.78</v>
      </c>
      <c r="S902" s="2">
        <v>5.6599999999999999E-4</v>
      </c>
      <c r="T902" s="2">
        <v>2.5191999999999999E-4</v>
      </c>
      <c r="V902" s="11"/>
      <c r="W902" s="6"/>
      <c r="X902" s="6">
        <v>8.83</v>
      </c>
      <c r="Y902" s="11" t="str">
        <f t="shared" si="168"/>
        <v/>
      </c>
      <c r="Z902" s="6" t="str">
        <f t="shared" si="169"/>
        <v/>
      </c>
      <c r="AA902" s="23">
        <f t="shared" si="170"/>
        <v>38.83</v>
      </c>
      <c r="AB902" t="str">
        <f t="shared" si="159"/>
        <v/>
      </c>
      <c r="AC902" t="str">
        <f t="shared" si="160"/>
        <v/>
      </c>
      <c r="AD902">
        <f t="shared" si="161"/>
        <v>8.3115999999999995E-4</v>
      </c>
      <c r="AE902" s="18" t="str">
        <f t="shared" si="162"/>
        <v/>
      </c>
      <c r="AF902" s="7" t="str">
        <f t="shared" si="163"/>
        <v/>
      </c>
      <c r="AG902" s="12">
        <f t="shared" si="164"/>
        <v>0.99405850080502578</v>
      </c>
      <c r="AI902" s="54" t="str">
        <f t="shared" si="165"/>
        <v/>
      </c>
      <c r="AJ902" s="54" t="str">
        <f t="shared" si="166"/>
        <v/>
      </c>
      <c r="AK902" s="54">
        <f t="shared" si="167"/>
        <v>0.51438723082582827</v>
      </c>
    </row>
    <row r="903" spans="9:37" x14ac:dyDescent="0.45">
      <c r="I903" s="2">
        <v>104.9</v>
      </c>
      <c r="J903" s="2">
        <v>0.62040969999999995</v>
      </c>
      <c r="K903" s="2">
        <v>0.4744332</v>
      </c>
      <c r="R903" s="2">
        <v>25.79</v>
      </c>
      <c r="S903" s="2">
        <v>5.6599999999999999E-4</v>
      </c>
      <c r="T903" s="2">
        <v>2.5206000000000002E-4</v>
      </c>
      <c r="V903" s="11"/>
      <c r="W903" s="6"/>
      <c r="X903" s="6">
        <v>8.84</v>
      </c>
      <c r="Y903" s="11" t="str">
        <f t="shared" si="168"/>
        <v/>
      </c>
      <c r="Z903" s="6" t="str">
        <f t="shared" si="169"/>
        <v/>
      </c>
      <c r="AA903" s="23">
        <f t="shared" si="170"/>
        <v>38.840000000000003</v>
      </c>
      <c r="AB903" t="str">
        <f t="shared" si="159"/>
        <v/>
      </c>
      <c r="AC903" t="str">
        <f t="shared" si="160"/>
        <v/>
      </c>
      <c r="AD903">
        <f t="shared" si="161"/>
        <v>8.3168000000000001E-4</v>
      </c>
      <c r="AE903" s="18" t="str">
        <f t="shared" si="162"/>
        <v/>
      </c>
      <c r="AF903" s="7" t="str">
        <f t="shared" si="163"/>
        <v/>
      </c>
      <c r="AG903" s="12">
        <f t="shared" si="164"/>
        <v>0.99405023858839048</v>
      </c>
      <c r="AI903" s="54" t="str">
        <f t="shared" si="165"/>
        <v/>
      </c>
      <c r="AJ903" s="54" t="str">
        <f t="shared" si="166"/>
        <v/>
      </c>
      <c r="AK903" s="54">
        <f t="shared" si="167"/>
        <v>0.51507984133349483</v>
      </c>
    </row>
    <row r="904" spans="9:37" x14ac:dyDescent="0.45">
      <c r="I904" s="2">
        <v>105</v>
      </c>
      <c r="J904" s="2">
        <v>0.625023</v>
      </c>
      <c r="K904" s="2">
        <v>0.47910900000000001</v>
      </c>
      <c r="R904" s="2">
        <v>25.8</v>
      </c>
      <c r="S904" s="2">
        <v>5.6599999999999999E-4</v>
      </c>
      <c r="T904" s="2">
        <v>2.522E-4</v>
      </c>
      <c r="V904" s="11"/>
      <c r="W904" s="6"/>
      <c r="X904" s="6">
        <v>8.85</v>
      </c>
      <c r="Y904" s="11" t="str">
        <f t="shared" si="168"/>
        <v/>
      </c>
      <c r="Z904" s="6" t="str">
        <f t="shared" si="169"/>
        <v/>
      </c>
      <c r="AA904" s="23">
        <f t="shared" si="170"/>
        <v>38.85</v>
      </c>
      <c r="AB904" t="str">
        <f t="shared" si="159"/>
        <v/>
      </c>
      <c r="AC904" t="str">
        <f t="shared" si="160"/>
        <v/>
      </c>
      <c r="AD904">
        <f t="shared" si="161"/>
        <v>8.3219999999999995E-4</v>
      </c>
      <c r="AE904" s="18" t="str">
        <f t="shared" si="162"/>
        <v/>
      </c>
      <c r="AF904" s="7" t="str">
        <f t="shared" si="163"/>
        <v/>
      </c>
      <c r="AG904" s="12">
        <f t="shared" si="164"/>
        <v>0.99404197127136618</v>
      </c>
      <c r="AI904" s="54" t="str">
        <f t="shared" si="165"/>
        <v/>
      </c>
      <c r="AJ904" s="54" t="str">
        <f t="shared" si="166"/>
        <v/>
      </c>
      <c r="AK904" s="54">
        <f t="shared" si="167"/>
        <v>0.51577273212048114</v>
      </c>
    </row>
    <row r="905" spans="9:37" x14ac:dyDescent="0.45">
      <c r="I905" s="2">
        <v>105.1</v>
      </c>
      <c r="J905" s="2">
        <v>0.62993690000000002</v>
      </c>
      <c r="K905" s="2">
        <v>0.48429060000000002</v>
      </c>
      <c r="R905" s="2">
        <v>25.81</v>
      </c>
      <c r="S905" s="2">
        <v>5.6599999999999999E-4</v>
      </c>
      <c r="T905" s="2">
        <v>2.5233999999999999E-4</v>
      </c>
      <c r="V905" s="11"/>
      <c r="W905" s="6"/>
      <c r="X905" s="6">
        <v>8.86</v>
      </c>
      <c r="Y905" s="11" t="str">
        <f t="shared" si="168"/>
        <v/>
      </c>
      <c r="Z905" s="6" t="str">
        <f t="shared" si="169"/>
        <v/>
      </c>
      <c r="AA905" s="23">
        <f t="shared" si="170"/>
        <v>38.86</v>
      </c>
      <c r="AB905" t="str">
        <f t="shared" si="159"/>
        <v/>
      </c>
      <c r="AC905" t="str">
        <f t="shared" si="160"/>
        <v/>
      </c>
      <c r="AD905">
        <f t="shared" si="161"/>
        <v>8.3272000000000001E-4</v>
      </c>
      <c r="AE905" s="18" t="str">
        <f t="shared" si="162"/>
        <v/>
      </c>
      <c r="AF905" s="7" t="str">
        <f t="shared" si="163"/>
        <v/>
      </c>
      <c r="AG905" s="12">
        <f t="shared" si="164"/>
        <v>0.99403369885408122</v>
      </c>
      <c r="AI905" s="54" t="str">
        <f t="shared" si="165"/>
        <v/>
      </c>
      <c r="AJ905" s="54" t="str">
        <f t="shared" si="166"/>
        <v/>
      </c>
      <c r="AK905" s="54">
        <f t="shared" si="167"/>
        <v>0.51646590330843456</v>
      </c>
    </row>
    <row r="906" spans="9:37" x14ac:dyDescent="0.45">
      <c r="I906" s="2">
        <v>105.2</v>
      </c>
      <c r="J906" s="2">
        <v>0.63485080000000005</v>
      </c>
      <c r="K906" s="2">
        <v>0.48947220000000002</v>
      </c>
      <c r="R906" s="2">
        <v>25.82</v>
      </c>
      <c r="S906" s="2">
        <v>5.6599999999999999E-4</v>
      </c>
      <c r="T906" s="2">
        <v>2.5248000000000002E-4</v>
      </c>
      <c r="V906" s="11"/>
      <c r="W906" s="6"/>
      <c r="X906" s="6">
        <v>8.870000000000001</v>
      </c>
      <c r="Y906" s="11" t="str">
        <f t="shared" si="168"/>
        <v/>
      </c>
      <c r="Z906" s="6" t="str">
        <f t="shared" si="169"/>
        <v/>
      </c>
      <c r="AA906" s="23">
        <f t="shared" si="170"/>
        <v>38.870000000000005</v>
      </c>
      <c r="AB906" t="str">
        <f t="shared" si="159"/>
        <v/>
      </c>
      <c r="AC906" t="str">
        <f t="shared" si="160"/>
        <v/>
      </c>
      <c r="AD906">
        <f t="shared" si="161"/>
        <v>8.3323999999999996E-4</v>
      </c>
      <c r="AE906" s="18" t="str">
        <f t="shared" si="162"/>
        <v/>
      </c>
      <c r="AF906" s="7" t="str">
        <f t="shared" si="163"/>
        <v/>
      </c>
      <c r="AG906" s="12">
        <f t="shared" si="164"/>
        <v>0.99402542133666416</v>
      </c>
      <c r="AI906" s="54" t="str">
        <f t="shared" si="165"/>
        <v/>
      </c>
      <c r="AJ906" s="54" t="str">
        <f t="shared" si="166"/>
        <v/>
      </c>
      <c r="AK906" s="54">
        <f t="shared" si="167"/>
        <v>0.51715935501905641</v>
      </c>
    </row>
    <row r="907" spans="9:37" x14ac:dyDescent="0.45">
      <c r="I907" s="2">
        <v>105.3</v>
      </c>
      <c r="J907" s="2">
        <v>0.63976469999999996</v>
      </c>
      <c r="K907" s="2">
        <v>0.49465379999999998</v>
      </c>
      <c r="R907" s="2">
        <v>25.83</v>
      </c>
      <c r="S907" s="2">
        <v>5.6599999999999999E-4</v>
      </c>
      <c r="T907" s="2">
        <v>2.5262E-4</v>
      </c>
      <c r="V907" s="11"/>
      <c r="W907" s="6"/>
      <c r="X907" s="6">
        <v>8.8800000000000008</v>
      </c>
      <c r="Y907" s="11" t="str">
        <f t="shared" si="168"/>
        <v/>
      </c>
      <c r="Z907" s="6" t="str">
        <f t="shared" si="169"/>
        <v/>
      </c>
      <c r="AA907" s="23">
        <f t="shared" si="170"/>
        <v>38.880000000000003</v>
      </c>
      <c r="AB907" t="str">
        <f t="shared" si="159"/>
        <v/>
      </c>
      <c r="AC907" t="str">
        <f t="shared" si="160"/>
        <v/>
      </c>
      <c r="AD907">
        <f t="shared" si="161"/>
        <v>8.3376000000000001E-4</v>
      </c>
      <c r="AE907" s="18" t="str">
        <f t="shared" si="162"/>
        <v/>
      </c>
      <c r="AF907" s="7" t="str">
        <f t="shared" si="163"/>
        <v/>
      </c>
      <c r="AG907" s="12">
        <f t="shared" si="164"/>
        <v>0.99401713871924346</v>
      </c>
      <c r="AI907" s="54" t="str">
        <f t="shared" si="165"/>
        <v/>
      </c>
      <c r="AJ907" s="54" t="str">
        <f t="shared" si="166"/>
        <v/>
      </c>
      <c r="AK907" s="54">
        <f t="shared" si="167"/>
        <v>0.51785308737410229</v>
      </c>
    </row>
    <row r="908" spans="9:37" x14ac:dyDescent="0.45">
      <c r="I908" s="2">
        <v>105.4</v>
      </c>
      <c r="J908" s="2">
        <v>0.64467859999999999</v>
      </c>
      <c r="K908" s="2">
        <v>0.49983539999999999</v>
      </c>
      <c r="R908" s="2">
        <v>25.84</v>
      </c>
      <c r="S908" s="2">
        <v>5.6599999999999999E-4</v>
      </c>
      <c r="T908" s="2">
        <v>2.5275999999999999E-4</v>
      </c>
      <c r="V908" s="11"/>
      <c r="W908" s="6"/>
      <c r="X908" s="6">
        <v>8.89</v>
      </c>
      <c r="Y908" s="11" t="str">
        <f t="shared" si="168"/>
        <v/>
      </c>
      <c r="Z908" s="6" t="str">
        <f t="shared" si="169"/>
        <v/>
      </c>
      <c r="AA908" s="23">
        <f t="shared" si="170"/>
        <v>38.89</v>
      </c>
      <c r="AB908" t="str">
        <f t="shared" si="159"/>
        <v/>
      </c>
      <c r="AC908" t="str">
        <f t="shared" si="160"/>
        <v/>
      </c>
      <c r="AD908">
        <f t="shared" si="161"/>
        <v>8.3427999999999996E-4</v>
      </c>
      <c r="AE908" s="18" t="str">
        <f t="shared" si="162"/>
        <v/>
      </c>
      <c r="AF908" s="7" t="str">
        <f t="shared" si="163"/>
        <v/>
      </c>
      <c r="AG908" s="12">
        <f t="shared" si="164"/>
        <v>0.99400885100194769</v>
      </c>
      <c r="AI908" s="54" t="str">
        <f t="shared" si="165"/>
        <v/>
      </c>
      <c r="AJ908" s="54" t="str">
        <f t="shared" si="166"/>
        <v/>
      </c>
      <c r="AK908" s="54">
        <f t="shared" si="167"/>
        <v>0.51854710049538177</v>
      </c>
    </row>
    <row r="909" spans="9:37" x14ac:dyDescent="0.45">
      <c r="I909" s="2">
        <v>105.5</v>
      </c>
      <c r="J909" s="2">
        <v>0.64959250000000002</v>
      </c>
      <c r="K909" s="2">
        <v>0.50501700000000005</v>
      </c>
      <c r="R909" s="2">
        <v>25.85</v>
      </c>
      <c r="S909" s="2">
        <v>5.6599999999999999E-4</v>
      </c>
      <c r="T909" s="2">
        <v>2.5290000000000002E-4</v>
      </c>
      <c r="V909" s="11"/>
      <c r="W909" s="6"/>
      <c r="X909" s="6">
        <v>8.9</v>
      </c>
      <c r="Y909" s="11" t="str">
        <f t="shared" si="168"/>
        <v/>
      </c>
      <c r="Z909" s="6" t="str">
        <f t="shared" si="169"/>
        <v/>
      </c>
      <c r="AA909" s="23">
        <f t="shared" si="170"/>
        <v>38.9</v>
      </c>
      <c r="AB909" t="str">
        <f t="shared" si="159"/>
        <v/>
      </c>
      <c r="AC909" t="str">
        <f t="shared" si="160"/>
        <v/>
      </c>
      <c r="AD909">
        <f t="shared" si="161"/>
        <v>8.3480000000000002E-4</v>
      </c>
      <c r="AE909" s="18" t="str">
        <f t="shared" si="162"/>
        <v/>
      </c>
      <c r="AF909" s="7" t="str">
        <f t="shared" si="163"/>
        <v/>
      </c>
      <c r="AG909" s="12">
        <f t="shared" si="164"/>
        <v>0.99400055818490551</v>
      </c>
      <c r="AI909" s="54" t="str">
        <f t="shared" si="165"/>
        <v/>
      </c>
      <c r="AJ909" s="54" t="str">
        <f t="shared" si="166"/>
        <v/>
      </c>
      <c r="AK909" s="54">
        <f t="shared" si="167"/>
        <v>0.51924139450475848</v>
      </c>
    </row>
    <row r="910" spans="9:37" x14ac:dyDescent="0.45">
      <c r="I910" s="2">
        <v>105.6</v>
      </c>
      <c r="J910" s="2">
        <v>0.65450640000000004</v>
      </c>
      <c r="K910" s="2">
        <v>0.51019859999999995</v>
      </c>
      <c r="R910" s="2">
        <v>25.86</v>
      </c>
      <c r="S910" s="2">
        <v>5.6599999999999999E-4</v>
      </c>
      <c r="T910" s="2">
        <v>2.5304E-4</v>
      </c>
      <c r="V910" s="11"/>
      <c r="W910" s="6"/>
      <c r="X910" s="6">
        <v>8.91</v>
      </c>
      <c r="Y910" s="11" t="str">
        <f t="shared" si="168"/>
        <v/>
      </c>
      <c r="Z910" s="6" t="str">
        <f t="shared" si="169"/>
        <v/>
      </c>
      <c r="AA910" s="23">
        <f t="shared" si="170"/>
        <v>38.909999999999997</v>
      </c>
      <c r="AB910" t="str">
        <f t="shared" si="159"/>
        <v/>
      </c>
      <c r="AC910" t="str">
        <f t="shared" si="160"/>
        <v/>
      </c>
      <c r="AD910">
        <f t="shared" si="161"/>
        <v>8.3531999999999996E-4</v>
      </c>
      <c r="AE910" s="18" t="str">
        <f t="shared" si="162"/>
        <v/>
      </c>
      <c r="AF910" s="7" t="str">
        <f t="shared" si="163"/>
        <v/>
      </c>
      <c r="AG910" s="12">
        <f t="shared" si="164"/>
        <v>0.99399226026824583</v>
      </c>
      <c r="AI910" s="54" t="str">
        <f t="shared" si="165"/>
        <v/>
      </c>
      <c r="AJ910" s="54" t="str">
        <f t="shared" si="166"/>
        <v/>
      </c>
      <c r="AK910" s="54">
        <f t="shared" si="167"/>
        <v>0.51993596952415022</v>
      </c>
    </row>
    <row r="911" spans="9:37" x14ac:dyDescent="0.45">
      <c r="I911" s="2">
        <v>105.7</v>
      </c>
      <c r="J911" s="2">
        <v>0.65942029999999996</v>
      </c>
      <c r="K911" s="2">
        <v>0.51538019999999996</v>
      </c>
      <c r="R911" s="2">
        <v>25.87</v>
      </c>
      <c r="S911" s="2">
        <v>5.6599999999999999E-4</v>
      </c>
      <c r="T911" s="2">
        <v>2.5317999999999998E-4</v>
      </c>
      <c r="V911" s="11"/>
      <c r="W911" s="6"/>
      <c r="X911" s="6">
        <v>8.92</v>
      </c>
      <c r="Y911" s="11" t="str">
        <f t="shared" si="168"/>
        <v/>
      </c>
      <c r="Z911" s="6" t="str">
        <f t="shared" si="169"/>
        <v/>
      </c>
      <c r="AA911" s="23">
        <f t="shared" si="170"/>
        <v>38.92</v>
      </c>
      <c r="AB911" t="str">
        <f t="shared" si="159"/>
        <v/>
      </c>
      <c r="AC911" t="str">
        <f t="shared" si="160"/>
        <v/>
      </c>
      <c r="AD911">
        <f t="shared" si="161"/>
        <v>8.3584000000000002E-4</v>
      </c>
      <c r="AE911" s="18" t="str">
        <f t="shared" si="162"/>
        <v/>
      </c>
      <c r="AF911" s="7" t="str">
        <f t="shared" si="163"/>
        <v/>
      </c>
      <c r="AG911" s="12">
        <f t="shared" si="164"/>
        <v>0.99398395725209732</v>
      </c>
      <c r="AI911" s="54" t="str">
        <f t="shared" si="165"/>
        <v/>
      </c>
      <c r="AJ911" s="54" t="str">
        <f t="shared" si="166"/>
        <v/>
      </c>
      <c r="AK911" s="54">
        <f t="shared" si="167"/>
        <v>0.52063082567552899</v>
      </c>
    </row>
    <row r="912" spans="9:37" x14ac:dyDescent="0.45">
      <c r="I912" s="2">
        <v>105.8</v>
      </c>
      <c r="J912" s="2">
        <v>0.66433419999999999</v>
      </c>
      <c r="K912" s="2">
        <v>0.52056179999999996</v>
      </c>
      <c r="R912" s="2">
        <v>25.88</v>
      </c>
      <c r="S912" s="2">
        <v>5.6599999999999999E-4</v>
      </c>
      <c r="T912" s="2">
        <v>2.5332000000000002E-4</v>
      </c>
      <c r="V912" s="11"/>
      <c r="W912" s="6"/>
      <c r="X912" s="6">
        <v>8.93</v>
      </c>
      <c r="Y912" s="11" t="str">
        <f t="shared" si="168"/>
        <v/>
      </c>
      <c r="Z912" s="6" t="str">
        <f t="shared" si="169"/>
        <v/>
      </c>
      <c r="AA912" s="23">
        <f t="shared" si="170"/>
        <v>38.93</v>
      </c>
      <c r="AB912" t="str">
        <f t="shared" si="159"/>
        <v/>
      </c>
      <c r="AC912" t="str">
        <f t="shared" si="160"/>
        <v/>
      </c>
      <c r="AD912">
        <f t="shared" si="161"/>
        <v>8.3635999999999997E-4</v>
      </c>
      <c r="AE912" s="18" t="str">
        <f t="shared" si="162"/>
        <v/>
      </c>
      <c r="AF912" s="7" t="str">
        <f t="shared" si="163"/>
        <v/>
      </c>
      <c r="AG912" s="12">
        <f t="shared" si="164"/>
        <v>0.99397564913658898</v>
      </c>
      <c r="AI912" s="54" t="str">
        <f t="shared" si="165"/>
        <v/>
      </c>
      <c r="AJ912" s="54" t="str">
        <f t="shared" si="166"/>
        <v/>
      </c>
      <c r="AK912" s="54">
        <f t="shared" si="167"/>
        <v>0.52132596308092105</v>
      </c>
    </row>
    <row r="913" spans="9:37" x14ac:dyDescent="0.45">
      <c r="I913" s="2">
        <v>105.9</v>
      </c>
      <c r="J913" s="2">
        <v>0.66924810000000001</v>
      </c>
      <c r="K913" s="2">
        <v>0.52574339999999997</v>
      </c>
      <c r="R913" s="2">
        <v>25.89</v>
      </c>
      <c r="S913" s="2">
        <v>5.6599999999999999E-4</v>
      </c>
      <c r="T913" s="2">
        <v>2.5346E-4</v>
      </c>
      <c r="V913" s="11"/>
      <c r="W913" s="6"/>
      <c r="X913" s="6">
        <v>8.94</v>
      </c>
      <c r="Y913" s="11" t="str">
        <f t="shared" si="168"/>
        <v/>
      </c>
      <c r="Z913" s="6" t="str">
        <f t="shared" si="169"/>
        <v/>
      </c>
      <c r="AA913" s="23">
        <f t="shared" si="170"/>
        <v>38.94</v>
      </c>
      <c r="AB913" t="str">
        <f t="shared" si="159"/>
        <v/>
      </c>
      <c r="AC913" t="str">
        <f t="shared" si="160"/>
        <v/>
      </c>
      <c r="AD913">
        <f t="shared" si="161"/>
        <v>8.3688000000000002E-4</v>
      </c>
      <c r="AE913" s="18" t="str">
        <f t="shared" si="162"/>
        <v/>
      </c>
      <c r="AF913" s="7" t="str">
        <f t="shared" si="163"/>
        <v/>
      </c>
      <c r="AG913" s="12">
        <f t="shared" si="164"/>
        <v>0.99396733592184983</v>
      </c>
      <c r="AI913" s="54" t="str">
        <f t="shared" si="165"/>
        <v/>
      </c>
      <c r="AJ913" s="54" t="str">
        <f t="shared" si="166"/>
        <v/>
      </c>
      <c r="AK913" s="54">
        <f t="shared" si="167"/>
        <v>0.52202138186240676</v>
      </c>
    </row>
    <row r="914" spans="9:37" x14ac:dyDescent="0.45">
      <c r="I914" s="2">
        <v>106</v>
      </c>
      <c r="J914" s="2">
        <v>0.67416200000000004</v>
      </c>
      <c r="K914" s="2">
        <v>0.53092499999999998</v>
      </c>
      <c r="R914" s="2">
        <v>25.9</v>
      </c>
      <c r="S914" s="2">
        <v>5.6599999999999999E-4</v>
      </c>
      <c r="T914" s="2">
        <v>2.5359999999999998E-4</v>
      </c>
      <c r="V914" s="11"/>
      <c r="W914" s="6"/>
      <c r="X914" s="6">
        <v>8.9500000000000011</v>
      </c>
      <c r="Y914" s="11" t="str">
        <f t="shared" si="168"/>
        <v/>
      </c>
      <c r="Z914" s="6" t="str">
        <f t="shared" si="169"/>
        <v/>
      </c>
      <c r="AA914" s="23">
        <f t="shared" si="170"/>
        <v>38.950000000000003</v>
      </c>
      <c r="AB914" t="str">
        <f t="shared" si="159"/>
        <v/>
      </c>
      <c r="AC914" t="str">
        <f t="shared" si="160"/>
        <v/>
      </c>
      <c r="AD914">
        <f t="shared" si="161"/>
        <v>8.3739999999999997E-4</v>
      </c>
      <c r="AE914" s="18" t="str">
        <f t="shared" si="162"/>
        <v/>
      </c>
      <c r="AF914" s="7" t="str">
        <f t="shared" si="163"/>
        <v/>
      </c>
      <c r="AG914" s="12">
        <f t="shared" si="164"/>
        <v>0.99395901760800898</v>
      </c>
      <c r="AI914" s="54" t="str">
        <f t="shared" si="165"/>
        <v/>
      </c>
      <c r="AJ914" s="54" t="str">
        <f t="shared" si="166"/>
        <v/>
      </c>
      <c r="AK914" s="54">
        <f t="shared" si="167"/>
        <v>0.52271708214212076</v>
      </c>
    </row>
    <row r="915" spans="9:37" x14ac:dyDescent="0.45">
      <c r="I915" s="2">
        <v>106.1</v>
      </c>
      <c r="J915" s="2">
        <v>0.6793901</v>
      </c>
      <c r="K915" s="2">
        <v>0.53666709999999995</v>
      </c>
      <c r="R915" s="2">
        <v>25.91</v>
      </c>
      <c r="S915" s="2">
        <v>5.6599999999999999E-4</v>
      </c>
      <c r="T915" s="2">
        <v>2.5374000000000002E-4</v>
      </c>
      <c r="V915" s="11"/>
      <c r="W915" s="6"/>
      <c r="X915" s="6">
        <v>8.9600000000000009</v>
      </c>
      <c r="Y915" s="11" t="str">
        <f t="shared" si="168"/>
        <v/>
      </c>
      <c r="Z915" s="6" t="str">
        <f t="shared" si="169"/>
        <v/>
      </c>
      <c r="AA915" s="23">
        <f t="shared" si="170"/>
        <v>38.96</v>
      </c>
      <c r="AB915" t="str">
        <f t="shared" ref="AB915:AB978" si="171">IF(Y915="","",VLOOKUP(Y915,Table_1,2))</f>
        <v/>
      </c>
      <c r="AC915" t="str">
        <f t="shared" ref="AC915:AC978" si="172">IF(Z915="","",VLOOKUP(Z915,Table_2,2))</f>
        <v/>
      </c>
      <c r="AD915">
        <f t="shared" ref="AD915:AD978" si="173">IF(AA915="","",VLOOKUP(AA915,Table_3,2))</f>
        <v>8.3792000000000003E-4</v>
      </c>
      <c r="AE915" s="18" t="str">
        <f t="shared" si="162"/>
        <v/>
      </c>
      <c r="AF915" s="7" t="str">
        <f t="shared" si="163"/>
        <v/>
      </c>
      <c r="AG915" s="12">
        <f t="shared" si="164"/>
        <v>0.99395069419519555</v>
      </c>
      <c r="AI915" s="54" t="str">
        <f t="shared" si="165"/>
        <v/>
      </c>
      <c r="AJ915" s="54" t="str">
        <f t="shared" si="166"/>
        <v/>
      </c>
      <c r="AK915" s="54">
        <f t="shared" si="167"/>
        <v>0.52341306404225196</v>
      </c>
    </row>
    <row r="916" spans="9:37" x14ac:dyDescent="0.45">
      <c r="I916" s="2">
        <v>106.2</v>
      </c>
      <c r="J916" s="2">
        <v>0.68461819999999995</v>
      </c>
      <c r="K916" s="2">
        <v>0.54240920000000004</v>
      </c>
      <c r="R916" s="2">
        <v>25.92</v>
      </c>
      <c r="S916" s="2">
        <v>5.6599999999999999E-4</v>
      </c>
      <c r="T916" s="2">
        <v>2.5388E-4</v>
      </c>
      <c r="V916" s="11"/>
      <c r="W916" s="6"/>
      <c r="X916" s="6">
        <v>8.9700000000000006</v>
      </c>
      <c r="Y916" s="11" t="str">
        <f t="shared" si="168"/>
        <v/>
      </c>
      <c r="Z916" s="6" t="str">
        <f t="shared" si="169"/>
        <v/>
      </c>
      <c r="AA916" s="23">
        <f t="shared" si="170"/>
        <v>38.97</v>
      </c>
      <c r="AB916" t="str">
        <f t="shared" si="171"/>
        <v/>
      </c>
      <c r="AC916" t="str">
        <f t="shared" si="172"/>
        <v/>
      </c>
      <c r="AD916">
        <f t="shared" si="173"/>
        <v>8.3843999999999998E-4</v>
      </c>
      <c r="AE916" s="18" t="str">
        <f t="shared" ref="AE916:AE979" si="174">IF(AB916="","",AE915+h_1*(-AE915*AB915))</f>
        <v/>
      </c>
      <c r="AF916" s="7" t="str">
        <f t="shared" ref="AF916:AF979" si="175">IF(AC916="","",AF915+h_2*(-AF915*AC915))</f>
        <v/>
      </c>
      <c r="AG916" s="12">
        <f t="shared" ref="AG916:AG979" si="176">IF(AD916="","",AG915+h_3*(-AG915*AD915))</f>
        <v>0.99394236568353878</v>
      </c>
      <c r="AI916" s="54" t="str">
        <f t="shared" ref="AI916:AI979" si="177">IF(Y916="","",AI915+AI$17*(AI915*delta+Prem1-AB915*(1-AI915)))</f>
        <v/>
      </c>
      <c r="AJ916" s="54" t="str">
        <f t="shared" ref="AJ916:AJ979" si="178">IF(Z916="","",AJ915+AJ$17*(AJ915*delta+Prem2-AC915*(1-AJ915)))</f>
        <v/>
      </c>
      <c r="AK916" s="54">
        <f t="shared" ref="AK916:AK979" si="179">IF(AA916="","",AK915+AK$17*(AK915*delta+Prem3-AD915*(1-AK915)))</f>
        <v>0.52410932768504359</v>
      </c>
    </row>
    <row r="917" spans="9:37" x14ac:dyDescent="0.45">
      <c r="I917" s="2">
        <v>106.3</v>
      </c>
      <c r="J917" s="2">
        <v>0.68984630000000002</v>
      </c>
      <c r="K917" s="2">
        <v>0.54815130000000001</v>
      </c>
      <c r="R917" s="2">
        <v>25.93</v>
      </c>
      <c r="S917" s="2">
        <v>5.6599999999999999E-4</v>
      </c>
      <c r="T917" s="2">
        <v>2.5401999999999998E-4</v>
      </c>
      <c r="V917" s="11"/>
      <c r="W917" s="6"/>
      <c r="X917" s="6">
        <v>8.98</v>
      </c>
      <c r="Y917" s="11" t="str">
        <f t="shared" ref="Y917:Y980" si="180">IF(ISBLANK(V917),"",$Y$19+V917)</f>
        <v/>
      </c>
      <c r="Z917" s="6" t="str">
        <f t="shared" ref="Z917:Z980" si="181">IF(ISBLANK(W917),"",$Y$19+W917)</f>
        <v/>
      </c>
      <c r="AA917" s="23">
        <f t="shared" ref="AA917:AA980" si="182">IF(ISBLANK(X917),"",$Y$19+X917)</f>
        <v>38.980000000000004</v>
      </c>
      <c r="AB917" t="str">
        <f t="shared" si="171"/>
        <v/>
      </c>
      <c r="AC917" t="str">
        <f t="shared" si="172"/>
        <v/>
      </c>
      <c r="AD917">
        <f t="shared" si="173"/>
        <v>8.3896000000000003E-4</v>
      </c>
      <c r="AE917" s="18" t="str">
        <f t="shared" si="174"/>
        <v/>
      </c>
      <c r="AF917" s="7" t="str">
        <f t="shared" si="175"/>
        <v/>
      </c>
      <c r="AG917" s="12">
        <f t="shared" si="176"/>
        <v>0.99393403207316788</v>
      </c>
      <c r="AI917" s="54" t="str">
        <f t="shared" si="177"/>
        <v/>
      </c>
      <c r="AJ917" s="54" t="str">
        <f t="shared" si="178"/>
        <v/>
      </c>
      <c r="AK917" s="54">
        <f t="shared" si="179"/>
        <v>0.52480587319279315</v>
      </c>
    </row>
    <row r="918" spans="9:37" x14ac:dyDescent="0.45">
      <c r="I918" s="2">
        <v>106.4</v>
      </c>
      <c r="J918" s="2">
        <v>0.69507439999999998</v>
      </c>
      <c r="K918" s="2">
        <v>0.55389339999999998</v>
      </c>
      <c r="R918" s="2">
        <v>25.94</v>
      </c>
      <c r="S918" s="2">
        <v>5.6599999999999999E-4</v>
      </c>
      <c r="T918" s="2">
        <v>2.5416000000000002E-4</v>
      </c>
      <c r="V918" s="11"/>
      <c r="W918" s="6"/>
      <c r="X918" s="6">
        <v>8.99</v>
      </c>
      <c r="Y918" s="11" t="str">
        <f t="shared" si="180"/>
        <v/>
      </c>
      <c r="Z918" s="6" t="str">
        <f t="shared" si="181"/>
        <v/>
      </c>
      <c r="AA918" s="23">
        <f t="shared" si="182"/>
        <v>38.99</v>
      </c>
      <c r="AB918" t="str">
        <f t="shared" si="171"/>
        <v/>
      </c>
      <c r="AC918" t="str">
        <f t="shared" si="172"/>
        <v/>
      </c>
      <c r="AD918">
        <f t="shared" si="173"/>
        <v>8.3947999999999998E-4</v>
      </c>
      <c r="AE918" s="18" t="str">
        <f t="shared" si="174"/>
        <v/>
      </c>
      <c r="AF918" s="7" t="str">
        <f t="shared" si="175"/>
        <v/>
      </c>
      <c r="AG918" s="12">
        <f t="shared" si="176"/>
        <v>0.99392569336421244</v>
      </c>
      <c r="AI918" s="54" t="str">
        <f t="shared" si="177"/>
        <v/>
      </c>
      <c r="AJ918" s="54" t="str">
        <f t="shared" si="178"/>
        <v/>
      </c>
      <c r="AK918" s="54">
        <f t="shared" si="179"/>
        <v>0.52550270068785254</v>
      </c>
    </row>
    <row r="919" spans="9:37" x14ac:dyDescent="0.45">
      <c r="I919" s="2">
        <v>106.5</v>
      </c>
      <c r="J919" s="2">
        <v>0.70030250000000005</v>
      </c>
      <c r="K919" s="2">
        <v>0.55963549999999995</v>
      </c>
      <c r="R919" s="2">
        <v>25.95</v>
      </c>
      <c r="S919" s="2">
        <v>5.6599999999999999E-4</v>
      </c>
      <c r="T919" s="2">
        <v>2.543E-4</v>
      </c>
      <c r="V919" s="11"/>
      <c r="W919" s="6"/>
      <c r="X919" s="6">
        <v>9</v>
      </c>
      <c r="Y919" s="11" t="str">
        <f t="shared" si="180"/>
        <v/>
      </c>
      <c r="Z919" s="6" t="str">
        <f t="shared" si="181"/>
        <v/>
      </c>
      <c r="AA919" s="23">
        <f t="shared" si="182"/>
        <v>39</v>
      </c>
      <c r="AB919" t="str">
        <f t="shared" si="171"/>
        <v/>
      </c>
      <c r="AC919" t="str">
        <f t="shared" si="172"/>
        <v/>
      </c>
      <c r="AD919">
        <f t="shared" si="173"/>
        <v>8.4000000000000003E-4</v>
      </c>
      <c r="AE919" s="18" t="str">
        <f t="shared" si="174"/>
        <v/>
      </c>
      <c r="AF919" s="7" t="str">
        <f t="shared" si="175"/>
        <v/>
      </c>
      <c r="AG919" s="12">
        <f t="shared" si="176"/>
        <v>0.99391734955680178</v>
      </c>
      <c r="AI919" s="54" t="str">
        <f t="shared" si="177"/>
        <v/>
      </c>
      <c r="AJ919" s="54" t="str">
        <f t="shared" si="178"/>
        <v/>
      </c>
      <c r="AK919" s="54">
        <f t="shared" si="179"/>
        <v>0.52619981029262797</v>
      </c>
    </row>
    <row r="920" spans="9:37" x14ac:dyDescent="0.45">
      <c r="I920" s="2">
        <v>106.6</v>
      </c>
      <c r="J920" s="2">
        <v>0.70553060000000001</v>
      </c>
      <c r="K920" s="2">
        <v>0.56537760000000004</v>
      </c>
      <c r="R920" s="2">
        <v>25.96</v>
      </c>
      <c r="S920" s="2">
        <v>5.6599999999999999E-4</v>
      </c>
      <c r="T920" s="2">
        <v>2.5443999999999998E-4</v>
      </c>
      <c r="V920" s="11"/>
      <c r="W920" s="6"/>
      <c r="X920" s="6">
        <v>9.01</v>
      </c>
      <c r="Y920" s="11" t="str">
        <f t="shared" si="180"/>
        <v/>
      </c>
      <c r="Z920" s="6" t="str">
        <f t="shared" si="181"/>
        <v/>
      </c>
      <c r="AA920" s="23">
        <f t="shared" si="182"/>
        <v>39.01</v>
      </c>
      <c r="AB920" t="str">
        <f t="shared" si="171"/>
        <v/>
      </c>
      <c r="AC920" t="str">
        <f t="shared" si="172"/>
        <v/>
      </c>
      <c r="AD920">
        <f t="shared" si="173"/>
        <v>8.4062000000000004E-4</v>
      </c>
      <c r="AE920" s="18" t="str">
        <f t="shared" si="174"/>
        <v/>
      </c>
      <c r="AF920" s="7" t="str">
        <f t="shared" si="175"/>
        <v/>
      </c>
      <c r="AG920" s="12">
        <f t="shared" si="176"/>
        <v>0.99390900065106547</v>
      </c>
      <c r="AI920" s="54" t="str">
        <f t="shared" si="177"/>
        <v/>
      </c>
      <c r="AJ920" s="54" t="str">
        <f t="shared" si="178"/>
        <v/>
      </c>
      <c r="AK920" s="54">
        <f t="shared" si="179"/>
        <v>0.52689720212958002</v>
      </c>
    </row>
    <row r="921" spans="9:37" x14ac:dyDescent="0.45">
      <c r="I921" s="2">
        <v>106.7</v>
      </c>
      <c r="J921" s="2">
        <v>0.71075869999999997</v>
      </c>
      <c r="K921" s="2">
        <v>0.57111970000000001</v>
      </c>
      <c r="R921" s="2">
        <v>25.97</v>
      </c>
      <c r="S921" s="2">
        <v>5.6599999999999999E-4</v>
      </c>
      <c r="T921" s="2">
        <v>2.5458000000000002E-4</v>
      </c>
      <c r="V921" s="11"/>
      <c r="W921" s="6"/>
      <c r="X921" s="6">
        <v>9.02</v>
      </c>
      <c r="Y921" s="11" t="str">
        <f t="shared" si="180"/>
        <v/>
      </c>
      <c r="Z921" s="6" t="str">
        <f t="shared" si="181"/>
        <v/>
      </c>
      <c r="AA921" s="23">
        <f t="shared" si="182"/>
        <v>39.019999999999996</v>
      </c>
      <c r="AB921" t="str">
        <f t="shared" si="171"/>
        <v/>
      </c>
      <c r="AC921" t="str">
        <f t="shared" si="172"/>
        <v/>
      </c>
      <c r="AD921">
        <f t="shared" si="173"/>
        <v>8.4062000000000004E-4</v>
      </c>
      <c r="AE921" s="18" t="str">
        <f t="shared" si="174"/>
        <v/>
      </c>
      <c r="AF921" s="7" t="str">
        <f t="shared" si="175"/>
        <v/>
      </c>
      <c r="AG921" s="12">
        <f t="shared" si="176"/>
        <v>0.99390064565322422</v>
      </c>
      <c r="AI921" s="54" t="str">
        <f t="shared" si="177"/>
        <v/>
      </c>
      <c r="AJ921" s="54" t="str">
        <f t="shared" si="178"/>
        <v/>
      </c>
      <c r="AK921" s="54">
        <f t="shared" si="179"/>
        <v>0.52759487584812093</v>
      </c>
    </row>
    <row r="922" spans="9:37" x14ac:dyDescent="0.45">
      <c r="I922" s="2">
        <v>106.8</v>
      </c>
      <c r="J922" s="2">
        <v>0.71598680000000003</v>
      </c>
      <c r="K922" s="2">
        <v>0.57686179999999998</v>
      </c>
      <c r="R922" s="2">
        <v>25.98</v>
      </c>
      <c r="S922" s="2">
        <v>5.6599999999999999E-4</v>
      </c>
      <c r="T922" s="2">
        <v>2.5472E-4</v>
      </c>
      <c r="V922" s="11"/>
      <c r="W922" s="6"/>
      <c r="X922" s="6">
        <v>9.0299999999999994</v>
      </c>
      <c r="Y922" s="11" t="str">
        <f t="shared" si="180"/>
        <v/>
      </c>
      <c r="Z922" s="6" t="str">
        <f t="shared" si="181"/>
        <v/>
      </c>
      <c r="AA922" s="23">
        <f t="shared" si="182"/>
        <v>39.03</v>
      </c>
      <c r="AB922" t="str">
        <f t="shared" si="171"/>
        <v/>
      </c>
      <c r="AC922" t="str">
        <f t="shared" si="172"/>
        <v/>
      </c>
      <c r="AD922">
        <f t="shared" si="173"/>
        <v>8.4186000000000005E-4</v>
      </c>
      <c r="AE922" s="18" t="str">
        <f t="shared" si="174"/>
        <v/>
      </c>
      <c r="AF922" s="7" t="str">
        <f t="shared" si="175"/>
        <v/>
      </c>
      <c r="AG922" s="12">
        <f t="shared" si="176"/>
        <v>0.99389229072561669</v>
      </c>
      <c r="AI922" s="54" t="str">
        <f t="shared" si="177"/>
        <v/>
      </c>
      <c r="AJ922" s="54" t="str">
        <f t="shared" si="178"/>
        <v/>
      </c>
      <c r="AK922" s="54">
        <f t="shared" si="179"/>
        <v>0.52829283450093401</v>
      </c>
    </row>
    <row r="923" spans="9:37" x14ac:dyDescent="0.45">
      <c r="I923" s="2">
        <v>106.9</v>
      </c>
      <c r="J923" s="2">
        <v>0.72121489999999999</v>
      </c>
      <c r="K923" s="2">
        <v>0.58260389999999995</v>
      </c>
      <c r="R923" s="2">
        <v>25.99</v>
      </c>
      <c r="S923" s="2">
        <v>5.6599999999999999E-4</v>
      </c>
      <c r="T923" s="2">
        <v>2.5485999999999998E-4</v>
      </c>
      <c r="V923" s="11"/>
      <c r="W923" s="6"/>
      <c r="X923" s="6">
        <v>9.0400000000000009</v>
      </c>
      <c r="Y923" s="11" t="str">
        <f t="shared" si="180"/>
        <v/>
      </c>
      <c r="Z923" s="6" t="str">
        <f t="shared" si="181"/>
        <v/>
      </c>
      <c r="AA923" s="23">
        <f t="shared" si="182"/>
        <v>39.04</v>
      </c>
      <c r="AB923" t="str">
        <f t="shared" si="171"/>
        <v/>
      </c>
      <c r="AC923" t="str">
        <f t="shared" si="172"/>
        <v/>
      </c>
      <c r="AD923">
        <f t="shared" si="173"/>
        <v>8.4248000000000005E-4</v>
      </c>
      <c r="AE923" s="18" t="str">
        <f t="shared" si="174"/>
        <v/>
      </c>
      <c r="AF923" s="7" t="str">
        <f t="shared" si="175"/>
        <v/>
      </c>
      <c r="AG923" s="12">
        <f t="shared" si="176"/>
        <v>0.99388392354397803</v>
      </c>
      <c r="AI923" s="54" t="str">
        <f t="shared" si="177"/>
        <v/>
      </c>
      <c r="AJ923" s="54" t="str">
        <f t="shared" si="178"/>
        <v/>
      </c>
      <c r="AK923" s="54">
        <f t="shared" si="179"/>
        <v>0.52899107235521936</v>
      </c>
    </row>
    <row r="924" spans="9:37" x14ac:dyDescent="0.45">
      <c r="I924" s="2">
        <v>107</v>
      </c>
      <c r="J924" s="2">
        <v>0.72644299999999995</v>
      </c>
      <c r="K924" s="2">
        <v>0.58834600000000004</v>
      </c>
      <c r="R924" s="2">
        <v>26</v>
      </c>
      <c r="S924" s="2">
        <v>5.6599999999999999E-4</v>
      </c>
      <c r="T924" s="2">
        <v>2.5500000000000002E-4</v>
      </c>
      <c r="V924" s="11"/>
      <c r="W924" s="6"/>
      <c r="X924" s="6">
        <v>9.0500000000000007</v>
      </c>
      <c r="Y924" s="11" t="str">
        <f t="shared" si="180"/>
        <v/>
      </c>
      <c r="Z924" s="6" t="str">
        <f t="shared" si="181"/>
        <v/>
      </c>
      <c r="AA924" s="23">
        <f t="shared" si="182"/>
        <v>39.049999999999997</v>
      </c>
      <c r="AB924" t="str">
        <f t="shared" si="171"/>
        <v/>
      </c>
      <c r="AC924" t="str">
        <f t="shared" si="172"/>
        <v/>
      </c>
      <c r="AD924">
        <f t="shared" si="173"/>
        <v>8.4309999999999995E-4</v>
      </c>
      <c r="AE924" s="18" t="str">
        <f t="shared" si="174"/>
        <v/>
      </c>
      <c r="AF924" s="7" t="str">
        <f t="shared" si="175"/>
        <v/>
      </c>
      <c r="AG924" s="12">
        <f t="shared" si="176"/>
        <v>0.99387555027069896</v>
      </c>
      <c r="AI924" s="54" t="str">
        <f t="shared" si="177"/>
        <v/>
      </c>
      <c r="AJ924" s="54" t="str">
        <f t="shared" si="178"/>
        <v/>
      </c>
      <c r="AK924" s="54">
        <f t="shared" si="179"/>
        <v>0.5296895924625763</v>
      </c>
    </row>
    <row r="925" spans="9:37" x14ac:dyDescent="0.45">
      <c r="I925" s="2">
        <v>107.1</v>
      </c>
      <c r="J925" s="2">
        <v>0.73199890000000001</v>
      </c>
      <c r="K925" s="2">
        <v>0.5947093</v>
      </c>
      <c r="R925" s="2">
        <v>26.01</v>
      </c>
      <c r="S925" s="2">
        <v>5.6601999999999998E-4</v>
      </c>
      <c r="T925" s="2">
        <v>2.5515999999999999E-4</v>
      </c>
      <c r="V925" s="11"/>
      <c r="W925" s="6"/>
      <c r="X925" s="6">
        <v>9.06</v>
      </c>
      <c r="Y925" s="11" t="str">
        <f t="shared" si="180"/>
        <v/>
      </c>
      <c r="Z925" s="6" t="str">
        <f t="shared" si="181"/>
        <v/>
      </c>
      <c r="AA925" s="23">
        <f t="shared" si="182"/>
        <v>39.06</v>
      </c>
      <c r="AB925" t="str">
        <f t="shared" si="171"/>
        <v/>
      </c>
      <c r="AC925" t="str">
        <f t="shared" si="172"/>
        <v/>
      </c>
      <c r="AD925">
        <f t="shared" si="173"/>
        <v>8.4371999999999995E-4</v>
      </c>
      <c r="AE925" s="18" t="str">
        <f t="shared" si="174"/>
        <v/>
      </c>
      <c r="AF925" s="7" t="str">
        <f t="shared" si="175"/>
        <v/>
      </c>
      <c r="AG925" s="12">
        <f t="shared" si="176"/>
        <v>0.99386717090593468</v>
      </c>
      <c r="AI925" s="54" t="str">
        <f t="shared" si="177"/>
        <v/>
      </c>
      <c r="AJ925" s="54" t="str">
        <f t="shared" si="178"/>
        <v/>
      </c>
      <c r="AK925" s="54">
        <f t="shared" si="179"/>
        <v>0.5303883949469439</v>
      </c>
    </row>
    <row r="926" spans="9:37" x14ac:dyDescent="0.45">
      <c r="I926" s="2">
        <v>107.2</v>
      </c>
      <c r="J926" s="2">
        <v>0.73755479999999995</v>
      </c>
      <c r="K926" s="2">
        <v>0.60107259999999996</v>
      </c>
      <c r="R926" s="2">
        <v>26.02</v>
      </c>
      <c r="S926" s="2">
        <v>5.6603999999999997E-4</v>
      </c>
      <c r="T926" s="2">
        <v>2.5532000000000002E-4</v>
      </c>
      <c r="V926" s="11"/>
      <c r="W926" s="6"/>
      <c r="X926" s="6">
        <v>9.07</v>
      </c>
      <c r="Y926" s="11" t="str">
        <f t="shared" si="180"/>
        <v/>
      </c>
      <c r="Z926" s="6" t="str">
        <f t="shared" si="181"/>
        <v/>
      </c>
      <c r="AA926" s="23">
        <f t="shared" si="182"/>
        <v>39.07</v>
      </c>
      <c r="AB926" t="str">
        <f t="shared" si="171"/>
        <v/>
      </c>
      <c r="AC926" t="str">
        <f t="shared" si="172"/>
        <v/>
      </c>
      <c r="AD926">
        <f t="shared" si="173"/>
        <v>8.4433999999999996E-4</v>
      </c>
      <c r="AE926" s="18" t="str">
        <f t="shared" si="174"/>
        <v/>
      </c>
      <c r="AF926" s="7" t="str">
        <f t="shared" si="175"/>
        <v/>
      </c>
      <c r="AG926" s="12">
        <f t="shared" si="176"/>
        <v>0.9938587854498403</v>
      </c>
      <c r="AI926" s="54" t="str">
        <f t="shared" si="177"/>
        <v/>
      </c>
      <c r="AJ926" s="54" t="str">
        <f t="shared" si="178"/>
        <v/>
      </c>
      <c r="AK926" s="54">
        <f t="shared" si="179"/>
        <v>0.53108747993231697</v>
      </c>
    </row>
    <row r="927" spans="9:37" x14ac:dyDescent="0.45">
      <c r="I927" s="2">
        <v>107.3</v>
      </c>
      <c r="J927" s="2">
        <v>0.74311070000000001</v>
      </c>
      <c r="K927" s="2">
        <v>0.60743590000000003</v>
      </c>
      <c r="R927" s="2">
        <v>26.03</v>
      </c>
      <c r="S927" s="2">
        <v>5.6605999999999996E-4</v>
      </c>
      <c r="T927" s="2">
        <v>2.5547999999999999E-4</v>
      </c>
      <c r="V927" s="11"/>
      <c r="W927" s="6"/>
      <c r="X927" s="6">
        <v>9.08</v>
      </c>
      <c r="Y927" s="11" t="str">
        <f t="shared" si="180"/>
        <v/>
      </c>
      <c r="Z927" s="6" t="str">
        <f t="shared" si="181"/>
        <v/>
      </c>
      <c r="AA927" s="23">
        <f t="shared" si="182"/>
        <v>39.08</v>
      </c>
      <c r="AB927" t="str">
        <f t="shared" si="171"/>
        <v/>
      </c>
      <c r="AC927" t="str">
        <f t="shared" si="172"/>
        <v/>
      </c>
      <c r="AD927">
        <f t="shared" si="173"/>
        <v>8.4495999999999996E-4</v>
      </c>
      <c r="AE927" s="18" t="str">
        <f t="shared" si="174"/>
        <v/>
      </c>
      <c r="AF927" s="7" t="str">
        <f t="shared" si="175"/>
        <v/>
      </c>
      <c r="AG927" s="12">
        <f t="shared" si="176"/>
        <v>0.99385039390257124</v>
      </c>
      <c r="AI927" s="54" t="str">
        <f t="shared" si="177"/>
        <v/>
      </c>
      <c r="AJ927" s="54" t="str">
        <f t="shared" si="178"/>
        <v/>
      </c>
      <c r="AK927" s="54">
        <f t="shared" si="179"/>
        <v>0.53178684754274641</v>
      </c>
    </row>
    <row r="928" spans="9:37" x14ac:dyDescent="0.45">
      <c r="I928" s="2">
        <v>107.4</v>
      </c>
      <c r="J928" s="2">
        <v>0.74866659999999996</v>
      </c>
      <c r="K928" s="2">
        <v>0.61379919999999999</v>
      </c>
      <c r="R928" s="2">
        <v>26.04</v>
      </c>
      <c r="S928" s="2">
        <v>5.6607999999999995E-4</v>
      </c>
      <c r="T928" s="2">
        <v>2.5564000000000001E-4</v>
      </c>
      <c r="V928" s="11"/>
      <c r="W928" s="6"/>
      <c r="X928" s="6">
        <v>9.09</v>
      </c>
      <c r="Y928" s="11" t="str">
        <f t="shared" si="180"/>
        <v/>
      </c>
      <c r="Z928" s="6" t="str">
        <f t="shared" si="181"/>
        <v/>
      </c>
      <c r="AA928" s="23">
        <f t="shared" si="182"/>
        <v>39.090000000000003</v>
      </c>
      <c r="AB928" t="str">
        <f t="shared" si="171"/>
        <v/>
      </c>
      <c r="AC928" t="str">
        <f t="shared" si="172"/>
        <v/>
      </c>
      <c r="AD928">
        <f t="shared" si="173"/>
        <v>8.4557999999999996E-4</v>
      </c>
      <c r="AE928" s="18" t="str">
        <f t="shared" si="174"/>
        <v/>
      </c>
      <c r="AF928" s="7" t="str">
        <f t="shared" si="175"/>
        <v/>
      </c>
      <c r="AG928" s="12">
        <f t="shared" si="176"/>
        <v>0.99384199626428293</v>
      </c>
      <c r="AI928" s="54" t="str">
        <f t="shared" si="177"/>
        <v/>
      </c>
      <c r="AJ928" s="54" t="str">
        <f t="shared" si="178"/>
        <v/>
      </c>
      <c r="AK928" s="54">
        <f t="shared" si="179"/>
        <v>0.53248649790233904</v>
      </c>
    </row>
    <row r="929" spans="9:37" x14ac:dyDescent="0.45">
      <c r="I929" s="2">
        <v>107.5</v>
      </c>
      <c r="J929" s="2">
        <v>0.75422250000000002</v>
      </c>
      <c r="K929" s="2">
        <v>0.62016249999999995</v>
      </c>
      <c r="R929" s="2">
        <v>26.05</v>
      </c>
      <c r="S929" s="2">
        <v>5.6610000000000005E-4</v>
      </c>
      <c r="T929" s="2">
        <v>2.5579999999999998E-4</v>
      </c>
      <c r="V929" s="11"/>
      <c r="W929" s="6"/>
      <c r="X929" s="6">
        <v>9.1</v>
      </c>
      <c r="Y929" s="11" t="str">
        <f t="shared" si="180"/>
        <v/>
      </c>
      <c r="Z929" s="6" t="str">
        <f t="shared" si="181"/>
        <v/>
      </c>
      <c r="AA929" s="23">
        <f t="shared" si="182"/>
        <v>39.1</v>
      </c>
      <c r="AB929" t="str">
        <f t="shared" si="171"/>
        <v/>
      </c>
      <c r="AC929" t="str">
        <f t="shared" si="172"/>
        <v/>
      </c>
      <c r="AD929">
        <f t="shared" si="173"/>
        <v>8.4619999999999997E-4</v>
      </c>
      <c r="AE929" s="18" t="str">
        <f t="shared" si="174"/>
        <v/>
      </c>
      <c r="AF929" s="7" t="str">
        <f t="shared" si="175"/>
        <v/>
      </c>
      <c r="AG929" s="12">
        <f t="shared" si="176"/>
        <v>0.99383359253513093</v>
      </c>
      <c r="AI929" s="54" t="str">
        <f t="shared" si="177"/>
        <v/>
      </c>
      <c r="AJ929" s="54" t="str">
        <f t="shared" si="178"/>
        <v/>
      </c>
      <c r="AK929" s="54">
        <f t="shared" si="179"/>
        <v>0.53318643113525743</v>
      </c>
    </row>
    <row r="930" spans="9:37" x14ac:dyDescent="0.45">
      <c r="I930" s="2">
        <v>107.6</v>
      </c>
      <c r="J930" s="2">
        <v>0.75977839999999996</v>
      </c>
      <c r="K930" s="2">
        <v>0.62652580000000002</v>
      </c>
      <c r="R930" s="2">
        <v>26.06</v>
      </c>
      <c r="S930" s="2">
        <v>5.6612000000000003E-4</v>
      </c>
      <c r="T930" s="2">
        <v>2.5596000000000001E-4</v>
      </c>
      <c r="V930" s="11"/>
      <c r="W930" s="6"/>
      <c r="X930" s="6">
        <v>9.11</v>
      </c>
      <c r="Y930" s="11" t="str">
        <f t="shared" si="180"/>
        <v/>
      </c>
      <c r="Z930" s="6" t="str">
        <f t="shared" si="181"/>
        <v/>
      </c>
      <c r="AA930" s="23">
        <f t="shared" si="182"/>
        <v>39.11</v>
      </c>
      <c r="AB930" t="str">
        <f t="shared" si="171"/>
        <v/>
      </c>
      <c r="AC930" t="str">
        <f t="shared" si="172"/>
        <v/>
      </c>
      <c r="AD930">
        <f t="shared" si="173"/>
        <v>8.4681999999999997E-4</v>
      </c>
      <c r="AE930" s="18" t="str">
        <f t="shared" si="174"/>
        <v/>
      </c>
      <c r="AF930" s="7" t="str">
        <f t="shared" si="175"/>
        <v/>
      </c>
      <c r="AG930" s="12">
        <f t="shared" si="176"/>
        <v>0.99382518271527087</v>
      </c>
      <c r="AI930" s="54" t="str">
        <f t="shared" si="177"/>
        <v/>
      </c>
      <c r="AJ930" s="54" t="str">
        <f t="shared" si="178"/>
        <v/>
      </c>
      <c r="AK930" s="54">
        <f t="shared" si="179"/>
        <v>0.53388664736572033</v>
      </c>
    </row>
    <row r="931" spans="9:37" x14ac:dyDescent="0.45">
      <c r="I931" s="2">
        <v>107.7</v>
      </c>
      <c r="J931" s="2">
        <v>0.76533430000000002</v>
      </c>
      <c r="K931" s="2">
        <v>0.63288909999999998</v>
      </c>
      <c r="R931" s="2">
        <v>26.07</v>
      </c>
      <c r="S931" s="2">
        <v>5.6614000000000002E-4</v>
      </c>
      <c r="T931" s="2">
        <v>2.5611999999999998E-4</v>
      </c>
      <c r="V931" s="11"/>
      <c r="W931" s="6"/>
      <c r="X931" s="6">
        <v>9.120000000000001</v>
      </c>
      <c r="Y931" s="11" t="str">
        <f t="shared" si="180"/>
        <v/>
      </c>
      <c r="Z931" s="6" t="str">
        <f t="shared" si="181"/>
        <v/>
      </c>
      <c r="AA931" s="23">
        <f t="shared" si="182"/>
        <v>39.120000000000005</v>
      </c>
      <c r="AB931" t="str">
        <f t="shared" si="171"/>
        <v/>
      </c>
      <c r="AC931" t="str">
        <f t="shared" si="172"/>
        <v/>
      </c>
      <c r="AD931">
        <f t="shared" si="173"/>
        <v>8.4743999999999998E-4</v>
      </c>
      <c r="AE931" s="18" t="str">
        <f t="shared" si="174"/>
        <v/>
      </c>
      <c r="AF931" s="7" t="str">
        <f t="shared" si="175"/>
        <v/>
      </c>
      <c r="AG931" s="12">
        <f t="shared" si="176"/>
        <v>0.99381676680485864</v>
      </c>
      <c r="AI931" s="54" t="str">
        <f t="shared" si="177"/>
        <v/>
      </c>
      <c r="AJ931" s="54" t="str">
        <f t="shared" si="178"/>
        <v/>
      </c>
      <c r="AK931" s="54">
        <f t="shared" si="179"/>
        <v>0.53458714671800234</v>
      </c>
    </row>
    <row r="932" spans="9:37" x14ac:dyDescent="0.45">
      <c r="I932" s="2">
        <v>107.8</v>
      </c>
      <c r="J932" s="2">
        <v>0.77089019999999997</v>
      </c>
      <c r="K932" s="2">
        <v>0.63925240000000005</v>
      </c>
      <c r="R932" s="2">
        <v>26.08</v>
      </c>
      <c r="S932" s="2">
        <v>5.6616000000000001E-4</v>
      </c>
      <c r="T932" s="2">
        <v>2.5628000000000001E-4</v>
      </c>
      <c r="V932" s="11"/>
      <c r="W932" s="6"/>
      <c r="X932" s="6">
        <v>9.1300000000000008</v>
      </c>
      <c r="Y932" s="11" t="str">
        <f t="shared" si="180"/>
        <v/>
      </c>
      <c r="Z932" s="6" t="str">
        <f t="shared" si="181"/>
        <v/>
      </c>
      <c r="AA932" s="23">
        <f t="shared" si="182"/>
        <v>39.130000000000003</v>
      </c>
      <c r="AB932" t="str">
        <f t="shared" si="171"/>
        <v/>
      </c>
      <c r="AC932" t="str">
        <f t="shared" si="172"/>
        <v/>
      </c>
      <c r="AD932">
        <f t="shared" si="173"/>
        <v>8.4805999999999998E-4</v>
      </c>
      <c r="AE932" s="18" t="str">
        <f t="shared" si="174"/>
        <v/>
      </c>
      <c r="AF932" s="7" t="str">
        <f t="shared" si="175"/>
        <v/>
      </c>
      <c r="AG932" s="12">
        <f t="shared" si="176"/>
        <v>0.99380834480405</v>
      </c>
      <c r="AI932" s="54" t="str">
        <f t="shared" si="177"/>
        <v/>
      </c>
      <c r="AJ932" s="54" t="str">
        <f t="shared" si="178"/>
        <v/>
      </c>
      <c r="AK932" s="54">
        <f t="shared" si="179"/>
        <v>0.53528792931643421</v>
      </c>
    </row>
    <row r="933" spans="9:37" x14ac:dyDescent="0.45">
      <c r="I933" s="2">
        <v>107.9</v>
      </c>
      <c r="J933" s="2">
        <v>0.77644610000000003</v>
      </c>
      <c r="K933" s="2">
        <v>0.64561570000000001</v>
      </c>
      <c r="R933" s="2">
        <v>26.09</v>
      </c>
      <c r="S933" s="2">
        <v>5.6618E-4</v>
      </c>
      <c r="T933" s="2">
        <v>2.5643999999999998E-4</v>
      </c>
      <c r="V933" s="11"/>
      <c r="W933" s="6"/>
      <c r="X933" s="6">
        <v>9.14</v>
      </c>
      <c r="Y933" s="11" t="str">
        <f t="shared" si="180"/>
        <v/>
      </c>
      <c r="Z933" s="6" t="str">
        <f t="shared" si="181"/>
        <v/>
      </c>
      <c r="AA933" s="23">
        <f t="shared" si="182"/>
        <v>39.14</v>
      </c>
      <c r="AB933" t="str">
        <f t="shared" si="171"/>
        <v/>
      </c>
      <c r="AC933" t="str">
        <f t="shared" si="172"/>
        <v/>
      </c>
      <c r="AD933">
        <f t="shared" si="173"/>
        <v>8.4867999999999999E-4</v>
      </c>
      <c r="AE933" s="18" t="str">
        <f t="shared" si="174"/>
        <v/>
      </c>
      <c r="AF933" s="7" t="str">
        <f t="shared" si="175"/>
        <v/>
      </c>
      <c r="AG933" s="12">
        <f t="shared" si="176"/>
        <v>0.99379991671300105</v>
      </c>
      <c r="AI933" s="54" t="str">
        <f t="shared" si="177"/>
        <v/>
      </c>
      <c r="AJ933" s="54" t="str">
        <f t="shared" si="178"/>
        <v/>
      </c>
      <c r="AK933" s="54">
        <f t="shared" si="179"/>
        <v>0.53598899528540267</v>
      </c>
    </row>
    <row r="934" spans="9:37" x14ac:dyDescent="0.45">
      <c r="I934" s="2">
        <v>108</v>
      </c>
      <c r="J934" s="2">
        <v>0.78200199999999997</v>
      </c>
      <c r="K934" s="2">
        <v>0.65197899999999998</v>
      </c>
      <c r="R934" s="2">
        <v>26.1</v>
      </c>
      <c r="S934" s="2">
        <v>5.6619999999999999E-4</v>
      </c>
      <c r="T934" s="2">
        <v>2.566E-4</v>
      </c>
      <c r="V934" s="11"/>
      <c r="W934" s="6"/>
      <c r="X934" s="6">
        <v>9.15</v>
      </c>
      <c r="Y934" s="11" t="str">
        <f t="shared" si="180"/>
        <v/>
      </c>
      <c r="Z934" s="6" t="str">
        <f t="shared" si="181"/>
        <v/>
      </c>
      <c r="AA934" s="23">
        <f t="shared" si="182"/>
        <v>39.15</v>
      </c>
      <c r="AB934" t="str">
        <f t="shared" si="171"/>
        <v/>
      </c>
      <c r="AC934" t="str">
        <f t="shared" si="172"/>
        <v/>
      </c>
      <c r="AD934">
        <f t="shared" si="173"/>
        <v>8.4929999999999999E-4</v>
      </c>
      <c r="AE934" s="18" t="str">
        <f t="shared" si="174"/>
        <v/>
      </c>
      <c r="AF934" s="7" t="str">
        <f t="shared" si="175"/>
        <v/>
      </c>
      <c r="AG934" s="12">
        <f t="shared" si="176"/>
        <v>0.99379148253186789</v>
      </c>
      <c r="AI934" s="54" t="str">
        <f t="shared" si="177"/>
        <v/>
      </c>
      <c r="AJ934" s="54" t="str">
        <f t="shared" si="178"/>
        <v/>
      </c>
      <c r="AK934" s="54">
        <f t="shared" si="179"/>
        <v>0.53669034474935051</v>
      </c>
    </row>
    <row r="935" spans="9:37" x14ac:dyDescent="0.45">
      <c r="I935" s="2">
        <v>108.1</v>
      </c>
      <c r="J935" s="2">
        <v>0.78789909999999996</v>
      </c>
      <c r="K935" s="2">
        <v>0.65903069999999997</v>
      </c>
      <c r="R935" s="2">
        <v>26.11</v>
      </c>
      <c r="S935" s="2">
        <v>5.6621999999999998E-4</v>
      </c>
      <c r="T935" s="2">
        <v>2.5675999999999997E-4</v>
      </c>
      <c r="V935" s="11"/>
      <c r="W935" s="6"/>
      <c r="X935" s="6">
        <v>9.16</v>
      </c>
      <c r="Y935" s="11" t="str">
        <f t="shared" si="180"/>
        <v/>
      </c>
      <c r="Z935" s="6" t="str">
        <f t="shared" si="181"/>
        <v/>
      </c>
      <c r="AA935" s="23">
        <f t="shared" si="182"/>
        <v>39.159999999999997</v>
      </c>
      <c r="AB935" t="str">
        <f t="shared" si="171"/>
        <v/>
      </c>
      <c r="AC935" t="str">
        <f t="shared" si="172"/>
        <v/>
      </c>
      <c r="AD935">
        <f t="shared" si="173"/>
        <v>8.4991999999999999E-4</v>
      </c>
      <c r="AE935" s="18" t="str">
        <f t="shared" si="174"/>
        <v/>
      </c>
      <c r="AF935" s="7" t="str">
        <f t="shared" si="175"/>
        <v/>
      </c>
      <c r="AG935" s="12">
        <f t="shared" si="176"/>
        <v>0.99378304226080671</v>
      </c>
      <c r="AI935" s="54" t="str">
        <f t="shared" si="177"/>
        <v/>
      </c>
      <c r="AJ935" s="54" t="str">
        <f t="shared" si="178"/>
        <v/>
      </c>
      <c r="AK935" s="54">
        <f t="shared" si="179"/>
        <v>0.5373919778327767</v>
      </c>
    </row>
    <row r="936" spans="9:37" x14ac:dyDescent="0.45">
      <c r="I936" s="2">
        <v>108.2</v>
      </c>
      <c r="J936" s="2">
        <v>0.79379619999999995</v>
      </c>
      <c r="K936" s="2">
        <v>0.66608239999999996</v>
      </c>
      <c r="R936" s="2">
        <v>26.12</v>
      </c>
      <c r="S936" s="2">
        <v>5.6623999999999997E-4</v>
      </c>
      <c r="T936" s="2">
        <v>2.5692E-4</v>
      </c>
      <c r="V936" s="11"/>
      <c r="W936" s="6"/>
      <c r="X936" s="6">
        <v>9.17</v>
      </c>
      <c r="Y936" s="11" t="str">
        <f t="shared" si="180"/>
        <v/>
      </c>
      <c r="Z936" s="6" t="str">
        <f t="shared" si="181"/>
        <v/>
      </c>
      <c r="AA936" s="23">
        <f t="shared" si="182"/>
        <v>39.17</v>
      </c>
      <c r="AB936" t="str">
        <f t="shared" si="171"/>
        <v/>
      </c>
      <c r="AC936" t="str">
        <f t="shared" si="172"/>
        <v/>
      </c>
      <c r="AD936">
        <f t="shared" si="173"/>
        <v>8.5054E-4</v>
      </c>
      <c r="AE936" s="18" t="str">
        <f t="shared" si="174"/>
        <v/>
      </c>
      <c r="AF936" s="7" t="str">
        <f t="shared" si="175"/>
        <v/>
      </c>
      <c r="AG936" s="12">
        <f t="shared" si="176"/>
        <v>0.99377459589997397</v>
      </c>
      <c r="AI936" s="54" t="str">
        <f t="shared" si="177"/>
        <v/>
      </c>
      <c r="AJ936" s="54" t="str">
        <f t="shared" si="178"/>
        <v/>
      </c>
      <c r="AK936" s="54">
        <f t="shared" si="179"/>
        <v>0.53809389466023627</v>
      </c>
    </row>
    <row r="937" spans="9:37" x14ac:dyDescent="0.45">
      <c r="I937" s="2">
        <v>108.3</v>
      </c>
      <c r="J937" s="2">
        <v>0.79969330000000005</v>
      </c>
      <c r="K937" s="2">
        <v>0.67313409999999996</v>
      </c>
      <c r="R937" s="2">
        <v>26.13</v>
      </c>
      <c r="S937" s="2">
        <v>5.6625999999999996E-4</v>
      </c>
      <c r="T937" s="2">
        <v>2.5708000000000003E-4</v>
      </c>
      <c r="V937" s="11"/>
      <c r="W937" s="6"/>
      <c r="X937" s="6">
        <v>9.18</v>
      </c>
      <c r="Y937" s="11" t="str">
        <f t="shared" si="180"/>
        <v/>
      </c>
      <c r="Z937" s="6" t="str">
        <f t="shared" si="181"/>
        <v/>
      </c>
      <c r="AA937" s="23">
        <f t="shared" si="182"/>
        <v>39.18</v>
      </c>
      <c r="AB937" t="str">
        <f t="shared" si="171"/>
        <v/>
      </c>
      <c r="AC937" t="str">
        <f t="shared" si="172"/>
        <v/>
      </c>
      <c r="AD937">
        <f t="shared" si="173"/>
        <v>8.5116E-4</v>
      </c>
      <c r="AE937" s="18" t="str">
        <f t="shared" si="174"/>
        <v/>
      </c>
      <c r="AF937" s="7" t="str">
        <f t="shared" si="175"/>
        <v/>
      </c>
      <c r="AG937" s="12">
        <f t="shared" si="176"/>
        <v>0.99376614344952596</v>
      </c>
      <c r="AI937" s="54" t="str">
        <f t="shared" si="177"/>
        <v/>
      </c>
      <c r="AJ937" s="54" t="str">
        <f t="shared" si="178"/>
        <v/>
      </c>
      <c r="AK937" s="54">
        <f t="shared" si="179"/>
        <v>0.53879609535634054</v>
      </c>
    </row>
    <row r="938" spans="9:37" x14ac:dyDescent="0.45">
      <c r="I938" s="2">
        <v>108.4</v>
      </c>
      <c r="J938" s="2">
        <v>0.80559040000000004</v>
      </c>
      <c r="K938" s="2">
        <v>0.68018579999999995</v>
      </c>
      <c r="R938" s="2">
        <v>26.14</v>
      </c>
      <c r="S938" s="2">
        <v>5.6627999999999995E-4</v>
      </c>
      <c r="T938" s="2">
        <v>2.5724E-4</v>
      </c>
      <c r="V938" s="11"/>
      <c r="W938" s="6"/>
      <c r="X938" s="6">
        <v>9.19</v>
      </c>
      <c r="Y938" s="11" t="str">
        <f t="shared" si="180"/>
        <v/>
      </c>
      <c r="Z938" s="6" t="str">
        <f t="shared" si="181"/>
        <v/>
      </c>
      <c r="AA938" s="23">
        <f t="shared" si="182"/>
        <v>39.19</v>
      </c>
      <c r="AB938" t="str">
        <f t="shared" si="171"/>
        <v/>
      </c>
      <c r="AC938" t="str">
        <f t="shared" si="172"/>
        <v/>
      </c>
      <c r="AD938">
        <f t="shared" si="173"/>
        <v>8.5178000000000001E-4</v>
      </c>
      <c r="AE938" s="18" t="str">
        <f t="shared" si="174"/>
        <v/>
      </c>
      <c r="AF938" s="7" t="str">
        <f t="shared" si="175"/>
        <v/>
      </c>
      <c r="AG938" s="12">
        <f t="shared" si="176"/>
        <v>0.99375768490961935</v>
      </c>
      <c r="AI938" s="54" t="str">
        <f t="shared" si="177"/>
        <v/>
      </c>
      <c r="AJ938" s="54" t="str">
        <f t="shared" si="178"/>
        <v/>
      </c>
      <c r="AK938" s="54">
        <f t="shared" si="179"/>
        <v>0.53949858004575679</v>
      </c>
    </row>
    <row r="939" spans="9:37" x14ac:dyDescent="0.45">
      <c r="I939" s="2">
        <v>108.5</v>
      </c>
      <c r="J939" s="2">
        <v>0.81148750000000003</v>
      </c>
      <c r="K939" s="2">
        <v>0.68723749999999995</v>
      </c>
      <c r="R939" s="2">
        <v>26.15</v>
      </c>
      <c r="S939" s="2">
        <v>5.6630000000000005E-4</v>
      </c>
      <c r="T939" s="2">
        <v>2.5740000000000002E-4</v>
      </c>
      <c r="V939" s="11"/>
      <c r="W939" s="6"/>
      <c r="X939" s="6">
        <v>9.2000000000000011</v>
      </c>
      <c r="Y939" s="11" t="str">
        <f t="shared" si="180"/>
        <v/>
      </c>
      <c r="Z939" s="6" t="str">
        <f t="shared" si="181"/>
        <v/>
      </c>
      <c r="AA939" s="23">
        <f t="shared" si="182"/>
        <v>39.200000000000003</v>
      </c>
      <c r="AB939" t="str">
        <f t="shared" si="171"/>
        <v/>
      </c>
      <c r="AC939" t="str">
        <f t="shared" si="172"/>
        <v/>
      </c>
      <c r="AD939">
        <f t="shared" si="173"/>
        <v>8.5240000000000001E-4</v>
      </c>
      <c r="AE939" s="18" t="str">
        <f t="shared" si="174"/>
        <v/>
      </c>
      <c r="AF939" s="7" t="str">
        <f t="shared" si="175"/>
        <v/>
      </c>
      <c r="AG939" s="12">
        <f t="shared" si="176"/>
        <v>0.99374922028041079</v>
      </c>
      <c r="AI939" s="54" t="str">
        <f t="shared" si="177"/>
        <v/>
      </c>
      <c r="AJ939" s="54" t="str">
        <f t="shared" si="178"/>
        <v/>
      </c>
      <c r="AK939" s="54">
        <f t="shared" si="179"/>
        <v>0.5402013488532087</v>
      </c>
    </row>
    <row r="940" spans="9:37" x14ac:dyDescent="0.45">
      <c r="I940" s="2">
        <v>108.6</v>
      </c>
      <c r="J940" s="2">
        <v>0.81738460000000002</v>
      </c>
      <c r="K940" s="2">
        <v>0.69428920000000005</v>
      </c>
      <c r="R940" s="2">
        <v>26.16</v>
      </c>
      <c r="S940" s="2">
        <v>5.6632000000000004E-4</v>
      </c>
      <c r="T940" s="2">
        <v>2.5755999999999999E-4</v>
      </c>
      <c r="V940" s="11"/>
      <c r="W940" s="6"/>
      <c r="X940" s="6">
        <v>9.2100000000000009</v>
      </c>
      <c r="Y940" s="11" t="str">
        <f t="shared" si="180"/>
        <v/>
      </c>
      <c r="Z940" s="6" t="str">
        <f t="shared" si="181"/>
        <v/>
      </c>
      <c r="AA940" s="23">
        <f t="shared" si="182"/>
        <v>39.21</v>
      </c>
      <c r="AB940" t="str">
        <f t="shared" si="171"/>
        <v/>
      </c>
      <c r="AC940" t="str">
        <f t="shared" si="172"/>
        <v/>
      </c>
      <c r="AD940">
        <f t="shared" si="173"/>
        <v>8.5302000000000002E-4</v>
      </c>
      <c r="AE940" s="18" t="str">
        <f t="shared" si="174"/>
        <v/>
      </c>
      <c r="AF940" s="7" t="str">
        <f t="shared" si="175"/>
        <v/>
      </c>
      <c r="AG940" s="12">
        <f t="shared" si="176"/>
        <v>0.99374074956205716</v>
      </c>
      <c r="AI940" s="54" t="str">
        <f t="shared" si="177"/>
        <v/>
      </c>
      <c r="AJ940" s="54" t="str">
        <f t="shared" si="178"/>
        <v/>
      </c>
      <c r="AK940" s="54">
        <f t="shared" si="179"/>
        <v>0.54090440190347611</v>
      </c>
    </row>
    <row r="941" spans="9:37" x14ac:dyDescent="0.45">
      <c r="I941" s="2">
        <v>108.7</v>
      </c>
      <c r="J941" s="2">
        <v>0.82328170000000001</v>
      </c>
      <c r="K941" s="2">
        <v>0.70134090000000004</v>
      </c>
      <c r="R941" s="2">
        <v>26.17</v>
      </c>
      <c r="S941" s="2">
        <v>5.6634000000000003E-4</v>
      </c>
      <c r="T941" s="2">
        <v>2.5772000000000002E-4</v>
      </c>
      <c r="V941" s="11"/>
      <c r="W941" s="6"/>
      <c r="X941" s="6">
        <v>9.2200000000000006</v>
      </c>
      <c r="Y941" s="11" t="str">
        <f t="shared" si="180"/>
        <v/>
      </c>
      <c r="Z941" s="6" t="str">
        <f t="shared" si="181"/>
        <v/>
      </c>
      <c r="AA941" s="23">
        <f t="shared" si="182"/>
        <v>39.22</v>
      </c>
      <c r="AB941" t="str">
        <f t="shared" si="171"/>
        <v/>
      </c>
      <c r="AC941" t="str">
        <f t="shared" si="172"/>
        <v/>
      </c>
      <c r="AD941">
        <f t="shared" si="173"/>
        <v>8.5364000000000002E-4</v>
      </c>
      <c r="AE941" s="18" t="str">
        <f t="shared" si="174"/>
        <v/>
      </c>
      <c r="AF941" s="7" t="str">
        <f t="shared" si="175"/>
        <v/>
      </c>
      <c r="AG941" s="12">
        <f t="shared" si="176"/>
        <v>0.99373227275471521</v>
      </c>
      <c r="AI941" s="54" t="str">
        <f t="shared" si="177"/>
        <v/>
      </c>
      <c r="AJ941" s="54" t="str">
        <f t="shared" si="178"/>
        <v/>
      </c>
      <c r="AK941" s="54">
        <f t="shared" si="179"/>
        <v>0.54160773932139505</v>
      </c>
    </row>
    <row r="942" spans="9:37" x14ac:dyDescent="0.45">
      <c r="I942" s="2">
        <v>108.8</v>
      </c>
      <c r="J942" s="2">
        <v>0.82917879999999999</v>
      </c>
      <c r="K942" s="2">
        <v>0.70839260000000004</v>
      </c>
      <c r="R942" s="2">
        <v>26.18</v>
      </c>
      <c r="S942" s="2">
        <v>5.6636000000000002E-4</v>
      </c>
      <c r="T942" s="2">
        <v>2.5787999999999999E-4</v>
      </c>
      <c r="V942" s="11"/>
      <c r="W942" s="6"/>
      <c r="X942" s="6">
        <v>9.23</v>
      </c>
      <c r="Y942" s="11" t="str">
        <f t="shared" si="180"/>
        <v/>
      </c>
      <c r="Z942" s="6" t="str">
        <f t="shared" si="181"/>
        <v/>
      </c>
      <c r="AA942" s="23">
        <f t="shared" si="182"/>
        <v>39.230000000000004</v>
      </c>
      <c r="AB942" t="str">
        <f t="shared" si="171"/>
        <v/>
      </c>
      <c r="AC942" t="str">
        <f t="shared" si="172"/>
        <v/>
      </c>
      <c r="AD942">
        <f t="shared" si="173"/>
        <v>8.5426000000000002E-4</v>
      </c>
      <c r="AE942" s="18" t="str">
        <f t="shared" si="174"/>
        <v/>
      </c>
      <c r="AF942" s="7" t="str">
        <f t="shared" si="175"/>
        <v/>
      </c>
      <c r="AG942" s="12">
        <f t="shared" si="176"/>
        <v>0.99372378985854204</v>
      </c>
      <c r="AI942" s="54" t="str">
        <f t="shared" si="177"/>
        <v/>
      </c>
      <c r="AJ942" s="54" t="str">
        <f t="shared" si="178"/>
        <v/>
      </c>
      <c r="AK942" s="54">
        <f t="shared" si="179"/>
        <v>0.54231136123185808</v>
      </c>
    </row>
    <row r="943" spans="9:37" x14ac:dyDescent="0.45">
      <c r="I943" s="2">
        <v>108.9</v>
      </c>
      <c r="J943" s="2">
        <v>0.83507589999999998</v>
      </c>
      <c r="K943" s="2">
        <v>0.71544430000000003</v>
      </c>
      <c r="R943" s="2">
        <v>26.19</v>
      </c>
      <c r="S943" s="2">
        <v>5.6638000000000001E-4</v>
      </c>
      <c r="T943" s="2">
        <v>2.5804000000000002E-4</v>
      </c>
      <c r="V943" s="11"/>
      <c r="W943" s="6"/>
      <c r="X943" s="6">
        <v>9.24</v>
      </c>
      <c r="Y943" s="11" t="str">
        <f t="shared" si="180"/>
        <v/>
      </c>
      <c r="Z943" s="6" t="str">
        <f t="shared" si="181"/>
        <v/>
      </c>
      <c r="AA943" s="23">
        <f t="shared" si="182"/>
        <v>39.24</v>
      </c>
      <c r="AB943" t="str">
        <f t="shared" si="171"/>
        <v/>
      </c>
      <c r="AC943" t="str">
        <f t="shared" si="172"/>
        <v/>
      </c>
      <c r="AD943">
        <f t="shared" si="173"/>
        <v>8.5488000000000003E-4</v>
      </c>
      <c r="AE943" s="18" t="str">
        <f t="shared" si="174"/>
        <v/>
      </c>
      <c r="AF943" s="7" t="str">
        <f t="shared" si="175"/>
        <v/>
      </c>
      <c r="AG943" s="12">
        <f t="shared" si="176"/>
        <v>0.99371530087369475</v>
      </c>
      <c r="AI943" s="54" t="str">
        <f t="shared" si="177"/>
        <v/>
      </c>
      <c r="AJ943" s="54" t="str">
        <f t="shared" si="178"/>
        <v/>
      </c>
      <c r="AK943" s="54">
        <f t="shared" si="179"/>
        <v>0.54301526775981379</v>
      </c>
    </row>
    <row r="944" spans="9:37" x14ac:dyDescent="0.45">
      <c r="I944" s="2">
        <v>109</v>
      </c>
      <c r="J944" s="2">
        <v>0.84097299999999997</v>
      </c>
      <c r="K944" s="2">
        <v>0.72249600000000003</v>
      </c>
      <c r="R944" s="2">
        <v>26.2</v>
      </c>
      <c r="S944" s="2">
        <v>5.664E-4</v>
      </c>
      <c r="T944" s="2">
        <v>2.5819999999999999E-4</v>
      </c>
      <c r="V944" s="11"/>
      <c r="W944" s="6"/>
      <c r="X944" s="6">
        <v>9.25</v>
      </c>
      <c r="Y944" s="11" t="str">
        <f t="shared" si="180"/>
        <v/>
      </c>
      <c r="Z944" s="6" t="str">
        <f t="shared" si="181"/>
        <v/>
      </c>
      <c r="AA944" s="23">
        <f t="shared" si="182"/>
        <v>39.25</v>
      </c>
      <c r="AB944" t="str">
        <f t="shared" si="171"/>
        <v/>
      </c>
      <c r="AC944" t="str">
        <f t="shared" si="172"/>
        <v/>
      </c>
      <c r="AD944">
        <f t="shared" si="173"/>
        <v>8.5550000000000003E-4</v>
      </c>
      <c r="AE944" s="18" t="str">
        <f t="shared" si="174"/>
        <v/>
      </c>
      <c r="AF944" s="7" t="str">
        <f t="shared" si="175"/>
        <v/>
      </c>
      <c r="AG944" s="12">
        <f t="shared" si="176"/>
        <v>0.99370680580033066</v>
      </c>
      <c r="AI944" s="54" t="str">
        <f t="shared" si="177"/>
        <v/>
      </c>
      <c r="AJ944" s="54" t="str">
        <f t="shared" si="178"/>
        <v/>
      </c>
      <c r="AK944" s="54">
        <f t="shared" si="179"/>
        <v>0.54371945903026719</v>
      </c>
    </row>
    <row r="945" spans="9:37" x14ac:dyDescent="0.45">
      <c r="I945" s="2">
        <v>109.1</v>
      </c>
      <c r="J945" s="2">
        <v>0.84722509999999995</v>
      </c>
      <c r="K945" s="2">
        <v>0.73031060000000003</v>
      </c>
      <c r="R945" s="2">
        <v>26.21</v>
      </c>
      <c r="S945" s="2">
        <v>5.6641999999999999E-4</v>
      </c>
      <c r="T945" s="2">
        <v>2.5836000000000001E-4</v>
      </c>
      <c r="V945" s="11"/>
      <c r="W945" s="6"/>
      <c r="X945" s="6">
        <v>9.26</v>
      </c>
      <c r="Y945" s="11" t="str">
        <f t="shared" si="180"/>
        <v/>
      </c>
      <c r="Z945" s="6" t="str">
        <f t="shared" si="181"/>
        <v/>
      </c>
      <c r="AA945" s="23">
        <f t="shared" si="182"/>
        <v>39.26</v>
      </c>
      <c r="AB945" t="str">
        <f t="shared" si="171"/>
        <v/>
      </c>
      <c r="AC945" t="str">
        <f t="shared" si="172"/>
        <v/>
      </c>
      <c r="AD945">
        <f t="shared" si="173"/>
        <v>8.5612000000000004E-4</v>
      </c>
      <c r="AE945" s="18" t="str">
        <f t="shared" si="174"/>
        <v/>
      </c>
      <c r="AF945" s="7" t="str">
        <f t="shared" si="175"/>
        <v/>
      </c>
      <c r="AG945" s="12">
        <f t="shared" si="176"/>
        <v>0.99369830463860709</v>
      </c>
      <c r="AI945" s="54" t="str">
        <f t="shared" si="177"/>
        <v/>
      </c>
      <c r="AJ945" s="54" t="str">
        <f t="shared" si="178"/>
        <v/>
      </c>
      <c r="AK945" s="54">
        <f t="shared" si="179"/>
        <v>0.5444239351682798</v>
      </c>
    </row>
    <row r="946" spans="9:37" x14ac:dyDescent="0.45">
      <c r="I946" s="2">
        <v>109.2</v>
      </c>
      <c r="J946" s="2">
        <v>0.85347720000000005</v>
      </c>
      <c r="K946" s="2">
        <v>0.73812520000000004</v>
      </c>
      <c r="R946" s="2">
        <v>26.22</v>
      </c>
      <c r="S946" s="2">
        <v>5.6643999999999998E-4</v>
      </c>
      <c r="T946" s="2">
        <v>2.5851999999999998E-4</v>
      </c>
      <c r="V946" s="11"/>
      <c r="W946" s="6"/>
      <c r="X946" s="6">
        <v>9.27</v>
      </c>
      <c r="Y946" s="11" t="str">
        <f t="shared" si="180"/>
        <v/>
      </c>
      <c r="Z946" s="6" t="str">
        <f t="shared" si="181"/>
        <v/>
      </c>
      <c r="AA946" s="23">
        <f t="shared" si="182"/>
        <v>39.269999999999996</v>
      </c>
      <c r="AB946" t="str">
        <f t="shared" si="171"/>
        <v/>
      </c>
      <c r="AC946" t="str">
        <f t="shared" si="172"/>
        <v/>
      </c>
      <c r="AD946">
        <f t="shared" si="173"/>
        <v>8.5612000000000004E-4</v>
      </c>
      <c r="AE946" s="18" t="str">
        <f t="shared" si="174"/>
        <v/>
      </c>
      <c r="AF946" s="7" t="str">
        <f t="shared" si="175"/>
        <v/>
      </c>
      <c r="AG946" s="12">
        <f t="shared" si="176"/>
        <v>0.99368979738868146</v>
      </c>
      <c r="AI946" s="54" t="str">
        <f t="shared" si="177"/>
        <v/>
      </c>
      <c r="AJ946" s="54" t="str">
        <f t="shared" si="178"/>
        <v/>
      </c>
      <c r="AK946" s="54">
        <f t="shared" si="179"/>
        <v>0.54512869629896943</v>
      </c>
    </row>
    <row r="947" spans="9:37" x14ac:dyDescent="0.45">
      <c r="I947" s="2">
        <v>109.3</v>
      </c>
      <c r="J947" s="2">
        <v>0.85972930000000003</v>
      </c>
      <c r="K947" s="2">
        <v>0.74593980000000004</v>
      </c>
      <c r="R947" s="2">
        <v>26.23</v>
      </c>
      <c r="S947" s="2">
        <v>5.6645999999999997E-4</v>
      </c>
      <c r="T947" s="2">
        <v>2.5868000000000001E-4</v>
      </c>
      <c r="V947" s="11"/>
      <c r="W947" s="6"/>
      <c r="X947" s="6">
        <v>9.2799999999999994</v>
      </c>
      <c r="Y947" s="11" t="str">
        <f t="shared" si="180"/>
        <v/>
      </c>
      <c r="Z947" s="6" t="str">
        <f t="shared" si="181"/>
        <v/>
      </c>
      <c r="AA947" s="23">
        <f t="shared" si="182"/>
        <v>39.28</v>
      </c>
      <c r="AB947" t="str">
        <f t="shared" si="171"/>
        <v/>
      </c>
      <c r="AC947" t="str">
        <f t="shared" si="172"/>
        <v/>
      </c>
      <c r="AD947">
        <f t="shared" si="173"/>
        <v>8.5736000000000004E-4</v>
      </c>
      <c r="AE947" s="18" t="str">
        <f t="shared" si="174"/>
        <v/>
      </c>
      <c r="AF947" s="7" t="str">
        <f t="shared" si="175"/>
        <v/>
      </c>
      <c r="AG947" s="12">
        <f t="shared" si="176"/>
        <v>0.99368129021158802</v>
      </c>
      <c r="AI947" s="54" t="str">
        <f t="shared" si="177"/>
        <v/>
      </c>
      <c r="AJ947" s="54" t="str">
        <f t="shared" si="178"/>
        <v/>
      </c>
      <c r="AK947" s="54">
        <f t="shared" si="179"/>
        <v>0.54583374536771223</v>
      </c>
    </row>
    <row r="948" spans="9:37" x14ac:dyDescent="0.45">
      <c r="I948" s="2">
        <v>109.4</v>
      </c>
      <c r="J948" s="2">
        <v>0.86598140000000001</v>
      </c>
      <c r="K948" s="2">
        <v>0.75375440000000005</v>
      </c>
      <c r="R948" s="2">
        <v>26.24</v>
      </c>
      <c r="S948" s="2">
        <v>5.6647999999999996E-4</v>
      </c>
      <c r="T948" s="2">
        <v>2.5883999999999998E-4</v>
      </c>
      <c r="V948" s="11"/>
      <c r="W948" s="6"/>
      <c r="X948" s="6">
        <v>9.2900000000000009</v>
      </c>
      <c r="Y948" s="11" t="str">
        <f t="shared" si="180"/>
        <v/>
      </c>
      <c r="Z948" s="6" t="str">
        <f t="shared" si="181"/>
        <v/>
      </c>
      <c r="AA948" s="23">
        <f t="shared" si="182"/>
        <v>39.29</v>
      </c>
      <c r="AB948" t="str">
        <f t="shared" si="171"/>
        <v/>
      </c>
      <c r="AC948" t="str">
        <f t="shared" si="172"/>
        <v/>
      </c>
      <c r="AD948">
        <f t="shared" si="173"/>
        <v>8.5798000000000005E-4</v>
      </c>
      <c r="AE948" s="18" t="str">
        <f t="shared" si="174"/>
        <v/>
      </c>
      <c r="AF948" s="7" t="str">
        <f t="shared" si="175"/>
        <v/>
      </c>
      <c r="AG948" s="12">
        <f t="shared" si="176"/>
        <v>0.99367277078567828</v>
      </c>
      <c r="AI948" s="54" t="str">
        <f t="shared" si="177"/>
        <v/>
      </c>
      <c r="AJ948" s="54" t="str">
        <f t="shared" si="178"/>
        <v/>
      </c>
      <c r="AK948" s="54">
        <f t="shared" si="179"/>
        <v>0.54653907686048708</v>
      </c>
    </row>
    <row r="949" spans="9:37" x14ac:dyDescent="0.45">
      <c r="I949" s="2">
        <v>109.5</v>
      </c>
      <c r="J949" s="2">
        <v>0.87223349999999999</v>
      </c>
      <c r="K949" s="2">
        <v>0.76156900000000005</v>
      </c>
      <c r="R949" s="2">
        <v>26.25</v>
      </c>
      <c r="S949" s="2">
        <v>5.6649999999999995E-4</v>
      </c>
      <c r="T949" s="2">
        <v>2.5900000000000001E-4</v>
      </c>
      <c r="V949" s="11"/>
      <c r="W949" s="6"/>
      <c r="X949" s="6">
        <v>9.3000000000000007</v>
      </c>
      <c r="Y949" s="11" t="str">
        <f t="shared" si="180"/>
        <v/>
      </c>
      <c r="Z949" s="6" t="str">
        <f t="shared" si="181"/>
        <v/>
      </c>
      <c r="AA949" s="23">
        <f t="shared" si="182"/>
        <v>39.299999999999997</v>
      </c>
      <c r="AB949" t="str">
        <f t="shared" si="171"/>
        <v/>
      </c>
      <c r="AC949" t="str">
        <f t="shared" si="172"/>
        <v/>
      </c>
      <c r="AD949">
        <f t="shared" si="173"/>
        <v>8.5860000000000005E-4</v>
      </c>
      <c r="AE949" s="18" t="str">
        <f t="shared" si="174"/>
        <v/>
      </c>
      <c r="AF949" s="7" t="str">
        <f t="shared" si="175"/>
        <v/>
      </c>
      <c r="AG949" s="12">
        <f t="shared" si="176"/>
        <v>0.99366424527203945</v>
      </c>
      <c r="AI949" s="54" t="str">
        <f t="shared" si="177"/>
        <v/>
      </c>
      <c r="AJ949" s="54" t="str">
        <f t="shared" si="178"/>
        <v/>
      </c>
      <c r="AK949" s="54">
        <f t="shared" si="179"/>
        <v>0.54724469372163143</v>
      </c>
    </row>
    <row r="950" spans="9:37" x14ac:dyDescent="0.45">
      <c r="I950" s="2">
        <v>109.6</v>
      </c>
      <c r="J950" s="2">
        <v>0.87848559999999998</v>
      </c>
      <c r="K950" s="2">
        <v>0.76938359999999995</v>
      </c>
      <c r="R950" s="2">
        <v>26.26</v>
      </c>
      <c r="S950" s="2">
        <v>5.6652000000000004E-4</v>
      </c>
      <c r="T950" s="2">
        <v>2.5915999999999998E-4</v>
      </c>
      <c r="V950" s="11"/>
      <c r="W950" s="6"/>
      <c r="X950" s="6">
        <v>9.31</v>
      </c>
      <c r="Y950" s="11" t="str">
        <f t="shared" si="180"/>
        <v/>
      </c>
      <c r="Z950" s="6" t="str">
        <f t="shared" si="181"/>
        <v/>
      </c>
      <c r="AA950" s="23">
        <f t="shared" si="182"/>
        <v>39.31</v>
      </c>
      <c r="AB950" t="str">
        <f t="shared" si="171"/>
        <v/>
      </c>
      <c r="AC950" t="str">
        <f t="shared" si="172"/>
        <v/>
      </c>
      <c r="AD950">
        <f t="shared" si="173"/>
        <v>8.5921999999999995E-4</v>
      </c>
      <c r="AE950" s="18" t="str">
        <f t="shared" si="174"/>
        <v/>
      </c>
      <c r="AF950" s="7" t="str">
        <f t="shared" si="175"/>
        <v/>
      </c>
      <c r="AG950" s="12">
        <f t="shared" si="176"/>
        <v>0.9936557136708295</v>
      </c>
      <c r="AI950" s="54" t="str">
        <f t="shared" si="177"/>
        <v/>
      </c>
      <c r="AJ950" s="54" t="str">
        <f t="shared" si="178"/>
        <v/>
      </c>
      <c r="AK950" s="54">
        <f t="shared" si="179"/>
        <v>0.54795059607648888</v>
      </c>
    </row>
    <row r="951" spans="9:37" x14ac:dyDescent="0.45">
      <c r="I951" s="2">
        <v>109.7</v>
      </c>
      <c r="J951" s="2">
        <v>0.88473769999999996</v>
      </c>
      <c r="K951" s="2">
        <v>0.77719819999999995</v>
      </c>
      <c r="R951" s="2">
        <v>26.27</v>
      </c>
      <c r="S951" s="2">
        <v>5.6654000000000003E-4</v>
      </c>
      <c r="T951" s="2">
        <v>2.5932E-4</v>
      </c>
      <c r="V951" s="11"/>
      <c r="W951" s="6"/>
      <c r="X951" s="6">
        <v>9.32</v>
      </c>
      <c r="Y951" s="11" t="str">
        <f t="shared" si="180"/>
        <v/>
      </c>
      <c r="Z951" s="6" t="str">
        <f t="shared" si="181"/>
        <v/>
      </c>
      <c r="AA951" s="23">
        <f t="shared" si="182"/>
        <v>39.32</v>
      </c>
      <c r="AB951" t="str">
        <f t="shared" si="171"/>
        <v/>
      </c>
      <c r="AC951" t="str">
        <f t="shared" si="172"/>
        <v/>
      </c>
      <c r="AD951">
        <f t="shared" si="173"/>
        <v>8.5983999999999995E-4</v>
      </c>
      <c r="AE951" s="18" t="str">
        <f t="shared" si="174"/>
        <v/>
      </c>
      <c r="AF951" s="7" t="str">
        <f t="shared" si="175"/>
        <v/>
      </c>
      <c r="AG951" s="12">
        <f t="shared" si="176"/>
        <v>0.99364717598220653</v>
      </c>
      <c r="AI951" s="54" t="str">
        <f t="shared" si="177"/>
        <v/>
      </c>
      <c r="AJ951" s="54" t="str">
        <f t="shared" si="178"/>
        <v/>
      </c>
      <c r="AK951" s="54">
        <f t="shared" si="179"/>
        <v>0.54865678405045959</v>
      </c>
    </row>
    <row r="952" spans="9:37" x14ac:dyDescent="0.45">
      <c r="I952" s="2">
        <v>109.8</v>
      </c>
      <c r="J952" s="2">
        <v>0.89098980000000005</v>
      </c>
      <c r="K952" s="2">
        <v>0.78501279999999996</v>
      </c>
      <c r="R952" s="2">
        <v>26.28</v>
      </c>
      <c r="S952" s="2">
        <v>5.6656000000000002E-4</v>
      </c>
      <c r="T952" s="2">
        <v>2.5947999999999998E-4</v>
      </c>
      <c r="V952" s="11"/>
      <c r="W952" s="6"/>
      <c r="X952" s="6">
        <v>9.33</v>
      </c>
      <c r="Y952" s="11" t="str">
        <f t="shared" si="180"/>
        <v/>
      </c>
      <c r="Z952" s="6" t="str">
        <f t="shared" si="181"/>
        <v/>
      </c>
      <c r="AA952" s="23">
        <f t="shared" si="182"/>
        <v>39.33</v>
      </c>
      <c r="AB952" t="str">
        <f t="shared" si="171"/>
        <v/>
      </c>
      <c r="AC952" t="str">
        <f t="shared" si="172"/>
        <v/>
      </c>
      <c r="AD952">
        <f t="shared" si="173"/>
        <v>8.6045999999999996E-4</v>
      </c>
      <c r="AE952" s="18" t="str">
        <f t="shared" si="174"/>
        <v/>
      </c>
      <c r="AF952" s="7" t="str">
        <f t="shared" si="175"/>
        <v/>
      </c>
      <c r="AG952" s="12">
        <f t="shared" si="176"/>
        <v>0.99363863220632853</v>
      </c>
      <c r="AI952" s="54" t="str">
        <f t="shared" si="177"/>
        <v/>
      </c>
      <c r="AJ952" s="54" t="str">
        <f t="shared" si="178"/>
        <v/>
      </c>
      <c r="AK952" s="54">
        <f t="shared" si="179"/>
        <v>0.5493632577690003</v>
      </c>
    </row>
    <row r="953" spans="9:37" x14ac:dyDescent="0.45">
      <c r="I953" s="2">
        <v>109.9</v>
      </c>
      <c r="J953" s="2">
        <v>0.89724190000000004</v>
      </c>
      <c r="K953" s="2">
        <v>0.79282739999999996</v>
      </c>
      <c r="R953" s="2">
        <v>26.29</v>
      </c>
      <c r="S953" s="2">
        <v>5.6658000000000001E-4</v>
      </c>
      <c r="T953" s="2">
        <v>2.5964E-4</v>
      </c>
      <c r="V953" s="11"/>
      <c r="W953" s="6"/>
      <c r="X953" s="6">
        <v>9.34</v>
      </c>
      <c r="Y953" s="11" t="str">
        <f t="shared" si="180"/>
        <v/>
      </c>
      <c r="Z953" s="6" t="str">
        <f t="shared" si="181"/>
        <v/>
      </c>
      <c r="AA953" s="23">
        <f t="shared" si="182"/>
        <v>39.340000000000003</v>
      </c>
      <c r="AB953" t="str">
        <f t="shared" si="171"/>
        <v/>
      </c>
      <c r="AC953" t="str">
        <f t="shared" si="172"/>
        <v/>
      </c>
      <c r="AD953">
        <f t="shared" si="173"/>
        <v>8.6107999999999996E-4</v>
      </c>
      <c r="AE953" s="18" t="str">
        <f t="shared" si="174"/>
        <v/>
      </c>
      <c r="AF953" s="7" t="str">
        <f t="shared" si="175"/>
        <v/>
      </c>
      <c r="AG953" s="12">
        <f t="shared" si="176"/>
        <v>0.99363008234335382</v>
      </c>
      <c r="AI953" s="54" t="str">
        <f t="shared" si="177"/>
        <v/>
      </c>
      <c r="AJ953" s="54" t="str">
        <f t="shared" si="178"/>
        <v/>
      </c>
      <c r="AK953" s="54">
        <f t="shared" si="179"/>
        <v>0.55007001735762417</v>
      </c>
    </row>
    <row r="954" spans="9:37" x14ac:dyDescent="0.45">
      <c r="I954" s="2">
        <v>110</v>
      </c>
      <c r="J954" s="2">
        <v>0.90349400000000002</v>
      </c>
      <c r="K954" s="2">
        <v>0.80064199999999996</v>
      </c>
      <c r="R954" s="2">
        <v>26.3</v>
      </c>
      <c r="S954" s="2">
        <v>5.666E-4</v>
      </c>
      <c r="T954" s="2">
        <v>2.5980000000000003E-4</v>
      </c>
      <c r="V954" s="11"/>
      <c r="W954" s="6"/>
      <c r="X954" s="6">
        <v>9.35</v>
      </c>
      <c r="Y954" s="11" t="str">
        <f t="shared" si="180"/>
        <v/>
      </c>
      <c r="Z954" s="6" t="str">
        <f t="shared" si="181"/>
        <v/>
      </c>
      <c r="AA954" s="23">
        <f t="shared" si="182"/>
        <v>39.35</v>
      </c>
      <c r="AB954" t="str">
        <f t="shared" si="171"/>
        <v/>
      </c>
      <c r="AC954" t="str">
        <f t="shared" si="172"/>
        <v/>
      </c>
      <c r="AD954">
        <f t="shared" si="173"/>
        <v>8.6169999999999997E-4</v>
      </c>
      <c r="AE954" s="18" t="str">
        <f t="shared" si="174"/>
        <v/>
      </c>
      <c r="AF954" s="7" t="str">
        <f t="shared" si="175"/>
        <v/>
      </c>
      <c r="AG954" s="12">
        <f t="shared" si="176"/>
        <v>0.99362152639344081</v>
      </c>
      <c r="AI954" s="54" t="str">
        <f t="shared" si="177"/>
        <v/>
      </c>
      <c r="AJ954" s="54" t="str">
        <f t="shared" si="178"/>
        <v/>
      </c>
      <c r="AK954" s="54">
        <f t="shared" si="179"/>
        <v>0.55077706294190121</v>
      </c>
    </row>
    <row r="955" spans="9:37" x14ac:dyDescent="0.45">
      <c r="I955" s="2">
        <v>110.1</v>
      </c>
      <c r="J955" s="2">
        <v>0.9101146</v>
      </c>
      <c r="K955" s="2">
        <v>0.80930190000000002</v>
      </c>
      <c r="R955" s="2">
        <v>26.31</v>
      </c>
      <c r="S955" s="2">
        <v>5.6661999999999999E-4</v>
      </c>
      <c r="T955" s="2">
        <v>2.5996E-4</v>
      </c>
      <c r="V955" s="11"/>
      <c r="W955" s="6"/>
      <c r="X955" s="6">
        <v>9.36</v>
      </c>
      <c r="Y955" s="11" t="str">
        <f t="shared" si="180"/>
        <v/>
      </c>
      <c r="Z955" s="6" t="str">
        <f t="shared" si="181"/>
        <v/>
      </c>
      <c r="AA955" s="23">
        <f t="shared" si="182"/>
        <v>39.36</v>
      </c>
      <c r="AB955" t="str">
        <f t="shared" si="171"/>
        <v/>
      </c>
      <c r="AC955" t="str">
        <f t="shared" si="172"/>
        <v/>
      </c>
      <c r="AD955">
        <f t="shared" si="173"/>
        <v>8.6231999999999997E-4</v>
      </c>
      <c r="AE955" s="18" t="str">
        <f t="shared" si="174"/>
        <v/>
      </c>
      <c r="AF955" s="7" t="str">
        <f t="shared" si="175"/>
        <v/>
      </c>
      <c r="AG955" s="12">
        <f t="shared" si="176"/>
        <v>0.99361296435674784</v>
      </c>
      <c r="AI955" s="54" t="str">
        <f t="shared" si="177"/>
        <v/>
      </c>
      <c r="AJ955" s="54" t="str">
        <f t="shared" si="178"/>
        <v/>
      </c>
      <c r="AK955" s="54">
        <f t="shared" si="179"/>
        <v>0.5514843946474578</v>
      </c>
    </row>
    <row r="956" spans="9:37" x14ac:dyDescent="0.45">
      <c r="I956" s="2">
        <v>110.2</v>
      </c>
      <c r="J956" s="2">
        <v>0.91673519999999997</v>
      </c>
      <c r="K956" s="2">
        <v>0.81796179999999996</v>
      </c>
      <c r="R956" s="2">
        <v>26.32</v>
      </c>
      <c r="S956" s="2">
        <v>5.6663999999999998E-4</v>
      </c>
      <c r="T956" s="2">
        <v>2.6012000000000002E-4</v>
      </c>
      <c r="V956" s="11"/>
      <c r="W956" s="6"/>
      <c r="X956" s="6">
        <v>9.370000000000001</v>
      </c>
      <c r="Y956" s="11" t="str">
        <f t="shared" si="180"/>
        <v/>
      </c>
      <c r="Z956" s="6" t="str">
        <f t="shared" si="181"/>
        <v/>
      </c>
      <c r="AA956" s="23">
        <f t="shared" si="182"/>
        <v>39.370000000000005</v>
      </c>
      <c r="AB956" t="str">
        <f t="shared" si="171"/>
        <v/>
      </c>
      <c r="AC956" t="str">
        <f t="shared" si="172"/>
        <v/>
      </c>
      <c r="AD956">
        <f t="shared" si="173"/>
        <v>8.6293999999999997E-4</v>
      </c>
      <c r="AE956" s="18" t="str">
        <f t="shared" si="174"/>
        <v/>
      </c>
      <c r="AF956" s="7" t="str">
        <f t="shared" si="175"/>
        <v/>
      </c>
      <c r="AG956" s="12">
        <f t="shared" si="176"/>
        <v>0.99360439623343355</v>
      </c>
      <c r="AI956" s="54" t="str">
        <f t="shared" si="177"/>
        <v/>
      </c>
      <c r="AJ956" s="54" t="str">
        <f t="shared" si="178"/>
        <v/>
      </c>
      <c r="AK956" s="54">
        <f t="shared" si="179"/>
        <v>0.55219201259997719</v>
      </c>
    </row>
    <row r="957" spans="9:37" x14ac:dyDescent="0.45">
      <c r="I957" s="2">
        <v>110.3</v>
      </c>
      <c r="J957" s="2">
        <v>0.92335579999999995</v>
      </c>
      <c r="K957" s="2">
        <v>0.82662170000000001</v>
      </c>
      <c r="R957" s="2">
        <v>26.33</v>
      </c>
      <c r="S957" s="2">
        <v>5.6665999999999997E-4</v>
      </c>
      <c r="T957" s="2">
        <v>2.6027999999999999E-4</v>
      </c>
      <c r="V957" s="11"/>
      <c r="W957" s="6"/>
      <c r="X957" s="6">
        <v>9.3800000000000008</v>
      </c>
      <c r="Y957" s="11" t="str">
        <f t="shared" si="180"/>
        <v/>
      </c>
      <c r="Z957" s="6" t="str">
        <f t="shared" si="181"/>
        <v/>
      </c>
      <c r="AA957" s="23">
        <f t="shared" si="182"/>
        <v>39.380000000000003</v>
      </c>
      <c r="AB957" t="str">
        <f t="shared" si="171"/>
        <v/>
      </c>
      <c r="AC957" t="str">
        <f t="shared" si="172"/>
        <v/>
      </c>
      <c r="AD957">
        <f t="shared" si="173"/>
        <v>8.6355999999999998E-4</v>
      </c>
      <c r="AE957" s="18" t="str">
        <f t="shared" si="174"/>
        <v/>
      </c>
      <c r="AF957" s="7" t="str">
        <f t="shared" si="175"/>
        <v/>
      </c>
      <c r="AG957" s="12">
        <f t="shared" si="176"/>
        <v>0.99359582202365671</v>
      </c>
      <c r="AI957" s="54" t="str">
        <f t="shared" si="177"/>
        <v/>
      </c>
      <c r="AJ957" s="54" t="str">
        <f t="shared" si="178"/>
        <v/>
      </c>
      <c r="AK957" s="54">
        <f t="shared" si="179"/>
        <v>0.55289991692519924</v>
      </c>
    </row>
    <row r="958" spans="9:37" x14ac:dyDescent="0.45">
      <c r="I958" s="2">
        <v>110.4</v>
      </c>
      <c r="J958" s="2">
        <v>0.92997640000000004</v>
      </c>
      <c r="K958" s="2">
        <v>0.83528159999999996</v>
      </c>
      <c r="R958" s="2">
        <v>26.34</v>
      </c>
      <c r="S958" s="2">
        <v>5.6667999999999996E-4</v>
      </c>
      <c r="T958" s="2">
        <v>2.6044000000000002E-4</v>
      </c>
      <c r="V958" s="11"/>
      <c r="W958" s="6"/>
      <c r="X958" s="6">
        <v>9.39</v>
      </c>
      <c r="Y958" s="11" t="str">
        <f t="shared" si="180"/>
        <v/>
      </c>
      <c r="Z958" s="6" t="str">
        <f t="shared" si="181"/>
        <v/>
      </c>
      <c r="AA958" s="23">
        <f t="shared" si="182"/>
        <v>39.39</v>
      </c>
      <c r="AB958" t="str">
        <f t="shared" si="171"/>
        <v/>
      </c>
      <c r="AC958" t="str">
        <f t="shared" si="172"/>
        <v/>
      </c>
      <c r="AD958">
        <f t="shared" si="173"/>
        <v>8.6417999999999998E-4</v>
      </c>
      <c r="AE958" s="18" t="str">
        <f t="shared" si="174"/>
        <v/>
      </c>
      <c r="AF958" s="7" t="str">
        <f t="shared" si="175"/>
        <v/>
      </c>
      <c r="AG958" s="12">
        <f t="shared" si="176"/>
        <v>0.99358724172757606</v>
      </c>
      <c r="AI958" s="54" t="str">
        <f t="shared" si="177"/>
        <v/>
      </c>
      <c r="AJ958" s="54" t="str">
        <f t="shared" si="178"/>
        <v/>
      </c>
      <c r="AK958" s="54">
        <f t="shared" si="179"/>
        <v>0.55360810774892044</v>
      </c>
    </row>
    <row r="959" spans="9:37" x14ac:dyDescent="0.45">
      <c r="I959" s="2">
        <v>110.5</v>
      </c>
      <c r="J959" s="2">
        <v>0.93659700000000001</v>
      </c>
      <c r="K959" s="2">
        <v>0.84394150000000001</v>
      </c>
      <c r="R959" s="2">
        <v>26.35</v>
      </c>
      <c r="S959" s="2">
        <v>5.6669999999999995E-4</v>
      </c>
      <c r="T959" s="2">
        <v>2.6059999999999999E-4</v>
      </c>
      <c r="V959" s="11"/>
      <c r="W959" s="6"/>
      <c r="X959" s="6">
        <v>9.4</v>
      </c>
      <c r="Y959" s="11" t="str">
        <f t="shared" si="180"/>
        <v/>
      </c>
      <c r="Z959" s="6" t="str">
        <f t="shared" si="181"/>
        <v/>
      </c>
      <c r="AA959" s="23">
        <f t="shared" si="182"/>
        <v>39.4</v>
      </c>
      <c r="AB959" t="str">
        <f t="shared" si="171"/>
        <v/>
      </c>
      <c r="AC959" t="str">
        <f t="shared" si="172"/>
        <v/>
      </c>
      <c r="AD959">
        <f t="shared" si="173"/>
        <v>8.6479999999999999E-4</v>
      </c>
      <c r="AE959" s="18" t="str">
        <f t="shared" si="174"/>
        <v/>
      </c>
      <c r="AF959" s="7" t="str">
        <f t="shared" si="175"/>
        <v/>
      </c>
      <c r="AG959" s="12">
        <f t="shared" si="176"/>
        <v>0.9935786553453505</v>
      </c>
      <c r="AI959" s="54" t="str">
        <f t="shared" si="177"/>
        <v/>
      </c>
      <c r="AJ959" s="54" t="str">
        <f t="shared" si="178"/>
        <v/>
      </c>
      <c r="AK959" s="54">
        <f t="shared" si="179"/>
        <v>0.55431658519699401</v>
      </c>
    </row>
    <row r="960" spans="9:37" x14ac:dyDescent="0.45">
      <c r="I960" s="2">
        <v>110.6</v>
      </c>
      <c r="J960" s="2">
        <v>0.94321759999999999</v>
      </c>
      <c r="K960" s="2">
        <v>0.85260139999999995</v>
      </c>
      <c r="R960" s="2">
        <v>26.36</v>
      </c>
      <c r="S960" s="2">
        <v>5.6672000000000005E-4</v>
      </c>
      <c r="T960" s="2">
        <v>2.6076000000000002E-4</v>
      </c>
      <c r="V960" s="11"/>
      <c r="W960" s="6"/>
      <c r="X960" s="6">
        <v>9.41</v>
      </c>
      <c r="Y960" s="11" t="str">
        <f t="shared" si="180"/>
        <v/>
      </c>
      <c r="Z960" s="6" t="str">
        <f t="shared" si="181"/>
        <v/>
      </c>
      <c r="AA960" s="23">
        <f t="shared" si="182"/>
        <v>39.409999999999997</v>
      </c>
      <c r="AB960" t="str">
        <f t="shared" si="171"/>
        <v/>
      </c>
      <c r="AC960" t="str">
        <f t="shared" si="172"/>
        <v/>
      </c>
      <c r="AD960">
        <f t="shared" si="173"/>
        <v>8.6541999999999999E-4</v>
      </c>
      <c r="AE960" s="18" t="str">
        <f t="shared" si="174"/>
        <v/>
      </c>
      <c r="AF960" s="7" t="str">
        <f t="shared" si="175"/>
        <v/>
      </c>
      <c r="AG960" s="12">
        <f t="shared" si="176"/>
        <v>0.99357006287713912</v>
      </c>
      <c r="AI960" s="54" t="str">
        <f t="shared" si="177"/>
        <v/>
      </c>
      <c r="AJ960" s="54" t="str">
        <f t="shared" si="178"/>
        <v/>
      </c>
      <c r="AK960" s="54">
        <f t="shared" si="179"/>
        <v>0.5550253493953301</v>
      </c>
    </row>
    <row r="961" spans="9:37" x14ac:dyDescent="0.45">
      <c r="I961" s="2">
        <v>110.7</v>
      </c>
      <c r="J961" s="2">
        <v>0.94983819999999997</v>
      </c>
      <c r="K961" s="2">
        <v>0.86126130000000001</v>
      </c>
      <c r="R961" s="2">
        <v>26.37</v>
      </c>
      <c r="S961" s="2">
        <v>5.6674000000000004E-4</v>
      </c>
      <c r="T961" s="2">
        <v>2.6091999999999999E-4</v>
      </c>
      <c r="V961" s="11"/>
      <c r="W961" s="6"/>
      <c r="X961" s="6">
        <v>9.42</v>
      </c>
      <c r="Y961" s="11" t="str">
        <f t="shared" si="180"/>
        <v/>
      </c>
      <c r="Z961" s="6" t="str">
        <f t="shared" si="181"/>
        <v/>
      </c>
      <c r="AA961" s="23">
        <f t="shared" si="182"/>
        <v>39.42</v>
      </c>
      <c r="AB961" t="str">
        <f t="shared" si="171"/>
        <v/>
      </c>
      <c r="AC961" t="str">
        <f t="shared" si="172"/>
        <v/>
      </c>
      <c r="AD961">
        <f t="shared" si="173"/>
        <v>8.6604E-4</v>
      </c>
      <c r="AE961" s="18" t="str">
        <f t="shared" si="174"/>
        <v/>
      </c>
      <c r="AF961" s="7" t="str">
        <f t="shared" si="175"/>
        <v/>
      </c>
      <c r="AG961" s="12">
        <f t="shared" si="176"/>
        <v>0.993561464323101</v>
      </c>
      <c r="AI961" s="54" t="str">
        <f t="shared" si="177"/>
        <v/>
      </c>
      <c r="AJ961" s="54" t="str">
        <f t="shared" si="178"/>
        <v/>
      </c>
      <c r="AK961" s="54">
        <f t="shared" si="179"/>
        <v>0.55573440046989542</v>
      </c>
    </row>
    <row r="962" spans="9:37" x14ac:dyDescent="0.45">
      <c r="I962" s="2">
        <v>110.8</v>
      </c>
      <c r="J962" s="2">
        <v>0.95645880000000005</v>
      </c>
      <c r="K962" s="2">
        <v>0.86992119999999995</v>
      </c>
      <c r="R962" s="2">
        <v>26.38</v>
      </c>
      <c r="S962" s="2">
        <v>5.6676000000000003E-4</v>
      </c>
      <c r="T962" s="2">
        <v>2.6108000000000001E-4</v>
      </c>
      <c r="V962" s="11"/>
      <c r="W962" s="6"/>
      <c r="X962" s="6">
        <v>9.43</v>
      </c>
      <c r="Y962" s="11" t="str">
        <f t="shared" si="180"/>
        <v/>
      </c>
      <c r="Z962" s="6" t="str">
        <f t="shared" si="181"/>
        <v/>
      </c>
      <c r="AA962" s="23">
        <f t="shared" si="182"/>
        <v>39.43</v>
      </c>
      <c r="AB962" t="str">
        <f t="shared" si="171"/>
        <v/>
      </c>
      <c r="AC962" t="str">
        <f t="shared" si="172"/>
        <v/>
      </c>
      <c r="AD962">
        <f t="shared" si="173"/>
        <v>8.6666E-4</v>
      </c>
      <c r="AE962" s="18" t="str">
        <f t="shared" si="174"/>
        <v/>
      </c>
      <c r="AF962" s="7" t="str">
        <f t="shared" si="175"/>
        <v/>
      </c>
      <c r="AG962" s="12">
        <f t="shared" si="176"/>
        <v>0.99355285968339535</v>
      </c>
      <c r="AI962" s="54" t="str">
        <f t="shared" si="177"/>
        <v/>
      </c>
      <c r="AJ962" s="54" t="str">
        <f t="shared" si="178"/>
        <v/>
      </c>
      <c r="AK962" s="54">
        <f t="shared" si="179"/>
        <v>0.5564437385467137</v>
      </c>
    </row>
    <row r="963" spans="9:37" x14ac:dyDescent="0.45">
      <c r="I963" s="2">
        <v>110.9</v>
      </c>
      <c r="J963" s="2">
        <v>0.96307940000000003</v>
      </c>
      <c r="K963" s="2">
        <v>0.8785811</v>
      </c>
      <c r="R963" s="2">
        <v>26.39</v>
      </c>
      <c r="S963" s="2">
        <v>5.6678000000000002E-4</v>
      </c>
      <c r="T963" s="2">
        <v>2.6123999999999999E-4</v>
      </c>
      <c r="V963" s="11"/>
      <c r="W963" s="6"/>
      <c r="X963" s="6">
        <v>9.44</v>
      </c>
      <c r="Y963" s="11" t="str">
        <f t="shared" si="180"/>
        <v/>
      </c>
      <c r="Z963" s="6" t="str">
        <f t="shared" si="181"/>
        <v/>
      </c>
      <c r="AA963" s="23">
        <f t="shared" si="182"/>
        <v>39.44</v>
      </c>
      <c r="AB963" t="str">
        <f t="shared" si="171"/>
        <v/>
      </c>
      <c r="AC963" t="str">
        <f t="shared" si="172"/>
        <v/>
      </c>
      <c r="AD963">
        <f t="shared" si="173"/>
        <v>8.6728E-4</v>
      </c>
      <c r="AE963" s="18" t="str">
        <f t="shared" si="174"/>
        <v/>
      </c>
      <c r="AF963" s="7" t="str">
        <f t="shared" si="175"/>
        <v/>
      </c>
      <c r="AG963" s="12">
        <f t="shared" si="176"/>
        <v>0.99354424895818161</v>
      </c>
      <c r="AI963" s="54" t="str">
        <f t="shared" si="177"/>
        <v/>
      </c>
      <c r="AJ963" s="54" t="str">
        <f t="shared" si="178"/>
        <v/>
      </c>
      <c r="AK963" s="54">
        <f t="shared" si="179"/>
        <v>0.55715336375186542</v>
      </c>
    </row>
    <row r="964" spans="9:37" x14ac:dyDescent="0.45">
      <c r="I964" s="2">
        <v>111</v>
      </c>
      <c r="J964" s="2">
        <v>0.96970000000000001</v>
      </c>
      <c r="K964" s="2">
        <v>0.88724099999999995</v>
      </c>
      <c r="R964" s="2">
        <v>26.4</v>
      </c>
      <c r="S964" s="2">
        <v>5.6680000000000001E-4</v>
      </c>
      <c r="T964" s="2">
        <v>2.6140000000000001E-4</v>
      </c>
      <c r="V964" s="11"/>
      <c r="W964" s="6"/>
      <c r="X964" s="6">
        <v>9.4500000000000011</v>
      </c>
      <c r="Y964" s="11" t="str">
        <f t="shared" si="180"/>
        <v/>
      </c>
      <c r="Z964" s="6" t="str">
        <f t="shared" si="181"/>
        <v/>
      </c>
      <c r="AA964" s="23">
        <f t="shared" si="182"/>
        <v>39.450000000000003</v>
      </c>
      <c r="AB964" t="str">
        <f t="shared" si="171"/>
        <v/>
      </c>
      <c r="AC964" t="str">
        <f t="shared" si="172"/>
        <v/>
      </c>
      <c r="AD964">
        <f t="shared" si="173"/>
        <v>8.6790000000000001E-4</v>
      </c>
      <c r="AE964" s="18" t="str">
        <f t="shared" si="174"/>
        <v/>
      </c>
      <c r="AF964" s="7" t="str">
        <f t="shared" si="175"/>
        <v/>
      </c>
      <c r="AG964" s="12">
        <f t="shared" si="176"/>
        <v>0.9935356321476192</v>
      </c>
      <c r="AI964" s="54" t="str">
        <f t="shared" si="177"/>
        <v/>
      </c>
      <c r="AJ964" s="54" t="str">
        <f t="shared" si="178"/>
        <v/>
      </c>
      <c r="AK964" s="54">
        <f t="shared" si="179"/>
        <v>0.55786327621148779</v>
      </c>
    </row>
    <row r="965" spans="9:37" x14ac:dyDescent="0.45">
      <c r="I965" s="2">
        <v>111.1</v>
      </c>
      <c r="J965" s="2">
        <v>0.97670199999999996</v>
      </c>
      <c r="K965" s="2">
        <v>0.89683760000000001</v>
      </c>
      <c r="R965" s="2">
        <v>26.41</v>
      </c>
      <c r="S965" s="2">
        <v>5.6682E-4</v>
      </c>
      <c r="T965" s="2">
        <v>2.6155999999999998E-4</v>
      </c>
      <c r="V965" s="11"/>
      <c r="W965" s="6"/>
      <c r="X965" s="6">
        <v>9.4600000000000009</v>
      </c>
      <c r="Y965" s="11" t="str">
        <f t="shared" si="180"/>
        <v/>
      </c>
      <c r="Z965" s="6" t="str">
        <f t="shared" si="181"/>
        <v/>
      </c>
      <c r="AA965" s="23">
        <f t="shared" si="182"/>
        <v>39.46</v>
      </c>
      <c r="AB965" t="str">
        <f t="shared" si="171"/>
        <v/>
      </c>
      <c r="AC965" t="str">
        <f t="shared" si="172"/>
        <v/>
      </c>
      <c r="AD965">
        <f t="shared" si="173"/>
        <v>8.6852000000000001E-4</v>
      </c>
      <c r="AE965" s="18" t="str">
        <f t="shared" si="174"/>
        <v/>
      </c>
      <c r="AF965" s="7" t="str">
        <f t="shared" si="175"/>
        <v/>
      </c>
      <c r="AG965" s="12">
        <f t="shared" si="176"/>
        <v>0.99352700925186777</v>
      </c>
      <c r="AI965" s="54" t="str">
        <f t="shared" si="177"/>
        <v/>
      </c>
      <c r="AJ965" s="54" t="str">
        <f t="shared" si="178"/>
        <v/>
      </c>
      <c r="AK965" s="54">
        <f t="shared" si="179"/>
        <v>0.5585734760517751</v>
      </c>
    </row>
    <row r="966" spans="9:37" x14ac:dyDescent="0.45">
      <c r="I966" s="2">
        <v>111.2</v>
      </c>
      <c r="J966" s="2">
        <v>0.98370400000000002</v>
      </c>
      <c r="K966" s="2">
        <v>0.90643419999999997</v>
      </c>
      <c r="R966" s="2">
        <v>26.42</v>
      </c>
      <c r="S966" s="2">
        <v>5.6683999999999999E-4</v>
      </c>
      <c r="T966" s="2">
        <v>2.6172000000000001E-4</v>
      </c>
      <c r="V966" s="11"/>
      <c r="W966" s="6"/>
      <c r="X966" s="6">
        <v>9.4700000000000006</v>
      </c>
      <c r="Y966" s="11" t="str">
        <f t="shared" si="180"/>
        <v/>
      </c>
      <c r="Z966" s="6" t="str">
        <f t="shared" si="181"/>
        <v/>
      </c>
      <c r="AA966" s="23">
        <f t="shared" si="182"/>
        <v>39.47</v>
      </c>
      <c r="AB966" t="str">
        <f t="shared" si="171"/>
        <v/>
      </c>
      <c r="AC966" t="str">
        <f t="shared" si="172"/>
        <v/>
      </c>
      <c r="AD966">
        <f t="shared" si="173"/>
        <v>8.6914000000000002E-4</v>
      </c>
      <c r="AE966" s="18" t="str">
        <f t="shared" si="174"/>
        <v/>
      </c>
      <c r="AF966" s="7" t="str">
        <f t="shared" si="175"/>
        <v/>
      </c>
      <c r="AG966" s="12">
        <f t="shared" si="176"/>
        <v>0.99351838027108696</v>
      </c>
      <c r="AI966" s="54" t="str">
        <f t="shared" si="177"/>
        <v/>
      </c>
      <c r="AJ966" s="54" t="str">
        <f t="shared" si="178"/>
        <v/>
      </c>
      <c r="AK966" s="54">
        <f t="shared" si="179"/>
        <v>0.55928396339897846</v>
      </c>
    </row>
    <row r="967" spans="9:37" x14ac:dyDescent="0.45">
      <c r="I967" s="2">
        <v>111.3</v>
      </c>
      <c r="J967" s="2">
        <v>0.99070599999999998</v>
      </c>
      <c r="K967" s="2">
        <v>0.91603080000000003</v>
      </c>
      <c r="R967" s="2">
        <v>26.43</v>
      </c>
      <c r="S967" s="2">
        <v>5.6685999999999998E-4</v>
      </c>
      <c r="T967" s="2">
        <v>2.6187999999999998E-4</v>
      </c>
      <c r="V967" s="11"/>
      <c r="W967" s="6"/>
      <c r="X967" s="6">
        <v>9.48</v>
      </c>
      <c r="Y967" s="11" t="str">
        <f t="shared" si="180"/>
        <v/>
      </c>
      <c r="Z967" s="6" t="str">
        <f t="shared" si="181"/>
        <v/>
      </c>
      <c r="AA967" s="23">
        <f t="shared" si="182"/>
        <v>39.480000000000004</v>
      </c>
      <c r="AB967" t="str">
        <f t="shared" si="171"/>
        <v/>
      </c>
      <c r="AC967" t="str">
        <f t="shared" si="172"/>
        <v/>
      </c>
      <c r="AD967">
        <f t="shared" si="173"/>
        <v>8.6976000000000002E-4</v>
      </c>
      <c r="AE967" s="18" t="str">
        <f t="shared" si="174"/>
        <v/>
      </c>
      <c r="AF967" s="7" t="str">
        <f t="shared" si="175"/>
        <v/>
      </c>
      <c r="AG967" s="12">
        <f t="shared" si="176"/>
        <v>0.99350974520543667</v>
      </c>
      <c r="AI967" s="54" t="str">
        <f t="shared" si="177"/>
        <v/>
      </c>
      <c r="AJ967" s="54" t="str">
        <f t="shared" si="178"/>
        <v/>
      </c>
      <c r="AK967" s="54">
        <f t="shared" si="179"/>
        <v>0.55999473837940605</v>
      </c>
    </row>
    <row r="968" spans="9:37" x14ac:dyDescent="0.45">
      <c r="I968" s="2">
        <v>111.4</v>
      </c>
      <c r="J968" s="2">
        <v>0.99770800000000004</v>
      </c>
      <c r="K968" s="2">
        <v>0.92562739999999999</v>
      </c>
      <c r="R968" s="2">
        <v>26.44</v>
      </c>
      <c r="S968" s="2">
        <v>5.6687999999999997E-4</v>
      </c>
      <c r="T968" s="2">
        <v>2.6204000000000001E-4</v>
      </c>
      <c r="V968" s="11"/>
      <c r="W968" s="6"/>
      <c r="X968" s="6">
        <v>9.49</v>
      </c>
      <c r="Y968" s="11" t="str">
        <f t="shared" si="180"/>
        <v/>
      </c>
      <c r="Z968" s="6" t="str">
        <f t="shared" si="181"/>
        <v/>
      </c>
      <c r="AA968" s="23">
        <f t="shared" si="182"/>
        <v>39.49</v>
      </c>
      <c r="AB968" t="str">
        <f t="shared" si="171"/>
        <v/>
      </c>
      <c r="AC968" t="str">
        <f t="shared" si="172"/>
        <v/>
      </c>
      <c r="AD968">
        <f t="shared" si="173"/>
        <v>8.7038000000000003E-4</v>
      </c>
      <c r="AE968" s="18" t="str">
        <f t="shared" si="174"/>
        <v/>
      </c>
      <c r="AF968" s="7" t="str">
        <f t="shared" si="175"/>
        <v/>
      </c>
      <c r="AG968" s="12">
        <f t="shared" si="176"/>
        <v>0.99350110405507674</v>
      </c>
      <c r="AI968" s="54" t="str">
        <f t="shared" si="177"/>
        <v/>
      </c>
      <c r="AJ968" s="54" t="str">
        <f t="shared" si="178"/>
        <v/>
      </c>
      <c r="AK968" s="54">
        <f t="shared" si="179"/>
        <v>0.56070580111942281</v>
      </c>
    </row>
    <row r="969" spans="9:37" x14ac:dyDescent="0.45">
      <c r="I969" s="2">
        <v>111.5</v>
      </c>
      <c r="J969" s="2">
        <v>1.00471</v>
      </c>
      <c r="K969" s="2">
        <v>0.93522400000000006</v>
      </c>
      <c r="R969" s="2">
        <v>26.45</v>
      </c>
      <c r="S969" s="2">
        <v>5.6689999999999996E-4</v>
      </c>
      <c r="T969" s="2">
        <v>2.6219999999999998E-4</v>
      </c>
      <c r="V969" s="11"/>
      <c r="W969" s="6"/>
      <c r="X969" s="6">
        <v>9.5</v>
      </c>
      <c r="Y969" s="11" t="str">
        <f t="shared" si="180"/>
        <v/>
      </c>
      <c r="Z969" s="6" t="str">
        <f t="shared" si="181"/>
        <v/>
      </c>
      <c r="AA969" s="23">
        <f t="shared" si="182"/>
        <v>39.5</v>
      </c>
      <c r="AB969" t="str">
        <f t="shared" si="171"/>
        <v/>
      </c>
      <c r="AC969" t="str">
        <f t="shared" si="172"/>
        <v/>
      </c>
      <c r="AD969">
        <f t="shared" si="173"/>
        <v>8.7100000000000003E-4</v>
      </c>
      <c r="AE969" s="18" t="str">
        <f t="shared" si="174"/>
        <v/>
      </c>
      <c r="AF969" s="7" t="str">
        <f t="shared" si="175"/>
        <v/>
      </c>
      <c r="AG969" s="12">
        <f t="shared" si="176"/>
        <v>0.99349245682016729</v>
      </c>
      <c r="AI969" s="54" t="str">
        <f t="shared" si="177"/>
        <v/>
      </c>
      <c r="AJ969" s="54" t="str">
        <f t="shared" si="178"/>
        <v/>
      </c>
      <c r="AK969" s="54">
        <f t="shared" si="179"/>
        <v>0.56141715174545082</v>
      </c>
    </row>
    <row r="970" spans="9:37" x14ac:dyDescent="0.45">
      <c r="I970" s="2">
        <v>111.6</v>
      </c>
      <c r="J970" s="2">
        <v>1.0117119999999999</v>
      </c>
      <c r="K970" s="2">
        <v>0.94482060000000001</v>
      </c>
      <c r="R970" s="2">
        <v>26.46</v>
      </c>
      <c r="S970" s="2">
        <v>5.6692000000000005E-4</v>
      </c>
      <c r="T970" s="2">
        <v>2.6236E-4</v>
      </c>
      <c r="V970" s="11"/>
      <c r="W970" s="6"/>
      <c r="X970" s="6">
        <v>9.51</v>
      </c>
      <c r="Y970" s="11" t="str">
        <f t="shared" si="180"/>
        <v/>
      </c>
      <c r="Z970" s="6" t="str">
        <f t="shared" si="181"/>
        <v/>
      </c>
      <c r="AA970" s="23">
        <f t="shared" si="182"/>
        <v>39.51</v>
      </c>
      <c r="AB970" t="str">
        <f t="shared" si="171"/>
        <v/>
      </c>
      <c r="AC970" t="str">
        <f t="shared" si="172"/>
        <v/>
      </c>
      <c r="AD970">
        <f t="shared" si="173"/>
        <v>8.7162000000000003E-4</v>
      </c>
      <c r="AE970" s="18" t="str">
        <f t="shared" si="174"/>
        <v/>
      </c>
      <c r="AF970" s="7" t="str">
        <f t="shared" si="175"/>
        <v/>
      </c>
      <c r="AG970" s="12">
        <f t="shared" si="176"/>
        <v>0.9934838035008684</v>
      </c>
      <c r="AI970" s="54" t="str">
        <f t="shared" si="177"/>
        <v/>
      </c>
      <c r="AJ970" s="54" t="str">
        <f t="shared" si="178"/>
        <v/>
      </c>
      <c r="AK970" s="54">
        <f t="shared" si="179"/>
        <v>0.56212879038396923</v>
      </c>
    </row>
    <row r="971" spans="9:37" x14ac:dyDescent="0.45">
      <c r="I971" s="2">
        <v>111.7</v>
      </c>
      <c r="J971" s="2">
        <v>1.0187139999999999</v>
      </c>
      <c r="K971" s="2">
        <v>0.95441719999999997</v>
      </c>
      <c r="R971" s="2">
        <v>26.47</v>
      </c>
      <c r="S971" s="2">
        <v>5.6694000000000004E-4</v>
      </c>
      <c r="T971" s="2">
        <v>2.6251999999999997E-4</v>
      </c>
      <c r="V971" s="11"/>
      <c r="W971" s="6"/>
      <c r="X971" s="6">
        <v>9.52</v>
      </c>
      <c r="Y971" s="11" t="str">
        <f t="shared" si="180"/>
        <v/>
      </c>
      <c r="Z971" s="6" t="str">
        <f t="shared" si="181"/>
        <v/>
      </c>
      <c r="AA971" s="23">
        <f t="shared" si="182"/>
        <v>39.519999999999996</v>
      </c>
      <c r="AB971" t="str">
        <f t="shared" si="171"/>
        <v/>
      </c>
      <c r="AC971" t="str">
        <f t="shared" si="172"/>
        <v/>
      </c>
      <c r="AD971">
        <f t="shared" si="173"/>
        <v>8.7162000000000003E-4</v>
      </c>
      <c r="AE971" s="18" t="str">
        <f t="shared" si="174"/>
        <v/>
      </c>
      <c r="AF971" s="7" t="str">
        <f t="shared" si="175"/>
        <v/>
      </c>
      <c r="AG971" s="12">
        <f t="shared" si="176"/>
        <v>0.99347514409734028</v>
      </c>
      <c r="AI971" s="54" t="str">
        <f t="shared" si="177"/>
        <v/>
      </c>
      <c r="AJ971" s="54" t="str">
        <f t="shared" si="178"/>
        <v/>
      </c>
      <c r="AK971" s="54">
        <f t="shared" si="179"/>
        <v>0.56284071716151407</v>
      </c>
    </row>
    <row r="972" spans="9:37" x14ac:dyDescent="0.45">
      <c r="I972" s="2">
        <v>111.8</v>
      </c>
      <c r="J972" s="2">
        <v>1.0257160000000001</v>
      </c>
      <c r="K972" s="2">
        <v>0.96401380000000003</v>
      </c>
      <c r="R972" s="2">
        <v>26.48</v>
      </c>
      <c r="S972" s="2">
        <v>5.6696000000000003E-4</v>
      </c>
      <c r="T972" s="2">
        <v>2.6268E-4</v>
      </c>
      <c r="V972" s="11"/>
      <c r="W972" s="6"/>
      <c r="X972" s="6">
        <v>9.5299999999999994</v>
      </c>
      <c r="Y972" s="11" t="str">
        <f t="shared" si="180"/>
        <v/>
      </c>
      <c r="Z972" s="6" t="str">
        <f t="shared" si="181"/>
        <v/>
      </c>
      <c r="AA972" s="23">
        <f t="shared" si="182"/>
        <v>39.53</v>
      </c>
      <c r="AB972" t="str">
        <f t="shared" si="171"/>
        <v/>
      </c>
      <c r="AC972" t="str">
        <f t="shared" si="172"/>
        <v/>
      </c>
      <c r="AD972">
        <f t="shared" si="173"/>
        <v>8.7286000000000004E-4</v>
      </c>
      <c r="AE972" s="18" t="str">
        <f t="shared" si="174"/>
        <v/>
      </c>
      <c r="AF972" s="7" t="str">
        <f t="shared" si="175"/>
        <v/>
      </c>
      <c r="AG972" s="12">
        <f t="shared" si="176"/>
        <v>0.99346648476928934</v>
      </c>
      <c r="AI972" s="54" t="str">
        <f t="shared" si="177"/>
        <v/>
      </c>
      <c r="AJ972" s="54" t="str">
        <f t="shared" si="178"/>
        <v/>
      </c>
      <c r="AK972" s="54">
        <f t="shared" si="179"/>
        <v>0.56355293491506608</v>
      </c>
    </row>
    <row r="973" spans="9:37" x14ac:dyDescent="0.45">
      <c r="I973" s="2">
        <v>111.9</v>
      </c>
      <c r="J973" s="2">
        <v>1.032718</v>
      </c>
      <c r="K973" s="2">
        <v>0.97361039999999999</v>
      </c>
      <c r="R973" s="2">
        <v>26.49</v>
      </c>
      <c r="S973" s="2">
        <v>5.6698000000000002E-4</v>
      </c>
      <c r="T973" s="2">
        <v>2.6284000000000002E-4</v>
      </c>
      <c r="V973" s="11"/>
      <c r="W973" s="6"/>
      <c r="X973" s="6">
        <v>9.5400000000000009</v>
      </c>
      <c r="Y973" s="11" t="str">
        <f t="shared" si="180"/>
        <v/>
      </c>
      <c r="Z973" s="6" t="str">
        <f t="shared" si="181"/>
        <v/>
      </c>
      <c r="AA973" s="23">
        <f t="shared" si="182"/>
        <v>39.54</v>
      </c>
      <c r="AB973" t="str">
        <f t="shared" si="171"/>
        <v/>
      </c>
      <c r="AC973" t="str">
        <f t="shared" si="172"/>
        <v/>
      </c>
      <c r="AD973">
        <f t="shared" si="173"/>
        <v>8.7348000000000005E-4</v>
      </c>
      <c r="AE973" s="18" t="str">
        <f t="shared" si="174"/>
        <v/>
      </c>
      <c r="AF973" s="7" t="str">
        <f t="shared" si="175"/>
        <v/>
      </c>
      <c r="AG973" s="12">
        <f t="shared" si="176"/>
        <v>0.99345781319773041</v>
      </c>
      <c r="AI973" s="54" t="str">
        <f t="shared" si="177"/>
        <v/>
      </c>
      <c r="AJ973" s="54" t="str">
        <f t="shared" si="178"/>
        <v/>
      </c>
      <c r="AK973" s="54">
        <f t="shared" si="179"/>
        <v>0.56426543835160825</v>
      </c>
    </row>
    <row r="974" spans="9:37" x14ac:dyDescent="0.45">
      <c r="I974" s="2">
        <v>112</v>
      </c>
      <c r="J974" s="2">
        <v>1.03972</v>
      </c>
      <c r="K974" s="2">
        <v>0.98320700000000005</v>
      </c>
      <c r="R974" s="2">
        <v>26.5</v>
      </c>
      <c r="S974" s="2">
        <v>5.6700000000000001E-4</v>
      </c>
      <c r="T974" s="2">
        <v>2.63E-4</v>
      </c>
      <c r="V974" s="11"/>
      <c r="W974" s="6"/>
      <c r="X974" s="6">
        <v>9.5500000000000007</v>
      </c>
      <c r="Y974" s="11" t="str">
        <f t="shared" si="180"/>
        <v/>
      </c>
      <c r="Z974" s="6" t="str">
        <f t="shared" si="181"/>
        <v/>
      </c>
      <c r="AA974" s="23">
        <f t="shared" si="182"/>
        <v>39.549999999999997</v>
      </c>
      <c r="AB974" t="str">
        <f t="shared" si="171"/>
        <v/>
      </c>
      <c r="AC974" t="str">
        <f t="shared" si="172"/>
        <v/>
      </c>
      <c r="AD974">
        <f t="shared" si="173"/>
        <v>8.7410000000000005E-4</v>
      </c>
      <c r="AE974" s="18" t="str">
        <f t="shared" si="174"/>
        <v/>
      </c>
      <c r="AF974" s="7" t="str">
        <f t="shared" si="175"/>
        <v/>
      </c>
      <c r="AG974" s="12">
        <f t="shared" si="176"/>
        <v>0.99344913554242364</v>
      </c>
      <c r="AI974" s="54" t="str">
        <f t="shared" si="177"/>
        <v/>
      </c>
      <c r="AJ974" s="54" t="str">
        <f t="shared" si="178"/>
        <v/>
      </c>
      <c r="AK974" s="54">
        <f t="shared" si="179"/>
        <v>0.56497823030712835</v>
      </c>
    </row>
    <row r="975" spans="9:37" x14ac:dyDescent="0.45">
      <c r="I975" s="2">
        <v>112.1</v>
      </c>
      <c r="J975" s="2">
        <v>1.0471170000000001</v>
      </c>
      <c r="K975" s="2">
        <v>0.99384130000000004</v>
      </c>
      <c r="R975" s="2">
        <v>26.51</v>
      </c>
      <c r="S975" s="2">
        <v>5.6702E-4</v>
      </c>
      <c r="T975" s="2">
        <v>2.6316000000000002E-4</v>
      </c>
      <c r="V975" s="11"/>
      <c r="W975" s="6"/>
      <c r="X975" s="6">
        <v>9.56</v>
      </c>
      <c r="Y975" s="11" t="str">
        <f t="shared" si="180"/>
        <v/>
      </c>
      <c r="Z975" s="6" t="str">
        <f t="shared" si="181"/>
        <v/>
      </c>
      <c r="AA975" s="23">
        <f t="shared" si="182"/>
        <v>39.56</v>
      </c>
      <c r="AB975" t="str">
        <f t="shared" si="171"/>
        <v/>
      </c>
      <c r="AC975" t="str">
        <f t="shared" si="172"/>
        <v/>
      </c>
      <c r="AD975">
        <f t="shared" si="173"/>
        <v>8.7471999999999995E-4</v>
      </c>
      <c r="AE975" s="18" t="str">
        <f t="shared" si="174"/>
        <v/>
      </c>
      <c r="AF975" s="7" t="str">
        <f t="shared" si="175"/>
        <v/>
      </c>
      <c r="AG975" s="12">
        <f t="shared" si="176"/>
        <v>0.99344045180352991</v>
      </c>
      <c r="AI975" s="54" t="str">
        <f t="shared" si="177"/>
        <v/>
      </c>
      <c r="AJ975" s="54" t="str">
        <f t="shared" si="178"/>
        <v/>
      </c>
      <c r="AK975" s="54">
        <f t="shared" si="179"/>
        <v>0.56569131090839075</v>
      </c>
    </row>
    <row r="976" spans="9:37" x14ac:dyDescent="0.45">
      <c r="I976" s="2">
        <v>112.2</v>
      </c>
      <c r="J976" s="2">
        <v>1.054514</v>
      </c>
      <c r="K976" s="2">
        <v>1.0044759999999999</v>
      </c>
      <c r="R976" s="2">
        <v>26.52</v>
      </c>
      <c r="S976" s="2">
        <v>5.6703999999999999E-4</v>
      </c>
      <c r="T976" s="2">
        <v>2.6331999999999999E-4</v>
      </c>
      <c r="V976" s="11"/>
      <c r="W976" s="6"/>
      <c r="X976" s="6">
        <v>9.57</v>
      </c>
      <c r="Y976" s="11" t="str">
        <f t="shared" si="180"/>
        <v/>
      </c>
      <c r="Z976" s="6" t="str">
        <f t="shared" si="181"/>
        <v/>
      </c>
      <c r="AA976" s="23">
        <f t="shared" si="182"/>
        <v>39.57</v>
      </c>
      <c r="AB976" t="str">
        <f t="shared" si="171"/>
        <v/>
      </c>
      <c r="AC976" t="str">
        <f t="shared" si="172"/>
        <v/>
      </c>
      <c r="AD976">
        <f t="shared" si="173"/>
        <v>8.7533999999999995E-4</v>
      </c>
      <c r="AE976" s="18" t="str">
        <f t="shared" si="174"/>
        <v/>
      </c>
      <c r="AF976" s="7" t="str">
        <f t="shared" si="175"/>
        <v/>
      </c>
      <c r="AG976" s="12">
        <f t="shared" si="176"/>
        <v>0.99343176198120986</v>
      </c>
      <c r="AI976" s="54" t="str">
        <f t="shared" si="177"/>
        <v/>
      </c>
      <c r="AJ976" s="54" t="str">
        <f t="shared" si="178"/>
        <v/>
      </c>
      <c r="AK976" s="54">
        <f t="shared" si="179"/>
        <v>0.56640468028221735</v>
      </c>
    </row>
    <row r="977" spans="9:37" x14ac:dyDescent="0.45">
      <c r="I977" s="2">
        <v>112.3</v>
      </c>
      <c r="J977" s="2">
        <v>1.061911</v>
      </c>
      <c r="K977" s="2">
        <v>1.01511</v>
      </c>
      <c r="R977" s="2">
        <v>26.53</v>
      </c>
      <c r="S977" s="2">
        <v>5.6705999999999998E-4</v>
      </c>
      <c r="T977" s="2">
        <v>2.6348000000000002E-4</v>
      </c>
      <c r="V977" s="11"/>
      <c r="W977" s="6"/>
      <c r="X977" s="6">
        <v>9.58</v>
      </c>
      <c r="Y977" s="11" t="str">
        <f t="shared" si="180"/>
        <v/>
      </c>
      <c r="Z977" s="6" t="str">
        <f t="shared" si="181"/>
        <v/>
      </c>
      <c r="AA977" s="23">
        <f t="shared" si="182"/>
        <v>39.58</v>
      </c>
      <c r="AB977" t="str">
        <f t="shared" si="171"/>
        <v/>
      </c>
      <c r="AC977" t="str">
        <f t="shared" si="172"/>
        <v/>
      </c>
      <c r="AD977">
        <f t="shared" si="173"/>
        <v>8.7595999999999995E-4</v>
      </c>
      <c r="AE977" s="18" t="str">
        <f t="shared" si="174"/>
        <v/>
      </c>
      <c r="AF977" s="7" t="str">
        <f t="shared" si="175"/>
        <v/>
      </c>
      <c r="AG977" s="12">
        <f t="shared" si="176"/>
        <v>0.99342306607562458</v>
      </c>
      <c r="AI977" s="54" t="str">
        <f t="shared" si="177"/>
        <v/>
      </c>
      <c r="AJ977" s="54" t="str">
        <f t="shared" si="178"/>
        <v/>
      </c>
      <c r="AK977" s="54">
        <f t="shared" si="179"/>
        <v>0.5671183385554871</v>
      </c>
    </row>
    <row r="978" spans="9:37" x14ac:dyDescent="0.45">
      <c r="I978" s="2">
        <v>112.4</v>
      </c>
      <c r="J978" s="2">
        <v>1.0693079999999999</v>
      </c>
      <c r="K978" s="2">
        <v>1.025744</v>
      </c>
      <c r="R978" s="2">
        <v>26.54</v>
      </c>
      <c r="S978" s="2">
        <v>5.6707999999999997E-4</v>
      </c>
      <c r="T978" s="2">
        <v>2.6363999999999999E-4</v>
      </c>
      <c r="V978" s="11"/>
      <c r="W978" s="6"/>
      <c r="X978" s="6">
        <v>9.59</v>
      </c>
      <c r="Y978" s="11" t="str">
        <f t="shared" si="180"/>
        <v/>
      </c>
      <c r="Z978" s="6" t="str">
        <f t="shared" si="181"/>
        <v/>
      </c>
      <c r="AA978" s="23">
        <f t="shared" si="182"/>
        <v>39.590000000000003</v>
      </c>
      <c r="AB978" t="str">
        <f t="shared" si="171"/>
        <v/>
      </c>
      <c r="AC978" t="str">
        <f t="shared" si="172"/>
        <v/>
      </c>
      <c r="AD978">
        <f t="shared" si="173"/>
        <v>8.7657999999999996E-4</v>
      </c>
      <c r="AE978" s="18" t="str">
        <f t="shared" si="174"/>
        <v/>
      </c>
      <c r="AF978" s="7" t="str">
        <f t="shared" si="175"/>
        <v/>
      </c>
      <c r="AG978" s="12">
        <f t="shared" si="176"/>
        <v>0.99341436408693495</v>
      </c>
      <c r="AI978" s="54" t="str">
        <f t="shared" si="177"/>
        <v/>
      </c>
      <c r="AJ978" s="54" t="str">
        <f t="shared" si="178"/>
        <v/>
      </c>
      <c r="AK978" s="54">
        <f t="shared" si="179"/>
        <v>0.56783228585513623</v>
      </c>
    </row>
    <row r="979" spans="9:37" x14ac:dyDescent="0.45">
      <c r="I979" s="2">
        <v>112.5</v>
      </c>
      <c r="J979" s="2">
        <v>1.076705</v>
      </c>
      <c r="K979" s="2">
        <v>1.0363789999999999</v>
      </c>
      <c r="R979" s="2">
        <v>26.55</v>
      </c>
      <c r="S979" s="2">
        <v>5.6709999999999996E-4</v>
      </c>
      <c r="T979" s="2">
        <v>2.6380000000000002E-4</v>
      </c>
      <c r="V979" s="11"/>
      <c r="W979" s="6"/>
      <c r="X979" s="6">
        <v>9.6</v>
      </c>
      <c r="Y979" s="11" t="str">
        <f t="shared" si="180"/>
        <v/>
      </c>
      <c r="Z979" s="6" t="str">
        <f t="shared" si="181"/>
        <v/>
      </c>
      <c r="AA979" s="23">
        <f t="shared" si="182"/>
        <v>39.6</v>
      </c>
      <c r="AB979" t="str">
        <f t="shared" ref="AB979:AB1042" si="183">IF(Y979="","",VLOOKUP(Y979,Table_1,2))</f>
        <v/>
      </c>
      <c r="AC979" t="str">
        <f t="shared" ref="AC979:AC1042" si="184">IF(Z979="","",VLOOKUP(Z979,Table_2,2))</f>
        <v/>
      </c>
      <c r="AD979">
        <f t="shared" ref="AD979:AD1042" si="185">IF(AA979="","",VLOOKUP(AA979,Table_3,2))</f>
        <v>8.7719999999999996E-4</v>
      </c>
      <c r="AE979" s="18" t="str">
        <f t="shared" si="174"/>
        <v/>
      </c>
      <c r="AF979" s="7" t="str">
        <f t="shared" si="175"/>
        <v/>
      </c>
      <c r="AG979" s="12">
        <f t="shared" si="176"/>
        <v>0.99340565601530229</v>
      </c>
      <c r="AI979" s="54" t="str">
        <f t="shared" si="177"/>
        <v/>
      </c>
      <c r="AJ979" s="54" t="str">
        <f t="shared" si="178"/>
        <v/>
      </c>
      <c r="AK979" s="54">
        <f t="shared" si="179"/>
        <v>0.56854652230815816</v>
      </c>
    </row>
    <row r="980" spans="9:37" x14ac:dyDescent="0.45">
      <c r="I980" s="2">
        <v>112.6</v>
      </c>
      <c r="J980" s="2">
        <v>1.0841019999999999</v>
      </c>
      <c r="K980" s="2">
        <v>1.047013</v>
      </c>
      <c r="R980" s="2">
        <v>26.56</v>
      </c>
      <c r="S980" s="2">
        <v>5.6711999999999995E-4</v>
      </c>
      <c r="T980" s="2">
        <v>2.6395999999999999E-4</v>
      </c>
      <c r="V980" s="11"/>
      <c r="W980" s="6"/>
      <c r="X980" s="6">
        <v>9.61</v>
      </c>
      <c r="Y980" s="11" t="str">
        <f t="shared" si="180"/>
        <v/>
      </c>
      <c r="Z980" s="6" t="str">
        <f t="shared" si="181"/>
        <v/>
      </c>
      <c r="AA980" s="23">
        <f t="shared" si="182"/>
        <v>39.61</v>
      </c>
      <c r="AB980" t="str">
        <f t="shared" si="183"/>
        <v/>
      </c>
      <c r="AC980" t="str">
        <f t="shared" si="184"/>
        <v/>
      </c>
      <c r="AD980">
        <f t="shared" si="185"/>
        <v>8.7781999999999997E-4</v>
      </c>
      <c r="AE980" s="18" t="str">
        <f t="shared" ref="AE980:AE1043" si="186">IF(AB980="","",AE979+h_1*(-AE979*AB979))</f>
        <v/>
      </c>
      <c r="AF980" s="7" t="str">
        <f t="shared" ref="AF980:AF1043" si="187">IF(AC980="","",AF979+h_2*(-AF979*AC979))</f>
        <v/>
      </c>
      <c r="AG980" s="12">
        <f t="shared" ref="AG980:AG1043" si="188">IF(AD980="","",AG979+h_3*(-AG979*AD979))</f>
        <v>0.99339694186088767</v>
      </c>
      <c r="AI980" s="54" t="str">
        <f t="shared" ref="AI980:AI1043" si="189">IF(Y980="","",AI979+AI$17*(AI979*delta+Prem1-AB979*(1-AI979)))</f>
        <v/>
      </c>
      <c r="AJ980" s="54" t="str">
        <f t="shared" ref="AJ980:AJ1043" si="190">IF(Z980="","",AJ979+AJ$17*(AJ979*delta+Prem2-AC979*(1-AJ979)))</f>
        <v/>
      </c>
      <c r="AK980" s="54">
        <f t="shared" ref="AK980:AK1043" si="191">IF(AA980="","",AK979+AK$17*(AK979*delta+Prem3-AD979*(1-AK979)))</f>
        <v>0.5692610480416036</v>
      </c>
    </row>
    <row r="981" spans="9:37" x14ac:dyDescent="0.45">
      <c r="I981" s="2">
        <v>112.7</v>
      </c>
      <c r="J981" s="2">
        <v>1.091499</v>
      </c>
      <c r="K981" s="2">
        <v>1.057647</v>
      </c>
      <c r="R981" s="2">
        <v>26.57</v>
      </c>
      <c r="S981" s="2">
        <v>5.6714000000000005E-4</v>
      </c>
      <c r="T981" s="2">
        <v>2.6412000000000001E-4</v>
      </c>
      <c r="V981" s="11"/>
      <c r="W981" s="6"/>
      <c r="X981" s="6">
        <v>9.620000000000001</v>
      </c>
      <c r="Y981" s="11" t="str">
        <f t="shared" ref="Y981:Y1044" si="192">IF(ISBLANK(V981),"",$Y$19+V981)</f>
        <v/>
      </c>
      <c r="Z981" s="6" t="str">
        <f t="shared" ref="Z981:Z1044" si="193">IF(ISBLANK(W981),"",$Y$19+W981)</f>
        <v/>
      </c>
      <c r="AA981" s="23">
        <f t="shared" ref="AA981:AA1044" si="194">IF(ISBLANK(X981),"",$Y$19+X981)</f>
        <v>39.620000000000005</v>
      </c>
      <c r="AB981" t="str">
        <f t="shared" si="183"/>
        <v/>
      </c>
      <c r="AC981" t="str">
        <f t="shared" si="184"/>
        <v/>
      </c>
      <c r="AD981">
        <f t="shared" si="185"/>
        <v>8.7843999999999997E-4</v>
      </c>
      <c r="AE981" s="18" t="str">
        <f t="shared" si="186"/>
        <v/>
      </c>
      <c r="AF981" s="7" t="str">
        <f t="shared" si="187"/>
        <v/>
      </c>
      <c r="AG981" s="12">
        <f t="shared" si="188"/>
        <v>0.99338822162385265</v>
      </c>
      <c r="AI981" s="54" t="str">
        <f t="shared" si="189"/>
        <v/>
      </c>
      <c r="AJ981" s="54" t="str">
        <f t="shared" si="190"/>
        <v/>
      </c>
      <c r="AK981" s="54">
        <f t="shared" si="191"/>
        <v>0.56997586318258064</v>
      </c>
    </row>
    <row r="982" spans="9:37" x14ac:dyDescent="0.45">
      <c r="I982" s="2">
        <v>112.8</v>
      </c>
      <c r="J982" s="2">
        <v>1.0988960000000001</v>
      </c>
      <c r="K982" s="2">
        <v>1.068281</v>
      </c>
      <c r="R982" s="2">
        <v>26.58</v>
      </c>
      <c r="S982" s="2">
        <v>5.6716000000000004E-4</v>
      </c>
      <c r="T982" s="2">
        <v>2.6427999999999998E-4</v>
      </c>
      <c r="V982" s="11"/>
      <c r="W982" s="6"/>
      <c r="X982" s="6">
        <v>9.6300000000000008</v>
      </c>
      <c r="Y982" s="11" t="str">
        <f t="shared" si="192"/>
        <v/>
      </c>
      <c r="Z982" s="6" t="str">
        <f t="shared" si="193"/>
        <v/>
      </c>
      <c r="AA982" s="23">
        <f t="shared" si="194"/>
        <v>39.630000000000003</v>
      </c>
      <c r="AB982" t="str">
        <f t="shared" si="183"/>
        <v/>
      </c>
      <c r="AC982" t="str">
        <f t="shared" si="184"/>
        <v/>
      </c>
      <c r="AD982">
        <f t="shared" si="185"/>
        <v>8.7905999999999998E-4</v>
      </c>
      <c r="AE982" s="18" t="str">
        <f t="shared" si="186"/>
        <v/>
      </c>
      <c r="AF982" s="7" t="str">
        <f t="shared" si="187"/>
        <v/>
      </c>
      <c r="AG982" s="12">
        <f t="shared" si="188"/>
        <v>0.99337949530435865</v>
      </c>
      <c r="AI982" s="54" t="str">
        <f t="shared" si="189"/>
        <v/>
      </c>
      <c r="AJ982" s="54" t="str">
        <f t="shared" si="190"/>
        <v/>
      </c>
      <c r="AK982" s="54">
        <f t="shared" si="191"/>
        <v>0.57069096785825468</v>
      </c>
    </row>
    <row r="983" spans="9:37" x14ac:dyDescent="0.45">
      <c r="I983" s="2">
        <v>112.9</v>
      </c>
      <c r="J983" s="2">
        <v>1.106293</v>
      </c>
      <c r="K983" s="2">
        <v>1.078916</v>
      </c>
      <c r="R983" s="2">
        <v>26.59</v>
      </c>
      <c r="S983" s="2">
        <v>5.6718000000000003E-4</v>
      </c>
      <c r="T983" s="2">
        <v>2.6444000000000001E-4</v>
      </c>
      <c r="V983" s="11"/>
      <c r="W983" s="6"/>
      <c r="X983" s="6">
        <v>9.64</v>
      </c>
      <c r="Y983" s="11" t="str">
        <f t="shared" si="192"/>
        <v/>
      </c>
      <c r="Z983" s="6" t="str">
        <f t="shared" si="193"/>
        <v/>
      </c>
      <c r="AA983" s="23">
        <f t="shared" si="194"/>
        <v>39.64</v>
      </c>
      <c r="AB983" t="str">
        <f t="shared" si="183"/>
        <v/>
      </c>
      <c r="AC983" t="str">
        <f t="shared" si="184"/>
        <v/>
      </c>
      <c r="AD983">
        <f t="shared" si="185"/>
        <v>8.7967999999999998E-4</v>
      </c>
      <c r="AE983" s="18" t="str">
        <f t="shared" si="186"/>
        <v/>
      </c>
      <c r="AF983" s="7" t="str">
        <f t="shared" si="187"/>
        <v/>
      </c>
      <c r="AG983" s="12">
        <f t="shared" si="188"/>
        <v>0.99337076290256721</v>
      </c>
      <c r="AI983" s="54" t="str">
        <f t="shared" si="189"/>
        <v/>
      </c>
      <c r="AJ983" s="54" t="str">
        <f t="shared" si="190"/>
        <v/>
      </c>
      <c r="AK983" s="54">
        <f t="shared" si="191"/>
        <v>0.57140636219584851</v>
      </c>
    </row>
    <row r="984" spans="9:37" x14ac:dyDescent="0.45">
      <c r="I984" s="2">
        <v>113</v>
      </c>
      <c r="J984" s="2">
        <v>1.1136900000000001</v>
      </c>
      <c r="K984" s="2">
        <v>1.08955</v>
      </c>
      <c r="R984" s="2">
        <v>26.6</v>
      </c>
      <c r="S984" s="2">
        <v>5.6720000000000002E-4</v>
      </c>
      <c r="T984" s="2">
        <v>2.6459999999999998E-4</v>
      </c>
      <c r="V984" s="11"/>
      <c r="W984" s="6"/>
      <c r="X984" s="6">
        <v>9.65</v>
      </c>
      <c r="Y984" s="11" t="str">
        <f t="shared" si="192"/>
        <v/>
      </c>
      <c r="Z984" s="6" t="str">
        <f t="shared" si="193"/>
        <v/>
      </c>
      <c r="AA984" s="23">
        <f t="shared" si="194"/>
        <v>39.65</v>
      </c>
      <c r="AB984" t="str">
        <f t="shared" si="183"/>
        <v/>
      </c>
      <c r="AC984" t="str">
        <f t="shared" si="184"/>
        <v/>
      </c>
      <c r="AD984">
        <f t="shared" si="185"/>
        <v>8.8029999999999998E-4</v>
      </c>
      <c r="AE984" s="18" t="str">
        <f t="shared" si="186"/>
        <v/>
      </c>
      <c r="AF984" s="7" t="str">
        <f t="shared" si="187"/>
        <v/>
      </c>
      <c r="AG984" s="12">
        <f t="shared" si="188"/>
        <v>0.99336202441864008</v>
      </c>
      <c r="AI984" s="54" t="str">
        <f t="shared" si="189"/>
        <v/>
      </c>
      <c r="AJ984" s="54" t="str">
        <f t="shared" si="190"/>
        <v/>
      </c>
      <c r="AK984" s="54">
        <f t="shared" si="191"/>
        <v>0.5721220463226423</v>
      </c>
    </row>
    <row r="985" spans="9:37" x14ac:dyDescent="0.45">
      <c r="I985" s="2">
        <v>113.1</v>
      </c>
      <c r="J985" s="2">
        <v>1.1214949999999999</v>
      </c>
      <c r="K985" s="2">
        <v>1.1013360000000001</v>
      </c>
      <c r="R985" s="2">
        <v>26.61</v>
      </c>
      <c r="S985" s="2">
        <v>5.6722000000000001E-4</v>
      </c>
      <c r="T985" s="2">
        <v>2.6476000000000001E-4</v>
      </c>
      <c r="V985" s="11"/>
      <c r="W985" s="6"/>
      <c r="X985" s="6">
        <v>9.66</v>
      </c>
      <c r="Y985" s="11" t="str">
        <f t="shared" si="192"/>
        <v/>
      </c>
      <c r="Z985" s="6" t="str">
        <f t="shared" si="193"/>
        <v/>
      </c>
      <c r="AA985" s="23">
        <f t="shared" si="194"/>
        <v>39.659999999999997</v>
      </c>
      <c r="AB985" t="str">
        <f t="shared" si="183"/>
        <v/>
      </c>
      <c r="AC985" t="str">
        <f t="shared" si="184"/>
        <v/>
      </c>
      <c r="AD985">
        <f t="shared" si="185"/>
        <v>8.8091999999999999E-4</v>
      </c>
      <c r="AE985" s="18" t="str">
        <f t="shared" si="186"/>
        <v/>
      </c>
      <c r="AF985" s="7" t="str">
        <f t="shared" si="187"/>
        <v/>
      </c>
      <c r="AG985" s="12">
        <f t="shared" si="188"/>
        <v>0.99335327985273913</v>
      </c>
      <c r="AI985" s="54" t="str">
        <f t="shared" si="189"/>
        <v/>
      </c>
      <c r="AJ985" s="54" t="str">
        <f t="shared" si="190"/>
        <v/>
      </c>
      <c r="AK985" s="54">
        <f t="shared" si="191"/>
        <v>0.57283802036597364</v>
      </c>
    </row>
    <row r="986" spans="9:37" x14ac:dyDescent="0.45">
      <c r="I986" s="2">
        <v>113.2</v>
      </c>
      <c r="J986" s="2">
        <v>1.1293</v>
      </c>
      <c r="K986" s="2">
        <v>1.1131219999999999</v>
      </c>
      <c r="R986" s="2">
        <v>26.62</v>
      </c>
      <c r="S986" s="2">
        <v>5.6724E-4</v>
      </c>
      <c r="T986" s="2">
        <v>2.6491999999999998E-4</v>
      </c>
      <c r="V986" s="11"/>
      <c r="W986" s="6"/>
      <c r="X986" s="6">
        <v>9.67</v>
      </c>
      <c r="Y986" s="11" t="str">
        <f t="shared" si="192"/>
        <v/>
      </c>
      <c r="Z986" s="6" t="str">
        <f t="shared" si="193"/>
        <v/>
      </c>
      <c r="AA986" s="23">
        <f t="shared" si="194"/>
        <v>39.67</v>
      </c>
      <c r="AB986" t="str">
        <f t="shared" si="183"/>
        <v/>
      </c>
      <c r="AC986" t="str">
        <f t="shared" si="184"/>
        <v/>
      </c>
      <c r="AD986">
        <f t="shared" si="185"/>
        <v>8.8153999999999999E-4</v>
      </c>
      <c r="AE986" s="18" t="str">
        <f t="shared" si="186"/>
        <v/>
      </c>
      <c r="AF986" s="7" t="str">
        <f t="shared" si="187"/>
        <v/>
      </c>
      <c r="AG986" s="12">
        <f t="shared" si="188"/>
        <v>0.99334452920502625</v>
      </c>
      <c r="AI986" s="54" t="str">
        <f t="shared" si="189"/>
        <v/>
      </c>
      <c r="AJ986" s="54" t="str">
        <f t="shared" si="190"/>
        <v/>
      </c>
      <c r="AK986" s="54">
        <f t="shared" si="191"/>
        <v>0.57355428445323753</v>
      </c>
    </row>
    <row r="987" spans="9:37" x14ac:dyDescent="0.45">
      <c r="I987" s="2">
        <v>113.3</v>
      </c>
      <c r="J987" s="2">
        <v>1.137105</v>
      </c>
      <c r="K987" s="2">
        <v>1.124908</v>
      </c>
      <c r="R987" s="2">
        <v>26.63</v>
      </c>
      <c r="S987" s="2">
        <v>5.6725999999999999E-4</v>
      </c>
      <c r="T987" s="2">
        <v>2.6508E-4</v>
      </c>
      <c r="V987" s="11"/>
      <c r="W987" s="6"/>
      <c r="X987" s="6">
        <v>9.68</v>
      </c>
      <c r="Y987" s="11" t="str">
        <f t="shared" si="192"/>
        <v/>
      </c>
      <c r="Z987" s="6" t="str">
        <f t="shared" si="193"/>
        <v/>
      </c>
      <c r="AA987" s="23">
        <f t="shared" si="194"/>
        <v>39.68</v>
      </c>
      <c r="AB987" t="str">
        <f t="shared" si="183"/>
        <v/>
      </c>
      <c r="AC987" t="str">
        <f t="shared" si="184"/>
        <v/>
      </c>
      <c r="AD987">
        <f t="shared" si="185"/>
        <v>8.8216E-4</v>
      </c>
      <c r="AE987" s="18" t="str">
        <f t="shared" si="186"/>
        <v/>
      </c>
      <c r="AF987" s="7" t="str">
        <f t="shared" si="187"/>
        <v/>
      </c>
      <c r="AG987" s="12">
        <f t="shared" si="188"/>
        <v>0.99333577247566351</v>
      </c>
      <c r="AI987" s="54" t="str">
        <f t="shared" si="189"/>
        <v/>
      </c>
      <c r="AJ987" s="54" t="str">
        <f t="shared" si="190"/>
        <v/>
      </c>
      <c r="AK987" s="54">
        <f t="shared" si="191"/>
        <v>0.57427083871188644</v>
      </c>
    </row>
    <row r="988" spans="9:37" x14ac:dyDescent="0.45">
      <c r="I988" s="2">
        <v>113.4</v>
      </c>
      <c r="J988" s="2">
        <v>1.1449100000000001</v>
      </c>
      <c r="K988" s="2">
        <v>1.1366940000000001</v>
      </c>
      <c r="R988" s="2">
        <v>26.64</v>
      </c>
      <c r="S988" s="2">
        <v>5.6727999999999998E-4</v>
      </c>
      <c r="T988" s="2">
        <v>2.6523999999999997E-4</v>
      </c>
      <c r="V988" s="11"/>
      <c r="W988" s="6"/>
      <c r="X988" s="6">
        <v>9.69</v>
      </c>
      <c r="Y988" s="11" t="str">
        <f t="shared" si="192"/>
        <v/>
      </c>
      <c r="Z988" s="6" t="str">
        <f t="shared" si="193"/>
        <v/>
      </c>
      <c r="AA988" s="23">
        <f t="shared" si="194"/>
        <v>39.69</v>
      </c>
      <c r="AB988" t="str">
        <f t="shared" si="183"/>
        <v/>
      </c>
      <c r="AC988" t="str">
        <f t="shared" si="184"/>
        <v/>
      </c>
      <c r="AD988">
        <f t="shared" si="185"/>
        <v>8.8278E-4</v>
      </c>
      <c r="AE988" s="18" t="str">
        <f t="shared" si="186"/>
        <v/>
      </c>
      <c r="AF988" s="7" t="str">
        <f t="shared" si="187"/>
        <v/>
      </c>
      <c r="AG988" s="12">
        <f t="shared" si="188"/>
        <v>0.99332700966481302</v>
      </c>
      <c r="AI988" s="54" t="str">
        <f t="shared" si="189"/>
        <v/>
      </c>
      <c r="AJ988" s="54" t="str">
        <f t="shared" si="190"/>
        <v/>
      </c>
      <c r="AK988" s="54">
        <f t="shared" si="191"/>
        <v>0.57498768326943051</v>
      </c>
    </row>
    <row r="989" spans="9:37" x14ac:dyDescent="0.45">
      <c r="I989" s="2">
        <v>113.5</v>
      </c>
      <c r="J989" s="2">
        <v>1.1527149999999999</v>
      </c>
      <c r="K989" s="2">
        <v>1.1484799999999999</v>
      </c>
      <c r="R989" s="2">
        <v>26.65</v>
      </c>
      <c r="S989" s="2">
        <v>5.6729999999999997E-4</v>
      </c>
      <c r="T989" s="2">
        <v>2.654E-4</v>
      </c>
      <c r="V989" s="11"/>
      <c r="W989" s="6"/>
      <c r="X989" s="6">
        <v>9.7000000000000011</v>
      </c>
      <c r="Y989" s="11" t="str">
        <f t="shared" si="192"/>
        <v/>
      </c>
      <c r="Z989" s="6" t="str">
        <f t="shared" si="193"/>
        <v/>
      </c>
      <c r="AA989" s="23">
        <f t="shared" si="194"/>
        <v>39.700000000000003</v>
      </c>
      <c r="AB989" t="str">
        <f t="shared" si="183"/>
        <v/>
      </c>
      <c r="AC989" t="str">
        <f t="shared" si="184"/>
        <v/>
      </c>
      <c r="AD989">
        <f t="shared" si="185"/>
        <v>8.8340000000000001E-4</v>
      </c>
      <c r="AE989" s="18" t="str">
        <f t="shared" si="186"/>
        <v/>
      </c>
      <c r="AF989" s="7" t="str">
        <f t="shared" si="187"/>
        <v/>
      </c>
      <c r="AG989" s="12">
        <f t="shared" si="188"/>
        <v>0.99331824077263708</v>
      </c>
      <c r="AI989" s="54" t="str">
        <f t="shared" si="189"/>
        <v/>
      </c>
      <c r="AJ989" s="54" t="str">
        <f t="shared" si="190"/>
        <v/>
      </c>
      <c r="AK989" s="54">
        <f t="shared" si="191"/>
        <v>0.57570481825343711</v>
      </c>
    </row>
    <row r="990" spans="9:37" x14ac:dyDescent="0.45">
      <c r="I990" s="2">
        <v>113.6</v>
      </c>
      <c r="J990" s="2">
        <v>1.16052</v>
      </c>
      <c r="K990" s="2">
        <v>1.160266</v>
      </c>
      <c r="R990" s="2">
        <v>26.66</v>
      </c>
      <c r="S990" s="2">
        <v>5.6731999999999996E-4</v>
      </c>
      <c r="T990" s="2">
        <v>2.6556000000000003E-4</v>
      </c>
      <c r="V990" s="11"/>
      <c r="W990" s="6"/>
      <c r="X990" s="6">
        <v>9.7100000000000009</v>
      </c>
      <c r="Y990" s="11" t="str">
        <f t="shared" si="192"/>
        <v/>
      </c>
      <c r="Z990" s="6" t="str">
        <f t="shared" si="193"/>
        <v/>
      </c>
      <c r="AA990" s="23">
        <f t="shared" si="194"/>
        <v>39.71</v>
      </c>
      <c r="AB990" t="str">
        <f t="shared" si="183"/>
        <v/>
      </c>
      <c r="AC990" t="str">
        <f t="shared" si="184"/>
        <v/>
      </c>
      <c r="AD990">
        <f t="shared" si="185"/>
        <v>8.8402000000000001E-4</v>
      </c>
      <c r="AE990" s="18" t="str">
        <f t="shared" si="186"/>
        <v/>
      </c>
      <c r="AF990" s="7" t="str">
        <f t="shared" si="187"/>
        <v/>
      </c>
      <c r="AG990" s="12">
        <f t="shared" si="188"/>
        <v>0.99330946579929813</v>
      </c>
      <c r="AI990" s="54" t="str">
        <f t="shared" si="189"/>
        <v/>
      </c>
      <c r="AJ990" s="54" t="str">
        <f t="shared" si="190"/>
        <v/>
      </c>
      <c r="AK990" s="54">
        <f t="shared" si="191"/>
        <v>0.5764222437915314</v>
      </c>
    </row>
    <row r="991" spans="9:37" x14ac:dyDescent="0.45">
      <c r="I991" s="2">
        <v>113.7</v>
      </c>
      <c r="J991" s="2">
        <v>1.1683250000000001</v>
      </c>
      <c r="K991" s="2">
        <v>1.1720520000000001</v>
      </c>
      <c r="R991" s="2">
        <v>26.67</v>
      </c>
      <c r="S991" s="2">
        <v>5.6734000000000005E-4</v>
      </c>
      <c r="T991" s="2">
        <v>2.6572E-4</v>
      </c>
      <c r="V991" s="11"/>
      <c r="W991" s="6"/>
      <c r="X991" s="6">
        <v>9.7200000000000006</v>
      </c>
      <c r="Y991" s="11" t="str">
        <f t="shared" si="192"/>
        <v/>
      </c>
      <c r="Z991" s="6" t="str">
        <f t="shared" si="193"/>
        <v/>
      </c>
      <c r="AA991" s="23">
        <f t="shared" si="194"/>
        <v>39.72</v>
      </c>
      <c r="AB991" t="str">
        <f t="shared" si="183"/>
        <v/>
      </c>
      <c r="AC991" t="str">
        <f t="shared" si="184"/>
        <v/>
      </c>
      <c r="AD991">
        <f t="shared" si="185"/>
        <v>8.8464000000000001E-4</v>
      </c>
      <c r="AE991" s="18" t="str">
        <f t="shared" si="186"/>
        <v/>
      </c>
      <c r="AF991" s="7" t="str">
        <f t="shared" si="187"/>
        <v/>
      </c>
      <c r="AG991" s="12">
        <f t="shared" si="188"/>
        <v>0.99330068474495858</v>
      </c>
      <c r="AI991" s="54" t="str">
        <f t="shared" si="189"/>
        <v/>
      </c>
      <c r="AJ991" s="54" t="str">
        <f t="shared" si="190"/>
        <v/>
      </c>
      <c r="AK991" s="54">
        <f t="shared" si="191"/>
        <v>0.57713996001139611</v>
      </c>
    </row>
    <row r="992" spans="9:37" x14ac:dyDescent="0.45">
      <c r="I992" s="2">
        <v>113.8</v>
      </c>
      <c r="J992" s="2">
        <v>1.1761299999999999</v>
      </c>
      <c r="K992" s="2">
        <v>1.1838379999999999</v>
      </c>
      <c r="R992" s="2">
        <v>26.68</v>
      </c>
      <c r="S992" s="2">
        <v>5.6736000000000004E-4</v>
      </c>
      <c r="T992" s="2">
        <v>2.6588000000000002E-4</v>
      </c>
      <c r="V992" s="11"/>
      <c r="W992" s="6"/>
      <c r="X992" s="6">
        <v>9.73</v>
      </c>
      <c r="Y992" s="11" t="str">
        <f t="shared" si="192"/>
        <v/>
      </c>
      <c r="Z992" s="6" t="str">
        <f t="shared" si="193"/>
        <v/>
      </c>
      <c r="AA992" s="23">
        <f t="shared" si="194"/>
        <v>39.730000000000004</v>
      </c>
      <c r="AB992" t="str">
        <f t="shared" si="183"/>
        <v/>
      </c>
      <c r="AC992" t="str">
        <f t="shared" si="184"/>
        <v/>
      </c>
      <c r="AD992">
        <f t="shared" si="185"/>
        <v>8.8526000000000002E-4</v>
      </c>
      <c r="AE992" s="18" t="str">
        <f t="shared" si="186"/>
        <v/>
      </c>
      <c r="AF992" s="7" t="str">
        <f t="shared" si="187"/>
        <v/>
      </c>
      <c r="AG992" s="12">
        <f t="shared" si="188"/>
        <v>0.99329189760978109</v>
      </c>
      <c r="AI992" s="54" t="str">
        <f t="shared" si="189"/>
        <v/>
      </c>
      <c r="AJ992" s="54" t="str">
        <f t="shared" si="190"/>
        <v/>
      </c>
      <c r="AK992" s="54">
        <f t="shared" si="191"/>
        <v>0.57785796704077141</v>
      </c>
    </row>
    <row r="993" spans="9:37" x14ac:dyDescent="0.45">
      <c r="I993" s="2">
        <v>113.9</v>
      </c>
      <c r="J993" s="2">
        <v>1.183935</v>
      </c>
      <c r="K993" s="2">
        <v>1.195624</v>
      </c>
      <c r="R993" s="2">
        <v>26.69</v>
      </c>
      <c r="S993" s="2">
        <v>5.6738000000000003E-4</v>
      </c>
      <c r="T993" s="2">
        <v>2.6603999999999999E-4</v>
      </c>
      <c r="V993" s="11"/>
      <c r="W993" s="6"/>
      <c r="X993" s="6">
        <v>9.74</v>
      </c>
      <c r="Y993" s="11" t="str">
        <f t="shared" si="192"/>
        <v/>
      </c>
      <c r="Z993" s="6" t="str">
        <f t="shared" si="193"/>
        <v/>
      </c>
      <c r="AA993" s="23">
        <f t="shared" si="194"/>
        <v>39.74</v>
      </c>
      <c r="AB993" t="str">
        <f t="shared" si="183"/>
        <v/>
      </c>
      <c r="AC993" t="str">
        <f t="shared" si="184"/>
        <v/>
      </c>
      <c r="AD993">
        <f t="shared" si="185"/>
        <v>8.8588000000000002E-4</v>
      </c>
      <c r="AE993" s="18" t="str">
        <f t="shared" si="186"/>
        <v/>
      </c>
      <c r="AF993" s="7" t="str">
        <f t="shared" si="187"/>
        <v/>
      </c>
      <c r="AG993" s="12">
        <f t="shared" si="188"/>
        <v>0.99328310439392831</v>
      </c>
      <c r="AI993" s="54" t="str">
        <f t="shared" si="189"/>
        <v/>
      </c>
      <c r="AJ993" s="54" t="str">
        <f t="shared" si="190"/>
        <v/>
      </c>
      <c r="AK993" s="54">
        <f t="shared" si="191"/>
        <v>0.57857626500745529</v>
      </c>
    </row>
    <row r="994" spans="9:37" x14ac:dyDescent="0.45">
      <c r="I994" s="2">
        <v>114</v>
      </c>
      <c r="J994" s="2">
        <v>1.19174</v>
      </c>
      <c r="K994" s="2">
        <v>1.2074100000000001</v>
      </c>
      <c r="R994" s="2">
        <v>26.7</v>
      </c>
      <c r="S994" s="2">
        <v>5.6740000000000002E-4</v>
      </c>
      <c r="T994" s="2">
        <v>2.6620000000000002E-4</v>
      </c>
      <c r="V994" s="11"/>
      <c r="W994" s="6"/>
      <c r="X994" s="6">
        <v>9.75</v>
      </c>
      <c r="Y994" s="11" t="str">
        <f t="shared" si="192"/>
        <v/>
      </c>
      <c r="Z994" s="6" t="str">
        <f t="shared" si="193"/>
        <v/>
      </c>
      <c r="AA994" s="23">
        <f t="shared" si="194"/>
        <v>39.75</v>
      </c>
      <c r="AB994" t="str">
        <f t="shared" si="183"/>
        <v/>
      </c>
      <c r="AC994" t="str">
        <f t="shared" si="184"/>
        <v/>
      </c>
      <c r="AD994">
        <f t="shared" si="185"/>
        <v>8.8650000000000003E-4</v>
      </c>
      <c r="AE994" s="18" t="str">
        <f t="shared" si="186"/>
        <v/>
      </c>
      <c r="AF994" s="7" t="str">
        <f t="shared" si="187"/>
        <v/>
      </c>
      <c r="AG994" s="12">
        <f t="shared" si="188"/>
        <v>0.99327430509756309</v>
      </c>
      <c r="AI994" s="54" t="str">
        <f t="shared" si="189"/>
        <v/>
      </c>
      <c r="AJ994" s="54" t="str">
        <f t="shared" si="190"/>
        <v/>
      </c>
      <c r="AK994" s="54">
        <f t="shared" si="191"/>
        <v>0.57929485403930325</v>
      </c>
    </row>
    <row r="995" spans="9:37" x14ac:dyDescent="0.45">
      <c r="I995" s="2">
        <v>114.1</v>
      </c>
      <c r="J995" s="2">
        <v>1.1999660000000001</v>
      </c>
      <c r="K995" s="2">
        <v>1.2204699999999999</v>
      </c>
      <c r="R995" s="2">
        <v>26.71</v>
      </c>
      <c r="S995" s="2">
        <v>5.6742000000000001E-4</v>
      </c>
      <c r="T995" s="2">
        <v>2.6635999999999999E-4</v>
      </c>
      <c r="V995" s="11"/>
      <c r="W995" s="6"/>
      <c r="X995" s="6">
        <v>9.76</v>
      </c>
      <c r="Y995" s="11" t="str">
        <f t="shared" si="192"/>
        <v/>
      </c>
      <c r="Z995" s="6" t="str">
        <f t="shared" si="193"/>
        <v/>
      </c>
      <c r="AA995" s="23">
        <f t="shared" si="194"/>
        <v>39.76</v>
      </c>
      <c r="AB995" t="str">
        <f t="shared" si="183"/>
        <v/>
      </c>
      <c r="AC995" t="str">
        <f t="shared" si="184"/>
        <v/>
      </c>
      <c r="AD995">
        <f t="shared" si="185"/>
        <v>8.8712000000000003E-4</v>
      </c>
      <c r="AE995" s="18" t="str">
        <f t="shared" si="186"/>
        <v/>
      </c>
      <c r="AF995" s="7" t="str">
        <f t="shared" si="187"/>
        <v/>
      </c>
      <c r="AG995" s="12">
        <f t="shared" si="188"/>
        <v>0.99326549972084843</v>
      </c>
      <c r="AI995" s="54" t="str">
        <f t="shared" si="189"/>
        <v/>
      </c>
      <c r="AJ995" s="54" t="str">
        <f t="shared" si="190"/>
        <v/>
      </c>
      <c r="AK995" s="54">
        <f t="shared" si="191"/>
        <v>0.58001373426422853</v>
      </c>
    </row>
    <row r="996" spans="9:37" x14ac:dyDescent="0.45">
      <c r="I996" s="2">
        <v>114.2</v>
      </c>
      <c r="J996" s="2">
        <v>1.2081919999999999</v>
      </c>
      <c r="K996" s="2">
        <v>1.23353</v>
      </c>
      <c r="R996" s="2">
        <v>26.72</v>
      </c>
      <c r="S996" s="2">
        <v>5.6744E-4</v>
      </c>
      <c r="T996" s="2">
        <v>2.6652000000000002E-4</v>
      </c>
      <c r="V996" s="11"/>
      <c r="W996" s="6"/>
      <c r="X996" s="6">
        <v>9.77</v>
      </c>
      <c r="Y996" s="11" t="str">
        <f t="shared" si="192"/>
        <v/>
      </c>
      <c r="Z996" s="6" t="str">
        <f t="shared" si="193"/>
        <v/>
      </c>
      <c r="AA996" s="23">
        <f t="shared" si="194"/>
        <v>39.769999999999996</v>
      </c>
      <c r="AB996" t="str">
        <f t="shared" si="183"/>
        <v/>
      </c>
      <c r="AC996" t="str">
        <f t="shared" si="184"/>
        <v/>
      </c>
      <c r="AD996">
        <f t="shared" si="185"/>
        <v>8.8712000000000003E-4</v>
      </c>
      <c r="AE996" s="18" t="str">
        <f t="shared" si="186"/>
        <v/>
      </c>
      <c r="AF996" s="7" t="str">
        <f t="shared" si="187"/>
        <v/>
      </c>
      <c r="AG996" s="12">
        <f t="shared" si="188"/>
        <v>0.99325668826394731</v>
      </c>
      <c r="AI996" s="54" t="str">
        <f t="shared" si="189"/>
        <v/>
      </c>
      <c r="AJ996" s="54" t="str">
        <f t="shared" si="190"/>
        <v/>
      </c>
      <c r="AK996" s="54">
        <f t="shared" si="191"/>
        <v>0.58073290581020209</v>
      </c>
    </row>
    <row r="997" spans="9:37" x14ac:dyDescent="0.45">
      <c r="I997" s="2">
        <v>114.3</v>
      </c>
      <c r="J997" s="2">
        <v>1.216418</v>
      </c>
      <c r="K997" s="2">
        <v>1.2465900000000001</v>
      </c>
      <c r="R997" s="2">
        <v>26.73</v>
      </c>
      <c r="S997" s="2">
        <v>5.6745999999999999E-4</v>
      </c>
      <c r="T997" s="2">
        <v>2.6667999999999999E-4</v>
      </c>
      <c r="V997" s="11"/>
      <c r="W997" s="6"/>
      <c r="X997" s="6">
        <v>9.7799999999999994</v>
      </c>
      <c r="Y997" s="11" t="str">
        <f t="shared" si="192"/>
        <v/>
      </c>
      <c r="Z997" s="6" t="str">
        <f t="shared" si="193"/>
        <v/>
      </c>
      <c r="AA997" s="23">
        <f t="shared" si="194"/>
        <v>39.78</v>
      </c>
      <c r="AB997" t="str">
        <f t="shared" si="183"/>
        <v/>
      </c>
      <c r="AC997" t="str">
        <f t="shared" si="184"/>
        <v/>
      </c>
      <c r="AD997">
        <f t="shared" si="185"/>
        <v>8.8836000000000004E-4</v>
      </c>
      <c r="AE997" s="18" t="str">
        <f t="shared" si="186"/>
        <v/>
      </c>
      <c r="AF997" s="7" t="str">
        <f t="shared" si="187"/>
        <v/>
      </c>
      <c r="AG997" s="12">
        <f t="shared" si="188"/>
        <v>0.99324787688521443</v>
      </c>
      <c r="AI997" s="54" t="str">
        <f t="shared" si="189"/>
        <v/>
      </c>
      <c r="AJ997" s="54" t="str">
        <f t="shared" si="190"/>
        <v/>
      </c>
      <c r="AK997" s="54">
        <f t="shared" si="191"/>
        <v>0.58145237140470873</v>
      </c>
    </row>
    <row r="998" spans="9:37" x14ac:dyDescent="0.45">
      <c r="I998" s="2">
        <v>114.4</v>
      </c>
      <c r="J998" s="2">
        <v>1.2246440000000001</v>
      </c>
      <c r="K998" s="2">
        <v>1.2596499999999999</v>
      </c>
      <c r="R998" s="2">
        <v>26.74</v>
      </c>
      <c r="S998" s="2">
        <v>5.6747999999999998E-4</v>
      </c>
      <c r="T998" s="2">
        <v>2.6684000000000001E-4</v>
      </c>
      <c r="V998" s="11"/>
      <c r="W998" s="6"/>
      <c r="X998" s="6">
        <v>9.7900000000000009</v>
      </c>
      <c r="Y998" s="11" t="str">
        <f t="shared" si="192"/>
        <v/>
      </c>
      <c r="Z998" s="6" t="str">
        <f t="shared" si="193"/>
        <v/>
      </c>
      <c r="AA998" s="23">
        <f t="shared" si="194"/>
        <v>39.79</v>
      </c>
      <c r="AB998" t="str">
        <f t="shared" si="183"/>
        <v/>
      </c>
      <c r="AC998" t="str">
        <f t="shared" si="184"/>
        <v/>
      </c>
      <c r="AD998">
        <f t="shared" si="185"/>
        <v>8.8898000000000004E-4</v>
      </c>
      <c r="AE998" s="18" t="str">
        <f t="shared" si="186"/>
        <v/>
      </c>
      <c r="AF998" s="7" t="str">
        <f t="shared" si="187"/>
        <v/>
      </c>
      <c r="AG998" s="12">
        <f t="shared" si="188"/>
        <v>0.99323905326837536</v>
      </c>
      <c r="AI998" s="54" t="str">
        <f t="shared" si="189"/>
        <v/>
      </c>
      <c r="AJ998" s="54" t="str">
        <f t="shared" si="190"/>
        <v/>
      </c>
      <c r="AK998" s="54">
        <f t="shared" si="191"/>
        <v>0.58217212597798573</v>
      </c>
    </row>
    <row r="999" spans="9:37" x14ac:dyDescent="0.45">
      <c r="I999" s="2">
        <v>114.5</v>
      </c>
      <c r="J999" s="2">
        <v>1.2328699999999999</v>
      </c>
      <c r="K999" s="2">
        <v>1.27271</v>
      </c>
      <c r="R999" s="2">
        <v>26.75</v>
      </c>
      <c r="S999" s="2">
        <v>5.6749999999999997E-4</v>
      </c>
      <c r="T999" s="2">
        <v>2.6699999999999998E-4</v>
      </c>
      <c r="V999" s="11"/>
      <c r="W999" s="6"/>
      <c r="X999" s="6">
        <v>9.8000000000000007</v>
      </c>
      <c r="Y999" s="11" t="str">
        <f t="shared" si="192"/>
        <v/>
      </c>
      <c r="Z999" s="6" t="str">
        <f t="shared" si="193"/>
        <v/>
      </c>
      <c r="AA999" s="23">
        <f t="shared" si="194"/>
        <v>39.799999999999997</v>
      </c>
      <c r="AB999" t="str">
        <f t="shared" si="183"/>
        <v/>
      </c>
      <c r="AC999" t="str">
        <f t="shared" si="184"/>
        <v/>
      </c>
      <c r="AD999">
        <f t="shared" si="185"/>
        <v>8.8960000000000005E-4</v>
      </c>
      <c r="AE999" s="18" t="str">
        <f t="shared" si="186"/>
        <v/>
      </c>
      <c r="AF999" s="7" t="str">
        <f t="shared" si="187"/>
        <v/>
      </c>
      <c r="AG999" s="12">
        <f t="shared" si="188"/>
        <v>0.99323022357183965</v>
      </c>
      <c r="AI999" s="54" t="str">
        <f t="shared" si="189"/>
        <v/>
      </c>
      <c r="AJ999" s="54" t="str">
        <f t="shared" si="190"/>
        <v/>
      </c>
      <c r="AK999" s="54">
        <f t="shared" si="191"/>
        <v>0.58289217225657097</v>
      </c>
    </row>
    <row r="1000" spans="9:37" x14ac:dyDescent="0.45">
      <c r="I1000" s="2">
        <v>114.6</v>
      </c>
      <c r="J1000" s="2">
        <v>1.241096</v>
      </c>
      <c r="K1000" s="2">
        <v>1.2857700000000001</v>
      </c>
      <c r="R1000" s="2">
        <v>26.76</v>
      </c>
      <c r="S1000" s="2">
        <v>5.6751999999999996E-4</v>
      </c>
      <c r="T1000" s="2">
        <v>2.6716000000000001E-4</v>
      </c>
      <c r="V1000" s="11"/>
      <c r="W1000" s="6"/>
      <c r="X1000" s="6">
        <v>9.81</v>
      </c>
      <c r="Y1000" s="11" t="str">
        <f t="shared" si="192"/>
        <v/>
      </c>
      <c r="Z1000" s="6" t="str">
        <f t="shared" si="193"/>
        <v/>
      </c>
      <c r="AA1000" s="23">
        <f t="shared" si="194"/>
        <v>39.81</v>
      </c>
      <c r="AB1000" t="str">
        <f t="shared" si="183"/>
        <v/>
      </c>
      <c r="AC1000" t="str">
        <f t="shared" si="184"/>
        <v/>
      </c>
      <c r="AD1000">
        <f t="shared" si="185"/>
        <v>8.9022000000000005E-4</v>
      </c>
      <c r="AE1000" s="18" t="str">
        <f t="shared" si="186"/>
        <v/>
      </c>
      <c r="AF1000" s="7" t="str">
        <f t="shared" si="187"/>
        <v/>
      </c>
      <c r="AG1000" s="12">
        <f t="shared" si="188"/>
        <v>0.99322138779577074</v>
      </c>
      <c r="AI1000" s="54" t="str">
        <f t="shared" si="189"/>
        <v/>
      </c>
      <c r="AJ1000" s="54" t="str">
        <f t="shared" si="190"/>
        <v/>
      </c>
      <c r="AK1000" s="54">
        <f t="shared" si="191"/>
        <v>0.58361251036866646</v>
      </c>
    </row>
    <row r="1001" spans="9:37" x14ac:dyDescent="0.45">
      <c r="I1001" s="2">
        <v>114.7</v>
      </c>
      <c r="J1001" s="2">
        <v>1.249322</v>
      </c>
      <c r="K1001" s="2">
        <v>1.2988299999999999</v>
      </c>
      <c r="R1001" s="2">
        <v>26.77</v>
      </c>
      <c r="S1001" s="2">
        <v>5.6753999999999995E-4</v>
      </c>
      <c r="T1001" s="2">
        <v>2.6731999999999998E-4</v>
      </c>
      <c r="V1001" s="11"/>
      <c r="W1001" s="6"/>
      <c r="X1001" s="6">
        <v>9.82</v>
      </c>
      <c r="Y1001" s="11" t="str">
        <f t="shared" si="192"/>
        <v/>
      </c>
      <c r="Z1001" s="6" t="str">
        <f t="shared" si="193"/>
        <v/>
      </c>
      <c r="AA1001" s="23">
        <f t="shared" si="194"/>
        <v>39.82</v>
      </c>
      <c r="AB1001" t="str">
        <f t="shared" si="183"/>
        <v/>
      </c>
      <c r="AC1001" t="str">
        <f t="shared" si="184"/>
        <v/>
      </c>
      <c r="AD1001">
        <f t="shared" si="185"/>
        <v>8.9083999999999995E-4</v>
      </c>
      <c r="AE1001" s="18" t="str">
        <f t="shared" si="186"/>
        <v/>
      </c>
      <c r="AF1001" s="7" t="str">
        <f t="shared" si="187"/>
        <v/>
      </c>
      <c r="AG1001" s="12">
        <f t="shared" si="188"/>
        <v>0.99321254594033226</v>
      </c>
      <c r="AI1001" s="54" t="str">
        <f t="shared" si="189"/>
        <v/>
      </c>
      <c r="AJ1001" s="54" t="str">
        <f t="shared" si="190"/>
        <v/>
      </c>
      <c r="AK1001" s="54">
        <f t="shared" si="191"/>
        <v>0.58433314044253226</v>
      </c>
    </row>
    <row r="1002" spans="9:37" x14ac:dyDescent="0.45">
      <c r="I1002" s="2">
        <v>114.8</v>
      </c>
      <c r="J1002" s="2">
        <v>1.2575480000000001</v>
      </c>
      <c r="K1002" s="2">
        <v>1.31189</v>
      </c>
      <c r="R1002" s="2">
        <v>26.78</v>
      </c>
      <c r="S1002" s="2">
        <v>5.6756000000000005E-4</v>
      </c>
      <c r="T1002" s="2">
        <v>2.6748000000000001E-4</v>
      </c>
      <c r="V1002" s="11"/>
      <c r="W1002" s="6"/>
      <c r="X1002" s="6">
        <v>9.83</v>
      </c>
      <c r="Y1002" s="11" t="str">
        <f t="shared" si="192"/>
        <v/>
      </c>
      <c r="Z1002" s="6" t="str">
        <f t="shared" si="193"/>
        <v/>
      </c>
      <c r="AA1002" s="23">
        <f t="shared" si="194"/>
        <v>39.83</v>
      </c>
      <c r="AB1002" t="str">
        <f t="shared" si="183"/>
        <v/>
      </c>
      <c r="AC1002" t="str">
        <f t="shared" si="184"/>
        <v/>
      </c>
      <c r="AD1002">
        <f t="shared" si="185"/>
        <v>8.9145999999999995E-4</v>
      </c>
      <c r="AE1002" s="18" t="str">
        <f t="shared" si="186"/>
        <v/>
      </c>
      <c r="AF1002" s="7" t="str">
        <f t="shared" si="187"/>
        <v/>
      </c>
      <c r="AG1002" s="12">
        <f t="shared" si="188"/>
        <v>0.99320369800568797</v>
      </c>
      <c r="AI1002" s="54" t="str">
        <f t="shared" si="189"/>
        <v/>
      </c>
      <c r="AJ1002" s="54" t="str">
        <f t="shared" si="190"/>
        <v/>
      </c>
      <c r="AK1002" s="54">
        <f t="shared" si="191"/>
        <v>0.58505406260648607</v>
      </c>
    </row>
    <row r="1003" spans="9:37" x14ac:dyDescent="0.45">
      <c r="I1003" s="2">
        <v>114.9</v>
      </c>
      <c r="J1003" s="2">
        <v>1.265774</v>
      </c>
      <c r="K1003" s="2">
        <v>1.3249500000000001</v>
      </c>
      <c r="R1003" s="2">
        <v>26.79</v>
      </c>
      <c r="S1003" s="2">
        <v>5.6758000000000004E-4</v>
      </c>
      <c r="T1003" s="2">
        <v>2.6763999999999998E-4</v>
      </c>
      <c r="V1003" s="11"/>
      <c r="W1003" s="6"/>
      <c r="X1003" s="6">
        <v>9.84</v>
      </c>
      <c r="Y1003" s="11" t="str">
        <f t="shared" si="192"/>
        <v/>
      </c>
      <c r="Z1003" s="6" t="str">
        <f t="shared" si="193"/>
        <v/>
      </c>
      <c r="AA1003" s="23">
        <f t="shared" si="194"/>
        <v>39.840000000000003</v>
      </c>
      <c r="AB1003" t="str">
        <f t="shared" si="183"/>
        <v/>
      </c>
      <c r="AC1003" t="str">
        <f t="shared" si="184"/>
        <v/>
      </c>
      <c r="AD1003">
        <f t="shared" si="185"/>
        <v>8.9207999999999996E-4</v>
      </c>
      <c r="AE1003" s="18" t="str">
        <f t="shared" si="186"/>
        <v/>
      </c>
      <c r="AF1003" s="7" t="str">
        <f t="shared" si="187"/>
        <v/>
      </c>
      <c r="AG1003" s="12">
        <f t="shared" si="188"/>
        <v>0.99319484399200175</v>
      </c>
      <c r="AI1003" s="54" t="str">
        <f t="shared" si="189"/>
        <v/>
      </c>
      <c r="AJ1003" s="54" t="str">
        <f t="shared" si="190"/>
        <v/>
      </c>
      <c r="AK1003" s="54">
        <f t="shared" si="191"/>
        <v>0.58577527698890364</v>
      </c>
    </row>
    <row r="1004" spans="9:37" x14ac:dyDescent="0.45">
      <c r="I1004" s="2">
        <v>115</v>
      </c>
      <c r="J1004" s="2">
        <v>1.274</v>
      </c>
      <c r="K1004" s="2">
        <v>1.3380099999999999</v>
      </c>
      <c r="R1004" s="2">
        <v>26.8</v>
      </c>
      <c r="S1004" s="2">
        <v>5.6760000000000003E-4</v>
      </c>
      <c r="T1004" s="2">
        <v>2.678E-4</v>
      </c>
      <c r="V1004" s="11"/>
      <c r="W1004" s="6"/>
      <c r="X1004" s="6">
        <v>9.85</v>
      </c>
      <c r="Y1004" s="11" t="str">
        <f t="shared" si="192"/>
        <v/>
      </c>
      <c r="Z1004" s="6" t="str">
        <f t="shared" si="193"/>
        <v/>
      </c>
      <c r="AA1004" s="23">
        <f t="shared" si="194"/>
        <v>39.85</v>
      </c>
      <c r="AB1004" t="str">
        <f t="shared" si="183"/>
        <v/>
      </c>
      <c r="AC1004" t="str">
        <f t="shared" si="184"/>
        <v/>
      </c>
      <c r="AD1004">
        <f t="shared" si="185"/>
        <v>8.9269999999999996E-4</v>
      </c>
      <c r="AE1004" s="18" t="str">
        <f t="shared" si="186"/>
        <v/>
      </c>
      <c r="AF1004" s="7" t="str">
        <f t="shared" si="187"/>
        <v/>
      </c>
      <c r="AG1004" s="12">
        <f t="shared" si="188"/>
        <v>0.99318598389943746</v>
      </c>
      <c r="AI1004" s="54" t="str">
        <f t="shared" si="189"/>
        <v/>
      </c>
      <c r="AJ1004" s="54" t="str">
        <f t="shared" si="190"/>
        <v/>
      </c>
      <c r="AK1004" s="54">
        <f t="shared" si="191"/>
        <v>0.58649678371821867</v>
      </c>
    </row>
    <row r="1005" spans="9:37" x14ac:dyDescent="0.45">
      <c r="I1005" s="2">
        <v>115.1</v>
      </c>
      <c r="J1005" s="2">
        <v>1.2826580000000001</v>
      </c>
      <c r="K1005" s="2">
        <v>1.3524830000000001</v>
      </c>
      <c r="R1005" s="2">
        <v>26.81</v>
      </c>
      <c r="S1005" s="2">
        <v>5.6762000000000002E-4</v>
      </c>
      <c r="T1005" s="2">
        <v>2.6795999999999998E-4</v>
      </c>
      <c r="V1005" s="11"/>
      <c r="W1005" s="6"/>
      <c r="X1005" s="6">
        <v>9.86</v>
      </c>
      <c r="Y1005" s="11" t="str">
        <f t="shared" si="192"/>
        <v/>
      </c>
      <c r="Z1005" s="6" t="str">
        <f t="shared" si="193"/>
        <v/>
      </c>
      <c r="AA1005" s="23">
        <f t="shared" si="194"/>
        <v>39.86</v>
      </c>
      <c r="AB1005" t="str">
        <f t="shared" si="183"/>
        <v/>
      </c>
      <c r="AC1005" t="str">
        <f t="shared" si="184"/>
        <v/>
      </c>
      <c r="AD1005">
        <f t="shared" si="185"/>
        <v>8.9331999999999996E-4</v>
      </c>
      <c r="AE1005" s="18" t="str">
        <f t="shared" si="186"/>
        <v/>
      </c>
      <c r="AF1005" s="7" t="str">
        <f t="shared" si="187"/>
        <v/>
      </c>
      <c r="AG1005" s="12">
        <f t="shared" si="188"/>
        <v>0.9931771177281592</v>
      </c>
      <c r="AI1005" s="54" t="str">
        <f t="shared" si="189"/>
        <v/>
      </c>
      <c r="AJ1005" s="54" t="str">
        <f t="shared" si="190"/>
        <v/>
      </c>
      <c r="AK1005" s="54">
        <f t="shared" si="191"/>
        <v>0.58721858292292273</v>
      </c>
    </row>
    <row r="1006" spans="9:37" x14ac:dyDescent="0.45">
      <c r="I1006" s="2">
        <v>115.2</v>
      </c>
      <c r="J1006" s="2">
        <v>1.2913159999999999</v>
      </c>
      <c r="K1006" s="2">
        <v>1.3669560000000001</v>
      </c>
      <c r="R1006" s="2">
        <v>26.82</v>
      </c>
      <c r="S1006" s="2">
        <v>5.6764000000000001E-4</v>
      </c>
      <c r="T1006" s="2">
        <v>2.6812E-4</v>
      </c>
      <c r="V1006" s="11"/>
      <c r="W1006" s="6"/>
      <c r="X1006" s="6">
        <v>9.870000000000001</v>
      </c>
      <c r="Y1006" s="11" t="str">
        <f t="shared" si="192"/>
        <v/>
      </c>
      <c r="Z1006" s="6" t="str">
        <f t="shared" si="193"/>
        <v/>
      </c>
      <c r="AA1006" s="23">
        <f t="shared" si="194"/>
        <v>39.870000000000005</v>
      </c>
      <c r="AB1006" t="str">
        <f t="shared" si="183"/>
        <v/>
      </c>
      <c r="AC1006" t="str">
        <f t="shared" si="184"/>
        <v/>
      </c>
      <c r="AD1006">
        <f t="shared" si="185"/>
        <v>8.9393999999999997E-4</v>
      </c>
      <c r="AE1006" s="18" t="str">
        <f t="shared" si="186"/>
        <v/>
      </c>
      <c r="AF1006" s="7" t="str">
        <f t="shared" si="187"/>
        <v/>
      </c>
      <c r="AG1006" s="12">
        <f t="shared" si="188"/>
        <v>0.99316824547833116</v>
      </c>
      <c r="AI1006" s="54" t="str">
        <f t="shared" si="189"/>
        <v/>
      </c>
      <c r="AJ1006" s="54" t="str">
        <f t="shared" si="190"/>
        <v/>
      </c>
      <c r="AK1006" s="54">
        <f t="shared" si="191"/>
        <v>0.5879406747315653</v>
      </c>
    </row>
    <row r="1007" spans="9:37" x14ac:dyDescent="0.45">
      <c r="I1007" s="2">
        <v>115.3</v>
      </c>
      <c r="J1007" s="2">
        <v>1.299974</v>
      </c>
      <c r="K1007" s="2">
        <v>1.381429</v>
      </c>
      <c r="R1007" s="2">
        <v>26.83</v>
      </c>
      <c r="S1007" s="2">
        <v>5.6766E-4</v>
      </c>
      <c r="T1007" s="2">
        <v>2.6828000000000003E-4</v>
      </c>
      <c r="V1007" s="11"/>
      <c r="W1007" s="6"/>
      <c r="X1007" s="6">
        <v>9.8800000000000008</v>
      </c>
      <c r="Y1007" s="11" t="str">
        <f t="shared" si="192"/>
        <v/>
      </c>
      <c r="Z1007" s="6" t="str">
        <f t="shared" si="193"/>
        <v/>
      </c>
      <c r="AA1007" s="23">
        <f t="shared" si="194"/>
        <v>39.880000000000003</v>
      </c>
      <c r="AB1007" t="str">
        <f t="shared" si="183"/>
        <v/>
      </c>
      <c r="AC1007" t="str">
        <f t="shared" si="184"/>
        <v/>
      </c>
      <c r="AD1007">
        <f t="shared" si="185"/>
        <v>8.9455999999999997E-4</v>
      </c>
      <c r="AE1007" s="18" t="str">
        <f t="shared" si="186"/>
        <v/>
      </c>
      <c r="AF1007" s="7" t="str">
        <f t="shared" si="187"/>
        <v/>
      </c>
      <c r="AG1007" s="12">
        <f t="shared" si="188"/>
        <v>0.99315936715011754</v>
      </c>
      <c r="AI1007" s="54" t="str">
        <f t="shared" si="189"/>
        <v/>
      </c>
      <c r="AJ1007" s="54" t="str">
        <f t="shared" si="190"/>
        <v/>
      </c>
      <c r="AK1007" s="54">
        <f t="shared" si="191"/>
        <v>0.58866305927275409</v>
      </c>
    </row>
    <row r="1008" spans="9:37" x14ac:dyDescent="0.45">
      <c r="I1008" s="2">
        <v>115.4</v>
      </c>
      <c r="J1008" s="2">
        <v>1.308632</v>
      </c>
      <c r="K1008" s="2">
        <v>1.395902</v>
      </c>
      <c r="R1008" s="2">
        <v>26.84</v>
      </c>
      <c r="S1008" s="2">
        <v>5.6767999999999999E-4</v>
      </c>
      <c r="T1008" s="2">
        <v>2.6844E-4</v>
      </c>
      <c r="V1008" s="11"/>
      <c r="W1008" s="6"/>
      <c r="X1008" s="6">
        <v>9.89</v>
      </c>
      <c r="Y1008" s="11" t="str">
        <f t="shared" si="192"/>
        <v/>
      </c>
      <c r="Z1008" s="6" t="str">
        <f t="shared" si="193"/>
        <v/>
      </c>
      <c r="AA1008" s="23">
        <f t="shared" si="194"/>
        <v>39.89</v>
      </c>
      <c r="AB1008" t="str">
        <f t="shared" si="183"/>
        <v/>
      </c>
      <c r="AC1008" t="str">
        <f t="shared" si="184"/>
        <v/>
      </c>
      <c r="AD1008">
        <f t="shared" si="185"/>
        <v>8.9517999999999998E-4</v>
      </c>
      <c r="AE1008" s="18" t="str">
        <f t="shared" si="186"/>
        <v/>
      </c>
      <c r="AF1008" s="7" t="str">
        <f t="shared" si="187"/>
        <v/>
      </c>
      <c r="AG1008" s="12">
        <f t="shared" si="188"/>
        <v>0.99315048274368278</v>
      </c>
      <c r="AI1008" s="54" t="str">
        <f t="shared" si="189"/>
        <v/>
      </c>
      <c r="AJ1008" s="54" t="str">
        <f t="shared" si="190"/>
        <v/>
      </c>
      <c r="AK1008" s="54">
        <f t="shared" si="191"/>
        <v>0.5893857366751547</v>
      </c>
    </row>
    <row r="1009" spans="9:37" x14ac:dyDescent="0.45">
      <c r="I1009" s="2">
        <v>115.5</v>
      </c>
      <c r="J1009" s="2">
        <v>1.3172900000000001</v>
      </c>
      <c r="K1009" s="2">
        <v>1.4103749999999999</v>
      </c>
      <c r="R1009" s="2">
        <v>26.85</v>
      </c>
      <c r="S1009" s="2">
        <v>5.6769999999999998E-4</v>
      </c>
      <c r="T1009" s="2">
        <v>2.6860000000000002E-4</v>
      </c>
      <c r="V1009" s="11"/>
      <c r="W1009" s="6"/>
      <c r="X1009" s="6">
        <v>9.9</v>
      </c>
      <c r="Y1009" s="11" t="str">
        <f t="shared" si="192"/>
        <v/>
      </c>
      <c r="Z1009" s="6" t="str">
        <f t="shared" si="193"/>
        <v/>
      </c>
      <c r="AA1009" s="23">
        <f t="shared" si="194"/>
        <v>39.9</v>
      </c>
      <c r="AB1009" t="str">
        <f t="shared" si="183"/>
        <v/>
      </c>
      <c r="AC1009" t="str">
        <f t="shared" si="184"/>
        <v/>
      </c>
      <c r="AD1009">
        <f t="shared" si="185"/>
        <v>8.9579999999999998E-4</v>
      </c>
      <c r="AE1009" s="18" t="str">
        <f t="shared" si="186"/>
        <v/>
      </c>
      <c r="AF1009" s="7" t="str">
        <f t="shared" si="187"/>
        <v/>
      </c>
      <c r="AG1009" s="12">
        <f t="shared" si="188"/>
        <v>0.99314159225919141</v>
      </c>
      <c r="AI1009" s="54" t="str">
        <f t="shared" si="189"/>
        <v/>
      </c>
      <c r="AJ1009" s="54" t="str">
        <f t="shared" si="190"/>
        <v/>
      </c>
      <c r="AK1009" s="54">
        <f t="shared" si="191"/>
        <v>0.59010870706749086</v>
      </c>
    </row>
    <row r="1010" spans="9:37" x14ac:dyDescent="0.45">
      <c r="I1010" s="2">
        <v>115.6</v>
      </c>
      <c r="J1010" s="2">
        <v>1.3259479999999999</v>
      </c>
      <c r="K1010" s="2">
        <v>1.4248479999999999</v>
      </c>
      <c r="R1010" s="2">
        <v>26.86</v>
      </c>
      <c r="S1010" s="2">
        <v>5.6771999999999997E-4</v>
      </c>
      <c r="T1010" s="2">
        <v>2.6875999999999999E-4</v>
      </c>
      <c r="V1010" s="11"/>
      <c r="W1010" s="6"/>
      <c r="X1010" s="6">
        <v>9.91</v>
      </c>
      <c r="Y1010" s="11" t="str">
        <f t="shared" si="192"/>
        <v/>
      </c>
      <c r="Z1010" s="6" t="str">
        <f t="shared" si="193"/>
        <v/>
      </c>
      <c r="AA1010" s="23">
        <f t="shared" si="194"/>
        <v>39.909999999999997</v>
      </c>
      <c r="AB1010" t="str">
        <f t="shared" si="183"/>
        <v/>
      </c>
      <c r="AC1010" t="str">
        <f t="shared" si="184"/>
        <v/>
      </c>
      <c r="AD1010">
        <f t="shared" si="185"/>
        <v>8.9641999999999999E-4</v>
      </c>
      <c r="AE1010" s="18" t="str">
        <f t="shared" si="186"/>
        <v/>
      </c>
      <c r="AF1010" s="7" t="str">
        <f t="shared" si="187"/>
        <v/>
      </c>
      <c r="AG1010" s="12">
        <f t="shared" si="188"/>
        <v>0.99313269569680795</v>
      </c>
      <c r="AI1010" s="54" t="str">
        <f t="shared" si="189"/>
        <v/>
      </c>
      <c r="AJ1010" s="54" t="str">
        <f t="shared" si="190"/>
        <v/>
      </c>
      <c r="AK1010" s="54">
        <f t="shared" si="191"/>
        <v>0.59083197057854431</v>
      </c>
    </row>
    <row r="1011" spans="9:37" x14ac:dyDescent="0.45">
      <c r="I1011" s="2">
        <v>115.7</v>
      </c>
      <c r="J1011" s="2">
        <v>1.334606</v>
      </c>
      <c r="K1011" s="2">
        <v>1.4393210000000001</v>
      </c>
      <c r="R1011" s="2">
        <v>26.87</v>
      </c>
      <c r="S1011" s="2">
        <v>5.6773999999999995E-4</v>
      </c>
      <c r="T1011" s="2">
        <v>2.6892000000000002E-4</v>
      </c>
      <c r="V1011" s="11"/>
      <c r="W1011" s="6"/>
      <c r="X1011" s="6">
        <v>9.92</v>
      </c>
      <c r="Y1011" s="11" t="str">
        <f t="shared" si="192"/>
        <v/>
      </c>
      <c r="Z1011" s="6" t="str">
        <f t="shared" si="193"/>
        <v/>
      </c>
      <c r="AA1011" s="23">
        <f t="shared" si="194"/>
        <v>39.92</v>
      </c>
      <c r="AB1011" t="str">
        <f t="shared" si="183"/>
        <v/>
      </c>
      <c r="AC1011" t="str">
        <f t="shared" si="184"/>
        <v/>
      </c>
      <c r="AD1011">
        <f t="shared" si="185"/>
        <v>8.9703999999999999E-4</v>
      </c>
      <c r="AE1011" s="18" t="str">
        <f t="shared" si="186"/>
        <v/>
      </c>
      <c r="AF1011" s="7" t="str">
        <f t="shared" si="187"/>
        <v/>
      </c>
      <c r="AG1011" s="12">
        <f t="shared" si="188"/>
        <v>0.99312379305669718</v>
      </c>
      <c r="AI1011" s="54" t="str">
        <f t="shared" si="189"/>
        <v/>
      </c>
      <c r="AJ1011" s="54" t="str">
        <f t="shared" si="190"/>
        <v/>
      </c>
      <c r="AK1011" s="54">
        <f t="shared" si="191"/>
        <v>0.59155552733715489</v>
      </c>
    </row>
    <row r="1012" spans="9:37" x14ac:dyDescent="0.45">
      <c r="I1012" s="2">
        <v>115.8</v>
      </c>
      <c r="J1012" s="2">
        <v>1.343264</v>
      </c>
      <c r="K1012" s="2">
        <v>1.453794</v>
      </c>
      <c r="R1012" s="2">
        <v>26.88</v>
      </c>
      <c r="S1012" s="2">
        <v>5.6776000000000005E-4</v>
      </c>
      <c r="T1012" s="2">
        <v>2.6907999999999999E-4</v>
      </c>
      <c r="V1012" s="11"/>
      <c r="W1012" s="6"/>
      <c r="X1012" s="6">
        <v>9.93</v>
      </c>
      <c r="Y1012" s="11" t="str">
        <f t="shared" si="192"/>
        <v/>
      </c>
      <c r="Z1012" s="6" t="str">
        <f t="shared" si="193"/>
        <v/>
      </c>
      <c r="AA1012" s="23">
        <f t="shared" si="194"/>
        <v>39.93</v>
      </c>
      <c r="AB1012" t="str">
        <f t="shared" si="183"/>
        <v/>
      </c>
      <c r="AC1012" t="str">
        <f t="shared" si="184"/>
        <v/>
      </c>
      <c r="AD1012">
        <f t="shared" si="185"/>
        <v>8.9765999999999999E-4</v>
      </c>
      <c r="AE1012" s="18" t="str">
        <f t="shared" si="186"/>
        <v/>
      </c>
      <c r="AF1012" s="7" t="str">
        <f t="shared" si="187"/>
        <v/>
      </c>
      <c r="AG1012" s="12">
        <f t="shared" si="188"/>
        <v>0.99311488433902395</v>
      </c>
      <c r="AI1012" s="54" t="str">
        <f t="shared" si="189"/>
        <v/>
      </c>
      <c r="AJ1012" s="54" t="str">
        <f t="shared" si="190"/>
        <v/>
      </c>
      <c r="AK1012" s="54">
        <f t="shared" si="191"/>
        <v>0.5922793774722207</v>
      </c>
    </row>
    <row r="1013" spans="9:37" x14ac:dyDescent="0.45">
      <c r="I1013" s="2">
        <v>115.9</v>
      </c>
      <c r="J1013" s="2">
        <v>1.3519220000000001</v>
      </c>
      <c r="K1013" s="2">
        <v>1.468267</v>
      </c>
      <c r="R1013" s="2">
        <v>26.89</v>
      </c>
      <c r="S1013" s="2">
        <v>5.6778000000000004E-4</v>
      </c>
      <c r="T1013" s="2">
        <v>2.6924000000000002E-4</v>
      </c>
      <c r="V1013" s="11"/>
      <c r="W1013" s="6"/>
      <c r="X1013" s="6">
        <v>9.94</v>
      </c>
      <c r="Y1013" s="11" t="str">
        <f t="shared" si="192"/>
        <v/>
      </c>
      <c r="Z1013" s="6" t="str">
        <f t="shared" si="193"/>
        <v/>
      </c>
      <c r="AA1013" s="23">
        <f t="shared" si="194"/>
        <v>39.94</v>
      </c>
      <c r="AB1013" t="str">
        <f t="shared" si="183"/>
        <v/>
      </c>
      <c r="AC1013" t="str">
        <f t="shared" si="184"/>
        <v/>
      </c>
      <c r="AD1013">
        <f t="shared" si="185"/>
        <v>8.9828E-4</v>
      </c>
      <c r="AE1013" s="18" t="str">
        <f t="shared" si="186"/>
        <v/>
      </c>
      <c r="AF1013" s="7" t="str">
        <f t="shared" si="187"/>
        <v/>
      </c>
      <c r="AG1013" s="12">
        <f t="shared" si="188"/>
        <v>0.99310596954395325</v>
      </c>
      <c r="AI1013" s="54" t="str">
        <f t="shared" si="189"/>
        <v/>
      </c>
      <c r="AJ1013" s="54" t="str">
        <f t="shared" si="190"/>
        <v/>
      </c>
      <c r="AK1013" s="54">
        <f t="shared" si="191"/>
        <v>0.59300352111269794</v>
      </c>
    </row>
    <row r="1014" spans="9:37" x14ac:dyDescent="0.45">
      <c r="I1014" s="2">
        <v>116</v>
      </c>
      <c r="J1014" s="2">
        <v>1.3605799999999999</v>
      </c>
      <c r="K1014" s="2">
        <v>1.4827399999999999</v>
      </c>
      <c r="R1014" s="2">
        <v>26.9</v>
      </c>
      <c r="S1014" s="2">
        <v>5.6780000000000003E-4</v>
      </c>
      <c r="T1014" s="2">
        <v>2.6939999999999999E-4</v>
      </c>
      <c r="V1014" s="11"/>
      <c r="W1014" s="6"/>
      <c r="X1014" s="6">
        <v>9.9500000000000011</v>
      </c>
      <c r="Y1014" s="11" t="str">
        <f t="shared" si="192"/>
        <v/>
      </c>
      <c r="Z1014" s="6" t="str">
        <f t="shared" si="193"/>
        <v/>
      </c>
      <c r="AA1014" s="23">
        <f t="shared" si="194"/>
        <v>39.950000000000003</v>
      </c>
      <c r="AB1014" t="str">
        <f t="shared" si="183"/>
        <v/>
      </c>
      <c r="AC1014" t="str">
        <f t="shared" si="184"/>
        <v/>
      </c>
      <c r="AD1014">
        <f t="shared" si="185"/>
        <v>8.989E-4</v>
      </c>
      <c r="AE1014" s="18" t="str">
        <f t="shared" si="186"/>
        <v/>
      </c>
      <c r="AF1014" s="7" t="str">
        <f t="shared" si="187"/>
        <v/>
      </c>
      <c r="AG1014" s="12">
        <f t="shared" si="188"/>
        <v>0.99309704867165005</v>
      </c>
      <c r="AI1014" s="54" t="str">
        <f t="shared" si="189"/>
        <v/>
      </c>
      <c r="AJ1014" s="54" t="str">
        <f t="shared" si="190"/>
        <v/>
      </c>
      <c r="AK1014" s="54">
        <f t="shared" si="191"/>
        <v>0.59372795838760095</v>
      </c>
    </row>
    <row r="1015" spans="9:37" x14ac:dyDescent="0.45">
      <c r="I1015" s="2">
        <v>116.1</v>
      </c>
      <c r="J1015" s="2">
        <v>1.3696820000000001</v>
      </c>
      <c r="K1015" s="2">
        <v>1.4987779999999999</v>
      </c>
      <c r="R1015" s="2">
        <v>26.91</v>
      </c>
      <c r="S1015" s="2">
        <v>5.6782000000000002E-4</v>
      </c>
      <c r="T1015" s="2">
        <v>2.6956000000000001E-4</v>
      </c>
      <c r="V1015" s="11"/>
      <c r="W1015" s="6"/>
      <c r="X1015" s="6">
        <v>9.9600000000000009</v>
      </c>
      <c r="Y1015" s="11" t="str">
        <f t="shared" si="192"/>
        <v/>
      </c>
      <c r="Z1015" s="6" t="str">
        <f t="shared" si="193"/>
        <v/>
      </c>
      <c r="AA1015" s="23">
        <f t="shared" si="194"/>
        <v>39.96</v>
      </c>
      <c r="AB1015" t="str">
        <f t="shared" si="183"/>
        <v/>
      </c>
      <c r="AC1015" t="str">
        <f t="shared" si="184"/>
        <v/>
      </c>
      <c r="AD1015">
        <f t="shared" si="185"/>
        <v>8.9952000000000001E-4</v>
      </c>
      <c r="AE1015" s="18" t="str">
        <f t="shared" si="186"/>
        <v/>
      </c>
      <c r="AF1015" s="7" t="str">
        <f t="shared" si="187"/>
        <v/>
      </c>
      <c r="AG1015" s="12">
        <f t="shared" si="188"/>
        <v>0.99308812172227956</v>
      </c>
      <c r="AI1015" s="54" t="str">
        <f t="shared" si="189"/>
        <v/>
      </c>
      <c r="AJ1015" s="54" t="str">
        <f t="shared" si="190"/>
        <v/>
      </c>
      <c r="AK1015" s="54">
        <f t="shared" si="191"/>
        <v>0.59445268942600238</v>
      </c>
    </row>
    <row r="1016" spans="9:37" x14ac:dyDescent="0.45">
      <c r="I1016" s="2">
        <v>116.2</v>
      </c>
      <c r="J1016" s="2">
        <v>1.378784</v>
      </c>
      <c r="K1016" s="2">
        <v>1.5148159999999999</v>
      </c>
      <c r="R1016" s="2">
        <v>26.92</v>
      </c>
      <c r="S1016" s="2">
        <v>5.6784000000000001E-4</v>
      </c>
      <c r="T1016" s="2">
        <v>2.6971999999999999E-4</v>
      </c>
      <c r="V1016" s="11"/>
      <c r="W1016" s="6"/>
      <c r="X1016" s="6">
        <v>9.9700000000000006</v>
      </c>
      <c r="Y1016" s="11" t="str">
        <f t="shared" si="192"/>
        <v/>
      </c>
      <c r="Z1016" s="6" t="str">
        <f t="shared" si="193"/>
        <v/>
      </c>
      <c r="AA1016" s="23">
        <f t="shared" si="194"/>
        <v>39.97</v>
      </c>
      <c r="AB1016" t="str">
        <f t="shared" si="183"/>
        <v/>
      </c>
      <c r="AC1016" t="str">
        <f t="shared" si="184"/>
        <v/>
      </c>
      <c r="AD1016">
        <f t="shared" si="185"/>
        <v>9.0014000000000001E-4</v>
      </c>
      <c r="AE1016" s="18" t="str">
        <f t="shared" si="186"/>
        <v/>
      </c>
      <c r="AF1016" s="7" t="str">
        <f t="shared" si="187"/>
        <v/>
      </c>
      <c r="AG1016" s="12">
        <f t="shared" si="188"/>
        <v>0.99307918869600709</v>
      </c>
      <c r="AI1016" s="54" t="str">
        <f t="shared" si="189"/>
        <v/>
      </c>
      <c r="AJ1016" s="54" t="str">
        <f t="shared" si="190"/>
        <v/>
      </c>
      <c r="AK1016" s="54">
        <f t="shared" si="191"/>
        <v>0.59517771435703315</v>
      </c>
    </row>
    <row r="1017" spans="9:37" x14ac:dyDescent="0.45">
      <c r="I1017" s="2">
        <v>116.3</v>
      </c>
      <c r="J1017" s="2">
        <v>1.387886</v>
      </c>
      <c r="K1017" s="2">
        <v>1.5308539999999999</v>
      </c>
      <c r="R1017" s="2">
        <v>26.93</v>
      </c>
      <c r="S1017" s="2">
        <v>5.6786E-4</v>
      </c>
      <c r="T1017" s="2">
        <v>2.6988000000000001E-4</v>
      </c>
      <c r="V1017" s="11"/>
      <c r="W1017" s="6"/>
      <c r="X1017" s="6">
        <v>9.98</v>
      </c>
      <c r="Y1017" s="11" t="str">
        <f t="shared" si="192"/>
        <v/>
      </c>
      <c r="Z1017" s="6" t="str">
        <f t="shared" si="193"/>
        <v/>
      </c>
      <c r="AA1017" s="23">
        <f t="shared" si="194"/>
        <v>39.980000000000004</v>
      </c>
      <c r="AB1017" t="str">
        <f t="shared" si="183"/>
        <v/>
      </c>
      <c r="AC1017" t="str">
        <f t="shared" si="184"/>
        <v/>
      </c>
      <c r="AD1017">
        <f t="shared" si="185"/>
        <v>9.0076000000000002E-4</v>
      </c>
      <c r="AE1017" s="18" t="str">
        <f t="shared" si="186"/>
        <v/>
      </c>
      <c r="AF1017" s="7" t="str">
        <f t="shared" si="187"/>
        <v/>
      </c>
      <c r="AG1017" s="12">
        <f t="shared" si="188"/>
        <v>0.99307024959299794</v>
      </c>
      <c r="AI1017" s="54" t="str">
        <f t="shared" si="189"/>
        <v/>
      </c>
      <c r="AJ1017" s="54" t="str">
        <f t="shared" si="190"/>
        <v/>
      </c>
      <c r="AK1017" s="54">
        <f t="shared" si="191"/>
        <v>0.59590303330988248</v>
      </c>
    </row>
    <row r="1018" spans="9:37" x14ac:dyDescent="0.45">
      <c r="I1018" s="2">
        <v>116.4</v>
      </c>
      <c r="J1018" s="2">
        <v>1.3969879999999999</v>
      </c>
      <c r="K1018" s="2">
        <v>1.5468919999999999</v>
      </c>
      <c r="R1018" s="2">
        <v>26.94</v>
      </c>
      <c r="S1018" s="2">
        <v>5.6787999999999999E-4</v>
      </c>
      <c r="T1018" s="2">
        <v>2.7003999999999998E-4</v>
      </c>
      <c r="V1018" s="11"/>
      <c r="W1018" s="6"/>
      <c r="X1018" s="6">
        <v>9.99</v>
      </c>
      <c r="Y1018" s="11" t="str">
        <f t="shared" si="192"/>
        <v/>
      </c>
      <c r="Z1018" s="6" t="str">
        <f t="shared" si="193"/>
        <v/>
      </c>
      <c r="AA1018" s="23">
        <f t="shared" si="194"/>
        <v>39.99</v>
      </c>
      <c r="AB1018" t="str">
        <f t="shared" si="183"/>
        <v/>
      </c>
      <c r="AC1018" t="str">
        <f t="shared" si="184"/>
        <v/>
      </c>
      <c r="AD1018">
        <f t="shared" si="185"/>
        <v>9.0138000000000002E-4</v>
      </c>
      <c r="AE1018" s="18" t="str">
        <f t="shared" si="186"/>
        <v/>
      </c>
      <c r="AF1018" s="7" t="str">
        <f t="shared" si="187"/>
        <v/>
      </c>
      <c r="AG1018" s="12">
        <f t="shared" si="188"/>
        <v>0.99306130441341767</v>
      </c>
      <c r="AI1018" s="54" t="str">
        <f t="shared" si="189"/>
        <v/>
      </c>
      <c r="AJ1018" s="54" t="str">
        <f t="shared" si="190"/>
        <v/>
      </c>
      <c r="AK1018" s="54">
        <f t="shared" si="191"/>
        <v>0.59662864641379776</v>
      </c>
    </row>
    <row r="1019" spans="9:37" x14ac:dyDescent="0.45">
      <c r="I1019" s="2">
        <v>116.5</v>
      </c>
      <c r="J1019" s="2">
        <v>1.4060900000000001</v>
      </c>
      <c r="K1019" s="2">
        <v>1.5629299999999999</v>
      </c>
      <c r="R1019" s="2">
        <v>26.95</v>
      </c>
      <c r="S1019" s="2">
        <v>5.6789999999999998E-4</v>
      </c>
      <c r="T1019" s="2">
        <v>2.7020000000000001E-4</v>
      </c>
      <c r="V1019" s="11"/>
      <c r="W1019" s="6"/>
      <c r="X1019" s="6">
        <v>10</v>
      </c>
      <c r="Y1019" s="11" t="str">
        <f t="shared" si="192"/>
        <v/>
      </c>
      <c r="Z1019" s="6" t="str">
        <f t="shared" si="193"/>
        <v/>
      </c>
      <c r="AA1019" s="23">
        <f t="shared" si="194"/>
        <v>40</v>
      </c>
      <c r="AB1019" t="str">
        <f t="shared" si="183"/>
        <v/>
      </c>
      <c r="AC1019" t="str">
        <f t="shared" si="184"/>
        <v/>
      </c>
      <c r="AD1019">
        <f t="shared" si="185"/>
        <v>9.0200000000000002E-4</v>
      </c>
      <c r="AE1019" s="18" t="str">
        <f t="shared" si="186"/>
        <v/>
      </c>
      <c r="AF1019" s="7" t="str">
        <f t="shared" si="187"/>
        <v/>
      </c>
      <c r="AG1019" s="12">
        <f t="shared" si="188"/>
        <v>0.9930523531574319</v>
      </c>
      <c r="AI1019" s="54" t="str">
        <f t="shared" si="189"/>
        <v/>
      </c>
      <c r="AJ1019" s="54" t="str">
        <f t="shared" si="190"/>
        <v/>
      </c>
      <c r="AK1019" s="54">
        <f t="shared" si="191"/>
        <v>0.59735455379808478</v>
      </c>
    </row>
    <row r="1020" spans="9:37" x14ac:dyDescent="0.45">
      <c r="I1020" s="2">
        <v>116.6</v>
      </c>
      <c r="J1020" s="2">
        <v>1.415192</v>
      </c>
      <c r="K1020" s="2">
        <v>1.5789679999999999</v>
      </c>
      <c r="R1020" s="2">
        <v>26.96</v>
      </c>
      <c r="S1020" s="2">
        <v>5.6791999999999997E-4</v>
      </c>
      <c r="T1020" s="2">
        <v>2.7035999999999998E-4</v>
      </c>
      <c r="V1020" s="11"/>
      <c r="W1020" s="6"/>
      <c r="X1020" s="6">
        <v>10.01</v>
      </c>
      <c r="Y1020" s="11" t="str">
        <f t="shared" si="192"/>
        <v/>
      </c>
      <c r="Z1020" s="6" t="str">
        <f t="shared" si="193"/>
        <v/>
      </c>
      <c r="AA1020" s="23">
        <f t="shared" si="194"/>
        <v>40.01</v>
      </c>
      <c r="AB1020" t="str">
        <f t="shared" si="183"/>
        <v/>
      </c>
      <c r="AC1020" t="str">
        <f t="shared" si="184"/>
        <v/>
      </c>
      <c r="AD1020">
        <f t="shared" si="185"/>
        <v>9.0271999999999998E-4</v>
      </c>
      <c r="AE1020" s="18" t="str">
        <f t="shared" si="186"/>
        <v/>
      </c>
      <c r="AF1020" s="7" t="str">
        <f t="shared" si="187"/>
        <v/>
      </c>
      <c r="AG1020" s="12">
        <f t="shared" si="188"/>
        <v>0.9930433958252064</v>
      </c>
      <c r="AI1020" s="54" t="str">
        <f t="shared" si="189"/>
        <v/>
      </c>
      <c r="AJ1020" s="54" t="str">
        <f t="shared" si="190"/>
        <v/>
      </c>
      <c r="AK1020" s="54">
        <f t="shared" si="191"/>
        <v>0.59808075559210772</v>
      </c>
    </row>
    <row r="1021" spans="9:37" x14ac:dyDescent="0.45">
      <c r="I1021" s="2">
        <v>116.7</v>
      </c>
      <c r="J1021" s="2">
        <v>1.4242939999999999</v>
      </c>
      <c r="K1021" s="2">
        <v>1.5950059999999999</v>
      </c>
      <c r="R1021" s="2">
        <v>26.97</v>
      </c>
      <c r="S1021" s="2">
        <v>5.6793999999999996E-4</v>
      </c>
      <c r="T1021" s="2">
        <v>2.7052000000000001E-4</v>
      </c>
      <c r="V1021" s="11"/>
      <c r="W1021" s="6"/>
      <c r="X1021" s="6">
        <v>10.02</v>
      </c>
      <c r="Y1021" s="11" t="str">
        <f t="shared" si="192"/>
        <v/>
      </c>
      <c r="Z1021" s="6" t="str">
        <f t="shared" si="193"/>
        <v/>
      </c>
      <c r="AA1021" s="23">
        <f t="shared" si="194"/>
        <v>40.019999999999996</v>
      </c>
      <c r="AB1021" t="str">
        <f t="shared" si="183"/>
        <v/>
      </c>
      <c r="AC1021" t="str">
        <f t="shared" si="184"/>
        <v/>
      </c>
      <c r="AD1021">
        <f t="shared" si="185"/>
        <v>9.0271999999999998E-4</v>
      </c>
      <c r="AE1021" s="18" t="str">
        <f t="shared" si="186"/>
        <v/>
      </c>
      <c r="AF1021" s="7" t="str">
        <f t="shared" si="187"/>
        <v/>
      </c>
      <c r="AG1021" s="12">
        <f t="shared" si="188"/>
        <v>0.99303443142386361</v>
      </c>
      <c r="AI1021" s="54" t="str">
        <f t="shared" si="189"/>
        <v/>
      </c>
      <c r="AJ1021" s="54" t="str">
        <f t="shared" si="190"/>
        <v/>
      </c>
      <c r="AK1021" s="54">
        <f t="shared" si="191"/>
        <v>0.59880725152336989</v>
      </c>
    </row>
    <row r="1022" spans="9:37" x14ac:dyDescent="0.45">
      <c r="I1022" s="2">
        <v>116.8</v>
      </c>
      <c r="J1022" s="2">
        <v>1.4333959999999999</v>
      </c>
      <c r="K1022" s="2">
        <v>1.6110439999999999</v>
      </c>
      <c r="R1022" s="2">
        <v>26.98</v>
      </c>
      <c r="S1022" s="2">
        <v>5.6795999999999995E-4</v>
      </c>
      <c r="T1022" s="2">
        <v>2.7067999999999998E-4</v>
      </c>
      <c r="V1022" s="11"/>
      <c r="W1022" s="6"/>
      <c r="X1022" s="6">
        <v>10.029999999999999</v>
      </c>
      <c r="Y1022" s="11" t="str">
        <f t="shared" si="192"/>
        <v/>
      </c>
      <c r="Z1022" s="6" t="str">
        <f t="shared" si="193"/>
        <v/>
      </c>
      <c r="AA1022" s="23">
        <f t="shared" si="194"/>
        <v>40.03</v>
      </c>
      <c r="AB1022" t="str">
        <f t="shared" si="183"/>
        <v/>
      </c>
      <c r="AC1022" t="str">
        <f t="shared" si="184"/>
        <v/>
      </c>
      <c r="AD1022">
        <f t="shared" si="185"/>
        <v>9.0415999999999999E-4</v>
      </c>
      <c r="AE1022" s="18" t="str">
        <f t="shared" si="186"/>
        <v/>
      </c>
      <c r="AF1022" s="7" t="str">
        <f t="shared" si="187"/>
        <v/>
      </c>
      <c r="AG1022" s="12">
        <f t="shared" si="188"/>
        <v>0.9930254671034443</v>
      </c>
      <c r="AI1022" s="54" t="str">
        <f t="shared" si="189"/>
        <v/>
      </c>
      <c r="AJ1022" s="54" t="str">
        <f t="shared" si="190"/>
        <v/>
      </c>
      <c r="AK1022" s="54">
        <f t="shared" si="191"/>
        <v>0.59953404461122872</v>
      </c>
    </row>
    <row r="1023" spans="9:37" x14ac:dyDescent="0.45">
      <c r="I1023" s="2">
        <v>116.9</v>
      </c>
      <c r="J1023" s="2">
        <v>1.4424980000000001</v>
      </c>
      <c r="K1023" s="2">
        <v>1.6270819999999999</v>
      </c>
      <c r="R1023" s="2">
        <v>26.99</v>
      </c>
      <c r="S1023" s="2">
        <v>5.6798000000000005E-4</v>
      </c>
      <c r="T1023" s="2">
        <v>2.7084E-4</v>
      </c>
      <c r="V1023" s="11"/>
      <c r="W1023" s="6"/>
      <c r="X1023" s="6">
        <v>10.040000000000001</v>
      </c>
      <c r="Y1023" s="11" t="str">
        <f t="shared" si="192"/>
        <v/>
      </c>
      <c r="Z1023" s="6" t="str">
        <f t="shared" si="193"/>
        <v/>
      </c>
      <c r="AA1023" s="23">
        <f t="shared" si="194"/>
        <v>40.04</v>
      </c>
      <c r="AB1023" t="str">
        <f t="shared" si="183"/>
        <v/>
      </c>
      <c r="AC1023" t="str">
        <f t="shared" si="184"/>
        <v/>
      </c>
      <c r="AD1023">
        <f t="shared" si="185"/>
        <v>9.0488000000000005E-4</v>
      </c>
      <c r="AE1023" s="18" t="str">
        <f t="shared" si="186"/>
        <v/>
      </c>
      <c r="AF1023" s="7" t="str">
        <f t="shared" si="187"/>
        <v/>
      </c>
      <c r="AG1023" s="12">
        <f t="shared" si="188"/>
        <v>0.99301648856438096</v>
      </c>
      <c r="AI1023" s="54" t="str">
        <f t="shared" si="189"/>
        <v/>
      </c>
      <c r="AJ1023" s="54" t="str">
        <f t="shared" si="190"/>
        <v/>
      </c>
      <c r="AK1023" s="54">
        <f t="shared" si="191"/>
        <v>0.60026112921051944</v>
      </c>
    </row>
    <row r="1024" spans="9:37" x14ac:dyDescent="0.45">
      <c r="I1024" s="2">
        <v>117</v>
      </c>
      <c r="J1024" s="2">
        <v>1.4516</v>
      </c>
      <c r="K1024" s="2">
        <v>1.6431199999999999</v>
      </c>
      <c r="R1024" s="2">
        <v>27</v>
      </c>
      <c r="S1024" s="2">
        <v>5.6800000000000004E-4</v>
      </c>
      <c r="T1024" s="2">
        <v>2.7099999999999997E-4</v>
      </c>
      <c r="V1024" s="11"/>
      <c r="W1024" s="6"/>
      <c r="X1024" s="6">
        <v>10.050000000000001</v>
      </c>
      <c r="Y1024" s="11" t="str">
        <f t="shared" si="192"/>
        <v/>
      </c>
      <c r="Z1024" s="6" t="str">
        <f t="shared" si="193"/>
        <v/>
      </c>
      <c r="AA1024" s="23">
        <f t="shared" si="194"/>
        <v>40.049999999999997</v>
      </c>
      <c r="AB1024" t="str">
        <f t="shared" si="183"/>
        <v/>
      </c>
      <c r="AC1024" t="str">
        <f t="shared" si="184"/>
        <v/>
      </c>
      <c r="AD1024">
        <f t="shared" si="185"/>
        <v>9.056E-4</v>
      </c>
      <c r="AE1024" s="18" t="str">
        <f t="shared" si="186"/>
        <v/>
      </c>
      <c r="AF1024" s="7" t="str">
        <f t="shared" si="187"/>
        <v/>
      </c>
      <c r="AG1024" s="12">
        <f t="shared" si="188"/>
        <v>0.9930075029567792</v>
      </c>
      <c r="AI1024" s="54" t="str">
        <f t="shared" si="189"/>
        <v/>
      </c>
      <c r="AJ1024" s="54" t="str">
        <f t="shared" si="190"/>
        <v/>
      </c>
      <c r="AK1024" s="54">
        <f t="shared" si="191"/>
        <v>0.6009885083395381</v>
      </c>
    </row>
    <row r="1025" spans="9:37" x14ac:dyDescent="0.45">
      <c r="I1025" s="2">
        <v>117.1</v>
      </c>
      <c r="J1025" s="2">
        <v>1.461158</v>
      </c>
      <c r="K1025" s="2">
        <v>1.6608940000000001</v>
      </c>
      <c r="R1025" s="2">
        <v>27.01</v>
      </c>
      <c r="S1025" s="2">
        <v>5.6804000000000002E-4</v>
      </c>
      <c r="T1025" s="2">
        <v>2.7116999999999999E-4</v>
      </c>
      <c r="V1025" s="11"/>
      <c r="W1025" s="6"/>
      <c r="X1025" s="6">
        <v>10.06</v>
      </c>
      <c r="Y1025" s="11" t="str">
        <f t="shared" si="192"/>
        <v/>
      </c>
      <c r="Z1025" s="6" t="str">
        <f t="shared" si="193"/>
        <v/>
      </c>
      <c r="AA1025" s="23">
        <f t="shared" si="194"/>
        <v>40.06</v>
      </c>
      <c r="AB1025" t="str">
        <f t="shared" si="183"/>
        <v/>
      </c>
      <c r="AC1025" t="str">
        <f t="shared" si="184"/>
        <v/>
      </c>
      <c r="AD1025">
        <f t="shared" si="185"/>
        <v>9.0631999999999996E-4</v>
      </c>
      <c r="AE1025" s="18" t="str">
        <f t="shared" si="186"/>
        <v/>
      </c>
      <c r="AF1025" s="7" t="str">
        <f t="shared" si="187"/>
        <v/>
      </c>
      <c r="AG1025" s="12">
        <f t="shared" si="188"/>
        <v>0.99299851028083241</v>
      </c>
      <c r="AI1025" s="54" t="str">
        <f t="shared" si="189"/>
        <v/>
      </c>
      <c r="AJ1025" s="54" t="str">
        <f t="shared" si="190"/>
        <v/>
      </c>
      <c r="AK1025" s="54">
        <f t="shared" si="191"/>
        <v>0.60171618212923395</v>
      </c>
    </row>
    <row r="1026" spans="9:37" x14ac:dyDescent="0.45">
      <c r="I1026" s="2">
        <v>117.2</v>
      </c>
      <c r="J1026" s="2">
        <v>1.4707159999999999</v>
      </c>
      <c r="K1026" s="2">
        <v>1.678668</v>
      </c>
      <c r="R1026" s="2">
        <v>27.02</v>
      </c>
      <c r="S1026" s="2">
        <v>5.6808E-4</v>
      </c>
      <c r="T1026" s="2">
        <v>2.7134000000000001E-4</v>
      </c>
      <c r="V1026" s="11"/>
      <c r="W1026" s="6"/>
      <c r="X1026" s="6">
        <v>10.07</v>
      </c>
      <c r="Y1026" s="11" t="str">
        <f t="shared" si="192"/>
        <v/>
      </c>
      <c r="Z1026" s="6" t="str">
        <f t="shared" si="193"/>
        <v/>
      </c>
      <c r="AA1026" s="23">
        <f t="shared" si="194"/>
        <v>40.07</v>
      </c>
      <c r="AB1026" t="str">
        <f t="shared" si="183"/>
        <v/>
      </c>
      <c r="AC1026" t="str">
        <f t="shared" si="184"/>
        <v/>
      </c>
      <c r="AD1026">
        <f t="shared" si="185"/>
        <v>9.0704000000000002E-4</v>
      </c>
      <c r="AE1026" s="18" t="str">
        <f t="shared" si="186"/>
        <v/>
      </c>
      <c r="AF1026" s="7" t="str">
        <f t="shared" si="187"/>
        <v/>
      </c>
      <c r="AG1026" s="12">
        <f t="shared" si="188"/>
        <v>0.99298951053673401</v>
      </c>
      <c r="AI1026" s="54" t="str">
        <f t="shared" si="189"/>
        <v/>
      </c>
      <c r="AJ1026" s="54" t="str">
        <f t="shared" si="190"/>
        <v/>
      </c>
      <c r="AK1026" s="54">
        <f t="shared" si="191"/>
        <v>0.60244415071061597</v>
      </c>
    </row>
    <row r="1027" spans="9:37" x14ac:dyDescent="0.45">
      <c r="I1027" s="2">
        <v>117.3</v>
      </c>
      <c r="J1027" s="2">
        <v>1.4802740000000001</v>
      </c>
      <c r="K1027" s="2">
        <v>1.696442</v>
      </c>
      <c r="R1027" s="2">
        <v>27.03</v>
      </c>
      <c r="S1027" s="2">
        <v>5.6811999999999997E-4</v>
      </c>
      <c r="T1027" s="2">
        <v>2.7150999999999998E-4</v>
      </c>
      <c r="V1027" s="11"/>
      <c r="W1027" s="6"/>
      <c r="X1027" s="6">
        <v>10.08</v>
      </c>
      <c r="Y1027" s="11" t="str">
        <f t="shared" si="192"/>
        <v/>
      </c>
      <c r="Z1027" s="6" t="str">
        <f t="shared" si="193"/>
        <v/>
      </c>
      <c r="AA1027" s="23">
        <f t="shared" si="194"/>
        <v>40.08</v>
      </c>
      <c r="AB1027" t="str">
        <f t="shared" si="183"/>
        <v/>
      </c>
      <c r="AC1027" t="str">
        <f t="shared" si="184"/>
        <v/>
      </c>
      <c r="AD1027">
        <f t="shared" si="185"/>
        <v>9.0775999999999997E-4</v>
      </c>
      <c r="AE1027" s="18" t="str">
        <f t="shared" si="186"/>
        <v/>
      </c>
      <c r="AF1027" s="7" t="str">
        <f t="shared" si="187"/>
        <v/>
      </c>
      <c r="AG1027" s="12">
        <f t="shared" si="188"/>
        <v>0.99298050372467761</v>
      </c>
      <c r="AI1027" s="54" t="str">
        <f t="shared" si="189"/>
        <v/>
      </c>
      <c r="AJ1027" s="54" t="str">
        <f t="shared" si="190"/>
        <v/>
      </c>
      <c r="AK1027" s="54">
        <f t="shared" si="191"/>
        <v>0.60317241421475332</v>
      </c>
    </row>
    <row r="1028" spans="9:37" x14ac:dyDescent="0.45">
      <c r="I1028" s="2">
        <v>117.4</v>
      </c>
      <c r="J1028" s="2">
        <v>1.489832</v>
      </c>
      <c r="K1028" s="2">
        <v>1.714216</v>
      </c>
      <c r="R1028" s="2">
        <v>27.04</v>
      </c>
      <c r="S1028" s="2">
        <v>5.6815999999999995E-4</v>
      </c>
      <c r="T1028" s="2">
        <v>2.7168E-4</v>
      </c>
      <c r="V1028" s="11"/>
      <c r="W1028" s="6"/>
      <c r="X1028" s="6">
        <v>10.09</v>
      </c>
      <c r="Y1028" s="11" t="str">
        <f t="shared" si="192"/>
        <v/>
      </c>
      <c r="Z1028" s="6" t="str">
        <f t="shared" si="193"/>
        <v/>
      </c>
      <c r="AA1028" s="23">
        <f t="shared" si="194"/>
        <v>40.090000000000003</v>
      </c>
      <c r="AB1028" t="str">
        <f t="shared" si="183"/>
        <v/>
      </c>
      <c r="AC1028" t="str">
        <f t="shared" si="184"/>
        <v/>
      </c>
      <c r="AD1028">
        <f t="shared" si="185"/>
        <v>9.0848000000000003E-4</v>
      </c>
      <c r="AE1028" s="18" t="str">
        <f t="shared" si="186"/>
        <v/>
      </c>
      <c r="AF1028" s="7" t="str">
        <f t="shared" si="187"/>
        <v/>
      </c>
      <c r="AG1028" s="12">
        <f t="shared" si="188"/>
        <v>0.99297148984485695</v>
      </c>
      <c r="AI1028" s="54" t="str">
        <f t="shared" si="189"/>
        <v/>
      </c>
      <c r="AJ1028" s="54" t="str">
        <f t="shared" si="190"/>
        <v/>
      </c>
      <c r="AK1028" s="54">
        <f t="shared" si="191"/>
        <v>0.60390097277277499</v>
      </c>
    </row>
    <row r="1029" spans="9:37" x14ac:dyDescent="0.45">
      <c r="I1029" s="2">
        <v>117.5</v>
      </c>
      <c r="J1029" s="2">
        <v>1.49939</v>
      </c>
      <c r="K1029" s="2">
        <v>1.7319899999999999</v>
      </c>
      <c r="R1029" s="2">
        <v>27.05</v>
      </c>
      <c r="S1029" s="2">
        <v>5.6820000000000004E-4</v>
      </c>
      <c r="T1029" s="2">
        <v>2.7185000000000002E-4</v>
      </c>
      <c r="V1029" s="11"/>
      <c r="W1029" s="6"/>
      <c r="X1029" s="6">
        <v>10.1</v>
      </c>
      <c r="Y1029" s="11" t="str">
        <f t="shared" si="192"/>
        <v/>
      </c>
      <c r="Z1029" s="6" t="str">
        <f t="shared" si="193"/>
        <v/>
      </c>
      <c r="AA1029" s="23">
        <f t="shared" si="194"/>
        <v>40.1</v>
      </c>
      <c r="AB1029" t="str">
        <f t="shared" si="183"/>
        <v/>
      </c>
      <c r="AC1029" t="str">
        <f t="shared" si="184"/>
        <v/>
      </c>
      <c r="AD1029">
        <f t="shared" si="185"/>
        <v>9.0919999999999998E-4</v>
      </c>
      <c r="AE1029" s="18" t="str">
        <f t="shared" si="186"/>
        <v/>
      </c>
      <c r="AF1029" s="7" t="str">
        <f t="shared" si="187"/>
        <v/>
      </c>
      <c r="AG1029" s="12">
        <f t="shared" si="188"/>
        <v>0.99296246889746598</v>
      </c>
      <c r="AI1029" s="54" t="str">
        <f t="shared" si="189"/>
        <v/>
      </c>
      <c r="AJ1029" s="54" t="str">
        <f t="shared" si="190"/>
        <v/>
      </c>
      <c r="AK1029" s="54">
        <f t="shared" si="191"/>
        <v>0.60462982651587005</v>
      </c>
    </row>
    <row r="1030" spans="9:37" x14ac:dyDescent="0.45">
      <c r="I1030" s="2">
        <v>117.6</v>
      </c>
      <c r="J1030" s="2">
        <v>1.508948</v>
      </c>
      <c r="K1030" s="2">
        <v>1.7497640000000001</v>
      </c>
      <c r="R1030" s="2">
        <v>27.06</v>
      </c>
      <c r="S1030" s="2">
        <v>5.6824000000000002E-4</v>
      </c>
      <c r="T1030" s="2">
        <v>2.7201999999999999E-4</v>
      </c>
      <c r="V1030" s="11"/>
      <c r="W1030" s="6"/>
      <c r="X1030" s="6">
        <v>10.11</v>
      </c>
      <c r="Y1030" s="11" t="str">
        <f t="shared" si="192"/>
        <v/>
      </c>
      <c r="Z1030" s="6" t="str">
        <f t="shared" si="193"/>
        <v/>
      </c>
      <c r="AA1030" s="23">
        <f t="shared" si="194"/>
        <v>40.11</v>
      </c>
      <c r="AB1030" t="str">
        <f t="shared" si="183"/>
        <v/>
      </c>
      <c r="AC1030" t="str">
        <f t="shared" si="184"/>
        <v/>
      </c>
      <c r="AD1030">
        <f t="shared" si="185"/>
        <v>9.0992000000000004E-4</v>
      </c>
      <c r="AE1030" s="18" t="str">
        <f t="shared" si="186"/>
        <v/>
      </c>
      <c r="AF1030" s="7" t="str">
        <f t="shared" si="187"/>
        <v/>
      </c>
      <c r="AG1030" s="12">
        <f t="shared" si="188"/>
        <v>0.99295344088269877</v>
      </c>
      <c r="AI1030" s="54" t="str">
        <f t="shared" si="189"/>
        <v/>
      </c>
      <c r="AJ1030" s="54" t="str">
        <f t="shared" si="190"/>
        <v/>
      </c>
      <c r="AK1030" s="54">
        <f t="shared" si="191"/>
        <v>0.60535897557528762</v>
      </c>
    </row>
    <row r="1031" spans="9:37" x14ac:dyDescent="0.45">
      <c r="I1031" s="2">
        <v>117.7</v>
      </c>
      <c r="J1031" s="2">
        <v>1.5185059999999999</v>
      </c>
      <c r="K1031" s="2">
        <v>1.7675380000000001</v>
      </c>
      <c r="R1031" s="2">
        <v>27.07</v>
      </c>
      <c r="S1031" s="2">
        <v>5.6828E-4</v>
      </c>
      <c r="T1031" s="2">
        <v>2.7219000000000001E-4</v>
      </c>
      <c r="V1031" s="11"/>
      <c r="W1031" s="6"/>
      <c r="X1031" s="6">
        <v>10.120000000000001</v>
      </c>
      <c r="Y1031" s="11" t="str">
        <f t="shared" si="192"/>
        <v/>
      </c>
      <c r="Z1031" s="6" t="str">
        <f t="shared" si="193"/>
        <v/>
      </c>
      <c r="AA1031" s="23">
        <f t="shared" si="194"/>
        <v>40.120000000000005</v>
      </c>
      <c r="AB1031" t="str">
        <f t="shared" si="183"/>
        <v/>
      </c>
      <c r="AC1031" t="str">
        <f t="shared" si="184"/>
        <v/>
      </c>
      <c r="AD1031">
        <f t="shared" si="185"/>
        <v>9.1064E-4</v>
      </c>
      <c r="AE1031" s="18" t="str">
        <f t="shared" si="186"/>
        <v/>
      </c>
      <c r="AF1031" s="7" t="str">
        <f t="shared" si="187"/>
        <v/>
      </c>
      <c r="AG1031" s="12">
        <f t="shared" si="188"/>
        <v>0.9929444058007495</v>
      </c>
      <c r="AI1031" s="54" t="str">
        <f t="shared" si="189"/>
        <v/>
      </c>
      <c r="AJ1031" s="54" t="str">
        <f t="shared" si="190"/>
        <v/>
      </c>
      <c r="AK1031" s="54">
        <f t="shared" si="191"/>
        <v>0.60608842008233677</v>
      </c>
    </row>
    <row r="1032" spans="9:37" x14ac:dyDescent="0.45">
      <c r="I1032" s="2">
        <v>117.8</v>
      </c>
      <c r="J1032" s="2">
        <v>1.5280640000000001</v>
      </c>
      <c r="K1032" s="2">
        <v>1.785312</v>
      </c>
      <c r="R1032" s="2">
        <v>27.08</v>
      </c>
      <c r="S1032" s="2">
        <v>5.6831999999999998E-4</v>
      </c>
      <c r="T1032" s="2">
        <v>2.7235999999999997E-4</v>
      </c>
      <c r="V1032" s="11"/>
      <c r="W1032" s="6"/>
      <c r="X1032" s="6">
        <v>10.130000000000001</v>
      </c>
      <c r="Y1032" s="11" t="str">
        <f t="shared" si="192"/>
        <v/>
      </c>
      <c r="Z1032" s="6" t="str">
        <f t="shared" si="193"/>
        <v/>
      </c>
      <c r="AA1032" s="23">
        <f t="shared" si="194"/>
        <v>40.130000000000003</v>
      </c>
      <c r="AB1032" t="str">
        <f t="shared" si="183"/>
        <v/>
      </c>
      <c r="AC1032" t="str">
        <f t="shared" si="184"/>
        <v/>
      </c>
      <c r="AD1032">
        <f t="shared" si="185"/>
        <v>9.1135999999999995E-4</v>
      </c>
      <c r="AE1032" s="18" t="str">
        <f t="shared" si="186"/>
        <v/>
      </c>
      <c r="AF1032" s="7" t="str">
        <f t="shared" si="187"/>
        <v/>
      </c>
      <c r="AG1032" s="12">
        <f t="shared" si="188"/>
        <v>0.99293536365181256</v>
      </c>
      <c r="AI1032" s="54" t="str">
        <f t="shared" si="189"/>
        <v/>
      </c>
      <c r="AJ1032" s="54" t="str">
        <f t="shared" si="190"/>
        <v/>
      </c>
      <c r="AK1032" s="54">
        <f t="shared" si="191"/>
        <v>0.60681816016838686</v>
      </c>
    </row>
    <row r="1033" spans="9:37" x14ac:dyDescent="0.45">
      <c r="I1033" s="2">
        <v>117.9</v>
      </c>
      <c r="J1033" s="2">
        <v>1.537622</v>
      </c>
      <c r="K1033" s="2">
        <v>1.803086</v>
      </c>
      <c r="R1033" s="2">
        <v>27.09</v>
      </c>
      <c r="S1033" s="2">
        <v>5.6835999999999996E-4</v>
      </c>
      <c r="T1033" s="2">
        <v>2.7252999999999999E-4</v>
      </c>
      <c r="V1033" s="11"/>
      <c r="W1033" s="6"/>
      <c r="X1033" s="6">
        <v>10.14</v>
      </c>
      <c r="Y1033" s="11" t="str">
        <f t="shared" si="192"/>
        <v/>
      </c>
      <c r="Z1033" s="6" t="str">
        <f t="shared" si="193"/>
        <v/>
      </c>
      <c r="AA1033" s="23">
        <f t="shared" si="194"/>
        <v>40.14</v>
      </c>
      <c r="AB1033" t="str">
        <f t="shared" si="183"/>
        <v/>
      </c>
      <c r="AC1033" t="str">
        <f t="shared" si="184"/>
        <v/>
      </c>
      <c r="AD1033">
        <f t="shared" si="185"/>
        <v>9.1208000000000001E-4</v>
      </c>
      <c r="AE1033" s="18" t="str">
        <f t="shared" si="186"/>
        <v/>
      </c>
      <c r="AF1033" s="7" t="str">
        <f t="shared" si="187"/>
        <v/>
      </c>
      <c r="AG1033" s="12">
        <f t="shared" si="188"/>
        <v>0.99292631443608237</v>
      </c>
      <c r="AI1033" s="54" t="str">
        <f t="shared" si="189"/>
        <v/>
      </c>
      <c r="AJ1033" s="54" t="str">
        <f t="shared" si="190"/>
        <v/>
      </c>
      <c r="AK1033" s="54">
        <f t="shared" si="191"/>
        <v>0.6075481959648672</v>
      </c>
    </row>
    <row r="1034" spans="9:37" x14ac:dyDescent="0.45">
      <c r="I1034" s="2">
        <v>118</v>
      </c>
      <c r="J1034" s="2">
        <v>1.54718</v>
      </c>
      <c r="K1034" s="2">
        <v>1.8208599999999999</v>
      </c>
      <c r="R1034" s="2">
        <v>27.1</v>
      </c>
      <c r="S1034" s="2">
        <v>5.6840000000000005E-4</v>
      </c>
      <c r="T1034" s="2">
        <v>2.7270000000000001E-4</v>
      </c>
      <c r="V1034" s="11"/>
      <c r="W1034" s="6"/>
      <c r="X1034" s="6">
        <v>10.15</v>
      </c>
      <c r="Y1034" s="11" t="str">
        <f t="shared" si="192"/>
        <v/>
      </c>
      <c r="Z1034" s="6" t="str">
        <f t="shared" si="193"/>
        <v/>
      </c>
      <c r="AA1034" s="23">
        <f t="shared" si="194"/>
        <v>40.15</v>
      </c>
      <c r="AB1034" t="str">
        <f t="shared" si="183"/>
        <v/>
      </c>
      <c r="AC1034" t="str">
        <f t="shared" si="184"/>
        <v/>
      </c>
      <c r="AD1034">
        <f t="shared" si="185"/>
        <v>9.1279999999999996E-4</v>
      </c>
      <c r="AE1034" s="18" t="str">
        <f t="shared" si="186"/>
        <v/>
      </c>
      <c r="AF1034" s="7" t="str">
        <f t="shared" si="187"/>
        <v/>
      </c>
      <c r="AG1034" s="12">
        <f t="shared" si="188"/>
        <v>0.99291725815375365</v>
      </c>
      <c r="AI1034" s="54" t="str">
        <f t="shared" si="189"/>
        <v/>
      </c>
      <c r="AJ1034" s="54" t="str">
        <f t="shared" si="190"/>
        <v/>
      </c>
      <c r="AK1034" s="54">
        <f t="shared" si="191"/>
        <v>0.60827852760326739</v>
      </c>
    </row>
    <row r="1035" spans="9:37" x14ac:dyDescent="0.45">
      <c r="I1035" s="2">
        <v>118.1</v>
      </c>
      <c r="J1035" s="2">
        <v>1.557204</v>
      </c>
      <c r="K1035" s="2">
        <v>1.8405750000000001</v>
      </c>
      <c r="R1035" s="2">
        <v>27.11</v>
      </c>
      <c r="S1035" s="2">
        <v>5.6844000000000003E-4</v>
      </c>
      <c r="T1035" s="2">
        <v>2.7286999999999998E-4</v>
      </c>
      <c r="V1035" s="11"/>
      <c r="W1035" s="6"/>
      <c r="X1035" s="6">
        <v>10.16</v>
      </c>
      <c r="Y1035" s="11" t="str">
        <f t="shared" si="192"/>
        <v/>
      </c>
      <c r="Z1035" s="6" t="str">
        <f t="shared" si="193"/>
        <v/>
      </c>
      <c r="AA1035" s="23">
        <f t="shared" si="194"/>
        <v>40.159999999999997</v>
      </c>
      <c r="AB1035" t="str">
        <f t="shared" si="183"/>
        <v/>
      </c>
      <c r="AC1035" t="str">
        <f t="shared" si="184"/>
        <v/>
      </c>
      <c r="AD1035">
        <f t="shared" si="185"/>
        <v>9.1352000000000002E-4</v>
      </c>
      <c r="AE1035" s="18" t="str">
        <f t="shared" si="186"/>
        <v/>
      </c>
      <c r="AF1035" s="7" t="str">
        <f t="shared" si="187"/>
        <v/>
      </c>
      <c r="AG1035" s="12">
        <f t="shared" si="188"/>
        <v>0.99290819480502124</v>
      </c>
      <c r="AI1035" s="54" t="str">
        <f t="shared" si="189"/>
        <v/>
      </c>
      <c r="AJ1035" s="54" t="str">
        <f t="shared" si="190"/>
        <v/>
      </c>
      <c r="AK1035" s="54">
        <f t="shared" si="191"/>
        <v>0.60900915521513721</v>
      </c>
    </row>
    <row r="1036" spans="9:37" x14ac:dyDescent="0.45">
      <c r="I1036" s="2">
        <v>118.2</v>
      </c>
      <c r="J1036" s="2">
        <v>1.5672280000000001</v>
      </c>
      <c r="K1036" s="2">
        <v>1.86029</v>
      </c>
      <c r="R1036" s="2">
        <v>27.12</v>
      </c>
      <c r="S1036" s="2">
        <v>5.6848000000000001E-4</v>
      </c>
      <c r="T1036" s="2">
        <v>2.7304E-4</v>
      </c>
      <c r="V1036" s="11"/>
      <c r="W1036" s="6"/>
      <c r="X1036" s="6">
        <v>10.17</v>
      </c>
      <c r="Y1036" s="11" t="str">
        <f t="shared" si="192"/>
        <v/>
      </c>
      <c r="Z1036" s="6" t="str">
        <f t="shared" si="193"/>
        <v/>
      </c>
      <c r="AA1036" s="23">
        <f t="shared" si="194"/>
        <v>40.17</v>
      </c>
      <c r="AB1036" t="str">
        <f t="shared" si="183"/>
        <v/>
      </c>
      <c r="AC1036" t="str">
        <f t="shared" si="184"/>
        <v/>
      </c>
      <c r="AD1036">
        <f t="shared" si="185"/>
        <v>9.1423999999999997E-4</v>
      </c>
      <c r="AE1036" s="18" t="str">
        <f t="shared" si="186"/>
        <v/>
      </c>
      <c r="AF1036" s="7" t="str">
        <f t="shared" si="187"/>
        <v/>
      </c>
      <c r="AG1036" s="12">
        <f t="shared" si="188"/>
        <v>0.9928991243900801</v>
      </c>
      <c r="AI1036" s="54" t="str">
        <f t="shared" si="189"/>
        <v/>
      </c>
      <c r="AJ1036" s="54" t="str">
        <f t="shared" si="190"/>
        <v/>
      </c>
      <c r="AK1036" s="54">
        <f t="shared" si="191"/>
        <v>0.60974007893208648</v>
      </c>
    </row>
    <row r="1037" spans="9:37" x14ac:dyDescent="0.45">
      <c r="I1037" s="2">
        <v>118.3</v>
      </c>
      <c r="J1037" s="2">
        <v>1.5772520000000001</v>
      </c>
      <c r="K1037" s="2">
        <v>1.8800049999999999</v>
      </c>
      <c r="R1037" s="2">
        <v>27.13</v>
      </c>
      <c r="S1037" s="2">
        <v>5.6851999999999998E-4</v>
      </c>
      <c r="T1037" s="2">
        <v>2.7321000000000002E-4</v>
      </c>
      <c r="V1037" s="11"/>
      <c r="W1037" s="6"/>
      <c r="X1037" s="6">
        <v>10.18</v>
      </c>
      <c r="Y1037" s="11" t="str">
        <f t="shared" si="192"/>
        <v/>
      </c>
      <c r="Z1037" s="6" t="str">
        <f t="shared" si="193"/>
        <v/>
      </c>
      <c r="AA1037" s="23">
        <f t="shared" si="194"/>
        <v>40.18</v>
      </c>
      <c r="AB1037" t="str">
        <f t="shared" si="183"/>
        <v/>
      </c>
      <c r="AC1037" t="str">
        <f t="shared" si="184"/>
        <v/>
      </c>
      <c r="AD1037">
        <f t="shared" si="185"/>
        <v>9.1496000000000004E-4</v>
      </c>
      <c r="AE1037" s="18" t="str">
        <f t="shared" si="186"/>
        <v/>
      </c>
      <c r="AF1037" s="7" t="str">
        <f t="shared" si="187"/>
        <v/>
      </c>
      <c r="AG1037" s="12">
        <f t="shared" si="188"/>
        <v>0.9928900469091253</v>
      </c>
      <c r="AI1037" s="54" t="str">
        <f t="shared" si="189"/>
        <v/>
      </c>
      <c r="AJ1037" s="54" t="str">
        <f t="shared" si="190"/>
        <v/>
      </c>
      <c r="AK1037" s="54">
        <f t="shared" si="191"/>
        <v>0.61047129888578544</v>
      </c>
    </row>
    <row r="1038" spans="9:37" x14ac:dyDescent="0.45">
      <c r="I1038" s="2">
        <v>118.4</v>
      </c>
      <c r="J1038" s="2">
        <v>1.5872759999999999</v>
      </c>
      <c r="K1038" s="2">
        <v>1.8997200000000001</v>
      </c>
      <c r="R1038" s="2">
        <v>27.14</v>
      </c>
      <c r="S1038" s="2">
        <v>5.6855999999999996E-4</v>
      </c>
      <c r="T1038" s="2">
        <v>2.7337999999999999E-4</v>
      </c>
      <c r="V1038" s="11"/>
      <c r="W1038" s="6"/>
      <c r="X1038" s="6">
        <v>10.19</v>
      </c>
      <c r="Y1038" s="11" t="str">
        <f t="shared" si="192"/>
        <v/>
      </c>
      <c r="Z1038" s="6" t="str">
        <f t="shared" si="193"/>
        <v/>
      </c>
      <c r="AA1038" s="23">
        <f t="shared" si="194"/>
        <v>40.19</v>
      </c>
      <c r="AB1038" t="str">
        <f t="shared" si="183"/>
        <v/>
      </c>
      <c r="AC1038" t="str">
        <f t="shared" si="184"/>
        <v/>
      </c>
      <c r="AD1038">
        <f t="shared" si="185"/>
        <v>9.1567999999999999E-4</v>
      </c>
      <c r="AE1038" s="18" t="str">
        <f t="shared" si="186"/>
        <v/>
      </c>
      <c r="AF1038" s="7" t="str">
        <f t="shared" si="187"/>
        <v/>
      </c>
      <c r="AG1038" s="12">
        <f t="shared" si="188"/>
        <v>0.99288096236235213</v>
      </c>
      <c r="AI1038" s="54" t="str">
        <f t="shared" si="189"/>
        <v/>
      </c>
      <c r="AJ1038" s="54" t="str">
        <f t="shared" si="190"/>
        <v/>
      </c>
      <c r="AK1038" s="54">
        <f t="shared" si="191"/>
        <v>0.61120281520796449</v>
      </c>
    </row>
    <row r="1039" spans="9:37" x14ac:dyDescent="0.45">
      <c r="I1039" s="2">
        <v>118.5</v>
      </c>
      <c r="J1039" s="2">
        <v>1.5972999999999999</v>
      </c>
      <c r="K1039" s="2">
        <v>1.919435</v>
      </c>
      <c r="R1039" s="2">
        <v>27.15</v>
      </c>
      <c r="S1039" s="2">
        <v>5.6860000000000005E-4</v>
      </c>
      <c r="T1039" s="2">
        <v>2.7355000000000001E-4</v>
      </c>
      <c r="V1039" s="11"/>
      <c r="W1039" s="6"/>
      <c r="X1039" s="6">
        <v>10.200000000000001</v>
      </c>
      <c r="Y1039" s="11" t="str">
        <f t="shared" si="192"/>
        <v/>
      </c>
      <c r="Z1039" s="6" t="str">
        <f t="shared" si="193"/>
        <v/>
      </c>
      <c r="AA1039" s="23">
        <f t="shared" si="194"/>
        <v>40.200000000000003</v>
      </c>
      <c r="AB1039" t="str">
        <f t="shared" si="183"/>
        <v/>
      </c>
      <c r="AC1039" t="str">
        <f t="shared" si="184"/>
        <v/>
      </c>
      <c r="AD1039">
        <f t="shared" si="185"/>
        <v>9.1640000000000005E-4</v>
      </c>
      <c r="AE1039" s="18" t="str">
        <f t="shared" si="186"/>
        <v/>
      </c>
      <c r="AF1039" s="7" t="str">
        <f t="shared" si="187"/>
        <v/>
      </c>
      <c r="AG1039" s="12">
        <f t="shared" si="188"/>
        <v>0.99287187074995598</v>
      </c>
      <c r="AI1039" s="54" t="str">
        <f t="shared" si="189"/>
        <v/>
      </c>
      <c r="AJ1039" s="54" t="str">
        <f t="shared" si="190"/>
        <v/>
      </c>
      <c r="AK1039" s="54">
        <f t="shared" si="191"/>
        <v>0.61193462803041443</v>
      </c>
    </row>
    <row r="1040" spans="9:37" x14ac:dyDescent="0.45">
      <c r="I1040" s="2">
        <v>118.6</v>
      </c>
      <c r="J1040" s="2">
        <v>1.607324</v>
      </c>
      <c r="K1040" s="2">
        <v>1.9391499999999999</v>
      </c>
      <c r="R1040" s="2">
        <v>27.16</v>
      </c>
      <c r="S1040" s="2">
        <v>5.6864000000000003E-4</v>
      </c>
      <c r="T1040" s="2">
        <v>2.7371999999999997E-4</v>
      </c>
      <c r="V1040" s="11"/>
      <c r="W1040" s="6"/>
      <c r="X1040" s="6">
        <v>10.210000000000001</v>
      </c>
      <c r="Y1040" s="11" t="str">
        <f t="shared" si="192"/>
        <v/>
      </c>
      <c r="Z1040" s="6" t="str">
        <f t="shared" si="193"/>
        <v/>
      </c>
      <c r="AA1040" s="23">
        <f t="shared" si="194"/>
        <v>40.21</v>
      </c>
      <c r="AB1040" t="str">
        <f t="shared" si="183"/>
        <v/>
      </c>
      <c r="AC1040" t="str">
        <f t="shared" si="184"/>
        <v/>
      </c>
      <c r="AD1040">
        <f t="shared" si="185"/>
        <v>9.1712E-4</v>
      </c>
      <c r="AE1040" s="18" t="str">
        <f t="shared" si="186"/>
        <v/>
      </c>
      <c r="AF1040" s="7" t="str">
        <f t="shared" si="187"/>
        <v/>
      </c>
      <c r="AG1040" s="12">
        <f t="shared" si="188"/>
        <v>0.99286277207213247</v>
      </c>
      <c r="AI1040" s="54" t="str">
        <f t="shared" si="189"/>
        <v/>
      </c>
      <c r="AJ1040" s="54" t="str">
        <f t="shared" si="190"/>
        <v/>
      </c>
      <c r="AK1040" s="54">
        <f t="shared" si="191"/>
        <v>0.61266673748498635</v>
      </c>
    </row>
    <row r="1041" spans="9:37" x14ac:dyDescent="0.45">
      <c r="I1041" s="2">
        <v>118.7</v>
      </c>
      <c r="J1041" s="2">
        <v>1.617348</v>
      </c>
      <c r="K1041" s="2">
        <v>1.9588650000000001</v>
      </c>
      <c r="R1041" s="2">
        <v>27.17</v>
      </c>
      <c r="S1041" s="2">
        <v>5.6868000000000001E-4</v>
      </c>
      <c r="T1041" s="2">
        <v>2.7389E-4</v>
      </c>
      <c r="V1041" s="11"/>
      <c r="W1041" s="6"/>
      <c r="X1041" s="6">
        <v>10.220000000000001</v>
      </c>
      <c r="Y1041" s="11" t="str">
        <f t="shared" si="192"/>
        <v/>
      </c>
      <c r="Z1041" s="6" t="str">
        <f t="shared" si="193"/>
        <v/>
      </c>
      <c r="AA1041" s="23">
        <f t="shared" si="194"/>
        <v>40.22</v>
      </c>
      <c r="AB1041" t="str">
        <f t="shared" si="183"/>
        <v/>
      </c>
      <c r="AC1041" t="str">
        <f t="shared" si="184"/>
        <v/>
      </c>
      <c r="AD1041">
        <f t="shared" si="185"/>
        <v>9.1783999999999995E-4</v>
      </c>
      <c r="AE1041" s="18" t="str">
        <f t="shared" si="186"/>
        <v/>
      </c>
      <c r="AF1041" s="7" t="str">
        <f t="shared" si="187"/>
        <v/>
      </c>
      <c r="AG1041" s="12">
        <f t="shared" si="188"/>
        <v>0.99285366632907723</v>
      </c>
      <c r="AI1041" s="54" t="str">
        <f t="shared" si="189"/>
        <v/>
      </c>
      <c r="AJ1041" s="54" t="str">
        <f t="shared" si="190"/>
        <v/>
      </c>
      <c r="AK1041" s="54">
        <f t="shared" si="191"/>
        <v>0.61339914370359161</v>
      </c>
    </row>
    <row r="1042" spans="9:37" x14ac:dyDescent="0.45">
      <c r="I1042" s="2">
        <v>118.8</v>
      </c>
      <c r="J1042" s="2">
        <v>1.627372</v>
      </c>
      <c r="K1042" s="2">
        <v>1.97858</v>
      </c>
      <c r="R1042" s="2">
        <v>27.18</v>
      </c>
      <c r="S1042" s="2">
        <v>5.6871999999999999E-4</v>
      </c>
      <c r="T1042" s="2">
        <v>2.7406000000000002E-4</v>
      </c>
      <c r="V1042" s="11"/>
      <c r="W1042" s="6"/>
      <c r="X1042" s="6">
        <v>10.23</v>
      </c>
      <c r="Y1042" s="11" t="str">
        <f t="shared" si="192"/>
        <v/>
      </c>
      <c r="Z1042" s="6" t="str">
        <f t="shared" si="193"/>
        <v/>
      </c>
      <c r="AA1042" s="23">
        <f t="shared" si="194"/>
        <v>40.230000000000004</v>
      </c>
      <c r="AB1042" t="str">
        <f t="shared" si="183"/>
        <v/>
      </c>
      <c r="AC1042" t="str">
        <f t="shared" si="184"/>
        <v/>
      </c>
      <c r="AD1042">
        <f t="shared" si="185"/>
        <v>9.1856000000000001E-4</v>
      </c>
      <c r="AE1042" s="18" t="str">
        <f t="shared" si="186"/>
        <v/>
      </c>
      <c r="AF1042" s="7" t="str">
        <f t="shared" si="187"/>
        <v/>
      </c>
      <c r="AG1042" s="12">
        <f t="shared" si="188"/>
        <v>0.99284455352098622</v>
      </c>
      <c r="AI1042" s="54" t="str">
        <f t="shared" si="189"/>
        <v/>
      </c>
      <c r="AJ1042" s="54" t="str">
        <f t="shared" si="190"/>
        <v/>
      </c>
      <c r="AK1042" s="54">
        <f t="shared" si="191"/>
        <v>0.6141318468182021</v>
      </c>
    </row>
    <row r="1043" spans="9:37" x14ac:dyDescent="0.45">
      <c r="I1043" s="2">
        <v>118.9</v>
      </c>
      <c r="J1043" s="2">
        <v>1.6373960000000001</v>
      </c>
      <c r="K1043" s="2">
        <v>1.9982949999999999</v>
      </c>
      <c r="R1043" s="2">
        <v>27.19</v>
      </c>
      <c r="S1043" s="2">
        <v>5.6875999999999997E-4</v>
      </c>
      <c r="T1043" s="2">
        <v>2.7422999999999998E-4</v>
      </c>
      <c r="V1043" s="11"/>
      <c r="W1043" s="6"/>
      <c r="X1043" s="6">
        <v>10.24</v>
      </c>
      <c r="Y1043" s="11" t="str">
        <f t="shared" si="192"/>
        <v/>
      </c>
      <c r="Z1043" s="6" t="str">
        <f t="shared" si="193"/>
        <v/>
      </c>
      <c r="AA1043" s="23">
        <f t="shared" si="194"/>
        <v>40.24</v>
      </c>
      <c r="AB1043" t="str">
        <f t="shared" ref="AB1043:AB1106" si="195">IF(Y1043="","",VLOOKUP(Y1043,Table_1,2))</f>
        <v/>
      </c>
      <c r="AC1043" t="str">
        <f t="shared" ref="AC1043:AC1106" si="196">IF(Z1043="","",VLOOKUP(Z1043,Table_2,2))</f>
        <v/>
      </c>
      <c r="AD1043">
        <f t="shared" ref="AD1043:AD1106" si="197">IF(AA1043="","",VLOOKUP(AA1043,Table_3,2))</f>
        <v>9.1927999999999997E-4</v>
      </c>
      <c r="AE1043" s="18" t="str">
        <f t="shared" si="186"/>
        <v/>
      </c>
      <c r="AF1043" s="7" t="str">
        <f t="shared" si="187"/>
        <v/>
      </c>
      <c r="AG1043" s="12">
        <f t="shared" si="188"/>
        <v>0.99283543364805538</v>
      </c>
      <c r="AI1043" s="54" t="str">
        <f t="shared" si="189"/>
        <v/>
      </c>
      <c r="AJ1043" s="54" t="str">
        <f t="shared" si="190"/>
        <v/>
      </c>
      <c r="AK1043" s="54">
        <f t="shared" si="191"/>
        <v>0.61486484696084998</v>
      </c>
    </row>
    <row r="1044" spans="9:37" x14ac:dyDescent="0.45">
      <c r="I1044" s="2">
        <v>119</v>
      </c>
      <c r="J1044" s="2">
        <v>1.6474200000000001</v>
      </c>
      <c r="K1044" s="2">
        <v>2.0180099999999999</v>
      </c>
      <c r="R1044" s="2">
        <v>27.2</v>
      </c>
      <c r="S1044" s="2">
        <v>5.6879999999999995E-4</v>
      </c>
      <c r="T1044" s="2">
        <v>2.744E-4</v>
      </c>
      <c r="V1044" s="11"/>
      <c r="W1044" s="6"/>
      <c r="X1044" s="6">
        <v>10.25</v>
      </c>
      <c r="Y1044" s="11" t="str">
        <f t="shared" si="192"/>
        <v/>
      </c>
      <c r="Z1044" s="6" t="str">
        <f t="shared" si="193"/>
        <v/>
      </c>
      <c r="AA1044" s="23">
        <f t="shared" si="194"/>
        <v>40.25</v>
      </c>
      <c r="AB1044" t="str">
        <f t="shared" si="195"/>
        <v/>
      </c>
      <c r="AC1044" t="str">
        <f t="shared" si="196"/>
        <v/>
      </c>
      <c r="AD1044">
        <f t="shared" si="197"/>
        <v>9.2000000000000003E-4</v>
      </c>
      <c r="AE1044" s="18" t="str">
        <f t="shared" ref="AE1044:AE1107" si="198">IF(AB1044="","",AE1043+h_1*(-AE1043*AB1043))</f>
        <v/>
      </c>
      <c r="AF1044" s="7" t="str">
        <f t="shared" ref="AF1044:AF1107" si="199">IF(AC1044="","",AF1043+h_2*(-AF1043*AC1043))</f>
        <v/>
      </c>
      <c r="AG1044" s="12">
        <f t="shared" ref="AG1044:AG1107" si="200">IF(AD1044="","",AG1043+h_3*(-AG1043*AD1043))</f>
        <v>0.99282630671048089</v>
      </c>
      <c r="AI1044" s="54" t="str">
        <f t="shared" ref="AI1044:AI1107" si="201">IF(Y1044="","",AI1043+AI$17*(AI1043*delta+Prem1-AB1043*(1-AI1043)))</f>
        <v/>
      </c>
      <c r="AJ1044" s="54" t="str">
        <f t="shared" ref="AJ1044:AJ1107" si="202">IF(Z1044="","",AJ1043+AJ$17*(AJ1043*delta+Prem2-AC1043*(1-AJ1043)))</f>
        <v/>
      </c>
      <c r="AK1044" s="54">
        <f t="shared" ref="AK1044:AK1107" si="203">IF(AA1044="","",AK1043+AK$17*(AK1043*delta+Prem3-AD1043*(1-AK1043)))</f>
        <v>0.61559814426362791</v>
      </c>
    </row>
    <row r="1045" spans="9:37" x14ac:dyDescent="0.45">
      <c r="I1045" s="2">
        <v>119.1</v>
      </c>
      <c r="J1045" s="2">
        <v>1.6826779999999999</v>
      </c>
      <c r="K1045" s="2">
        <v>2.116209</v>
      </c>
      <c r="R1045" s="2">
        <v>27.21</v>
      </c>
      <c r="S1045" s="2">
        <v>5.6884000000000004E-4</v>
      </c>
      <c r="T1045" s="2">
        <v>2.7457000000000002E-4</v>
      </c>
      <c r="V1045" s="11"/>
      <c r="W1045" s="6"/>
      <c r="X1045" s="6">
        <v>10.26</v>
      </c>
      <c r="Y1045" s="11" t="str">
        <f t="shared" ref="Y1045:Y1108" si="204">IF(ISBLANK(V1045),"",$Y$19+V1045)</f>
        <v/>
      </c>
      <c r="Z1045" s="6" t="str">
        <f t="shared" ref="Z1045:Z1108" si="205">IF(ISBLANK(W1045),"",$Y$19+W1045)</f>
        <v/>
      </c>
      <c r="AA1045" s="23">
        <f t="shared" ref="AA1045:AA1108" si="206">IF(ISBLANK(X1045),"",$Y$19+X1045)</f>
        <v>40.26</v>
      </c>
      <c r="AB1045" t="str">
        <f t="shared" si="195"/>
        <v/>
      </c>
      <c r="AC1045" t="str">
        <f t="shared" si="196"/>
        <v/>
      </c>
      <c r="AD1045">
        <f t="shared" si="197"/>
        <v>9.2071999999999998E-4</v>
      </c>
      <c r="AE1045" s="18" t="str">
        <f t="shared" si="198"/>
        <v/>
      </c>
      <c r="AF1045" s="7" t="str">
        <f t="shared" si="199"/>
        <v/>
      </c>
      <c r="AG1045" s="12">
        <f t="shared" si="200"/>
        <v>0.99281717270845915</v>
      </c>
      <c r="AI1045" s="54" t="str">
        <f t="shared" si="201"/>
        <v/>
      </c>
      <c r="AJ1045" s="54" t="str">
        <f t="shared" si="202"/>
        <v/>
      </c>
      <c r="AK1045" s="54">
        <f t="shared" si="203"/>
        <v>0.61633173885868908</v>
      </c>
    </row>
    <row r="1046" spans="9:37" x14ac:dyDescent="0.45">
      <c r="I1046" s="2">
        <v>119.2</v>
      </c>
      <c r="J1046" s="2">
        <v>1.7179359999999999</v>
      </c>
      <c r="K1046" s="2">
        <v>2.2144080000000002</v>
      </c>
      <c r="R1046" s="2">
        <v>27.22</v>
      </c>
      <c r="S1046" s="2">
        <v>5.6888000000000001E-4</v>
      </c>
      <c r="T1046" s="2">
        <v>2.7473999999999999E-4</v>
      </c>
      <c r="V1046" s="11"/>
      <c r="W1046" s="6"/>
      <c r="X1046" s="6">
        <v>10.27</v>
      </c>
      <c r="Y1046" s="11" t="str">
        <f t="shared" si="204"/>
        <v/>
      </c>
      <c r="Z1046" s="6" t="str">
        <f t="shared" si="205"/>
        <v/>
      </c>
      <c r="AA1046" s="23">
        <f t="shared" si="206"/>
        <v>40.269999999999996</v>
      </c>
      <c r="AB1046" t="str">
        <f t="shared" si="195"/>
        <v/>
      </c>
      <c r="AC1046" t="str">
        <f t="shared" si="196"/>
        <v/>
      </c>
      <c r="AD1046">
        <f t="shared" si="197"/>
        <v>9.2071999999999998E-4</v>
      </c>
      <c r="AE1046" s="18" t="str">
        <f t="shared" si="198"/>
        <v/>
      </c>
      <c r="AF1046" s="7" t="str">
        <f t="shared" si="199"/>
        <v/>
      </c>
      <c r="AG1046" s="12">
        <f t="shared" si="200"/>
        <v>0.99280803164218656</v>
      </c>
      <c r="AI1046" s="54" t="str">
        <f t="shared" si="201"/>
        <v/>
      </c>
      <c r="AJ1046" s="54" t="str">
        <f t="shared" si="202"/>
        <v/>
      </c>
      <c r="AK1046" s="54">
        <f t="shared" si="203"/>
        <v>0.61706563087824706</v>
      </c>
    </row>
    <row r="1047" spans="9:37" x14ac:dyDescent="0.45">
      <c r="I1047" s="2">
        <v>119.3</v>
      </c>
      <c r="J1047" s="2">
        <v>1.7531939999999999</v>
      </c>
      <c r="K1047" s="2">
        <v>2.3126069999999999</v>
      </c>
      <c r="R1047" s="2">
        <v>27.23</v>
      </c>
      <c r="S1047" s="2">
        <v>5.6891999999999999E-4</v>
      </c>
      <c r="T1047" s="2">
        <v>2.7491000000000001E-4</v>
      </c>
      <c r="V1047" s="11"/>
      <c r="W1047" s="6"/>
      <c r="X1047" s="6">
        <v>10.28</v>
      </c>
      <c r="Y1047" s="11" t="str">
        <f t="shared" si="204"/>
        <v/>
      </c>
      <c r="Z1047" s="6" t="str">
        <f t="shared" si="205"/>
        <v/>
      </c>
      <c r="AA1047" s="23">
        <f t="shared" si="206"/>
        <v>40.28</v>
      </c>
      <c r="AB1047" t="str">
        <f t="shared" si="195"/>
        <v/>
      </c>
      <c r="AC1047" t="str">
        <f t="shared" si="196"/>
        <v/>
      </c>
      <c r="AD1047">
        <f t="shared" si="197"/>
        <v>9.2215999999999999E-4</v>
      </c>
      <c r="AE1047" s="18" t="str">
        <f t="shared" si="198"/>
        <v/>
      </c>
      <c r="AF1047" s="7" t="str">
        <f t="shared" si="199"/>
        <v/>
      </c>
      <c r="AG1047" s="12">
        <f t="shared" si="200"/>
        <v>0.99279889066007765</v>
      </c>
      <c r="AI1047" s="54" t="str">
        <f t="shared" si="201"/>
        <v/>
      </c>
      <c r="AJ1047" s="54" t="str">
        <f t="shared" si="202"/>
        <v/>
      </c>
      <c r="AK1047" s="54">
        <f t="shared" si="203"/>
        <v>0.61779982321170346</v>
      </c>
    </row>
    <row r="1048" spans="9:37" x14ac:dyDescent="0.45">
      <c r="I1048" s="2">
        <v>119.4</v>
      </c>
      <c r="J1048" s="2">
        <v>1.7884519999999999</v>
      </c>
      <c r="K1048" s="2">
        <v>2.410806</v>
      </c>
      <c r="R1048" s="2">
        <v>27.24</v>
      </c>
      <c r="S1048" s="2">
        <v>5.6895999999999997E-4</v>
      </c>
      <c r="T1048" s="2">
        <v>2.7507999999999998E-4</v>
      </c>
      <c r="V1048" s="11"/>
      <c r="W1048" s="6"/>
      <c r="X1048" s="6">
        <v>10.290000000000001</v>
      </c>
      <c r="Y1048" s="11" t="str">
        <f t="shared" si="204"/>
        <v/>
      </c>
      <c r="Z1048" s="6" t="str">
        <f t="shared" si="205"/>
        <v/>
      </c>
      <c r="AA1048" s="23">
        <f t="shared" si="206"/>
        <v>40.29</v>
      </c>
      <c r="AB1048" t="str">
        <f t="shared" si="195"/>
        <v/>
      </c>
      <c r="AC1048" t="str">
        <f t="shared" si="196"/>
        <v/>
      </c>
      <c r="AD1048">
        <f t="shared" si="197"/>
        <v>9.2287999999999995E-4</v>
      </c>
      <c r="AE1048" s="18" t="str">
        <f t="shared" si="198"/>
        <v/>
      </c>
      <c r="AF1048" s="7" t="str">
        <f t="shared" si="199"/>
        <v/>
      </c>
      <c r="AG1048" s="12">
        <f t="shared" si="200"/>
        <v>0.99278973546582749</v>
      </c>
      <c r="AI1048" s="54" t="str">
        <f t="shared" si="201"/>
        <v/>
      </c>
      <c r="AJ1048" s="54" t="str">
        <f t="shared" si="202"/>
        <v/>
      </c>
      <c r="AK1048" s="54">
        <f t="shared" si="203"/>
        <v>0.61853431047826635</v>
      </c>
    </row>
    <row r="1049" spans="9:37" x14ac:dyDescent="0.45">
      <c r="I1049" s="2">
        <v>119.5</v>
      </c>
      <c r="J1049" s="2">
        <v>1.8237099999999999</v>
      </c>
      <c r="K1049" s="2">
        <v>2.5090050000000002</v>
      </c>
      <c r="R1049" s="2">
        <v>27.25</v>
      </c>
      <c r="S1049" s="2">
        <v>5.6899999999999995E-4</v>
      </c>
      <c r="T1049" s="2">
        <v>2.7525E-4</v>
      </c>
      <c r="V1049" s="11"/>
      <c r="W1049" s="6"/>
      <c r="X1049" s="6">
        <v>10.3</v>
      </c>
      <c r="Y1049" s="11" t="str">
        <f t="shared" si="204"/>
        <v/>
      </c>
      <c r="Z1049" s="6" t="str">
        <f t="shared" si="205"/>
        <v/>
      </c>
      <c r="AA1049" s="23">
        <f t="shared" si="206"/>
        <v>40.299999999999997</v>
      </c>
      <c r="AB1049" t="str">
        <f t="shared" si="195"/>
        <v/>
      </c>
      <c r="AC1049" t="str">
        <f t="shared" si="196"/>
        <v/>
      </c>
      <c r="AD1049">
        <f t="shared" si="197"/>
        <v>9.2360000000000001E-4</v>
      </c>
      <c r="AE1049" s="18" t="str">
        <f t="shared" si="198"/>
        <v/>
      </c>
      <c r="AF1049" s="7" t="str">
        <f t="shared" si="199"/>
        <v/>
      </c>
      <c r="AG1049" s="12">
        <f t="shared" si="200"/>
        <v>0.99278057320791679</v>
      </c>
      <c r="AI1049" s="54" t="str">
        <f t="shared" si="201"/>
        <v/>
      </c>
      <c r="AJ1049" s="54" t="str">
        <f t="shared" si="202"/>
        <v/>
      </c>
      <c r="AK1049" s="54">
        <f t="shared" si="203"/>
        <v>0.6192690955663307</v>
      </c>
    </row>
    <row r="1050" spans="9:37" x14ac:dyDescent="0.45">
      <c r="I1050" s="2">
        <v>119.6</v>
      </c>
      <c r="J1050" s="2">
        <v>1.858968</v>
      </c>
      <c r="K1050" s="2">
        <v>2.6072039999999999</v>
      </c>
      <c r="R1050" s="2">
        <v>27.26</v>
      </c>
      <c r="S1050" s="2">
        <v>5.6904000000000004E-4</v>
      </c>
      <c r="T1050" s="2">
        <v>2.7542000000000002E-4</v>
      </c>
      <c r="V1050" s="11"/>
      <c r="W1050" s="6"/>
      <c r="X1050" s="6">
        <v>10.31</v>
      </c>
      <c r="Y1050" s="11" t="str">
        <f t="shared" si="204"/>
        <v/>
      </c>
      <c r="Z1050" s="6" t="str">
        <f t="shared" si="205"/>
        <v/>
      </c>
      <c r="AA1050" s="23">
        <f t="shared" si="206"/>
        <v>40.31</v>
      </c>
      <c r="AB1050" t="str">
        <f t="shared" si="195"/>
        <v/>
      </c>
      <c r="AC1050" t="str">
        <f t="shared" si="196"/>
        <v/>
      </c>
      <c r="AD1050">
        <f t="shared" si="197"/>
        <v>9.2431999999999996E-4</v>
      </c>
      <c r="AE1050" s="18" t="str">
        <f t="shared" si="198"/>
        <v/>
      </c>
      <c r="AF1050" s="7" t="str">
        <f t="shared" si="199"/>
        <v/>
      </c>
      <c r="AG1050" s="12">
        <f t="shared" si="200"/>
        <v>0.99277140388654261</v>
      </c>
      <c r="AI1050" s="54" t="str">
        <f t="shared" si="201"/>
        <v/>
      </c>
      <c r="AJ1050" s="54" t="str">
        <f t="shared" si="202"/>
        <v/>
      </c>
      <c r="AK1050" s="54">
        <f t="shared" si="203"/>
        <v>0.62000417860835233</v>
      </c>
    </row>
    <row r="1051" spans="9:37" x14ac:dyDescent="0.45">
      <c r="I1051" s="2">
        <v>119.7</v>
      </c>
      <c r="J1051" s="2">
        <v>1.894226</v>
      </c>
      <c r="K1051" s="2">
        <v>2.705403</v>
      </c>
      <c r="R1051" s="2">
        <v>27.27</v>
      </c>
      <c r="S1051" s="2">
        <v>5.6908000000000002E-4</v>
      </c>
      <c r="T1051" s="2">
        <v>2.7558999999999998E-4</v>
      </c>
      <c r="V1051" s="11"/>
      <c r="W1051" s="6"/>
      <c r="X1051" s="6">
        <v>10.32</v>
      </c>
      <c r="Y1051" s="11" t="str">
        <f t="shared" si="204"/>
        <v/>
      </c>
      <c r="Z1051" s="6" t="str">
        <f t="shared" si="205"/>
        <v/>
      </c>
      <c r="AA1051" s="23">
        <f t="shared" si="206"/>
        <v>40.32</v>
      </c>
      <c r="AB1051" t="str">
        <f t="shared" si="195"/>
        <v/>
      </c>
      <c r="AC1051" t="str">
        <f t="shared" si="196"/>
        <v/>
      </c>
      <c r="AD1051">
        <f t="shared" si="197"/>
        <v>9.2504000000000002E-4</v>
      </c>
      <c r="AE1051" s="18" t="str">
        <f t="shared" si="198"/>
        <v/>
      </c>
      <c r="AF1051" s="7" t="str">
        <f t="shared" si="199"/>
        <v/>
      </c>
      <c r="AG1051" s="12">
        <f t="shared" si="200"/>
        <v>0.99276222750190224</v>
      </c>
      <c r="AI1051" s="54" t="str">
        <f t="shared" si="201"/>
        <v/>
      </c>
      <c r="AJ1051" s="54" t="str">
        <f t="shared" si="202"/>
        <v/>
      </c>
      <c r="AK1051" s="54">
        <f t="shared" si="203"/>
        <v>0.62073955973684791</v>
      </c>
    </row>
    <row r="1052" spans="9:37" x14ac:dyDescent="0.45">
      <c r="I1052" s="2">
        <v>119.8</v>
      </c>
      <c r="J1052" s="2">
        <v>1.929484</v>
      </c>
      <c r="K1052" s="2">
        <v>2.8036020000000001</v>
      </c>
      <c r="R1052" s="2">
        <v>27.28</v>
      </c>
      <c r="S1052" s="2">
        <v>5.6912E-4</v>
      </c>
      <c r="T1052" s="2">
        <v>2.7576E-4</v>
      </c>
      <c r="V1052" s="11"/>
      <c r="W1052" s="6"/>
      <c r="X1052" s="6">
        <v>10.33</v>
      </c>
      <c r="Y1052" s="11" t="str">
        <f t="shared" si="204"/>
        <v/>
      </c>
      <c r="Z1052" s="6" t="str">
        <f t="shared" si="205"/>
        <v/>
      </c>
      <c r="AA1052" s="23">
        <f t="shared" si="206"/>
        <v>40.33</v>
      </c>
      <c r="AB1052" t="str">
        <f t="shared" si="195"/>
        <v/>
      </c>
      <c r="AC1052" t="str">
        <f t="shared" si="196"/>
        <v/>
      </c>
      <c r="AD1052">
        <f t="shared" si="197"/>
        <v>9.2575999999999997E-4</v>
      </c>
      <c r="AE1052" s="18" t="str">
        <f t="shared" si="198"/>
        <v/>
      </c>
      <c r="AF1052" s="7" t="str">
        <f t="shared" si="199"/>
        <v/>
      </c>
      <c r="AG1052" s="12">
        <f t="shared" si="200"/>
        <v>0.99275304405419296</v>
      </c>
      <c r="AI1052" s="54" t="str">
        <f t="shared" si="201"/>
        <v/>
      </c>
      <c r="AJ1052" s="54" t="str">
        <f t="shared" si="202"/>
        <v/>
      </c>
      <c r="AK1052" s="54">
        <f t="shared" si="203"/>
        <v>0.6214752390843945</v>
      </c>
    </row>
    <row r="1053" spans="9:37" x14ac:dyDescent="0.45">
      <c r="I1053" s="2">
        <v>119.9</v>
      </c>
      <c r="J1053" s="2">
        <v>1.964742</v>
      </c>
      <c r="K1053" s="2">
        <v>2.9018009999999999</v>
      </c>
      <c r="R1053" s="2">
        <v>27.29</v>
      </c>
      <c r="S1053" s="2">
        <v>5.6915999999999998E-4</v>
      </c>
      <c r="T1053" s="2">
        <v>2.7593000000000002E-4</v>
      </c>
      <c r="V1053" s="11"/>
      <c r="W1053" s="6"/>
      <c r="X1053" s="6">
        <v>10.34</v>
      </c>
      <c r="Y1053" s="11" t="str">
        <f t="shared" si="204"/>
        <v/>
      </c>
      <c r="Z1053" s="6" t="str">
        <f t="shared" si="205"/>
        <v/>
      </c>
      <c r="AA1053" s="23">
        <f t="shared" si="206"/>
        <v>40.340000000000003</v>
      </c>
      <c r="AB1053" t="str">
        <f t="shared" si="195"/>
        <v/>
      </c>
      <c r="AC1053" t="str">
        <f t="shared" si="196"/>
        <v/>
      </c>
      <c r="AD1053">
        <f t="shared" si="197"/>
        <v>9.2648000000000003E-4</v>
      </c>
      <c r="AE1053" s="18" t="str">
        <f t="shared" si="198"/>
        <v/>
      </c>
      <c r="AF1053" s="7" t="str">
        <f t="shared" si="199"/>
        <v/>
      </c>
      <c r="AG1053" s="12">
        <f t="shared" si="200"/>
        <v>0.99274385354361228</v>
      </c>
      <c r="AI1053" s="54" t="str">
        <f t="shared" si="201"/>
        <v/>
      </c>
      <c r="AJ1053" s="54" t="str">
        <f t="shared" si="202"/>
        <v/>
      </c>
      <c r="AK1053" s="54">
        <f t="shared" si="203"/>
        <v>0.62221121678363012</v>
      </c>
    </row>
    <row r="1054" spans="9:37" x14ac:dyDescent="0.45">
      <c r="I1054" s="2">
        <v>120</v>
      </c>
      <c r="J1054" s="2">
        <v>2</v>
      </c>
      <c r="K1054" s="2">
        <v>3</v>
      </c>
      <c r="R1054" s="2">
        <v>27.3</v>
      </c>
      <c r="S1054" s="2">
        <v>5.6919999999999996E-4</v>
      </c>
      <c r="T1054" s="2">
        <v>2.7609999999999999E-4</v>
      </c>
      <c r="V1054" s="11"/>
      <c r="W1054" s="6"/>
      <c r="X1054" s="6">
        <v>10.35</v>
      </c>
      <c r="Y1054" s="11" t="str">
        <f t="shared" si="204"/>
        <v/>
      </c>
      <c r="Z1054" s="6" t="str">
        <f t="shared" si="205"/>
        <v/>
      </c>
      <c r="AA1054" s="23">
        <f t="shared" si="206"/>
        <v>40.35</v>
      </c>
      <c r="AB1054" t="str">
        <f t="shared" si="195"/>
        <v/>
      </c>
      <c r="AC1054" t="str">
        <f t="shared" si="196"/>
        <v/>
      </c>
      <c r="AD1054">
        <f t="shared" si="197"/>
        <v>9.2719999999999999E-4</v>
      </c>
      <c r="AE1054" s="18" t="str">
        <f t="shared" si="198"/>
        <v/>
      </c>
      <c r="AF1054" s="7" t="str">
        <f t="shared" si="199"/>
        <v/>
      </c>
      <c r="AG1054" s="12">
        <f t="shared" si="200"/>
        <v>0.99273465597035793</v>
      </c>
      <c r="AI1054" s="54" t="str">
        <f t="shared" si="201"/>
        <v/>
      </c>
      <c r="AJ1054" s="54" t="str">
        <f t="shared" si="202"/>
        <v/>
      </c>
      <c r="AK1054" s="54">
        <f t="shared" si="203"/>
        <v>0.62294749296725327</v>
      </c>
    </row>
    <row r="1055" spans="9:37" x14ac:dyDescent="0.45">
      <c r="R1055" s="2">
        <v>27.31</v>
      </c>
      <c r="S1055" s="2">
        <v>5.6924000000000005E-4</v>
      </c>
      <c r="T1055" s="2">
        <v>2.7627000000000001E-4</v>
      </c>
      <c r="V1055" s="11"/>
      <c r="W1055" s="6"/>
      <c r="X1055" s="6">
        <v>10.36</v>
      </c>
      <c r="Y1055" s="11" t="str">
        <f t="shared" si="204"/>
        <v/>
      </c>
      <c r="Z1055" s="6" t="str">
        <f t="shared" si="205"/>
        <v/>
      </c>
      <c r="AA1055" s="23">
        <f t="shared" si="206"/>
        <v>40.36</v>
      </c>
      <c r="AB1055" t="str">
        <f t="shared" si="195"/>
        <v/>
      </c>
      <c r="AC1055" t="str">
        <f t="shared" si="196"/>
        <v/>
      </c>
      <c r="AD1055">
        <f t="shared" si="197"/>
        <v>9.2792000000000005E-4</v>
      </c>
      <c r="AE1055" s="18" t="str">
        <f t="shared" si="198"/>
        <v/>
      </c>
      <c r="AF1055" s="7" t="str">
        <f t="shared" si="199"/>
        <v/>
      </c>
      <c r="AG1055" s="12">
        <f t="shared" si="200"/>
        <v>0.99272545133462775</v>
      </c>
      <c r="AI1055" s="54" t="str">
        <f t="shared" si="201"/>
        <v/>
      </c>
      <c r="AJ1055" s="54" t="str">
        <f t="shared" si="202"/>
        <v/>
      </c>
      <c r="AK1055" s="54">
        <f t="shared" si="203"/>
        <v>0.62368406776802343</v>
      </c>
    </row>
    <row r="1056" spans="9:37" x14ac:dyDescent="0.45">
      <c r="R1056" s="2">
        <v>27.32</v>
      </c>
      <c r="S1056" s="2">
        <v>5.6928000000000002E-4</v>
      </c>
      <c r="T1056" s="2">
        <v>2.7643999999999998E-4</v>
      </c>
      <c r="V1056" s="11"/>
      <c r="W1056" s="6"/>
      <c r="X1056" s="6">
        <v>10.370000000000001</v>
      </c>
      <c r="Y1056" s="11" t="str">
        <f t="shared" si="204"/>
        <v/>
      </c>
      <c r="Z1056" s="6" t="str">
        <f t="shared" si="205"/>
        <v/>
      </c>
      <c r="AA1056" s="23">
        <f t="shared" si="206"/>
        <v>40.370000000000005</v>
      </c>
      <c r="AB1056" t="str">
        <f t="shared" si="195"/>
        <v/>
      </c>
      <c r="AC1056" t="str">
        <f t="shared" si="196"/>
        <v/>
      </c>
      <c r="AD1056">
        <f t="shared" si="197"/>
        <v>9.2864E-4</v>
      </c>
      <c r="AE1056" s="18" t="str">
        <f t="shared" si="198"/>
        <v/>
      </c>
      <c r="AF1056" s="7" t="str">
        <f t="shared" si="199"/>
        <v/>
      </c>
      <c r="AG1056" s="12">
        <f t="shared" si="200"/>
        <v>0.9927162396366197</v>
      </c>
      <c r="AI1056" s="54" t="str">
        <f t="shared" si="201"/>
        <v/>
      </c>
      <c r="AJ1056" s="54" t="str">
        <f t="shared" si="202"/>
        <v/>
      </c>
      <c r="AK1056" s="54">
        <f t="shared" si="203"/>
        <v>0.6244209413187608</v>
      </c>
    </row>
    <row r="1057" spans="18:37" x14ac:dyDescent="0.45">
      <c r="R1057" s="2">
        <v>27.33</v>
      </c>
      <c r="S1057" s="2">
        <v>5.6932E-4</v>
      </c>
      <c r="T1057" s="2">
        <v>2.7661E-4</v>
      </c>
      <c r="V1057" s="11"/>
      <c r="W1057" s="6"/>
      <c r="X1057" s="6">
        <v>10.38</v>
      </c>
      <c r="Y1057" s="11" t="str">
        <f t="shared" si="204"/>
        <v/>
      </c>
      <c r="Z1057" s="6" t="str">
        <f t="shared" si="205"/>
        <v/>
      </c>
      <c r="AA1057" s="23">
        <f t="shared" si="206"/>
        <v>40.380000000000003</v>
      </c>
      <c r="AB1057" t="str">
        <f t="shared" si="195"/>
        <v/>
      </c>
      <c r="AC1057" t="str">
        <f t="shared" si="196"/>
        <v/>
      </c>
      <c r="AD1057">
        <f t="shared" si="197"/>
        <v>9.2935999999999995E-4</v>
      </c>
      <c r="AE1057" s="18" t="str">
        <f t="shared" si="198"/>
        <v/>
      </c>
      <c r="AF1057" s="7" t="str">
        <f t="shared" si="199"/>
        <v/>
      </c>
      <c r="AG1057" s="12">
        <f t="shared" si="200"/>
        <v>0.99270702087653195</v>
      </c>
      <c r="AI1057" s="54" t="str">
        <f t="shared" si="201"/>
        <v/>
      </c>
      <c r="AJ1057" s="54" t="str">
        <f t="shared" si="202"/>
        <v/>
      </c>
      <c r="AK1057" s="54">
        <f t="shared" si="203"/>
        <v>0.62515811375234631</v>
      </c>
    </row>
    <row r="1058" spans="18:37" x14ac:dyDescent="0.45">
      <c r="R1058" s="2">
        <v>27.34</v>
      </c>
      <c r="S1058" s="2">
        <v>5.6935999999999998E-4</v>
      </c>
      <c r="T1058" s="2">
        <v>2.7678000000000002E-4</v>
      </c>
      <c r="V1058" s="11"/>
      <c r="W1058" s="6"/>
      <c r="X1058" s="6">
        <v>10.39</v>
      </c>
      <c r="Y1058" s="11" t="str">
        <f t="shared" si="204"/>
        <v/>
      </c>
      <c r="Z1058" s="6" t="str">
        <f t="shared" si="205"/>
        <v/>
      </c>
      <c r="AA1058" s="23">
        <f t="shared" si="206"/>
        <v>40.39</v>
      </c>
      <c r="AB1058" t="str">
        <f t="shared" si="195"/>
        <v/>
      </c>
      <c r="AC1058" t="str">
        <f t="shared" si="196"/>
        <v/>
      </c>
      <c r="AD1058">
        <f t="shared" si="197"/>
        <v>9.3008000000000001E-4</v>
      </c>
      <c r="AE1058" s="18" t="str">
        <f t="shared" si="198"/>
        <v/>
      </c>
      <c r="AF1058" s="7" t="str">
        <f t="shared" si="199"/>
        <v/>
      </c>
      <c r="AG1058" s="12">
        <f t="shared" si="200"/>
        <v>0.99269779505456268</v>
      </c>
      <c r="AI1058" s="54" t="str">
        <f t="shared" si="201"/>
        <v/>
      </c>
      <c r="AJ1058" s="54" t="str">
        <f t="shared" si="202"/>
        <v/>
      </c>
      <c r="AK1058" s="54">
        <f t="shared" si="203"/>
        <v>0.62589558520172173</v>
      </c>
    </row>
    <row r="1059" spans="18:37" x14ac:dyDescent="0.45">
      <c r="R1059" s="2">
        <v>27.35</v>
      </c>
      <c r="S1059" s="2">
        <v>5.6939999999999996E-4</v>
      </c>
      <c r="T1059" s="2">
        <v>2.7694999999999998E-4</v>
      </c>
      <c r="V1059" s="11"/>
      <c r="W1059" s="6"/>
      <c r="X1059" s="6">
        <v>10.4</v>
      </c>
      <c r="Y1059" s="11" t="str">
        <f t="shared" si="204"/>
        <v/>
      </c>
      <c r="Z1059" s="6" t="str">
        <f t="shared" si="205"/>
        <v/>
      </c>
      <c r="AA1059" s="23">
        <f t="shared" si="206"/>
        <v>40.4</v>
      </c>
      <c r="AB1059" t="str">
        <f t="shared" si="195"/>
        <v/>
      </c>
      <c r="AC1059" t="str">
        <f t="shared" si="196"/>
        <v/>
      </c>
      <c r="AD1059">
        <f t="shared" si="197"/>
        <v>9.3079999999999997E-4</v>
      </c>
      <c r="AE1059" s="18" t="str">
        <f t="shared" si="198"/>
        <v/>
      </c>
      <c r="AF1059" s="7" t="str">
        <f t="shared" si="199"/>
        <v/>
      </c>
      <c r="AG1059" s="12">
        <f t="shared" si="200"/>
        <v>0.99268856217091039</v>
      </c>
      <c r="AI1059" s="54" t="str">
        <f t="shared" si="201"/>
        <v/>
      </c>
      <c r="AJ1059" s="54" t="str">
        <f t="shared" si="202"/>
        <v/>
      </c>
      <c r="AK1059" s="54">
        <f t="shared" si="203"/>
        <v>0.62663335579988977</v>
      </c>
    </row>
    <row r="1060" spans="18:37" x14ac:dyDescent="0.45">
      <c r="R1060" s="2">
        <v>27.36</v>
      </c>
      <c r="S1060" s="2">
        <v>5.6944000000000005E-4</v>
      </c>
      <c r="T1060" s="2">
        <v>2.7712E-4</v>
      </c>
      <c r="V1060" s="11"/>
      <c r="W1060" s="6"/>
      <c r="X1060" s="6">
        <v>10.41</v>
      </c>
      <c r="Y1060" s="11" t="str">
        <f t="shared" si="204"/>
        <v/>
      </c>
      <c r="Z1060" s="6" t="str">
        <f t="shared" si="205"/>
        <v/>
      </c>
      <c r="AA1060" s="23">
        <f t="shared" si="206"/>
        <v>40.409999999999997</v>
      </c>
      <c r="AB1060" t="str">
        <f t="shared" si="195"/>
        <v/>
      </c>
      <c r="AC1060" t="str">
        <f t="shared" si="196"/>
        <v/>
      </c>
      <c r="AD1060">
        <f t="shared" si="197"/>
        <v>9.3152000000000003E-4</v>
      </c>
      <c r="AE1060" s="18" t="str">
        <f t="shared" si="198"/>
        <v/>
      </c>
      <c r="AF1060" s="7" t="str">
        <f t="shared" si="199"/>
        <v/>
      </c>
      <c r="AG1060" s="12">
        <f t="shared" si="200"/>
        <v>0.99267932222577371</v>
      </c>
      <c r="AI1060" s="54" t="str">
        <f t="shared" si="201"/>
        <v/>
      </c>
      <c r="AJ1060" s="54" t="str">
        <f t="shared" si="202"/>
        <v/>
      </c>
      <c r="AK1060" s="54">
        <f t="shared" si="203"/>
        <v>0.627371425679914</v>
      </c>
    </row>
    <row r="1061" spans="18:37" x14ac:dyDescent="0.45">
      <c r="R1061" s="2">
        <v>27.37</v>
      </c>
      <c r="S1061" s="2">
        <v>5.6948000000000003E-4</v>
      </c>
      <c r="T1061" s="2">
        <v>2.7729000000000002E-4</v>
      </c>
      <c r="V1061" s="11"/>
      <c r="W1061" s="6"/>
      <c r="X1061" s="6">
        <v>10.42</v>
      </c>
      <c r="Y1061" s="11" t="str">
        <f t="shared" si="204"/>
        <v/>
      </c>
      <c r="Z1061" s="6" t="str">
        <f t="shared" si="205"/>
        <v/>
      </c>
      <c r="AA1061" s="23">
        <f t="shared" si="206"/>
        <v>40.42</v>
      </c>
      <c r="AB1061" t="str">
        <f t="shared" si="195"/>
        <v/>
      </c>
      <c r="AC1061" t="str">
        <f t="shared" si="196"/>
        <v/>
      </c>
      <c r="AD1061">
        <f t="shared" si="197"/>
        <v>9.3223999999999998E-4</v>
      </c>
      <c r="AE1061" s="18" t="str">
        <f t="shared" si="198"/>
        <v/>
      </c>
      <c r="AF1061" s="7" t="str">
        <f t="shared" si="199"/>
        <v/>
      </c>
      <c r="AG1061" s="12">
        <f t="shared" si="200"/>
        <v>0.99267007521935136</v>
      </c>
      <c r="AI1061" s="54" t="str">
        <f t="shared" si="201"/>
        <v/>
      </c>
      <c r="AJ1061" s="54" t="str">
        <f t="shared" si="202"/>
        <v/>
      </c>
      <c r="AK1061" s="54">
        <f t="shared" si="203"/>
        <v>0.62810979497491892</v>
      </c>
    </row>
    <row r="1062" spans="18:37" x14ac:dyDescent="0.45">
      <c r="R1062" s="2">
        <v>27.38</v>
      </c>
      <c r="S1062" s="2">
        <v>5.6952000000000001E-4</v>
      </c>
      <c r="T1062" s="2">
        <v>2.7745999999999999E-4</v>
      </c>
      <c r="V1062" s="11"/>
      <c r="W1062" s="6"/>
      <c r="X1062" s="6">
        <v>10.43</v>
      </c>
      <c r="Y1062" s="11" t="str">
        <f t="shared" si="204"/>
        <v/>
      </c>
      <c r="Z1062" s="6" t="str">
        <f t="shared" si="205"/>
        <v/>
      </c>
      <c r="AA1062" s="23">
        <f t="shared" si="206"/>
        <v>40.43</v>
      </c>
      <c r="AB1062" t="str">
        <f t="shared" si="195"/>
        <v/>
      </c>
      <c r="AC1062" t="str">
        <f t="shared" si="196"/>
        <v/>
      </c>
      <c r="AD1062">
        <f t="shared" si="197"/>
        <v>9.3296000000000004E-4</v>
      </c>
      <c r="AE1062" s="18" t="str">
        <f t="shared" si="198"/>
        <v/>
      </c>
      <c r="AF1062" s="7" t="str">
        <f t="shared" si="199"/>
        <v/>
      </c>
      <c r="AG1062" s="12">
        <f t="shared" si="200"/>
        <v>0.99266082115184218</v>
      </c>
      <c r="AI1062" s="54" t="str">
        <f t="shared" si="201"/>
        <v/>
      </c>
      <c r="AJ1062" s="54" t="str">
        <f t="shared" si="202"/>
        <v/>
      </c>
      <c r="AK1062" s="54">
        <f t="shared" si="203"/>
        <v>0.62884846381809001</v>
      </c>
    </row>
    <row r="1063" spans="18:37" x14ac:dyDescent="0.45">
      <c r="R1063" s="2">
        <v>27.39</v>
      </c>
      <c r="S1063" s="2">
        <v>5.6955999999999999E-4</v>
      </c>
      <c r="T1063" s="2">
        <v>2.7763000000000001E-4</v>
      </c>
      <c r="V1063" s="11"/>
      <c r="W1063" s="6"/>
      <c r="X1063" s="6">
        <v>10.44</v>
      </c>
      <c r="Y1063" s="11" t="str">
        <f t="shared" si="204"/>
        <v/>
      </c>
      <c r="Z1063" s="6" t="str">
        <f t="shared" si="205"/>
        <v/>
      </c>
      <c r="AA1063" s="23">
        <f t="shared" si="206"/>
        <v>40.44</v>
      </c>
      <c r="AB1063" t="str">
        <f t="shared" si="195"/>
        <v/>
      </c>
      <c r="AC1063" t="str">
        <f t="shared" si="196"/>
        <v/>
      </c>
      <c r="AD1063">
        <f t="shared" si="197"/>
        <v>9.3367999999999999E-4</v>
      </c>
      <c r="AE1063" s="18" t="str">
        <f t="shared" si="198"/>
        <v/>
      </c>
      <c r="AF1063" s="7" t="str">
        <f t="shared" si="199"/>
        <v/>
      </c>
      <c r="AG1063" s="12">
        <f t="shared" si="200"/>
        <v>0.99265156002344512</v>
      </c>
      <c r="AI1063" s="54" t="str">
        <f t="shared" si="201"/>
        <v/>
      </c>
      <c r="AJ1063" s="54" t="str">
        <f t="shared" si="202"/>
        <v/>
      </c>
      <c r="AK1063" s="54">
        <f t="shared" si="203"/>
        <v>0.62958743234267378</v>
      </c>
    </row>
    <row r="1064" spans="18:37" x14ac:dyDescent="0.45">
      <c r="R1064" s="2">
        <v>27.4</v>
      </c>
      <c r="S1064" s="2">
        <v>5.6959999999999997E-4</v>
      </c>
      <c r="T1064" s="2">
        <v>2.7779999999999998E-4</v>
      </c>
      <c r="V1064" s="11"/>
      <c r="W1064" s="6"/>
      <c r="X1064" s="6">
        <v>10.450000000000001</v>
      </c>
      <c r="Y1064" s="11" t="str">
        <f t="shared" si="204"/>
        <v/>
      </c>
      <c r="Z1064" s="6" t="str">
        <f t="shared" si="205"/>
        <v/>
      </c>
      <c r="AA1064" s="23">
        <f t="shared" si="206"/>
        <v>40.450000000000003</v>
      </c>
      <c r="AB1064" t="str">
        <f t="shared" si="195"/>
        <v/>
      </c>
      <c r="AC1064" t="str">
        <f t="shared" si="196"/>
        <v/>
      </c>
      <c r="AD1064">
        <f t="shared" si="197"/>
        <v>9.3440000000000005E-4</v>
      </c>
      <c r="AE1064" s="18" t="str">
        <f t="shared" si="198"/>
        <v/>
      </c>
      <c r="AF1064" s="7" t="str">
        <f t="shared" si="199"/>
        <v/>
      </c>
      <c r="AG1064" s="12">
        <f t="shared" si="200"/>
        <v>0.99264229183435948</v>
      </c>
      <c r="AI1064" s="54" t="str">
        <f t="shared" si="201"/>
        <v/>
      </c>
      <c r="AJ1064" s="54" t="str">
        <f t="shared" si="202"/>
        <v/>
      </c>
      <c r="AK1064" s="54">
        <f t="shared" si="203"/>
        <v>0.6303267006819776</v>
      </c>
    </row>
    <row r="1065" spans="18:37" x14ac:dyDescent="0.45">
      <c r="R1065" s="2">
        <v>27.41</v>
      </c>
      <c r="S1065" s="2">
        <v>5.6963999999999995E-4</v>
      </c>
      <c r="T1065" s="2">
        <v>2.7797E-4</v>
      </c>
      <c r="V1065" s="11"/>
      <c r="W1065" s="6"/>
      <c r="X1065" s="6">
        <v>10.46</v>
      </c>
      <c r="Y1065" s="11" t="str">
        <f t="shared" si="204"/>
        <v/>
      </c>
      <c r="Z1065" s="6" t="str">
        <f t="shared" si="205"/>
        <v/>
      </c>
      <c r="AA1065" s="23">
        <f t="shared" si="206"/>
        <v>40.46</v>
      </c>
      <c r="AB1065" t="str">
        <f t="shared" si="195"/>
        <v/>
      </c>
      <c r="AC1065" t="str">
        <f t="shared" si="196"/>
        <v/>
      </c>
      <c r="AD1065">
        <f t="shared" si="197"/>
        <v>9.3512000000000001E-4</v>
      </c>
      <c r="AE1065" s="18" t="str">
        <f t="shared" si="198"/>
        <v/>
      </c>
      <c r="AF1065" s="7" t="str">
        <f t="shared" si="199"/>
        <v/>
      </c>
      <c r="AG1065" s="12">
        <f t="shared" si="200"/>
        <v>0.99263301658478453</v>
      </c>
      <c r="AI1065" s="54" t="str">
        <f t="shared" si="201"/>
        <v/>
      </c>
      <c r="AJ1065" s="54" t="str">
        <f t="shared" si="202"/>
        <v/>
      </c>
      <c r="AK1065" s="54">
        <f t="shared" si="203"/>
        <v>0.63106626896937001</v>
      </c>
    </row>
    <row r="1066" spans="18:37" x14ac:dyDescent="0.45">
      <c r="R1066" s="2">
        <v>27.42</v>
      </c>
      <c r="S1066" s="2">
        <v>5.6968000000000003E-4</v>
      </c>
      <c r="T1066" s="2">
        <v>2.7814000000000002E-4</v>
      </c>
      <c r="V1066" s="11"/>
      <c r="W1066" s="6"/>
      <c r="X1066" s="6">
        <v>10.47</v>
      </c>
      <c r="Y1066" s="11" t="str">
        <f t="shared" si="204"/>
        <v/>
      </c>
      <c r="Z1066" s="6" t="str">
        <f t="shared" si="205"/>
        <v/>
      </c>
      <c r="AA1066" s="23">
        <f t="shared" si="206"/>
        <v>40.47</v>
      </c>
      <c r="AB1066" t="str">
        <f t="shared" si="195"/>
        <v/>
      </c>
      <c r="AC1066" t="str">
        <f t="shared" si="196"/>
        <v/>
      </c>
      <c r="AD1066">
        <f t="shared" si="197"/>
        <v>9.3583999999999996E-4</v>
      </c>
      <c r="AE1066" s="18" t="str">
        <f t="shared" si="198"/>
        <v/>
      </c>
      <c r="AF1066" s="7" t="str">
        <f t="shared" si="199"/>
        <v/>
      </c>
      <c r="AG1066" s="12">
        <f t="shared" si="200"/>
        <v>0.9926237342749199</v>
      </c>
      <c r="AI1066" s="54" t="str">
        <f t="shared" si="201"/>
        <v/>
      </c>
      <c r="AJ1066" s="54" t="str">
        <f t="shared" si="202"/>
        <v/>
      </c>
      <c r="AK1066" s="54">
        <f t="shared" si="203"/>
        <v>0.63180613733828062</v>
      </c>
    </row>
    <row r="1067" spans="18:37" x14ac:dyDescent="0.45">
      <c r="R1067" s="2">
        <v>27.43</v>
      </c>
      <c r="S1067" s="2">
        <v>5.6972000000000001E-4</v>
      </c>
      <c r="T1067" s="2">
        <v>2.7830999999999998E-4</v>
      </c>
      <c r="V1067" s="11"/>
      <c r="W1067" s="6"/>
      <c r="X1067" s="6">
        <v>10.48</v>
      </c>
      <c r="Y1067" s="11" t="str">
        <f t="shared" si="204"/>
        <v/>
      </c>
      <c r="Z1067" s="6" t="str">
        <f t="shared" si="205"/>
        <v/>
      </c>
      <c r="AA1067" s="23">
        <f t="shared" si="206"/>
        <v>40.480000000000004</v>
      </c>
      <c r="AB1067" t="str">
        <f t="shared" si="195"/>
        <v/>
      </c>
      <c r="AC1067" t="str">
        <f t="shared" si="196"/>
        <v/>
      </c>
      <c r="AD1067">
        <f t="shared" si="197"/>
        <v>9.3656000000000002E-4</v>
      </c>
      <c r="AE1067" s="18" t="str">
        <f t="shared" si="198"/>
        <v/>
      </c>
      <c r="AF1067" s="7" t="str">
        <f t="shared" si="199"/>
        <v/>
      </c>
      <c r="AG1067" s="12">
        <f t="shared" si="200"/>
        <v>0.99261444490496509</v>
      </c>
      <c r="AI1067" s="54" t="str">
        <f t="shared" si="201"/>
        <v/>
      </c>
      <c r="AJ1067" s="54" t="str">
        <f t="shared" si="202"/>
        <v/>
      </c>
      <c r="AK1067" s="54">
        <f t="shared" si="203"/>
        <v>0.63254630592220007</v>
      </c>
    </row>
    <row r="1068" spans="18:37" x14ac:dyDescent="0.45">
      <c r="R1068" s="2">
        <v>27.44</v>
      </c>
      <c r="S1068" s="2">
        <v>5.6975999999999999E-4</v>
      </c>
      <c r="T1068" s="2">
        <v>2.7848E-4</v>
      </c>
      <c r="V1068" s="11"/>
      <c r="W1068" s="6"/>
      <c r="X1068" s="6">
        <v>10.49</v>
      </c>
      <c r="Y1068" s="11" t="str">
        <f t="shared" si="204"/>
        <v/>
      </c>
      <c r="Z1068" s="6" t="str">
        <f t="shared" si="205"/>
        <v/>
      </c>
      <c r="AA1068" s="23">
        <f t="shared" si="206"/>
        <v>40.49</v>
      </c>
      <c r="AB1068" t="str">
        <f t="shared" si="195"/>
        <v/>
      </c>
      <c r="AC1068" t="str">
        <f t="shared" si="196"/>
        <v/>
      </c>
      <c r="AD1068">
        <f t="shared" si="197"/>
        <v>9.3727999999999997E-4</v>
      </c>
      <c r="AE1068" s="18" t="str">
        <f t="shared" si="198"/>
        <v/>
      </c>
      <c r="AF1068" s="7" t="str">
        <f t="shared" si="199"/>
        <v/>
      </c>
      <c r="AG1068" s="12">
        <f t="shared" si="200"/>
        <v>0.99260514847511994</v>
      </c>
      <c r="AI1068" s="54" t="str">
        <f t="shared" si="201"/>
        <v/>
      </c>
      <c r="AJ1068" s="54" t="str">
        <f t="shared" si="202"/>
        <v/>
      </c>
      <c r="AK1068" s="54">
        <f t="shared" si="203"/>
        <v>0.63328677485468021</v>
      </c>
    </row>
    <row r="1069" spans="18:37" x14ac:dyDescent="0.45">
      <c r="R1069" s="2">
        <v>27.45</v>
      </c>
      <c r="S1069" s="2">
        <v>5.6979999999999997E-4</v>
      </c>
      <c r="T1069" s="2">
        <v>2.7865000000000002E-4</v>
      </c>
      <c r="V1069" s="11"/>
      <c r="W1069" s="6"/>
      <c r="X1069" s="6">
        <v>10.5</v>
      </c>
      <c r="Y1069" s="11" t="str">
        <f t="shared" si="204"/>
        <v/>
      </c>
      <c r="Z1069" s="6" t="str">
        <f t="shared" si="205"/>
        <v/>
      </c>
      <c r="AA1069" s="23">
        <f t="shared" si="206"/>
        <v>40.5</v>
      </c>
      <c r="AB1069" t="str">
        <f t="shared" si="195"/>
        <v/>
      </c>
      <c r="AC1069" t="str">
        <f t="shared" si="196"/>
        <v/>
      </c>
      <c r="AD1069">
        <f t="shared" si="197"/>
        <v>9.3800000000000003E-4</v>
      </c>
      <c r="AE1069" s="18" t="str">
        <f t="shared" si="198"/>
        <v/>
      </c>
      <c r="AF1069" s="7" t="str">
        <f t="shared" si="199"/>
        <v/>
      </c>
      <c r="AG1069" s="12">
        <f t="shared" si="200"/>
        <v>0.99259584498558429</v>
      </c>
      <c r="AI1069" s="54" t="str">
        <f t="shared" si="201"/>
        <v/>
      </c>
      <c r="AJ1069" s="54" t="str">
        <f t="shared" si="202"/>
        <v/>
      </c>
      <c r="AK1069" s="54">
        <f t="shared" si="203"/>
        <v>0.63402754426933394</v>
      </c>
    </row>
    <row r="1070" spans="18:37" x14ac:dyDescent="0.45">
      <c r="R1070" s="2">
        <v>27.46</v>
      </c>
      <c r="S1070" s="2">
        <v>5.6983999999999995E-4</v>
      </c>
      <c r="T1070" s="2">
        <v>2.7881999999999999E-4</v>
      </c>
      <c r="V1070" s="11"/>
      <c r="W1070" s="6"/>
      <c r="X1070" s="6">
        <v>10.51</v>
      </c>
      <c r="Y1070" s="11" t="str">
        <f t="shared" si="204"/>
        <v/>
      </c>
      <c r="Z1070" s="6" t="str">
        <f t="shared" si="205"/>
        <v/>
      </c>
      <c r="AA1070" s="23">
        <f t="shared" si="206"/>
        <v>40.51</v>
      </c>
      <c r="AB1070" t="str">
        <f t="shared" si="195"/>
        <v/>
      </c>
      <c r="AC1070" t="str">
        <f t="shared" si="196"/>
        <v/>
      </c>
      <c r="AD1070">
        <f t="shared" si="197"/>
        <v>9.3871999999999998E-4</v>
      </c>
      <c r="AE1070" s="18" t="str">
        <f t="shared" si="198"/>
        <v/>
      </c>
      <c r="AF1070" s="7" t="str">
        <f t="shared" si="199"/>
        <v/>
      </c>
      <c r="AG1070" s="12">
        <f t="shared" si="200"/>
        <v>0.99258653443655831</v>
      </c>
      <c r="AI1070" s="54" t="str">
        <f t="shared" si="201"/>
        <v/>
      </c>
      <c r="AJ1070" s="54" t="str">
        <f t="shared" si="202"/>
        <v/>
      </c>
      <c r="AK1070" s="54">
        <f t="shared" si="203"/>
        <v>0.63476861429983544</v>
      </c>
    </row>
    <row r="1071" spans="18:37" x14ac:dyDescent="0.45">
      <c r="R1071" s="2">
        <v>27.47</v>
      </c>
      <c r="S1071" s="2">
        <v>5.6988000000000004E-4</v>
      </c>
      <c r="T1071" s="2">
        <v>2.7899000000000001E-4</v>
      </c>
      <c r="V1071" s="11"/>
      <c r="W1071" s="6"/>
      <c r="X1071" s="6">
        <v>10.52</v>
      </c>
      <c r="Y1071" s="11" t="str">
        <f t="shared" si="204"/>
        <v/>
      </c>
      <c r="Z1071" s="6" t="str">
        <f t="shared" si="205"/>
        <v/>
      </c>
      <c r="AA1071" s="23">
        <f t="shared" si="206"/>
        <v>40.519999999999996</v>
      </c>
      <c r="AB1071" t="str">
        <f t="shared" si="195"/>
        <v/>
      </c>
      <c r="AC1071" t="str">
        <f t="shared" si="196"/>
        <v/>
      </c>
      <c r="AD1071">
        <f t="shared" si="197"/>
        <v>9.3871999999999998E-4</v>
      </c>
      <c r="AE1071" s="18" t="str">
        <f t="shared" si="198"/>
        <v/>
      </c>
      <c r="AF1071" s="7" t="str">
        <f t="shared" si="199"/>
        <v/>
      </c>
      <c r="AG1071" s="12">
        <f t="shared" si="200"/>
        <v>0.99257721682824229</v>
      </c>
      <c r="AI1071" s="54" t="str">
        <f t="shared" si="201"/>
        <v/>
      </c>
      <c r="AJ1071" s="54" t="str">
        <f t="shared" si="202"/>
        <v/>
      </c>
      <c r="AK1071" s="54">
        <f t="shared" si="203"/>
        <v>0.63550998507992007</v>
      </c>
    </row>
    <row r="1072" spans="18:37" x14ac:dyDescent="0.45">
      <c r="R1072" s="2">
        <v>27.48</v>
      </c>
      <c r="S1072" s="2">
        <v>5.6992000000000002E-4</v>
      </c>
      <c r="T1072" s="2">
        <v>2.7915999999999998E-4</v>
      </c>
      <c r="V1072" s="11"/>
      <c r="W1072" s="6"/>
      <c r="X1072" s="6">
        <v>10.53</v>
      </c>
      <c r="Y1072" s="11" t="str">
        <f t="shared" si="204"/>
        <v/>
      </c>
      <c r="Z1072" s="6" t="str">
        <f t="shared" si="205"/>
        <v/>
      </c>
      <c r="AA1072" s="23">
        <f t="shared" si="206"/>
        <v>40.53</v>
      </c>
      <c r="AB1072" t="str">
        <f t="shared" si="195"/>
        <v/>
      </c>
      <c r="AC1072" t="str">
        <f t="shared" si="196"/>
        <v/>
      </c>
      <c r="AD1072">
        <f t="shared" si="197"/>
        <v>9.4016E-4</v>
      </c>
      <c r="AE1072" s="18" t="str">
        <f t="shared" si="198"/>
        <v/>
      </c>
      <c r="AF1072" s="7" t="str">
        <f t="shared" si="199"/>
        <v/>
      </c>
      <c r="AG1072" s="12">
        <f t="shared" si="200"/>
        <v>0.99256789930739253</v>
      </c>
      <c r="AI1072" s="54" t="str">
        <f t="shared" si="201"/>
        <v/>
      </c>
      <c r="AJ1072" s="54" t="str">
        <f t="shared" si="202"/>
        <v/>
      </c>
      <c r="AK1072" s="54">
        <f t="shared" si="203"/>
        <v>0.63625165936771244</v>
      </c>
    </row>
    <row r="1073" spans="18:37" x14ac:dyDescent="0.45">
      <c r="R1073" s="2">
        <v>27.49</v>
      </c>
      <c r="S1073" s="2">
        <v>5.6996E-4</v>
      </c>
      <c r="T1073" s="2">
        <v>2.7933E-4</v>
      </c>
      <c r="V1073" s="11"/>
      <c r="W1073" s="6"/>
      <c r="X1073" s="6">
        <v>10.540000000000001</v>
      </c>
      <c r="Y1073" s="11" t="str">
        <f t="shared" si="204"/>
        <v/>
      </c>
      <c r="Z1073" s="6" t="str">
        <f t="shared" si="205"/>
        <v/>
      </c>
      <c r="AA1073" s="23">
        <f t="shared" si="206"/>
        <v>40.54</v>
      </c>
      <c r="AB1073" t="str">
        <f t="shared" si="195"/>
        <v/>
      </c>
      <c r="AC1073" t="str">
        <f t="shared" si="196"/>
        <v/>
      </c>
      <c r="AD1073">
        <f t="shared" si="197"/>
        <v>9.4087999999999995E-4</v>
      </c>
      <c r="AE1073" s="18" t="str">
        <f t="shared" si="198"/>
        <v/>
      </c>
      <c r="AF1073" s="7" t="str">
        <f t="shared" si="199"/>
        <v/>
      </c>
      <c r="AG1073" s="12">
        <f t="shared" si="200"/>
        <v>0.99255856758103045</v>
      </c>
      <c r="AI1073" s="54" t="str">
        <f t="shared" si="201"/>
        <v/>
      </c>
      <c r="AJ1073" s="54" t="str">
        <f t="shared" si="202"/>
        <v/>
      </c>
      <c r="AK1073" s="54">
        <f t="shared" si="203"/>
        <v>0.63699363204948878</v>
      </c>
    </row>
    <row r="1074" spans="18:37" x14ac:dyDescent="0.45">
      <c r="R1074" s="2">
        <v>27.5</v>
      </c>
      <c r="S1074" s="2">
        <v>5.6999999999999998E-4</v>
      </c>
      <c r="T1074" s="2">
        <v>2.7950000000000002E-4</v>
      </c>
      <c r="V1074" s="11"/>
      <c r="W1074" s="6"/>
      <c r="X1074" s="6">
        <v>10.55</v>
      </c>
      <c r="Y1074" s="11" t="str">
        <f t="shared" si="204"/>
        <v/>
      </c>
      <c r="Z1074" s="6" t="str">
        <f t="shared" si="205"/>
        <v/>
      </c>
      <c r="AA1074" s="23">
        <f t="shared" si="206"/>
        <v>40.549999999999997</v>
      </c>
      <c r="AB1074" t="str">
        <f t="shared" si="195"/>
        <v/>
      </c>
      <c r="AC1074" t="str">
        <f t="shared" si="196"/>
        <v/>
      </c>
      <c r="AD1074">
        <f t="shared" si="197"/>
        <v>9.4160000000000001E-4</v>
      </c>
      <c r="AE1074" s="18" t="str">
        <f t="shared" si="198"/>
        <v/>
      </c>
      <c r="AF1074" s="7" t="str">
        <f t="shared" si="199"/>
        <v/>
      </c>
      <c r="AG1074" s="12">
        <f t="shared" si="200"/>
        <v>0.99254922879597984</v>
      </c>
      <c r="AI1074" s="54" t="str">
        <f t="shared" si="201"/>
        <v/>
      </c>
      <c r="AJ1074" s="54" t="str">
        <f t="shared" si="202"/>
        <v/>
      </c>
      <c r="AK1074" s="54">
        <f t="shared" si="203"/>
        <v>0.63773590588242235</v>
      </c>
    </row>
    <row r="1075" spans="18:37" x14ac:dyDescent="0.45">
      <c r="R1075" s="2">
        <v>27.51</v>
      </c>
      <c r="S1075" s="2">
        <v>5.7003999999999996E-4</v>
      </c>
      <c r="T1075" s="2">
        <v>2.7966999999999998E-4</v>
      </c>
      <c r="V1075" s="11"/>
      <c r="W1075" s="6"/>
      <c r="X1075" s="6">
        <v>10.56</v>
      </c>
      <c r="Y1075" s="11" t="str">
        <f t="shared" si="204"/>
        <v/>
      </c>
      <c r="Z1075" s="6" t="str">
        <f t="shared" si="205"/>
        <v/>
      </c>
      <c r="AA1075" s="23">
        <f t="shared" si="206"/>
        <v>40.56</v>
      </c>
      <c r="AB1075" t="str">
        <f t="shared" si="195"/>
        <v/>
      </c>
      <c r="AC1075" t="str">
        <f t="shared" si="196"/>
        <v/>
      </c>
      <c r="AD1075">
        <f t="shared" si="197"/>
        <v>9.4231999999999996E-4</v>
      </c>
      <c r="AE1075" s="18" t="str">
        <f t="shared" si="198"/>
        <v/>
      </c>
      <c r="AF1075" s="7" t="str">
        <f t="shared" si="199"/>
        <v/>
      </c>
      <c r="AG1075" s="12">
        <f t="shared" si="200"/>
        <v>0.99253988295244155</v>
      </c>
      <c r="AI1075" s="54" t="str">
        <f t="shared" si="201"/>
        <v/>
      </c>
      <c r="AJ1075" s="54" t="str">
        <f t="shared" si="202"/>
        <v/>
      </c>
      <c r="AK1075" s="54">
        <f t="shared" si="203"/>
        <v>0.63847848100049365</v>
      </c>
    </row>
    <row r="1076" spans="18:37" x14ac:dyDescent="0.45">
      <c r="R1076" s="2">
        <v>27.52</v>
      </c>
      <c r="S1076" s="2">
        <v>5.7008000000000004E-4</v>
      </c>
      <c r="T1076" s="2">
        <v>2.7984E-4</v>
      </c>
      <c r="V1076" s="11"/>
      <c r="W1076" s="6"/>
      <c r="X1076" s="6">
        <v>10.57</v>
      </c>
      <c r="Y1076" s="11" t="str">
        <f t="shared" si="204"/>
        <v/>
      </c>
      <c r="Z1076" s="6" t="str">
        <f t="shared" si="205"/>
        <v/>
      </c>
      <c r="AA1076" s="23">
        <f t="shared" si="206"/>
        <v>40.57</v>
      </c>
      <c r="AB1076" t="str">
        <f t="shared" si="195"/>
        <v/>
      </c>
      <c r="AC1076" t="str">
        <f t="shared" si="196"/>
        <v/>
      </c>
      <c r="AD1076">
        <f t="shared" si="197"/>
        <v>9.4304000000000002E-4</v>
      </c>
      <c r="AE1076" s="18" t="str">
        <f t="shared" si="198"/>
        <v/>
      </c>
      <c r="AF1076" s="7" t="str">
        <f t="shared" si="199"/>
        <v/>
      </c>
      <c r="AG1076" s="12">
        <f t="shared" si="200"/>
        <v>0.99253053005061653</v>
      </c>
      <c r="AI1076" s="54" t="str">
        <f t="shared" si="201"/>
        <v/>
      </c>
      <c r="AJ1076" s="54" t="str">
        <f t="shared" si="202"/>
        <v/>
      </c>
      <c r="AK1076" s="54">
        <f t="shared" si="203"/>
        <v>0.63922135753774445</v>
      </c>
    </row>
    <row r="1077" spans="18:37" x14ac:dyDescent="0.45">
      <c r="R1077" s="2">
        <v>27.53</v>
      </c>
      <c r="S1077" s="2">
        <v>5.7012000000000002E-4</v>
      </c>
      <c r="T1077" s="2">
        <v>2.8001000000000002E-4</v>
      </c>
      <c r="V1077" s="11"/>
      <c r="W1077" s="6"/>
      <c r="X1077" s="6">
        <v>10.58</v>
      </c>
      <c r="Y1077" s="11" t="str">
        <f t="shared" si="204"/>
        <v/>
      </c>
      <c r="Z1077" s="6" t="str">
        <f t="shared" si="205"/>
        <v/>
      </c>
      <c r="AA1077" s="23">
        <f t="shared" si="206"/>
        <v>40.58</v>
      </c>
      <c r="AB1077" t="str">
        <f t="shared" si="195"/>
        <v/>
      </c>
      <c r="AC1077" t="str">
        <f t="shared" si="196"/>
        <v/>
      </c>
      <c r="AD1077">
        <f t="shared" si="197"/>
        <v>9.4375999999999998E-4</v>
      </c>
      <c r="AE1077" s="18" t="str">
        <f t="shared" si="198"/>
        <v/>
      </c>
      <c r="AF1077" s="7" t="str">
        <f t="shared" si="199"/>
        <v/>
      </c>
      <c r="AG1077" s="12">
        <f t="shared" si="200"/>
        <v>0.99252117009070595</v>
      </c>
      <c r="AI1077" s="54" t="str">
        <f t="shared" si="201"/>
        <v/>
      </c>
      <c r="AJ1077" s="54" t="str">
        <f t="shared" si="202"/>
        <v/>
      </c>
      <c r="AK1077" s="54">
        <f t="shared" si="203"/>
        <v>0.63996453562827815</v>
      </c>
    </row>
    <row r="1078" spans="18:37" x14ac:dyDescent="0.45">
      <c r="R1078" s="2">
        <v>27.54</v>
      </c>
      <c r="S1078" s="2">
        <v>5.7016E-4</v>
      </c>
      <c r="T1078" s="2">
        <v>2.8017999999999999E-4</v>
      </c>
      <c r="V1078" s="11"/>
      <c r="W1078" s="6"/>
      <c r="X1078" s="6">
        <v>10.59</v>
      </c>
      <c r="Y1078" s="11" t="str">
        <f t="shared" si="204"/>
        <v/>
      </c>
      <c r="Z1078" s="6" t="str">
        <f t="shared" si="205"/>
        <v/>
      </c>
      <c r="AA1078" s="23">
        <f t="shared" si="206"/>
        <v>40.590000000000003</v>
      </c>
      <c r="AB1078" t="str">
        <f t="shared" si="195"/>
        <v/>
      </c>
      <c r="AC1078" t="str">
        <f t="shared" si="196"/>
        <v/>
      </c>
      <c r="AD1078">
        <f t="shared" si="197"/>
        <v>9.4448000000000004E-4</v>
      </c>
      <c r="AE1078" s="18" t="str">
        <f t="shared" si="198"/>
        <v/>
      </c>
      <c r="AF1078" s="7" t="str">
        <f t="shared" si="199"/>
        <v/>
      </c>
      <c r="AG1078" s="12">
        <f t="shared" si="200"/>
        <v>0.99251180307291109</v>
      </c>
      <c r="AI1078" s="54" t="str">
        <f t="shared" si="201"/>
        <v/>
      </c>
      <c r="AJ1078" s="54" t="str">
        <f t="shared" si="202"/>
        <v/>
      </c>
      <c r="AK1078" s="54">
        <f t="shared" si="203"/>
        <v>0.64070801540625943</v>
      </c>
    </row>
    <row r="1079" spans="18:37" x14ac:dyDescent="0.45">
      <c r="R1079" s="2">
        <v>27.55</v>
      </c>
      <c r="S1079" s="2">
        <v>5.7019999999999998E-4</v>
      </c>
      <c r="T1079" s="2">
        <v>2.8035000000000001E-4</v>
      </c>
      <c r="V1079" s="11"/>
      <c r="W1079" s="6"/>
      <c r="X1079" s="6">
        <v>10.6</v>
      </c>
      <c r="Y1079" s="11" t="str">
        <f t="shared" si="204"/>
        <v/>
      </c>
      <c r="Z1079" s="6" t="str">
        <f t="shared" si="205"/>
        <v/>
      </c>
      <c r="AA1079" s="23">
        <f t="shared" si="206"/>
        <v>40.6</v>
      </c>
      <c r="AB1079" t="str">
        <f t="shared" si="195"/>
        <v/>
      </c>
      <c r="AC1079" t="str">
        <f t="shared" si="196"/>
        <v/>
      </c>
      <c r="AD1079">
        <f t="shared" si="197"/>
        <v>9.4519999999999999E-4</v>
      </c>
      <c r="AE1079" s="18" t="str">
        <f t="shared" si="198"/>
        <v/>
      </c>
      <c r="AF1079" s="7" t="str">
        <f t="shared" si="199"/>
        <v/>
      </c>
      <c r="AG1079" s="12">
        <f t="shared" si="200"/>
        <v>0.99250242899743346</v>
      </c>
      <c r="AI1079" s="54" t="str">
        <f t="shared" si="201"/>
        <v/>
      </c>
      <c r="AJ1079" s="54" t="str">
        <f t="shared" si="202"/>
        <v/>
      </c>
      <c r="AK1079" s="54">
        <f t="shared" si="203"/>
        <v>0.64145179700591437</v>
      </c>
    </row>
    <row r="1080" spans="18:37" x14ac:dyDescent="0.45">
      <c r="R1080" s="2">
        <v>27.56</v>
      </c>
      <c r="S1080" s="2">
        <v>5.7023999999999996E-4</v>
      </c>
      <c r="T1080" s="2">
        <v>2.8051999999999998E-4</v>
      </c>
      <c r="V1080" s="11"/>
      <c r="W1080" s="6"/>
      <c r="X1080" s="6">
        <v>10.61</v>
      </c>
      <c r="Y1080" s="11" t="str">
        <f t="shared" si="204"/>
        <v/>
      </c>
      <c r="Z1080" s="6" t="str">
        <f t="shared" si="205"/>
        <v/>
      </c>
      <c r="AA1080" s="23">
        <f t="shared" si="206"/>
        <v>40.61</v>
      </c>
      <c r="AB1080" t="str">
        <f t="shared" si="195"/>
        <v/>
      </c>
      <c r="AC1080" t="str">
        <f t="shared" si="196"/>
        <v/>
      </c>
      <c r="AD1080">
        <f t="shared" si="197"/>
        <v>9.4592000000000005E-4</v>
      </c>
      <c r="AE1080" s="18" t="str">
        <f t="shared" si="198"/>
        <v/>
      </c>
      <c r="AF1080" s="7" t="str">
        <f t="shared" si="199"/>
        <v/>
      </c>
      <c r="AG1080" s="12">
        <f t="shared" si="200"/>
        <v>0.99249304786447456</v>
      </c>
      <c r="AI1080" s="54" t="str">
        <f t="shared" si="201"/>
        <v/>
      </c>
      <c r="AJ1080" s="54" t="str">
        <f t="shared" si="202"/>
        <v/>
      </c>
      <c r="AK1080" s="54">
        <f t="shared" si="203"/>
        <v>0.64219588056153054</v>
      </c>
    </row>
    <row r="1081" spans="18:37" x14ac:dyDescent="0.45">
      <c r="R1081" s="2">
        <v>27.57</v>
      </c>
      <c r="S1081" s="2">
        <v>5.7028000000000005E-4</v>
      </c>
      <c r="T1081" s="2">
        <v>2.8069E-4</v>
      </c>
      <c r="V1081" s="11"/>
      <c r="W1081" s="6"/>
      <c r="X1081" s="6">
        <v>10.620000000000001</v>
      </c>
      <c r="Y1081" s="11" t="str">
        <f t="shared" si="204"/>
        <v/>
      </c>
      <c r="Z1081" s="6" t="str">
        <f t="shared" si="205"/>
        <v/>
      </c>
      <c r="AA1081" s="23">
        <f t="shared" si="206"/>
        <v>40.620000000000005</v>
      </c>
      <c r="AB1081" t="str">
        <f t="shared" si="195"/>
        <v/>
      </c>
      <c r="AC1081" t="str">
        <f t="shared" si="196"/>
        <v/>
      </c>
      <c r="AD1081">
        <f t="shared" si="197"/>
        <v>9.4664E-4</v>
      </c>
      <c r="AE1081" s="18" t="str">
        <f t="shared" si="198"/>
        <v/>
      </c>
      <c r="AF1081" s="7" t="str">
        <f t="shared" si="199"/>
        <v/>
      </c>
      <c r="AG1081" s="12">
        <f t="shared" si="200"/>
        <v>0.99248365967423624</v>
      </c>
      <c r="AI1081" s="54" t="str">
        <f t="shared" si="201"/>
        <v/>
      </c>
      <c r="AJ1081" s="54" t="str">
        <f t="shared" si="202"/>
        <v/>
      </c>
      <c r="AK1081" s="54">
        <f t="shared" si="203"/>
        <v>0.64294026620745703</v>
      </c>
    </row>
    <row r="1082" spans="18:37" x14ac:dyDescent="0.45">
      <c r="R1082" s="2">
        <v>27.58</v>
      </c>
      <c r="S1082" s="2">
        <v>5.7032000000000003E-4</v>
      </c>
      <c r="T1082" s="2">
        <v>2.8086000000000002E-4</v>
      </c>
      <c r="V1082" s="11"/>
      <c r="W1082" s="6"/>
      <c r="X1082" s="6">
        <v>10.63</v>
      </c>
      <c r="Y1082" s="11" t="str">
        <f t="shared" si="204"/>
        <v/>
      </c>
      <c r="Z1082" s="6" t="str">
        <f t="shared" si="205"/>
        <v/>
      </c>
      <c r="AA1082" s="23">
        <f t="shared" si="206"/>
        <v>40.630000000000003</v>
      </c>
      <c r="AB1082" t="str">
        <f t="shared" si="195"/>
        <v/>
      </c>
      <c r="AC1082" t="str">
        <f t="shared" si="196"/>
        <v/>
      </c>
      <c r="AD1082">
        <f t="shared" si="197"/>
        <v>9.4735999999999996E-4</v>
      </c>
      <c r="AE1082" s="18" t="str">
        <f t="shared" si="198"/>
        <v/>
      </c>
      <c r="AF1082" s="7" t="str">
        <f t="shared" si="199"/>
        <v/>
      </c>
      <c r="AG1082" s="12">
        <f t="shared" si="200"/>
        <v>0.99247426442692033</v>
      </c>
      <c r="AI1082" s="54" t="str">
        <f t="shared" si="201"/>
        <v/>
      </c>
      <c r="AJ1082" s="54" t="str">
        <f t="shared" si="202"/>
        <v/>
      </c>
      <c r="AK1082" s="54">
        <f t="shared" si="203"/>
        <v>0.64368495407810455</v>
      </c>
    </row>
    <row r="1083" spans="18:37" x14ac:dyDescent="0.45">
      <c r="R1083" s="2">
        <v>27.59</v>
      </c>
      <c r="S1083" s="2">
        <v>5.7036000000000001E-4</v>
      </c>
      <c r="T1083" s="2">
        <v>2.8102999999999998E-4</v>
      </c>
      <c r="V1083" s="11"/>
      <c r="W1083" s="6"/>
      <c r="X1083" s="6">
        <v>10.64</v>
      </c>
      <c r="Y1083" s="11" t="str">
        <f t="shared" si="204"/>
        <v/>
      </c>
      <c r="Z1083" s="6" t="str">
        <f t="shared" si="205"/>
        <v/>
      </c>
      <c r="AA1083" s="23">
        <f t="shared" si="206"/>
        <v>40.64</v>
      </c>
      <c r="AB1083" t="str">
        <f t="shared" si="195"/>
        <v/>
      </c>
      <c r="AC1083" t="str">
        <f t="shared" si="196"/>
        <v/>
      </c>
      <c r="AD1083">
        <f t="shared" si="197"/>
        <v>9.4808000000000002E-4</v>
      </c>
      <c r="AE1083" s="18" t="str">
        <f t="shared" si="198"/>
        <v/>
      </c>
      <c r="AF1083" s="7" t="str">
        <f t="shared" si="199"/>
        <v/>
      </c>
      <c r="AG1083" s="12">
        <f t="shared" si="200"/>
        <v>0.99246486212272889</v>
      </c>
      <c r="AI1083" s="54" t="str">
        <f t="shared" si="201"/>
        <v/>
      </c>
      <c r="AJ1083" s="54" t="str">
        <f t="shared" si="202"/>
        <v/>
      </c>
      <c r="AK1083" s="54">
        <f t="shared" si="203"/>
        <v>0.6444299443079452</v>
      </c>
    </row>
    <row r="1084" spans="18:37" x14ac:dyDescent="0.45">
      <c r="R1084" s="2">
        <v>27.6</v>
      </c>
      <c r="S1084" s="2">
        <v>5.7039999999999999E-4</v>
      </c>
      <c r="T1084" s="2">
        <v>2.812E-4</v>
      </c>
      <c r="V1084" s="11"/>
      <c r="W1084" s="6"/>
      <c r="X1084" s="6">
        <v>10.65</v>
      </c>
      <c r="Y1084" s="11" t="str">
        <f t="shared" si="204"/>
        <v/>
      </c>
      <c r="Z1084" s="6" t="str">
        <f t="shared" si="205"/>
        <v/>
      </c>
      <c r="AA1084" s="23">
        <f t="shared" si="206"/>
        <v>40.65</v>
      </c>
      <c r="AB1084" t="str">
        <f t="shared" si="195"/>
        <v/>
      </c>
      <c r="AC1084" t="str">
        <f t="shared" si="196"/>
        <v/>
      </c>
      <c r="AD1084">
        <f t="shared" si="197"/>
        <v>9.4879999999999997E-4</v>
      </c>
      <c r="AE1084" s="18" t="str">
        <f t="shared" si="198"/>
        <v/>
      </c>
      <c r="AF1084" s="7" t="str">
        <f t="shared" si="199"/>
        <v/>
      </c>
      <c r="AG1084" s="12">
        <f t="shared" si="200"/>
        <v>0.99245545276186409</v>
      </c>
      <c r="AI1084" s="54" t="str">
        <f t="shared" si="201"/>
        <v/>
      </c>
      <c r="AJ1084" s="54" t="str">
        <f t="shared" si="202"/>
        <v/>
      </c>
      <c r="AK1084" s="54">
        <f t="shared" si="203"/>
        <v>0.64517523703151292</v>
      </c>
    </row>
    <row r="1085" spans="18:37" x14ac:dyDescent="0.45">
      <c r="R1085" s="2">
        <v>27.61</v>
      </c>
      <c r="S1085" s="2">
        <v>5.7043999999999997E-4</v>
      </c>
      <c r="T1085" s="2">
        <v>2.8137000000000003E-4</v>
      </c>
      <c r="V1085" s="11"/>
      <c r="W1085" s="6"/>
      <c r="X1085" s="6">
        <v>10.66</v>
      </c>
      <c r="Y1085" s="11" t="str">
        <f t="shared" si="204"/>
        <v/>
      </c>
      <c r="Z1085" s="6" t="str">
        <f t="shared" si="205"/>
        <v/>
      </c>
      <c r="AA1085" s="23">
        <f t="shared" si="206"/>
        <v>40.659999999999997</v>
      </c>
      <c r="AB1085" t="str">
        <f t="shared" si="195"/>
        <v/>
      </c>
      <c r="AC1085" t="str">
        <f t="shared" si="196"/>
        <v/>
      </c>
      <c r="AD1085">
        <f t="shared" si="197"/>
        <v>9.4952000000000003E-4</v>
      </c>
      <c r="AE1085" s="18" t="str">
        <f t="shared" si="198"/>
        <v/>
      </c>
      <c r="AF1085" s="7" t="str">
        <f t="shared" si="199"/>
        <v/>
      </c>
      <c r="AG1085" s="12">
        <f t="shared" si="200"/>
        <v>0.99244603634452833</v>
      </c>
      <c r="AI1085" s="54" t="str">
        <f t="shared" si="201"/>
        <v/>
      </c>
      <c r="AJ1085" s="54" t="str">
        <f t="shared" si="202"/>
        <v/>
      </c>
      <c r="AK1085" s="54">
        <f t="shared" si="203"/>
        <v>0.64592083238340292</v>
      </c>
    </row>
    <row r="1086" spans="18:37" x14ac:dyDescent="0.45">
      <c r="R1086" s="2">
        <v>27.62</v>
      </c>
      <c r="S1086" s="2">
        <v>5.7048000000000005E-4</v>
      </c>
      <c r="T1086" s="2">
        <v>2.8153999999999999E-4</v>
      </c>
      <c r="V1086" s="11"/>
      <c r="W1086" s="6"/>
      <c r="X1086" s="6">
        <v>10.67</v>
      </c>
      <c r="Y1086" s="11" t="str">
        <f t="shared" si="204"/>
        <v/>
      </c>
      <c r="Z1086" s="6" t="str">
        <f t="shared" si="205"/>
        <v/>
      </c>
      <c r="AA1086" s="23">
        <f t="shared" si="206"/>
        <v>40.67</v>
      </c>
      <c r="AB1086" t="str">
        <f t="shared" si="195"/>
        <v/>
      </c>
      <c r="AC1086" t="str">
        <f t="shared" si="196"/>
        <v/>
      </c>
      <c r="AD1086">
        <f t="shared" si="197"/>
        <v>9.5023999999999998E-4</v>
      </c>
      <c r="AE1086" s="18" t="str">
        <f t="shared" si="198"/>
        <v/>
      </c>
      <c r="AF1086" s="7" t="str">
        <f t="shared" si="199"/>
        <v/>
      </c>
      <c r="AG1086" s="12">
        <f t="shared" si="200"/>
        <v>0.992436612870924</v>
      </c>
      <c r="AI1086" s="54" t="str">
        <f t="shared" si="201"/>
        <v/>
      </c>
      <c r="AJ1086" s="54" t="str">
        <f t="shared" si="202"/>
        <v/>
      </c>
      <c r="AK1086" s="54">
        <f t="shared" si="203"/>
        <v>0.64666673049827239</v>
      </c>
    </row>
    <row r="1087" spans="18:37" x14ac:dyDescent="0.45">
      <c r="R1087" s="2">
        <v>27.63</v>
      </c>
      <c r="S1087" s="2">
        <v>5.7052000000000003E-4</v>
      </c>
      <c r="T1087" s="2">
        <v>2.8171000000000001E-4</v>
      </c>
      <c r="V1087" s="11"/>
      <c r="W1087" s="6"/>
      <c r="X1087" s="6">
        <v>10.68</v>
      </c>
      <c r="Y1087" s="11" t="str">
        <f t="shared" si="204"/>
        <v/>
      </c>
      <c r="Z1087" s="6" t="str">
        <f t="shared" si="205"/>
        <v/>
      </c>
      <c r="AA1087" s="23">
        <f t="shared" si="206"/>
        <v>40.68</v>
      </c>
      <c r="AB1087" t="str">
        <f t="shared" si="195"/>
        <v/>
      </c>
      <c r="AC1087" t="str">
        <f t="shared" si="196"/>
        <v/>
      </c>
      <c r="AD1087">
        <f t="shared" si="197"/>
        <v>9.5096000000000004E-4</v>
      </c>
      <c r="AE1087" s="18" t="str">
        <f t="shared" si="198"/>
        <v/>
      </c>
      <c r="AF1087" s="7" t="str">
        <f t="shared" si="199"/>
        <v/>
      </c>
      <c r="AG1087" s="12">
        <f t="shared" si="200"/>
        <v>0.99242718234125382</v>
      </c>
      <c r="AI1087" s="54" t="str">
        <f t="shared" si="201"/>
        <v/>
      </c>
      <c r="AJ1087" s="54" t="str">
        <f t="shared" si="202"/>
        <v/>
      </c>
      <c r="AK1087" s="54">
        <f t="shared" si="203"/>
        <v>0.64741293151084012</v>
      </c>
    </row>
    <row r="1088" spans="18:37" x14ac:dyDescent="0.45">
      <c r="R1088" s="2">
        <v>27.64</v>
      </c>
      <c r="S1088" s="2">
        <v>5.7056000000000001E-4</v>
      </c>
      <c r="T1088" s="2">
        <v>2.8187999999999998E-4</v>
      </c>
      <c r="V1088" s="11"/>
      <c r="W1088" s="6"/>
      <c r="X1088" s="6">
        <v>10.69</v>
      </c>
      <c r="Y1088" s="11" t="str">
        <f t="shared" si="204"/>
        <v/>
      </c>
      <c r="Z1088" s="6" t="str">
        <f t="shared" si="205"/>
        <v/>
      </c>
      <c r="AA1088" s="23">
        <f t="shared" si="206"/>
        <v>40.69</v>
      </c>
      <c r="AB1088" t="str">
        <f t="shared" si="195"/>
        <v/>
      </c>
      <c r="AC1088" t="str">
        <f t="shared" si="196"/>
        <v/>
      </c>
      <c r="AD1088">
        <f t="shared" si="197"/>
        <v>9.5168E-4</v>
      </c>
      <c r="AE1088" s="18" t="str">
        <f t="shared" si="198"/>
        <v/>
      </c>
      <c r="AF1088" s="7" t="str">
        <f t="shared" si="199"/>
        <v/>
      </c>
      <c r="AG1088" s="12">
        <f t="shared" si="200"/>
        <v>0.99241774475572064</v>
      </c>
      <c r="AI1088" s="54" t="str">
        <f t="shared" si="201"/>
        <v/>
      </c>
      <c r="AJ1088" s="54" t="str">
        <f t="shared" si="202"/>
        <v/>
      </c>
      <c r="AK1088" s="54">
        <f t="shared" si="203"/>
        <v>0.6481594355558864</v>
      </c>
    </row>
    <row r="1089" spans="18:37" x14ac:dyDescent="0.45">
      <c r="R1089" s="2">
        <v>27.65</v>
      </c>
      <c r="S1089" s="2">
        <v>5.7059999999999999E-4</v>
      </c>
      <c r="T1089" s="2">
        <v>2.8205E-4</v>
      </c>
      <c r="V1089" s="11"/>
      <c r="W1089" s="6"/>
      <c r="X1089" s="6">
        <v>10.700000000000001</v>
      </c>
      <c r="Y1089" s="11" t="str">
        <f t="shared" si="204"/>
        <v/>
      </c>
      <c r="Z1089" s="6" t="str">
        <f t="shared" si="205"/>
        <v/>
      </c>
      <c r="AA1089" s="23">
        <f t="shared" si="206"/>
        <v>40.700000000000003</v>
      </c>
      <c r="AB1089" t="str">
        <f t="shared" si="195"/>
        <v/>
      </c>
      <c r="AC1089" t="str">
        <f t="shared" si="196"/>
        <v/>
      </c>
      <c r="AD1089">
        <f t="shared" si="197"/>
        <v>9.5239999999999995E-4</v>
      </c>
      <c r="AE1089" s="18" t="str">
        <f t="shared" si="198"/>
        <v/>
      </c>
      <c r="AF1089" s="7" t="str">
        <f t="shared" si="199"/>
        <v/>
      </c>
      <c r="AG1089" s="12">
        <f t="shared" si="200"/>
        <v>0.9924083001145273</v>
      </c>
      <c r="AI1089" s="54" t="str">
        <f t="shared" si="201"/>
        <v/>
      </c>
      <c r="AJ1089" s="54" t="str">
        <f t="shared" si="202"/>
        <v/>
      </c>
      <c r="AK1089" s="54">
        <f t="shared" si="203"/>
        <v>0.64890624276825359</v>
      </c>
    </row>
    <row r="1090" spans="18:37" x14ac:dyDescent="0.45">
      <c r="R1090" s="2">
        <v>27.66</v>
      </c>
      <c r="S1090" s="2">
        <v>5.7063999999999997E-4</v>
      </c>
      <c r="T1090" s="2">
        <v>2.8222000000000002E-4</v>
      </c>
      <c r="V1090" s="11"/>
      <c r="W1090" s="6"/>
      <c r="X1090" s="6">
        <v>10.71</v>
      </c>
      <c r="Y1090" s="11" t="str">
        <f t="shared" si="204"/>
        <v/>
      </c>
      <c r="Z1090" s="6" t="str">
        <f t="shared" si="205"/>
        <v/>
      </c>
      <c r="AA1090" s="23">
        <f t="shared" si="206"/>
        <v>40.71</v>
      </c>
      <c r="AB1090" t="str">
        <f t="shared" si="195"/>
        <v/>
      </c>
      <c r="AC1090" t="str">
        <f t="shared" si="196"/>
        <v/>
      </c>
      <c r="AD1090">
        <f t="shared" si="197"/>
        <v>9.5312000000000001E-4</v>
      </c>
      <c r="AE1090" s="18" t="str">
        <f t="shared" si="198"/>
        <v/>
      </c>
      <c r="AF1090" s="7" t="str">
        <f t="shared" si="199"/>
        <v/>
      </c>
      <c r="AG1090" s="12">
        <f t="shared" si="200"/>
        <v>0.99239884841787696</v>
      </c>
      <c r="AI1090" s="54" t="str">
        <f t="shared" si="201"/>
        <v/>
      </c>
      <c r="AJ1090" s="54" t="str">
        <f t="shared" si="202"/>
        <v/>
      </c>
      <c r="AK1090" s="54">
        <f t="shared" si="203"/>
        <v>0.64965335328284557</v>
      </c>
    </row>
    <row r="1091" spans="18:37" x14ac:dyDescent="0.45">
      <c r="R1091" s="2">
        <v>27.67</v>
      </c>
      <c r="S1091" s="2">
        <v>5.7067999999999995E-4</v>
      </c>
      <c r="T1091" s="2">
        <v>2.8238999999999998E-4</v>
      </c>
      <c r="V1091" s="11"/>
      <c r="W1091" s="6"/>
      <c r="X1091" s="6">
        <v>10.72</v>
      </c>
      <c r="Y1091" s="11" t="str">
        <f t="shared" si="204"/>
        <v/>
      </c>
      <c r="Z1091" s="6" t="str">
        <f t="shared" si="205"/>
        <v/>
      </c>
      <c r="AA1091" s="23">
        <f t="shared" si="206"/>
        <v>40.72</v>
      </c>
      <c r="AB1091" t="str">
        <f t="shared" si="195"/>
        <v/>
      </c>
      <c r="AC1091" t="str">
        <f t="shared" si="196"/>
        <v/>
      </c>
      <c r="AD1091">
        <f t="shared" si="197"/>
        <v>9.5383999999999996E-4</v>
      </c>
      <c r="AE1091" s="18" t="str">
        <f t="shared" si="198"/>
        <v/>
      </c>
      <c r="AF1091" s="7" t="str">
        <f t="shared" si="199"/>
        <v/>
      </c>
      <c r="AG1091" s="12">
        <f t="shared" si="200"/>
        <v>0.9923893896659729</v>
      </c>
      <c r="AI1091" s="54" t="str">
        <f t="shared" si="201"/>
        <v/>
      </c>
      <c r="AJ1091" s="54" t="str">
        <f t="shared" si="202"/>
        <v/>
      </c>
      <c r="AK1091" s="54">
        <f t="shared" si="203"/>
        <v>0.65040076723462803</v>
      </c>
    </row>
    <row r="1092" spans="18:37" x14ac:dyDescent="0.45">
      <c r="R1092" s="2">
        <v>27.68</v>
      </c>
      <c r="S1092" s="2">
        <v>5.7072000000000004E-4</v>
      </c>
      <c r="T1092" s="2">
        <v>2.8256000000000001E-4</v>
      </c>
      <c r="V1092" s="11"/>
      <c r="W1092" s="6"/>
      <c r="X1092" s="6">
        <v>10.73</v>
      </c>
      <c r="Y1092" s="11" t="str">
        <f t="shared" si="204"/>
        <v/>
      </c>
      <c r="Z1092" s="6" t="str">
        <f t="shared" si="205"/>
        <v/>
      </c>
      <c r="AA1092" s="23">
        <f t="shared" si="206"/>
        <v>40.730000000000004</v>
      </c>
      <c r="AB1092" t="str">
        <f t="shared" si="195"/>
        <v/>
      </c>
      <c r="AC1092" t="str">
        <f t="shared" si="196"/>
        <v/>
      </c>
      <c r="AD1092">
        <f t="shared" si="197"/>
        <v>9.5456000000000002E-4</v>
      </c>
      <c r="AE1092" s="18" t="str">
        <f t="shared" si="198"/>
        <v/>
      </c>
      <c r="AF1092" s="7" t="str">
        <f t="shared" si="199"/>
        <v/>
      </c>
      <c r="AG1092" s="12">
        <f t="shared" si="200"/>
        <v>0.99237992385901852</v>
      </c>
      <c r="AI1092" s="54" t="str">
        <f t="shared" si="201"/>
        <v/>
      </c>
      <c r="AJ1092" s="54" t="str">
        <f t="shared" si="202"/>
        <v/>
      </c>
      <c r="AK1092" s="54">
        <f t="shared" si="203"/>
        <v>0.65114848475862852</v>
      </c>
    </row>
    <row r="1093" spans="18:37" x14ac:dyDescent="0.45">
      <c r="R1093" s="2">
        <v>27.69</v>
      </c>
      <c r="S1093" s="2">
        <v>5.7076000000000002E-4</v>
      </c>
      <c r="T1093" s="2">
        <v>2.8273000000000003E-4</v>
      </c>
      <c r="V1093" s="11"/>
      <c r="W1093" s="6"/>
      <c r="X1093" s="6">
        <v>10.74</v>
      </c>
      <c r="Y1093" s="11" t="str">
        <f t="shared" si="204"/>
        <v/>
      </c>
      <c r="Z1093" s="6" t="str">
        <f t="shared" si="205"/>
        <v/>
      </c>
      <c r="AA1093" s="23">
        <f t="shared" si="206"/>
        <v>40.74</v>
      </c>
      <c r="AB1093" t="str">
        <f t="shared" si="195"/>
        <v/>
      </c>
      <c r="AC1093" t="str">
        <f t="shared" si="196"/>
        <v/>
      </c>
      <c r="AD1093">
        <f t="shared" si="197"/>
        <v>9.5527999999999997E-4</v>
      </c>
      <c r="AE1093" s="18" t="str">
        <f t="shared" si="198"/>
        <v/>
      </c>
      <c r="AF1093" s="7" t="str">
        <f t="shared" si="199"/>
        <v/>
      </c>
      <c r="AG1093" s="12">
        <f t="shared" si="200"/>
        <v>0.99237045099721732</v>
      </c>
      <c r="AI1093" s="54" t="str">
        <f t="shared" si="201"/>
        <v/>
      </c>
      <c r="AJ1093" s="54" t="str">
        <f t="shared" si="202"/>
        <v/>
      </c>
      <c r="AK1093" s="54">
        <f t="shared" si="203"/>
        <v>0.65189650598993654</v>
      </c>
    </row>
    <row r="1094" spans="18:37" x14ac:dyDescent="0.45">
      <c r="R1094" s="2">
        <v>27.7</v>
      </c>
      <c r="S1094" s="2">
        <v>5.708E-4</v>
      </c>
      <c r="T1094" s="2">
        <v>2.8289999999999999E-4</v>
      </c>
      <c r="V1094" s="11"/>
      <c r="W1094" s="6"/>
      <c r="X1094" s="6">
        <v>10.75</v>
      </c>
      <c r="Y1094" s="11" t="str">
        <f t="shared" si="204"/>
        <v/>
      </c>
      <c r="Z1094" s="6" t="str">
        <f t="shared" si="205"/>
        <v/>
      </c>
      <c r="AA1094" s="23">
        <f t="shared" si="206"/>
        <v>40.75</v>
      </c>
      <c r="AB1094" t="str">
        <f t="shared" si="195"/>
        <v/>
      </c>
      <c r="AC1094" t="str">
        <f t="shared" si="196"/>
        <v/>
      </c>
      <c r="AD1094">
        <f t="shared" si="197"/>
        <v>9.5600000000000004E-4</v>
      </c>
      <c r="AE1094" s="18" t="str">
        <f t="shared" si="198"/>
        <v/>
      </c>
      <c r="AF1094" s="7" t="str">
        <f t="shared" si="199"/>
        <v/>
      </c>
      <c r="AG1094" s="12">
        <f t="shared" si="200"/>
        <v>0.99236097108077304</v>
      </c>
      <c r="AI1094" s="54" t="str">
        <f t="shared" si="201"/>
        <v/>
      </c>
      <c r="AJ1094" s="54" t="str">
        <f t="shared" si="202"/>
        <v/>
      </c>
      <c r="AK1094" s="54">
        <f t="shared" si="203"/>
        <v>0.65264483106370341</v>
      </c>
    </row>
    <row r="1095" spans="18:37" x14ac:dyDescent="0.45">
      <c r="R1095" s="2">
        <v>27.71</v>
      </c>
      <c r="S1095" s="2">
        <v>5.7083999999999998E-4</v>
      </c>
      <c r="T1095" s="2">
        <v>2.8307000000000001E-4</v>
      </c>
      <c r="V1095" s="11"/>
      <c r="W1095" s="6"/>
      <c r="X1095" s="6">
        <v>10.76</v>
      </c>
      <c r="Y1095" s="11" t="str">
        <f t="shared" si="204"/>
        <v/>
      </c>
      <c r="Z1095" s="6" t="str">
        <f t="shared" si="205"/>
        <v/>
      </c>
      <c r="AA1095" s="23">
        <f t="shared" si="206"/>
        <v>40.76</v>
      </c>
      <c r="AB1095" t="str">
        <f t="shared" si="195"/>
        <v/>
      </c>
      <c r="AC1095" t="str">
        <f t="shared" si="196"/>
        <v/>
      </c>
      <c r="AD1095">
        <f t="shared" si="197"/>
        <v>9.5671999999999999E-4</v>
      </c>
      <c r="AE1095" s="18" t="str">
        <f t="shared" si="198"/>
        <v/>
      </c>
      <c r="AF1095" s="7" t="str">
        <f t="shared" si="199"/>
        <v/>
      </c>
      <c r="AG1095" s="12">
        <f t="shared" si="200"/>
        <v>0.99235148410988949</v>
      </c>
      <c r="AI1095" s="54" t="str">
        <f t="shared" si="201"/>
        <v/>
      </c>
      <c r="AJ1095" s="54" t="str">
        <f t="shared" si="202"/>
        <v/>
      </c>
      <c r="AK1095" s="54">
        <f t="shared" si="203"/>
        <v>0.65339346011514232</v>
      </c>
    </row>
    <row r="1096" spans="18:37" x14ac:dyDescent="0.45">
      <c r="R1096" s="2">
        <v>27.72</v>
      </c>
      <c r="S1096" s="2">
        <v>5.7087999999999996E-4</v>
      </c>
      <c r="T1096" s="2">
        <v>2.8323999999999998E-4</v>
      </c>
      <c r="V1096" s="11"/>
      <c r="W1096" s="6"/>
      <c r="X1096" s="6">
        <v>10.77</v>
      </c>
      <c r="Y1096" s="11" t="str">
        <f t="shared" si="204"/>
        <v/>
      </c>
      <c r="Z1096" s="6" t="str">
        <f t="shared" si="205"/>
        <v/>
      </c>
      <c r="AA1096" s="23">
        <f t="shared" si="206"/>
        <v>40.769999999999996</v>
      </c>
      <c r="AB1096" t="str">
        <f t="shared" si="195"/>
        <v/>
      </c>
      <c r="AC1096" t="str">
        <f t="shared" si="196"/>
        <v/>
      </c>
      <c r="AD1096">
        <f t="shared" si="197"/>
        <v>9.5671999999999999E-4</v>
      </c>
      <c r="AE1096" s="18" t="str">
        <f t="shared" si="198"/>
        <v/>
      </c>
      <c r="AF1096" s="7" t="str">
        <f t="shared" si="199"/>
        <v/>
      </c>
      <c r="AG1096" s="12">
        <f t="shared" si="200"/>
        <v>0.99234199008477075</v>
      </c>
      <c r="AI1096" s="54" t="str">
        <f t="shared" si="201"/>
        <v/>
      </c>
      <c r="AJ1096" s="54" t="str">
        <f t="shared" si="202"/>
        <v/>
      </c>
      <c r="AK1096" s="54">
        <f t="shared" si="203"/>
        <v>0.6541423932795285</v>
      </c>
    </row>
    <row r="1097" spans="18:37" x14ac:dyDescent="0.45">
      <c r="R1097" s="2">
        <v>27.73</v>
      </c>
      <c r="S1097" s="2">
        <v>5.7092000000000004E-4</v>
      </c>
      <c r="T1097" s="2">
        <v>2.8341E-4</v>
      </c>
      <c r="V1097" s="11"/>
      <c r="W1097" s="6"/>
      <c r="X1097" s="6">
        <v>10.78</v>
      </c>
      <c r="Y1097" s="11" t="str">
        <f t="shared" si="204"/>
        <v/>
      </c>
      <c r="Z1097" s="6" t="str">
        <f t="shared" si="205"/>
        <v/>
      </c>
      <c r="AA1097" s="23">
        <f t="shared" si="206"/>
        <v>40.78</v>
      </c>
      <c r="AB1097" t="str">
        <f t="shared" si="195"/>
        <v/>
      </c>
      <c r="AC1097" t="str">
        <f t="shared" si="196"/>
        <v/>
      </c>
      <c r="AD1097">
        <f t="shared" si="197"/>
        <v>9.5816E-4</v>
      </c>
      <c r="AE1097" s="18" t="str">
        <f t="shared" si="198"/>
        <v/>
      </c>
      <c r="AF1097" s="7" t="str">
        <f t="shared" si="199"/>
        <v/>
      </c>
      <c r="AG1097" s="12">
        <f t="shared" si="200"/>
        <v>0.99233249615048325</v>
      </c>
      <c r="AI1097" s="54" t="str">
        <f t="shared" si="201"/>
        <v/>
      </c>
      <c r="AJ1097" s="54" t="str">
        <f t="shared" si="202"/>
        <v/>
      </c>
      <c r="AK1097" s="54">
        <f t="shared" si="203"/>
        <v>0.65489163318237376</v>
      </c>
    </row>
    <row r="1098" spans="18:37" x14ac:dyDescent="0.45">
      <c r="R1098" s="2">
        <v>27.74</v>
      </c>
      <c r="S1098" s="2">
        <v>5.7096000000000002E-4</v>
      </c>
      <c r="T1098" s="2">
        <v>2.8358000000000002E-4</v>
      </c>
      <c r="V1098" s="11"/>
      <c r="W1098" s="6"/>
      <c r="X1098" s="6">
        <v>10.790000000000001</v>
      </c>
      <c r="Y1098" s="11" t="str">
        <f t="shared" si="204"/>
        <v/>
      </c>
      <c r="Z1098" s="6" t="str">
        <f t="shared" si="205"/>
        <v/>
      </c>
      <c r="AA1098" s="23">
        <f t="shared" si="206"/>
        <v>40.79</v>
      </c>
      <c r="AB1098" t="str">
        <f t="shared" si="195"/>
        <v/>
      </c>
      <c r="AC1098" t="str">
        <f t="shared" si="196"/>
        <v/>
      </c>
      <c r="AD1098">
        <f t="shared" si="197"/>
        <v>9.5887999999999995E-4</v>
      </c>
      <c r="AE1098" s="18" t="str">
        <f t="shared" si="198"/>
        <v/>
      </c>
      <c r="AF1098" s="7" t="str">
        <f t="shared" si="199"/>
        <v/>
      </c>
      <c r="AG1098" s="12">
        <f t="shared" si="200"/>
        <v>0.99232298801743812</v>
      </c>
      <c r="AI1098" s="54" t="str">
        <f t="shared" si="201"/>
        <v/>
      </c>
      <c r="AJ1098" s="54" t="str">
        <f t="shared" si="202"/>
        <v/>
      </c>
      <c r="AK1098" s="54">
        <f t="shared" si="203"/>
        <v>0.65564117497974772</v>
      </c>
    </row>
    <row r="1099" spans="18:37" x14ac:dyDescent="0.45">
      <c r="R1099" s="2">
        <v>27.75</v>
      </c>
      <c r="S1099" s="2">
        <v>5.71E-4</v>
      </c>
      <c r="T1099" s="2">
        <v>2.8374999999999999E-4</v>
      </c>
      <c r="V1099" s="11"/>
      <c r="W1099" s="6"/>
      <c r="X1099" s="6">
        <v>10.8</v>
      </c>
      <c r="Y1099" s="11" t="str">
        <f t="shared" si="204"/>
        <v/>
      </c>
      <c r="Z1099" s="6" t="str">
        <f t="shared" si="205"/>
        <v/>
      </c>
      <c r="AA1099" s="23">
        <f t="shared" si="206"/>
        <v>40.799999999999997</v>
      </c>
      <c r="AB1099" t="str">
        <f t="shared" si="195"/>
        <v/>
      </c>
      <c r="AC1099" t="str">
        <f t="shared" si="196"/>
        <v/>
      </c>
      <c r="AD1099">
        <f t="shared" si="197"/>
        <v>9.5960000000000001E-4</v>
      </c>
      <c r="AE1099" s="18" t="str">
        <f t="shared" si="198"/>
        <v/>
      </c>
      <c r="AF1099" s="7" t="str">
        <f t="shared" si="199"/>
        <v/>
      </c>
      <c r="AG1099" s="12">
        <f t="shared" si="200"/>
        <v>0.99231347283077065</v>
      </c>
      <c r="AI1099" s="54" t="str">
        <f t="shared" si="201"/>
        <v/>
      </c>
      <c r="AJ1099" s="54" t="str">
        <f t="shared" si="202"/>
        <v/>
      </c>
      <c r="AK1099" s="54">
        <f t="shared" si="203"/>
        <v>0.65639102129626681</v>
      </c>
    </row>
    <row r="1100" spans="18:37" x14ac:dyDescent="0.45">
      <c r="R1100" s="2">
        <v>27.76</v>
      </c>
      <c r="S1100" s="2">
        <v>5.7103999999999998E-4</v>
      </c>
      <c r="T1100" s="2">
        <v>2.8392000000000001E-4</v>
      </c>
      <c r="V1100" s="11"/>
      <c r="W1100" s="6"/>
      <c r="X1100" s="6">
        <v>10.81</v>
      </c>
      <c r="Y1100" s="11" t="str">
        <f t="shared" si="204"/>
        <v/>
      </c>
      <c r="Z1100" s="6" t="str">
        <f t="shared" si="205"/>
        <v/>
      </c>
      <c r="AA1100" s="23">
        <f t="shared" si="206"/>
        <v>40.81</v>
      </c>
      <c r="AB1100" t="str">
        <f t="shared" si="195"/>
        <v/>
      </c>
      <c r="AC1100" t="str">
        <f t="shared" si="196"/>
        <v/>
      </c>
      <c r="AD1100">
        <f t="shared" si="197"/>
        <v>9.6031999999999997E-4</v>
      </c>
      <c r="AE1100" s="18" t="str">
        <f t="shared" si="198"/>
        <v/>
      </c>
      <c r="AF1100" s="7" t="str">
        <f t="shared" si="199"/>
        <v/>
      </c>
      <c r="AG1100" s="12">
        <f t="shared" si="200"/>
        <v>0.99230395059068532</v>
      </c>
      <c r="AI1100" s="54" t="str">
        <f t="shared" si="201"/>
        <v/>
      </c>
      <c r="AJ1100" s="54" t="str">
        <f t="shared" si="202"/>
        <v/>
      </c>
      <c r="AK1100" s="54">
        <f t="shared" si="203"/>
        <v>0.65714117226745417</v>
      </c>
    </row>
    <row r="1101" spans="18:37" x14ac:dyDescent="0.45">
      <c r="R1101" s="2">
        <v>27.77</v>
      </c>
      <c r="S1101" s="2">
        <v>5.7107999999999996E-4</v>
      </c>
      <c r="T1101" s="2">
        <v>2.8409000000000003E-4</v>
      </c>
      <c r="V1101" s="11"/>
      <c r="W1101" s="6"/>
      <c r="X1101" s="6">
        <v>10.82</v>
      </c>
      <c r="Y1101" s="11" t="str">
        <f t="shared" si="204"/>
        <v/>
      </c>
      <c r="Z1101" s="6" t="str">
        <f t="shared" si="205"/>
        <v/>
      </c>
      <c r="AA1101" s="23">
        <f t="shared" si="206"/>
        <v>40.82</v>
      </c>
      <c r="AB1101" t="str">
        <f t="shared" si="195"/>
        <v/>
      </c>
      <c r="AC1101" t="str">
        <f t="shared" si="196"/>
        <v/>
      </c>
      <c r="AD1101">
        <f t="shared" si="197"/>
        <v>9.6104000000000003E-4</v>
      </c>
      <c r="AE1101" s="18" t="str">
        <f t="shared" si="198"/>
        <v/>
      </c>
      <c r="AF1101" s="7" t="str">
        <f t="shared" si="199"/>
        <v/>
      </c>
      <c r="AG1101" s="12">
        <f t="shared" si="200"/>
        <v>0.99229442129738699</v>
      </c>
      <c r="AI1101" s="54" t="str">
        <f t="shared" si="201"/>
        <v/>
      </c>
      <c r="AJ1101" s="54" t="str">
        <f t="shared" si="202"/>
        <v/>
      </c>
      <c r="AK1101" s="54">
        <f t="shared" si="203"/>
        <v>0.65789162802889511</v>
      </c>
    </row>
    <row r="1102" spans="18:37" x14ac:dyDescent="0.45">
      <c r="R1102" s="2">
        <v>27.78</v>
      </c>
      <c r="S1102" s="2">
        <v>5.7112000000000005E-4</v>
      </c>
      <c r="T1102" s="2">
        <v>2.8425999999999999E-4</v>
      </c>
      <c r="V1102" s="11"/>
      <c r="W1102" s="6"/>
      <c r="X1102" s="6">
        <v>10.83</v>
      </c>
      <c r="Y1102" s="11" t="str">
        <f t="shared" si="204"/>
        <v/>
      </c>
      <c r="Z1102" s="6" t="str">
        <f t="shared" si="205"/>
        <v/>
      </c>
      <c r="AA1102" s="23">
        <f t="shared" si="206"/>
        <v>40.83</v>
      </c>
      <c r="AB1102" t="str">
        <f t="shared" si="195"/>
        <v/>
      </c>
      <c r="AC1102" t="str">
        <f t="shared" si="196"/>
        <v/>
      </c>
      <c r="AD1102">
        <f t="shared" si="197"/>
        <v>9.6175999999999998E-4</v>
      </c>
      <c r="AE1102" s="18" t="str">
        <f t="shared" si="198"/>
        <v/>
      </c>
      <c r="AF1102" s="7" t="str">
        <f t="shared" si="199"/>
        <v/>
      </c>
      <c r="AG1102" s="12">
        <f t="shared" si="200"/>
        <v>0.99228488495108058</v>
      </c>
      <c r="AI1102" s="54" t="str">
        <f t="shared" si="201"/>
        <v/>
      </c>
      <c r="AJ1102" s="54" t="str">
        <f t="shared" si="202"/>
        <v/>
      </c>
      <c r="AK1102" s="54">
        <f t="shared" si="203"/>
        <v>0.65864238871623715</v>
      </c>
    </row>
    <row r="1103" spans="18:37" x14ac:dyDescent="0.45">
      <c r="R1103" s="2">
        <v>27.79</v>
      </c>
      <c r="S1103" s="2">
        <v>5.7116000000000003E-4</v>
      </c>
      <c r="T1103" s="2">
        <v>2.8443000000000001E-4</v>
      </c>
      <c r="V1103" s="11"/>
      <c r="W1103" s="6"/>
      <c r="X1103" s="6">
        <v>10.84</v>
      </c>
      <c r="Y1103" s="11" t="str">
        <f t="shared" si="204"/>
        <v/>
      </c>
      <c r="Z1103" s="6" t="str">
        <f t="shared" si="205"/>
        <v/>
      </c>
      <c r="AA1103" s="23">
        <f t="shared" si="206"/>
        <v>40.840000000000003</v>
      </c>
      <c r="AB1103" t="str">
        <f t="shared" si="195"/>
        <v/>
      </c>
      <c r="AC1103" t="str">
        <f t="shared" si="196"/>
        <v/>
      </c>
      <c r="AD1103">
        <f t="shared" si="197"/>
        <v>9.6248000000000004E-4</v>
      </c>
      <c r="AE1103" s="18" t="str">
        <f t="shared" si="198"/>
        <v/>
      </c>
      <c r="AF1103" s="7" t="str">
        <f t="shared" si="199"/>
        <v/>
      </c>
      <c r="AG1103" s="12">
        <f t="shared" si="200"/>
        <v>0.99227534155197106</v>
      </c>
      <c r="AI1103" s="54" t="str">
        <f t="shared" si="201"/>
        <v/>
      </c>
      <c r="AJ1103" s="54" t="str">
        <f t="shared" si="202"/>
        <v/>
      </c>
      <c r="AK1103" s="54">
        <f t="shared" si="203"/>
        <v>0.65939345446518982</v>
      </c>
    </row>
    <row r="1104" spans="18:37" x14ac:dyDescent="0.45">
      <c r="R1104" s="2">
        <v>27.8</v>
      </c>
      <c r="S1104" s="2">
        <v>5.7120000000000001E-4</v>
      </c>
      <c r="T1104" s="2">
        <v>2.8459999999999998E-4</v>
      </c>
      <c r="V1104" s="11"/>
      <c r="W1104" s="6"/>
      <c r="X1104" s="6">
        <v>10.85</v>
      </c>
      <c r="Y1104" s="11" t="str">
        <f t="shared" si="204"/>
        <v/>
      </c>
      <c r="Z1104" s="6" t="str">
        <f t="shared" si="205"/>
        <v/>
      </c>
      <c r="AA1104" s="23">
        <f t="shared" si="206"/>
        <v>40.85</v>
      </c>
      <c r="AB1104" t="str">
        <f t="shared" si="195"/>
        <v/>
      </c>
      <c r="AC1104" t="str">
        <f t="shared" si="196"/>
        <v/>
      </c>
      <c r="AD1104">
        <f t="shared" si="197"/>
        <v>9.6319999999999999E-4</v>
      </c>
      <c r="AE1104" s="18" t="str">
        <f t="shared" si="198"/>
        <v/>
      </c>
      <c r="AF1104" s="7" t="str">
        <f t="shared" si="199"/>
        <v/>
      </c>
      <c r="AG1104" s="12">
        <f t="shared" si="200"/>
        <v>0.99226579110026369</v>
      </c>
      <c r="AI1104" s="54" t="str">
        <f t="shared" si="201"/>
        <v/>
      </c>
      <c r="AJ1104" s="54" t="str">
        <f t="shared" si="202"/>
        <v/>
      </c>
      <c r="AK1104" s="54">
        <f t="shared" si="203"/>
        <v>0.66014482541152497</v>
      </c>
    </row>
    <row r="1105" spans="18:37" x14ac:dyDescent="0.45">
      <c r="R1105" s="2">
        <v>27.81</v>
      </c>
      <c r="S1105" s="2">
        <v>5.7123999999999999E-4</v>
      </c>
      <c r="T1105" s="2">
        <v>2.8477E-4</v>
      </c>
      <c r="V1105" s="11"/>
      <c r="W1105" s="6"/>
      <c r="X1105" s="6">
        <v>10.86</v>
      </c>
      <c r="Y1105" s="11" t="str">
        <f t="shared" si="204"/>
        <v/>
      </c>
      <c r="Z1105" s="6" t="str">
        <f t="shared" si="205"/>
        <v/>
      </c>
      <c r="AA1105" s="23">
        <f t="shared" si="206"/>
        <v>40.86</v>
      </c>
      <c r="AB1105" t="str">
        <f t="shared" si="195"/>
        <v/>
      </c>
      <c r="AC1105" t="str">
        <f t="shared" si="196"/>
        <v/>
      </c>
      <c r="AD1105">
        <f t="shared" si="197"/>
        <v>9.6391999999999995E-4</v>
      </c>
      <c r="AE1105" s="18" t="str">
        <f t="shared" si="198"/>
        <v/>
      </c>
      <c r="AF1105" s="7" t="str">
        <f t="shared" si="199"/>
        <v/>
      </c>
      <c r="AG1105" s="12">
        <f t="shared" si="200"/>
        <v>0.99225623359616377</v>
      </c>
      <c r="AI1105" s="54" t="str">
        <f t="shared" si="201"/>
        <v/>
      </c>
      <c r="AJ1105" s="54" t="str">
        <f t="shared" si="202"/>
        <v/>
      </c>
      <c r="AK1105" s="54">
        <f t="shared" si="203"/>
        <v>0.66089650169107639</v>
      </c>
    </row>
    <row r="1106" spans="18:37" x14ac:dyDescent="0.45">
      <c r="R1106" s="2">
        <v>27.82</v>
      </c>
      <c r="S1106" s="2">
        <v>5.7127999999999996E-4</v>
      </c>
      <c r="T1106" s="2">
        <v>2.8494000000000002E-4</v>
      </c>
      <c r="V1106" s="11"/>
      <c r="W1106" s="6"/>
      <c r="X1106" s="6">
        <v>10.870000000000001</v>
      </c>
      <c r="Y1106" s="11" t="str">
        <f t="shared" si="204"/>
        <v/>
      </c>
      <c r="Z1106" s="6" t="str">
        <f t="shared" si="205"/>
        <v/>
      </c>
      <c r="AA1106" s="23">
        <f t="shared" si="206"/>
        <v>40.870000000000005</v>
      </c>
      <c r="AB1106" t="str">
        <f t="shared" si="195"/>
        <v/>
      </c>
      <c r="AC1106" t="str">
        <f t="shared" si="196"/>
        <v/>
      </c>
      <c r="AD1106">
        <f t="shared" si="197"/>
        <v>9.6464000000000001E-4</v>
      </c>
      <c r="AE1106" s="18" t="str">
        <f t="shared" si="198"/>
        <v/>
      </c>
      <c r="AF1106" s="7" t="str">
        <f t="shared" si="199"/>
        <v/>
      </c>
      <c r="AG1106" s="12">
        <f t="shared" si="200"/>
        <v>0.99224666903987691</v>
      </c>
      <c r="AI1106" s="54" t="str">
        <f t="shared" si="201"/>
        <v/>
      </c>
      <c r="AJ1106" s="54" t="str">
        <f t="shared" si="202"/>
        <v/>
      </c>
      <c r="AK1106" s="54">
        <f t="shared" si="203"/>
        <v>0.66164848343974036</v>
      </c>
    </row>
    <row r="1107" spans="18:37" x14ac:dyDescent="0.45">
      <c r="R1107" s="2">
        <v>27.83</v>
      </c>
      <c r="S1107" s="2">
        <v>5.7132000000000005E-4</v>
      </c>
      <c r="T1107" s="2">
        <v>2.8510999999999999E-4</v>
      </c>
      <c r="V1107" s="11"/>
      <c r="W1107" s="6"/>
      <c r="X1107" s="6">
        <v>10.88</v>
      </c>
      <c r="Y1107" s="11" t="str">
        <f t="shared" si="204"/>
        <v/>
      </c>
      <c r="Z1107" s="6" t="str">
        <f t="shared" si="205"/>
        <v/>
      </c>
      <c r="AA1107" s="23">
        <f t="shared" si="206"/>
        <v>40.880000000000003</v>
      </c>
      <c r="AB1107" t="str">
        <f t="shared" ref="AB1107:AB1170" si="207">IF(Y1107="","",VLOOKUP(Y1107,Table_1,2))</f>
        <v/>
      </c>
      <c r="AC1107" t="str">
        <f t="shared" ref="AC1107:AC1170" si="208">IF(Z1107="","",VLOOKUP(Z1107,Table_2,2))</f>
        <v/>
      </c>
      <c r="AD1107">
        <f t="shared" ref="AD1107:AD1170" si="209">IF(AA1107="","",VLOOKUP(AA1107,Table_3,2))</f>
        <v>9.6535999999999996E-4</v>
      </c>
      <c r="AE1107" s="18" t="str">
        <f t="shared" si="198"/>
        <v/>
      </c>
      <c r="AF1107" s="7" t="str">
        <f t="shared" si="199"/>
        <v/>
      </c>
      <c r="AG1107" s="12">
        <f t="shared" si="200"/>
        <v>0.99223709743160871</v>
      </c>
      <c r="AI1107" s="54" t="str">
        <f t="shared" si="201"/>
        <v/>
      </c>
      <c r="AJ1107" s="54" t="str">
        <f t="shared" si="202"/>
        <v/>
      </c>
      <c r="AK1107" s="54">
        <f t="shared" si="203"/>
        <v>0.66240077079347537</v>
      </c>
    </row>
    <row r="1108" spans="18:37" x14ac:dyDescent="0.45">
      <c r="R1108" s="2">
        <v>27.84</v>
      </c>
      <c r="S1108" s="2">
        <v>5.7136000000000003E-4</v>
      </c>
      <c r="T1108" s="2">
        <v>2.8528000000000001E-4</v>
      </c>
      <c r="V1108" s="11"/>
      <c r="W1108" s="6"/>
      <c r="X1108" s="6">
        <v>10.89</v>
      </c>
      <c r="Y1108" s="11" t="str">
        <f t="shared" si="204"/>
        <v/>
      </c>
      <c r="Z1108" s="6" t="str">
        <f t="shared" si="205"/>
        <v/>
      </c>
      <c r="AA1108" s="23">
        <f t="shared" si="206"/>
        <v>40.89</v>
      </c>
      <c r="AB1108" t="str">
        <f t="shared" si="207"/>
        <v/>
      </c>
      <c r="AC1108" t="str">
        <f t="shared" si="208"/>
        <v/>
      </c>
      <c r="AD1108">
        <f t="shared" si="209"/>
        <v>9.6608000000000002E-4</v>
      </c>
      <c r="AE1108" s="18" t="str">
        <f t="shared" ref="AE1108:AE1171" si="210">IF(AB1108="","",AE1107+h_1*(-AE1107*AB1107))</f>
        <v/>
      </c>
      <c r="AF1108" s="7" t="str">
        <f t="shared" ref="AF1108:AF1171" si="211">IF(AC1108="","",AF1107+h_2*(-AF1107*AC1107))</f>
        <v/>
      </c>
      <c r="AG1108" s="12">
        <f t="shared" ref="AG1108:AG1171" si="212">IF(AD1108="","",AG1107+h_3*(-AG1107*AD1107))</f>
        <v>0.9922275187715649</v>
      </c>
      <c r="AI1108" s="54" t="str">
        <f t="shared" ref="AI1108:AI1171" si="213">IF(Y1108="","",AI1107+AI$17*(AI1107*delta+Prem1-AB1107*(1-AI1107)))</f>
        <v/>
      </c>
      <c r="AJ1108" s="54" t="str">
        <f t="shared" ref="AJ1108:AJ1171" si="214">IF(Z1108="","",AJ1107+AJ$17*(AJ1107*delta+Prem2-AC1107*(1-AJ1107)))</f>
        <v/>
      </c>
      <c r="AK1108" s="54">
        <f t="shared" ref="AK1108:AK1171" si="215">IF(AA1108="","",AK1107+AK$17*(AK1107*delta+Prem3-AD1107*(1-AK1107)))</f>
        <v>0.66315336388830215</v>
      </c>
    </row>
    <row r="1109" spans="18:37" x14ac:dyDescent="0.45">
      <c r="R1109" s="2">
        <v>27.85</v>
      </c>
      <c r="S1109" s="2">
        <v>5.7140000000000001E-4</v>
      </c>
      <c r="T1109" s="2">
        <v>2.8545000000000003E-4</v>
      </c>
      <c r="V1109" s="11"/>
      <c r="W1109" s="6"/>
      <c r="X1109" s="6">
        <v>10.9</v>
      </c>
      <c r="Y1109" s="11" t="str">
        <f t="shared" ref="Y1109:Y1172" si="216">IF(ISBLANK(V1109),"",$Y$19+V1109)</f>
        <v/>
      </c>
      <c r="Z1109" s="6" t="str">
        <f t="shared" ref="Z1109:Z1172" si="217">IF(ISBLANK(W1109),"",$Y$19+W1109)</f>
        <v/>
      </c>
      <c r="AA1109" s="23">
        <f t="shared" ref="AA1109:AA1172" si="218">IF(ISBLANK(X1109),"",$Y$19+X1109)</f>
        <v>40.9</v>
      </c>
      <c r="AB1109" t="str">
        <f t="shared" si="207"/>
        <v/>
      </c>
      <c r="AC1109" t="str">
        <f t="shared" si="208"/>
        <v/>
      </c>
      <c r="AD1109">
        <f t="shared" si="209"/>
        <v>9.6679999999999997E-4</v>
      </c>
      <c r="AE1109" s="18" t="str">
        <f t="shared" si="210"/>
        <v/>
      </c>
      <c r="AF1109" s="7" t="str">
        <f t="shared" si="211"/>
        <v/>
      </c>
      <c r="AG1109" s="12">
        <f t="shared" si="212"/>
        <v>0.99221793305995154</v>
      </c>
      <c r="AI1109" s="54" t="str">
        <f t="shared" si="213"/>
        <v/>
      </c>
      <c r="AJ1109" s="54" t="str">
        <f t="shared" si="214"/>
        <v/>
      </c>
      <c r="AK1109" s="54">
        <f t="shared" si="215"/>
        <v>0.66390626286030385</v>
      </c>
    </row>
    <row r="1110" spans="18:37" x14ac:dyDescent="0.45">
      <c r="R1110" s="2">
        <v>27.86</v>
      </c>
      <c r="S1110" s="2">
        <v>5.7143999999999999E-4</v>
      </c>
      <c r="T1110" s="2">
        <v>2.8561999999999999E-4</v>
      </c>
      <c r="V1110" s="11"/>
      <c r="W1110" s="6"/>
      <c r="X1110" s="6">
        <v>10.91</v>
      </c>
      <c r="Y1110" s="11" t="str">
        <f t="shared" si="216"/>
        <v/>
      </c>
      <c r="Z1110" s="6" t="str">
        <f t="shared" si="217"/>
        <v/>
      </c>
      <c r="AA1110" s="23">
        <f t="shared" si="218"/>
        <v>40.909999999999997</v>
      </c>
      <c r="AB1110" t="str">
        <f t="shared" si="207"/>
        <v/>
      </c>
      <c r="AC1110" t="str">
        <f t="shared" si="208"/>
        <v/>
      </c>
      <c r="AD1110">
        <f t="shared" si="209"/>
        <v>9.6752000000000003E-4</v>
      </c>
      <c r="AE1110" s="18" t="str">
        <f t="shared" si="210"/>
        <v/>
      </c>
      <c r="AF1110" s="7" t="str">
        <f t="shared" si="211"/>
        <v/>
      </c>
      <c r="AG1110" s="12">
        <f t="shared" si="212"/>
        <v>0.99220834029697469</v>
      </c>
      <c r="AI1110" s="54" t="str">
        <f t="shared" si="213"/>
        <v/>
      </c>
      <c r="AJ1110" s="54" t="str">
        <f t="shared" si="214"/>
        <v/>
      </c>
      <c r="AK1110" s="54">
        <f t="shared" si="215"/>
        <v>0.6646594678456258</v>
      </c>
    </row>
    <row r="1111" spans="18:37" x14ac:dyDescent="0.45">
      <c r="R1111" s="2">
        <v>27.87</v>
      </c>
      <c r="S1111" s="2">
        <v>5.7147999999999997E-4</v>
      </c>
      <c r="T1111" s="2">
        <v>2.8579000000000001E-4</v>
      </c>
      <c r="V1111" s="11"/>
      <c r="W1111" s="6"/>
      <c r="X1111" s="6">
        <v>10.92</v>
      </c>
      <c r="Y1111" s="11" t="str">
        <f t="shared" si="216"/>
        <v/>
      </c>
      <c r="Z1111" s="6" t="str">
        <f t="shared" si="217"/>
        <v/>
      </c>
      <c r="AA1111" s="23">
        <f t="shared" si="218"/>
        <v>40.92</v>
      </c>
      <c r="AB1111" t="str">
        <f t="shared" si="207"/>
        <v/>
      </c>
      <c r="AC1111" t="str">
        <f t="shared" si="208"/>
        <v/>
      </c>
      <c r="AD1111">
        <f t="shared" si="209"/>
        <v>9.6823999999999999E-4</v>
      </c>
      <c r="AE1111" s="18" t="str">
        <f t="shared" si="210"/>
        <v/>
      </c>
      <c r="AF1111" s="7" t="str">
        <f t="shared" si="211"/>
        <v/>
      </c>
      <c r="AG1111" s="12">
        <f t="shared" si="212"/>
        <v>0.99219874048284062</v>
      </c>
      <c r="AI1111" s="54" t="str">
        <f t="shared" si="213"/>
        <v/>
      </c>
      <c r="AJ1111" s="54" t="str">
        <f t="shared" si="214"/>
        <v/>
      </c>
      <c r="AK1111" s="54">
        <f t="shared" si="215"/>
        <v>0.6654129789804758</v>
      </c>
    </row>
    <row r="1112" spans="18:37" x14ac:dyDescent="0.45">
      <c r="R1112" s="2">
        <v>27.88</v>
      </c>
      <c r="S1112" s="2">
        <v>5.7151999999999995E-4</v>
      </c>
      <c r="T1112" s="2">
        <v>2.8595999999999998E-4</v>
      </c>
      <c r="V1112" s="11"/>
      <c r="W1112" s="6"/>
      <c r="X1112" s="6">
        <v>10.93</v>
      </c>
      <c r="Y1112" s="11" t="str">
        <f t="shared" si="216"/>
        <v/>
      </c>
      <c r="Z1112" s="6" t="str">
        <f t="shared" si="217"/>
        <v/>
      </c>
      <c r="AA1112" s="23">
        <f t="shared" si="218"/>
        <v>40.93</v>
      </c>
      <c r="AB1112" t="str">
        <f t="shared" si="207"/>
        <v/>
      </c>
      <c r="AC1112" t="str">
        <f t="shared" si="208"/>
        <v/>
      </c>
      <c r="AD1112">
        <f t="shared" si="209"/>
        <v>9.6896000000000005E-4</v>
      </c>
      <c r="AE1112" s="18" t="str">
        <f t="shared" si="210"/>
        <v/>
      </c>
      <c r="AF1112" s="7" t="str">
        <f t="shared" si="211"/>
        <v/>
      </c>
      <c r="AG1112" s="12">
        <f t="shared" si="212"/>
        <v>0.99218913361775574</v>
      </c>
      <c r="AI1112" s="54" t="str">
        <f t="shared" si="213"/>
        <v/>
      </c>
      <c r="AJ1112" s="54" t="str">
        <f t="shared" si="214"/>
        <v/>
      </c>
      <c r="AK1112" s="54">
        <f t="shared" si="215"/>
        <v>0.66616679640112419</v>
      </c>
    </row>
    <row r="1113" spans="18:37" x14ac:dyDescent="0.45">
      <c r="R1113" s="2">
        <v>27.89</v>
      </c>
      <c r="S1113" s="2">
        <v>5.7156000000000004E-4</v>
      </c>
      <c r="T1113" s="2">
        <v>2.8613E-4</v>
      </c>
      <c r="V1113" s="11"/>
      <c r="W1113" s="6"/>
      <c r="X1113" s="6">
        <v>10.94</v>
      </c>
      <c r="Y1113" s="11" t="str">
        <f t="shared" si="216"/>
        <v/>
      </c>
      <c r="Z1113" s="6" t="str">
        <f t="shared" si="217"/>
        <v/>
      </c>
      <c r="AA1113" s="23">
        <f t="shared" si="218"/>
        <v>40.94</v>
      </c>
      <c r="AB1113" t="str">
        <f t="shared" si="207"/>
        <v/>
      </c>
      <c r="AC1113" t="str">
        <f t="shared" si="208"/>
        <v/>
      </c>
      <c r="AD1113">
        <f t="shared" si="209"/>
        <v>9.6968E-4</v>
      </c>
      <c r="AE1113" s="18" t="str">
        <f t="shared" si="210"/>
        <v/>
      </c>
      <c r="AF1113" s="7" t="str">
        <f t="shared" si="211"/>
        <v/>
      </c>
      <c r="AG1113" s="12">
        <f t="shared" si="212"/>
        <v>0.99217951970192664</v>
      </c>
      <c r="AI1113" s="54" t="str">
        <f t="shared" si="213"/>
        <v/>
      </c>
      <c r="AJ1113" s="54" t="str">
        <f t="shared" si="214"/>
        <v/>
      </c>
      <c r="AK1113" s="54">
        <f t="shared" si="215"/>
        <v>0.66692092024390359</v>
      </c>
    </row>
    <row r="1114" spans="18:37" x14ac:dyDescent="0.45">
      <c r="R1114" s="2">
        <v>27.9</v>
      </c>
      <c r="S1114" s="2">
        <v>5.7160000000000002E-4</v>
      </c>
      <c r="T1114" s="2">
        <v>2.8630000000000002E-4</v>
      </c>
      <c r="V1114" s="11"/>
      <c r="W1114" s="6"/>
      <c r="X1114" s="6">
        <v>10.950000000000001</v>
      </c>
      <c r="Y1114" s="11" t="str">
        <f t="shared" si="216"/>
        <v/>
      </c>
      <c r="Z1114" s="6" t="str">
        <f t="shared" si="217"/>
        <v/>
      </c>
      <c r="AA1114" s="23">
        <f t="shared" si="218"/>
        <v>40.950000000000003</v>
      </c>
      <c r="AB1114" t="str">
        <f t="shared" si="207"/>
        <v/>
      </c>
      <c r="AC1114" t="str">
        <f t="shared" si="208"/>
        <v/>
      </c>
      <c r="AD1114">
        <f t="shared" si="209"/>
        <v>9.7039999999999995E-4</v>
      </c>
      <c r="AE1114" s="18" t="str">
        <f t="shared" si="210"/>
        <v/>
      </c>
      <c r="AF1114" s="7" t="str">
        <f t="shared" si="211"/>
        <v/>
      </c>
      <c r="AG1114" s="12">
        <f t="shared" si="212"/>
        <v>0.99216989873555994</v>
      </c>
      <c r="AI1114" s="54" t="str">
        <f t="shared" si="213"/>
        <v/>
      </c>
      <c r="AJ1114" s="54" t="str">
        <f t="shared" si="214"/>
        <v/>
      </c>
      <c r="AK1114" s="54">
        <f t="shared" si="215"/>
        <v>0.66767535064520911</v>
      </c>
    </row>
    <row r="1115" spans="18:37" x14ac:dyDescent="0.45">
      <c r="R1115" s="2">
        <v>27.91</v>
      </c>
      <c r="S1115" s="2">
        <v>5.7164E-4</v>
      </c>
      <c r="T1115" s="2">
        <v>2.8646999999999999E-4</v>
      </c>
      <c r="V1115" s="11"/>
      <c r="W1115" s="6"/>
      <c r="X1115" s="6">
        <v>10.96</v>
      </c>
      <c r="Y1115" s="11" t="str">
        <f t="shared" si="216"/>
        <v/>
      </c>
      <c r="Z1115" s="6" t="str">
        <f t="shared" si="217"/>
        <v/>
      </c>
      <c r="AA1115" s="23">
        <f t="shared" si="218"/>
        <v>40.96</v>
      </c>
      <c r="AB1115" t="str">
        <f t="shared" si="207"/>
        <v/>
      </c>
      <c r="AC1115" t="str">
        <f t="shared" si="208"/>
        <v/>
      </c>
      <c r="AD1115">
        <f t="shared" si="209"/>
        <v>9.7112000000000001E-4</v>
      </c>
      <c r="AE1115" s="18" t="str">
        <f t="shared" si="210"/>
        <v/>
      </c>
      <c r="AF1115" s="7" t="str">
        <f t="shared" si="211"/>
        <v/>
      </c>
      <c r="AG1115" s="12">
        <f t="shared" si="212"/>
        <v>0.99216027071886259</v>
      </c>
      <c r="AI1115" s="54" t="str">
        <f t="shared" si="213"/>
        <v/>
      </c>
      <c r="AJ1115" s="54" t="str">
        <f t="shared" si="214"/>
        <v/>
      </c>
      <c r="AK1115" s="54">
        <f t="shared" si="215"/>
        <v>0.66843008774149837</v>
      </c>
    </row>
    <row r="1116" spans="18:37" x14ac:dyDescent="0.45">
      <c r="R1116" s="2">
        <v>27.92</v>
      </c>
      <c r="S1116" s="2">
        <v>5.7167999999999997E-4</v>
      </c>
      <c r="T1116" s="2">
        <v>2.8664000000000001E-4</v>
      </c>
      <c r="V1116" s="11"/>
      <c r="W1116" s="6"/>
      <c r="X1116" s="6">
        <v>10.97</v>
      </c>
      <c r="Y1116" s="11" t="str">
        <f t="shared" si="216"/>
        <v/>
      </c>
      <c r="Z1116" s="6" t="str">
        <f t="shared" si="217"/>
        <v/>
      </c>
      <c r="AA1116" s="23">
        <f t="shared" si="218"/>
        <v>40.97</v>
      </c>
      <c r="AB1116" t="str">
        <f t="shared" si="207"/>
        <v/>
      </c>
      <c r="AC1116" t="str">
        <f t="shared" si="208"/>
        <v/>
      </c>
      <c r="AD1116">
        <f t="shared" si="209"/>
        <v>9.7183999999999997E-4</v>
      </c>
      <c r="AE1116" s="18" t="str">
        <f t="shared" si="210"/>
        <v/>
      </c>
      <c r="AF1116" s="7" t="str">
        <f t="shared" si="211"/>
        <v/>
      </c>
      <c r="AG1116" s="12">
        <f t="shared" si="212"/>
        <v>0.99215063565204153</v>
      </c>
      <c r="AI1116" s="54" t="str">
        <f t="shared" si="213"/>
        <v/>
      </c>
      <c r="AJ1116" s="54" t="str">
        <f t="shared" si="214"/>
        <v/>
      </c>
      <c r="AK1116" s="54">
        <f t="shared" si="215"/>
        <v>0.6691851316692915</v>
      </c>
    </row>
    <row r="1117" spans="18:37" x14ac:dyDescent="0.45">
      <c r="R1117" s="2">
        <v>27.93</v>
      </c>
      <c r="S1117" s="2">
        <v>5.7171999999999995E-4</v>
      </c>
      <c r="T1117" s="2">
        <v>2.8680999999999997E-4</v>
      </c>
      <c r="V1117" s="11"/>
      <c r="W1117" s="6"/>
      <c r="X1117" s="6">
        <v>10.98</v>
      </c>
      <c r="Y1117" s="11" t="str">
        <f t="shared" si="216"/>
        <v/>
      </c>
      <c r="Z1117" s="6" t="str">
        <f t="shared" si="217"/>
        <v/>
      </c>
      <c r="AA1117" s="23">
        <f t="shared" si="218"/>
        <v>40.980000000000004</v>
      </c>
      <c r="AB1117" t="str">
        <f t="shared" si="207"/>
        <v/>
      </c>
      <c r="AC1117" t="str">
        <f t="shared" si="208"/>
        <v/>
      </c>
      <c r="AD1117">
        <f t="shared" si="209"/>
        <v>9.7256000000000003E-4</v>
      </c>
      <c r="AE1117" s="18" t="str">
        <f t="shared" si="210"/>
        <v/>
      </c>
      <c r="AF1117" s="7" t="str">
        <f t="shared" si="211"/>
        <v/>
      </c>
      <c r="AG1117" s="12">
        <f t="shared" si="212"/>
        <v>0.99214099353530405</v>
      </c>
      <c r="AI1117" s="54" t="str">
        <f t="shared" si="213"/>
        <v/>
      </c>
      <c r="AJ1117" s="54" t="str">
        <f t="shared" si="214"/>
        <v/>
      </c>
      <c r="AK1117" s="54">
        <f t="shared" si="215"/>
        <v>0.66994048256517136</v>
      </c>
    </row>
    <row r="1118" spans="18:37" x14ac:dyDescent="0.45">
      <c r="R1118" s="2">
        <v>27.94</v>
      </c>
      <c r="S1118" s="2">
        <v>5.7176000000000004E-4</v>
      </c>
      <c r="T1118" s="2">
        <v>2.8697999999999999E-4</v>
      </c>
      <c r="V1118" s="11"/>
      <c r="W1118" s="6"/>
      <c r="X1118" s="6">
        <v>10.99</v>
      </c>
      <c r="Y1118" s="11" t="str">
        <f t="shared" si="216"/>
        <v/>
      </c>
      <c r="Z1118" s="6" t="str">
        <f t="shared" si="217"/>
        <v/>
      </c>
      <c r="AA1118" s="23">
        <f t="shared" si="218"/>
        <v>40.99</v>
      </c>
      <c r="AB1118" t="str">
        <f t="shared" si="207"/>
        <v/>
      </c>
      <c r="AC1118" t="str">
        <f t="shared" si="208"/>
        <v/>
      </c>
      <c r="AD1118">
        <f t="shared" si="209"/>
        <v>9.7327999999999998E-4</v>
      </c>
      <c r="AE1118" s="18" t="str">
        <f t="shared" si="210"/>
        <v/>
      </c>
      <c r="AF1118" s="7" t="str">
        <f t="shared" si="211"/>
        <v/>
      </c>
      <c r="AG1118" s="12">
        <f t="shared" si="212"/>
        <v>0.9921313443688573</v>
      </c>
      <c r="AI1118" s="54" t="str">
        <f t="shared" si="213"/>
        <v/>
      </c>
      <c r="AJ1118" s="54" t="str">
        <f t="shared" si="214"/>
        <v/>
      </c>
      <c r="AK1118" s="54">
        <f t="shared" si="215"/>
        <v>0.67069614056578319</v>
      </c>
    </row>
    <row r="1119" spans="18:37" x14ac:dyDescent="0.45">
      <c r="R1119" s="2">
        <v>27.95</v>
      </c>
      <c r="S1119" s="2">
        <v>5.7180000000000002E-4</v>
      </c>
      <c r="T1119" s="2">
        <v>2.8715000000000001E-4</v>
      </c>
      <c r="V1119" s="11"/>
      <c r="W1119" s="6"/>
      <c r="X1119" s="6">
        <v>11</v>
      </c>
      <c r="Y1119" s="11" t="str">
        <f t="shared" si="216"/>
        <v/>
      </c>
      <c r="Z1119" s="6" t="str">
        <f t="shared" si="217"/>
        <v/>
      </c>
      <c r="AA1119" s="23">
        <f t="shared" si="218"/>
        <v>41</v>
      </c>
      <c r="AB1119" t="str">
        <f t="shared" si="207"/>
        <v/>
      </c>
      <c r="AC1119" t="str">
        <f t="shared" si="208"/>
        <v/>
      </c>
      <c r="AD1119">
        <f t="shared" si="209"/>
        <v>9.7400000000000004E-4</v>
      </c>
      <c r="AE1119" s="18" t="str">
        <f t="shared" si="210"/>
        <v/>
      </c>
      <c r="AF1119" s="7" t="str">
        <f t="shared" si="211"/>
        <v/>
      </c>
      <c r="AG1119" s="12">
        <f t="shared" si="212"/>
        <v>0.9921216881529088</v>
      </c>
      <c r="AI1119" s="54" t="str">
        <f t="shared" si="213"/>
        <v/>
      </c>
      <c r="AJ1119" s="54" t="str">
        <f t="shared" si="214"/>
        <v/>
      </c>
      <c r="AK1119" s="54">
        <f t="shared" si="215"/>
        <v>0.67145210580783488</v>
      </c>
    </row>
    <row r="1120" spans="18:37" x14ac:dyDescent="0.45">
      <c r="R1120" s="2">
        <v>27.96</v>
      </c>
      <c r="S1120" s="2">
        <v>5.7184E-4</v>
      </c>
      <c r="T1120" s="2">
        <v>2.8731999999999998E-4</v>
      </c>
      <c r="V1120" s="11"/>
      <c r="W1120" s="6"/>
      <c r="X1120" s="6">
        <v>11.01</v>
      </c>
      <c r="Y1120" s="11" t="str">
        <f t="shared" si="216"/>
        <v/>
      </c>
      <c r="Z1120" s="6" t="str">
        <f t="shared" si="217"/>
        <v/>
      </c>
      <c r="AA1120" s="23">
        <f t="shared" si="218"/>
        <v>41.01</v>
      </c>
      <c r="AB1120" t="str">
        <f t="shared" si="207"/>
        <v/>
      </c>
      <c r="AC1120" t="str">
        <f t="shared" si="208"/>
        <v/>
      </c>
      <c r="AD1120">
        <f t="shared" si="209"/>
        <v>9.7482999999999999E-4</v>
      </c>
      <c r="AE1120" s="18" t="str">
        <f t="shared" si="210"/>
        <v/>
      </c>
      <c r="AF1120" s="7" t="str">
        <f t="shared" si="211"/>
        <v/>
      </c>
      <c r="AG1120" s="12">
        <f t="shared" si="212"/>
        <v>0.99211202488766614</v>
      </c>
      <c r="AI1120" s="54" t="str">
        <f t="shared" si="213"/>
        <v/>
      </c>
      <c r="AJ1120" s="54" t="str">
        <f t="shared" si="214"/>
        <v/>
      </c>
      <c r="AK1120" s="54">
        <f t="shared" si="215"/>
        <v>0.67220837842809711</v>
      </c>
    </row>
    <row r="1121" spans="18:37" x14ac:dyDescent="0.45">
      <c r="R1121" s="2">
        <v>27.97</v>
      </c>
      <c r="S1121" s="2">
        <v>5.7187999999999998E-4</v>
      </c>
      <c r="T1121" s="2">
        <v>2.8749E-4</v>
      </c>
      <c r="V1121" s="11"/>
      <c r="W1121" s="6"/>
      <c r="X1121" s="6">
        <v>11.02</v>
      </c>
      <c r="Y1121" s="11" t="str">
        <f t="shared" si="216"/>
        <v/>
      </c>
      <c r="Z1121" s="6" t="str">
        <f t="shared" si="217"/>
        <v/>
      </c>
      <c r="AA1121" s="23">
        <f t="shared" si="218"/>
        <v>41.019999999999996</v>
      </c>
      <c r="AB1121" t="str">
        <f t="shared" si="207"/>
        <v/>
      </c>
      <c r="AC1121" t="str">
        <f t="shared" si="208"/>
        <v/>
      </c>
      <c r="AD1121">
        <f t="shared" si="209"/>
        <v>9.7482999999999999E-4</v>
      </c>
      <c r="AE1121" s="18" t="str">
        <f t="shared" si="210"/>
        <v/>
      </c>
      <c r="AF1121" s="7" t="str">
        <f t="shared" si="211"/>
        <v/>
      </c>
      <c r="AG1121" s="12">
        <f t="shared" si="212"/>
        <v>0.99210235348201392</v>
      </c>
      <c r="AI1121" s="54" t="str">
        <f t="shared" si="213"/>
        <v/>
      </c>
      <c r="AJ1121" s="54" t="str">
        <f t="shared" si="214"/>
        <v/>
      </c>
      <c r="AK1121" s="54">
        <f t="shared" si="215"/>
        <v>0.67296495820283231</v>
      </c>
    </row>
    <row r="1122" spans="18:37" x14ac:dyDescent="0.45">
      <c r="R1122" s="2">
        <v>27.98</v>
      </c>
      <c r="S1122" s="2">
        <v>5.7191999999999996E-4</v>
      </c>
      <c r="T1122" s="2">
        <v>2.8766000000000002E-4</v>
      </c>
      <c r="V1122" s="11"/>
      <c r="W1122" s="6"/>
      <c r="X1122" s="6">
        <v>11.03</v>
      </c>
      <c r="Y1122" s="11" t="str">
        <f t="shared" si="216"/>
        <v/>
      </c>
      <c r="Z1122" s="6" t="str">
        <f t="shared" si="217"/>
        <v/>
      </c>
      <c r="AA1122" s="23">
        <f t="shared" si="218"/>
        <v>41.03</v>
      </c>
      <c r="AB1122" t="str">
        <f t="shared" si="207"/>
        <v/>
      </c>
      <c r="AC1122" t="str">
        <f t="shared" si="208"/>
        <v/>
      </c>
      <c r="AD1122">
        <f t="shared" si="209"/>
        <v>9.7649E-4</v>
      </c>
      <c r="AE1122" s="18" t="str">
        <f t="shared" si="210"/>
        <v/>
      </c>
      <c r="AF1122" s="7" t="str">
        <f t="shared" si="211"/>
        <v/>
      </c>
      <c r="AG1122" s="12">
        <f t="shared" si="212"/>
        <v>0.9920926821706415</v>
      </c>
      <c r="AI1122" s="54" t="str">
        <f t="shared" si="213"/>
        <v/>
      </c>
      <c r="AJ1122" s="54" t="str">
        <f t="shared" si="214"/>
        <v/>
      </c>
      <c r="AK1122" s="54">
        <f t="shared" si="215"/>
        <v>0.67372184798484402</v>
      </c>
    </row>
    <row r="1123" spans="18:37" x14ac:dyDescent="0.45">
      <c r="R1123" s="2">
        <v>27.99</v>
      </c>
      <c r="S1123" s="2">
        <v>5.7196000000000005E-4</v>
      </c>
      <c r="T1123" s="2">
        <v>2.8782999999999999E-4</v>
      </c>
      <c r="V1123" s="11"/>
      <c r="W1123" s="6"/>
      <c r="X1123" s="6">
        <v>11.040000000000001</v>
      </c>
      <c r="Y1123" s="11" t="str">
        <f t="shared" si="216"/>
        <v/>
      </c>
      <c r="Z1123" s="6" t="str">
        <f t="shared" si="217"/>
        <v/>
      </c>
      <c r="AA1123" s="23">
        <f t="shared" si="218"/>
        <v>41.04</v>
      </c>
      <c r="AB1123" t="str">
        <f t="shared" si="207"/>
        <v/>
      </c>
      <c r="AC1123" t="str">
        <f t="shared" si="208"/>
        <v/>
      </c>
      <c r="AD1123">
        <f t="shared" si="209"/>
        <v>9.7732000000000006E-4</v>
      </c>
      <c r="AE1123" s="18" t="str">
        <f t="shared" si="210"/>
        <v/>
      </c>
      <c r="AF1123" s="7" t="str">
        <f t="shared" si="211"/>
        <v/>
      </c>
      <c r="AG1123" s="12">
        <f t="shared" si="212"/>
        <v>0.99208299448480941</v>
      </c>
      <c r="AI1123" s="54" t="str">
        <f t="shared" si="213"/>
        <v/>
      </c>
      <c r="AJ1123" s="54" t="str">
        <f t="shared" si="214"/>
        <v/>
      </c>
      <c r="AK1123" s="54">
        <f t="shared" si="215"/>
        <v>0.67447904248493984</v>
      </c>
    </row>
    <row r="1124" spans="18:37" x14ac:dyDescent="0.45">
      <c r="R1124" s="2">
        <v>28</v>
      </c>
      <c r="S1124" s="2">
        <v>5.7200000000000003E-4</v>
      </c>
      <c r="T1124" s="2">
        <v>2.8800000000000001E-4</v>
      </c>
      <c r="V1124" s="11"/>
      <c r="W1124" s="6"/>
      <c r="X1124" s="6">
        <v>11.05</v>
      </c>
      <c r="Y1124" s="11" t="str">
        <f t="shared" si="216"/>
        <v/>
      </c>
      <c r="Z1124" s="6" t="str">
        <f t="shared" si="217"/>
        <v/>
      </c>
      <c r="AA1124" s="23">
        <f t="shared" si="218"/>
        <v>41.05</v>
      </c>
      <c r="AB1124" t="str">
        <f t="shared" si="207"/>
        <v/>
      </c>
      <c r="AC1124" t="str">
        <f t="shared" si="208"/>
        <v/>
      </c>
      <c r="AD1124">
        <f t="shared" si="209"/>
        <v>9.781499999999999E-4</v>
      </c>
      <c r="AE1124" s="18" t="str">
        <f t="shared" si="210"/>
        <v/>
      </c>
      <c r="AF1124" s="7" t="str">
        <f t="shared" si="211"/>
        <v/>
      </c>
      <c r="AG1124" s="12">
        <f t="shared" si="212"/>
        <v>0.99207329865928773</v>
      </c>
      <c r="AI1124" s="54" t="str">
        <f t="shared" si="213"/>
        <v/>
      </c>
      <c r="AJ1124" s="54" t="str">
        <f t="shared" si="214"/>
        <v/>
      </c>
      <c r="AK1124" s="54">
        <f t="shared" si="215"/>
        <v>0.67523654455494031</v>
      </c>
    </row>
    <row r="1125" spans="18:37" x14ac:dyDescent="0.45">
      <c r="R1125" s="2">
        <v>28.01</v>
      </c>
      <c r="S1125" s="2">
        <v>5.7205000000000005E-4</v>
      </c>
      <c r="T1125" s="2">
        <v>2.8819000000000002E-4</v>
      </c>
      <c r="V1125" s="11"/>
      <c r="W1125" s="6"/>
      <c r="X1125" s="6">
        <v>11.06</v>
      </c>
      <c r="Y1125" s="11" t="str">
        <f t="shared" si="216"/>
        <v/>
      </c>
      <c r="Z1125" s="6" t="str">
        <f t="shared" si="217"/>
        <v/>
      </c>
      <c r="AA1125" s="23">
        <f t="shared" si="218"/>
        <v>41.06</v>
      </c>
      <c r="AB1125" t="str">
        <f t="shared" si="207"/>
        <v/>
      </c>
      <c r="AC1125" t="str">
        <f t="shared" si="208"/>
        <v/>
      </c>
      <c r="AD1125">
        <f t="shared" si="209"/>
        <v>9.7897999999999995E-4</v>
      </c>
      <c r="AE1125" s="18" t="str">
        <f t="shared" si="210"/>
        <v/>
      </c>
      <c r="AF1125" s="7" t="str">
        <f t="shared" si="211"/>
        <v/>
      </c>
      <c r="AG1125" s="12">
        <f t="shared" si="212"/>
        <v>0.99206359469431693</v>
      </c>
      <c r="AI1125" s="54" t="str">
        <f t="shared" si="213"/>
        <v/>
      </c>
      <c r="AJ1125" s="54" t="str">
        <f t="shared" si="214"/>
        <v/>
      </c>
      <c r="AK1125" s="54">
        <f t="shared" si="215"/>
        <v>0.67599435433345134</v>
      </c>
    </row>
    <row r="1126" spans="18:37" x14ac:dyDescent="0.45">
      <c r="R1126" s="2">
        <v>28.02</v>
      </c>
      <c r="S1126" s="2">
        <v>5.7209999999999997E-4</v>
      </c>
      <c r="T1126" s="2">
        <v>2.8837999999999997E-4</v>
      </c>
      <c r="V1126" s="11"/>
      <c r="W1126" s="6"/>
      <c r="X1126" s="6">
        <v>11.07</v>
      </c>
      <c r="Y1126" s="11" t="str">
        <f t="shared" si="216"/>
        <v/>
      </c>
      <c r="Z1126" s="6" t="str">
        <f t="shared" si="217"/>
        <v/>
      </c>
      <c r="AA1126" s="23">
        <f t="shared" si="218"/>
        <v>41.07</v>
      </c>
      <c r="AB1126" t="str">
        <f t="shared" si="207"/>
        <v/>
      </c>
      <c r="AC1126" t="str">
        <f t="shared" si="208"/>
        <v/>
      </c>
      <c r="AD1126">
        <f t="shared" si="209"/>
        <v>9.7981000000000001E-4</v>
      </c>
      <c r="AE1126" s="18" t="str">
        <f t="shared" si="210"/>
        <v/>
      </c>
      <c r="AF1126" s="7" t="str">
        <f t="shared" si="211"/>
        <v/>
      </c>
      <c r="AG1126" s="12">
        <f t="shared" si="212"/>
        <v>0.9920538825901376</v>
      </c>
      <c r="AI1126" s="54" t="str">
        <f t="shared" si="213"/>
        <v/>
      </c>
      <c r="AJ1126" s="54" t="str">
        <f t="shared" si="214"/>
        <v/>
      </c>
      <c r="AK1126" s="54">
        <f t="shared" si="215"/>
        <v>0.67675247195914323</v>
      </c>
    </row>
    <row r="1127" spans="18:37" x14ac:dyDescent="0.45">
      <c r="R1127" s="2">
        <v>28.03</v>
      </c>
      <c r="S1127" s="2">
        <v>5.7215E-4</v>
      </c>
      <c r="T1127" s="2">
        <v>2.8856999999999998E-4</v>
      </c>
      <c r="V1127" s="11"/>
      <c r="W1127" s="6"/>
      <c r="X1127" s="6">
        <v>11.08</v>
      </c>
      <c r="Y1127" s="11" t="str">
        <f t="shared" si="216"/>
        <v/>
      </c>
      <c r="Z1127" s="6" t="str">
        <f t="shared" si="217"/>
        <v/>
      </c>
      <c r="AA1127" s="23">
        <f t="shared" si="218"/>
        <v>41.08</v>
      </c>
      <c r="AB1127" t="str">
        <f t="shared" si="207"/>
        <v/>
      </c>
      <c r="AC1127" t="str">
        <f t="shared" si="208"/>
        <v/>
      </c>
      <c r="AD1127">
        <f t="shared" si="209"/>
        <v>9.8064000000000007E-4</v>
      </c>
      <c r="AE1127" s="18" t="str">
        <f t="shared" si="210"/>
        <v/>
      </c>
      <c r="AF1127" s="7" t="str">
        <f t="shared" si="211"/>
        <v/>
      </c>
      <c r="AG1127" s="12">
        <f t="shared" si="212"/>
        <v>0.99204416234699055</v>
      </c>
      <c r="AI1127" s="54" t="str">
        <f t="shared" si="213"/>
        <v/>
      </c>
      <c r="AJ1127" s="54" t="str">
        <f t="shared" si="214"/>
        <v/>
      </c>
      <c r="AK1127" s="54">
        <f t="shared" si="215"/>
        <v>0.67751089757075089</v>
      </c>
    </row>
    <row r="1128" spans="18:37" x14ac:dyDescent="0.45">
      <c r="R1128" s="2">
        <v>28.04</v>
      </c>
      <c r="S1128" s="2">
        <v>5.7220000000000003E-4</v>
      </c>
      <c r="T1128" s="2">
        <v>2.8875999999999999E-4</v>
      </c>
      <c r="V1128" s="11"/>
      <c r="W1128" s="6"/>
      <c r="X1128" s="6">
        <v>11.09</v>
      </c>
      <c r="Y1128" s="11" t="str">
        <f t="shared" si="216"/>
        <v/>
      </c>
      <c r="Z1128" s="6" t="str">
        <f t="shared" si="217"/>
        <v/>
      </c>
      <c r="AA1128" s="23">
        <f t="shared" si="218"/>
        <v>41.09</v>
      </c>
      <c r="AB1128" t="str">
        <f t="shared" si="207"/>
        <v/>
      </c>
      <c r="AC1128" t="str">
        <f t="shared" si="208"/>
        <v/>
      </c>
      <c r="AD1128">
        <f t="shared" si="209"/>
        <v>9.8146999999999991E-4</v>
      </c>
      <c r="AE1128" s="18" t="str">
        <f t="shared" si="210"/>
        <v/>
      </c>
      <c r="AF1128" s="7" t="str">
        <f t="shared" si="211"/>
        <v/>
      </c>
      <c r="AG1128" s="12">
        <f t="shared" si="212"/>
        <v>0.99203443396511692</v>
      </c>
      <c r="AI1128" s="54" t="str">
        <f t="shared" si="213"/>
        <v/>
      </c>
      <c r="AJ1128" s="54" t="str">
        <f t="shared" si="214"/>
        <v/>
      </c>
      <c r="AK1128" s="54">
        <f t="shared" si="215"/>
        <v>0.67826963130707363</v>
      </c>
    </row>
    <row r="1129" spans="18:37" x14ac:dyDescent="0.45">
      <c r="R1129" s="2">
        <v>28.05</v>
      </c>
      <c r="S1129" s="2">
        <v>5.7224999999999995E-4</v>
      </c>
      <c r="T1129" s="2">
        <v>2.8895E-4</v>
      </c>
      <c r="V1129" s="11"/>
      <c r="W1129" s="6"/>
      <c r="X1129" s="6">
        <v>11.1</v>
      </c>
      <c r="Y1129" s="11" t="str">
        <f t="shared" si="216"/>
        <v/>
      </c>
      <c r="Z1129" s="6" t="str">
        <f t="shared" si="217"/>
        <v/>
      </c>
      <c r="AA1129" s="23">
        <f t="shared" si="218"/>
        <v>41.1</v>
      </c>
      <c r="AB1129" t="str">
        <f t="shared" si="207"/>
        <v/>
      </c>
      <c r="AC1129" t="str">
        <f t="shared" si="208"/>
        <v/>
      </c>
      <c r="AD1129">
        <f t="shared" si="209"/>
        <v>9.8229999999999997E-4</v>
      </c>
      <c r="AE1129" s="18" t="str">
        <f t="shared" si="210"/>
        <v/>
      </c>
      <c r="AF1129" s="7" t="str">
        <f t="shared" si="211"/>
        <v/>
      </c>
      <c r="AG1129" s="12">
        <f t="shared" si="212"/>
        <v>0.99202469744475785</v>
      </c>
      <c r="AI1129" s="54" t="str">
        <f t="shared" si="213"/>
        <v/>
      </c>
      <c r="AJ1129" s="54" t="str">
        <f t="shared" si="214"/>
        <v/>
      </c>
      <c r="AK1129" s="54">
        <f t="shared" si="215"/>
        <v>0.67902867330697536</v>
      </c>
    </row>
    <row r="1130" spans="18:37" x14ac:dyDescent="0.45">
      <c r="R1130" s="2">
        <v>28.06</v>
      </c>
      <c r="S1130" s="2">
        <v>5.7229999999999998E-4</v>
      </c>
      <c r="T1130" s="2">
        <v>2.8914000000000001E-4</v>
      </c>
      <c r="V1130" s="11"/>
      <c r="W1130" s="6"/>
      <c r="X1130" s="6">
        <v>11.11</v>
      </c>
      <c r="Y1130" s="11" t="str">
        <f t="shared" si="216"/>
        <v/>
      </c>
      <c r="Z1130" s="6" t="str">
        <f t="shared" si="217"/>
        <v/>
      </c>
      <c r="AA1130" s="23">
        <f t="shared" si="218"/>
        <v>41.11</v>
      </c>
      <c r="AB1130" t="str">
        <f t="shared" si="207"/>
        <v/>
      </c>
      <c r="AC1130" t="str">
        <f t="shared" si="208"/>
        <v/>
      </c>
      <c r="AD1130">
        <f t="shared" si="209"/>
        <v>9.8313000000000003E-4</v>
      </c>
      <c r="AE1130" s="18" t="str">
        <f t="shared" si="210"/>
        <v/>
      </c>
      <c r="AF1130" s="7" t="str">
        <f t="shared" si="211"/>
        <v/>
      </c>
      <c r="AG1130" s="12">
        <f t="shared" si="212"/>
        <v>0.99201495278615481</v>
      </c>
      <c r="AI1130" s="54" t="str">
        <f t="shared" si="213"/>
        <v/>
      </c>
      <c r="AJ1130" s="54" t="str">
        <f t="shared" si="214"/>
        <v/>
      </c>
      <c r="AK1130" s="54">
        <f t="shared" si="215"/>
        <v>0.67978802370938451</v>
      </c>
    </row>
    <row r="1131" spans="18:37" x14ac:dyDescent="0.45">
      <c r="R1131" s="2">
        <v>28.07</v>
      </c>
      <c r="S1131" s="2">
        <v>5.7235000000000001E-4</v>
      </c>
      <c r="T1131" s="2">
        <v>2.8933000000000002E-4</v>
      </c>
      <c r="V1131" s="11"/>
      <c r="W1131" s="6"/>
      <c r="X1131" s="6">
        <v>11.120000000000001</v>
      </c>
      <c r="Y1131" s="11" t="str">
        <f t="shared" si="216"/>
        <v/>
      </c>
      <c r="Z1131" s="6" t="str">
        <f t="shared" si="217"/>
        <v/>
      </c>
      <c r="AA1131" s="23">
        <f t="shared" si="218"/>
        <v>41.120000000000005</v>
      </c>
      <c r="AB1131" t="str">
        <f t="shared" si="207"/>
        <v/>
      </c>
      <c r="AC1131" t="str">
        <f t="shared" si="208"/>
        <v/>
      </c>
      <c r="AD1131">
        <f t="shared" si="209"/>
        <v>9.8396000000000009E-4</v>
      </c>
      <c r="AE1131" s="18" t="str">
        <f t="shared" si="210"/>
        <v/>
      </c>
      <c r="AF1131" s="7" t="str">
        <f t="shared" si="211"/>
        <v/>
      </c>
      <c r="AG1131" s="12">
        <f t="shared" si="212"/>
        <v>0.9920051999895495</v>
      </c>
      <c r="AI1131" s="54" t="str">
        <f t="shared" si="213"/>
        <v/>
      </c>
      <c r="AJ1131" s="54" t="str">
        <f t="shared" si="214"/>
        <v/>
      </c>
      <c r="AK1131" s="54">
        <f t="shared" si="215"/>
        <v>0.68054768265329424</v>
      </c>
    </row>
    <row r="1132" spans="18:37" x14ac:dyDescent="0.45">
      <c r="R1132" s="2">
        <v>28.08</v>
      </c>
      <c r="S1132" s="2">
        <v>5.7240000000000004E-4</v>
      </c>
      <c r="T1132" s="2">
        <v>2.8951999999999998E-4</v>
      </c>
      <c r="V1132" s="11"/>
      <c r="W1132" s="6"/>
      <c r="X1132" s="6">
        <v>11.13</v>
      </c>
      <c r="Y1132" s="11" t="str">
        <f t="shared" si="216"/>
        <v/>
      </c>
      <c r="Z1132" s="6" t="str">
        <f t="shared" si="217"/>
        <v/>
      </c>
      <c r="AA1132" s="23">
        <f t="shared" si="218"/>
        <v>41.13</v>
      </c>
      <c r="AB1132" t="str">
        <f t="shared" si="207"/>
        <v/>
      </c>
      <c r="AC1132" t="str">
        <f t="shared" si="208"/>
        <v/>
      </c>
      <c r="AD1132">
        <f t="shared" si="209"/>
        <v>9.8478999999999993E-4</v>
      </c>
      <c r="AE1132" s="18" t="str">
        <f t="shared" si="210"/>
        <v/>
      </c>
      <c r="AF1132" s="7" t="str">
        <f t="shared" si="211"/>
        <v/>
      </c>
      <c r="AG1132" s="12">
        <f t="shared" si="212"/>
        <v>0.99199543905518373</v>
      </c>
      <c r="AI1132" s="54" t="str">
        <f t="shared" si="213"/>
        <v/>
      </c>
      <c r="AJ1132" s="54" t="str">
        <f t="shared" si="214"/>
        <v/>
      </c>
      <c r="AK1132" s="54">
        <f t="shared" si="215"/>
        <v>0.6813076502777623</v>
      </c>
    </row>
    <row r="1133" spans="18:37" x14ac:dyDescent="0.45">
      <c r="R1133" s="2">
        <v>28.09</v>
      </c>
      <c r="S1133" s="2">
        <v>5.7244999999999996E-4</v>
      </c>
      <c r="T1133" s="2">
        <v>2.8970999999999999E-4</v>
      </c>
      <c r="V1133" s="11"/>
      <c r="W1133" s="6"/>
      <c r="X1133" s="6">
        <v>11.14</v>
      </c>
      <c r="Y1133" s="11" t="str">
        <f t="shared" si="216"/>
        <v/>
      </c>
      <c r="Z1133" s="6" t="str">
        <f t="shared" si="217"/>
        <v/>
      </c>
      <c r="AA1133" s="23">
        <f t="shared" si="218"/>
        <v>41.14</v>
      </c>
      <c r="AB1133" t="str">
        <f t="shared" si="207"/>
        <v/>
      </c>
      <c r="AC1133" t="str">
        <f t="shared" si="208"/>
        <v/>
      </c>
      <c r="AD1133">
        <f t="shared" si="209"/>
        <v>9.8561999999999999E-4</v>
      </c>
      <c r="AE1133" s="18" t="str">
        <f t="shared" si="210"/>
        <v/>
      </c>
      <c r="AF1133" s="7" t="str">
        <f t="shared" si="211"/>
        <v/>
      </c>
      <c r="AG1133" s="12">
        <f t="shared" si="212"/>
        <v>0.9919856699832994</v>
      </c>
      <c r="AI1133" s="54" t="str">
        <f t="shared" si="213"/>
        <v/>
      </c>
      <c r="AJ1133" s="54" t="str">
        <f t="shared" si="214"/>
        <v/>
      </c>
      <c r="AK1133" s="54">
        <f t="shared" si="215"/>
        <v>0.68206792672191108</v>
      </c>
    </row>
    <row r="1134" spans="18:37" x14ac:dyDescent="0.45">
      <c r="R1134" s="2">
        <v>28.1</v>
      </c>
      <c r="S1134" s="2">
        <v>5.7249999999999998E-4</v>
      </c>
      <c r="T1134" s="2">
        <v>2.899E-4</v>
      </c>
      <c r="V1134" s="11"/>
      <c r="W1134" s="6"/>
      <c r="X1134" s="6">
        <v>11.15</v>
      </c>
      <c r="Y1134" s="11" t="str">
        <f t="shared" si="216"/>
        <v/>
      </c>
      <c r="Z1134" s="6" t="str">
        <f t="shared" si="217"/>
        <v/>
      </c>
      <c r="AA1134" s="23">
        <f t="shared" si="218"/>
        <v>41.15</v>
      </c>
      <c r="AB1134" t="str">
        <f t="shared" si="207"/>
        <v/>
      </c>
      <c r="AC1134" t="str">
        <f t="shared" si="208"/>
        <v/>
      </c>
      <c r="AD1134">
        <f t="shared" si="209"/>
        <v>9.8645000000000004E-4</v>
      </c>
      <c r="AE1134" s="18" t="str">
        <f t="shared" si="210"/>
        <v/>
      </c>
      <c r="AF1134" s="7" t="str">
        <f t="shared" si="211"/>
        <v/>
      </c>
      <c r="AG1134" s="12">
        <f t="shared" si="212"/>
        <v>0.99197589277413889</v>
      </c>
      <c r="AI1134" s="54" t="str">
        <f t="shared" si="213"/>
        <v/>
      </c>
      <c r="AJ1134" s="54" t="str">
        <f t="shared" si="214"/>
        <v/>
      </c>
      <c r="AK1134" s="54">
        <f t="shared" si="215"/>
        <v>0.68282851212492768</v>
      </c>
    </row>
    <row r="1135" spans="18:37" x14ac:dyDescent="0.45">
      <c r="R1135" s="2">
        <v>28.11</v>
      </c>
      <c r="S1135" s="2">
        <v>5.7255000000000001E-4</v>
      </c>
      <c r="T1135" s="2">
        <v>2.9009000000000001E-4</v>
      </c>
      <c r="V1135" s="11"/>
      <c r="W1135" s="6"/>
      <c r="X1135" s="6">
        <v>11.16</v>
      </c>
      <c r="Y1135" s="11" t="str">
        <f t="shared" si="216"/>
        <v/>
      </c>
      <c r="Z1135" s="6" t="str">
        <f t="shared" si="217"/>
        <v/>
      </c>
      <c r="AA1135" s="23">
        <f t="shared" si="218"/>
        <v>41.16</v>
      </c>
      <c r="AB1135" t="str">
        <f t="shared" si="207"/>
        <v/>
      </c>
      <c r="AC1135" t="str">
        <f t="shared" si="208"/>
        <v/>
      </c>
      <c r="AD1135">
        <f t="shared" si="209"/>
        <v>9.872800000000001E-4</v>
      </c>
      <c r="AE1135" s="18" t="str">
        <f t="shared" si="210"/>
        <v/>
      </c>
      <c r="AF1135" s="7" t="str">
        <f t="shared" si="211"/>
        <v/>
      </c>
      <c r="AG1135" s="12">
        <f t="shared" si="212"/>
        <v>0.99196610742794467</v>
      </c>
      <c r="AI1135" s="54" t="str">
        <f t="shared" si="213"/>
        <v/>
      </c>
      <c r="AJ1135" s="54" t="str">
        <f t="shared" si="214"/>
        <v/>
      </c>
      <c r="AK1135" s="54">
        <f t="shared" si="215"/>
        <v>0.68358940662606404</v>
      </c>
    </row>
    <row r="1136" spans="18:37" x14ac:dyDescent="0.45">
      <c r="R1136" s="2">
        <v>28.12</v>
      </c>
      <c r="S1136" s="2">
        <v>5.7260000000000004E-4</v>
      </c>
      <c r="T1136" s="2">
        <v>2.9028000000000002E-4</v>
      </c>
      <c r="V1136" s="11"/>
      <c r="W1136" s="6"/>
      <c r="X1136" s="6">
        <v>11.17</v>
      </c>
      <c r="Y1136" s="11" t="str">
        <f t="shared" si="216"/>
        <v/>
      </c>
      <c r="Z1136" s="6" t="str">
        <f t="shared" si="217"/>
        <v/>
      </c>
      <c r="AA1136" s="23">
        <f t="shared" si="218"/>
        <v>41.17</v>
      </c>
      <c r="AB1136" t="str">
        <f t="shared" si="207"/>
        <v/>
      </c>
      <c r="AC1136" t="str">
        <f t="shared" si="208"/>
        <v/>
      </c>
      <c r="AD1136">
        <f t="shared" si="209"/>
        <v>9.8810999999999994E-4</v>
      </c>
      <c r="AE1136" s="18" t="str">
        <f t="shared" si="210"/>
        <v/>
      </c>
      <c r="AF1136" s="7" t="str">
        <f t="shared" si="211"/>
        <v/>
      </c>
      <c r="AG1136" s="12">
        <f t="shared" si="212"/>
        <v>0.9919563139449592</v>
      </c>
      <c r="AI1136" s="54" t="str">
        <f t="shared" si="213"/>
        <v/>
      </c>
      <c r="AJ1136" s="54" t="str">
        <f t="shared" si="214"/>
        <v/>
      </c>
      <c r="AK1136" s="54">
        <f t="shared" si="215"/>
        <v>0.68435061036463674</v>
      </c>
    </row>
    <row r="1137" spans="18:37" x14ac:dyDescent="0.45">
      <c r="R1137" s="2">
        <v>28.13</v>
      </c>
      <c r="S1137" s="2">
        <v>5.7264999999999996E-4</v>
      </c>
      <c r="T1137" s="2">
        <v>2.9046999999999998E-4</v>
      </c>
      <c r="V1137" s="11"/>
      <c r="W1137" s="6"/>
      <c r="X1137" s="6">
        <v>11.18</v>
      </c>
      <c r="Y1137" s="11" t="str">
        <f t="shared" si="216"/>
        <v/>
      </c>
      <c r="Z1137" s="6" t="str">
        <f t="shared" si="217"/>
        <v/>
      </c>
      <c r="AA1137" s="23">
        <f t="shared" si="218"/>
        <v>41.18</v>
      </c>
      <c r="AB1137" t="str">
        <f t="shared" si="207"/>
        <v/>
      </c>
      <c r="AC1137" t="str">
        <f t="shared" si="208"/>
        <v/>
      </c>
      <c r="AD1137">
        <f t="shared" si="209"/>
        <v>9.8894E-4</v>
      </c>
      <c r="AE1137" s="18" t="str">
        <f t="shared" si="210"/>
        <v/>
      </c>
      <c r="AF1137" s="7" t="str">
        <f t="shared" si="211"/>
        <v/>
      </c>
      <c r="AG1137" s="12">
        <f t="shared" si="212"/>
        <v>0.99194651232542552</v>
      </c>
      <c r="AI1137" s="54" t="str">
        <f t="shared" si="213"/>
        <v/>
      </c>
      <c r="AJ1137" s="54" t="str">
        <f t="shared" si="214"/>
        <v/>
      </c>
      <c r="AK1137" s="54">
        <f t="shared" si="215"/>
        <v>0.68511212348002715</v>
      </c>
    </row>
    <row r="1138" spans="18:37" x14ac:dyDescent="0.45">
      <c r="R1138" s="2">
        <v>28.14</v>
      </c>
      <c r="S1138" s="2">
        <v>5.7269999999999999E-4</v>
      </c>
      <c r="T1138" s="2">
        <v>2.9065999999999999E-4</v>
      </c>
      <c r="V1138" s="11"/>
      <c r="W1138" s="6"/>
      <c r="X1138" s="6">
        <v>11.19</v>
      </c>
      <c r="Y1138" s="11" t="str">
        <f t="shared" si="216"/>
        <v/>
      </c>
      <c r="Z1138" s="6" t="str">
        <f t="shared" si="217"/>
        <v/>
      </c>
      <c r="AA1138" s="23">
        <f t="shared" si="218"/>
        <v>41.19</v>
      </c>
      <c r="AB1138" t="str">
        <f t="shared" si="207"/>
        <v/>
      </c>
      <c r="AC1138" t="str">
        <f t="shared" si="208"/>
        <v/>
      </c>
      <c r="AD1138">
        <f t="shared" si="209"/>
        <v>9.8977000000000006E-4</v>
      </c>
      <c r="AE1138" s="18" t="str">
        <f t="shared" si="210"/>
        <v/>
      </c>
      <c r="AF1138" s="7" t="str">
        <f t="shared" si="211"/>
        <v/>
      </c>
      <c r="AG1138" s="12">
        <f t="shared" si="212"/>
        <v>0.99193670256958655</v>
      </c>
      <c r="AI1138" s="54" t="str">
        <f t="shared" si="213"/>
        <v/>
      </c>
      <c r="AJ1138" s="54" t="str">
        <f t="shared" si="214"/>
        <v/>
      </c>
      <c r="AK1138" s="54">
        <f t="shared" si="215"/>
        <v>0.68587394611168162</v>
      </c>
    </row>
    <row r="1139" spans="18:37" x14ac:dyDescent="0.45">
      <c r="R1139" s="2">
        <v>28.15</v>
      </c>
      <c r="S1139" s="2">
        <v>5.7275000000000002E-4</v>
      </c>
      <c r="T1139" s="2">
        <v>2.9085E-4</v>
      </c>
      <c r="V1139" s="11"/>
      <c r="W1139" s="6"/>
      <c r="X1139" s="6">
        <v>11.200000000000001</v>
      </c>
      <c r="Y1139" s="11" t="str">
        <f t="shared" si="216"/>
        <v/>
      </c>
      <c r="Z1139" s="6" t="str">
        <f t="shared" si="217"/>
        <v/>
      </c>
      <c r="AA1139" s="23">
        <f t="shared" si="218"/>
        <v>41.2</v>
      </c>
      <c r="AB1139" t="str">
        <f t="shared" si="207"/>
        <v/>
      </c>
      <c r="AC1139" t="str">
        <f t="shared" si="208"/>
        <v/>
      </c>
      <c r="AD1139">
        <f t="shared" si="209"/>
        <v>9.905999999999999E-4</v>
      </c>
      <c r="AE1139" s="18" t="str">
        <f t="shared" si="210"/>
        <v/>
      </c>
      <c r="AF1139" s="7" t="str">
        <f t="shared" si="211"/>
        <v/>
      </c>
      <c r="AG1139" s="12">
        <f t="shared" si="212"/>
        <v>0.99192688467768553</v>
      </c>
      <c r="AI1139" s="54" t="str">
        <f t="shared" si="213"/>
        <v/>
      </c>
      <c r="AJ1139" s="54" t="str">
        <f t="shared" si="214"/>
        <v/>
      </c>
      <c r="AK1139" s="54">
        <f t="shared" si="215"/>
        <v>0.68663607839911123</v>
      </c>
    </row>
    <row r="1140" spans="18:37" x14ac:dyDescent="0.45">
      <c r="R1140" s="2">
        <v>28.16</v>
      </c>
      <c r="S1140" s="2">
        <v>5.7280000000000005E-4</v>
      </c>
      <c r="T1140" s="2">
        <v>2.9104000000000001E-4</v>
      </c>
      <c r="V1140" s="11"/>
      <c r="W1140" s="6"/>
      <c r="X1140" s="6">
        <v>11.21</v>
      </c>
      <c r="Y1140" s="11" t="str">
        <f t="shared" si="216"/>
        <v/>
      </c>
      <c r="Z1140" s="6" t="str">
        <f t="shared" si="217"/>
        <v/>
      </c>
      <c r="AA1140" s="23">
        <f t="shared" si="218"/>
        <v>41.21</v>
      </c>
      <c r="AB1140" t="str">
        <f t="shared" si="207"/>
        <v/>
      </c>
      <c r="AC1140" t="str">
        <f t="shared" si="208"/>
        <v/>
      </c>
      <c r="AD1140">
        <f t="shared" si="209"/>
        <v>9.9142999999999996E-4</v>
      </c>
      <c r="AE1140" s="18" t="str">
        <f t="shared" si="210"/>
        <v/>
      </c>
      <c r="AF1140" s="7" t="str">
        <f t="shared" si="211"/>
        <v/>
      </c>
      <c r="AG1140" s="12">
        <f t="shared" si="212"/>
        <v>0.99191705864996593</v>
      </c>
      <c r="AI1140" s="54" t="str">
        <f t="shared" si="213"/>
        <v/>
      </c>
      <c r="AJ1140" s="54" t="str">
        <f t="shared" si="214"/>
        <v/>
      </c>
      <c r="AK1140" s="54">
        <f t="shared" si="215"/>
        <v>0.68739852048189198</v>
      </c>
    </row>
    <row r="1141" spans="18:37" x14ac:dyDescent="0.45">
      <c r="R1141" s="2">
        <v>28.17</v>
      </c>
      <c r="S1141" s="2">
        <v>5.7284999999999997E-4</v>
      </c>
      <c r="T1141" s="2">
        <v>2.9123000000000002E-4</v>
      </c>
      <c r="V1141" s="11"/>
      <c r="W1141" s="6"/>
      <c r="X1141" s="6">
        <v>11.22</v>
      </c>
      <c r="Y1141" s="11" t="str">
        <f t="shared" si="216"/>
        <v/>
      </c>
      <c r="Z1141" s="6" t="str">
        <f t="shared" si="217"/>
        <v/>
      </c>
      <c r="AA1141" s="23">
        <f t="shared" si="218"/>
        <v>41.22</v>
      </c>
      <c r="AB1141" t="str">
        <f t="shared" si="207"/>
        <v/>
      </c>
      <c r="AC1141" t="str">
        <f t="shared" si="208"/>
        <v/>
      </c>
      <c r="AD1141">
        <f t="shared" si="209"/>
        <v>9.9226000000000002E-4</v>
      </c>
      <c r="AE1141" s="18" t="str">
        <f t="shared" si="210"/>
        <v/>
      </c>
      <c r="AF1141" s="7" t="str">
        <f t="shared" si="211"/>
        <v/>
      </c>
      <c r="AG1141" s="12">
        <f t="shared" si="212"/>
        <v>0.99190722448667135</v>
      </c>
      <c r="AI1141" s="54" t="str">
        <f t="shared" si="213"/>
        <v/>
      </c>
      <c r="AJ1141" s="54" t="str">
        <f t="shared" si="214"/>
        <v/>
      </c>
      <c r="AK1141" s="54">
        <f t="shared" si="215"/>
        <v>0.68816127249966486</v>
      </c>
    </row>
    <row r="1142" spans="18:37" x14ac:dyDescent="0.45">
      <c r="R1142" s="2">
        <v>28.18</v>
      </c>
      <c r="S1142" s="2">
        <v>5.7289999999999999E-4</v>
      </c>
      <c r="T1142" s="2">
        <v>2.9142000000000003E-4</v>
      </c>
      <c r="V1142" s="11"/>
      <c r="W1142" s="6"/>
      <c r="X1142" s="6">
        <v>11.23</v>
      </c>
      <c r="Y1142" s="11" t="str">
        <f t="shared" si="216"/>
        <v/>
      </c>
      <c r="Z1142" s="6" t="str">
        <f t="shared" si="217"/>
        <v/>
      </c>
      <c r="AA1142" s="23">
        <f t="shared" si="218"/>
        <v>41.230000000000004</v>
      </c>
      <c r="AB1142" t="str">
        <f t="shared" si="207"/>
        <v/>
      </c>
      <c r="AC1142" t="str">
        <f t="shared" si="208"/>
        <v/>
      </c>
      <c r="AD1142">
        <f t="shared" si="209"/>
        <v>9.9309000000000008E-4</v>
      </c>
      <c r="AE1142" s="18" t="str">
        <f t="shared" si="210"/>
        <v/>
      </c>
      <c r="AF1142" s="7" t="str">
        <f t="shared" si="211"/>
        <v/>
      </c>
      <c r="AG1142" s="12">
        <f t="shared" si="212"/>
        <v>0.99189738218804568</v>
      </c>
      <c r="AI1142" s="54" t="str">
        <f t="shared" si="213"/>
        <v/>
      </c>
      <c r="AJ1142" s="54" t="str">
        <f t="shared" si="214"/>
        <v/>
      </c>
      <c r="AK1142" s="54">
        <f t="shared" si="215"/>
        <v>0.68892433459213576</v>
      </c>
    </row>
    <row r="1143" spans="18:37" x14ac:dyDescent="0.45">
      <c r="R1143" s="2">
        <v>28.19</v>
      </c>
      <c r="S1143" s="2">
        <v>5.7295000000000002E-4</v>
      </c>
      <c r="T1143" s="2">
        <v>2.9160999999999998E-4</v>
      </c>
      <c r="V1143" s="11"/>
      <c r="W1143" s="6"/>
      <c r="X1143" s="6">
        <v>11.24</v>
      </c>
      <c r="Y1143" s="11" t="str">
        <f t="shared" si="216"/>
        <v/>
      </c>
      <c r="Z1143" s="6" t="str">
        <f t="shared" si="217"/>
        <v/>
      </c>
      <c r="AA1143" s="23">
        <f t="shared" si="218"/>
        <v>41.24</v>
      </c>
      <c r="AB1143" t="str">
        <f t="shared" si="207"/>
        <v/>
      </c>
      <c r="AC1143" t="str">
        <f t="shared" si="208"/>
        <v/>
      </c>
      <c r="AD1143">
        <f t="shared" si="209"/>
        <v>9.9391999999999992E-4</v>
      </c>
      <c r="AE1143" s="18" t="str">
        <f t="shared" si="210"/>
        <v/>
      </c>
      <c r="AF1143" s="7" t="str">
        <f t="shared" si="211"/>
        <v/>
      </c>
      <c r="AG1143" s="12">
        <f t="shared" si="212"/>
        <v>0.99188753175433286</v>
      </c>
      <c r="AI1143" s="54" t="str">
        <f t="shared" si="213"/>
        <v/>
      </c>
      <c r="AJ1143" s="54" t="str">
        <f t="shared" si="214"/>
        <v/>
      </c>
      <c r="AK1143" s="54">
        <f t="shared" si="215"/>
        <v>0.68968770689907555</v>
      </c>
    </row>
    <row r="1144" spans="18:37" x14ac:dyDescent="0.45">
      <c r="R1144" s="2">
        <v>28.2</v>
      </c>
      <c r="S1144" s="2">
        <v>5.7300000000000005E-4</v>
      </c>
      <c r="T1144" s="2">
        <v>2.9179999999999999E-4</v>
      </c>
      <c r="V1144" s="11"/>
      <c r="W1144" s="6"/>
      <c r="X1144" s="6">
        <v>11.25</v>
      </c>
      <c r="Y1144" s="11" t="str">
        <f t="shared" si="216"/>
        <v/>
      </c>
      <c r="Z1144" s="6" t="str">
        <f t="shared" si="217"/>
        <v/>
      </c>
      <c r="AA1144" s="23">
        <f t="shared" si="218"/>
        <v>41.25</v>
      </c>
      <c r="AB1144" t="str">
        <f t="shared" si="207"/>
        <v/>
      </c>
      <c r="AC1144" t="str">
        <f t="shared" si="208"/>
        <v/>
      </c>
      <c r="AD1144">
        <f t="shared" si="209"/>
        <v>9.9474999999999997E-4</v>
      </c>
      <c r="AE1144" s="18" t="str">
        <f t="shared" si="210"/>
        <v/>
      </c>
      <c r="AF1144" s="7" t="str">
        <f t="shared" si="211"/>
        <v/>
      </c>
      <c r="AG1144" s="12">
        <f t="shared" si="212"/>
        <v>0.99187767318577724</v>
      </c>
      <c r="AI1144" s="54" t="str">
        <f t="shared" si="213"/>
        <v/>
      </c>
      <c r="AJ1144" s="54" t="str">
        <f t="shared" si="214"/>
        <v/>
      </c>
      <c r="AK1144" s="54">
        <f t="shared" si="215"/>
        <v>0.69045138956032004</v>
      </c>
    </row>
    <row r="1145" spans="18:37" x14ac:dyDescent="0.45">
      <c r="R1145" s="2">
        <v>28.21</v>
      </c>
      <c r="S1145" s="2">
        <v>5.7304999999999997E-4</v>
      </c>
      <c r="T1145" s="2">
        <v>2.9199E-4</v>
      </c>
      <c r="V1145" s="11"/>
      <c r="W1145" s="6"/>
      <c r="X1145" s="6">
        <v>11.26</v>
      </c>
      <c r="Y1145" s="11" t="str">
        <f t="shared" si="216"/>
        <v/>
      </c>
      <c r="Z1145" s="6" t="str">
        <f t="shared" si="217"/>
        <v/>
      </c>
      <c r="AA1145" s="23">
        <f t="shared" si="218"/>
        <v>41.26</v>
      </c>
      <c r="AB1145" t="str">
        <f t="shared" si="207"/>
        <v/>
      </c>
      <c r="AC1145" t="str">
        <f t="shared" si="208"/>
        <v/>
      </c>
      <c r="AD1145">
        <f t="shared" si="209"/>
        <v>9.9558000000000003E-4</v>
      </c>
      <c r="AE1145" s="18" t="str">
        <f t="shared" si="210"/>
        <v/>
      </c>
      <c r="AF1145" s="7" t="str">
        <f t="shared" si="211"/>
        <v/>
      </c>
      <c r="AG1145" s="12">
        <f t="shared" si="212"/>
        <v>0.99186780648262318</v>
      </c>
      <c r="AI1145" s="54" t="str">
        <f t="shared" si="213"/>
        <v/>
      </c>
      <c r="AJ1145" s="54" t="str">
        <f t="shared" si="214"/>
        <v/>
      </c>
      <c r="AK1145" s="54">
        <f t="shared" si="215"/>
        <v>0.69121538271577032</v>
      </c>
    </row>
    <row r="1146" spans="18:37" x14ac:dyDescent="0.45">
      <c r="R1146" s="2">
        <v>28.22</v>
      </c>
      <c r="S1146" s="2">
        <v>5.731E-4</v>
      </c>
      <c r="T1146" s="2">
        <v>2.9218000000000001E-4</v>
      </c>
      <c r="V1146" s="11"/>
      <c r="W1146" s="6"/>
      <c r="X1146" s="6">
        <v>11.27</v>
      </c>
      <c r="Y1146" s="11" t="str">
        <f t="shared" si="216"/>
        <v/>
      </c>
      <c r="Z1146" s="6" t="str">
        <f t="shared" si="217"/>
        <v/>
      </c>
      <c r="AA1146" s="23">
        <f t="shared" si="218"/>
        <v>41.269999999999996</v>
      </c>
      <c r="AB1146" t="str">
        <f t="shared" si="207"/>
        <v/>
      </c>
      <c r="AC1146" t="str">
        <f t="shared" si="208"/>
        <v/>
      </c>
      <c r="AD1146">
        <f t="shared" si="209"/>
        <v>9.9558000000000003E-4</v>
      </c>
      <c r="AE1146" s="18" t="str">
        <f t="shared" si="210"/>
        <v/>
      </c>
      <c r="AF1146" s="7" t="str">
        <f t="shared" si="211"/>
        <v/>
      </c>
      <c r="AG1146" s="12">
        <f t="shared" si="212"/>
        <v>0.99185793164511538</v>
      </c>
      <c r="AI1146" s="54" t="str">
        <f t="shared" si="213"/>
        <v/>
      </c>
      <c r="AJ1146" s="54" t="str">
        <f t="shared" si="214"/>
        <v/>
      </c>
      <c r="AK1146" s="54">
        <f t="shared" si="215"/>
        <v>0.69197968650539232</v>
      </c>
    </row>
    <row r="1147" spans="18:37" x14ac:dyDescent="0.45">
      <c r="R1147" s="2">
        <v>28.23</v>
      </c>
      <c r="S1147" s="2">
        <v>5.7315000000000003E-4</v>
      </c>
      <c r="T1147" s="2">
        <v>2.9237000000000002E-4</v>
      </c>
      <c r="V1147" s="11"/>
      <c r="W1147" s="6"/>
      <c r="X1147" s="6">
        <v>11.28</v>
      </c>
      <c r="Y1147" s="11" t="str">
        <f t="shared" si="216"/>
        <v/>
      </c>
      <c r="Z1147" s="6" t="str">
        <f t="shared" si="217"/>
        <v/>
      </c>
      <c r="AA1147" s="23">
        <f t="shared" si="218"/>
        <v>41.28</v>
      </c>
      <c r="AB1147" t="str">
        <f t="shared" si="207"/>
        <v/>
      </c>
      <c r="AC1147" t="str">
        <f t="shared" si="208"/>
        <v/>
      </c>
      <c r="AD1147">
        <f t="shared" si="209"/>
        <v>9.9723999999999993E-4</v>
      </c>
      <c r="AE1147" s="18" t="str">
        <f t="shared" si="210"/>
        <v/>
      </c>
      <c r="AF1147" s="7" t="str">
        <f t="shared" si="211"/>
        <v/>
      </c>
      <c r="AG1147" s="12">
        <f t="shared" si="212"/>
        <v>0.99184805690591948</v>
      </c>
      <c r="AI1147" s="54" t="str">
        <f t="shared" si="213"/>
        <v/>
      </c>
      <c r="AJ1147" s="54" t="str">
        <f t="shared" si="214"/>
        <v/>
      </c>
      <c r="AK1147" s="54">
        <f t="shared" si="215"/>
        <v>0.69274430362578587</v>
      </c>
    </row>
    <row r="1148" spans="18:37" x14ac:dyDescent="0.45">
      <c r="R1148" s="2">
        <v>28.24</v>
      </c>
      <c r="S1148" s="2">
        <v>5.7319999999999995E-4</v>
      </c>
      <c r="T1148" s="2">
        <v>2.9255999999999998E-4</v>
      </c>
      <c r="V1148" s="11"/>
      <c r="W1148" s="6"/>
      <c r="X1148" s="6">
        <v>11.290000000000001</v>
      </c>
      <c r="Y1148" s="11" t="str">
        <f t="shared" si="216"/>
        <v/>
      </c>
      <c r="Z1148" s="6" t="str">
        <f t="shared" si="217"/>
        <v/>
      </c>
      <c r="AA1148" s="23">
        <f t="shared" si="218"/>
        <v>41.29</v>
      </c>
      <c r="AB1148" t="str">
        <f t="shared" si="207"/>
        <v/>
      </c>
      <c r="AC1148" t="str">
        <f t="shared" si="208"/>
        <v/>
      </c>
      <c r="AD1148">
        <f t="shared" si="209"/>
        <v>9.9806999999999999E-4</v>
      </c>
      <c r="AE1148" s="18" t="str">
        <f t="shared" si="210"/>
        <v/>
      </c>
      <c r="AF1148" s="7" t="str">
        <f t="shared" si="211"/>
        <v/>
      </c>
      <c r="AG1148" s="12">
        <f t="shared" si="212"/>
        <v>0.99183816580035677</v>
      </c>
      <c r="AI1148" s="54" t="str">
        <f t="shared" si="213"/>
        <v/>
      </c>
      <c r="AJ1148" s="54" t="str">
        <f t="shared" si="214"/>
        <v/>
      </c>
      <c r="AK1148" s="54">
        <f t="shared" si="215"/>
        <v>0.69350922910495816</v>
      </c>
    </row>
    <row r="1149" spans="18:37" x14ac:dyDescent="0.45">
      <c r="R1149" s="2">
        <v>28.25</v>
      </c>
      <c r="S1149" s="2">
        <v>5.7324999999999997E-4</v>
      </c>
      <c r="T1149" s="2">
        <v>2.9274999999999999E-4</v>
      </c>
      <c r="V1149" s="11"/>
      <c r="W1149" s="6"/>
      <c r="X1149" s="6">
        <v>11.3</v>
      </c>
      <c r="Y1149" s="11" t="str">
        <f t="shared" si="216"/>
        <v/>
      </c>
      <c r="Z1149" s="6" t="str">
        <f t="shared" si="217"/>
        <v/>
      </c>
      <c r="AA1149" s="23">
        <f t="shared" si="218"/>
        <v>41.3</v>
      </c>
      <c r="AB1149" t="str">
        <f t="shared" si="207"/>
        <v/>
      </c>
      <c r="AC1149" t="str">
        <f t="shared" si="208"/>
        <v/>
      </c>
      <c r="AD1149">
        <f t="shared" si="209"/>
        <v>9.9890000000000005E-4</v>
      </c>
      <c r="AE1149" s="18" t="str">
        <f t="shared" si="210"/>
        <v/>
      </c>
      <c r="AF1149" s="7" t="str">
        <f t="shared" si="211"/>
        <v/>
      </c>
      <c r="AG1149" s="12">
        <f t="shared" si="212"/>
        <v>0.9918282665611754</v>
      </c>
      <c r="AI1149" s="54" t="str">
        <f t="shared" si="213"/>
        <v/>
      </c>
      <c r="AJ1149" s="54" t="str">
        <f t="shared" si="214"/>
        <v/>
      </c>
      <c r="AK1149" s="54">
        <f t="shared" si="215"/>
        <v>0.69427446563859152</v>
      </c>
    </row>
    <row r="1150" spans="18:37" x14ac:dyDescent="0.45">
      <c r="R1150" s="2">
        <v>28.26</v>
      </c>
      <c r="S1150" s="2">
        <v>5.733E-4</v>
      </c>
      <c r="T1150" s="2">
        <v>2.9294E-4</v>
      </c>
      <c r="V1150" s="11"/>
      <c r="W1150" s="6"/>
      <c r="X1150" s="6">
        <v>11.31</v>
      </c>
      <c r="Y1150" s="11" t="str">
        <f t="shared" si="216"/>
        <v/>
      </c>
      <c r="Z1150" s="6" t="str">
        <f t="shared" si="217"/>
        <v/>
      </c>
      <c r="AA1150" s="23">
        <f t="shared" si="218"/>
        <v>41.31</v>
      </c>
      <c r="AB1150" t="str">
        <f t="shared" si="207"/>
        <v/>
      </c>
      <c r="AC1150" t="str">
        <f t="shared" si="208"/>
        <v/>
      </c>
      <c r="AD1150">
        <f t="shared" si="209"/>
        <v>9.9973000000000011E-4</v>
      </c>
      <c r="AE1150" s="18" t="str">
        <f t="shared" si="210"/>
        <v/>
      </c>
      <c r="AF1150" s="7" t="str">
        <f t="shared" si="211"/>
        <v/>
      </c>
      <c r="AG1150" s="12">
        <f t="shared" si="212"/>
        <v>0.99181835918862071</v>
      </c>
      <c r="AI1150" s="54" t="str">
        <f t="shared" si="213"/>
        <v/>
      </c>
      <c r="AJ1150" s="54" t="str">
        <f t="shared" si="214"/>
        <v/>
      </c>
      <c r="AK1150" s="54">
        <f t="shared" si="215"/>
        <v>0.69504001336691268</v>
      </c>
    </row>
    <row r="1151" spans="18:37" x14ac:dyDescent="0.45">
      <c r="R1151" s="2">
        <v>28.27</v>
      </c>
      <c r="S1151" s="2">
        <v>5.7335000000000003E-4</v>
      </c>
      <c r="T1151" s="2">
        <v>2.9313000000000001E-4</v>
      </c>
      <c r="V1151" s="11"/>
      <c r="W1151" s="6"/>
      <c r="X1151" s="6">
        <v>11.32</v>
      </c>
      <c r="Y1151" s="11" t="str">
        <f t="shared" si="216"/>
        <v/>
      </c>
      <c r="Z1151" s="6" t="str">
        <f t="shared" si="217"/>
        <v/>
      </c>
      <c r="AA1151" s="23">
        <f t="shared" si="218"/>
        <v>41.32</v>
      </c>
      <c r="AB1151" t="str">
        <f t="shared" si="207"/>
        <v/>
      </c>
      <c r="AC1151" t="str">
        <f t="shared" si="208"/>
        <v/>
      </c>
      <c r="AD1151">
        <f t="shared" si="209"/>
        <v>1.0005599999999999E-3</v>
      </c>
      <c r="AE1151" s="18" t="str">
        <f t="shared" si="210"/>
        <v/>
      </c>
      <c r="AF1151" s="7" t="str">
        <f t="shared" si="211"/>
        <v/>
      </c>
      <c r="AG1151" s="12">
        <f t="shared" si="212"/>
        <v>0.99180844368293841</v>
      </c>
      <c r="AI1151" s="54" t="str">
        <f t="shared" si="213"/>
        <v/>
      </c>
      <c r="AJ1151" s="54" t="str">
        <f t="shared" si="214"/>
        <v/>
      </c>
      <c r="AK1151" s="54">
        <f t="shared" si="215"/>
        <v>0.69580587243021352</v>
      </c>
    </row>
    <row r="1152" spans="18:37" x14ac:dyDescent="0.45">
      <c r="R1152" s="2">
        <v>28.28</v>
      </c>
      <c r="S1152" s="2">
        <v>5.7339999999999995E-4</v>
      </c>
      <c r="T1152" s="2">
        <v>2.9332000000000002E-4</v>
      </c>
      <c r="V1152" s="11"/>
      <c r="W1152" s="6"/>
      <c r="X1152" s="6">
        <v>11.33</v>
      </c>
      <c r="Y1152" s="11" t="str">
        <f t="shared" si="216"/>
        <v/>
      </c>
      <c r="Z1152" s="6" t="str">
        <f t="shared" si="217"/>
        <v/>
      </c>
      <c r="AA1152" s="23">
        <f t="shared" si="218"/>
        <v>41.33</v>
      </c>
      <c r="AB1152" t="str">
        <f t="shared" si="207"/>
        <v/>
      </c>
      <c r="AC1152" t="str">
        <f t="shared" si="208"/>
        <v/>
      </c>
      <c r="AD1152">
        <f t="shared" si="209"/>
        <v>1.00139E-3</v>
      </c>
      <c r="AE1152" s="18" t="str">
        <f t="shared" si="210"/>
        <v/>
      </c>
      <c r="AF1152" s="7" t="str">
        <f t="shared" si="211"/>
        <v/>
      </c>
      <c r="AG1152" s="12">
        <f t="shared" si="212"/>
        <v>0.9917985200443743</v>
      </c>
      <c r="AI1152" s="54" t="str">
        <f t="shared" si="213"/>
        <v/>
      </c>
      <c r="AJ1152" s="54" t="str">
        <f t="shared" si="214"/>
        <v/>
      </c>
      <c r="AK1152" s="54">
        <f t="shared" si="215"/>
        <v>0.69657204296885133</v>
      </c>
    </row>
    <row r="1153" spans="18:37" x14ac:dyDescent="0.45">
      <c r="R1153" s="2">
        <v>28.29</v>
      </c>
      <c r="S1153" s="2">
        <v>5.7344999999999998E-4</v>
      </c>
      <c r="T1153" s="2">
        <v>2.9350999999999997E-4</v>
      </c>
      <c r="V1153" s="11"/>
      <c r="W1153" s="6"/>
      <c r="X1153" s="6">
        <v>11.34</v>
      </c>
      <c r="Y1153" s="11" t="str">
        <f t="shared" si="216"/>
        <v/>
      </c>
      <c r="Z1153" s="6" t="str">
        <f t="shared" si="217"/>
        <v/>
      </c>
      <c r="AA1153" s="23">
        <f t="shared" si="218"/>
        <v>41.34</v>
      </c>
      <c r="AB1153" t="str">
        <f t="shared" si="207"/>
        <v/>
      </c>
      <c r="AC1153" t="str">
        <f t="shared" si="208"/>
        <v/>
      </c>
      <c r="AD1153">
        <f t="shared" si="209"/>
        <v>1.0022200000000001E-3</v>
      </c>
      <c r="AE1153" s="18" t="str">
        <f t="shared" si="210"/>
        <v/>
      </c>
      <c r="AF1153" s="7" t="str">
        <f t="shared" si="211"/>
        <v/>
      </c>
      <c r="AG1153" s="12">
        <f t="shared" si="212"/>
        <v>0.9917885882731744</v>
      </c>
      <c r="AI1153" s="54" t="str">
        <f t="shared" si="213"/>
        <v/>
      </c>
      <c r="AJ1153" s="54" t="str">
        <f t="shared" si="214"/>
        <v/>
      </c>
      <c r="AK1153" s="54">
        <f t="shared" si="215"/>
        <v>0.69733852512324845</v>
      </c>
    </row>
    <row r="1154" spans="18:37" x14ac:dyDescent="0.45">
      <c r="R1154" s="2">
        <v>28.3</v>
      </c>
      <c r="S1154" s="2">
        <v>5.7350000000000001E-4</v>
      </c>
      <c r="T1154" s="2">
        <v>2.9369999999999998E-4</v>
      </c>
      <c r="V1154" s="11"/>
      <c r="W1154" s="6"/>
      <c r="X1154" s="6">
        <v>11.35</v>
      </c>
      <c r="Y1154" s="11" t="str">
        <f t="shared" si="216"/>
        <v/>
      </c>
      <c r="Z1154" s="6" t="str">
        <f t="shared" si="217"/>
        <v/>
      </c>
      <c r="AA1154" s="23">
        <f t="shared" si="218"/>
        <v>41.35</v>
      </c>
      <c r="AB1154" t="str">
        <f t="shared" si="207"/>
        <v/>
      </c>
      <c r="AC1154" t="str">
        <f t="shared" si="208"/>
        <v/>
      </c>
      <c r="AD1154">
        <f t="shared" si="209"/>
        <v>1.0030499999999999E-3</v>
      </c>
      <c r="AE1154" s="18" t="str">
        <f t="shared" si="210"/>
        <v/>
      </c>
      <c r="AF1154" s="7" t="str">
        <f t="shared" si="211"/>
        <v/>
      </c>
      <c r="AG1154" s="12">
        <f t="shared" si="212"/>
        <v>0.99177864836958496</v>
      </c>
      <c r="AI1154" s="54" t="str">
        <f t="shared" si="213"/>
        <v/>
      </c>
      <c r="AJ1154" s="54" t="str">
        <f t="shared" si="214"/>
        <v/>
      </c>
      <c r="AK1154" s="54">
        <f t="shared" si="215"/>
        <v>0.69810531903389272</v>
      </c>
    </row>
    <row r="1155" spans="18:37" x14ac:dyDescent="0.45">
      <c r="R1155" s="2">
        <v>28.31</v>
      </c>
      <c r="S1155" s="2">
        <v>5.7355000000000004E-4</v>
      </c>
      <c r="T1155" s="2">
        <v>2.9388999999999999E-4</v>
      </c>
      <c r="V1155" s="11"/>
      <c r="W1155" s="6"/>
      <c r="X1155" s="6">
        <v>11.36</v>
      </c>
      <c r="Y1155" s="11" t="str">
        <f t="shared" si="216"/>
        <v/>
      </c>
      <c r="Z1155" s="6" t="str">
        <f t="shared" si="217"/>
        <v/>
      </c>
      <c r="AA1155" s="23">
        <f t="shared" si="218"/>
        <v>41.36</v>
      </c>
      <c r="AB1155" t="str">
        <f t="shared" si="207"/>
        <v/>
      </c>
      <c r="AC1155" t="str">
        <f t="shared" si="208"/>
        <v/>
      </c>
      <c r="AD1155">
        <f t="shared" si="209"/>
        <v>1.00388E-3</v>
      </c>
      <c r="AE1155" s="18" t="str">
        <f t="shared" si="210"/>
        <v/>
      </c>
      <c r="AF1155" s="7" t="str">
        <f t="shared" si="211"/>
        <v/>
      </c>
      <c r="AG1155" s="12">
        <f t="shared" si="212"/>
        <v>0.99176870033385245</v>
      </c>
      <c r="AI1155" s="54" t="str">
        <f t="shared" si="213"/>
        <v/>
      </c>
      <c r="AJ1155" s="54" t="str">
        <f t="shared" si="214"/>
        <v/>
      </c>
      <c r="AK1155" s="54">
        <f t="shared" si="215"/>
        <v>0.69887242484133738</v>
      </c>
    </row>
    <row r="1156" spans="18:37" x14ac:dyDescent="0.45">
      <c r="R1156" s="2">
        <v>28.32</v>
      </c>
      <c r="S1156" s="2">
        <v>5.7359999999999996E-4</v>
      </c>
      <c r="T1156" s="2">
        <v>2.9408E-4</v>
      </c>
      <c r="V1156" s="11"/>
      <c r="W1156" s="6"/>
      <c r="X1156" s="6">
        <v>11.370000000000001</v>
      </c>
      <c r="Y1156" s="11" t="str">
        <f t="shared" si="216"/>
        <v/>
      </c>
      <c r="Z1156" s="6" t="str">
        <f t="shared" si="217"/>
        <v/>
      </c>
      <c r="AA1156" s="23">
        <f t="shared" si="218"/>
        <v>41.370000000000005</v>
      </c>
      <c r="AB1156" t="str">
        <f t="shared" si="207"/>
        <v/>
      </c>
      <c r="AC1156" t="str">
        <f t="shared" si="208"/>
        <v/>
      </c>
      <c r="AD1156">
        <f t="shared" si="209"/>
        <v>1.00471E-3</v>
      </c>
      <c r="AE1156" s="18" t="str">
        <f t="shared" si="210"/>
        <v/>
      </c>
      <c r="AF1156" s="7" t="str">
        <f t="shared" si="211"/>
        <v/>
      </c>
      <c r="AG1156" s="12">
        <f t="shared" si="212"/>
        <v>0.99175874416622356</v>
      </c>
      <c r="AI1156" s="54" t="str">
        <f t="shared" si="213"/>
        <v/>
      </c>
      <c r="AJ1156" s="54" t="str">
        <f t="shared" si="214"/>
        <v/>
      </c>
      <c r="AK1156" s="54">
        <f t="shared" si="215"/>
        <v>0.69963984268620094</v>
      </c>
    </row>
    <row r="1157" spans="18:37" x14ac:dyDescent="0.45">
      <c r="R1157" s="2">
        <v>28.33</v>
      </c>
      <c r="S1157" s="2">
        <v>5.7364999999999998E-4</v>
      </c>
      <c r="T1157" s="2">
        <v>2.9427000000000001E-4</v>
      </c>
      <c r="V1157" s="11"/>
      <c r="W1157" s="6"/>
      <c r="X1157" s="6">
        <v>11.38</v>
      </c>
      <c r="Y1157" s="11" t="str">
        <f t="shared" si="216"/>
        <v/>
      </c>
      <c r="Z1157" s="6" t="str">
        <f t="shared" si="217"/>
        <v/>
      </c>
      <c r="AA1157" s="23">
        <f t="shared" si="218"/>
        <v>41.38</v>
      </c>
      <c r="AB1157" t="str">
        <f t="shared" si="207"/>
        <v/>
      </c>
      <c r="AC1157" t="str">
        <f t="shared" si="208"/>
        <v/>
      </c>
      <c r="AD1157">
        <f t="shared" si="209"/>
        <v>1.0055400000000001E-3</v>
      </c>
      <c r="AE1157" s="18" t="str">
        <f t="shared" si="210"/>
        <v/>
      </c>
      <c r="AF1157" s="7" t="str">
        <f t="shared" si="211"/>
        <v/>
      </c>
      <c r="AG1157" s="12">
        <f t="shared" si="212"/>
        <v>0.9917487798669451</v>
      </c>
      <c r="AI1157" s="54" t="str">
        <f t="shared" si="213"/>
        <v/>
      </c>
      <c r="AJ1157" s="54" t="str">
        <f t="shared" si="214"/>
        <v/>
      </c>
      <c r="AK1157" s="54">
        <f t="shared" si="215"/>
        <v>0.70040757270916731</v>
      </c>
    </row>
    <row r="1158" spans="18:37" x14ac:dyDescent="0.45">
      <c r="R1158" s="2">
        <v>28.34</v>
      </c>
      <c r="S1158" s="2">
        <v>5.7370000000000001E-4</v>
      </c>
      <c r="T1158" s="2">
        <v>2.9446000000000002E-4</v>
      </c>
      <c r="V1158" s="11"/>
      <c r="W1158" s="6"/>
      <c r="X1158" s="6">
        <v>11.39</v>
      </c>
      <c r="Y1158" s="11" t="str">
        <f t="shared" si="216"/>
        <v/>
      </c>
      <c r="Z1158" s="6" t="str">
        <f t="shared" si="217"/>
        <v/>
      </c>
      <c r="AA1158" s="23">
        <f t="shared" si="218"/>
        <v>41.39</v>
      </c>
      <c r="AB1158" t="str">
        <f t="shared" si="207"/>
        <v/>
      </c>
      <c r="AC1158" t="str">
        <f t="shared" si="208"/>
        <v/>
      </c>
      <c r="AD1158">
        <f t="shared" si="209"/>
        <v>1.0063699999999999E-3</v>
      </c>
      <c r="AE1158" s="18" t="str">
        <f t="shared" si="210"/>
        <v/>
      </c>
      <c r="AF1158" s="7" t="str">
        <f t="shared" si="211"/>
        <v/>
      </c>
      <c r="AG1158" s="12">
        <f t="shared" si="212"/>
        <v>0.99173880743626397</v>
      </c>
      <c r="AI1158" s="54" t="str">
        <f t="shared" si="213"/>
        <v/>
      </c>
      <c r="AJ1158" s="54" t="str">
        <f t="shared" si="214"/>
        <v/>
      </c>
      <c r="AK1158" s="54">
        <f t="shared" si="215"/>
        <v>0.70117561505098613</v>
      </c>
    </row>
    <row r="1159" spans="18:37" x14ac:dyDescent="0.45">
      <c r="R1159" s="2">
        <v>28.35</v>
      </c>
      <c r="S1159" s="2">
        <v>5.7375000000000004E-4</v>
      </c>
      <c r="T1159" s="2">
        <v>2.9464999999999998E-4</v>
      </c>
      <c r="V1159" s="11"/>
      <c r="W1159" s="6"/>
      <c r="X1159" s="6">
        <v>11.4</v>
      </c>
      <c r="Y1159" s="11" t="str">
        <f t="shared" si="216"/>
        <v/>
      </c>
      <c r="Z1159" s="6" t="str">
        <f t="shared" si="217"/>
        <v/>
      </c>
      <c r="AA1159" s="23">
        <f t="shared" si="218"/>
        <v>41.4</v>
      </c>
      <c r="AB1159" t="str">
        <f t="shared" si="207"/>
        <v/>
      </c>
      <c r="AC1159" t="str">
        <f t="shared" si="208"/>
        <v/>
      </c>
      <c r="AD1159">
        <f t="shared" si="209"/>
        <v>1.0072E-3</v>
      </c>
      <c r="AE1159" s="18" t="str">
        <f t="shared" si="210"/>
        <v/>
      </c>
      <c r="AF1159" s="7" t="str">
        <f t="shared" si="211"/>
        <v/>
      </c>
      <c r="AG1159" s="12">
        <f t="shared" si="212"/>
        <v>0.99172882687442754</v>
      </c>
      <c r="AI1159" s="54" t="str">
        <f t="shared" si="213"/>
        <v/>
      </c>
      <c r="AJ1159" s="54" t="str">
        <f t="shared" si="214"/>
        <v/>
      </c>
      <c r="AK1159" s="54">
        <f t="shared" si="215"/>
        <v>0.7019439698524722</v>
      </c>
    </row>
    <row r="1160" spans="18:37" x14ac:dyDescent="0.45">
      <c r="R1160" s="2">
        <v>28.36</v>
      </c>
      <c r="S1160" s="2">
        <v>5.7379999999999996E-4</v>
      </c>
      <c r="T1160" s="2">
        <v>2.9483999999999999E-4</v>
      </c>
      <c r="V1160" s="11"/>
      <c r="W1160" s="6"/>
      <c r="X1160" s="6">
        <v>11.41</v>
      </c>
      <c r="Y1160" s="11" t="str">
        <f t="shared" si="216"/>
        <v/>
      </c>
      <c r="Z1160" s="6" t="str">
        <f t="shared" si="217"/>
        <v/>
      </c>
      <c r="AA1160" s="23">
        <f t="shared" si="218"/>
        <v>41.41</v>
      </c>
      <c r="AB1160" t="str">
        <f t="shared" si="207"/>
        <v/>
      </c>
      <c r="AC1160" t="str">
        <f t="shared" si="208"/>
        <v/>
      </c>
      <c r="AD1160">
        <f t="shared" si="209"/>
        <v>1.00803E-3</v>
      </c>
      <c r="AE1160" s="18" t="str">
        <f t="shared" si="210"/>
        <v/>
      </c>
      <c r="AF1160" s="7" t="str">
        <f t="shared" si="211"/>
        <v/>
      </c>
      <c r="AG1160" s="12">
        <f t="shared" si="212"/>
        <v>0.99171883818168327</v>
      </c>
      <c r="AI1160" s="54" t="str">
        <f t="shared" si="213"/>
        <v/>
      </c>
      <c r="AJ1160" s="54" t="str">
        <f t="shared" si="214"/>
        <v/>
      </c>
      <c r="AK1160" s="54">
        <f t="shared" si="215"/>
        <v>0.70271263725450606</v>
      </c>
    </row>
    <row r="1161" spans="18:37" x14ac:dyDescent="0.45">
      <c r="R1161" s="2">
        <v>28.37</v>
      </c>
      <c r="S1161" s="2">
        <v>5.7384999999999999E-4</v>
      </c>
      <c r="T1161" s="2">
        <v>2.9503E-4</v>
      </c>
      <c r="V1161" s="11"/>
      <c r="W1161" s="6"/>
      <c r="X1161" s="6">
        <v>11.42</v>
      </c>
      <c r="Y1161" s="11" t="str">
        <f t="shared" si="216"/>
        <v/>
      </c>
      <c r="Z1161" s="6" t="str">
        <f t="shared" si="217"/>
        <v/>
      </c>
      <c r="AA1161" s="23">
        <f t="shared" si="218"/>
        <v>41.42</v>
      </c>
      <c r="AB1161" t="str">
        <f t="shared" si="207"/>
        <v/>
      </c>
      <c r="AC1161" t="str">
        <f t="shared" si="208"/>
        <v/>
      </c>
      <c r="AD1161">
        <f t="shared" si="209"/>
        <v>1.0088600000000001E-3</v>
      </c>
      <c r="AE1161" s="18" t="str">
        <f t="shared" si="210"/>
        <v/>
      </c>
      <c r="AF1161" s="7" t="str">
        <f t="shared" si="211"/>
        <v/>
      </c>
      <c r="AG1161" s="12">
        <f t="shared" si="212"/>
        <v>0.99170884135827875</v>
      </c>
      <c r="AI1161" s="54" t="str">
        <f t="shared" si="213"/>
        <v/>
      </c>
      <c r="AJ1161" s="54" t="str">
        <f t="shared" si="214"/>
        <v/>
      </c>
      <c r="AK1161" s="54">
        <f t="shared" si="215"/>
        <v>0.70348161739803372</v>
      </c>
    </row>
    <row r="1162" spans="18:37" x14ac:dyDescent="0.45">
      <c r="R1162" s="2">
        <v>28.38</v>
      </c>
      <c r="S1162" s="2">
        <v>5.7390000000000002E-4</v>
      </c>
      <c r="T1162" s="2">
        <v>2.9522000000000001E-4</v>
      </c>
      <c r="V1162" s="11"/>
      <c r="W1162" s="6"/>
      <c r="X1162" s="6">
        <v>11.43</v>
      </c>
      <c r="Y1162" s="11" t="str">
        <f t="shared" si="216"/>
        <v/>
      </c>
      <c r="Z1162" s="6" t="str">
        <f t="shared" si="217"/>
        <v/>
      </c>
      <c r="AA1162" s="23">
        <f t="shared" si="218"/>
        <v>41.43</v>
      </c>
      <c r="AB1162" t="str">
        <f t="shared" si="207"/>
        <v/>
      </c>
      <c r="AC1162" t="str">
        <f t="shared" si="208"/>
        <v/>
      </c>
      <c r="AD1162">
        <f t="shared" si="209"/>
        <v>1.0096899999999999E-3</v>
      </c>
      <c r="AE1162" s="18" t="str">
        <f t="shared" si="210"/>
        <v/>
      </c>
      <c r="AF1162" s="7" t="str">
        <f t="shared" si="211"/>
        <v/>
      </c>
      <c r="AG1162" s="12">
        <f t="shared" si="212"/>
        <v>0.99169883640446177</v>
      </c>
      <c r="AI1162" s="54" t="str">
        <f t="shared" si="213"/>
        <v/>
      </c>
      <c r="AJ1162" s="54" t="str">
        <f t="shared" si="214"/>
        <v/>
      </c>
      <c r="AK1162" s="54">
        <f t="shared" si="215"/>
        <v>0.70425091042406673</v>
      </c>
    </row>
    <row r="1163" spans="18:37" x14ac:dyDescent="0.45">
      <c r="R1163" s="2">
        <v>28.39</v>
      </c>
      <c r="S1163" s="2">
        <v>5.7395000000000005E-4</v>
      </c>
      <c r="T1163" s="2">
        <v>2.9541000000000002E-4</v>
      </c>
      <c r="V1163" s="11"/>
      <c r="W1163" s="6"/>
      <c r="X1163" s="6">
        <v>11.44</v>
      </c>
      <c r="Y1163" s="11" t="str">
        <f t="shared" si="216"/>
        <v/>
      </c>
      <c r="Z1163" s="6" t="str">
        <f t="shared" si="217"/>
        <v/>
      </c>
      <c r="AA1163" s="23">
        <f t="shared" si="218"/>
        <v>41.44</v>
      </c>
      <c r="AB1163" t="str">
        <f t="shared" si="207"/>
        <v/>
      </c>
      <c r="AC1163" t="str">
        <f t="shared" si="208"/>
        <v/>
      </c>
      <c r="AD1163">
        <f t="shared" si="209"/>
        <v>1.01052E-3</v>
      </c>
      <c r="AE1163" s="18" t="str">
        <f t="shared" si="210"/>
        <v/>
      </c>
      <c r="AF1163" s="7" t="str">
        <f t="shared" si="211"/>
        <v/>
      </c>
      <c r="AG1163" s="12">
        <f t="shared" si="212"/>
        <v>0.99168882332048047</v>
      </c>
      <c r="AI1163" s="54" t="str">
        <f t="shared" si="213"/>
        <v/>
      </c>
      <c r="AJ1163" s="54" t="str">
        <f t="shared" si="214"/>
        <v/>
      </c>
      <c r="AK1163" s="54">
        <f t="shared" si="215"/>
        <v>0.70502051647368236</v>
      </c>
    </row>
    <row r="1164" spans="18:37" x14ac:dyDescent="0.45">
      <c r="R1164" s="2">
        <v>28.4</v>
      </c>
      <c r="S1164" s="2">
        <v>5.7399999999999997E-4</v>
      </c>
      <c r="T1164" s="2">
        <v>2.9559999999999998E-4</v>
      </c>
      <c r="V1164" s="11"/>
      <c r="W1164" s="6"/>
      <c r="X1164" s="6">
        <v>11.450000000000001</v>
      </c>
      <c r="Y1164" s="11" t="str">
        <f t="shared" si="216"/>
        <v/>
      </c>
      <c r="Z1164" s="6" t="str">
        <f t="shared" si="217"/>
        <v/>
      </c>
      <c r="AA1164" s="23">
        <f t="shared" si="218"/>
        <v>41.45</v>
      </c>
      <c r="AB1164" t="str">
        <f t="shared" si="207"/>
        <v/>
      </c>
      <c r="AC1164" t="str">
        <f t="shared" si="208"/>
        <v/>
      </c>
      <c r="AD1164">
        <f t="shared" si="209"/>
        <v>1.0113500000000001E-3</v>
      </c>
      <c r="AE1164" s="18" t="str">
        <f t="shared" si="210"/>
        <v/>
      </c>
      <c r="AF1164" s="7" t="str">
        <f t="shared" si="211"/>
        <v/>
      </c>
      <c r="AG1164" s="12">
        <f t="shared" si="212"/>
        <v>0.9916788021065831</v>
      </c>
      <c r="AI1164" s="54" t="str">
        <f t="shared" si="213"/>
        <v/>
      </c>
      <c r="AJ1164" s="54" t="str">
        <f t="shared" si="214"/>
        <v/>
      </c>
      <c r="AK1164" s="54">
        <f t="shared" si="215"/>
        <v>0.70579043568802335</v>
      </c>
    </row>
    <row r="1165" spans="18:37" x14ac:dyDescent="0.45">
      <c r="R1165" s="2">
        <v>28.41</v>
      </c>
      <c r="S1165" s="2">
        <v>5.7404999999999999E-4</v>
      </c>
      <c r="T1165" s="2">
        <v>2.9578999999999999E-4</v>
      </c>
      <c r="V1165" s="11"/>
      <c r="W1165" s="6"/>
      <c r="X1165" s="6">
        <v>11.46</v>
      </c>
      <c r="Y1165" s="11" t="str">
        <f t="shared" si="216"/>
        <v/>
      </c>
      <c r="Z1165" s="6" t="str">
        <f t="shared" si="217"/>
        <v/>
      </c>
      <c r="AA1165" s="23">
        <f t="shared" si="218"/>
        <v>41.46</v>
      </c>
      <c r="AB1165" t="str">
        <f t="shared" si="207"/>
        <v/>
      </c>
      <c r="AC1165" t="str">
        <f t="shared" si="208"/>
        <v/>
      </c>
      <c r="AD1165">
        <f t="shared" si="209"/>
        <v>1.0121799999999999E-3</v>
      </c>
      <c r="AE1165" s="18" t="str">
        <f t="shared" si="210"/>
        <v/>
      </c>
      <c r="AF1165" s="7" t="str">
        <f t="shared" si="211"/>
        <v/>
      </c>
      <c r="AG1165" s="12">
        <f t="shared" si="212"/>
        <v>0.99166877276301801</v>
      </c>
      <c r="AI1165" s="54" t="str">
        <f t="shared" si="213"/>
        <v/>
      </c>
      <c r="AJ1165" s="54" t="str">
        <f t="shared" si="214"/>
        <v/>
      </c>
      <c r="AK1165" s="54">
        <f t="shared" si="215"/>
        <v>0.70656066820829844</v>
      </c>
    </row>
    <row r="1166" spans="18:37" x14ac:dyDescent="0.45">
      <c r="R1166" s="2">
        <v>28.42</v>
      </c>
      <c r="S1166" s="2">
        <v>5.7410000000000002E-4</v>
      </c>
      <c r="T1166" s="2">
        <v>2.9598E-4</v>
      </c>
      <c r="V1166" s="11"/>
      <c r="W1166" s="6"/>
      <c r="X1166" s="6">
        <v>11.47</v>
      </c>
      <c r="Y1166" s="11" t="str">
        <f t="shared" si="216"/>
        <v/>
      </c>
      <c r="Z1166" s="6" t="str">
        <f t="shared" si="217"/>
        <v/>
      </c>
      <c r="AA1166" s="23">
        <f t="shared" si="218"/>
        <v>41.47</v>
      </c>
      <c r="AB1166" t="str">
        <f t="shared" si="207"/>
        <v/>
      </c>
      <c r="AC1166" t="str">
        <f t="shared" si="208"/>
        <v/>
      </c>
      <c r="AD1166">
        <f t="shared" si="209"/>
        <v>1.01301E-3</v>
      </c>
      <c r="AE1166" s="18" t="str">
        <f t="shared" si="210"/>
        <v/>
      </c>
      <c r="AF1166" s="7" t="str">
        <f t="shared" si="211"/>
        <v/>
      </c>
      <c r="AG1166" s="12">
        <f t="shared" si="212"/>
        <v>0.9916587352900339</v>
      </c>
      <c r="AI1166" s="54" t="str">
        <f t="shared" si="213"/>
        <v/>
      </c>
      <c r="AJ1166" s="54" t="str">
        <f t="shared" si="214"/>
        <v/>
      </c>
      <c r="AK1166" s="54">
        <f t="shared" si="215"/>
        <v>0.70733121417578171</v>
      </c>
    </row>
    <row r="1167" spans="18:37" x14ac:dyDescent="0.45">
      <c r="R1167" s="2">
        <v>28.43</v>
      </c>
      <c r="S1167" s="2">
        <v>5.7415000000000005E-4</v>
      </c>
      <c r="T1167" s="2">
        <v>2.9617000000000001E-4</v>
      </c>
      <c r="V1167" s="11"/>
      <c r="W1167" s="6"/>
      <c r="X1167" s="6">
        <v>11.48</v>
      </c>
      <c r="Y1167" s="11" t="str">
        <f t="shared" si="216"/>
        <v/>
      </c>
      <c r="Z1167" s="6" t="str">
        <f t="shared" si="217"/>
        <v/>
      </c>
      <c r="AA1167" s="23">
        <f t="shared" si="218"/>
        <v>41.480000000000004</v>
      </c>
      <c r="AB1167" t="str">
        <f t="shared" si="207"/>
        <v/>
      </c>
      <c r="AC1167" t="str">
        <f t="shared" si="208"/>
        <v/>
      </c>
      <c r="AD1167">
        <f t="shared" si="209"/>
        <v>1.01384E-3</v>
      </c>
      <c r="AE1167" s="18" t="str">
        <f t="shared" si="210"/>
        <v/>
      </c>
      <c r="AF1167" s="7" t="str">
        <f t="shared" si="211"/>
        <v/>
      </c>
      <c r="AG1167" s="12">
        <f t="shared" si="212"/>
        <v>0.99164868968787956</v>
      </c>
      <c r="AI1167" s="54" t="str">
        <f t="shared" si="213"/>
        <v/>
      </c>
      <c r="AJ1167" s="54" t="str">
        <f t="shared" si="214"/>
        <v/>
      </c>
      <c r="AK1167" s="54">
        <f t="shared" si="215"/>
        <v>0.70810207373181322</v>
      </c>
    </row>
    <row r="1168" spans="18:37" x14ac:dyDescent="0.45">
      <c r="R1168" s="2">
        <v>28.44</v>
      </c>
      <c r="S1168" s="2">
        <v>5.7419999999999997E-4</v>
      </c>
      <c r="T1168" s="2">
        <v>2.9636000000000002E-4</v>
      </c>
      <c r="V1168" s="11"/>
      <c r="W1168" s="6"/>
      <c r="X1168" s="6">
        <v>11.49</v>
      </c>
      <c r="Y1168" s="11" t="str">
        <f t="shared" si="216"/>
        <v/>
      </c>
      <c r="Z1168" s="6" t="str">
        <f t="shared" si="217"/>
        <v/>
      </c>
      <c r="AA1168" s="23">
        <f t="shared" si="218"/>
        <v>41.49</v>
      </c>
      <c r="AB1168" t="str">
        <f t="shared" si="207"/>
        <v/>
      </c>
      <c r="AC1168" t="str">
        <f t="shared" si="208"/>
        <v/>
      </c>
      <c r="AD1168">
        <f t="shared" si="209"/>
        <v>1.0146700000000001E-3</v>
      </c>
      <c r="AE1168" s="18" t="str">
        <f t="shared" si="210"/>
        <v/>
      </c>
      <c r="AF1168" s="7" t="str">
        <f t="shared" si="211"/>
        <v/>
      </c>
      <c r="AG1168" s="12">
        <f t="shared" si="212"/>
        <v>0.99163863595680402</v>
      </c>
      <c r="AI1168" s="54" t="str">
        <f t="shared" si="213"/>
        <v/>
      </c>
      <c r="AJ1168" s="54" t="str">
        <f t="shared" si="214"/>
        <v/>
      </c>
      <c r="AK1168" s="54">
        <f t="shared" si="215"/>
        <v>0.70887324701779875</v>
      </c>
    </row>
    <row r="1169" spans="18:37" x14ac:dyDescent="0.45">
      <c r="R1169" s="2">
        <v>28.45</v>
      </c>
      <c r="S1169" s="2">
        <v>5.7425E-4</v>
      </c>
      <c r="T1169" s="2">
        <v>2.9655000000000003E-4</v>
      </c>
      <c r="V1169" s="11"/>
      <c r="W1169" s="6"/>
      <c r="X1169" s="6">
        <v>11.5</v>
      </c>
      <c r="Y1169" s="11" t="str">
        <f t="shared" si="216"/>
        <v/>
      </c>
      <c r="Z1169" s="6" t="str">
        <f t="shared" si="217"/>
        <v/>
      </c>
      <c r="AA1169" s="23">
        <f t="shared" si="218"/>
        <v>41.5</v>
      </c>
      <c r="AB1169" t="str">
        <f t="shared" si="207"/>
        <v/>
      </c>
      <c r="AC1169" t="str">
        <f t="shared" si="208"/>
        <v/>
      </c>
      <c r="AD1169">
        <f t="shared" si="209"/>
        <v>1.0154999999999999E-3</v>
      </c>
      <c r="AE1169" s="18" t="str">
        <f t="shared" si="210"/>
        <v/>
      </c>
      <c r="AF1169" s="7" t="str">
        <f t="shared" si="211"/>
        <v/>
      </c>
      <c r="AG1169" s="12">
        <f t="shared" si="212"/>
        <v>0.99162857409705651</v>
      </c>
      <c r="AI1169" s="54" t="str">
        <f t="shared" si="213"/>
        <v/>
      </c>
      <c r="AJ1169" s="54" t="str">
        <f t="shared" si="214"/>
        <v/>
      </c>
      <c r="AK1169" s="54">
        <f t="shared" si="215"/>
        <v>0.7096447341752099</v>
      </c>
    </row>
    <row r="1170" spans="18:37" x14ac:dyDescent="0.45">
      <c r="R1170" s="2">
        <v>28.46</v>
      </c>
      <c r="S1170" s="2">
        <v>5.7430000000000003E-4</v>
      </c>
      <c r="T1170" s="2">
        <v>2.9673999999999998E-4</v>
      </c>
      <c r="V1170" s="11"/>
      <c r="W1170" s="6"/>
      <c r="X1170" s="6">
        <v>11.51</v>
      </c>
      <c r="Y1170" s="11" t="str">
        <f t="shared" si="216"/>
        <v/>
      </c>
      <c r="Z1170" s="6" t="str">
        <f t="shared" si="217"/>
        <v/>
      </c>
      <c r="AA1170" s="23">
        <f t="shared" si="218"/>
        <v>41.51</v>
      </c>
      <c r="AB1170" t="str">
        <f t="shared" si="207"/>
        <v/>
      </c>
      <c r="AC1170" t="str">
        <f t="shared" si="208"/>
        <v/>
      </c>
      <c r="AD1170">
        <f t="shared" si="209"/>
        <v>1.01633E-3</v>
      </c>
      <c r="AE1170" s="18" t="str">
        <f t="shared" si="210"/>
        <v/>
      </c>
      <c r="AF1170" s="7" t="str">
        <f t="shared" si="211"/>
        <v/>
      </c>
      <c r="AG1170" s="12">
        <f t="shared" si="212"/>
        <v>0.99161850410888652</v>
      </c>
      <c r="AI1170" s="54" t="str">
        <f t="shared" si="213"/>
        <v/>
      </c>
      <c r="AJ1170" s="54" t="str">
        <f t="shared" si="214"/>
        <v/>
      </c>
      <c r="AK1170" s="54">
        <f t="shared" si="215"/>
        <v>0.71041653534558402</v>
      </c>
    </row>
    <row r="1171" spans="18:37" x14ac:dyDescent="0.45">
      <c r="R1171" s="2">
        <v>28.47</v>
      </c>
      <c r="S1171" s="2">
        <v>5.7434999999999995E-4</v>
      </c>
      <c r="T1171" s="2">
        <v>2.9692999999999999E-4</v>
      </c>
      <c r="V1171" s="11"/>
      <c r="W1171" s="6"/>
      <c r="X1171" s="6">
        <v>11.52</v>
      </c>
      <c r="Y1171" s="11" t="str">
        <f t="shared" si="216"/>
        <v/>
      </c>
      <c r="Z1171" s="6" t="str">
        <f t="shared" si="217"/>
        <v/>
      </c>
      <c r="AA1171" s="23">
        <f t="shared" si="218"/>
        <v>41.519999999999996</v>
      </c>
      <c r="AB1171" t="str">
        <f t="shared" ref="AB1171:AB1234" si="219">IF(Y1171="","",VLOOKUP(Y1171,Table_1,2))</f>
        <v/>
      </c>
      <c r="AC1171" t="str">
        <f t="shared" ref="AC1171:AC1234" si="220">IF(Z1171="","",VLOOKUP(Z1171,Table_2,2))</f>
        <v/>
      </c>
      <c r="AD1171">
        <f t="shared" ref="AD1171:AD1234" si="221">IF(AA1171="","",VLOOKUP(AA1171,Table_3,2))</f>
        <v>1.01633E-3</v>
      </c>
      <c r="AE1171" s="18" t="str">
        <f t="shared" si="210"/>
        <v/>
      </c>
      <c r="AF1171" s="7" t="str">
        <f t="shared" si="211"/>
        <v/>
      </c>
      <c r="AG1171" s="12">
        <f t="shared" si="212"/>
        <v>0.99160842599254373</v>
      </c>
      <c r="AI1171" s="54" t="str">
        <f t="shared" si="213"/>
        <v/>
      </c>
      <c r="AJ1171" s="54" t="str">
        <f t="shared" si="214"/>
        <v/>
      </c>
      <c r="AK1171" s="54">
        <f t="shared" si="215"/>
        <v>0.71118865067052439</v>
      </c>
    </row>
    <row r="1172" spans="18:37" x14ac:dyDescent="0.45">
      <c r="R1172" s="2">
        <v>28.48</v>
      </c>
      <c r="S1172" s="2">
        <v>5.7439999999999998E-4</v>
      </c>
      <c r="T1172" s="2">
        <v>2.9712E-4</v>
      </c>
      <c r="V1172" s="11"/>
      <c r="W1172" s="6"/>
      <c r="X1172" s="6">
        <v>11.53</v>
      </c>
      <c r="Y1172" s="11" t="str">
        <f t="shared" si="216"/>
        <v/>
      </c>
      <c r="Z1172" s="6" t="str">
        <f t="shared" si="217"/>
        <v/>
      </c>
      <c r="AA1172" s="23">
        <f t="shared" si="218"/>
        <v>41.53</v>
      </c>
      <c r="AB1172" t="str">
        <f t="shared" si="219"/>
        <v/>
      </c>
      <c r="AC1172" t="str">
        <f t="shared" si="220"/>
        <v/>
      </c>
      <c r="AD1172">
        <f t="shared" si="221"/>
        <v>1.0179900000000001E-3</v>
      </c>
      <c r="AE1172" s="18" t="str">
        <f t="shared" ref="AE1172:AE1235" si="222">IF(AB1172="","",AE1171+h_1*(-AE1171*AB1171))</f>
        <v/>
      </c>
      <c r="AF1172" s="7" t="str">
        <f t="shared" ref="AF1172:AF1235" si="223">IF(AC1172="","",AF1171+h_2*(-AF1171*AC1171))</f>
        <v/>
      </c>
      <c r="AG1172" s="12">
        <f t="shared" ref="AG1172:AG1235" si="224">IF(AD1172="","",AG1171+h_3*(-AG1171*AD1171))</f>
        <v>0.99159834797862789</v>
      </c>
      <c r="AI1172" s="54" t="str">
        <f t="shared" ref="AI1172:AI1235" si="225">IF(Y1172="","",AI1171+AI$17*(AI1171*delta+Prem1-AB1171*(1-AI1171)))</f>
        <v/>
      </c>
      <c r="AJ1172" s="54" t="str">
        <f t="shared" ref="AJ1172:AJ1235" si="226">IF(Z1172="","",AJ1171+AJ$17*(AJ1171*delta+Prem2-AC1171*(1-AJ1171)))</f>
        <v/>
      </c>
      <c r="AK1172" s="54">
        <f t="shared" ref="AK1172:AK1235" si="227">IF(AA1172="","",AK1171+AK$17*(AK1171*delta+Prem3-AD1171*(1-AK1171)))</f>
        <v>0.7119610826888344</v>
      </c>
    </row>
    <row r="1173" spans="18:37" x14ac:dyDescent="0.45">
      <c r="R1173" s="2">
        <v>28.49</v>
      </c>
      <c r="S1173" s="2">
        <v>5.7445E-4</v>
      </c>
      <c r="T1173" s="2">
        <v>2.9731000000000001E-4</v>
      </c>
      <c r="V1173" s="11"/>
      <c r="W1173" s="6"/>
      <c r="X1173" s="6">
        <v>11.540000000000001</v>
      </c>
      <c r="Y1173" s="11" t="str">
        <f t="shared" ref="Y1173:Y1236" si="228">IF(ISBLANK(V1173),"",$Y$19+V1173)</f>
        <v/>
      </c>
      <c r="Z1173" s="6" t="str">
        <f t="shared" ref="Z1173:Z1236" si="229">IF(ISBLANK(W1173),"",$Y$19+W1173)</f>
        <v/>
      </c>
      <c r="AA1173" s="23">
        <f t="shared" ref="AA1173:AA1236" si="230">IF(ISBLANK(X1173),"",$Y$19+X1173)</f>
        <v>41.54</v>
      </c>
      <c r="AB1173" t="str">
        <f t="shared" si="219"/>
        <v/>
      </c>
      <c r="AC1173" t="str">
        <f t="shared" si="220"/>
        <v/>
      </c>
      <c r="AD1173">
        <f t="shared" si="221"/>
        <v>1.0188199999999999E-3</v>
      </c>
      <c r="AE1173" s="18" t="str">
        <f t="shared" si="222"/>
        <v/>
      </c>
      <c r="AF1173" s="7" t="str">
        <f t="shared" si="223"/>
        <v/>
      </c>
      <c r="AG1173" s="12">
        <f t="shared" si="224"/>
        <v>0.9915882536066053</v>
      </c>
      <c r="AI1173" s="54" t="str">
        <f t="shared" si="225"/>
        <v/>
      </c>
      <c r="AJ1173" s="54" t="str">
        <f t="shared" si="226"/>
        <v/>
      </c>
      <c r="AK1173" s="54">
        <f t="shared" si="227"/>
        <v>0.71273382674896413</v>
      </c>
    </row>
    <row r="1174" spans="18:37" x14ac:dyDescent="0.45">
      <c r="R1174" s="2">
        <v>28.5</v>
      </c>
      <c r="S1174" s="2">
        <v>5.7450000000000003E-4</v>
      </c>
      <c r="T1174" s="2">
        <v>2.9750000000000002E-4</v>
      </c>
      <c r="V1174" s="11"/>
      <c r="W1174" s="6"/>
      <c r="X1174" s="6">
        <v>11.55</v>
      </c>
      <c r="Y1174" s="11" t="str">
        <f t="shared" si="228"/>
        <v/>
      </c>
      <c r="Z1174" s="6" t="str">
        <f t="shared" si="229"/>
        <v/>
      </c>
      <c r="AA1174" s="23">
        <f t="shared" si="230"/>
        <v>41.55</v>
      </c>
      <c r="AB1174" t="str">
        <f t="shared" si="219"/>
        <v/>
      </c>
      <c r="AC1174" t="str">
        <f t="shared" si="220"/>
        <v/>
      </c>
      <c r="AD1174">
        <f t="shared" si="221"/>
        <v>1.01965E-3</v>
      </c>
      <c r="AE1174" s="18" t="str">
        <f t="shared" si="222"/>
        <v/>
      </c>
      <c r="AF1174" s="7" t="str">
        <f t="shared" si="223"/>
        <v/>
      </c>
      <c r="AG1174" s="12">
        <f t="shared" si="224"/>
        <v>0.99157815110715986</v>
      </c>
      <c r="AI1174" s="54" t="str">
        <f t="shared" si="225"/>
        <v/>
      </c>
      <c r="AJ1174" s="54" t="str">
        <f t="shared" si="226"/>
        <v/>
      </c>
      <c r="AK1174" s="54">
        <f t="shared" si="227"/>
        <v>0.71350688538886586</v>
      </c>
    </row>
    <row r="1175" spans="18:37" x14ac:dyDescent="0.45">
      <c r="R1175" s="2">
        <v>28.51</v>
      </c>
      <c r="S1175" s="2">
        <v>5.7454999999999995E-4</v>
      </c>
      <c r="T1175" s="2">
        <v>2.9768999999999998E-4</v>
      </c>
      <c r="V1175" s="11"/>
      <c r="W1175" s="6"/>
      <c r="X1175" s="6">
        <v>11.56</v>
      </c>
      <c r="Y1175" s="11" t="str">
        <f t="shared" si="228"/>
        <v/>
      </c>
      <c r="Z1175" s="6" t="str">
        <f t="shared" si="229"/>
        <v/>
      </c>
      <c r="AA1175" s="23">
        <f t="shared" si="230"/>
        <v>41.56</v>
      </c>
      <c r="AB1175" t="str">
        <f t="shared" si="219"/>
        <v/>
      </c>
      <c r="AC1175" t="str">
        <f t="shared" si="220"/>
        <v/>
      </c>
      <c r="AD1175">
        <f t="shared" si="221"/>
        <v>1.02048E-3</v>
      </c>
      <c r="AE1175" s="18" t="str">
        <f t="shared" si="222"/>
        <v/>
      </c>
      <c r="AF1175" s="7" t="str">
        <f t="shared" si="223"/>
        <v/>
      </c>
      <c r="AG1175" s="12">
        <f t="shared" si="224"/>
        <v>0.99156804048054215</v>
      </c>
      <c r="AI1175" s="54" t="str">
        <f t="shared" si="225"/>
        <v/>
      </c>
      <c r="AJ1175" s="54" t="str">
        <f t="shared" si="226"/>
        <v/>
      </c>
      <c r="AK1175" s="54">
        <f t="shared" si="227"/>
        <v>0.71428025875040679</v>
      </c>
    </row>
    <row r="1176" spans="18:37" x14ac:dyDescent="0.45">
      <c r="R1176" s="2">
        <v>28.52</v>
      </c>
      <c r="S1176" s="2">
        <v>5.7459999999999998E-4</v>
      </c>
      <c r="T1176" s="2">
        <v>2.9787999999999999E-4</v>
      </c>
      <c r="V1176" s="11"/>
      <c r="W1176" s="6"/>
      <c r="X1176" s="6">
        <v>11.57</v>
      </c>
      <c r="Y1176" s="11" t="str">
        <f t="shared" si="228"/>
        <v/>
      </c>
      <c r="Z1176" s="6" t="str">
        <f t="shared" si="229"/>
        <v/>
      </c>
      <c r="AA1176" s="23">
        <f t="shared" si="230"/>
        <v>41.57</v>
      </c>
      <c r="AB1176" t="str">
        <f t="shared" si="219"/>
        <v/>
      </c>
      <c r="AC1176" t="str">
        <f t="shared" si="220"/>
        <v/>
      </c>
      <c r="AD1176">
        <f t="shared" si="221"/>
        <v>1.0213100000000001E-3</v>
      </c>
      <c r="AE1176" s="18" t="str">
        <f t="shared" si="222"/>
        <v/>
      </c>
      <c r="AF1176" s="7" t="str">
        <f t="shared" si="223"/>
        <v/>
      </c>
      <c r="AG1176" s="12">
        <f t="shared" si="224"/>
        <v>0.99155792172700263</v>
      </c>
      <c r="AI1176" s="54" t="str">
        <f t="shared" si="225"/>
        <v/>
      </c>
      <c r="AJ1176" s="54" t="str">
        <f t="shared" si="226"/>
        <v/>
      </c>
      <c r="AK1176" s="54">
        <f t="shared" si="227"/>
        <v>0.71505394697551994</v>
      </c>
    </row>
    <row r="1177" spans="18:37" x14ac:dyDescent="0.45">
      <c r="R1177" s="2">
        <v>28.53</v>
      </c>
      <c r="S1177" s="2">
        <v>5.7465000000000001E-4</v>
      </c>
      <c r="T1177" s="2">
        <v>2.9807E-4</v>
      </c>
      <c r="V1177" s="11"/>
      <c r="W1177" s="6"/>
      <c r="X1177" s="6">
        <v>11.58</v>
      </c>
      <c r="Y1177" s="11" t="str">
        <f t="shared" si="228"/>
        <v/>
      </c>
      <c r="Z1177" s="6" t="str">
        <f t="shared" si="229"/>
        <v/>
      </c>
      <c r="AA1177" s="23">
        <f t="shared" si="230"/>
        <v>41.58</v>
      </c>
      <c r="AB1177" t="str">
        <f t="shared" si="219"/>
        <v/>
      </c>
      <c r="AC1177" t="str">
        <f t="shared" si="220"/>
        <v/>
      </c>
      <c r="AD1177">
        <f t="shared" si="221"/>
        <v>1.0221399999999999E-3</v>
      </c>
      <c r="AE1177" s="18" t="str">
        <f t="shared" si="222"/>
        <v/>
      </c>
      <c r="AF1177" s="7" t="str">
        <f t="shared" si="223"/>
        <v/>
      </c>
      <c r="AG1177" s="12">
        <f t="shared" si="224"/>
        <v>0.99154779484679223</v>
      </c>
      <c r="AI1177" s="54" t="str">
        <f t="shared" si="225"/>
        <v/>
      </c>
      <c r="AJ1177" s="54" t="str">
        <f t="shared" si="226"/>
        <v/>
      </c>
      <c r="AK1177" s="54">
        <f t="shared" si="227"/>
        <v>0.71582795020620449</v>
      </c>
    </row>
    <row r="1178" spans="18:37" x14ac:dyDescent="0.45">
      <c r="R1178" s="2">
        <v>28.54</v>
      </c>
      <c r="S1178" s="2">
        <v>5.7470000000000004E-4</v>
      </c>
      <c r="T1178" s="2">
        <v>2.9826000000000001E-4</v>
      </c>
      <c r="V1178" s="11"/>
      <c r="W1178" s="6"/>
      <c r="X1178" s="6">
        <v>11.59</v>
      </c>
      <c r="Y1178" s="11" t="str">
        <f t="shared" si="228"/>
        <v/>
      </c>
      <c r="Z1178" s="6" t="str">
        <f t="shared" si="229"/>
        <v/>
      </c>
      <c r="AA1178" s="23">
        <f t="shared" si="230"/>
        <v>41.59</v>
      </c>
      <c r="AB1178" t="str">
        <f t="shared" si="219"/>
        <v/>
      </c>
      <c r="AC1178" t="str">
        <f t="shared" si="220"/>
        <v/>
      </c>
      <c r="AD1178">
        <f t="shared" si="221"/>
        <v>1.02297E-3</v>
      </c>
      <c r="AE1178" s="18" t="str">
        <f t="shared" si="222"/>
        <v/>
      </c>
      <c r="AF1178" s="7" t="str">
        <f t="shared" si="223"/>
        <v/>
      </c>
      <c r="AG1178" s="12">
        <f t="shared" si="224"/>
        <v>0.99153765984016196</v>
      </c>
      <c r="AI1178" s="54" t="str">
        <f t="shared" si="225"/>
        <v/>
      </c>
      <c r="AJ1178" s="54" t="str">
        <f t="shared" si="226"/>
        <v/>
      </c>
      <c r="AK1178" s="54">
        <f t="shared" si="227"/>
        <v>0.71660226858452569</v>
      </c>
    </row>
    <row r="1179" spans="18:37" x14ac:dyDescent="0.45">
      <c r="R1179" s="2">
        <v>28.55</v>
      </c>
      <c r="S1179" s="2">
        <v>5.7474999999999996E-4</v>
      </c>
      <c r="T1179" s="2">
        <v>2.9845000000000002E-4</v>
      </c>
      <c r="V1179" s="11"/>
      <c r="W1179" s="6"/>
      <c r="X1179" s="6">
        <v>11.6</v>
      </c>
      <c r="Y1179" s="11" t="str">
        <f t="shared" si="228"/>
        <v/>
      </c>
      <c r="Z1179" s="6" t="str">
        <f t="shared" si="229"/>
        <v/>
      </c>
      <c r="AA1179" s="23">
        <f t="shared" si="230"/>
        <v>41.6</v>
      </c>
      <c r="AB1179" t="str">
        <f t="shared" si="219"/>
        <v/>
      </c>
      <c r="AC1179" t="str">
        <f t="shared" si="220"/>
        <v/>
      </c>
      <c r="AD1179">
        <f t="shared" si="221"/>
        <v>1.0238000000000001E-3</v>
      </c>
      <c r="AE1179" s="18" t="str">
        <f t="shared" si="222"/>
        <v/>
      </c>
      <c r="AF1179" s="7" t="str">
        <f t="shared" si="223"/>
        <v/>
      </c>
      <c r="AG1179" s="12">
        <f t="shared" si="224"/>
        <v>0.99152751670736305</v>
      </c>
      <c r="AI1179" s="54" t="str">
        <f t="shared" si="225"/>
        <v/>
      </c>
      <c r="AJ1179" s="54" t="str">
        <f t="shared" si="226"/>
        <v/>
      </c>
      <c r="AK1179" s="54">
        <f t="shared" si="227"/>
        <v>0.71737690225261497</v>
      </c>
    </row>
    <row r="1180" spans="18:37" x14ac:dyDescent="0.45">
      <c r="R1180" s="2">
        <v>28.56</v>
      </c>
      <c r="S1180" s="2">
        <v>5.7479999999999999E-4</v>
      </c>
      <c r="T1180" s="2">
        <v>2.9863999999999997E-4</v>
      </c>
      <c r="V1180" s="11"/>
      <c r="W1180" s="6"/>
      <c r="X1180" s="6">
        <v>11.61</v>
      </c>
      <c r="Y1180" s="11" t="str">
        <f t="shared" si="228"/>
        <v/>
      </c>
      <c r="Z1180" s="6" t="str">
        <f t="shared" si="229"/>
        <v/>
      </c>
      <c r="AA1180" s="23">
        <f t="shared" si="230"/>
        <v>41.61</v>
      </c>
      <c r="AB1180" t="str">
        <f t="shared" si="219"/>
        <v/>
      </c>
      <c r="AC1180" t="str">
        <f t="shared" si="220"/>
        <v/>
      </c>
      <c r="AD1180">
        <f t="shared" si="221"/>
        <v>1.0246299999999999E-3</v>
      </c>
      <c r="AE1180" s="18" t="str">
        <f t="shared" si="222"/>
        <v/>
      </c>
      <c r="AF1180" s="7" t="str">
        <f t="shared" si="223"/>
        <v/>
      </c>
      <c r="AG1180" s="12">
        <f t="shared" si="224"/>
        <v>0.99151736544864699</v>
      </c>
      <c r="AI1180" s="54" t="str">
        <f t="shared" si="225"/>
        <v/>
      </c>
      <c r="AJ1180" s="54" t="str">
        <f t="shared" si="226"/>
        <v/>
      </c>
      <c r="AK1180" s="54">
        <f t="shared" si="227"/>
        <v>0.71815185135266979</v>
      </c>
    </row>
    <row r="1181" spans="18:37" x14ac:dyDescent="0.45">
      <c r="R1181" s="2">
        <v>28.57</v>
      </c>
      <c r="S1181" s="2">
        <v>5.7485000000000001E-4</v>
      </c>
      <c r="T1181" s="2">
        <v>2.9882999999999998E-4</v>
      </c>
      <c r="V1181" s="11"/>
      <c r="W1181" s="6"/>
      <c r="X1181" s="6">
        <v>11.620000000000001</v>
      </c>
      <c r="Y1181" s="11" t="str">
        <f t="shared" si="228"/>
        <v/>
      </c>
      <c r="Z1181" s="6" t="str">
        <f t="shared" si="229"/>
        <v/>
      </c>
      <c r="AA1181" s="23">
        <f t="shared" si="230"/>
        <v>41.620000000000005</v>
      </c>
      <c r="AB1181" t="str">
        <f t="shared" si="219"/>
        <v/>
      </c>
      <c r="AC1181" t="str">
        <f t="shared" si="220"/>
        <v/>
      </c>
      <c r="AD1181">
        <f t="shared" si="221"/>
        <v>1.02546E-3</v>
      </c>
      <c r="AE1181" s="18" t="str">
        <f t="shared" si="222"/>
        <v/>
      </c>
      <c r="AF1181" s="7" t="str">
        <f t="shared" si="223"/>
        <v/>
      </c>
      <c r="AG1181" s="12">
        <f t="shared" si="224"/>
        <v>0.99150720606426535</v>
      </c>
      <c r="AI1181" s="54" t="str">
        <f t="shared" si="225"/>
        <v/>
      </c>
      <c r="AJ1181" s="54" t="str">
        <f t="shared" si="226"/>
        <v/>
      </c>
      <c r="AK1181" s="54">
        <f t="shared" si="227"/>
        <v>0.71892711602695392</v>
      </c>
    </row>
    <row r="1182" spans="18:37" x14ac:dyDescent="0.45">
      <c r="R1182" s="2">
        <v>28.58</v>
      </c>
      <c r="S1182" s="2">
        <v>5.7490000000000004E-4</v>
      </c>
      <c r="T1182" s="2">
        <v>2.9901999999999999E-4</v>
      </c>
      <c r="V1182" s="11"/>
      <c r="W1182" s="6"/>
      <c r="X1182" s="6">
        <v>11.63</v>
      </c>
      <c r="Y1182" s="11" t="str">
        <f t="shared" si="228"/>
        <v/>
      </c>
      <c r="Z1182" s="6" t="str">
        <f t="shared" si="229"/>
        <v/>
      </c>
      <c r="AA1182" s="23">
        <f t="shared" si="230"/>
        <v>41.63</v>
      </c>
      <c r="AB1182" t="str">
        <f t="shared" si="219"/>
        <v/>
      </c>
      <c r="AC1182" t="str">
        <f t="shared" si="220"/>
        <v/>
      </c>
      <c r="AD1182">
        <f t="shared" si="221"/>
        <v>1.02629E-3</v>
      </c>
      <c r="AE1182" s="18" t="str">
        <f t="shared" si="222"/>
        <v/>
      </c>
      <c r="AF1182" s="7" t="str">
        <f t="shared" si="223"/>
        <v/>
      </c>
      <c r="AG1182" s="12">
        <f t="shared" si="224"/>
        <v>0.99149703855447002</v>
      </c>
      <c r="AI1182" s="54" t="str">
        <f t="shared" si="225"/>
        <v/>
      </c>
      <c r="AJ1182" s="54" t="str">
        <f t="shared" si="226"/>
        <v/>
      </c>
      <c r="AK1182" s="54">
        <f t="shared" si="227"/>
        <v>0.71970269641779716</v>
      </c>
    </row>
    <row r="1183" spans="18:37" x14ac:dyDescent="0.45">
      <c r="R1183" s="2">
        <v>28.59</v>
      </c>
      <c r="S1183" s="2">
        <v>5.7494999999999996E-4</v>
      </c>
      <c r="T1183" s="2">
        <v>2.9921E-4</v>
      </c>
      <c r="V1183" s="11"/>
      <c r="W1183" s="6"/>
      <c r="X1183" s="6">
        <v>11.64</v>
      </c>
      <c r="Y1183" s="11" t="str">
        <f t="shared" si="228"/>
        <v/>
      </c>
      <c r="Z1183" s="6" t="str">
        <f t="shared" si="229"/>
        <v/>
      </c>
      <c r="AA1183" s="23">
        <f t="shared" si="230"/>
        <v>41.64</v>
      </c>
      <c r="AB1183" t="str">
        <f t="shared" si="219"/>
        <v/>
      </c>
      <c r="AC1183" t="str">
        <f t="shared" si="220"/>
        <v/>
      </c>
      <c r="AD1183">
        <f t="shared" si="221"/>
        <v>1.0271200000000001E-3</v>
      </c>
      <c r="AE1183" s="18" t="str">
        <f t="shared" si="222"/>
        <v/>
      </c>
      <c r="AF1183" s="7" t="str">
        <f t="shared" si="223"/>
        <v/>
      </c>
      <c r="AG1183" s="12">
        <f t="shared" si="224"/>
        <v>0.99148686291951305</v>
      </c>
      <c r="AI1183" s="54" t="str">
        <f t="shared" si="225"/>
        <v/>
      </c>
      <c r="AJ1183" s="54" t="str">
        <f t="shared" si="226"/>
        <v/>
      </c>
      <c r="AK1183" s="54">
        <f t="shared" si="227"/>
        <v>0.72047859266759584</v>
      </c>
    </row>
    <row r="1184" spans="18:37" x14ac:dyDescent="0.45">
      <c r="R1184" s="2">
        <v>28.6</v>
      </c>
      <c r="S1184" s="2">
        <v>5.7499999999999999E-4</v>
      </c>
      <c r="T1184" s="2">
        <v>2.9940000000000001E-4</v>
      </c>
      <c r="V1184" s="11"/>
      <c r="W1184" s="6"/>
      <c r="X1184" s="6">
        <v>11.65</v>
      </c>
      <c r="Y1184" s="11" t="str">
        <f t="shared" si="228"/>
        <v/>
      </c>
      <c r="Z1184" s="6" t="str">
        <f t="shared" si="229"/>
        <v/>
      </c>
      <c r="AA1184" s="23">
        <f t="shared" si="230"/>
        <v>41.65</v>
      </c>
      <c r="AB1184" t="str">
        <f t="shared" si="219"/>
        <v/>
      </c>
      <c r="AC1184" t="str">
        <f t="shared" si="220"/>
        <v/>
      </c>
      <c r="AD1184">
        <f t="shared" si="221"/>
        <v>1.0279499999999999E-3</v>
      </c>
      <c r="AE1184" s="18" t="str">
        <f t="shared" si="222"/>
        <v/>
      </c>
      <c r="AF1184" s="7" t="str">
        <f t="shared" si="223"/>
        <v/>
      </c>
      <c r="AG1184" s="12">
        <f t="shared" si="224"/>
        <v>0.99147667915964666</v>
      </c>
      <c r="AI1184" s="54" t="str">
        <f t="shared" si="225"/>
        <v/>
      </c>
      <c r="AJ1184" s="54" t="str">
        <f t="shared" si="226"/>
        <v/>
      </c>
      <c r="AK1184" s="54">
        <f t="shared" si="227"/>
        <v>0.72125480491881233</v>
      </c>
    </row>
    <row r="1185" spans="18:37" x14ac:dyDescent="0.45">
      <c r="R1185" s="2">
        <v>28.61</v>
      </c>
      <c r="S1185" s="2">
        <v>5.7505000000000002E-4</v>
      </c>
      <c r="T1185" s="2">
        <v>2.9959000000000002E-4</v>
      </c>
      <c r="V1185" s="11"/>
      <c r="W1185" s="6"/>
      <c r="X1185" s="6">
        <v>11.66</v>
      </c>
      <c r="Y1185" s="11" t="str">
        <f t="shared" si="228"/>
        <v/>
      </c>
      <c r="Z1185" s="6" t="str">
        <f t="shared" si="229"/>
        <v/>
      </c>
      <c r="AA1185" s="23">
        <f t="shared" si="230"/>
        <v>41.66</v>
      </c>
      <c r="AB1185" t="str">
        <f t="shared" si="219"/>
        <v/>
      </c>
      <c r="AC1185" t="str">
        <f t="shared" si="220"/>
        <v/>
      </c>
      <c r="AD1185">
        <f t="shared" si="221"/>
        <v>1.02878E-3</v>
      </c>
      <c r="AE1185" s="18" t="str">
        <f t="shared" si="222"/>
        <v/>
      </c>
      <c r="AF1185" s="7" t="str">
        <f t="shared" si="223"/>
        <v/>
      </c>
      <c r="AG1185" s="12">
        <f t="shared" si="224"/>
        <v>0.99146648727512321</v>
      </c>
      <c r="AI1185" s="54" t="str">
        <f t="shared" si="225"/>
        <v/>
      </c>
      <c r="AJ1185" s="54" t="str">
        <f t="shared" si="226"/>
        <v/>
      </c>
      <c r="AK1185" s="54">
        <f t="shared" si="227"/>
        <v>0.72203133331397551</v>
      </c>
    </row>
    <row r="1186" spans="18:37" x14ac:dyDescent="0.45">
      <c r="R1186" s="2">
        <v>28.62</v>
      </c>
      <c r="S1186" s="2">
        <v>5.7510000000000005E-4</v>
      </c>
      <c r="T1186" s="2">
        <v>2.9977999999999998E-4</v>
      </c>
      <c r="V1186" s="11"/>
      <c r="W1186" s="6"/>
      <c r="X1186" s="6">
        <v>11.67</v>
      </c>
      <c r="Y1186" s="11" t="str">
        <f t="shared" si="228"/>
        <v/>
      </c>
      <c r="Z1186" s="6" t="str">
        <f t="shared" si="229"/>
        <v/>
      </c>
      <c r="AA1186" s="23">
        <f t="shared" si="230"/>
        <v>41.67</v>
      </c>
      <c r="AB1186" t="str">
        <f t="shared" si="219"/>
        <v/>
      </c>
      <c r="AC1186" t="str">
        <f t="shared" si="220"/>
        <v/>
      </c>
      <c r="AD1186">
        <f t="shared" si="221"/>
        <v>1.02961E-3</v>
      </c>
      <c r="AE1186" s="18" t="str">
        <f t="shared" si="222"/>
        <v/>
      </c>
      <c r="AF1186" s="7" t="str">
        <f t="shared" si="223"/>
        <v/>
      </c>
      <c r="AG1186" s="12">
        <f t="shared" si="224"/>
        <v>0.99145628726619539</v>
      </c>
      <c r="AI1186" s="54" t="str">
        <f t="shared" si="225"/>
        <v/>
      </c>
      <c r="AJ1186" s="54" t="str">
        <f t="shared" si="226"/>
        <v/>
      </c>
      <c r="AK1186" s="54">
        <f t="shared" si="227"/>
        <v>0.72280817799568042</v>
      </c>
    </row>
    <row r="1187" spans="18:37" x14ac:dyDescent="0.45">
      <c r="R1187" s="2">
        <v>28.63</v>
      </c>
      <c r="S1187" s="2">
        <v>5.7514999999999997E-4</v>
      </c>
      <c r="T1187" s="2">
        <v>2.9996999999999999E-4</v>
      </c>
      <c r="V1187" s="11"/>
      <c r="W1187" s="6"/>
      <c r="X1187" s="6">
        <v>11.68</v>
      </c>
      <c r="Y1187" s="11" t="str">
        <f t="shared" si="228"/>
        <v/>
      </c>
      <c r="Z1187" s="6" t="str">
        <f t="shared" si="229"/>
        <v/>
      </c>
      <c r="AA1187" s="23">
        <f t="shared" si="230"/>
        <v>41.68</v>
      </c>
      <c r="AB1187" t="str">
        <f t="shared" si="219"/>
        <v/>
      </c>
      <c r="AC1187" t="str">
        <f t="shared" si="220"/>
        <v/>
      </c>
      <c r="AD1187">
        <f t="shared" si="221"/>
        <v>1.0304400000000001E-3</v>
      </c>
      <c r="AE1187" s="18" t="str">
        <f t="shared" si="222"/>
        <v/>
      </c>
      <c r="AF1187" s="7" t="str">
        <f t="shared" si="223"/>
        <v/>
      </c>
      <c r="AG1187" s="12">
        <f t="shared" si="224"/>
        <v>0.99144607913311611</v>
      </c>
      <c r="AI1187" s="54" t="str">
        <f t="shared" si="225"/>
        <v/>
      </c>
      <c r="AJ1187" s="54" t="str">
        <f t="shared" si="226"/>
        <v/>
      </c>
      <c r="AK1187" s="54">
        <f t="shared" si="227"/>
        <v>0.72358533910658862</v>
      </c>
    </row>
    <row r="1188" spans="18:37" x14ac:dyDescent="0.45">
      <c r="R1188" s="2">
        <v>28.64</v>
      </c>
      <c r="S1188" s="2">
        <v>5.752E-4</v>
      </c>
      <c r="T1188" s="2">
        <v>3.0016E-4</v>
      </c>
      <c r="V1188" s="11"/>
      <c r="W1188" s="6"/>
      <c r="X1188" s="6">
        <v>11.69</v>
      </c>
      <c r="Y1188" s="11" t="str">
        <f t="shared" si="228"/>
        <v/>
      </c>
      <c r="Z1188" s="6" t="str">
        <f t="shared" si="229"/>
        <v/>
      </c>
      <c r="AA1188" s="23">
        <f t="shared" si="230"/>
        <v>41.69</v>
      </c>
      <c r="AB1188" t="str">
        <f t="shared" si="219"/>
        <v/>
      </c>
      <c r="AC1188" t="str">
        <f t="shared" si="220"/>
        <v/>
      </c>
      <c r="AD1188">
        <f t="shared" si="221"/>
        <v>1.0312699999999999E-3</v>
      </c>
      <c r="AE1188" s="18" t="str">
        <f t="shared" si="222"/>
        <v/>
      </c>
      <c r="AF1188" s="7" t="str">
        <f t="shared" si="223"/>
        <v/>
      </c>
      <c r="AG1188" s="12">
        <f t="shared" si="224"/>
        <v>0.99143586287613827</v>
      </c>
      <c r="AI1188" s="54" t="str">
        <f t="shared" si="225"/>
        <v/>
      </c>
      <c r="AJ1188" s="54" t="str">
        <f t="shared" si="226"/>
        <v/>
      </c>
      <c r="AK1188" s="54">
        <f t="shared" si="227"/>
        <v>0.72436281678942804</v>
      </c>
    </row>
    <row r="1189" spans="18:37" x14ac:dyDescent="0.45">
      <c r="R1189" s="2">
        <v>28.65</v>
      </c>
      <c r="S1189" s="2">
        <v>5.7525000000000002E-4</v>
      </c>
      <c r="T1189" s="2">
        <v>3.0035000000000001E-4</v>
      </c>
      <c r="V1189" s="11"/>
      <c r="W1189" s="6"/>
      <c r="X1189" s="6">
        <v>11.700000000000001</v>
      </c>
      <c r="Y1189" s="11" t="str">
        <f t="shared" si="228"/>
        <v/>
      </c>
      <c r="Z1189" s="6" t="str">
        <f t="shared" si="229"/>
        <v/>
      </c>
      <c r="AA1189" s="23">
        <f t="shared" si="230"/>
        <v>41.7</v>
      </c>
      <c r="AB1189" t="str">
        <f t="shared" si="219"/>
        <v/>
      </c>
      <c r="AC1189" t="str">
        <f t="shared" si="220"/>
        <v/>
      </c>
      <c r="AD1189">
        <f t="shared" si="221"/>
        <v>1.0321E-3</v>
      </c>
      <c r="AE1189" s="18" t="str">
        <f t="shared" si="222"/>
        <v/>
      </c>
      <c r="AF1189" s="7" t="str">
        <f t="shared" si="223"/>
        <v/>
      </c>
      <c r="AG1189" s="12">
        <f t="shared" si="224"/>
        <v>0.99142563849551524</v>
      </c>
      <c r="AI1189" s="54" t="str">
        <f t="shared" si="225"/>
        <v/>
      </c>
      <c r="AJ1189" s="54" t="str">
        <f t="shared" si="226"/>
        <v/>
      </c>
      <c r="AK1189" s="54">
        <f t="shared" si="227"/>
        <v>0.72514061118699302</v>
      </c>
    </row>
    <row r="1190" spans="18:37" x14ac:dyDescent="0.45">
      <c r="R1190" s="2">
        <v>28.66</v>
      </c>
      <c r="S1190" s="2">
        <v>5.7530000000000005E-4</v>
      </c>
      <c r="T1190" s="2">
        <v>3.0054000000000002E-4</v>
      </c>
      <c r="V1190" s="11"/>
      <c r="W1190" s="6"/>
      <c r="X1190" s="6">
        <v>11.71</v>
      </c>
      <c r="Y1190" s="11" t="str">
        <f t="shared" si="228"/>
        <v/>
      </c>
      <c r="Z1190" s="6" t="str">
        <f t="shared" si="229"/>
        <v/>
      </c>
      <c r="AA1190" s="23">
        <f t="shared" si="230"/>
        <v>41.71</v>
      </c>
      <c r="AB1190" t="str">
        <f t="shared" si="219"/>
        <v/>
      </c>
      <c r="AC1190" t="str">
        <f t="shared" si="220"/>
        <v/>
      </c>
      <c r="AD1190">
        <f t="shared" si="221"/>
        <v>1.03293E-3</v>
      </c>
      <c r="AE1190" s="18" t="str">
        <f t="shared" si="222"/>
        <v/>
      </c>
      <c r="AF1190" s="7" t="str">
        <f t="shared" si="223"/>
        <v/>
      </c>
      <c r="AG1190" s="12">
        <f t="shared" si="224"/>
        <v>0.99141540599150035</v>
      </c>
      <c r="AI1190" s="54" t="str">
        <f t="shared" si="225"/>
        <v/>
      </c>
      <c r="AJ1190" s="54" t="str">
        <f t="shared" si="226"/>
        <v/>
      </c>
      <c r="AK1190" s="54">
        <f t="shared" si="227"/>
        <v>0.72591872244214439</v>
      </c>
    </row>
    <row r="1191" spans="18:37" x14ac:dyDescent="0.45">
      <c r="R1191" s="2">
        <v>28.67</v>
      </c>
      <c r="S1191" s="2">
        <v>5.7534999999999997E-4</v>
      </c>
      <c r="T1191" s="2">
        <v>3.0072999999999998E-4</v>
      </c>
      <c r="V1191" s="11"/>
      <c r="W1191" s="6"/>
      <c r="X1191" s="6">
        <v>11.72</v>
      </c>
      <c r="Y1191" s="11" t="str">
        <f t="shared" si="228"/>
        <v/>
      </c>
      <c r="Z1191" s="6" t="str">
        <f t="shared" si="229"/>
        <v/>
      </c>
      <c r="AA1191" s="23">
        <f t="shared" si="230"/>
        <v>41.72</v>
      </c>
      <c r="AB1191" t="str">
        <f t="shared" si="219"/>
        <v/>
      </c>
      <c r="AC1191" t="str">
        <f t="shared" si="220"/>
        <v/>
      </c>
      <c r="AD1191">
        <f t="shared" si="221"/>
        <v>1.0337600000000001E-3</v>
      </c>
      <c r="AE1191" s="18" t="str">
        <f t="shared" si="222"/>
        <v/>
      </c>
      <c r="AF1191" s="7" t="str">
        <f t="shared" si="223"/>
        <v/>
      </c>
      <c r="AG1191" s="12">
        <f t="shared" si="224"/>
        <v>0.9914051653643472</v>
      </c>
      <c r="AI1191" s="54" t="str">
        <f t="shared" si="225"/>
        <v/>
      </c>
      <c r="AJ1191" s="54" t="str">
        <f t="shared" si="226"/>
        <v/>
      </c>
      <c r="AK1191" s="54">
        <f t="shared" si="227"/>
        <v>0.72669715069780949</v>
      </c>
    </row>
    <row r="1192" spans="18:37" x14ac:dyDescent="0.45">
      <c r="R1192" s="2">
        <v>28.68</v>
      </c>
      <c r="S1192" s="2">
        <v>5.754E-4</v>
      </c>
      <c r="T1192" s="2">
        <v>3.0091999999999999E-4</v>
      </c>
      <c r="V1192" s="11"/>
      <c r="W1192" s="6"/>
      <c r="X1192" s="6">
        <v>11.73</v>
      </c>
      <c r="Y1192" s="11" t="str">
        <f t="shared" si="228"/>
        <v/>
      </c>
      <c r="Z1192" s="6" t="str">
        <f t="shared" si="229"/>
        <v/>
      </c>
      <c r="AA1192" s="23">
        <f t="shared" si="230"/>
        <v>41.730000000000004</v>
      </c>
      <c r="AB1192" t="str">
        <f t="shared" si="219"/>
        <v/>
      </c>
      <c r="AC1192" t="str">
        <f t="shared" si="220"/>
        <v/>
      </c>
      <c r="AD1192">
        <f t="shared" si="221"/>
        <v>1.0345899999999999E-3</v>
      </c>
      <c r="AE1192" s="18" t="str">
        <f t="shared" si="222"/>
        <v/>
      </c>
      <c r="AF1192" s="7" t="str">
        <f t="shared" si="223"/>
        <v/>
      </c>
      <c r="AG1192" s="12">
        <f t="shared" si="224"/>
        <v>0.99139491661430967</v>
      </c>
      <c r="AI1192" s="54" t="str">
        <f t="shared" si="225"/>
        <v/>
      </c>
      <c r="AJ1192" s="54" t="str">
        <f t="shared" si="226"/>
        <v/>
      </c>
      <c r="AK1192" s="54">
        <f t="shared" si="227"/>
        <v>0.72747589609698216</v>
      </c>
    </row>
    <row r="1193" spans="18:37" x14ac:dyDescent="0.45">
      <c r="R1193" s="2">
        <v>28.69</v>
      </c>
      <c r="S1193" s="2">
        <v>5.7545000000000003E-4</v>
      </c>
      <c r="T1193" s="2">
        <v>3.0111E-4</v>
      </c>
      <c r="V1193" s="11"/>
      <c r="W1193" s="6"/>
      <c r="X1193" s="6">
        <v>11.74</v>
      </c>
      <c r="Y1193" s="11" t="str">
        <f t="shared" si="228"/>
        <v/>
      </c>
      <c r="Z1193" s="6" t="str">
        <f t="shared" si="229"/>
        <v/>
      </c>
      <c r="AA1193" s="23">
        <f t="shared" si="230"/>
        <v>41.74</v>
      </c>
      <c r="AB1193" t="str">
        <f t="shared" si="219"/>
        <v/>
      </c>
      <c r="AC1193" t="str">
        <f t="shared" si="220"/>
        <v/>
      </c>
      <c r="AD1193">
        <f t="shared" si="221"/>
        <v>1.03542E-3</v>
      </c>
      <c r="AE1193" s="18" t="str">
        <f t="shared" si="222"/>
        <v/>
      </c>
      <c r="AF1193" s="7" t="str">
        <f t="shared" si="223"/>
        <v/>
      </c>
      <c r="AG1193" s="12">
        <f t="shared" si="224"/>
        <v>0.99138465974164192</v>
      </c>
      <c r="AI1193" s="54" t="str">
        <f t="shared" si="225"/>
        <v/>
      </c>
      <c r="AJ1193" s="54" t="str">
        <f t="shared" si="226"/>
        <v/>
      </c>
      <c r="AK1193" s="54">
        <f t="shared" si="227"/>
        <v>0.72825495878272284</v>
      </c>
    </row>
    <row r="1194" spans="18:37" x14ac:dyDescent="0.45">
      <c r="R1194" s="2">
        <v>28.7</v>
      </c>
      <c r="S1194" s="2">
        <v>5.7549999999999995E-4</v>
      </c>
      <c r="T1194" s="2">
        <v>3.0130000000000001E-4</v>
      </c>
      <c r="V1194" s="11"/>
      <c r="W1194" s="6"/>
      <c r="X1194" s="6">
        <v>11.75</v>
      </c>
      <c r="Y1194" s="11" t="str">
        <f t="shared" si="228"/>
        <v/>
      </c>
      <c r="Z1194" s="6" t="str">
        <f t="shared" si="229"/>
        <v/>
      </c>
      <c r="AA1194" s="23">
        <f t="shared" si="230"/>
        <v>41.75</v>
      </c>
      <c r="AB1194" t="str">
        <f t="shared" si="219"/>
        <v/>
      </c>
      <c r="AC1194" t="str">
        <f t="shared" si="220"/>
        <v/>
      </c>
      <c r="AD1194">
        <f t="shared" si="221"/>
        <v>1.0362500000000001E-3</v>
      </c>
      <c r="AE1194" s="18" t="str">
        <f t="shared" si="222"/>
        <v/>
      </c>
      <c r="AF1194" s="7" t="str">
        <f t="shared" si="223"/>
        <v/>
      </c>
      <c r="AG1194" s="12">
        <f t="shared" si="224"/>
        <v>0.99137439474659805</v>
      </c>
      <c r="AI1194" s="54" t="str">
        <f t="shared" si="225"/>
        <v/>
      </c>
      <c r="AJ1194" s="54" t="str">
        <f t="shared" si="226"/>
        <v/>
      </c>
      <c r="AK1194" s="54">
        <f t="shared" si="227"/>
        <v>0.72903433889815861</v>
      </c>
    </row>
    <row r="1195" spans="18:37" x14ac:dyDescent="0.45">
      <c r="R1195" s="2">
        <v>28.71</v>
      </c>
      <c r="S1195" s="2">
        <v>5.7554999999999998E-4</v>
      </c>
      <c r="T1195" s="2">
        <v>3.0149000000000002E-4</v>
      </c>
      <c r="V1195" s="11"/>
      <c r="W1195" s="6"/>
      <c r="X1195" s="6">
        <v>11.76</v>
      </c>
      <c r="Y1195" s="11" t="str">
        <f t="shared" si="228"/>
        <v/>
      </c>
      <c r="Z1195" s="6" t="str">
        <f t="shared" si="229"/>
        <v/>
      </c>
      <c r="AA1195" s="23">
        <f t="shared" si="230"/>
        <v>41.76</v>
      </c>
      <c r="AB1195" t="str">
        <f t="shared" si="219"/>
        <v/>
      </c>
      <c r="AC1195" t="str">
        <f t="shared" si="220"/>
        <v/>
      </c>
      <c r="AD1195">
        <f t="shared" si="221"/>
        <v>1.0370799999999999E-3</v>
      </c>
      <c r="AE1195" s="18" t="str">
        <f t="shared" si="222"/>
        <v/>
      </c>
      <c r="AF1195" s="7" t="str">
        <f t="shared" si="223"/>
        <v/>
      </c>
      <c r="AG1195" s="12">
        <f t="shared" si="224"/>
        <v>0.99136412162943244</v>
      </c>
      <c r="AI1195" s="54" t="str">
        <f t="shared" si="225"/>
        <v/>
      </c>
      <c r="AJ1195" s="54" t="str">
        <f t="shared" si="226"/>
        <v/>
      </c>
      <c r="AK1195" s="54">
        <f t="shared" si="227"/>
        <v>0.72981403658648325</v>
      </c>
    </row>
    <row r="1196" spans="18:37" x14ac:dyDescent="0.45">
      <c r="R1196" s="2">
        <v>28.72</v>
      </c>
      <c r="S1196" s="2">
        <v>5.756E-4</v>
      </c>
      <c r="T1196" s="2">
        <v>3.0168000000000003E-4</v>
      </c>
      <c r="V1196" s="11"/>
      <c r="W1196" s="6"/>
      <c r="X1196" s="6">
        <v>11.77</v>
      </c>
      <c r="Y1196" s="11" t="str">
        <f t="shared" si="228"/>
        <v/>
      </c>
      <c r="Z1196" s="6" t="str">
        <f t="shared" si="229"/>
        <v/>
      </c>
      <c r="AA1196" s="23">
        <f t="shared" si="230"/>
        <v>41.769999999999996</v>
      </c>
      <c r="AB1196" t="str">
        <f t="shared" si="219"/>
        <v/>
      </c>
      <c r="AC1196" t="str">
        <f t="shared" si="220"/>
        <v/>
      </c>
      <c r="AD1196">
        <f t="shared" si="221"/>
        <v>1.0370799999999999E-3</v>
      </c>
      <c r="AE1196" s="18" t="str">
        <f t="shared" si="222"/>
        <v/>
      </c>
      <c r="AF1196" s="7" t="str">
        <f t="shared" si="223"/>
        <v/>
      </c>
      <c r="AG1196" s="12">
        <f t="shared" si="224"/>
        <v>0.99135384039039987</v>
      </c>
      <c r="AI1196" s="54" t="str">
        <f t="shared" si="225"/>
        <v/>
      </c>
      <c r="AJ1196" s="54" t="str">
        <f t="shared" si="226"/>
        <v/>
      </c>
      <c r="AK1196" s="54">
        <f t="shared" si="227"/>
        <v>0.73059405199095695</v>
      </c>
    </row>
    <row r="1197" spans="18:37" x14ac:dyDescent="0.45">
      <c r="R1197" s="2">
        <v>28.73</v>
      </c>
      <c r="S1197" s="2">
        <v>5.7565000000000003E-4</v>
      </c>
      <c r="T1197" s="2">
        <v>3.0186999999999998E-4</v>
      </c>
      <c r="V1197" s="11"/>
      <c r="W1197" s="6"/>
      <c r="X1197" s="6">
        <v>11.78</v>
      </c>
      <c r="Y1197" s="11" t="str">
        <f t="shared" si="228"/>
        <v/>
      </c>
      <c r="Z1197" s="6" t="str">
        <f t="shared" si="229"/>
        <v/>
      </c>
      <c r="AA1197" s="23">
        <f t="shared" si="230"/>
        <v>41.78</v>
      </c>
      <c r="AB1197" t="str">
        <f t="shared" si="219"/>
        <v/>
      </c>
      <c r="AC1197" t="str">
        <f t="shared" si="220"/>
        <v/>
      </c>
      <c r="AD1197">
        <f t="shared" si="221"/>
        <v>1.03874E-3</v>
      </c>
      <c r="AE1197" s="18" t="str">
        <f t="shared" si="222"/>
        <v/>
      </c>
      <c r="AF1197" s="7" t="str">
        <f t="shared" si="223"/>
        <v/>
      </c>
      <c r="AG1197" s="12">
        <f t="shared" si="224"/>
        <v>0.99134355925799189</v>
      </c>
      <c r="AI1197" s="54" t="str">
        <f t="shared" si="225"/>
        <v/>
      </c>
      <c r="AJ1197" s="54" t="str">
        <f t="shared" si="226"/>
        <v/>
      </c>
      <c r="AK1197" s="54">
        <f t="shared" si="227"/>
        <v>0.73137438749097616</v>
      </c>
    </row>
    <row r="1198" spans="18:37" x14ac:dyDescent="0.45">
      <c r="R1198" s="2">
        <v>28.74</v>
      </c>
      <c r="S1198" s="2">
        <v>5.7569999999999995E-4</v>
      </c>
      <c r="T1198" s="2">
        <v>3.0205999999999999E-4</v>
      </c>
      <c r="V1198" s="11"/>
      <c r="W1198" s="6"/>
      <c r="X1198" s="6">
        <v>11.790000000000001</v>
      </c>
      <c r="Y1198" s="11" t="str">
        <f t="shared" si="228"/>
        <v/>
      </c>
      <c r="Z1198" s="6" t="str">
        <f t="shared" si="229"/>
        <v/>
      </c>
      <c r="AA1198" s="23">
        <f t="shared" si="230"/>
        <v>41.79</v>
      </c>
      <c r="AB1198" t="str">
        <f t="shared" si="219"/>
        <v/>
      </c>
      <c r="AC1198" t="str">
        <f t="shared" si="220"/>
        <v/>
      </c>
      <c r="AD1198">
        <f t="shared" si="221"/>
        <v>1.0395700000000001E-3</v>
      </c>
      <c r="AE1198" s="18" t="str">
        <f t="shared" si="222"/>
        <v/>
      </c>
      <c r="AF1198" s="7" t="str">
        <f t="shared" si="223"/>
        <v/>
      </c>
      <c r="AG1198" s="12">
        <f t="shared" si="224"/>
        <v>0.99133326177590442</v>
      </c>
      <c r="AI1198" s="54" t="str">
        <f t="shared" si="225"/>
        <v/>
      </c>
      <c r="AJ1198" s="54" t="str">
        <f t="shared" si="226"/>
        <v/>
      </c>
      <c r="AK1198" s="54">
        <f t="shared" si="227"/>
        <v>0.73215503875871368</v>
      </c>
    </row>
    <row r="1199" spans="18:37" x14ac:dyDescent="0.45">
      <c r="R1199" s="2">
        <v>28.75</v>
      </c>
      <c r="S1199" s="2">
        <v>5.7574999999999998E-4</v>
      </c>
      <c r="T1199" s="2">
        <v>3.0225E-4</v>
      </c>
      <c r="V1199" s="11"/>
      <c r="W1199" s="6"/>
      <c r="X1199" s="6">
        <v>11.8</v>
      </c>
      <c r="Y1199" s="11" t="str">
        <f t="shared" si="228"/>
        <v/>
      </c>
      <c r="Z1199" s="6" t="str">
        <f t="shared" si="229"/>
        <v/>
      </c>
      <c r="AA1199" s="23">
        <f t="shared" si="230"/>
        <v>41.8</v>
      </c>
      <c r="AB1199" t="str">
        <f t="shared" si="219"/>
        <v/>
      </c>
      <c r="AC1199" t="str">
        <f t="shared" si="220"/>
        <v/>
      </c>
      <c r="AD1199">
        <f t="shared" si="221"/>
        <v>1.0403999999999999E-3</v>
      </c>
      <c r="AE1199" s="18" t="str">
        <f t="shared" si="222"/>
        <v/>
      </c>
      <c r="AF1199" s="7" t="str">
        <f t="shared" si="223"/>
        <v/>
      </c>
      <c r="AG1199" s="12">
        <f t="shared" si="224"/>
        <v>0.99132295617271493</v>
      </c>
      <c r="AI1199" s="54" t="str">
        <f t="shared" si="225"/>
        <v/>
      </c>
      <c r="AJ1199" s="54" t="str">
        <f t="shared" si="226"/>
        <v/>
      </c>
      <c r="AK1199" s="54">
        <f t="shared" si="227"/>
        <v>0.73293600817278204</v>
      </c>
    </row>
    <row r="1200" spans="18:37" x14ac:dyDescent="0.45">
      <c r="R1200" s="2">
        <v>28.76</v>
      </c>
      <c r="S1200" s="2">
        <v>5.7580000000000001E-4</v>
      </c>
      <c r="T1200" s="2">
        <v>3.0244000000000001E-4</v>
      </c>
      <c r="V1200" s="11"/>
      <c r="W1200" s="6"/>
      <c r="X1200" s="6">
        <v>11.81</v>
      </c>
      <c r="Y1200" s="11" t="str">
        <f t="shared" si="228"/>
        <v/>
      </c>
      <c r="Z1200" s="6" t="str">
        <f t="shared" si="229"/>
        <v/>
      </c>
      <c r="AA1200" s="23">
        <f t="shared" si="230"/>
        <v>41.81</v>
      </c>
      <c r="AB1200" t="str">
        <f t="shared" si="219"/>
        <v/>
      </c>
      <c r="AC1200" t="str">
        <f t="shared" si="220"/>
        <v/>
      </c>
      <c r="AD1200">
        <f t="shared" si="221"/>
        <v>1.04123E-3</v>
      </c>
      <c r="AE1200" s="18" t="str">
        <f t="shared" si="222"/>
        <v/>
      </c>
      <c r="AF1200" s="7" t="str">
        <f t="shared" si="223"/>
        <v/>
      </c>
      <c r="AG1200" s="12">
        <f t="shared" si="224"/>
        <v>0.99131264244867889</v>
      </c>
      <c r="AI1200" s="54" t="str">
        <f t="shared" si="225"/>
        <v/>
      </c>
      <c r="AJ1200" s="54" t="str">
        <f t="shared" si="226"/>
        <v/>
      </c>
      <c r="AK1200" s="54">
        <f t="shared" si="227"/>
        <v>0.73371729587670864</v>
      </c>
    </row>
    <row r="1201" spans="18:37" x14ac:dyDescent="0.45">
      <c r="R1201" s="2">
        <v>28.77</v>
      </c>
      <c r="S1201" s="2">
        <v>5.7585000000000004E-4</v>
      </c>
      <c r="T1201" s="2">
        <v>3.0263000000000002E-4</v>
      </c>
      <c r="V1201" s="11"/>
      <c r="W1201" s="6"/>
      <c r="X1201" s="6">
        <v>11.82</v>
      </c>
      <c r="Y1201" s="11" t="str">
        <f t="shared" si="228"/>
        <v/>
      </c>
      <c r="Z1201" s="6" t="str">
        <f t="shared" si="229"/>
        <v/>
      </c>
      <c r="AA1201" s="23">
        <f t="shared" si="230"/>
        <v>41.82</v>
      </c>
      <c r="AB1201" t="str">
        <f t="shared" si="219"/>
        <v/>
      </c>
      <c r="AC1201" t="str">
        <f t="shared" si="220"/>
        <v/>
      </c>
      <c r="AD1201">
        <f t="shared" si="221"/>
        <v>1.04206E-3</v>
      </c>
      <c r="AE1201" s="18" t="str">
        <f t="shared" si="222"/>
        <v/>
      </c>
      <c r="AF1201" s="7" t="str">
        <f t="shared" si="223"/>
        <v/>
      </c>
      <c r="AG1201" s="12">
        <f t="shared" si="224"/>
        <v>0.99130232060405188</v>
      </c>
      <c r="AI1201" s="54" t="str">
        <f t="shared" si="225"/>
        <v/>
      </c>
      <c r="AJ1201" s="54" t="str">
        <f t="shared" si="226"/>
        <v/>
      </c>
      <c r="AK1201" s="54">
        <f t="shared" si="227"/>
        <v>0.73449890201408763</v>
      </c>
    </row>
    <row r="1202" spans="18:37" x14ac:dyDescent="0.45">
      <c r="R1202" s="2">
        <v>28.78</v>
      </c>
      <c r="S1202" s="2">
        <v>5.7589999999999996E-4</v>
      </c>
      <c r="T1202" s="2">
        <v>3.0281999999999998E-4</v>
      </c>
      <c r="V1202" s="11"/>
      <c r="W1202" s="6"/>
      <c r="X1202" s="6">
        <v>11.83</v>
      </c>
      <c r="Y1202" s="11" t="str">
        <f t="shared" si="228"/>
        <v/>
      </c>
      <c r="Z1202" s="6" t="str">
        <f t="shared" si="229"/>
        <v/>
      </c>
      <c r="AA1202" s="23">
        <f t="shared" si="230"/>
        <v>41.83</v>
      </c>
      <c r="AB1202" t="str">
        <f t="shared" si="219"/>
        <v/>
      </c>
      <c r="AC1202" t="str">
        <f t="shared" si="220"/>
        <v/>
      </c>
      <c r="AD1202">
        <f t="shared" si="221"/>
        <v>1.0428900000000001E-3</v>
      </c>
      <c r="AE1202" s="18" t="str">
        <f t="shared" si="222"/>
        <v/>
      </c>
      <c r="AF1202" s="7" t="str">
        <f t="shared" si="223"/>
        <v/>
      </c>
      <c r="AG1202" s="12">
        <f t="shared" si="224"/>
        <v>0.99129199063908979</v>
      </c>
      <c r="AI1202" s="54" t="str">
        <f t="shared" si="225"/>
        <v/>
      </c>
      <c r="AJ1202" s="54" t="str">
        <f t="shared" si="226"/>
        <v/>
      </c>
      <c r="AK1202" s="54">
        <f t="shared" si="227"/>
        <v>0.73528082672858008</v>
      </c>
    </row>
    <row r="1203" spans="18:37" x14ac:dyDescent="0.45">
      <c r="R1203" s="2">
        <v>28.79</v>
      </c>
      <c r="S1203" s="2">
        <v>5.7594999999999999E-4</v>
      </c>
      <c r="T1203" s="2">
        <v>3.0300999999999999E-4</v>
      </c>
      <c r="V1203" s="11"/>
      <c r="W1203" s="6"/>
      <c r="X1203" s="6">
        <v>11.84</v>
      </c>
      <c r="Y1203" s="11" t="str">
        <f t="shared" si="228"/>
        <v/>
      </c>
      <c r="Z1203" s="6" t="str">
        <f t="shared" si="229"/>
        <v/>
      </c>
      <c r="AA1203" s="23">
        <f t="shared" si="230"/>
        <v>41.84</v>
      </c>
      <c r="AB1203" t="str">
        <f t="shared" si="219"/>
        <v/>
      </c>
      <c r="AC1203" t="str">
        <f t="shared" si="220"/>
        <v/>
      </c>
      <c r="AD1203">
        <f t="shared" si="221"/>
        <v>1.0437199999999999E-3</v>
      </c>
      <c r="AE1203" s="18" t="str">
        <f t="shared" si="222"/>
        <v/>
      </c>
      <c r="AF1203" s="7" t="str">
        <f t="shared" si="223"/>
        <v/>
      </c>
      <c r="AG1203" s="12">
        <f t="shared" si="224"/>
        <v>0.99128165255404865</v>
      </c>
      <c r="AI1203" s="54" t="str">
        <f t="shared" si="225"/>
        <v/>
      </c>
      <c r="AJ1203" s="54" t="str">
        <f t="shared" si="226"/>
        <v/>
      </c>
      <c r="AK1203" s="54">
        <f t="shared" si="227"/>
        <v>0.73606307016391392</v>
      </c>
    </row>
    <row r="1204" spans="18:37" x14ac:dyDescent="0.45">
      <c r="R1204" s="2">
        <v>28.8</v>
      </c>
      <c r="S1204" s="2">
        <v>5.7600000000000001E-4</v>
      </c>
      <c r="T1204" s="2">
        <v>3.032E-4</v>
      </c>
      <c r="V1204" s="11"/>
      <c r="W1204" s="6"/>
      <c r="X1204" s="6">
        <v>11.85</v>
      </c>
      <c r="Y1204" s="11" t="str">
        <f t="shared" si="228"/>
        <v/>
      </c>
      <c r="Z1204" s="6" t="str">
        <f t="shared" si="229"/>
        <v/>
      </c>
      <c r="AA1204" s="23">
        <f t="shared" si="230"/>
        <v>41.85</v>
      </c>
      <c r="AB1204" t="str">
        <f t="shared" si="219"/>
        <v/>
      </c>
      <c r="AC1204" t="str">
        <f t="shared" si="220"/>
        <v/>
      </c>
      <c r="AD1204">
        <f t="shared" si="221"/>
        <v>1.04455E-3</v>
      </c>
      <c r="AE1204" s="18" t="str">
        <f t="shared" si="222"/>
        <v/>
      </c>
      <c r="AF1204" s="7" t="str">
        <f t="shared" si="223"/>
        <v/>
      </c>
      <c r="AG1204" s="12">
        <f t="shared" si="224"/>
        <v>0.99127130634918459</v>
      </c>
      <c r="AI1204" s="54" t="str">
        <f t="shared" si="225"/>
        <v/>
      </c>
      <c r="AJ1204" s="54" t="str">
        <f t="shared" si="226"/>
        <v/>
      </c>
      <c r="AK1204" s="54">
        <f t="shared" si="227"/>
        <v>0.7368456324638839</v>
      </c>
    </row>
    <row r="1205" spans="18:37" x14ac:dyDescent="0.45">
      <c r="R1205" s="2">
        <v>28.81</v>
      </c>
      <c r="S1205" s="2">
        <v>5.7605000000000004E-4</v>
      </c>
      <c r="T1205" s="2">
        <v>3.0339000000000001E-4</v>
      </c>
      <c r="V1205" s="11"/>
      <c r="W1205" s="6"/>
      <c r="X1205" s="6">
        <v>11.86</v>
      </c>
      <c r="Y1205" s="11" t="str">
        <f t="shared" si="228"/>
        <v/>
      </c>
      <c r="Z1205" s="6" t="str">
        <f t="shared" si="229"/>
        <v/>
      </c>
      <c r="AA1205" s="23">
        <f t="shared" si="230"/>
        <v>41.86</v>
      </c>
      <c r="AB1205" t="str">
        <f t="shared" si="219"/>
        <v/>
      </c>
      <c r="AC1205" t="str">
        <f t="shared" si="220"/>
        <v/>
      </c>
      <c r="AD1205">
        <f t="shared" si="221"/>
        <v>1.0453800000000001E-3</v>
      </c>
      <c r="AE1205" s="18" t="str">
        <f t="shared" si="222"/>
        <v/>
      </c>
      <c r="AF1205" s="7" t="str">
        <f t="shared" si="223"/>
        <v/>
      </c>
      <c r="AG1205" s="12">
        <f t="shared" si="224"/>
        <v>0.99126095202475417</v>
      </c>
      <c r="AI1205" s="54" t="str">
        <f t="shared" si="225"/>
        <v/>
      </c>
      <c r="AJ1205" s="54" t="str">
        <f t="shared" si="226"/>
        <v/>
      </c>
      <c r="AK1205" s="54">
        <f t="shared" si="227"/>
        <v>0.73762851377235183</v>
      </c>
    </row>
    <row r="1206" spans="18:37" x14ac:dyDescent="0.45">
      <c r="R1206" s="2">
        <v>28.82</v>
      </c>
      <c r="S1206" s="2">
        <v>5.7609999999999996E-4</v>
      </c>
      <c r="T1206" s="2">
        <v>3.0358000000000002E-4</v>
      </c>
      <c r="V1206" s="11"/>
      <c r="W1206" s="6"/>
      <c r="X1206" s="6">
        <v>11.870000000000001</v>
      </c>
      <c r="Y1206" s="11" t="str">
        <f t="shared" si="228"/>
        <v/>
      </c>
      <c r="Z1206" s="6" t="str">
        <f t="shared" si="229"/>
        <v/>
      </c>
      <c r="AA1206" s="23">
        <f t="shared" si="230"/>
        <v>41.870000000000005</v>
      </c>
      <c r="AB1206" t="str">
        <f t="shared" si="219"/>
        <v/>
      </c>
      <c r="AC1206" t="str">
        <f t="shared" si="220"/>
        <v/>
      </c>
      <c r="AD1206">
        <f t="shared" si="221"/>
        <v>1.0462099999999999E-3</v>
      </c>
      <c r="AE1206" s="18" t="str">
        <f t="shared" si="222"/>
        <v/>
      </c>
      <c r="AF1206" s="7" t="str">
        <f t="shared" si="223"/>
        <v/>
      </c>
      <c r="AG1206" s="12">
        <f t="shared" si="224"/>
        <v>0.99125058958101386</v>
      </c>
      <c r="AI1206" s="54" t="str">
        <f t="shared" si="225"/>
        <v/>
      </c>
      <c r="AJ1206" s="54" t="str">
        <f t="shared" si="226"/>
        <v/>
      </c>
      <c r="AK1206" s="54">
        <f t="shared" si="227"/>
        <v>0.73841171423324659</v>
      </c>
    </row>
    <row r="1207" spans="18:37" x14ac:dyDescent="0.45">
      <c r="R1207" s="2">
        <v>28.83</v>
      </c>
      <c r="S1207" s="2">
        <v>5.7614999999999999E-4</v>
      </c>
      <c r="T1207" s="2">
        <v>3.0376999999999997E-4</v>
      </c>
      <c r="V1207" s="11"/>
      <c r="W1207" s="6"/>
      <c r="X1207" s="6">
        <v>11.88</v>
      </c>
      <c r="Y1207" s="11" t="str">
        <f t="shared" si="228"/>
        <v/>
      </c>
      <c r="Z1207" s="6" t="str">
        <f t="shared" si="229"/>
        <v/>
      </c>
      <c r="AA1207" s="23">
        <f t="shared" si="230"/>
        <v>41.88</v>
      </c>
      <c r="AB1207" t="str">
        <f t="shared" si="219"/>
        <v/>
      </c>
      <c r="AC1207" t="str">
        <f t="shared" si="220"/>
        <v/>
      </c>
      <c r="AD1207">
        <f t="shared" si="221"/>
        <v>1.0470399999999999E-3</v>
      </c>
      <c r="AE1207" s="18" t="str">
        <f t="shared" si="222"/>
        <v/>
      </c>
      <c r="AF1207" s="7" t="str">
        <f t="shared" si="223"/>
        <v/>
      </c>
      <c r="AG1207" s="12">
        <f t="shared" si="224"/>
        <v>0.99124021901822057</v>
      </c>
      <c r="AI1207" s="54" t="str">
        <f t="shared" si="225"/>
        <v/>
      </c>
      <c r="AJ1207" s="54" t="str">
        <f t="shared" si="226"/>
        <v/>
      </c>
      <c r="AK1207" s="54">
        <f t="shared" si="227"/>
        <v>0.73919523399056386</v>
      </c>
    </row>
    <row r="1208" spans="18:37" x14ac:dyDescent="0.45">
      <c r="R1208" s="2">
        <v>28.84</v>
      </c>
      <c r="S1208" s="2">
        <v>5.7620000000000002E-4</v>
      </c>
      <c r="T1208" s="2">
        <v>3.0395999999999998E-4</v>
      </c>
      <c r="V1208" s="11"/>
      <c r="W1208" s="6"/>
      <c r="X1208" s="6">
        <v>11.89</v>
      </c>
      <c r="Y1208" s="11" t="str">
        <f t="shared" si="228"/>
        <v/>
      </c>
      <c r="Z1208" s="6" t="str">
        <f t="shared" si="229"/>
        <v/>
      </c>
      <c r="AA1208" s="23">
        <f t="shared" si="230"/>
        <v>41.89</v>
      </c>
      <c r="AB1208" t="str">
        <f t="shared" si="219"/>
        <v/>
      </c>
      <c r="AC1208" t="str">
        <f t="shared" si="220"/>
        <v/>
      </c>
      <c r="AD1208">
        <f t="shared" si="221"/>
        <v>1.04787E-3</v>
      </c>
      <c r="AE1208" s="18" t="str">
        <f t="shared" si="222"/>
        <v/>
      </c>
      <c r="AF1208" s="7" t="str">
        <f t="shared" si="223"/>
        <v/>
      </c>
      <c r="AG1208" s="12">
        <f t="shared" si="224"/>
        <v>0.99122984033663131</v>
      </c>
      <c r="AI1208" s="54" t="str">
        <f t="shared" si="225"/>
        <v/>
      </c>
      <c r="AJ1208" s="54" t="str">
        <f t="shared" si="226"/>
        <v/>
      </c>
      <c r="AK1208" s="54">
        <f t="shared" si="227"/>
        <v>0.73997907318836653</v>
      </c>
    </row>
    <row r="1209" spans="18:37" x14ac:dyDescent="0.45">
      <c r="R1209" s="2">
        <v>28.85</v>
      </c>
      <c r="S1209" s="2">
        <v>5.7625000000000005E-4</v>
      </c>
      <c r="T1209" s="2">
        <v>3.0414999999999999E-4</v>
      </c>
      <c r="V1209" s="11"/>
      <c r="W1209" s="6"/>
      <c r="X1209" s="6">
        <v>11.9</v>
      </c>
      <c r="Y1209" s="11" t="str">
        <f t="shared" si="228"/>
        <v/>
      </c>
      <c r="Z1209" s="6" t="str">
        <f t="shared" si="229"/>
        <v/>
      </c>
      <c r="AA1209" s="23">
        <f t="shared" si="230"/>
        <v>41.9</v>
      </c>
      <c r="AB1209" t="str">
        <f t="shared" si="219"/>
        <v/>
      </c>
      <c r="AC1209" t="str">
        <f t="shared" si="220"/>
        <v/>
      </c>
      <c r="AD1209">
        <f t="shared" si="221"/>
        <v>1.0487000000000001E-3</v>
      </c>
      <c r="AE1209" s="18" t="str">
        <f t="shared" si="222"/>
        <v/>
      </c>
      <c r="AF1209" s="7" t="str">
        <f t="shared" si="223"/>
        <v/>
      </c>
      <c r="AG1209" s="12">
        <f t="shared" si="224"/>
        <v>0.99121945353650343</v>
      </c>
      <c r="AI1209" s="54" t="str">
        <f t="shared" si="225"/>
        <v/>
      </c>
      <c r="AJ1209" s="54" t="str">
        <f t="shared" si="226"/>
        <v/>
      </c>
      <c r="AK1209" s="54">
        <f t="shared" si="227"/>
        <v>0.74076323197078464</v>
      </c>
    </row>
    <row r="1210" spans="18:37" x14ac:dyDescent="0.45">
      <c r="R1210" s="2">
        <v>28.86</v>
      </c>
      <c r="S1210" s="2">
        <v>5.7629999999999997E-4</v>
      </c>
      <c r="T1210" s="2">
        <v>3.0434E-4</v>
      </c>
      <c r="V1210" s="11"/>
      <c r="W1210" s="6"/>
      <c r="X1210" s="6">
        <v>11.91</v>
      </c>
      <c r="Y1210" s="11" t="str">
        <f t="shared" si="228"/>
        <v/>
      </c>
      <c r="Z1210" s="6" t="str">
        <f t="shared" si="229"/>
        <v/>
      </c>
      <c r="AA1210" s="23">
        <f t="shared" si="230"/>
        <v>41.91</v>
      </c>
      <c r="AB1210" t="str">
        <f t="shared" si="219"/>
        <v/>
      </c>
      <c r="AC1210" t="str">
        <f t="shared" si="220"/>
        <v/>
      </c>
      <c r="AD1210">
        <f t="shared" si="221"/>
        <v>1.0495299999999999E-3</v>
      </c>
      <c r="AE1210" s="18" t="str">
        <f t="shared" si="222"/>
        <v/>
      </c>
      <c r="AF1210" s="7" t="str">
        <f t="shared" si="223"/>
        <v/>
      </c>
      <c r="AG1210" s="12">
        <f t="shared" si="224"/>
        <v>0.99120905861809416</v>
      </c>
      <c r="AI1210" s="54" t="str">
        <f t="shared" si="225"/>
        <v/>
      </c>
      <c r="AJ1210" s="54" t="str">
        <f t="shared" si="226"/>
        <v/>
      </c>
      <c r="AK1210" s="54">
        <f t="shared" si="227"/>
        <v>0.74154771048201518</v>
      </c>
    </row>
    <row r="1211" spans="18:37" x14ac:dyDescent="0.45">
      <c r="R1211" s="2">
        <v>28.87</v>
      </c>
      <c r="S1211" s="2">
        <v>5.7635E-4</v>
      </c>
      <c r="T1211" s="2">
        <v>3.0453000000000001E-4</v>
      </c>
      <c r="V1211" s="11"/>
      <c r="W1211" s="6"/>
      <c r="X1211" s="6">
        <v>11.92</v>
      </c>
      <c r="Y1211" s="11" t="str">
        <f t="shared" si="228"/>
        <v/>
      </c>
      <c r="Z1211" s="6" t="str">
        <f t="shared" si="229"/>
        <v/>
      </c>
      <c r="AA1211" s="23">
        <f t="shared" si="230"/>
        <v>41.92</v>
      </c>
      <c r="AB1211" t="str">
        <f t="shared" si="219"/>
        <v/>
      </c>
      <c r="AC1211" t="str">
        <f t="shared" si="220"/>
        <v/>
      </c>
      <c r="AD1211">
        <f t="shared" si="221"/>
        <v>1.05036E-3</v>
      </c>
      <c r="AE1211" s="18" t="str">
        <f t="shared" si="222"/>
        <v/>
      </c>
      <c r="AF1211" s="7" t="str">
        <f t="shared" si="223"/>
        <v/>
      </c>
      <c r="AG1211" s="12">
        <f t="shared" si="224"/>
        <v>0.9911986555816612</v>
      </c>
      <c r="AI1211" s="54" t="str">
        <f t="shared" si="225"/>
        <v/>
      </c>
      <c r="AJ1211" s="54" t="str">
        <f t="shared" si="226"/>
        <v/>
      </c>
      <c r="AK1211" s="54">
        <f t="shared" si="227"/>
        <v>0.74233250886632229</v>
      </c>
    </row>
    <row r="1212" spans="18:37" x14ac:dyDescent="0.45">
      <c r="R1212" s="2">
        <v>28.88</v>
      </c>
      <c r="S1212" s="2">
        <v>5.7640000000000002E-4</v>
      </c>
      <c r="T1212" s="2">
        <v>3.0472000000000002E-4</v>
      </c>
      <c r="V1212" s="11"/>
      <c r="W1212" s="6"/>
      <c r="X1212" s="6">
        <v>11.93</v>
      </c>
      <c r="Y1212" s="11" t="str">
        <f t="shared" si="228"/>
        <v/>
      </c>
      <c r="Z1212" s="6" t="str">
        <f t="shared" si="229"/>
        <v/>
      </c>
      <c r="AA1212" s="23">
        <f t="shared" si="230"/>
        <v>41.93</v>
      </c>
      <c r="AB1212" t="str">
        <f t="shared" si="219"/>
        <v/>
      </c>
      <c r="AC1212" t="str">
        <f t="shared" si="220"/>
        <v/>
      </c>
      <c r="AD1212">
        <f t="shared" si="221"/>
        <v>1.05119E-3</v>
      </c>
      <c r="AE1212" s="18" t="str">
        <f t="shared" si="222"/>
        <v/>
      </c>
      <c r="AF1212" s="7" t="str">
        <f t="shared" si="223"/>
        <v/>
      </c>
      <c r="AG1212" s="12">
        <f t="shared" si="224"/>
        <v>0.99118824442746245</v>
      </c>
      <c r="AI1212" s="54" t="str">
        <f t="shared" si="225"/>
        <v/>
      </c>
      <c r="AJ1212" s="54" t="str">
        <f t="shared" si="226"/>
        <v/>
      </c>
      <c r="AK1212" s="54">
        <f t="shared" si="227"/>
        <v>0.74311762726803743</v>
      </c>
    </row>
    <row r="1213" spans="18:37" x14ac:dyDescent="0.45">
      <c r="R1213" s="2">
        <v>28.89</v>
      </c>
      <c r="S1213" s="2">
        <v>5.7645000000000005E-4</v>
      </c>
      <c r="T1213" s="2">
        <v>3.0490999999999998E-4</v>
      </c>
      <c r="V1213" s="11"/>
      <c r="W1213" s="6"/>
      <c r="X1213" s="6">
        <v>11.94</v>
      </c>
      <c r="Y1213" s="11" t="str">
        <f t="shared" si="228"/>
        <v/>
      </c>
      <c r="Z1213" s="6" t="str">
        <f t="shared" si="229"/>
        <v/>
      </c>
      <c r="AA1213" s="23">
        <f t="shared" si="230"/>
        <v>41.94</v>
      </c>
      <c r="AB1213" t="str">
        <f t="shared" si="219"/>
        <v/>
      </c>
      <c r="AC1213" t="str">
        <f t="shared" si="220"/>
        <v/>
      </c>
      <c r="AD1213">
        <f t="shared" si="221"/>
        <v>1.0520200000000001E-3</v>
      </c>
      <c r="AE1213" s="18" t="str">
        <f t="shared" si="222"/>
        <v/>
      </c>
      <c r="AF1213" s="7" t="str">
        <f t="shared" si="223"/>
        <v/>
      </c>
      <c r="AG1213" s="12">
        <f t="shared" si="224"/>
        <v>0.99117782515575581</v>
      </c>
      <c r="AI1213" s="54" t="str">
        <f t="shared" si="225"/>
        <v/>
      </c>
      <c r="AJ1213" s="54" t="str">
        <f t="shared" si="226"/>
        <v/>
      </c>
      <c r="AK1213" s="54">
        <f t="shared" si="227"/>
        <v>0.74390306583155918</v>
      </c>
    </row>
    <row r="1214" spans="18:37" x14ac:dyDescent="0.45">
      <c r="R1214" s="2">
        <v>28.9</v>
      </c>
      <c r="S1214" s="2">
        <v>5.7649999999999997E-4</v>
      </c>
      <c r="T1214" s="2">
        <v>3.0509999999999999E-4</v>
      </c>
      <c r="V1214" s="11"/>
      <c r="W1214" s="6"/>
      <c r="X1214" s="6">
        <v>11.950000000000001</v>
      </c>
      <c r="Y1214" s="11" t="str">
        <f t="shared" si="228"/>
        <v/>
      </c>
      <c r="Z1214" s="6" t="str">
        <f t="shared" si="229"/>
        <v/>
      </c>
      <c r="AA1214" s="23">
        <f t="shared" si="230"/>
        <v>41.95</v>
      </c>
      <c r="AB1214" t="str">
        <f t="shared" si="219"/>
        <v/>
      </c>
      <c r="AC1214" t="str">
        <f t="shared" si="220"/>
        <v/>
      </c>
      <c r="AD1214">
        <f t="shared" si="221"/>
        <v>1.0528499999999999E-3</v>
      </c>
      <c r="AE1214" s="18" t="str">
        <f t="shared" si="222"/>
        <v/>
      </c>
      <c r="AF1214" s="7" t="str">
        <f t="shared" si="223"/>
        <v/>
      </c>
      <c r="AG1214" s="12">
        <f t="shared" si="224"/>
        <v>0.99116739776679963</v>
      </c>
      <c r="AI1214" s="54" t="str">
        <f t="shared" si="225"/>
        <v/>
      </c>
      <c r="AJ1214" s="54" t="str">
        <f t="shared" si="226"/>
        <v/>
      </c>
      <c r="AK1214" s="54">
        <f t="shared" si="227"/>
        <v>0.74468882470135345</v>
      </c>
    </row>
    <row r="1215" spans="18:37" x14ac:dyDescent="0.45">
      <c r="R1215" s="2">
        <v>28.91</v>
      </c>
      <c r="S1215" s="2">
        <v>5.7655E-4</v>
      </c>
      <c r="T1215" s="2">
        <v>3.0529E-4</v>
      </c>
      <c r="V1215" s="11"/>
      <c r="W1215" s="6"/>
      <c r="X1215" s="6">
        <v>11.96</v>
      </c>
      <c r="Y1215" s="11" t="str">
        <f t="shared" si="228"/>
        <v/>
      </c>
      <c r="Z1215" s="6" t="str">
        <f t="shared" si="229"/>
        <v/>
      </c>
      <c r="AA1215" s="23">
        <f t="shared" si="230"/>
        <v>41.96</v>
      </c>
      <c r="AB1215" t="str">
        <f t="shared" si="219"/>
        <v/>
      </c>
      <c r="AC1215" t="str">
        <f t="shared" si="220"/>
        <v/>
      </c>
      <c r="AD1215">
        <f t="shared" si="221"/>
        <v>1.05368E-3</v>
      </c>
      <c r="AE1215" s="18" t="str">
        <f t="shared" si="222"/>
        <v/>
      </c>
      <c r="AF1215" s="7" t="str">
        <f t="shared" si="223"/>
        <v/>
      </c>
      <c r="AG1215" s="12">
        <f t="shared" si="224"/>
        <v>0.99115696226085226</v>
      </c>
      <c r="AI1215" s="54" t="str">
        <f t="shared" si="225"/>
        <v/>
      </c>
      <c r="AJ1215" s="54" t="str">
        <f t="shared" si="226"/>
        <v/>
      </c>
      <c r="AK1215" s="54">
        <f t="shared" si="227"/>
        <v>0.74547490402195338</v>
      </c>
    </row>
    <row r="1216" spans="18:37" x14ac:dyDescent="0.45">
      <c r="R1216" s="2">
        <v>28.92</v>
      </c>
      <c r="S1216" s="2">
        <v>5.7660000000000003E-4</v>
      </c>
      <c r="T1216" s="2">
        <v>3.0548000000000001E-4</v>
      </c>
      <c r="V1216" s="11"/>
      <c r="W1216" s="6"/>
      <c r="X1216" s="6">
        <v>11.97</v>
      </c>
      <c r="Y1216" s="11" t="str">
        <f t="shared" si="228"/>
        <v/>
      </c>
      <c r="Z1216" s="6" t="str">
        <f t="shared" si="229"/>
        <v/>
      </c>
      <c r="AA1216" s="23">
        <f t="shared" si="230"/>
        <v>41.97</v>
      </c>
      <c r="AB1216" t="str">
        <f t="shared" si="219"/>
        <v/>
      </c>
      <c r="AC1216" t="str">
        <f t="shared" si="220"/>
        <v/>
      </c>
      <c r="AD1216">
        <f t="shared" si="221"/>
        <v>1.05451E-3</v>
      </c>
      <c r="AE1216" s="18" t="str">
        <f t="shared" si="222"/>
        <v/>
      </c>
      <c r="AF1216" s="7" t="str">
        <f t="shared" si="223"/>
        <v/>
      </c>
      <c r="AG1216" s="12">
        <f t="shared" si="224"/>
        <v>0.99114651863817227</v>
      </c>
      <c r="AI1216" s="54" t="str">
        <f t="shared" si="225"/>
        <v/>
      </c>
      <c r="AJ1216" s="54" t="str">
        <f t="shared" si="226"/>
        <v/>
      </c>
      <c r="AK1216" s="54">
        <f t="shared" si="227"/>
        <v>0.74626130393795931</v>
      </c>
    </row>
    <row r="1217" spans="18:37" x14ac:dyDescent="0.45">
      <c r="R1217" s="2">
        <v>28.93</v>
      </c>
      <c r="S1217" s="2">
        <v>5.7664999999999995E-4</v>
      </c>
      <c r="T1217" s="2">
        <v>3.0567000000000002E-4</v>
      </c>
      <c r="V1217" s="11"/>
      <c r="W1217" s="6"/>
      <c r="X1217" s="6">
        <v>11.98</v>
      </c>
      <c r="Y1217" s="11" t="str">
        <f t="shared" si="228"/>
        <v/>
      </c>
      <c r="Z1217" s="6" t="str">
        <f t="shared" si="229"/>
        <v/>
      </c>
      <c r="AA1217" s="23">
        <f t="shared" si="230"/>
        <v>41.980000000000004</v>
      </c>
      <c r="AB1217" t="str">
        <f t="shared" si="219"/>
        <v/>
      </c>
      <c r="AC1217" t="str">
        <f t="shared" si="220"/>
        <v/>
      </c>
      <c r="AD1217">
        <f t="shared" si="221"/>
        <v>1.0553400000000001E-3</v>
      </c>
      <c r="AE1217" s="18" t="str">
        <f t="shared" si="222"/>
        <v/>
      </c>
      <c r="AF1217" s="7" t="str">
        <f t="shared" si="223"/>
        <v/>
      </c>
      <c r="AG1217" s="12">
        <f t="shared" si="224"/>
        <v>0.99113606689901856</v>
      </c>
      <c r="AI1217" s="54" t="str">
        <f t="shared" si="225"/>
        <v/>
      </c>
      <c r="AJ1217" s="54" t="str">
        <f t="shared" si="226"/>
        <v/>
      </c>
      <c r="AK1217" s="54">
        <f t="shared" si="227"/>
        <v>0.74704802459403918</v>
      </c>
    </row>
    <row r="1218" spans="18:37" x14ac:dyDescent="0.45">
      <c r="R1218" s="2">
        <v>28.94</v>
      </c>
      <c r="S1218" s="2">
        <v>5.7669999999999998E-4</v>
      </c>
      <c r="T1218" s="2">
        <v>3.0585999999999998E-4</v>
      </c>
      <c r="V1218" s="11"/>
      <c r="W1218" s="6"/>
      <c r="X1218" s="6">
        <v>11.99</v>
      </c>
      <c r="Y1218" s="11" t="str">
        <f t="shared" si="228"/>
        <v/>
      </c>
      <c r="Z1218" s="6" t="str">
        <f t="shared" si="229"/>
        <v/>
      </c>
      <c r="AA1218" s="23">
        <f t="shared" si="230"/>
        <v>41.99</v>
      </c>
      <c r="AB1218" t="str">
        <f t="shared" si="219"/>
        <v/>
      </c>
      <c r="AC1218" t="str">
        <f t="shared" si="220"/>
        <v/>
      </c>
      <c r="AD1218">
        <f t="shared" si="221"/>
        <v>1.0561699999999999E-3</v>
      </c>
      <c r="AE1218" s="18" t="str">
        <f t="shared" si="222"/>
        <v/>
      </c>
      <c r="AF1218" s="7" t="str">
        <f t="shared" si="223"/>
        <v/>
      </c>
      <c r="AG1218" s="12">
        <f t="shared" si="224"/>
        <v>0.99112560704365016</v>
      </c>
      <c r="AI1218" s="54" t="str">
        <f t="shared" si="225"/>
        <v/>
      </c>
      <c r="AJ1218" s="54" t="str">
        <f t="shared" si="226"/>
        <v/>
      </c>
      <c r="AK1218" s="54">
        <f t="shared" si="227"/>
        <v>0.74783506613492801</v>
      </c>
    </row>
    <row r="1219" spans="18:37" x14ac:dyDescent="0.45">
      <c r="R1219" s="2">
        <v>28.95</v>
      </c>
      <c r="S1219" s="2">
        <v>5.7675000000000001E-4</v>
      </c>
      <c r="T1219" s="2">
        <v>3.0604999999999999E-4</v>
      </c>
      <c r="V1219" s="11"/>
      <c r="W1219" s="6"/>
      <c r="X1219" s="6">
        <v>12</v>
      </c>
      <c r="Y1219" s="11" t="str">
        <f t="shared" si="228"/>
        <v/>
      </c>
      <c r="Z1219" s="6" t="str">
        <f t="shared" si="229"/>
        <v/>
      </c>
      <c r="AA1219" s="23">
        <f t="shared" si="230"/>
        <v>42</v>
      </c>
      <c r="AB1219" t="str">
        <f t="shared" si="219"/>
        <v/>
      </c>
      <c r="AC1219" t="str">
        <f t="shared" si="220"/>
        <v/>
      </c>
      <c r="AD1219">
        <f t="shared" si="221"/>
        <v>1.057E-3</v>
      </c>
      <c r="AE1219" s="18" t="str">
        <f t="shared" si="222"/>
        <v/>
      </c>
      <c r="AF1219" s="7" t="str">
        <f t="shared" si="223"/>
        <v/>
      </c>
      <c r="AG1219" s="12">
        <f t="shared" si="224"/>
        <v>0.99111513907232629</v>
      </c>
      <c r="AI1219" s="54" t="str">
        <f t="shared" si="225"/>
        <v/>
      </c>
      <c r="AJ1219" s="54" t="str">
        <f t="shared" si="226"/>
        <v/>
      </c>
      <c r="AK1219" s="54">
        <f t="shared" si="227"/>
        <v>0.7486224287054285</v>
      </c>
    </row>
    <row r="1220" spans="18:37" x14ac:dyDescent="0.45">
      <c r="R1220" s="2">
        <v>28.96</v>
      </c>
      <c r="S1220" s="2">
        <v>5.7680000000000003E-4</v>
      </c>
      <c r="T1220" s="2">
        <v>3.0624E-4</v>
      </c>
      <c r="V1220" s="11"/>
      <c r="W1220" s="6"/>
      <c r="X1220" s="6">
        <v>12.01</v>
      </c>
      <c r="Y1220" s="11" t="str">
        <f t="shared" si="228"/>
        <v/>
      </c>
      <c r="Z1220" s="6" t="str">
        <f t="shared" si="229"/>
        <v/>
      </c>
      <c r="AA1220" s="23">
        <f t="shared" si="230"/>
        <v>42.01</v>
      </c>
      <c r="AB1220" t="str">
        <f t="shared" si="219"/>
        <v/>
      </c>
      <c r="AC1220" t="str">
        <f t="shared" si="220"/>
        <v/>
      </c>
      <c r="AD1220">
        <f t="shared" si="221"/>
        <v>1.0579700000000001E-3</v>
      </c>
      <c r="AE1220" s="18" t="str">
        <f t="shared" si="222"/>
        <v/>
      </c>
      <c r="AF1220" s="7" t="str">
        <f t="shared" si="223"/>
        <v/>
      </c>
      <c r="AG1220" s="12">
        <f t="shared" si="224"/>
        <v>0.99110466298530631</v>
      </c>
      <c r="AI1220" s="54" t="str">
        <f t="shared" si="225"/>
        <v/>
      </c>
      <c r="AJ1220" s="54" t="str">
        <f t="shared" si="226"/>
        <v/>
      </c>
      <c r="AK1220" s="54">
        <f t="shared" si="227"/>
        <v>0.74941011245041056</v>
      </c>
    </row>
    <row r="1221" spans="18:37" x14ac:dyDescent="0.45">
      <c r="R1221" s="2">
        <v>28.97</v>
      </c>
      <c r="S1221" s="2">
        <v>5.7684999999999995E-4</v>
      </c>
      <c r="T1221" s="2">
        <v>3.0643000000000001E-4</v>
      </c>
      <c r="V1221" s="11"/>
      <c r="W1221" s="6"/>
      <c r="X1221" s="6">
        <v>12.02</v>
      </c>
      <c r="Y1221" s="11" t="str">
        <f t="shared" si="228"/>
        <v/>
      </c>
      <c r="Z1221" s="6" t="str">
        <f t="shared" si="229"/>
        <v/>
      </c>
      <c r="AA1221" s="23">
        <f t="shared" si="230"/>
        <v>42.019999999999996</v>
      </c>
      <c r="AB1221" t="str">
        <f t="shared" si="219"/>
        <v/>
      </c>
      <c r="AC1221" t="str">
        <f t="shared" si="220"/>
        <v/>
      </c>
      <c r="AD1221">
        <f t="shared" si="221"/>
        <v>1.0579700000000001E-3</v>
      </c>
      <c r="AE1221" s="18" t="str">
        <f t="shared" si="222"/>
        <v/>
      </c>
      <c r="AF1221" s="7" t="str">
        <f t="shared" si="223"/>
        <v/>
      </c>
      <c r="AG1221" s="12">
        <f t="shared" si="224"/>
        <v>0.99109417739530337</v>
      </c>
      <c r="AI1221" s="54" t="str">
        <f t="shared" si="225"/>
        <v/>
      </c>
      <c r="AJ1221" s="54" t="str">
        <f t="shared" si="226"/>
        <v/>
      </c>
      <c r="AK1221" s="54">
        <f t="shared" si="227"/>
        <v>0.75019811716398588</v>
      </c>
    </row>
    <row r="1222" spans="18:37" x14ac:dyDescent="0.45">
      <c r="R1222" s="2">
        <v>28.98</v>
      </c>
      <c r="S1222" s="2">
        <v>5.7689999999999998E-4</v>
      </c>
      <c r="T1222" s="2">
        <v>3.0662000000000002E-4</v>
      </c>
      <c r="V1222" s="11"/>
      <c r="W1222" s="6"/>
      <c r="X1222" s="6">
        <v>12.030000000000001</v>
      </c>
      <c r="Y1222" s="11" t="str">
        <f t="shared" si="228"/>
        <v/>
      </c>
      <c r="Z1222" s="6" t="str">
        <f t="shared" si="229"/>
        <v/>
      </c>
      <c r="AA1222" s="23">
        <f t="shared" si="230"/>
        <v>42.03</v>
      </c>
      <c r="AB1222" t="str">
        <f t="shared" si="219"/>
        <v/>
      </c>
      <c r="AC1222" t="str">
        <f t="shared" si="220"/>
        <v/>
      </c>
      <c r="AD1222">
        <f t="shared" si="221"/>
        <v>1.0599100000000001E-3</v>
      </c>
      <c r="AE1222" s="18" t="str">
        <f t="shared" si="222"/>
        <v/>
      </c>
      <c r="AF1222" s="7" t="str">
        <f t="shared" si="223"/>
        <v/>
      </c>
      <c r="AG1222" s="12">
        <f t="shared" si="224"/>
        <v>0.9910836919162348</v>
      </c>
      <c r="AI1222" s="54" t="str">
        <f t="shared" si="225"/>
        <v/>
      </c>
      <c r="AJ1222" s="54" t="str">
        <f t="shared" si="226"/>
        <v/>
      </c>
      <c r="AK1222" s="54">
        <f t="shared" si="227"/>
        <v>0.75098644541630011</v>
      </c>
    </row>
    <row r="1223" spans="18:37" x14ac:dyDescent="0.45">
      <c r="R1223" s="2">
        <v>28.99</v>
      </c>
      <c r="S1223" s="2">
        <v>5.7695000000000001E-4</v>
      </c>
      <c r="T1223" s="2">
        <v>3.0681000000000003E-4</v>
      </c>
      <c r="V1223" s="11"/>
      <c r="W1223" s="6"/>
      <c r="X1223" s="6">
        <v>12.040000000000001</v>
      </c>
      <c r="Y1223" s="11" t="str">
        <f t="shared" si="228"/>
        <v/>
      </c>
      <c r="Z1223" s="6" t="str">
        <f t="shared" si="229"/>
        <v/>
      </c>
      <c r="AA1223" s="23">
        <f t="shared" si="230"/>
        <v>42.04</v>
      </c>
      <c r="AB1223" t="str">
        <f t="shared" si="219"/>
        <v/>
      </c>
      <c r="AC1223" t="str">
        <f t="shared" si="220"/>
        <v/>
      </c>
      <c r="AD1223">
        <f t="shared" si="221"/>
        <v>1.0608799999999999E-3</v>
      </c>
      <c r="AE1223" s="18" t="str">
        <f t="shared" si="222"/>
        <v/>
      </c>
      <c r="AF1223" s="7" t="str">
        <f t="shared" si="223"/>
        <v/>
      </c>
      <c r="AG1223" s="12">
        <f t="shared" si="224"/>
        <v>0.99107318732107585</v>
      </c>
      <c r="AI1223" s="54" t="str">
        <f t="shared" si="225"/>
        <v/>
      </c>
      <c r="AJ1223" s="54" t="str">
        <f t="shared" si="226"/>
        <v/>
      </c>
      <c r="AK1223" s="54">
        <f t="shared" si="227"/>
        <v>0.75177509250932872</v>
      </c>
    </row>
    <row r="1224" spans="18:37" x14ac:dyDescent="0.45">
      <c r="R1224" s="2">
        <v>29</v>
      </c>
      <c r="S1224" s="2">
        <v>5.7700000000000004E-4</v>
      </c>
      <c r="T1224" s="2">
        <v>3.0699999999999998E-4</v>
      </c>
      <c r="V1224" s="11"/>
      <c r="W1224" s="6"/>
      <c r="X1224" s="6">
        <v>12.05</v>
      </c>
      <c r="Y1224" s="11" t="str">
        <f t="shared" si="228"/>
        <v/>
      </c>
      <c r="Z1224" s="6" t="str">
        <f t="shared" si="229"/>
        <v/>
      </c>
      <c r="AA1224" s="23">
        <f t="shared" si="230"/>
        <v>42.05</v>
      </c>
      <c r="AB1224" t="str">
        <f t="shared" si="219"/>
        <v/>
      </c>
      <c r="AC1224" t="str">
        <f t="shared" si="220"/>
        <v/>
      </c>
      <c r="AD1224">
        <f t="shared" si="221"/>
        <v>1.06185E-3</v>
      </c>
      <c r="AE1224" s="18" t="str">
        <f t="shared" si="222"/>
        <v/>
      </c>
      <c r="AF1224" s="7" t="str">
        <f t="shared" si="223"/>
        <v/>
      </c>
      <c r="AG1224" s="12">
        <f t="shared" si="224"/>
        <v>0.99106267322384622</v>
      </c>
      <c r="AI1224" s="54" t="str">
        <f t="shared" si="225"/>
        <v/>
      </c>
      <c r="AJ1224" s="54" t="str">
        <f t="shared" si="226"/>
        <v/>
      </c>
      <c r="AK1224" s="54">
        <f t="shared" si="227"/>
        <v>0.7525640610123624</v>
      </c>
    </row>
    <row r="1225" spans="18:37" x14ac:dyDescent="0.45">
      <c r="R1225" s="2">
        <v>29.01</v>
      </c>
      <c r="S1225" s="2">
        <v>5.7708E-4</v>
      </c>
      <c r="T1225" s="2">
        <v>3.0720999999999998E-4</v>
      </c>
      <c r="V1225" s="11"/>
      <c r="W1225" s="6"/>
      <c r="X1225" s="6">
        <v>12.06</v>
      </c>
      <c r="Y1225" s="11" t="str">
        <f t="shared" si="228"/>
        <v/>
      </c>
      <c r="Z1225" s="6" t="str">
        <f t="shared" si="229"/>
        <v/>
      </c>
      <c r="AA1225" s="23">
        <f t="shared" si="230"/>
        <v>42.06</v>
      </c>
      <c r="AB1225" t="str">
        <f t="shared" si="219"/>
        <v/>
      </c>
      <c r="AC1225" t="str">
        <f t="shared" si="220"/>
        <v/>
      </c>
      <c r="AD1225">
        <f t="shared" si="221"/>
        <v>1.0628199999999999E-3</v>
      </c>
      <c r="AE1225" s="18" t="str">
        <f t="shared" si="222"/>
        <v/>
      </c>
      <c r="AF1225" s="7" t="str">
        <f t="shared" si="223"/>
        <v/>
      </c>
      <c r="AG1225" s="12">
        <f t="shared" si="224"/>
        <v>0.99105214962485055</v>
      </c>
      <c r="AI1225" s="54" t="str">
        <f t="shared" si="225"/>
        <v/>
      </c>
      <c r="AJ1225" s="54" t="str">
        <f t="shared" si="226"/>
        <v/>
      </c>
      <c r="AK1225" s="54">
        <f t="shared" si="227"/>
        <v>0.75335335107267765</v>
      </c>
    </row>
    <row r="1226" spans="18:37" x14ac:dyDescent="0.45">
      <c r="R1226" s="2">
        <v>29.02</v>
      </c>
      <c r="S1226" s="2">
        <v>5.7715999999999996E-4</v>
      </c>
      <c r="T1226" s="2">
        <v>3.0741999999999998E-4</v>
      </c>
      <c r="V1226" s="11"/>
      <c r="W1226" s="6"/>
      <c r="X1226" s="6">
        <v>12.07</v>
      </c>
      <c r="Y1226" s="11" t="str">
        <f t="shared" si="228"/>
        <v/>
      </c>
      <c r="Z1226" s="6" t="str">
        <f t="shared" si="229"/>
        <v/>
      </c>
      <c r="AA1226" s="23">
        <f t="shared" si="230"/>
        <v>42.07</v>
      </c>
      <c r="AB1226" t="str">
        <f t="shared" si="219"/>
        <v/>
      </c>
      <c r="AC1226" t="str">
        <f t="shared" si="220"/>
        <v/>
      </c>
      <c r="AD1226">
        <f t="shared" si="221"/>
        <v>1.06379E-3</v>
      </c>
      <c r="AE1226" s="18" t="str">
        <f t="shared" si="222"/>
        <v/>
      </c>
      <c r="AF1226" s="7" t="str">
        <f t="shared" si="223"/>
        <v/>
      </c>
      <c r="AG1226" s="12">
        <f t="shared" si="224"/>
        <v>0.99104161652439393</v>
      </c>
      <c r="AI1226" s="54" t="str">
        <f t="shared" si="225"/>
        <v/>
      </c>
      <c r="AJ1226" s="54" t="str">
        <f t="shared" si="226"/>
        <v/>
      </c>
      <c r="AK1226" s="54">
        <f t="shared" si="227"/>
        <v>0.75414296283762106</v>
      </c>
    </row>
    <row r="1227" spans="18:37" x14ac:dyDescent="0.45">
      <c r="R1227" s="2">
        <v>29.03</v>
      </c>
      <c r="S1227" s="2">
        <v>5.7724000000000002E-4</v>
      </c>
      <c r="T1227" s="2">
        <v>3.0762999999999998E-4</v>
      </c>
      <c r="V1227" s="11"/>
      <c r="W1227" s="6"/>
      <c r="X1227" s="6">
        <v>12.08</v>
      </c>
      <c r="Y1227" s="11" t="str">
        <f t="shared" si="228"/>
        <v/>
      </c>
      <c r="Z1227" s="6" t="str">
        <f t="shared" si="229"/>
        <v/>
      </c>
      <c r="AA1227" s="23">
        <f t="shared" si="230"/>
        <v>42.08</v>
      </c>
      <c r="AB1227" t="str">
        <f t="shared" si="219"/>
        <v/>
      </c>
      <c r="AC1227" t="str">
        <f t="shared" si="220"/>
        <v/>
      </c>
      <c r="AD1227">
        <f t="shared" si="221"/>
        <v>1.0647600000000001E-3</v>
      </c>
      <c r="AE1227" s="18" t="str">
        <f t="shared" si="222"/>
        <v/>
      </c>
      <c r="AF1227" s="7" t="str">
        <f t="shared" si="223"/>
        <v/>
      </c>
      <c r="AG1227" s="12">
        <f t="shared" si="224"/>
        <v>0.99103107392278156</v>
      </c>
      <c r="AI1227" s="54" t="str">
        <f t="shared" si="225"/>
        <v/>
      </c>
      <c r="AJ1227" s="54" t="str">
        <f t="shared" si="226"/>
        <v/>
      </c>
      <c r="AK1227" s="54">
        <f t="shared" si="227"/>
        <v>0.75493289645460893</v>
      </c>
    </row>
    <row r="1228" spans="18:37" x14ac:dyDescent="0.45">
      <c r="R1228" s="2">
        <v>29.04</v>
      </c>
      <c r="S1228" s="2">
        <v>5.7731999999999998E-4</v>
      </c>
      <c r="T1228" s="2">
        <v>3.0783999999999998E-4</v>
      </c>
      <c r="V1228" s="11"/>
      <c r="W1228" s="6"/>
      <c r="X1228" s="6">
        <v>12.09</v>
      </c>
      <c r="Y1228" s="11" t="str">
        <f t="shared" si="228"/>
        <v/>
      </c>
      <c r="Z1228" s="6" t="str">
        <f t="shared" si="229"/>
        <v/>
      </c>
      <c r="AA1228" s="23">
        <f t="shared" si="230"/>
        <v>42.09</v>
      </c>
      <c r="AB1228" t="str">
        <f t="shared" si="219"/>
        <v/>
      </c>
      <c r="AC1228" t="str">
        <f t="shared" si="220"/>
        <v/>
      </c>
      <c r="AD1228">
        <f t="shared" si="221"/>
        <v>1.06573E-3</v>
      </c>
      <c r="AE1228" s="18" t="str">
        <f t="shared" si="222"/>
        <v/>
      </c>
      <c r="AF1228" s="7" t="str">
        <f t="shared" si="223"/>
        <v/>
      </c>
      <c r="AG1228" s="12">
        <f t="shared" si="224"/>
        <v>0.99102052182031886</v>
      </c>
      <c r="AI1228" s="54" t="str">
        <f t="shared" si="225"/>
        <v/>
      </c>
      <c r="AJ1228" s="54" t="str">
        <f t="shared" si="226"/>
        <v/>
      </c>
      <c r="AK1228" s="54">
        <f t="shared" si="227"/>
        <v>0.7557231520711275</v>
      </c>
    </row>
    <row r="1229" spans="18:37" x14ac:dyDescent="0.45">
      <c r="R1229" s="2">
        <v>29.05</v>
      </c>
      <c r="S1229" s="2">
        <v>5.7740000000000005E-4</v>
      </c>
      <c r="T1229" s="2">
        <v>3.0804999999999998E-4</v>
      </c>
      <c r="V1229" s="11"/>
      <c r="W1229" s="6"/>
      <c r="X1229" s="6">
        <v>12.1</v>
      </c>
      <c r="Y1229" s="11" t="str">
        <f t="shared" si="228"/>
        <v/>
      </c>
      <c r="Z1229" s="6" t="str">
        <f t="shared" si="229"/>
        <v/>
      </c>
      <c r="AA1229" s="23">
        <f t="shared" si="230"/>
        <v>42.1</v>
      </c>
      <c r="AB1229" t="str">
        <f t="shared" si="219"/>
        <v/>
      </c>
      <c r="AC1229" t="str">
        <f t="shared" si="220"/>
        <v/>
      </c>
      <c r="AD1229">
        <f t="shared" si="221"/>
        <v>1.0667000000000001E-3</v>
      </c>
      <c r="AE1229" s="18" t="str">
        <f t="shared" si="222"/>
        <v/>
      </c>
      <c r="AF1229" s="7" t="str">
        <f t="shared" si="223"/>
        <v/>
      </c>
      <c r="AG1229" s="12">
        <f t="shared" si="224"/>
        <v>0.99100996021731169</v>
      </c>
      <c r="AI1229" s="54" t="str">
        <f t="shared" si="225"/>
        <v/>
      </c>
      <c r="AJ1229" s="54" t="str">
        <f t="shared" si="226"/>
        <v/>
      </c>
      <c r="AK1229" s="54">
        <f t="shared" si="227"/>
        <v>0.75651372983473297</v>
      </c>
    </row>
    <row r="1230" spans="18:37" x14ac:dyDescent="0.45">
      <c r="R1230" s="2">
        <v>29.06</v>
      </c>
      <c r="S1230" s="2">
        <v>5.7748000000000001E-4</v>
      </c>
      <c r="T1230" s="2">
        <v>3.0825999999999998E-4</v>
      </c>
      <c r="V1230" s="11"/>
      <c r="W1230" s="6"/>
      <c r="X1230" s="6">
        <v>12.11</v>
      </c>
      <c r="Y1230" s="11" t="str">
        <f t="shared" si="228"/>
        <v/>
      </c>
      <c r="Z1230" s="6" t="str">
        <f t="shared" si="229"/>
        <v/>
      </c>
      <c r="AA1230" s="23">
        <f t="shared" si="230"/>
        <v>42.11</v>
      </c>
      <c r="AB1230" t="str">
        <f t="shared" si="219"/>
        <v/>
      </c>
      <c r="AC1230" t="str">
        <f t="shared" si="220"/>
        <v/>
      </c>
      <c r="AD1230">
        <f t="shared" si="221"/>
        <v>1.0676699999999999E-3</v>
      </c>
      <c r="AE1230" s="18" t="str">
        <f t="shared" si="222"/>
        <v/>
      </c>
      <c r="AF1230" s="7" t="str">
        <f t="shared" si="223"/>
        <v/>
      </c>
      <c r="AG1230" s="12">
        <f t="shared" si="224"/>
        <v>0.99099938911406604</v>
      </c>
      <c r="AI1230" s="54" t="str">
        <f t="shared" si="225"/>
        <v/>
      </c>
      <c r="AJ1230" s="54" t="str">
        <f t="shared" si="226"/>
        <v/>
      </c>
      <c r="AK1230" s="54">
        <f t="shared" si="227"/>
        <v>0.75730462989305147</v>
      </c>
    </row>
    <row r="1231" spans="18:37" x14ac:dyDescent="0.45">
      <c r="R1231" s="2">
        <v>29.07</v>
      </c>
      <c r="S1231" s="2">
        <v>5.7755999999999997E-4</v>
      </c>
      <c r="T1231" s="2">
        <v>3.0846999999999998E-4</v>
      </c>
      <c r="V1231" s="11"/>
      <c r="W1231" s="6"/>
      <c r="X1231" s="6">
        <v>12.120000000000001</v>
      </c>
      <c r="Y1231" s="11" t="str">
        <f t="shared" si="228"/>
        <v/>
      </c>
      <c r="Z1231" s="6" t="str">
        <f t="shared" si="229"/>
        <v/>
      </c>
      <c r="AA1231" s="23">
        <f t="shared" si="230"/>
        <v>42.120000000000005</v>
      </c>
      <c r="AB1231" t="str">
        <f t="shared" si="219"/>
        <v/>
      </c>
      <c r="AC1231" t="str">
        <f t="shared" si="220"/>
        <v/>
      </c>
      <c r="AD1231">
        <f t="shared" si="221"/>
        <v>1.06864E-3</v>
      </c>
      <c r="AE1231" s="18" t="str">
        <f t="shared" si="222"/>
        <v/>
      </c>
      <c r="AF1231" s="7" t="str">
        <f t="shared" si="223"/>
        <v/>
      </c>
      <c r="AG1231" s="12">
        <f t="shared" si="224"/>
        <v>0.99098880851088833</v>
      </c>
      <c r="AI1231" s="54" t="str">
        <f t="shared" si="225"/>
        <v/>
      </c>
      <c r="AJ1231" s="54" t="str">
        <f t="shared" si="226"/>
        <v/>
      </c>
      <c r="AK1231" s="54">
        <f t="shared" si="227"/>
        <v>0.75809585239377919</v>
      </c>
    </row>
    <row r="1232" spans="18:37" x14ac:dyDescent="0.45">
      <c r="R1232" s="2">
        <v>29.08</v>
      </c>
      <c r="S1232" s="2">
        <v>5.7764000000000003E-4</v>
      </c>
      <c r="T1232" s="2">
        <v>3.0867999999999998E-4</v>
      </c>
      <c r="V1232" s="11"/>
      <c r="W1232" s="6"/>
      <c r="X1232" s="6">
        <v>12.13</v>
      </c>
      <c r="Y1232" s="11" t="str">
        <f t="shared" si="228"/>
        <v/>
      </c>
      <c r="Z1232" s="6" t="str">
        <f t="shared" si="229"/>
        <v/>
      </c>
      <c r="AA1232" s="23">
        <f t="shared" si="230"/>
        <v>42.13</v>
      </c>
      <c r="AB1232" t="str">
        <f t="shared" si="219"/>
        <v/>
      </c>
      <c r="AC1232" t="str">
        <f t="shared" si="220"/>
        <v/>
      </c>
      <c r="AD1232">
        <f t="shared" si="221"/>
        <v>1.0696099999999999E-3</v>
      </c>
      <c r="AE1232" s="18" t="str">
        <f t="shared" si="222"/>
        <v/>
      </c>
      <c r="AF1232" s="7" t="str">
        <f t="shared" si="223"/>
        <v/>
      </c>
      <c r="AG1232" s="12">
        <f t="shared" si="224"/>
        <v>0.99097821840808509</v>
      </c>
      <c r="AI1232" s="54" t="str">
        <f t="shared" si="225"/>
        <v/>
      </c>
      <c r="AJ1232" s="54" t="str">
        <f t="shared" si="226"/>
        <v/>
      </c>
      <c r="AK1232" s="54">
        <f t="shared" si="227"/>
        <v>0.75888739748468226</v>
      </c>
    </row>
    <row r="1233" spans="18:37" x14ac:dyDescent="0.45">
      <c r="R1233" s="2">
        <v>29.09</v>
      </c>
      <c r="S1233" s="2">
        <v>5.7771999999999999E-4</v>
      </c>
      <c r="T1233" s="2">
        <v>3.0888999999999998E-4</v>
      </c>
      <c r="V1233" s="11"/>
      <c r="W1233" s="6"/>
      <c r="X1233" s="6">
        <v>12.14</v>
      </c>
      <c r="Y1233" s="11" t="str">
        <f t="shared" si="228"/>
        <v/>
      </c>
      <c r="Z1233" s="6" t="str">
        <f t="shared" si="229"/>
        <v/>
      </c>
      <c r="AA1233" s="23">
        <f t="shared" si="230"/>
        <v>42.14</v>
      </c>
      <c r="AB1233" t="str">
        <f t="shared" si="219"/>
        <v/>
      </c>
      <c r="AC1233" t="str">
        <f t="shared" si="220"/>
        <v/>
      </c>
      <c r="AD1233">
        <f t="shared" si="221"/>
        <v>1.07058E-3</v>
      </c>
      <c r="AE1233" s="18" t="str">
        <f t="shared" si="222"/>
        <v/>
      </c>
      <c r="AF1233" s="7" t="str">
        <f t="shared" si="223"/>
        <v/>
      </c>
      <c r="AG1233" s="12">
        <f t="shared" si="224"/>
        <v>0.99096761880596318</v>
      </c>
      <c r="AI1233" s="54" t="str">
        <f t="shared" si="225"/>
        <v/>
      </c>
      <c r="AJ1233" s="54" t="str">
        <f t="shared" si="226"/>
        <v/>
      </c>
      <c r="AK1233" s="54">
        <f t="shared" si="227"/>
        <v>0.75967926531359686</v>
      </c>
    </row>
    <row r="1234" spans="18:37" x14ac:dyDescent="0.45">
      <c r="R1234" s="2">
        <v>29.1</v>
      </c>
      <c r="S1234" s="2">
        <v>5.7779999999999995E-4</v>
      </c>
      <c r="T1234" s="2">
        <v>3.0909999999999998E-4</v>
      </c>
      <c r="V1234" s="11"/>
      <c r="W1234" s="6"/>
      <c r="X1234" s="6">
        <v>12.15</v>
      </c>
      <c r="Y1234" s="11" t="str">
        <f t="shared" si="228"/>
        <v/>
      </c>
      <c r="Z1234" s="6" t="str">
        <f t="shared" si="229"/>
        <v/>
      </c>
      <c r="AA1234" s="23">
        <f t="shared" si="230"/>
        <v>42.15</v>
      </c>
      <c r="AB1234" t="str">
        <f t="shared" si="219"/>
        <v/>
      </c>
      <c r="AC1234" t="str">
        <f t="shared" si="220"/>
        <v/>
      </c>
      <c r="AD1234">
        <f t="shared" si="221"/>
        <v>1.0715500000000001E-3</v>
      </c>
      <c r="AE1234" s="18" t="str">
        <f t="shared" si="222"/>
        <v/>
      </c>
      <c r="AF1234" s="7" t="str">
        <f t="shared" si="223"/>
        <v/>
      </c>
      <c r="AG1234" s="12">
        <f t="shared" si="224"/>
        <v>0.99095700970482981</v>
      </c>
      <c r="AI1234" s="54" t="str">
        <f t="shared" si="225"/>
        <v/>
      </c>
      <c r="AJ1234" s="54" t="str">
        <f t="shared" si="226"/>
        <v/>
      </c>
      <c r="AK1234" s="54">
        <f t="shared" si="227"/>
        <v>0.76047145602842936</v>
      </c>
    </row>
    <row r="1235" spans="18:37" x14ac:dyDescent="0.45">
      <c r="R1235" s="2">
        <v>29.11</v>
      </c>
      <c r="S1235" s="2">
        <v>5.7788000000000002E-4</v>
      </c>
      <c r="T1235" s="2">
        <v>3.0930999999999998E-4</v>
      </c>
      <c r="V1235" s="11"/>
      <c r="W1235" s="6"/>
      <c r="X1235" s="6">
        <v>12.16</v>
      </c>
      <c r="Y1235" s="11" t="str">
        <f t="shared" si="228"/>
        <v/>
      </c>
      <c r="Z1235" s="6" t="str">
        <f t="shared" si="229"/>
        <v/>
      </c>
      <c r="AA1235" s="23">
        <f t="shared" si="230"/>
        <v>42.16</v>
      </c>
      <c r="AB1235" t="str">
        <f t="shared" ref="AB1235:AB1298" si="231">IF(Y1235="","",VLOOKUP(Y1235,Table_1,2))</f>
        <v/>
      </c>
      <c r="AC1235" t="str">
        <f t="shared" ref="AC1235:AC1298" si="232">IF(Z1235="","",VLOOKUP(Z1235,Table_2,2))</f>
        <v/>
      </c>
      <c r="AD1235">
        <f t="shared" ref="AD1235:AD1298" si="233">IF(AA1235="","",VLOOKUP(AA1235,Table_3,2))</f>
        <v>1.07252E-3</v>
      </c>
      <c r="AE1235" s="18" t="str">
        <f t="shared" si="222"/>
        <v/>
      </c>
      <c r="AF1235" s="7" t="str">
        <f t="shared" si="223"/>
        <v/>
      </c>
      <c r="AG1235" s="12">
        <f t="shared" si="224"/>
        <v>0.99094639110499227</v>
      </c>
      <c r="AI1235" s="54" t="str">
        <f t="shared" si="225"/>
        <v/>
      </c>
      <c r="AJ1235" s="54" t="str">
        <f t="shared" si="226"/>
        <v/>
      </c>
      <c r="AK1235" s="54">
        <f t="shared" si="227"/>
        <v>0.76126396977715627</v>
      </c>
    </row>
    <row r="1236" spans="18:37" x14ac:dyDescent="0.45">
      <c r="R1236" s="2">
        <v>29.12</v>
      </c>
      <c r="S1236" s="2">
        <v>5.7795999999999998E-4</v>
      </c>
      <c r="T1236" s="2">
        <v>3.0951999999999998E-4</v>
      </c>
      <c r="V1236" s="11"/>
      <c r="W1236" s="6"/>
      <c r="X1236" s="6">
        <v>12.17</v>
      </c>
      <c r="Y1236" s="11" t="str">
        <f t="shared" si="228"/>
        <v/>
      </c>
      <c r="Z1236" s="6" t="str">
        <f t="shared" si="229"/>
        <v/>
      </c>
      <c r="AA1236" s="23">
        <f t="shared" si="230"/>
        <v>42.17</v>
      </c>
      <c r="AB1236" t="str">
        <f t="shared" si="231"/>
        <v/>
      </c>
      <c r="AC1236" t="str">
        <f t="shared" si="232"/>
        <v/>
      </c>
      <c r="AD1236">
        <f t="shared" si="233"/>
        <v>1.0734900000000001E-3</v>
      </c>
      <c r="AE1236" s="18" t="str">
        <f t="shared" ref="AE1236:AE1299" si="234">IF(AB1236="","",AE1235+h_1*(-AE1235*AB1235))</f>
        <v/>
      </c>
      <c r="AF1236" s="7" t="str">
        <f t="shared" ref="AF1236:AF1299" si="235">IF(AC1236="","",AF1235+h_2*(-AF1235*AC1235))</f>
        <v/>
      </c>
      <c r="AG1236" s="12">
        <f t="shared" ref="AG1236:AG1299" si="236">IF(AD1236="","",AG1235+h_3*(-AG1235*AD1235))</f>
        <v>0.99093576300675834</v>
      </c>
      <c r="AI1236" s="54" t="str">
        <f t="shared" ref="AI1236:AI1299" si="237">IF(Y1236="","",AI1235+AI$17*(AI1235*delta+Prem1-AB1235*(1-AI1235)))</f>
        <v/>
      </c>
      <c r="AJ1236" s="54" t="str">
        <f t="shared" ref="AJ1236:AJ1299" si="238">IF(Z1236="","",AJ1235+AJ$17*(AJ1235*delta+Prem2-AC1235*(1-AJ1235)))</f>
        <v/>
      </c>
      <c r="AK1236" s="54">
        <f t="shared" ref="AK1236:AK1299" si="239">IF(AA1236="","",AK1235+AK$17*(AK1235*delta+Prem3-AD1235*(1-AK1235)))</f>
        <v>0.76205680670782427</v>
      </c>
    </row>
    <row r="1237" spans="18:37" x14ac:dyDescent="0.45">
      <c r="R1237" s="2">
        <v>29.13</v>
      </c>
      <c r="S1237" s="2">
        <v>5.7804000000000004E-4</v>
      </c>
      <c r="T1237" s="2">
        <v>3.0972999999999998E-4</v>
      </c>
      <c r="V1237" s="11"/>
      <c r="W1237" s="6"/>
      <c r="X1237" s="6">
        <v>12.18</v>
      </c>
      <c r="Y1237" s="11" t="str">
        <f t="shared" ref="Y1237:Y1300" si="240">IF(ISBLANK(V1237),"",$Y$19+V1237)</f>
        <v/>
      </c>
      <c r="Z1237" s="6" t="str">
        <f t="shared" ref="Z1237:Z1300" si="241">IF(ISBLANK(W1237),"",$Y$19+W1237)</f>
        <v/>
      </c>
      <c r="AA1237" s="23">
        <f t="shared" ref="AA1237:AA1300" si="242">IF(ISBLANK(X1237),"",$Y$19+X1237)</f>
        <v>42.18</v>
      </c>
      <c r="AB1237" t="str">
        <f t="shared" si="231"/>
        <v/>
      </c>
      <c r="AC1237" t="str">
        <f t="shared" si="232"/>
        <v/>
      </c>
      <c r="AD1237">
        <f t="shared" si="233"/>
        <v>1.07446E-3</v>
      </c>
      <c r="AE1237" s="18" t="str">
        <f t="shared" si="234"/>
        <v/>
      </c>
      <c r="AF1237" s="7" t="str">
        <f t="shared" si="235"/>
        <v/>
      </c>
      <c r="AG1237" s="12">
        <f t="shared" si="236"/>
        <v>0.99092512541043609</v>
      </c>
      <c r="AI1237" s="54" t="str">
        <f t="shared" si="237"/>
        <v/>
      </c>
      <c r="AJ1237" s="54" t="str">
        <f t="shared" si="238"/>
        <v/>
      </c>
      <c r="AK1237" s="54">
        <f t="shared" si="239"/>
        <v>0.76284996696855023</v>
      </c>
    </row>
    <row r="1238" spans="18:37" x14ac:dyDescent="0.45">
      <c r="R1238" s="2">
        <v>29.14</v>
      </c>
      <c r="S1238" s="2">
        <v>5.7812E-4</v>
      </c>
      <c r="T1238" s="2">
        <v>3.0993999999999998E-4</v>
      </c>
      <c r="V1238" s="11"/>
      <c r="W1238" s="6"/>
      <c r="X1238" s="6">
        <v>12.19</v>
      </c>
      <c r="Y1238" s="11" t="str">
        <f t="shared" si="240"/>
        <v/>
      </c>
      <c r="Z1238" s="6" t="str">
        <f t="shared" si="241"/>
        <v/>
      </c>
      <c r="AA1238" s="23">
        <f t="shared" si="242"/>
        <v>42.19</v>
      </c>
      <c r="AB1238" t="str">
        <f t="shared" si="231"/>
        <v/>
      </c>
      <c r="AC1238" t="str">
        <f t="shared" si="232"/>
        <v/>
      </c>
      <c r="AD1238">
        <f t="shared" si="233"/>
        <v>1.07543E-3</v>
      </c>
      <c r="AE1238" s="18" t="str">
        <f t="shared" si="234"/>
        <v/>
      </c>
      <c r="AF1238" s="7" t="str">
        <f t="shared" si="235"/>
        <v/>
      </c>
      <c r="AG1238" s="12">
        <f t="shared" si="236"/>
        <v>0.99091447831633361</v>
      </c>
      <c r="AI1238" s="54" t="str">
        <f t="shared" si="237"/>
        <v/>
      </c>
      <c r="AJ1238" s="54" t="str">
        <f t="shared" si="238"/>
        <v/>
      </c>
      <c r="AK1238" s="54">
        <f t="shared" si="239"/>
        <v>0.76364345070752127</v>
      </c>
    </row>
    <row r="1239" spans="18:37" x14ac:dyDescent="0.45">
      <c r="R1239" s="2">
        <v>29.15</v>
      </c>
      <c r="S1239" s="2">
        <v>5.7819999999999996E-4</v>
      </c>
      <c r="T1239" s="2">
        <v>3.1014999999999998E-4</v>
      </c>
      <c r="V1239" s="11"/>
      <c r="W1239" s="6"/>
      <c r="X1239" s="6">
        <v>12.200000000000001</v>
      </c>
      <c r="Y1239" s="11" t="str">
        <f t="shared" si="240"/>
        <v/>
      </c>
      <c r="Z1239" s="6" t="str">
        <f t="shared" si="241"/>
        <v/>
      </c>
      <c r="AA1239" s="23">
        <f t="shared" si="242"/>
        <v>42.2</v>
      </c>
      <c r="AB1239" t="str">
        <f t="shared" si="231"/>
        <v/>
      </c>
      <c r="AC1239" t="str">
        <f t="shared" si="232"/>
        <v/>
      </c>
      <c r="AD1239">
        <f t="shared" si="233"/>
        <v>1.0763999999999999E-3</v>
      </c>
      <c r="AE1239" s="18" t="str">
        <f t="shared" si="234"/>
        <v/>
      </c>
      <c r="AF1239" s="7" t="str">
        <f t="shared" si="235"/>
        <v/>
      </c>
      <c r="AG1239" s="12">
        <f t="shared" si="236"/>
        <v>0.99090382172475944</v>
      </c>
      <c r="AI1239" s="54" t="str">
        <f t="shared" si="237"/>
        <v/>
      </c>
      <c r="AJ1239" s="54" t="str">
        <f t="shared" si="238"/>
        <v/>
      </c>
      <c r="AK1239" s="54">
        <f t="shared" si="239"/>
        <v>0.76443725807299467</v>
      </c>
    </row>
    <row r="1240" spans="18:37" x14ac:dyDescent="0.45">
      <c r="R1240" s="2">
        <v>29.16</v>
      </c>
      <c r="S1240" s="2">
        <v>5.7828000000000003E-4</v>
      </c>
      <c r="T1240" s="2">
        <v>3.1035999999999998E-4</v>
      </c>
      <c r="V1240" s="11"/>
      <c r="W1240" s="6"/>
      <c r="X1240" s="6">
        <v>12.21</v>
      </c>
      <c r="Y1240" s="11" t="str">
        <f t="shared" si="240"/>
        <v/>
      </c>
      <c r="Z1240" s="6" t="str">
        <f t="shared" si="241"/>
        <v/>
      </c>
      <c r="AA1240" s="23">
        <f t="shared" si="242"/>
        <v>42.21</v>
      </c>
      <c r="AB1240" t="str">
        <f t="shared" si="231"/>
        <v/>
      </c>
      <c r="AC1240" t="str">
        <f t="shared" si="232"/>
        <v/>
      </c>
      <c r="AD1240">
        <f t="shared" si="233"/>
        <v>1.07737E-3</v>
      </c>
      <c r="AE1240" s="18" t="str">
        <f t="shared" si="234"/>
        <v/>
      </c>
      <c r="AF1240" s="7" t="str">
        <f t="shared" si="235"/>
        <v/>
      </c>
      <c r="AG1240" s="12">
        <f t="shared" si="236"/>
        <v>0.99089315563602243</v>
      </c>
      <c r="AI1240" s="54" t="str">
        <f t="shared" si="237"/>
        <v/>
      </c>
      <c r="AJ1240" s="54" t="str">
        <f t="shared" si="238"/>
        <v/>
      </c>
      <c r="AK1240" s="54">
        <f t="shared" si="239"/>
        <v>0.76523138921329825</v>
      </c>
    </row>
    <row r="1241" spans="18:37" x14ac:dyDescent="0.45">
      <c r="R1241" s="2">
        <v>29.17</v>
      </c>
      <c r="S1241" s="2">
        <v>5.7835999999999999E-4</v>
      </c>
      <c r="T1241" s="2">
        <v>3.1056999999999998E-4</v>
      </c>
      <c r="V1241" s="11"/>
      <c r="W1241" s="6"/>
      <c r="X1241" s="6">
        <v>12.22</v>
      </c>
      <c r="Y1241" s="11" t="str">
        <f t="shared" si="240"/>
        <v/>
      </c>
      <c r="Z1241" s="6" t="str">
        <f t="shared" si="241"/>
        <v/>
      </c>
      <c r="AA1241" s="23">
        <f t="shared" si="242"/>
        <v>42.22</v>
      </c>
      <c r="AB1241" t="str">
        <f t="shared" si="231"/>
        <v/>
      </c>
      <c r="AC1241" t="str">
        <f t="shared" si="232"/>
        <v/>
      </c>
      <c r="AD1241">
        <f t="shared" si="233"/>
        <v>1.0783399999999999E-3</v>
      </c>
      <c r="AE1241" s="18" t="str">
        <f t="shared" si="234"/>
        <v/>
      </c>
      <c r="AF1241" s="7" t="str">
        <f t="shared" si="235"/>
        <v/>
      </c>
      <c r="AG1241" s="12">
        <f t="shared" si="236"/>
        <v>0.99088248005043156</v>
      </c>
      <c r="AI1241" s="54" t="str">
        <f t="shared" si="237"/>
        <v/>
      </c>
      <c r="AJ1241" s="54" t="str">
        <f t="shared" si="238"/>
        <v/>
      </c>
      <c r="AK1241" s="54">
        <f t="shared" si="239"/>
        <v>0.76602584427683007</v>
      </c>
    </row>
    <row r="1242" spans="18:37" x14ac:dyDescent="0.45">
      <c r="R1242" s="2">
        <v>29.18</v>
      </c>
      <c r="S1242" s="2">
        <v>5.7844000000000005E-4</v>
      </c>
      <c r="T1242" s="2">
        <v>3.1077999999999998E-4</v>
      </c>
      <c r="V1242" s="11"/>
      <c r="W1242" s="6"/>
      <c r="X1242" s="6">
        <v>12.23</v>
      </c>
      <c r="Y1242" s="11" t="str">
        <f t="shared" si="240"/>
        <v/>
      </c>
      <c r="Z1242" s="6" t="str">
        <f t="shared" si="241"/>
        <v/>
      </c>
      <c r="AA1242" s="23">
        <f t="shared" si="242"/>
        <v>42.230000000000004</v>
      </c>
      <c r="AB1242" t="str">
        <f t="shared" si="231"/>
        <v/>
      </c>
      <c r="AC1242" t="str">
        <f t="shared" si="232"/>
        <v/>
      </c>
      <c r="AD1242">
        <f t="shared" si="233"/>
        <v>1.07931E-3</v>
      </c>
      <c r="AE1242" s="18" t="str">
        <f t="shared" si="234"/>
        <v/>
      </c>
      <c r="AF1242" s="7" t="str">
        <f t="shared" si="235"/>
        <v/>
      </c>
      <c r="AG1242" s="12">
        <f t="shared" si="236"/>
        <v>0.99087179496829614</v>
      </c>
      <c r="AI1242" s="54" t="str">
        <f t="shared" si="237"/>
        <v/>
      </c>
      <c r="AJ1242" s="54" t="str">
        <f t="shared" si="238"/>
        <v/>
      </c>
      <c r="AK1242" s="54">
        <f t="shared" si="239"/>
        <v>0.76682062341205848</v>
      </c>
    </row>
    <row r="1243" spans="18:37" x14ac:dyDescent="0.45">
      <c r="R1243" s="2">
        <v>29.19</v>
      </c>
      <c r="S1243" s="2">
        <v>5.7852000000000001E-4</v>
      </c>
      <c r="T1243" s="2">
        <v>3.1098999999999998E-4</v>
      </c>
      <c r="V1243" s="11"/>
      <c r="W1243" s="6"/>
      <c r="X1243" s="6">
        <v>12.24</v>
      </c>
      <c r="Y1243" s="11" t="str">
        <f t="shared" si="240"/>
        <v/>
      </c>
      <c r="Z1243" s="6" t="str">
        <f t="shared" si="241"/>
        <v/>
      </c>
      <c r="AA1243" s="23">
        <f t="shared" si="242"/>
        <v>42.24</v>
      </c>
      <c r="AB1243" t="str">
        <f t="shared" si="231"/>
        <v/>
      </c>
      <c r="AC1243" t="str">
        <f t="shared" si="232"/>
        <v/>
      </c>
      <c r="AD1243">
        <f t="shared" si="233"/>
        <v>1.0802800000000001E-3</v>
      </c>
      <c r="AE1243" s="18" t="str">
        <f t="shared" si="234"/>
        <v/>
      </c>
      <c r="AF1243" s="7" t="str">
        <f t="shared" si="235"/>
        <v/>
      </c>
      <c r="AG1243" s="12">
        <f t="shared" si="236"/>
        <v>0.99086110038992592</v>
      </c>
      <c r="AI1243" s="54" t="str">
        <f t="shared" si="237"/>
        <v/>
      </c>
      <c r="AJ1243" s="54" t="str">
        <f t="shared" si="238"/>
        <v/>
      </c>
      <c r="AK1243" s="54">
        <f t="shared" si="239"/>
        <v>0.76761572676752232</v>
      </c>
    </row>
    <row r="1244" spans="18:37" x14ac:dyDescent="0.45">
      <c r="R1244" s="2">
        <v>29.2</v>
      </c>
      <c r="S1244" s="2">
        <v>5.7859999999999997E-4</v>
      </c>
      <c r="T1244" s="2">
        <v>3.1119999999999997E-4</v>
      </c>
      <c r="V1244" s="11"/>
      <c r="W1244" s="6"/>
      <c r="X1244" s="6">
        <v>12.25</v>
      </c>
      <c r="Y1244" s="11" t="str">
        <f t="shared" si="240"/>
        <v/>
      </c>
      <c r="Z1244" s="6" t="str">
        <f t="shared" si="241"/>
        <v/>
      </c>
      <c r="AA1244" s="23">
        <f t="shared" si="242"/>
        <v>42.25</v>
      </c>
      <c r="AB1244" t="str">
        <f t="shared" si="231"/>
        <v/>
      </c>
      <c r="AC1244" t="str">
        <f t="shared" si="232"/>
        <v/>
      </c>
      <c r="AD1244">
        <f t="shared" si="233"/>
        <v>1.08125E-3</v>
      </c>
      <c r="AE1244" s="18" t="str">
        <f t="shared" si="234"/>
        <v/>
      </c>
      <c r="AF1244" s="7" t="str">
        <f t="shared" si="235"/>
        <v/>
      </c>
      <c r="AG1244" s="12">
        <f t="shared" si="236"/>
        <v>0.99085039631563065</v>
      </c>
      <c r="AI1244" s="54" t="str">
        <f t="shared" si="237"/>
        <v/>
      </c>
      <c r="AJ1244" s="54" t="str">
        <f t="shared" si="238"/>
        <v/>
      </c>
      <c r="AK1244" s="54">
        <f t="shared" si="239"/>
        <v>0.76841115449183095</v>
      </c>
    </row>
    <row r="1245" spans="18:37" x14ac:dyDescent="0.45">
      <c r="R1245" s="2">
        <v>29.21</v>
      </c>
      <c r="S1245" s="2">
        <v>5.7868000000000004E-4</v>
      </c>
      <c r="T1245" s="2">
        <v>3.1140999999999997E-4</v>
      </c>
      <c r="V1245" s="11"/>
      <c r="W1245" s="6"/>
      <c r="X1245" s="6">
        <v>12.26</v>
      </c>
      <c r="Y1245" s="11" t="str">
        <f t="shared" si="240"/>
        <v/>
      </c>
      <c r="Z1245" s="6" t="str">
        <f t="shared" si="241"/>
        <v/>
      </c>
      <c r="AA1245" s="23">
        <f t="shared" si="242"/>
        <v>42.26</v>
      </c>
      <c r="AB1245" t="str">
        <f t="shared" si="231"/>
        <v/>
      </c>
      <c r="AC1245" t="str">
        <f t="shared" si="232"/>
        <v/>
      </c>
      <c r="AD1245">
        <f t="shared" si="233"/>
        <v>1.0822200000000001E-3</v>
      </c>
      <c r="AE1245" s="18" t="str">
        <f t="shared" si="234"/>
        <v/>
      </c>
      <c r="AF1245" s="7" t="str">
        <f t="shared" si="235"/>
        <v/>
      </c>
      <c r="AG1245" s="12">
        <f t="shared" si="236"/>
        <v>0.99083968274572054</v>
      </c>
      <c r="AI1245" s="54" t="str">
        <f t="shared" si="237"/>
        <v/>
      </c>
      <c r="AJ1245" s="54" t="str">
        <f t="shared" si="238"/>
        <v/>
      </c>
      <c r="AK1245" s="54">
        <f t="shared" si="239"/>
        <v>0.7692069067336641</v>
      </c>
    </row>
    <row r="1246" spans="18:37" x14ac:dyDescent="0.45">
      <c r="R1246" s="2">
        <v>29.22</v>
      </c>
      <c r="S1246" s="2">
        <v>5.7875999999999999E-4</v>
      </c>
      <c r="T1246" s="2">
        <v>3.1161999999999997E-4</v>
      </c>
      <c r="V1246" s="11"/>
      <c r="W1246" s="6"/>
      <c r="X1246" s="6">
        <v>12.27</v>
      </c>
      <c r="Y1246" s="11" t="str">
        <f t="shared" si="240"/>
        <v/>
      </c>
      <c r="Z1246" s="6" t="str">
        <f t="shared" si="241"/>
        <v/>
      </c>
      <c r="AA1246" s="23">
        <f t="shared" si="242"/>
        <v>42.269999999999996</v>
      </c>
      <c r="AB1246" t="str">
        <f t="shared" si="231"/>
        <v/>
      </c>
      <c r="AC1246" t="str">
        <f t="shared" si="232"/>
        <v/>
      </c>
      <c r="AD1246">
        <f t="shared" si="233"/>
        <v>1.0822200000000001E-3</v>
      </c>
      <c r="AE1246" s="18" t="str">
        <f t="shared" si="234"/>
        <v/>
      </c>
      <c r="AF1246" s="7" t="str">
        <f t="shared" si="235"/>
        <v/>
      </c>
      <c r="AG1246" s="12">
        <f t="shared" si="236"/>
        <v>0.99082895968050588</v>
      </c>
      <c r="AI1246" s="54" t="str">
        <f t="shared" si="237"/>
        <v/>
      </c>
      <c r="AJ1246" s="54" t="str">
        <f t="shared" si="238"/>
        <v/>
      </c>
      <c r="AK1246" s="54">
        <f t="shared" si="239"/>
        <v>0.77000298364177211</v>
      </c>
    </row>
    <row r="1247" spans="18:37" x14ac:dyDescent="0.45">
      <c r="R1247" s="2">
        <v>29.23</v>
      </c>
      <c r="S1247" s="2">
        <v>5.7883999999999995E-4</v>
      </c>
      <c r="T1247" s="2">
        <v>3.1182999999999997E-4</v>
      </c>
      <c r="V1247" s="11"/>
      <c r="W1247" s="6"/>
      <c r="X1247" s="6">
        <v>12.280000000000001</v>
      </c>
      <c r="Y1247" s="11" t="str">
        <f t="shared" si="240"/>
        <v/>
      </c>
      <c r="Z1247" s="6" t="str">
        <f t="shared" si="241"/>
        <v/>
      </c>
      <c r="AA1247" s="23">
        <f t="shared" si="242"/>
        <v>42.28</v>
      </c>
      <c r="AB1247" t="str">
        <f t="shared" si="231"/>
        <v/>
      </c>
      <c r="AC1247" t="str">
        <f t="shared" si="232"/>
        <v/>
      </c>
      <c r="AD1247">
        <f t="shared" si="233"/>
        <v>1.08416E-3</v>
      </c>
      <c r="AE1247" s="18" t="str">
        <f t="shared" si="234"/>
        <v/>
      </c>
      <c r="AF1247" s="7" t="str">
        <f t="shared" si="235"/>
        <v/>
      </c>
      <c r="AG1247" s="12">
        <f t="shared" si="236"/>
        <v>0.9908182367313384</v>
      </c>
      <c r="AI1247" s="54" t="str">
        <f t="shared" si="237"/>
        <v/>
      </c>
      <c r="AJ1247" s="54" t="str">
        <f t="shared" si="238"/>
        <v/>
      </c>
      <c r="AK1247" s="54">
        <f t="shared" si="239"/>
        <v>0.77079938759594691</v>
      </c>
    </row>
    <row r="1248" spans="18:37" x14ac:dyDescent="0.45">
      <c r="R1248" s="2">
        <v>29.24</v>
      </c>
      <c r="S1248" s="2">
        <v>5.7892000000000002E-4</v>
      </c>
      <c r="T1248" s="2">
        <v>3.1203999999999997E-4</v>
      </c>
      <c r="V1248" s="11"/>
      <c r="W1248" s="6"/>
      <c r="X1248" s="6">
        <v>12.290000000000001</v>
      </c>
      <c r="Y1248" s="11" t="str">
        <f t="shared" si="240"/>
        <v/>
      </c>
      <c r="Z1248" s="6" t="str">
        <f t="shared" si="241"/>
        <v/>
      </c>
      <c r="AA1248" s="23">
        <f t="shared" si="242"/>
        <v>42.29</v>
      </c>
      <c r="AB1248" t="str">
        <f t="shared" si="231"/>
        <v/>
      </c>
      <c r="AC1248" t="str">
        <f t="shared" si="232"/>
        <v/>
      </c>
      <c r="AD1248">
        <f t="shared" si="233"/>
        <v>1.0851299999999999E-3</v>
      </c>
      <c r="AE1248" s="18" t="str">
        <f t="shared" si="234"/>
        <v/>
      </c>
      <c r="AF1248" s="7" t="str">
        <f t="shared" si="235"/>
        <v/>
      </c>
      <c r="AG1248" s="12">
        <f t="shared" si="236"/>
        <v>0.9908074946763431</v>
      </c>
      <c r="AI1248" s="54" t="str">
        <f t="shared" si="237"/>
        <v/>
      </c>
      <c r="AJ1248" s="54" t="str">
        <f t="shared" si="238"/>
        <v/>
      </c>
      <c r="AK1248" s="54">
        <f t="shared" si="239"/>
        <v>0.77159611428405439</v>
      </c>
    </row>
    <row r="1249" spans="18:37" x14ac:dyDescent="0.45">
      <c r="R1249" s="2">
        <v>29.25</v>
      </c>
      <c r="S1249" s="2">
        <v>5.7899999999999998E-4</v>
      </c>
      <c r="T1249" s="2">
        <v>3.1224999999999997E-4</v>
      </c>
      <c r="V1249" s="11"/>
      <c r="W1249" s="6"/>
      <c r="X1249" s="6">
        <v>12.3</v>
      </c>
      <c r="Y1249" s="11" t="str">
        <f t="shared" si="240"/>
        <v/>
      </c>
      <c r="Z1249" s="6" t="str">
        <f t="shared" si="241"/>
        <v/>
      </c>
      <c r="AA1249" s="23">
        <f t="shared" si="242"/>
        <v>42.3</v>
      </c>
      <c r="AB1249" t="str">
        <f t="shared" si="231"/>
        <v/>
      </c>
      <c r="AC1249" t="str">
        <f t="shared" si="232"/>
        <v/>
      </c>
      <c r="AD1249">
        <f t="shared" si="233"/>
        <v>1.0861E-3</v>
      </c>
      <c r="AE1249" s="18" t="str">
        <f t="shared" si="234"/>
        <v/>
      </c>
      <c r="AF1249" s="7" t="str">
        <f t="shared" si="235"/>
        <v/>
      </c>
      <c r="AG1249" s="12">
        <f t="shared" si="236"/>
        <v>0.99079674312697608</v>
      </c>
      <c r="AI1249" s="54" t="str">
        <f t="shared" si="237"/>
        <v/>
      </c>
      <c r="AJ1249" s="54" t="str">
        <f t="shared" si="238"/>
        <v/>
      </c>
      <c r="AK1249" s="54">
        <f t="shared" si="239"/>
        <v>0.77239316608511144</v>
      </c>
    </row>
    <row r="1250" spans="18:37" x14ac:dyDescent="0.45">
      <c r="R1250" s="2">
        <v>29.26</v>
      </c>
      <c r="S1250" s="2">
        <v>5.7908000000000005E-4</v>
      </c>
      <c r="T1250" s="2">
        <v>3.1245999999999997E-4</v>
      </c>
      <c r="V1250" s="11"/>
      <c r="W1250" s="6"/>
      <c r="X1250" s="6">
        <v>12.31</v>
      </c>
      <c r="Y1250" s="11" t="str">
        <f t="shared" si="240"/>
        <v/>
      </c>
      <c r="Z1250" s="6" t="str">
        <f t="shared" si="241"/>
        <v/>
      </c>
      <c r="AA1250" s="23">
        <f t="shared" si="242"/>
        <v>42.31</v>
      </c>
      <c r="AB1250" t="str">
        <f t="shared" si="231"/>
        <v/>
      </c>
      <c r="AC1250" t="str">
        <f t="shared" si="232"/>
        <v/>
      </c>
      <c r="AD1250">
        <f t="shared" si="233"/>
        <v>1.0870700000000001E-3</v>
      </c>
      <c r="AE1250" s="18" t="str">
        <f t="shared" si="234"/>
        <v/>
      </c>
      <c r="AF1250" s="7" t="str">
        <f t="shared" si="235"/>
        <v/>
      </c>
      <c r="AG1250" s="12">
        <f t="shared" si="236"/>
        <v>0.99078598208354896</v>
      </c>
      <c r="AI1250" s="54" t="str">
        <f t="shared" si="237"/>
        <v/>
      </c>
      <c r="AJ1250" s="54" t="str">
        <f t="shared" si="238"/>
        <v/>
      </c>
      <c r="AK1250" s="54">
        <f t="shared" si="239"/>
        <v>0.77319054314815083</v>
      </c>
    </row>
    <row r="1251" spans="18:37" x14ac:dyDescent="0.45">
      <c r="R1251" s="2">
        <v>29.27</v>
      </c>
      <c r="S1251" s="2">
        <v>5.7916E-4</v>
      </c>
      <c r="T1251" s="2">
        <v>3.1267000000000003E-4</v>
      </c>
      <c r="V1251" s="11"/>
      <c r="W1251" s="6"/>
      <c r="X1251" s="6">
        <v>12.32</v>
      </c>
      <c r="Y1251" s="11" t="str">
        <f t="shared" si="240"/>
        <v/>
      </c>
      <c r="Z1251" s="6" t="str">
        <f t="shared" si="241"/>
        <v/>
      </c>
      <c r="AA1251" s="23">
        <f t="shared" si="242"/>
        <v>42.32</v>
      </c>
      <c r="AB1251" t="str">
        <f t="shared" si="231"/>
        <v/>
      </c>
      <c r="AC1251" t="str">
        <f t="shared" si="232"/>
        <v/>
      </c>
      <c r="AD1251">
        <f t="shared" si="233"/>
        <v>1.08804E-3</v>
      </c>
      <c r="AE1251" s="18" t="str">
        <f t="shared" si="234"/>
        <v/>
      </c>
      <c r="AF1251" s="7" t="str">
        <f t="shared" si="235"/>
        <v/>
      </c>
      <c r="AG1251" s="12">
        <f t="shared" si="236"/>
        <v>0.99077521154637349</v>
      </c>
      <c r="AI1251" s="54" t="str">
        <f t="shared" si="237"/>
        <v/>
      </c>
      <c r="AJ1251" s="54" t="str">
        <f t="shared" si="238"/>
        <v/>
      </c>
      <c r="AK1251" s="54">
        <f t="shared" si="239"/>
        <v>0.77398824562227597</v>
      </c>
    </row>
    <row r="1252" spans="18:37" x14ac:dyDescent="0.45">
      <c r="R1252" s="2">
        <v>29.28</v>
      </c>
      <c r="S1252" s="2">
        <v>5.7923999999999996E-4</v>
      </c>
      <c r="T1252" s="2">
        <v>3.1288000000000003E-4</v>
      </c>
      <c r="V1252" s="11"/>
      <c r="W1252" s="6"/>
      <c r="X1252" s="6">
        <v>12.33</v>
      </c>
      <c r="Y1252" s="11" t="str">
        <f t="shared" si="240"/>
        <v/>
      </c>
      <c r="Z1252" s="6" t="str">
        <f t="shared" si="241"/>
        <v/>
      </c>
      <c r="AA1252" s="23">
        <f t="shared" si="242"/>
        <v>42.33</v>
      </c>
      <c r="AB1252" t="str">
        <f t="shared" si="231"/>
        <v/>
      </c>
      <c r="AC1252" t="str">
        <f t="shared" si="232"/>
        <v/>
      </c>
      <c r="AD1252">
        <f t="shared" si="233"/>
        <v>1.0890100000000001E-3</v>
      </c>
      <c r="AE1252" s="18" t="str">
        <f t="shared" si="234"/>
        <v/>
      </c>
      <c r="AF1252" s="7" t="str">
        <f t="shared" si="235"/>
        <v/>
      </c>
      <c r="AG1252" s="12">
        <f t="shared" si="236"/>
        <v>0.99076443151576177</v>
      </c>
      <c r="AI1252" s="54" t="str">
        <f t="shared" si="237"/>
        <v/>
      </c>
      <c r="AJ1252" s="54" t="str">
        <f t="shared" si="238"/>
        <v/>
      </c>
      <c r="AK1252" s="54">
        <f t="shared" si="239"/>
        <v>0.77478627365666108</v>
      </c>
    </row>
    <row r="1253" spans="18:37" x14ac:dyDescent="0.45">
      <c r="R1253" s="2">
        <v>29.29</v>
      </c>
      <c r="S1253" s="2">
        <v>5.7932000000000003E-4</v>
      </c>
      <c r="T1253" s="2">
        <v>3.1309000000000003E-4</v>
      </c>
      <c r="V1253" s="11"/>
      <c r="W1253" s="6"/>
      <c r="X1253" s="6">
        <v>12.34</v>
      </c>
      <c r="Y1253" s="11" t="str">
        <f t="shared" si="240"/>
        <v/>
      </c>
      <c r="Z1253" s="6" t="str">
        <f t="shared" si="241"/>
        <v/>
      </c>
      <c r="AA1253" s="23">
        <f t="shared" si="242"/>
        <v>42.34</v>
      </c>
      <c r="AB1253" t="str">
        <f t="shared" si="231"/>
        <v/>
      </c>
      <c r="AC1253" t="str">
        <f t="shared" si="232"/>
        <v/>
      </c>
      <c r="AD1253">
        <f t="shared" si="233"/>
        <v>1.0899799999999999E-3</v>
      </c>
      <c r="AE1253" s="18" t="str">
        <f t="shared" si="234"/>
        <v/>
      </c>
      <c r="AF1253" s="7" t="str">
        <f t="shared" si="235"/>
        <v/>
      </c>
      <c r="AG1253" s="12">
        <f t="shared" si="236"/>
        <v>0.99075364199202609</v>
      </c>
      <c r="AI1253" s="54" t="str">
        <f t="shared" si="237"/>
        <v/>
      </c>
      <c r="AJ1253" s="54" t="str">
        <f t="shared" si="238"/>
        <v/>
      </c>
      <c r="AK1253" s="54">
        <f t="shared" si="239"/>
        <v>0.77558462740055101</v>
      </c>
    </row>
    <row r="1254" spans="18:37" x14ac:dyDescent="0.45">
      <c r="R1254" s="2">
        <v>29.3</v>
      </c>
      <c r="S1254" s="2">
        <v>5.7939999999999999E-4</v>
      </c>
      <c r="T1254" s="2">
        <v>3.1330000000000003E-4</v>
      </c>
      <c r="V1254" s="11"/>
      <c r="W1254" s="6"/>
      <c r="X1254" s="6">
        <v>12.35</v>
      </c>
      <c r="Y1254" s="11" t="str">
        <f t="shared" si="240"/>
        <v/>
      </c>
      <c r="Z1254" s="6" t="str">
        <f t="shared" si="241"/>
        <v/>
      </c>
      <c r="AA1254" s="23">
        <f t="shared" si="242"/>
        <v>42.35</v>
      </c>
      <c r="AB1254" t="str">
        <f t="shared" si="231"/>
        <v/>
      </c>
      <c r="AC1254" t="str">
        <f t="shared" si="232"/>
        <v/>
      </c>
      <c r="AD1254">
        <f t="shared" si="233"/>
        <v>1.09095E-3</v>
      </c>
      <c r="AE1254" s="18" t="str">
        <f t="shared" si="234"/>
        <v/>
      </c>
      <c r="AF1254" s="7" t="str">
        <f t="shared" si="235"/>
        <v/>
      </c>
      <c r="AG1254" s="12">
        <f t="shared" si="236"/>
        <v>0.9907428429754791</v>
      </c>
      <c r="AI1254" s="54" t="str">
        <f t="shared" si="237"/>
        <v/>
      </c>
      <c r="AJ1254" s="54" t="str">
        <f t="shared" si="238"/>
        <v/>
      </c>
      <c r="AK1254" s="54">
        <f t="shared" si="239"/>
        <v>0.77638330700326141</v>
      </c>
    </row>
    <row r="1255" spans="18:37" x14ac:dyDescent="0.45">
      <c r="R1255" s="2">
        <v>29.31</v>
      </c>
      <c r="S1255" s="2">
        <v>5.7947999999999995E-4</v>
      </c>
      <c r="T1255" s="2">
        <v>3.1351000000000003E-4</v>
      </c>
      <c r="V1255" s="11"/>
      <c r="W1255" s="6"/>
      <c r="X1255" s="6">
        <v>12.36</v>
      </c>
      <c r="Y1255" s="11" t="str">
        <f t="shared" si="240"/>
        <v/>
      </c>
      <c r="Z1255" s="6" t="str">
        <f t="shared" si="241"/>
        <v/>
      </c>
      <c r="AA1255" s="23">
        <f t="shared" si="242"/>
        <v>42.36</v>
      </c>
      <c r="AB1255" t="str">
        <f t="shared" si="231"/>
        <v/>
      </c>
      <c r="AC1255" t="str">
        <f t="shared" si="232"/>
        <v/>
      </c>
      <c r="AD1255">
        <f t="shared" si="233"/>
        <v>1.0919199999999999E-3</v>
      </c>
      <c r="AE1255" s="18" t="str">
        <f t="shared" si="234"/>
        <v/>
      </c>
      <c r="AF1255" s="7" t="str">
        <f t="shared" si="235"/>
        <v/>
      </c>
      <c r="AG1255" s="12">
        <f t="shared" si="236"/>
        <v>0.99073203446643365</v>
      </c>
      <c r="AI1255" s="54" t="str">
        <f t="shared" si="237"/>
        <v/>
      </c>
      <c r="AJ1255" s="54" t="str">
        <f t="shared" si="238"/>
        <v/>
      </c>
      <c r="AK1255" s="54">
        <f t="shared" si="239"/>
        <v>0.77718231261417892</v>
      </c>
    </row>
    <row r="1256" spans="18:37" x14ac:dyDescent="0.45">
      <c r="R1256" s="2">
        <v>29.32</v>
      </c>
      <c r="S1256" s="2">
        <v>5.7956000000000001E-4</v>
      </c>
      <c r="T1256" s="2">
        <v>3.1372000000000003E-4</v>
      </c>
      <c r="V1256" s="11"/>
      <c r="W1256" s="6"/>
      <c r="X1256" s="6">
        <v>12.370000000000001</v>
      </c>
      <c r="Y1256" s="11" t="str">
        <f t="shared" si="240"/>
        <v/>
      </c>
      <c r="Z1256" s="6" t="str">
        <f t="shared" si="241"/>
        <v/>
      </c>
      <c r="AA1256" s="23">
        <f t="shared" si="242"/>
        <v>42.370000000000005</v>
      </c>
      <c r="AB1256" t="str">
        <f t="shared" si="231"/>
        <v/>
      </c>
      <c r="AC1256" t="str">
        <f t="shared" si="232"/>
        <v/>
      </c>
      <c r="AD1256">
        <f t="shared" si="233"/>
        <v>1.09289E-3</v>
      </c>
      <c r="AE1256" s="18" t="str">
        <f t="shared" si="234"/>
        <v/>
      </c>
      <c r="AF1256" s="7" t="str">
        <f t="shared" si="235"/>
        <v/>
      </c>
      <c r="AG1256" s="12">
        <f t="shared" si="236"/>
        <v>0.99072121646520295</v>
      </c>
      <c r="AI1256" s="54" t="str">
        <f t="shared" si="237"/>
        <v/>
      </c>
      <c r="AJ1256" s="54" t="str">
        <f t="shared" si="238"/>
        <v/>
      </c>
      <c r="AK1256" s="54">
        <f t="shared" si="239"/>
        <v>0.77798164438276096</v>
      </c>
    </row>
    <row r="1257" spans="18:37" x14ac:dyDescent="0.45">
      <c r="R1257" s="2">
        <v>29.33</v>
      </c>
      <c r="S1257" s="2">
        <v>5.7963999999999997E-4</v>
      </c>
      <c r="T1257" s="2">
        <v>3.1393000000000003E-4</v>
      </c>
      <c r="V1257" s="11"/>
      <c r="W1257" s="6"/>
      <c r="X1257" s="6">
        <v>12.38</v>
      </c>
      <c r="Y1257" s="11" t="str">
        <f t="shared" si="240"/>
        <v/>
      </c>
      <c r="Z1257" s="6" t="str">
        <f t="shared" si="241"/>
        <v/>
      </c>
      <c r="AA1257" s="23">
        <f t="shared" si="242"/>
        <v>42.38</v>
      </c>
      <c r="AB1257" t="str">
        <f t="shared" si="231"/>
        <v/>
      </c>
      <c r="AC1257" t="str">
        <f t="shared" si="232"/>
        <v/>
      </c>
      <c r="AD1257">
        <f t="shared" si="233"/>
        <v>1.0938600000000001E-3</v>
      </c>
      <c r="AE1257" s="18" t="str">
        <f t="shared" si="234"/>
        <v/>
      </c>
      <c r="AF1257" s="7" t="str">
        <f t="shared" si="235"/>
        <v/>
      </c>
      <c r="AG1257" s="12">
        <f t="shared" si="236"/>
        <v>0.99071038897210029</v>
      </c>
      <c r="AI1257" s="54" t="str">
        <f t="shared" si="237"/>
        <v/>
      </c>
      <c r="AJ1257" s="54" t="str">
        <f t="shared" si="238"/>
        <v/>
      </c>
      <c r="AK1257" s="54">
        <f t="shared" si="239"/>
        <v>0.77878130245853583</v>
      </c>
    </row>
    <row r="1258" spans="18:37" x14ac:dyDescent="0.45">
      <c r="R1258" s="2">
        <v>29.34</v>
      </c>
      <c r="S1258" s="2">
        <v>5.7972000000000004E-4</v>
      </c>
      <c r="T1258" s="2">
        <v>3.1414000000000002E-4</v>
      </c>
      <c r="V1258" s="11"/>
      <c r="W1258" s="6"/>
      <c r="X1258" s="6">
        <v>12.39</v>
      </c>
      <c r="Y1258" s="11" t="str">
        <f t="shared" si="240"/>
        <v/>
      </c>
      <c r="Z1258" s="6" t="str">
        <f t="shared" si="241"/>
        <v/>
      </c>
      <c r="AA1258" s="23">
        <f t="shared" si="242"/>
        <v>42.39</v>
      </c>
      <c r="AB1258" t="str">
        <f t="shared" si="231"/>
        <v/>
      </c>
      <c r="AC1258" t="str">
        <f t="shared" si="232"/>
        <v/>
      </c>
      <c r="AD1258">
        <f t="shared" si="233"/>
        <v>1.09483E-3</v>
      </c>
      <c r="AE1258" s="18" t="str">
        <f t="shared" si="234"/>
        <v/>
      </c>
      <c r="AF1258" s="7" t="str">
        <f t="shared" si="235"/>
        <v/>
      </c>
      <c r="AG1258" s="12">
        <f t="shared" si="236"/>
        <v>0.99069955198743953</v>
      </c>
      <c r="AI1258" s="54" t="str">
        <f t="shared" si="237"/>
        <v/>
      </c>
      <c r="AJ1258" s="54" t="str">
        <f t="shared" si="238"/>
        <v/>
      </c>
      <c r="AK1258" s="54">
        <f t="shared" si="239"/>
        <v>0.77958128699110285</v>
      </c>
    </row>
    <row r="1259" spans="18:37" x14ac:dyDescent="0.45">
      <c r="R1259" s="2">
        <v>29.35</v>
      </c>
      <c r="S1259" s="2">
        <v>5.798E-4</v>
      </c>
      <c r="T1259" s="2">
        <v>3.1435000000000002E-4</v>
      </c>
      <c r="V1259" s="11"/>
      <c r="W1259" s="6"/>
      <c r="X1259" s="6">
        <v>12.4</v>
      </c>
      <c r="Y1259" s="11" t="str">
        <f t="shared" si="240"/>
        <v/>
      </c>
      <c r="Z1259" s="6" t="str">
        <f t="shared" si="241"/>
        <v/>
      </c>
      <c r="AA1259" s="23">
        <f t="shared" si="242"/>
        <v>42.4</v>
      </c>
      <c r="AB1259" t="str">
        <f t="shared" si="231"/>
        <v/>
      </c>
      <c r="AC1259" t="str">
        <f t="shared" si="232"/>
        <v/>
      </c>
      <c r="AD1259">
        <f t="shared" si="233"/>
        <v>1.0958000000000001E-3</v>
      </c>
      <c r="AE1259" s="18" t="str">
        <f t="shared" si="234"/>
        <v/>
      </c>
      <c r="AF1259" s="7" t="str">
        <f t="shared" si="235"/>
        <v/>
      </c>
      <c r="AG1259" s="12">
        <f t="shared" si="236"/>
        <v>0.99068870551153454</v>
      </c>
      <c r="AI1259" s="54" t="str">
        <f t="shared" si="237"/>
        <v/>
      </c>
      <c r="AJ1259" s="54" t="str">
        <f t="shared" si="238"/>
        <v/>
      </c>
      <c r="AK1259" s="54">
        <f t="shared" si="239"/>
        <v>0.78038159813013219</v>
      </c>
    </row>
    <row r="1260" spans="18:37" x14ac:dyDescent="0.45">
      <c r="R1260" s="2">
        <v>29.36</v>
      </c>
      <c r="S1260" s="2">
        <v>5.7987999999999996E-4</v>
      </c>
      <c r="T1260" s="2">
        <v>3.1456000000000002E-4</v>
      </c>
      <c r="V1260" s="11"/>
      <c r="W1260" s="6"/>
      <c r="X1260" s="6">
        <v>12.41</v>
      </c>
      <c r="Y1260" s="11" t="str">
        <f t="shared" si="240"/>
        <v/>
      </c>
      <c r="Z1260" s="6" t="str">
        <f t="shared" si="241"/>
        <v/>
      </c>
      <c r="AA1260" s="23">
        <f t="shared" si="242"/>
        <v>42.41</v>
      </c>
      <c r="AB1260" t="str">
        <f t="shared" si="231"/>
        <v/>
      </c>
      <c r="AC1260" t="str">
        <f t="shared" si="232"/>
        <v/>
      </c>
      <c r="AD1260">
        <f t="shared" si="233"/>
        <v>1.0967699999999999E-3</v>
      </c>
      <c r="AE1260" s="18" t="str">
        <f t="shared" si="234"/>
        <v/>
      </c>
      <c r="AF1260" s="7" t="str">
        <f t="shared" si="235"/>
        <v/>
      </c>
      <c r="AG1260" s="12">
        <f t="shared" si="236"/>
        <v>0.99067784954469951</v>
      </c>
      <c r="AI1260" s="54" t="str">
        <f t="shared" si="237"/>
        <v/>
      </c>
      <c r="AJ1260" s="54" t="str">
        <f t="shared" si="238"/>
        <v/>
      </c>
      <c r="AK1260" s="54">
        <f t="shared" si="239"/>
        <v>0.78118223602536507</v>
      </c>
    </row>
    <row r="1261" spans="18:37" x14ac:dyDescent="0.45">
      <c r="R1261" s="2">
        <v>29.37</v>
      </c>
      <c r="S1261" s="2">
        <v>5.7996000000000002E-4</v>
      </c>
      <c r="T1261" s="2">
        <v>3.1477000000000002E-4</v>
      </c>
      <c r="V1261" s="11"/>
      <c r="W1261" s="6"/>
      <c r="X1261" s="6">
        <v>12.42</v>
      </c>
      <c r="Y1261" s="11" t="str">
        <f t="shared" si="240"/>
        <v/>
      </c>
      <c r="Z1261" s="6" t="str">
        <f t="shared" si="241"/>
        <v/>
      </c>
      <c r="AA1261" s="23">
        <f t="shared" si="242"/>
        <v>42.42</v>
      </c>
      <c r="AB1261" t="str">
        <f t="shared" si="231"/>
        <v/>
      </c>
      <c r="AC1261" t="str">
        <f t="shared" si="232"/>
        <v/>
      </c>
      <c r="AD1261">
        <f t="shared" si="233"/>
        <v>1.09774E-3</v>
      </c>
      <c r="AE1261" s="18" t="str">
        <f t="shared" si="234"/>
        <v/>
      </c>
      <c r="AF1261" s="7" t="str">
        <f t="shared" si="235"/>
        <v/>
      </c>
      <c r="AG1261" s="12">
        <f t="shared" si="236"/>
        <v>0.99066698408724907</v>
      </c>
      <c r="AI1261" s="54" t="str">
        <f t="shared" si="237"/>
        <v/>
      </c>
      <c r="AJ1261" s="54" t="str">
        <f t="shared" si="238"/>
        <v/>
      </c>
      <c r="AK1261" s="54">
        <f t="shared" si="239"/>
        <v>0.78198320082661377</v>
      </c>
    </row>
    <row r="1262" spans="18:37" x14ac:dyDescent="0.45">
      <c r="R1262" s="2">
        <v>29.38</v>
      </c>
      <c r="S1262" s="2">
        <v>5.8003999999999998E-4</v>
      </c>
      <c r="T1262" s="2">
        <v>3.1498000000000002E-4</v>
      </c>
      <c r="V1262" s="11"/>
      <c r="W1262" s="6"/>
      <c r="X1262" s="6">
        <v>12.43</v>
      </c>
      <c r="Y1262" s="11" t="str">
        <f t="shared" si="240"/>
        <v/>
      </c>
      <c r="Z1262" s="6" t="str">
        <f t="shared" si="241"/>
        <v/>
      </c>
      <c r="AA1262" s="23">
        <f t="shared" si="242"/>
        <v>42.43</v>
      </c>
      <c r="AB1262" t="str">
        <f t="shared" si="231"/>
        <v/>
      </c>
      <c r="AC1262" t="str">
        <f t="shared" si="232"/>
        <v/>
      </c>
      <c r="AD1262">
        <f t="shared" si="233"/>
        <v>1.0987099999999999E-3</v>
      </c>
      <c r="AE1262" s="18" t="str">
        <f t="shared" si="234"/>
        <v/>
      </c>
      <c r="AF1262" s="7" t="str">
        <f t="shared" si="235"/>
        <v/>
      </c>
      <c r="AG1262" s="12">
        <f t="shared" si="236"/>
        <v>0.99065610913949798</v>
      </c>
      <c r="AI1262" s="54" t="str">
        <f t="shared" si="237"/>
        <v/>
      </c>
      <c r="AJ1262" s="54" t="str">
        <f t="shared" si="238"/>
        <v/>
      </c>
      <c r="AK1262" s="54">
        <f t="shared" si="239"/>
        <v>0.78278449268376171</v>
      </c>
    </row>
    <row r="1263" spans="18:37" x14ac:dyDescent="0.45">
      <c r="R1263" s="2">
        <v>29.39</v>
      </c>
      <c r="S1263" s="2">
        <v>5.8012000000000005E-4</v>
      </c>
      <c r="T1263" s="2">
        <v>3.1519000000000002E-4</v>
      </c>
      <c r="V1263" s="11"/>
      <c r="W1263" s="6"/>
      <c r="X1263" s="6">
        <v>12.44</v>
      </c>
      <c r="Y1263" s="11" t="str">
        <f t="shared" si="240"/>
        <v/>
      </c>
      <c r="Z1263" s="6" t="str">
        <f t="shared" si="241"/>
        <v/>
      </c>
      <c r="AA1263" s="23">
        <f t="shared" si="242"/>
        <v>42.44</v>
      </c>
      <c r="AB1263" t="str">
        <f t="shared" si="231"/>
        <v/>
      </c>
      <c r="AC1263" t="str">
        <f t="shared" si="232"/>
        <v/>
      </c>
      <c r="AD1263">
        <f t="shared" si="233"/>
        <v>1.09968E-3</v>
      </c>
      <c r="AE1263" s="18" t="str">
        <f t="shared" si="234"/>
        <v/>
      </c>
      <c r="AF1263" s="7" t="str">
        <f t="shared" si="235"/>
        <v/>
      </c>
      <c r="AG1263" s="12">
        <f t="shared" si="236"/>
        <v>0.9906452247017612</v>
      </c>
      <c r="AI1263" s="54" t="str">
        <f t="shared" si="237"/>
        <v/>
      </c>
      <c r="AJ1263" s="54" t="str">
        <f t="shared" si="238"/>
        <v/>
      </c>
      <c r="AK1263" s="54">
        <f t="shared" si="239"/>
        <v>0.78358611174676329</v>
      </c>
    </row>
    <row r="1264" spans="18:37" x14ac:dyDescent="0.45">
      <c r="R1264" s="2">
        <v>29.4</v>
      </c>
      <c r="S1264" s="2">
        <v>5.8020000000000001E-4</v>
      </c>
      <c r="T1264" s="2">
        <v>3.1540000000000002E-4</v>
      </c>
      <c r="V1264" s="11"/>
      <c r="W1264" s="6"/>
      <c r="X1264" s="6">
        <v>12.450000000000001</v>
      </c>
      <c r="Y1264" s="11" t="str">
        <f t="shared" si="240"/>
        <v/>
      </c>
      <c r="Z1264" s="6" t="str">
        <f t="shared" si="241"/>
        <v/>
      </c>
      <c r="AA1264" s="23">
        <f t="shared" si="242"/>
        <v>42.45</v>
      </c>
      <c r="AB1264" t="str">
        <f t="shared" si="231"/>
        <v/>
      </c>
      <c r="AC1264" t="str">
        <f t="shared" si="232"/>
        <v/>
      </c>
      <c r="AD1264">
        <f t="shared" si="233"/>
        <v>1.1006499999999999E-3</v>
      </c>
      <c r="AE1264" s="18" t="str">
        <f t="shared" si="234"/>
        <v/>
      </c>
      <c r="AF1264" s="7" t="str">
        <f t="shared" si="235"/>
        <v/>
      </c>
      <c r="AG1264" s="12">
        <f t="shared" si="236"/>
        <v>0.99063433077435414</v>
      </c>
      <c r="AI1264" s="54" t="str">
        <f t="shared" si="237"/>
        <v/>
      </c>
      <c r="AJ1264" s="54" t="str">
        <f t="shared" si="238"/>
        <v/>
      </c>
      <c r="AK1264" s="54">
        <f t="shared" si="239"/>
        <v>0.78438805816564416</v>
      </c>
    </row>
    <row r="1265" spans="18:37" x14ac:dyDescent="0.45">
      <c r="R1265" s="2">
        <v>29.41</v>
      </c>
      <c r="S1265" s="2">
        <v>5.8027999999999997E-4</v>
      </c>
      <c r="T1265" s="2">
        <v>3.1561000000000002E-4</v>
      </c>
      <c r="V1265" s="11"/>
      <c r="W1265" s="6"/>
      <c r="X1265" s="6">
        <v>12.46</v>
      </c>
      <c r="Y1265" s="11" t="str">
        <f t="shared" si="240"/>
        <v/>
      </c>
      <c r="Z1265" s="6" t="str">
        <f t="shared" si="241"/>
        <v/>
      </c>
      <c r="AA1265" s="23">
        <f t="shared" si="242"/>
        <v>42.46</v>
      </c>
      <c r="AB1265" t="str">
        <f t="shared" si="231"/>
        <v/>
      </c>
      <c r="AC1265" t="str">
        <f t="shared" si="232"/>
        <v/>
      </c>
      <c r="AD1265">
        <f t="shared" si="233"/>
        <v>1.10162E-3</v>
      </c>
      <c r="AE1265" s="18" t="str">
        <f t="shared" si="234"/>
        <v/>
      </c>
      <c r="AF1265" s="7" t="str">
        <f t="shared" si="235"/>
        <v/>
      </c>
      <c r="AG1265" s="12">
        <f t="shared" si="236"/>
        <v>0.99062342735759246</v>
      </c>
      <c r="AI1265" s="54" t="str">
        <f t="shared" si="237"/>
        <v/>
      </c>
      <c r="AJ1265" s="54" t="str">
        <f t="shared" si="238"/>
        <v/>
      </c>
      <c r="AK1265" s="54">
        <f t="shared" si="239"/>
        <v>0.78519033209050115</v>
      </c>
    </row>
    <row r="1266" spans="18:37" x14ac:dyDescent="0.45">
      <c r="R1266" s="2">
        <v>29.42</v>
      </c>
      <c r="S1266" s="2">
        <v>5.8036000000000003E-4</v>
      </c>
      <c r="T1266" s="2">
        <v>3.1582000000000002E-4</v>
      </c>
      <c r="V1266" s="11"/>
      <c r="W1266" s="6"/>
      <c r="X1266" s="6">
        <v>12.47</v>
      </c>
      <c r="Y1266" s="11" t="str">
        <f t="shared" si="240"/>
        <v/>
      </c>
      <c r="Z1266" s="6" t="str">
        <f t="shared" si="241"/>
        <v/>
      </c>
      <c r="AA1266" s="23">
        <f t="shared" si="242"/>
        <v>42.47</v>
      </c>
      <c r="AB1266" t="str">
        <f t="shared" si="231"/>
        <v/>
      </c>
      <c r="AC1266" t="str">
        <f t="shared" si="232"/>
        <v/>
      </c>
      <c r="AD1266">
        <f t="shared" si="233"/>
        <v>1.1025900000000001E-3</v>
      </c>
      <c r="AE1266" s="18" t="str">
        <f t="shared" si="234"/>
        <v/>
      </c>
      <c r="AF1266" s="7" t="str">
        <f t="shared" si="235"/>
        <v/>
      </c>
      <c r="AG1266" s="12">
        <f t="shared" si="236"/>
        <v>0.99061251445179199</v>
      </c>
      <c r="AI1266" s="54" t="str">
        <f t="shared" si="237"/>
        <v/>
      </c>
      <c r="AJ1266" s="54" t="str">
        <f t="shared" si="238"/>
        <v/>
      </c>
      <c r="AK1266" s="54">
        <f t="shared" si="239"/>
        <v>0.78599293367150225</v>
      </c>
    </row>
    <row r="1267" spans="18:37" x14ac:dyDescent="0.45">
      <c r="R1267" s="2">
        <v>29.43</v>
      </c>
      <c r="S1267" s="2">
        <v>5.8043999999999999E-4</v>
      </c>
      <c r="T1267" s="2">
        <v>3.1603000000000002E-4</v>
      </c>
      <c r="V1267" s="11"/>
      <c r="W1267" s="6"/>
      <c r="X1267" s="6">
        <v>12.48</v>
      </c>
      <c r="Y1267" s="11" t="str">
        <f t="shared" si="240"/>
        <v/>
      </c>
      <c r="Z1267" s="6" t="str">
        <f t="shared" si="241"/>
        <v/>
      </c>
      <c r="AA1267" s="23">
        <f t="shared" si="242"/>
        <v>42.480000000000004</v>
      </c>
      <c r="AB1267" t="str">
        <f t="shared" si="231"/>
        <v/>
      </c>
      <c r="AC1267" t="str">
        <f t="shared" si="232"/>
        <v/>
      </c>
      <c r="AD1267">
        <f t="shared" si="233"/>
        <v>1.10356E-3</v>
      </c>
      <c r="AE1267" s="18" t="str">
        <f t="shared" si="234"/>
        <v/>
      </c>
      <c r="AF1267" s="7" t="str">
        <f t="shared" si="235"/>
        <v/>
      </c>
      <c r="AG1267" s="12">
        <f t="shared" si="236"/>
        <v>0.99060159205726894</v>
      </c>
      <c r="AI1267" s="54" t="str">
        <f t="shared" si="237"/>
        <v/>
      </c>
      <c r="AJ1267" s="54" t="str">
        <f t="shared" si="238"/>
        <v/>
      </c>
      <c r="AK1267" s="54">
        <f t="shared" si="239"/>
        <v>0.78679586305888671</v>
      </c>
    </row>
    <row r="1268" spans="18:37" x14ac:dyDescent="0.45">
      <c r="R1268" s="2">
        <v>29.44</v>
      </c>
      <c r="S1268" s="2">
        <v>5.8051999999999995E-4</v>
      </c>
      <c r="T1268" s="2">
        <v>3.1624000000000002E-4</v>
      </c>
      <c r="V1268" s="11"/>
      <c r="W1268" s="6"/>
      <c r="X1268" s="6">
        <v>12.49</v>
      </c>
      <c r="Y1268" s="11" t="str">
        <f t="shared" si="240"/>
        <v/>
      </c>
      <c r="Z1268" s="6" t="str">
        <f t="shared" si="241"/>
        <v/>
      </c>
      <c r="AA1268" s="23">
        <f t="shared" si="242"/>
        <v>42.49</v>
      </c>
      <c r="AB1268" t="str">
        <f t="shared" si="231"/>
        <v/>
      </c>
      <c r="AC1268" t="str">
        <f t="shared" si="232"/>
        <v/>
      </c>
      <c r="AD1268">
        <f t="shared" si="233"/>
        <v>1.1045300000000001E-3</v>
      </c>
      <c r="AE1268" s="18" t="str">
        <f t="shared" si="234"/>
        <v/>
      </c>
      <c r="AF1268" s="7" t="str">
        <f t="shared" si="235"/>
        <v/>
      </c>
      <c r="AG1268" s="12">
        <f t="shared" si="236"/>
        <v>0.99059066017433961</v>
      </c>
      <c r="AI1268" s="54" t="str">
        <f t="shared" si="237"/>
        <v/>
      </c>
      <c r="AJ1268" s="54" t="str">
        <f t="shared" si="238"/>
        <v/>
      </c>
      <c r="AK1268" s="54">
        <f t="shared" si="239"/>
        <v>0.78759912040296509</v>
      </c>
    </row>
    <row r="1269" spans="18:37" x14ac:dyDescent="0.45">
      <c r="R1269" s="2">
        <v>29.45</v>
      </c>
      <c r="S1269" s="2">
        <v>5.8060000000000002E-4</v>
      </c>
      <c r="T1269" s="2">
        <v>3.1645000000000002E-4</v>
      </c>
      <c r="V1269" s="11"/>
      <c r="W1269" s="6"/>
      <c r="X1269" s="6">
        <v>12.5</v>
      </c>
      <c r="Y1269" s="11" t="str">
        <f t="shared" si="240"/>
        <v/>
      </c>
      <c r="Z1269" s="6" t="str">
        <f t="shared" si="241"/>
        <v/>
      </c>
      <c r="AA1269" s="23">
        <f t="shared" si="242"/>
        <v>42.5</v>
      </c>
      <c r="AB1269" t="str">
        <f t="shared" si="231"/>
        <v/>
      </c>
      <c r="AC1269" t="str">
        <f t="shared" si="232"/>
        <v/>
      </c>
      <c r="AD1269">
        <f t="shared" si="233"/>
        <v>1.1054999999999999E-3</v>
      </c>
      <c r="AE1269" s="18" t="str">
        <f t="shared" si="234"/>
        <v/>
      </c>
      <c r="AF1269" s="7" t="str">
        <f t="shared" si="235"/>
        <v/>
      </c>
      <c r="AG1269" s="12">
        <f t="shared" si="236"/>
        <v>0.99057971880332074</v>
      </c>
      <c r="AI1269" s="54" t="str">
        <f t="shared" si="237"/>
        <v/>
      </c>
      <c r="AJ1269" s="54" t="str">
        <f t="shared" si="238"/>
        <v/>
      </c>
      <c r="AK1269" s="54">
        <f t="shared" si="239"/>
        <v>0.78840270585411931</v>
      </c>
    </row>
    <row r="1270" spans="18:37" x14ac:dyDescent="0.45">
      <c r="R1270" s="2">
        <v>29.46</v>
      </c>
      <c r="S1270" s="2">
        <v>5.8067999999999998E-4</v>
      </c>
      <c r="T1270" s="2">
        <v>3.1666000000000002E-4</v>
      </c>
      <c r="V1270" s="11"/>
      <c r="W1270" s="6"/>
      <c r="X1270" s="6">
        <v>12.51</v>
      </c>
      <c r="Y1270" s="11" t="str">
        <f t="shared" si="240"/>
        <v/>
      </c>
      <c r="Z1270" s="6" t="str">
        <f t="shared" si="241"/>
        <v/>
      </c>
      <c r="AA1270" s="23">
        <f t="shared" si="242"/>
        <v>42.51</v>
      </c>
      <c r="AB1270" t="str">
        <f t="shared" si="231"/>
        <v/>
      </c>
      <c r="AC1270" t="str">
        <f t="shared" si="232"/>
        <v/>
      </c>
      <c r="AD1270">
        <f t="shared" si="233"/>
        <v>1.10647E-3</v>
      </c>
      <c r="AE1270" s="18" t="str">
        <f t="shared" si="234"/>
        <v/>
      </c>
      <c r="AF1270" s="7" t="str">
        <f t="shared" si="235"/>
        <v/>
      </c>
      <c r="AG1270" s="12">
        <f t="shared" si="236"/>
        <v>0.99056876794452942</v>
      </c>
      <c r="AI1270" s="54" t="str">
        <f t="shared" si="237"/>
        <v/>
      </c>
      <c r="AJ1270" s="54" t="str">
        <f t="shared" si="238"/>
        <v/>
      </c>
      <c r="AK1270" s="54">
        <f t="shared" si="239"/>
        <v>0.78920661956280269</v>
      </c>
    </row>
    <row r="1271" spans="18:37" x14ac:dyDescent="0.45">
      <c r="R1271" s="2">
        <v>29.47</v>
      </c>
      <c r="S1271" s="2">
        <v>5.8076000000000004E-4</v>
      </c>
      <c r="T1271" s="2">
        <v>3.1687000000000002E-4</v>
      </c>
      <c r="V1271" s="11"/>
      <c r="W1271" s="6"/>
      <c r="X1271" s="6">
        <v>12.52</v>
      </c>
      <c r="Y1271" s="11" t="str">
        <f t="shared" si="240"/>
        <v/>
      </c>
      <c r="Z1271" s="6" t="str">
        <f t="shared" si="241"/>
        <v/>
      </c>
      <c r="AA1271" s="23">
        <f t="shared" si="242"/>
        <v>42.519999999999996</v>
      </c>
      <c r="AB1271" t="str">
        <f t="shared" si="231"/>
        <v/>
      </c>
      <c r="AC1271" t="str">
        <f t="shared" si="232"/>
        <v/>
      </c>
      <c r="AD1271">
        <f t="shared" si="233"/>
        <v>1.10647E-3</v>
      </c>
      <c r="AE1271" s="18" t="str">
        <f t="shared" si="234"/>
        <v/>
      </c>
      <c r="AF1271" s="7" t="str">
        <f t="shared" si="235"/>
        <v/>
      </c>
      <c r="AG1271" s="12">
        <f t="shared" si="236"/>
        <v>0.99055780759828271</v>
      </c>
      <c r="AI1271" s="54" t="str">
        <f t="shared" si="237"/>
        <v/>
      </c>
      <c r="AJ1271" s="54" t="str">
        <f t="shared" si="238"/>
        <v/>
      </c>
      <c r="AK1271" s="54">
        <f t="shared" si="239"/>
        <v>0.79001086167953982</v>
      </c>
    </row>
    <row r="1272" spans="18:37" x14ac:dyDescent="0.45">
      <c r="R1272" s="2">
        <v>29.48</v>
      </c>
      <c r="S1272" s="2">
        <v>5.8084E-4</v>
      </c>
      <c r="T1272" s="2">
        <v>3.1708000000000002E-4</v>
      </c>
      <c r="V1272" s="11"/>
      <c r="W1272" s="6"/>
      <c r="X1272" s="6">
        <v>12.530000000000001</v>
      </c>
      <c r="Y1272" s="11" t="str">
        <f t="shared" si="240"/>
        <v/>
      </c>
      <c r="Z1272" s="6" t="str">
        <f t="shared" si="241"/>
        <v/>
      </c>
      <c r="AA1272" s="23">
        <f t="shared" si="242"/>
        <v>42.53</v>
      </c>
      <c r="AB1272" t="str">
        <f t="shared" si="231"/>
        <v/>
      </c>
      <c r="AC1272" t="str">
        <f t="shared" si="232"/>
        <v/>
      </c>
      <c r="AD1272">
        <f t="shared" si="233"/>
        <v>1.10841E-3</v>
      </c>
      <c r="AE1272" s="18" t="str">
        <f t="shared" si="234"/>
        <v/>
      </c>
      <c r="AF1272" s="7" t="str">
        <f t="shared" si="235"/>
        <v/>
      </c>
      <c r="AG1272" s="12">
        <f t="shared" si="236"/>
        <v>0.990546847373309</v>
      </c>
      <c r="AI1272" s="54" t="str">
        <f t="shared" si="237"/>
        <v/>
      </c>
      <c r="AJ1272" s="54" t="str">
        <f t="shared" si="238"/>
        <v/>
      </c>
      <c r="AK1272" s="54">
        <f t="shared" si="239"/>
        <v>0.79081543439182134</v>
      </c>
    </row>
    <row r="1273" spans="18:37" x14ac:dyDescent="0.45">
      <c r="R1273" s="2">
        <v>29.49</v>
      </c>
      <c r="S1273" s="2">
        <v>5.8091999999999996E-4</v>
      </c>
      <c r="T1273" s="2">
        <v>3.1729000000000002E-4</v>
      </c>
      <c r="V1273" s="11"/>
      <c r="W1273" s="6"/>
      <c r="X1273" s="6">
        <v>12.540000000000001</v>
      </c>
      <c r="Y1273" s="11" t="str">
        <f t="shared" si="240"/>
        <v/>
      </c>
      <c r="Z1273" s="6" t="str">
        <f t="shared" si="241"/>
        <v/>
      </c>
      <c r="AA1273" s="23">
        <f t="shared" si="242"/>
        <v>42.54</v>
      </c>
      <c r="AB1273" t="str">
        <f t="shared" si="231"/>
        <v/>
      </c>
      <c r="AC1273" t="str">
        <f t="shared" si="232"/>
        <v/>
      </c>
      <c r="AD1273">
        <f t="shared" si="233"/>
        <v>1.1093800000000001E-3</v>
      </c>
      <c r="AE1273" s="18" t="str">
        <f t="shared" si="234"/>
        <v/>
      </c>
      <c r="AF1273" s="7" t="str">
        <f t="shared" si="235"/>
        <v/>
      </c>
      <c r="AG1273" s="12">
        <f t="shared" si="236"/>
        <v>0.99053586805299798</v>
      </c>
      <c r="AI1273" s="54" t="str">
        <f t="shared" si="237"/>
        <v/>
      </c>
      <c r="AJ1273" s="54" t="str">
        <f t="shared" si="238"/>
        <v/>
      </c>
      <c r="AK1273" s="54">
        <f t="shared" si="239"/>
        <v>0.79162033377736285</v>
      </c>
    </row>
    <row r="1274" spans="18:37" x14ac:dyDescent="0.45">
      <c r="R1274" s="2">
        <v>29.5</v>
      </c>
      <c r="S1274" s="2">
        <v>5.8100000000000003E-4</v>
      </c>
      <c r="T1274" s="2">
        <v>3.1750000000000002E-4</v>
      </c>
      <c r="V1274" s="11"/>
      <c r="W1274" s="6"/>
      <c r="X1274" s="6">
        <v>12.55</v>
      </c>
      <c r="Y1274" s="11" t="str">
        <f t="shared" si="240"/>
        <v/>
      </c>
      <c r="Z1274" s="6" t="str">
        <f t="shared" si="241"/>
        <v/>
      </c>
      <c r="AA1274" s="23">
        <f t="shared" si="242"/>
        <v>42.55</v>
      </c>
      <c r="AB1274" t="str">
        <f t="shared" si="231"/>
        <v/>
      </c>
      <c r="AC1274" t="str">
        <f t="shared" si="232"/>
        <v/>
      </c>
      <c r="AD1274">
        <f t="shared" si="233"/>
        <v>1.11035E-3</v>
      </c>
      <c r="AE1274" s="18" t="str">
        <f t="shared" si="234"/>
        <v/>
      </c>
      <c r="AF1274" s="7" t="str">
        <f t="shared" si="235"/>
        <v/>
      </c>
      <c r="AG1274" s="12">
        <f t="shared" si="236"/>
        <v>0.99052487924618493</v>
      </c>
      <c r="AI1274" s="54" t="str">
        <f t="shared" si="237"/>
        <v/>
      </c>
      <c r="AJ1274" s="54" t="str">
        <f t="shared" si="238"/>
        <v/>
      </c>
      <c r="AK1274" s="54">
        <f t="shared" si="239"/>
        <v>0.79242556202296111</v>
      </c>
    </row>
    <row r="1275" spans="18:37" x14ac:dyDescent="0.45">
      <c r="R1275" s="2">
        <v>29.51</v>
      </c>
      <c r="S1275" s="2">
        <v>5.8107999999999999E-4</v>
      </c>
      <c r="T1275" s="2">
        <v>3.1771000000000002E-4</v>
      </c>
      <c r="V1275" s="11"/>
      <c r="W1275" s="6"/>
      <c r="X1275" s="6">
        <v>12.56</v>
      </c>
      <c r="Y1275" s="11" t="str">
        <f t="shared" si="240"/>
        <v/>
      </c>
      <c r="Z1275" s="6" t="str">
        <f t="shared" si="241"/>
        <v/>
      </c>
      <c r="AA1275" s="23">
        <f t="shared" si="242"/>
        <v>42.56</v>
      </c>
      <c r="AB1275" t="str">
        <f t="shared" si="231"/>
        <v/>
      </c>
      <c r="AC1275" t="str">
        <f t="shared" si="232"/>
        <v/>
      </c>
      <c r="AD1275">
        <f t="shared" si="233"/>
        <v>1.1113200000000001E-3</v>
      </c>
      <c r="AE1275" s="18" t="str">
        <f t="shared" si="234"/>
        <v/>
      </c>
      <c r="AF1275" s="7" t="str">
        <f t="shared" si="235"/>
        <v/>
      </c>
      <c r="AG1275" s="12">
        <f t="shared" si="236"/>
        <v>0.99051388095318826</v>
      </c>
      <c r="AI1275" s="54" t="str">
        <f t="shared" si="237"/>
        <v/>
      </c>
      <c r="AJ1275" s="54" t="str">
        <f t="shared" si="238"/>
        <v/>
      </c>
      <c r="AK1275" s="54">
        <f t="shared" si="239"/>
        <v>0.79323111927942669</v>
      </c>
    </row>
    <row r="1276" spans="18:37" x14ac:dyDescent="0.45">
      <c r="R1276" s="2">
        <v>29.52</v>
      </c>
      <c r="S1276" s="2">
        <v>5.8116000000000005E-4</v>
      </c>
      <c r="T1276" s="2">
        <v>3.1792000000000002E-4</v>
      </c>
      <c r="V1276" s="11"/>
      <c r="W1276" s="6"/>
      <c r="X1276" s="6">
        <v>12.57</v>
      </c>
      <c r="Y1276" s="11" t="str">
        <f t="shared" si="240"/>
        <v/>
      </c>
      <c r="Z1276" s="6" t="str">
        <f t="shared" si="241"/>
        <v/>
      </c>
      <c r="AA1276" s="23">
        <f t="shared" si="242"/>
        <v>42.57</v>
      </c>
      <c r="AB1276" t="str">
        <f t="shared" si="231"/>
        <v/>
      </c>
      <c r="AC1276" t="str">
        <f t="shared" si="232"/>
        <v/>
      </c>
      <c r="AD1276">
        <f t="shared" si="233"/>
        <v>1.1122899999999999E-3</v>
      </c>
      <c r="AE1276" s="18" t="str">
        <f t="shared" si="234"/>
        <v/>
      </c>
      <c r="AF1276" s="7" t="str">
        <f t="shared" si="235"/>
        <v/>
      </c>
      <c r="AG1276" s="12">
        <f t="shared" si="236"/>
        <v>0.9905028731743265</v>
      </c>
      <c r="AI1276" s="54" t="str">
        <f t="shared" si="237"/>
        <v/>
      </c>
      <c r="AJ1276" s="54" t="str">
        <f t="shared" si="238"/>
        <v/>
      </c>
      <c r="AK1276" s="54">
        <f t="shared" si="239"/>
        <v>0.79403700569764168</v>
      </c>
    </row>
    <row r="1277" spans="18:37" x14ac:dyDescent="0.45">
      <c r="R1277" s="2">
        <v>29.53</v>
      </c>
      <c r="S1277" s="2">
        <v>5.8124000000000001E-4</v>
      </c>
      <c r="T1277" s="2">
        <v>3.1813000000000002E-4</v>
      </c>
      <c r="V1277" s="11"/>
      <c r="W1277" s="6"/>
      <c r="X1277" s="6">
        <v>12.58</v>
      </c>
      <c r="Y1277" s="11" t="str">
        <f t="shared" si="240"/>
        <v/>
      </c>
      <c r="Z1277" s="6" t="str">
        <f t="shared" si="241"/>
        <v/>
      </c>
      <c r="AA1277" s="23">
        <f t="shared" si="242"/>
        <v>42.58</v>
      </c>
      <c r="AB1277" t="str">
        <f t="shared" si="231"/>
        <v/>
      </c>
      <c r="AC1277" t="str">
        <f t="shared" si="232"/>
        <v/>
      </c>
      <c r="AD1277">
        <f t="shared" si="233"/>
        <v>1.11326E-3</v>
      </c>
      <c r="AE1277" s="18" t="str">
        <f t="shared" si="234"/>
        <v/>
      </c>
      <c r="AF1277" s="7" t="str">
        <f t="shared" si="235"/>
        <v/>
      </c>
      <c r="AG1277" s="12">
        <f t="shared" si="236"/>
        <v>0.99049185590991851</v>
      </c>
      <c r="AI1277" s="54" t="str">
        <f t="shared" si="237"/>
        <v/>
      </c>
      <c r="AJ1277" s="54" t="str">
        <f t="shared" si="238"/>
        <v/>
      </c>
      <c r="AK1277" s="54">
        <f t="shared" si="239"/>
        <v>0.7948432214285599</v>
      </c>
    </row>
    <row r="1278" spans="18:37" x14ac:dyDescent="0.45">
      <c r="R1278" s="2">
        <v>29.54</v>
      </c>
      <c r="S1278" s="2">
        <v>5.8131999999999997E-4</v>
      </c>
      <c r="T1278" s="2">
        <v>3.1834000000000002E-4</v>
      </c>
      <c r="V1278" s="11"/>
      <c r="W1278" s="6"/>
      <c r="X1278" s="6">
        <v>12.59</v>
      </c>
      <c r="Y1278" s="11" t="str">
        <f t="shared" si="240"/>
        <v/>
      </c>
      <c r="Z1278" s="6" t="str">
        <f t="shared" si="241"/>
        <v/>
      </c>
      <c r="AA1278" s="23">
        <f t="shared" si="242"/>
        <v>42.59</v>
      </c>
      <c r="AB1278" t="str">
        <f t="shared" si="231"/>
        <v/>
      </c>
      <c r="AC1278" t="str">
        <f t="shared" si="232"/>
        <v/>
      </c>
      <c r="AD1278">
        <f t="shared" si="233"/>
        <v>1.1142299999999999E-3</v>
      </c>
      <c r="AE1278" s="18" t="str">
        <f t="shared" si="234"/>
        <v/>
      </c>
      <c r="AF1278" s="7" t="str">
        <f t="shared" si="235"/>
        <v/>
      </c>
      <c r="AG1278" s="12">
        <f t="shared" si="236"/>
        <v>0.99048082916028335</v>
      </c>
      <c r="AI1278" s="54" t="str">
        <f t="shared" si="237"/>
        <v/>
      </c>
      <c r="AJ1278" s="54" t="str">
        <f t="shared" si="238"/>
        <v/>
      </c>
      <c r="AK1278" s="54">
        <f t="shared" si="239"/>
        <v>0.79564976662320674</v>
      </c>
    </row>
    <row r="1279" spans="18:37" x14ac:dyDescent="0.45">
      <c r="R1279" s="2">
        <v>29.55</v>
      </c>
      <c r="S1279" s="2">
        <v>5.8140000000000004E-4</v>
      </c>
      <c r="T1279" s="2">
        <v>3.1855000000000002E-4</v>
      </c>
      <c r="V1279" s="11"/>
      <c r="W1279" s="6"/>
      <c r="X1279" s="6">
        <v>12.6</v>
      </c>
      <c r="Y1279" s="11" t="str">
        <f t="shared" si="240"/>
        <v/>
      </c>
      <c r="Z1279" s="6" t="str">
        <f t="shared" si="241"/>
        <v/>
      </c>
      <c r="AA1279" s="23">
        <f t="shared" si="242"/>
        <v>42.6</v>
      </c>
      <c r="AB1279" t="str">
        <f t="shared" si="231"/>
        <v/>
      </c>
      <c r="AC1279" t="str">
        <f t="shared" si="232"/>
        <v/>
      </c>
      <c r="AD1279">
        <f t="shared" si="233"/>
        <v>1.1152E-3</v>
      </c>
      <c r="AE1279" s="18" t="str">
        <f t="shared" si="234"/>
        <v/>
      </c>
      <c r="AF1279" s="7" t="str">
        <f t="shared" si="235"/>
        <v/>
      </c>
      <c r="AG1279" s="12">
        <f t="shared" si="236"/>
        <v>0.99046979292574056</v>
      </c>
      <c r="AI1279" s="54" t="str">
        <f t="shared" si="237"/>
        <v/>
      </c>
      <c r="AJ1279" s="54" t="str">
        <f t="shared" si="238"/>
        <v/>
      </c>
      <c r="AK1279" s="54">
        <f t="shared" si="239"/>
        <v>0.79645664143267914</v>
      </c>
    </row>
    <row r="1280" spans="18:37" x14ac:dyDescent="0.45">
      <c r="R1280" s="2">
        <v>29.56</v>
      </c>
      <c r="S1280" s="2">
        <v>5.8148E-4</v>
      </c>
      <c r="T1280" s="2">
        <v>3.1876000000000002E-4</v>
      </c>
      <c r="V1280" s="11"/>
      <c r="W1280" s="6"/>
      <c r="X1280" s="6">
        <v>12.61</v>
      </c>
      <c r="Y1280" s="11" t="str">
        <f t="shared" si="240"/>
        <v/>
      </c>
      <c r="Z1280" s="6" t="str">
        <f t="shared" si="241"/>
        <v/>
      </c>
      <c r="AA1280" s="23">
        <f t="shared" si="242"/>
        <v>42.61</v>
      </c>
      <c r="AB1280" t="str">
        <f t="shared" si="231"/>
        <v/>
      </c>
      <c r="AC1280" t="str">
        <f t="shared" si="232"/>
        <v/>
      </c>
      <c r="AD1280">
        <f t="shared" si="233"/>
        <v>1.1161700000000001E-3</v>
      </c>
      <c r="AE1280" s="18" t="str">
        <f t="shared" si="234"/>
        <v/>
      </c>
      <c r="AF1280" s="7" t="str">
        <f t="shared" si="235"/>
        <v/>
      </c>
      <c r="AG1280" s="12">
        <f t="shared" si="236"/>
        <v>0.99045874720660987</v>
      </c>
      <c r="AI1280" s="54" t="str">
        <f t="shared" si="237"/>
        <v/>
      </c>
      <c r="AJ1280" s="54" t="str">
        <f t="shared" si="238"/>
        <v/>
      </c>
      <c r="AK1280" s="54">
        <f t="shared" si="239"/>
        <v>0.79726384600814593</v>
      </c>
    </row>
    <row r="1281" spans="18:37" x14ac:dyDescent="0.45">
      <c r="R1281" s="2">
        <v>29.57</v>
      </c>
      <c r="S1281" s="2">
        <v>5.8155999999999995E-4</v>
      </c>
      <c r="T1281" s="2">
        <v>3.1897000000000002E-4</v>
      </c>
      <c r="V1281" s="11"/>
      <c r="W1281" s="6"/>
      <c r="X1281" s="6">
        <v>12.620000000000001</v>
      </c>
      <c r="Y1281" s="11" t="str">
        <f t="shared" si="240"/>
        <v/>
      </c>
      <c r="Z1281" s="6" t="str">
        <f t="shared" si="241"/>
        <v/>
      </c>
      <c r="AA1281" s="23">
        <f t="shared" si="242"/>
        <v>42.620000000000005</v>
      </c>
      <c r="AB1281" t="str">
        <f t="shared" si="231"/>
        <v/>
      </c>
      <c r="AC1281" t="str">
        <f t="shared" si="232"/>
        <v/>
      </c>
      <c r="AD1281">
        <f t="shared" si="233"/>
        <v>1.11714E-3</v>
      </c>
      <c r="AE1281" s="18" t="str">
        <f t="shared" si="234"/>
        <v/>
      </c>
      <c r="AF1281" s="7" t="str">
        <f t="shared" si="235"/>
        <v/>
      </c>
      <c r="AG1281" s="12">
        <f t="shared" si="236"/>
        <v>0.99044769200321114</v>
      </c>
      <c r="AI1281" s="54" t="str">
        <f t="shared" si="237"/>
        <v/>
      </c>
      <c r="AJ1281" s="54" t="str">
        <f t="shared" si="238"/>
        <v/>
      </c>
      <c r="AK1281" s="54">
        <f t="shared" si="239"/>
        <v>0.79807138050084769</v>
      </c>
    </row>
    <row r="1282" spans="18:37" x14ac:dyDescent="0.45">
      <c r="R1282" s="2">
        <v>29.58</v>
      </c>
      <c r="S1282" s="2">
        <v>5.8164000000000002E-4</v>
      </c>
      <c r="T1282" s="2">
        <v>3.1918000000000002E-4</v>
      </c>
      <c r="V1282" s="11"/>
      <c r="W1282" s="6"/>
      <c r="X1282" s="6">
        <v>12.63</v>
      </c>
      <c r="Y1282" s="11" t="str">
        <f t="shared" si="240"/>
        <v/>
      </c>
      <c r="Z1282" s="6" t="str">
        <f t="shared" si="241"/>
        <v/>
      </c>
      <c r="AA1282" s="23">
        <f t="shared" si="242"/>
        <v>42.63</v>
      </c>
      <c r="AB1282" t="str">
        <f t="shared" si="231"/>
        <v/>
      </c>
      <c r="AC1282" t="str">
        <f t="shared" si="232"/>
        <v/>
      </c>
      <c r="AD1282">
        <f t="shared" si="233"/>
        <v>1.1181100000000001E-3</v>
      </c>
      <c r="AE1282" s="18" t="str">
        <f t="shared" si="234"/>
        <v/>
      </c>
      <c r="AF1282" s="7" t="str">
        <f t="shared" si="235"/>
        <v/>
      </c>
      <c r="AG1282" s="12">
        <f t="shared" si="236"/>
        <v>0.99043662731586468</v>
      </c>
      <c r="AI1282" s="54" t="str">
        <f t="shared" si="237"/>
        <v/>
      </c>
      <c r="AJ1282" s="54" t="str">
        <f t="shared" si="238"/>
        <v/>
      </c>
      <c r="AK1282" s="54">
        <f t="shared" si="239"/>
        <v>0.79887924506209662</v>
      </c>
    </row>
    <row r="1283" spans="18:37" x14ac:dyDescent="0.45">
      <c r="R1283" s="2">
        <v>29.59</v>
      </c>
      <c r="S1283" s="2">
        <v>5.8171999999999998E-4</v>
      </c>
      <c r="T1283" s="2">
        <v>3.1939000000000002E-4</v>
      </c>
      <c r="V1283" s="11"/>
      <c r="W1283" s="6"/>
      <c r="X1283" s="6">
        <v>12.64</v>
      </c>
      <c r="Y1283" s="11" t="str">
        <f t="shared" si="240"/>
        <v/>
      </c>
      <c r="Z1283" s="6" t="str">
        <f t="shared" si="241"/>
        <v/>
      </c>
      <c r="AA1283" s="23">
        <f t="shared" si="242"/>
        <v>42.64</v>
      </c>
      <c r="AB1283" t="str">
        <f t="shared" si="231"/>
        <v/>
      </c>
      <c r="AC1283" t="str">
        <f t="shared" si="232"/>
        <v/>
      </c>
      <c r="AD1283">
        <f t="shared" si="233"/>
        <v>1.1190799999999999E-3</v>
      </c>
      <c r="AE1283" s="18" t="str">
        <f t="shared" si="234"/>
        <v/>
      </c>
      <c r="AF1283" s="7" t="str">
        <f t="shared" si="235"/>
        <v/>
      </c>
      <c r="AG1283" s="12">
        <f t="shared" si="236"/>
        <v>0.990425553144891</v>
      </c>
      <c r="AI1283" s="54" t="str">
        <f t="shared" si="237"/>
        <v/>
      </c>
      <c r="AJ1283" s="54" t="str">
        <f t="shared" si="238"/>
        <v/>
      </c>
      <c r="AK1283" s="54">
        <f t="shared" si="239"/>
        <v>0.79968743984327695</v>
      </c>
    </row>
    <row r="1284" spans="18:37" x14ac:dyDescent="0.45">
      <c r="R1284" s="2">
        <v>29.6</v>
      </c>
      <c r="S1284" s="2">
        <v>5.8180000000000005E-4</v>
      </c>
      <c r="T1284" s="2">
        <v>3.1960000000000002E-4</v>
      </c>
      <c r="V1284" s="11"/>
      <c r="W1284" s="6"/>
      <c r="X1284" s="6">
        <v>12.65</v>
      </c>
      <c r="Y1284" s="11" t="str">
        <f t="shared" si="240"/>
        <v/>
      </c>
      <c r="Z1284" s="6" t="str">
        <f t="shared" si="241"/>
        <v/>
      </c>
      <c r="AA1284" s="23">
        <f t="shared" si="242"/>
        <v>42.65</v>
      </c>
      <c r="AB1284" t="str">
        <f t="shared" si="231"/>
        <v/>
      </c>
      <c r="AC1284" t="str">
        <f t="shared" si="232"/>
        <v/>
      </c>
      <c r="AD1284">
        <f t="shared" si="233"/>
        <v>1.12005E-3</v>
      </c>
      <c r="AE1284" s="18" t="str">
        <f t="shared" si="234"/>
        <v/>
      </c>
      <c r="AF1284" s="7" t="str">
        <f t="shared" si="235"/>
        <v/>
      </c>
      <c r="AG1284" s="12">
        <f t="shared" si="236"/>
        <v>0.99041446949061085</v>
      </c>
      <c r="AI1284" s="54" t="str">
        <f t="shared" si="237"/>
        <v/>
      </c>
      <c r="AJ1284" s="54" t="str">
        <f t="shared" si="238"/>
        <v/>
      </c>
      <c r="AK1284" s="54">
        <f t="shared" si="239"/>
        <v>0.80049596499584452</v>
      </c>
    </row>
    <row r="1285" spans="18:37" x14ac:dyDescent="0.45">
      <c r="R1285" s="2">
        <v>29.61</v>
      </c>
      <c r="S1285" s="2">
        <v>5.8188000000000001E-4</v>
      </c>
      <c r="T1285" s="2">
        <v>3.1981000000000002E-4</v>
      </c>
      <c r="V1285" s="11"/>
      <c r="W1285" s="6"/>
      <c r="X1285" s="6">
        <v>12.66</v>
      </c>
      <c r="Y1285" s="11" t="str">
        <f t="shared" si="240"/>
        <v/>
      </c>
      <c r="Z1285" s="6" t="str">
        <f t="shared" si="241"/>
        <v/>
      </c>
      <c r="AA1285" s="23">
        <f t="shared" si="242"/>
        <v>42.66</v>
      </c>
      <c r="AB1285" t="str">
        <f t="shared" si="231"/>
        <v/>
      </c>
      <c r="AC1285" t="str">
        <f t="shared" si="232"/>
        <v/>
      </c>
      <c r="AD1285">
        <f t="shared" si="233"/>
        <v>1.1210199999999999E-3</v>
      </c>
      <c r="AE1285" s="18" t="str">
        <f t="shared" si="234"/>
        <v/>
      </c>
      <c r="AF1285" s="7" t="str">
        <f t="shared" si="235"/>
        <v/>
      </c>
      <c r="AG1285" s="12">
        <f t="shared" si="236"/>
        <v>0.9904033763533453</v>
      </c>
      <c r="AI1285" s="54" t="str">
        <f t="shared" si="237"/>
        <v/>
      </c>
      <c r="AJ1285" s="54" t="str">
        <f t="shared" si="238"/>
        <v/>
      </c>
      <c r="AK1285" s="54">
        <f t="shared" si="239"/>
        <v>0.80130482067132724</v>
      </c>
    </row>
    <row r="1286" spans="18:37" x14ac:dyDescent="0.45">
      <c r="R1286" s="2">
        <v>29.62</v>
      </c>
      <c r="S1286" s="2">
        <v>5.8195999999999996E-4</v>
      </c>
      <c r="T1286" s="2">
        <v>3.2002000000000002E-4</v>
      </c>
      <c r="V1286" s="11"/>
      <c r="W1286" s="6"/>
      <c r="X1286" s="6">
        <v>12.67</v>
      </c>
      <c r="Y1286" s="11" t="str">
        <f t="shared" si="240"/>
        <v/>
      </c>
      <c r="Z1286" s="6" t="str">
        <f t="shared" si="241"/>
        <v/>
      </c>
      <c r="AA1286" s="23">
        <f t="shared" si="242"/>
        <v>42.67</v>
      </c>
      <c r="AB1286" t="str">
        <f t="shared" si="231"/>
        <v/>
      </c>
      <c r="AC1286" t="str">
        <f t="shared" si="232"/>
        <v/>
      </c>
      <c r="AD1286">
        <f t="shared" si="233"/>
        <v>1.12199E-3</v>
      </c>
      <c r="AE1286" s="18" t="str">
        <f t="shared" si="234"/>
        <v/>
      </c>
      <c r="AF1286" s="7" t="str">
        <f t="shared" si="235"/>
        <v/>
      </c>
      <c r="AG1286" s="12">
        <f t="shared" si="236"/>
        <v>0.99039227373341565</v>
      </c>
      <c r="AI1286" s="54" t="str">
        <f t="shared" si="237"/>
        <v/>
      </c>
      <c r="AJ1286" s="54" t="str">
        <f t="shared" si="238"/>
        <v/>
      </c>
      <c r="AK1286" s="54">
        <f t="shared" si="239"/>
        <v>0.80211400702132496</v>
      </c>
    </row>
    <row r="1287" spans="18:37" x14ac:dyDescent="0.45">
      <c r="R1287" s="2">
        <v>29.63</v>
      </c>
      <c r="S1287" s="2">
        <v>5.8204000000000003E-4</v>
      </c>
      <c r="T1287" s="2">
        <v>3.2023000000000002E-4</v>
      </c>
      <c r="V1287" s="11"/>
      <c r="W1287" s="6"/>
      <c r="X1287" s="6">
        <v>12.68</v>
      </c>
      <c r="Y1287" s="11" t="str">
        <f t="shared" si="240"/>
        <v/>
      </c>
      <c r="Z1287" s="6" t="str">
        <f t="shared" si="241"/>
        <v/>
      </c>
      <c r="AA1287" s="23">
        <f t="shared" si="242"/>
        <v>42.68</v>
      </c>
      <c r="AB1287" t="str">
        <f t="shared" si="231"/>
        <v/>
      </c>
      <c r="AC1287" t="str">
        <f t="shared" si="232"/>
        <v/>
      </c>
      <c r="AD1287">
        <f t="shared" si="233"/>
        <v>1.1229600000000001E-3</v>
      </c>
      <c r="AE1287" s="18" t="str">
        <f t="shared" si="234"/>
        <v/>
      </c>
      <c r="AF1287" s="7" t="str">
        <f t="shared" si="235"/>
        <v/>
      </c>
      <c r="AG1287" s="12">
        <f t="shared" si="236"/>
        <v>0.99038116163114354</v>
      </c>
      <c r="AI1287" s="54" t="str">
        <f t="shared" si="237"/>
        <v/>
      </c>
      <c r="AJ1287" s="54" t="str">
        <f t="shared" si="238"/>
        <v/>
      </c>
      <c r="AK1287" s="54">
        <f t="shared" si="239"/>
        <v>0.80292352419750934</v>
      </c>
    </row>
    <row r="1288" spans="18:37" x14ac:dyDescent="0.45">
      <c r="R1288" s="2">
        <v>29.64</v>
      </c>
      <c r="S1288" s="2">
        <v>5.8211999999999999E-4</v>
      </c>
      <c r="T1288" s="2">
        <v>3.2044000000000002E-4</v>
      </c>
      <c r="V1288" s="11"/>
      <c r="W1288" s="6"/>
      <c r="X1288" s="6">
        <v>12.69</v>
      </c>
      <c r="Y1288" s="11" t="str">
        <f t="shared" si="240"/>
        <v/>
      </c>
      <c r="Z1288" s="6" t="str">
        <f t="shared" si="241"/>
        <v/>
      </c>
      <c r="AA1288" s="23">
        <f t="shared" si="242"/>
        <v>42.69</v>
      </c>
      <c r="AB1288" t="str">
        <f t="shared" si="231"/>
        <v/>
      </c>
      <c r="AC1288" t="str">
        <f t="shared" si="232"/>
        <v/>
      </c>
      <c r="AD1288">
        <f t="shared" si="233"/>
        <v>1.12393E-3</v>
      </c>
      <c r="AE1288" s="18" t="str">
        <f t="shared" si="234"/>
        <v/>
      </c>
      <c r="AF1288" s="7" t="str">
        <f t="shared" si="235"/>
        <v/>
      </c>
      <c r="AG1288" s="12">
        <f t="shared" si="236"/>
        <v>0.99037004004685092</v>
      </c>
      <c r="AI1288" s="54" t="str">
        <f t="shared" si="237"/>
        <v/>
      </c>
      <c r="AJ1288" s="54" t="str">
        <f t="shared" si="238"/>
        <v/>
      </c>
      <c r="AK1288" s="54">
        <f t="shared" si="239"/>
        <v>0.80373337235162412</v>
      </c>
    </row>
    <row r="1289" spans="18:37" x14ac:dyDescent="0.45">
      <c r="R1289" s="2">
        <v>29.65</v>
      </c>
      <c r="S1289" s="2">
        <v>5.8219999999999995E-4</v>
      </c>
      <c r="T1289" s="2">
        <v>3.2065000000000001E-4</v>
      </c>
      <c r="V1289" s="11"/>
      <c r="W1289" s="6"/>
      <c r="X1289" s="6">
        <v>12.700000000000001</v>
      </c>
      <c r="Y1289" s="11" t="str">
        <f t="shared" si="240"/>
        <v/>
      </c>
      <c r="Z1289" s="6" t="str">
        <f t="shared" si="241"/>
        <v/>
      </c>
      <c r="AA1289" s="23">
        <f t="shared" si="242"/>
        <v>42.7</v>
      </c>
      <c r="AB1289" t="str">
        <f t="shared" si="231"/>
        <v/>
      </c>
      <c r="AC1289" t="str">
        <f t="shared" si="232"/>
        <v/>
      </c>
      <c r="AD1289">
        <f t="shared" si="233"/>
        <v>1.1249000000000001E-3</v>
      </c>
      <c r="AE1289" s="18" t="str">
        <f t="shared" si="234"/>
        <v/>
      </c>
      <c r="AF1289" s="7" t="str">
        <f t="shared" si="235"/>
        <v/>
      </c>
      <c r="AG1289" s="12">
        <f t="shared" si="236"/>
        <v>0.99035890898085988</v>
      </c>
      <c r="AI1289" s="54" t="str">
        <f t="shared" si="237"/>
        <v/>
      </c>
      <c r="AJ1289" s="54" t="str">
        <f t="shared" si="238"/>
        <v/>
      </c>
      <c r="AK1289" s="54">
        <f t="shared" si="239"/>
        <v>0.80454355163548519</v>
      </c>
    </row>
    <row r="1290" spans="18:37" x14ac:dyDescent="0.45">
      <c r="R1290" s="2">
        <v>29.66</v>
      </c>
      <c r="S1290" s="2">
        <v>5.8228000000000002E-4</v>
      </c>
      <c r="T1290" s="2">
        <v>3.2086000000000001E-4</v>
      </c>
      <c r="V1290" s="11"/>
      <c r="W1290" s="6"/>
      <c r="X1290" s="6">
        <v>12.71</v>
      </c>
      <c r="Y1290" s="11" t="str">
        <f t="shared" si="240"/>
        <v/>
      </c>
      <c r="Z1290" s="6" t="str">
        <f t="shared" si="241"/>
        <v/>
      </c>
      <c r="AA1290" s="23">
        <f t="shared" si="242"/>
        <v>42.71</v>
      </c>
      <c r="AB1290" t="str">
        <f t="shared" si="231"/>
        <v/>
      </c>
      <c r="AC1290" t="str">
        <f t="shared" si="232"/>
        <v/>
      </c>
      <c r="AD1290">
        <f t="shared" si="233"/>
        <v>1.12587E-3</v>
      </c>
      <c r="AE1290" s="18" t="str">
        <f t="shared" si="234"/>
        <v/>
      </c>
      <c r="AF1290" s="7" t="str">
        <f t="shared" si="235"/>
        <v/>
      </c>
      <c r="AG1290" s="12">
        <f t="shared" si="236"/>
        <v>0.9903477684334927</v>
      </c>
      <c r="AI1290" s="54" t="str">
        <f t="shared" si="237"/>
        <v/>
      </c>
      <c r="AJ1290" s="54" t="str">
        <f t="shared" si="238"/>
        <v/>
      </c>
      <c r="AK1290" s="54">
        <f t="shared" si="239"/>
        <v>0.80535406220098027</v>
      </c>
    </row>
    <row r="1291" spans="18:37" x14ac:dyDescent="0.45">
      <c r="R1291" s="2">
        <v>29.67</v>
      </c>
      <c r="S1291" s="2">
        <v>5.8235999999999997E-4</v>
      </c>
      <c r="T1291" s="2">
        <v>3.2107000000000001E-4</v>
      </c>
      <c r="V1291" s="11"/>
      <c r="W1291" s="6"/>
      <c r="X1291" s="6">
        <v>12.72</v>
      </c>
      <c r="Y1291" s="11" t="str">
        <f t="shared" si="240"/>
        <v/>
      </c>
      <c r="Z1291" s="6" t="str">
        <f t="shared" si="241"/>
        <v/>
      </c>
      <c r="AA1291" s="23">
        <f t="shared" si="242"/>
        <v>42.72</v>
      </c>
      <c r="AB1291" t="str">
        <f t="shared" si="231"/>
        <v/>
      </c>
      <c r="AC1291" t="str">
        <f t="shared" si="232"/>
        <v/>
      </c>
      <c r="AD1291">
        <f t="shared" si="233"/>
        <v>1.12684E-3</v>
      </c>
      <c r="AE1291" s="18" t="str">
        <f t="shared" si="234"/>
        <v/>
      </c>
      <c r="AF1291" s="7" t="str">
        <f t="shared" si="235"/>
        <v/>
      </c>
      <c r="AG1291" s="12">
        <f t="shared" si="236"/>
        <v>0.99033661840507226</v>
      </c>
      <c r="AI1291" s="54" t="str">
        <f t="shared" si="237"/>
        <v/>
      </c>
      <c r="AJ1291" s="54" t="str">
        <f t="shared" si="238"/>
        <v/>
      </c>
      <c r="AK1291" s="54">
        <f t="shared" si="239"/>
        <v>0.80616490420006925</v>
      </c>
    </row>
    <row r="1292" spans="18:37" x14ac:dyDescent="0.45">
      <c r="R1292" s="2">
        <v>29.68</v>
      </c>
      <c r="S1292" s="2">
        <v>5.8244000000000004E-4</v>
      </c>
      <c r="T1292" s="2">
        <v>3.2128000000000001E-4</v>
      </c>
      <c r="V1292" s="11"/>
      <c r="W1292" s="6"/>
      <c r="X1292" s="6">
        <v>12.73</v>
      </c>
      <c r="Y1292" s="11" t="str">
        <f t="shared" si="240"/>
        <v/>
      </c>
      <c r="Z1292" s="6" t="str">
        <f t="shared" si="241"/>
        <v/>
      </c>
      <c r="AA1292" s="23">
        <f t="shared" si="242"/>
        <v>42.730000000000004</v>
      </c>
      <c r="AB1292" t="str">
        <f t="shared" si="231"/>
        <v/>
      </c>
      <c r="AC1292" t="str">
        <f t="shared" si="232"/>
        <v/>
      </c>
      <c r="AD1292">
        <f t="shared" si="233"/>
        <v>1.1278099999999999E-3</v>
      </c>
      <c r="AE1292" s="18" t="str">
        <f t="shared" si="234"/>
        <v/>
      </c>
      <c r="AF1292" s="7" t="str">
        <f t="shared" si="235"/>
        <v/>
      </c>
      <c r="AG1292" s="12">
        <f t="shared" si="236"/>
        <v>0.99032545889592138</v>
      </c>
      <c r="AI1292" s="54" t="str">
        <f t="shared" si="237"/>
        <v/>
      </c>
      <c r="AJ1292" s="54" t="str">
        <f t="shared" si="238"/>
        <v/>
      </c>
      <c r="AK1292" s="54">
        <f t="shared" si="239"/>
        <v>0.80697607778478431</v>
      </c>
    </row>
    <row r="1293" spans="18:37" x14ac:dyDescent="0.45">
      <c r="R1293" s="2">
        <v>29.69</v>
      </c>
      <c r="S1293" s="2">
        <v>5.8252E-4</v>
      </c>
      <c r="T1293" s="2">
        <v>3.2149000000000001E-4</v>
      </c>
      <c r="V1293" s="11"/>
      <c r="W1293" s="6"/>
      <c r="X1293" s="6">
        <v>12.74</v>
      </c>
      <c r="Y1293" s="11" t="str">
        <f t="shared" si="240"/>
        <v/>
      </c>
      <c r="Z1293" s="6" t="str">
        <f t="shared" si="241"/>
        <v/>
      </c>
      <c r="AA1293" s="23">
        <f t="shared" si="242"/>
        <v>42.74</v>
      </c>
      <c r="AB1293" t="str">
        <f t="shared" si="231"/>
        <v/>
      </c>
      <c r="AC1293" t="str">
        <f t="shared" si="232"/>
        <v/>
      </c>
      <c r="AD1293">
        <f t="shared" si="233"/>
        <v>1.12878E-3</v>
      </c>
      <c r="AE1293" s="18" t="str">
        <f t="shared" si="234"/>
        <v/>
      </c>
      <c r="AF1293" s="7" t="str">
        <f t="shared" si="235"/>
        <v/>
      </c>
      <c r="AG1293" s="12">
        <f t="shared" si="236"/>
        <v>0.99031428990636339</v>
      </c>
      <c r="AI1293" s="54" t="str">
        <f t="shared" si="237"/>
        <v/>
      </c>
      <c r="AJ1293" s="54" t="str">
        <f t="shared" si="238"/>
        <v/>
      </c>
      <c r="AK1293" s="54">
        <f t="shared" si="239"/>
        <v>0.80778758310722953</v>
      </c>
    </row>
    <row r="1294" spans="18:37" x14ac:dyDescent="0.45">
      <c r="R1294" s="2">
        <v>29.7</v>
      </c>
      <c r="S1294" s="2">
        <v>5.8259999999999996E-4</v>
      </c>
      <c r="T1294" s="2">
        <v>3.2170000000000001E-4</v>
      </c>
      <c r="V1294" s="11"/>
      <c r="W1294" s="6"/>
      <c r="X1294" s="6">
        <v>12.75</v>
      </c>
      <c r="Y1294" s="11" t="str">
        <f t="shared" si="240"/>
        <v/>
      </c>
      <c r="Z1294" s="6" t="str">
        <f t="shared" si="241"/>
        <v/>
      </c>
      <c r="AA1294" s="23">
        <f t="shared" si="242"/>
        <v>42.75</v>
      </c>
      <c r="AB1294" t="str">
        <f t="shared" si="231"/>
        <v/>
      </c>
      <c r="AC1294" t="str">
        <f t="shared" si="232"/>
        <v/>
      </c>
      <c r="AD1294">
        <f t="shared" si="233"/>
        <v>1.1297499999999999E-3</v>
      </c>
      <c r="AE1294" s="18" t="str">
        <f t="shared" si="234"/>
        <v/>
      </c>
      <c r="AF1294" s="7" t="str">
        <f t="shared" si="235"/>
        <v/>
      </c>
      <c r="AG1294" s="12">
        <f t="shared" si="236"/>
        <v>0.99030311143672178</v>
      </c>
      <c r="AI1294" s="54" t="str">
        <f t="shared" si="237"/>
        <v/>
      </c>
      <c r="AJ1294" s="54" t="str">
        <f t="shared" si="238"/>
        <v/>
      </c>
      <c r="AK1294" s="54">
        <f t="shared" si="239"/>
        <v>0.80859942031958154</v>
      </c>
    </row>
    <row r="1295" spans="18:37" x14ac:dyDescent="0.45">
      <c r="R1295" s="2">
        <v>29.71</v>
      </c>
      <c r="S1295" s="2">
        <v>5.8268000000000003E-4</v>
      </c>
      <c r="T1295" s="2">
        <v>3.2191000000000001E-4</v>
      </c>
      <c r="V1295" s="11"/>
      <c r="W1295" s="6"/>
      <c r="X1295" s="6">
        <v>12.76</v>
      </c>
      <c r="Y1295" s="11" t="str">
        <f t="shared" si="240"/>
        <v/>
      </c>
      <c r="Z1295" s="6" t="str">
        <f t="shared" si="241"/>
        <v/>
      </c>
      <c r="AA1295" s="23">
        <f t="shared" si="242"/>
        <v>42.76</v>
      </c>
      <c r="AB1295" t="str">
        <f t="shared" si="231"/>
        <v/>
      </c>
      <c r="AC1295" t="str">
        <f t="shared" si="232"/>
        <v/>
      </c>
      <c r="AD1295">
        <f t="shared" si="233"/>
        <v>1.13072E-3</v>
      </c>
      <c r="AE1295" s="18" t="str">
        <f t="shared" si="234"/>
        <v/>
      </c>
      <c r="AF1295" s="7" t="str">
        <f t="shared" si="235"/>
        <v/>
      </c>
      <c r="AG1295" s="12">
        <f t="shared" si="236"/>
        <v>0.99029192348732031</v>
      </c>
      <c r="AI1295" s="54" t="str">
        <f t="shared" si="237"/>
        <v/>
      </c>
      <c r="AJ1295" s="54" t="str">
        <f t="shared" si="238"/>
        <v/>
      </c>
      <c r="AK1295" s="54">
        <f t="shared" si="239"/>
        <v>0.80941158957408887</v>
      </c>
    </row>
    <row r="1296" spans="18:37" x14ac:dyDescent="0.45">
      <c r="R1296" s="2">
        <v>29.72</v>
      </c>
      <c r="S1296" s="2">
        <v>5.8275999999999998E-4</v>
      </c>
      <c r="T1296" s="2">
        <v>3.2212000000000001E-4</v>
      </c>
      <c r="V1296" s="11"/>
      <c r="W1296" s="6"/>
      <c r="X1296" s="6">
        <v>12.77</v>
      </c>
      <c r="Y1296" s="11" t="str">
        <f t="shared" si="240"/>
        <v/>
      </c>
      <c r="Z1296" s="6" t="str">
        <f t="shared" si="241"/>
        <v/>
      </c>
      <c r="AA1296" s="23">
        <f t="shared" si="242"/>
        <v>42.769999999999996</v>
      </c>
      <c r="AB1296" t="str">
        <f t="shared" si="231"/>
        <v/>
      </c>
      <c r="AC1296" t="str">
        <f t="shared" si="232"/>
        <v/>
      </c>
      <c r="AD1296">
        <f t="shared" si="233"/>
        <v>1.13072E-3</v>
      </c>
      <c r="AE1296" s="18" t="str">
        <f t="shared" si="234"/>
        <v/>
      </c>
      <c r="AF1296" s="7" t="str">
        <f t="shared" si="235"/>
        <v/>
      </c>
      <c r="AG1296" s="12">
        <f t="shared" si="236"/>
        <v>0.99028072605848305</v>
      </c>
      <c r="AI1296" s="54" t="str">
        <f t="shared" si="237"/>
        <v/>
      </c>
      <c r="AJ1296" s="54" t="str">
        <f t="shared" si="238"/>
        <v/>
      </c>
      <c r="AK1296" s="54">
        <f t="shared" si="239"/>
        <v>0.81022409102307269</v>
      </c>
    </row>
    <row r="1297" spans="18:37" x14ac:dyDescent="0.45">
      <c r="R1297" s="2">
        <v>29.73</v>
      </c>
      <c r="S1297" s="2">
        <v>5.8284000000000005E-4</v>
      </c>
      <c r="T1297" s="2">
        <v>3.2233000000000001E-4</v>
      </c>
      <c r="V1297" s="11"/>
      <c r="W1297" s="6"/>
      <c r="X1297" s="6">
        <v>12.780000000000001</v>
      </c>
      <c r="Y1297" s="11" t="str">
        <f t="shared" si="240"/>
        <v/>
      </c>
      <c r="Z1297" s="6" t="str">
        <f t="shared" si="241"/>
        <v/>
      </c>
      <c r="AA1297" s="23">
        <f t="shared" si="242"/>
        <v>42.78</v>
      </c>
      <c r="AB1297" t="str">
        <f t="shared" si="231"/>
        <v/>
      </c>
      <c r="AC1297" t="str">
        <f t="shared" si="232"/>
        <v/>
      </c>
      <c r="AD1297">
        <f t="shared" si="233"/>
        <v>1.13266E-3</v>
      </c>
      <c r="AE1297" s="18" t="str">
        <f t="shared" si="234"/>
        <v/>
      </c>
      <c r="AF1297" s="7" t="str">
        <f t="shared" si="235"/>
        <v/>
      </c>
      <c r="AG1297" s="12">
        <f t="shared" si="236"/>
        <v>0.9902695287562574</v>
      </c>
      <c r="AI1297" s="54" t="str">
        <f t="shared" si="237"/>
        <v/>
      </c>
      <c r="AJ1297" s="54" t="str">
        <f t="shared" si="238"/>
        <v/>
      </c>
      <c r="AK1297" s="54">
        <f t="shared" si="239"/>
        <v>0.81103692665975247</v>
      </c>
    </row>
    <row r="1298" spans="18:37" x14ac:dyDescent="0.45">
      <c r="R1298" s="2">
        <v>29.74</v>
      </c>
      <c r="S1298" s="2">
        <v>5.8292000000000001E-4</v>
      </c>
      <c r="T1298" s="2">
        <v>3.2254000000000001E-4</v>
      </c>
      <c r="V1298" s="11"/>
      <c r="W1298" s="6"/>
      <c r="X1298" s="6">
        <v>12.790000000000001</v>
      </c>
      <c r="Y1298" s="11" t="str">
        <f t="shared" si="240"/>
        <v/>
      </c>
      <c r="Z1298" s="6" t="str">
        <f t="shared" si="241"/>
        <v/>
      </c>
      <c r="AA1298" s="23">
        <f t="shared" si="242"/>
        <v>42.79</v>
      </c>
      <c r="AB1298" t="str">
        <f t="shared" si="231"/>
        <v/>
      </c>
      <c r="AC1298" t="str">
        <f t="shared" si="232"/>
        <v/>
      </c>
      <c r="AD1298">
        <f t="shared" si="233"/>
        <v>1.1336300000000001E-3</v>
      </c>
      <c r="AE1298" s="18" t="str">
        <f t="shared" si="234"/>
        <v/>
      </c>
      <c r="AF1298" s="7" t="str">
        <f t="shared" si="235"/>
        <v/>
      </c>
      <c r="AG1298" s="12">
        <f t="shared" si="236"/>
        <v>0.99025831236941297</v>
      </c>
      <c r="AI1298" s="54" t="str">
        <f t="shared" si="237"/>
        <v/>
      </c>
      <c r="AJ1298" s="54" t="str">
        <f t="shared" si="238"/>
        <v/>
      </c>
      <c r="AK1298" s="54">
        <f t="shared" si="239"/>
        <v>0.81185009295569832</v>
      </c>
    </row>
    <row r="1299" spans="18:37" x14ac:dyDescent="0.45">
      <c r="R1299" s="2">
        <v>29.75</v>
      </c>
      <c r="S1299" s="2">
        <v>5.8299999999999997E-4</v>
      </c>
      <c r="T1299" s="2">
        <v>3.2275000000000001E-4</v>
      </c>
      <c r="V1299" s="11"/>
      <c r="W1299" s="6"/>
      <c r="X1299" s="6">
        <v>12.8</v>
      </c>
      <c r="Y1299" s="11" t="str">
        <f t="shared" si="240"/>
        <v/>
      </c>
      <c r="Z1299" s="6" t="str">
        <f t="shared" si="241"/>
        <v/>
      </c>
      <c r="AA1299" s="23">
        <f t="shared" si="242"/>
        <v>42.8</v>
      </c>
      <c r="AB1299" t="str">
        <f t="shared" ref="AB1299:AB1362" si="243">IF(Y1299="","",VLOOKUP(Y1299,Table_1,2))</f>
        <v/>
      </c>
      <c r="AC1299" t="str">
        <f t="shared" ref="AC1299:AC1362" si="244">IF(Z1299="","",VLOOKUP(Z1299,Table_2,2))</f>
        <v/>
      </c>
      <c r="AD1299">
        <f t="shared" ref="AD1299:AD1362" si="245">IF(AA1299="","",VLOOKUP(AA1299,Table_3,2))</f>
        <v>1.1345999999999999E-3</v>
      </c>
      <c r="AE1299" s="18" t="str">
        <f t="shared" si="234"/>
        <v/>
      </c>
      <c r="AF1299" s="7" t="str">
        <f t="shared" si="235"/>
        <v/>
      </c>
      <c r="AG1299" s="12">
        <f t="shared" si="236"/>
        <v>0.99024708650410642</v>
      </c>
      <c r="AI1299" s="54" t="str">
        <f t="shared" si="237"/>
        <v/>
      </c>
      <c r="AJ1299" s="54" t="str">
        <f t="shared" si="238"/>
        <v/>
      </c>
      <c r="AK1299" s="54">
        <f t="shared" si="239"/>
        <v>0.81266359190351789</v>
      </c>
    </row>
    <row r="1300" spans="18:37" x14ac:dyDescent="0.45">
      <c r="R1300" s="2">
        <v>29.76</v>
      </c>
      <c r="S1300" s="2">
        <v>5.8308000000000003E-4</v>
      </c>
      <c r="T1300" s="2">
        <v>3.2296000000000001E-4</v>
      </c>
      <c r="V1300" s="11"/>
      <c r="W1300" s="6"/>
      <c r="X1300" s="6">
        <v>12.81</v>
      </c>
      <c r="Y1300" s="11" t="str">
        <f t="shared" si="240"/>
        <v/>
      </c>
      <c r="Z1300" s="6" t="str">
        <f t="shared" si="241"/>
        <v/>
      </c>
      <c r="AA1300" s="23">
        <f t="shared" si="242"/>
        <v>42.81</v>
      </c>
      <c r="AB1300" t="str">
        <f t="shared" si="243"/>
        <v/>
      </c>
      <c r="AC1300" t="str">
        <f t="shared" si="244"/>
        <v/>
      </c>
      <c r="AD1300">
        <f t="shared" si="245"/>
        <v>1.13557E-3</v>
      </c>
      <c r="AE1300" s="18" t="str">
        <f t="shared" ref="AE1300:AE1363" si="246">IF(AB1300="","",AE1299+h_1*(-AE1299*AB1299))</f>
        <v/>
      </c>
      <c r="AF1300" s="7" t="str">
        <f t="shared" ref="AF1300:AF1363" si="247">IF(AC1300="","",AF1299+h_2*(-AF1299*AC1299))</f>
        <v/>
      </c>
      <c r="AG1300" s="12">
        <f t="shared" ref="AG1300:AG1363" si="248">IF(AD1300="","",AG1299+h_3*(-AG1299*AD1299))</f>
        <v>0.99023585116066293</v>
      </c>
      <c r="AI1300" s="54" t="str">
        <f t="shared" ref="AI1300:AI1363" si="249">IF(Y1300="","",AI1299+AI$17*(AI1299*delta+Prem1-AB1299*(1-AI1299)))</f>
        <v/>
      </c>
      <c r="AJ1300" s="54" t="str">
        <f t="shared" ref="AJ1300:AJ1363" si="250">IF(Z1300="","",AJ1299+AJ$17*(AJ1299*delta+Prem2-AC1299*(1-AJ1299)))</f>
        <v/>
      </c>
      <c r="AK1300" s="54">
        <f t="shared" ref="AK1300:AK1363" si="251">IF(AA1300="","",AK1299+AK$17*(AK1299*delta+Prem3-AD1299*(1-AK1299)))</f>
        <v>0.81347742365582154</v>
      </c>
    </row>
    <row r="1301" spans="18:37" x14ac:dyDescent="0.45">
      <c r="R1301" s="2">
        <v>29.77</v>
      </c>
      <c r="S1301" s="2">
        <v>5.8315999999999999E-4</v>
      </c>
      <c r="T1301" s="2">
        <v>3.2317000000000001E-4</v>
      </c>
      <c r="V1301" s="11"/>
      <c r="W1301" s="6"/>
      <c r="X1301" s="6">
        <v>12.82</v>
      </c>
      <c r="Y1301" s="11" t="str">
        <f t="shared" ref="Y1301:Y1364" si="252">IF(ISBLANK(V1301),"",$Y$19+V1301)</f>
        <v/>
      </c>
      <c r="Z1301" s="6" t="str">
        <f t="shared" ref="Z1301:Z1364" si="253">IF(ISBLANK(W1301),"",$Y$19+W1301)</f>
        <v/>
      </c>
      <c r="AA1301" s="23">
        <f t="shared" ref="AA1301:AA1364" si="254">IF(ISBLANK(X1301),"",$Y$19+X1301)</f>
        <v>42.82</v>
      </c>
      <c r="AB1301" t="str">
        <f t="shared" si="243"/>
        <v/>
      </c>
      <c r="AC1301" t="str">
        <f t="shared" si="244"/>
        <v/>
      </c>
      <c r="AD1301">
        <f t="shared" si="245"/>
        <v>1.1365399999999999E-3</v>
      </c>
      <c r="AE1301" s="18" t="str">
        <f t="shared" si="246"/>
        <v/>
      </c>
      <c r="AF1301" s="7" t="str">
        <f t="shared" si="247"/>
        <v/>
      </c>
      <c r="AG1301" s="12">
        <f t="shared" si="248"/>
        <v>0.9902246063394079</v>
      </c>
      <c r="AI1301" s="54" t="str">
        <f t="shared" si="249"/>
        <v/>
      </c>
      <c r="AJ1301" s="54" t="str">
        <f t="shared" si="250"/>
        <v/>
      </c>
      <c r="AK1301" s="54">
        <f t="shared" si="251"/>
        <v>0.81429158836529214</v>
      </c>
    </row>
    <row r="1302" spans="18:37" x14ac:dyDescent="0.45">
      <c r="R1302" s="2">
        <v>29.78</v>
      </c>
      <c r="S1302" s="2">
        <v>5.8323999999999995E-4</v>
      </c>
      <c r="T1302" s="2">
        <v>3.2338000000000001E-4</v>
      </c>
      <c r="V1302" s="11"/>
      <c r="W1302" s="6"/>
      <c r="X1302" s="6">
        <v>12.83</v>
      </c>
      <c r="Y1302" s="11" t="str">
        <f t="shared" si="252"/>
        <v/>
      </c>
      <c r="Z1302" s="6" t="str">
        <f t="shared" si="253"/>
        <v/>
      </c>
      <c r="AA1302" s="23">
        <f t="shared" si="254"/>
        <v>42.83</v>
      </c>
      <c r="AB1302" t="str">
        <f t="shared" si="243"/>
        <v/>
      </c>
      <c r="AC1302" t="str">
        <f t="shared" si="244"/>
        <v/>
      </c>
      <c r="AD1302">
        <f t="shared" si="245"/>
        <v>1.13751E-3</v>
      </c>
      <c r="AE1302" s="18" t="str">
        <f t="shared" si="246"/>
        <v/>
      </c>
      <c r="AF1302" s="7" t="str">
        <f t="shared" si="247"/>
        <v/>
      </c>
      <c r="AG1302" s="12">
        <f t="shared" si="248"/>
        <v>0.99021335204066696</v>
      </c>
      <c r="AI1302" s="54" t="str">
        <f t="shared" si="249"/>
        <v/>
      </c>
      <c r="AJ1302" s="54" t="str">
        <f t="shared" si="250"/>
        <v/>
      </c>
      <c r="AK1302" s="54">
        <f t="shared" si="251"/>
        <v>0.81510608618468516</v>
      </c>
    </row>
    <row r="1303" spans="18:37" x14ac:dyDescent="0.45">
      <c r="R1303" s="2">
        <v>29.79</v>
      </c>
      <c r="S1303" s="2">
        <v>5.8332000000000002E-4</v>
      </c>
      <c r="T1303" s="2">
        <v>3.2359000000000001E-4</v>
      </c>
      <c r="V1303" s="11"/>
      <c r="W1303" s="6"/>
      <c r="X1303" s="6">
        <v>12.84</v>
      </c>
      <c r="Y1303" s="11" t="str">
        <f t="shared" si="252"/>
        <v/>
      </c>
      <c r="Z1303" s="6" t="str">
        <f t="shared" si="253"/>
        <v/>
      </c>
      <c r="AA1303" s="23">
        <f t="shared" si="254"/>
        <v>42.84</v>
      </c>
      <c r="AB1303" t="str">
        <f t="shared" si="243"/>
        <v/>
      </c>
      <c r="AC1303" t="str">
        <f t="shared" si="244"/>
        <v/>
      </c>
      <c r="AD1303">
        <f t="shared" si="245"/>
        <v>1.1384800000000001E-3</v>
      </c>
      <c r="AE1303" s="18" t="str">
        <f t="shared" si="246"/>
        <v/>
      </c>
      <c r="AF1303" s="7" t="str">
        <f t="shared" si="247"/>
        <v/>
      </c>
      <c r="AG1303" s="12">
        <f t="shared" si="248"/>
        <v>0.99020208826476619</v>
      </c>
      <c r="AI1303" s="54" t="str">
        <f t="shared" si="249"/>
        <v/>
      </c>
      <c r="AJ1303" s="54" t="str">
        <f t="shared" si="250"/>
        <v/>
      </c>
      <c r="AK1303" s="54">
        <f t="shared" si="251"/>
        <v>0.81592091726682847</v>
      </c>
    </row>
    <row r="1304" spans="18:37" x14ac:dyDescent="0.45">
      <c r="R1304" s="2">
        <v>29.8</v>
      </c>
      <c r="S1304" s="2">
        <v>5.8339999999999998E-4</v>
      </c>
      <c r="T1304" s="2">
        <v>3.2380000000000001E-4</v>
      </c>
      <c r="V1304" s="11"/>
      <c r="W1304" s="6"/>
      <c r="X1304" s="6">
        <v>12.85</v>
      </c>
      <c r="Y1304" s="11" t="str">
        <f t="shared" si="252"/>
        <v/>
      </c>
      <c r="Z1304" s="6" t="str">
        <f t="shared" si="253"/>
        <v/>
      </c>
      <c r="AA1304" s="23">
        <f t="shared" si="254"/>
        <v>42.85</v>
      </c>
      <c r="AB1304" t="str">
        <f t="shared" si="243"/>
        <v/>
      </c>
      <c r="AC1304" t="str">
        <f t="shared" si="244"/>
        <v/>
      </c>
      <c r="AD1304">
        <f t="shared" si="245"/>
        <v>1.13945E-3</v>
      </c>
      <c r="AE1304" s="18" t="str">
        <f t="shared" si="246"/>
        <v/>
      </c>
      <c r="AF1304" s="7" t="str">
        <f t="shared" si="247"/>
        <v/>
      </c>
      <c r="AG1304" s="12">
        <f t="shared" si="248"/>
        <v>0.99019081501203177</v>
      </c>
      <c r="AI1304" s="54" t="str">
        <f t="shared" si="249"/>
        <v/>
      </c>
      <c r="AJ1304" s="54" t="str">
        <f t="shared" si="250"/>
        <v/>
      </c>
      <c r="AK1304" s="54">
        <f t="shared" si="251"/>
        <v>0.81673608176462265</v>
      </c>
    </row>
    <row r="1305" spans="18:37" x14ac:dyDescent="0.45">
      <c r="R1305" s="2">
        <v>29.81</v>
      </c>
      <c r="S1305" s="2">
        <v>5.8348000000000004E-4</v>
      </c>
      <c r="T1305" s="2">
        <v>3.2401000000000001E-4</v>
      </c>
      <c r="V1305" s="11"/>
      <c r="W1305" s="6"/>
      <c r="X1305" s="6">
        <v>12.86</v>
      </c>
      <c r="Y1305" s="11" t="str">
        <f t="shared" si="252"/>
        <v/>
      </c>
      <c r="Z1305" s="6" t="str">
        <f t="shared" si="253"/>
        <v/>
      </c>
      <c r="AA1305" s="23">
        <f t="shared" si="254"/>
        <v>42.86</v>
      </c>
      <c r="AB1305" t="str">
        <f t="shared" si="243"/>
        <v/>
      </c>
      <c r="AC1305" t="str">
        <f t="shared" si="244"/>
        <v/>
      </c>
      <c r="AD1305">
        <f t="shared" si="245"/>
        <v>1.1404200000000001E-3</v>
      </c>
      <c r="AE1305" s="18" t="str">
        <f t="shared" si="246"/>
        <v/>
      </c>
      <c r="AF1305" s="7" t="str">
        <f t="shared" si="247"/>
        <v/>
      </c>
      <c r="AG1305" s="12">
        <f t="shared" si="248"/>
        <v>0.9901795322827901</v>
      </c>
      <c r="AI1305" s="54" t="str">
        <f t="shared" si="249"/>
        <v/>
      </c>
      <c r="AJ1305" s="54" t="str">
        <f t="shared" si="250"/>
        <v/>
      </c>
      <c r="AK1305" s="54">
        <f t="shared" si="251"/>
        <v>0.81755157983104065</v>
      </c>
    </row>
    <row r="1306" spans="18:37" x14ac:dyDescent="0.45">
      <c r="R1306" s="2">
        <v>29.82</v>
      </c>
      <c r="S1306" s="2">
        <v>5.8356E-4</v>
      </c>
      <c r="T1306" s="2">
        <v>3.2422000000000001E-4</v>
      </c>
      <c r="V1306" s="11"/>
      <c r="W1306" s="6"/>
      <c r="X1306" s="6">
        <v>12.870000000000001</v>
      </c>
      <c r="Y1306" s="11" t="str">
        <f t="shared" si="252"/>
        <v/>
      </c>
      <c r="Z1306" s="6" t="str">
        <f t="shared" si="253"/>
        <v/>
      </c>
      <c r="AA1306" s="23">
        <f t="shared" si="254"/>
        <v>42.870000000000005</v>
      </c>
      <c r="AB1306" t="str">
        <f t="shared" si="243"/>
        <v/>
      </c>
      <c r="AC1306" t="str">
        <f t="shared" si="244"/>
        <v/>
      </c>
      <c r="AD1306">
        <f t="shared" si="245"/>
        <v>1.1413899999999999E-3</v>
      </c>
      <c r="AE1306" s="18" t="str">
        <f t="shared" si="246"/>
        <v/>
      </c>
      <c r="AF1306" s="7" t="str">
        <f t="shared" si="247"/>
        <v/>
      </c>
      <c r="AG1306" s="12">
        <f t="shared" si="248"/>
        <v>0.99016824007736803</v>
      </c>
      <c r="AI1306" s="54" t="str">
        <f t="shared" si="249"/>
        <v/>
      </c>
      <c r="AJ1306" s="54" t="str">
        <f t="shared" si="250"/>
        <v/>
      </c>
      <c r="AK1306" s="54">
        <f t="shared" si="251"/>
        <v>0.81836741161912829</v>
      </c>
    </row>
    <row r="1307" spans="18:37" x14ac:dyDescent="0.45">
      <c r="R1307" s="2">
        <v>29.83</v>
      </c>
      <c r="S1307" s="2">
        <v>5.8363999999999996E-4</v>
      </c>
      <c r="T1307" s="2">
        <v>3.2443000000000001E-4</v>
      </c>
      <c r="V1307" s="11"/>
      <c r="W1307" s="6"/>
      <c r="X1307" s="6">
        <v>12.88</v>
      </c>
      <c r="Y1307" s="11" t="str">
        <f t="shared" si="252"/>
        <v/>
      </c>
      <c r="Z1307" s="6" t="str">
        <f t="shared" si="253"/>
        <v/>
      </c>
      <c r="AA1307" s="23">
        <f t="shared" si="254"/>
        <v>42.88</v>
      </c>
      <c r="AB1307" t="str">
        <f t="shared" si="243"/>
        <v/>
      </c>
      <c r="AC1307" t="str">
        <f t="shared" si="244"/>
        <v/>
      </c>
      <c r="AD1307">
        <f t="shared" si="245"/>
        <v>1.14236E-3</v>
      </c>
      <c r="AE1307" s="18" t="str">
        <f t="shared" si="246"/>
        <v/>
      </c>
      <c r="AF1307" s="7" t="str">
        <f t="shared" si="247"/>
        <v/>
      </c>
      <c r="AG1307" s="12">
        <f t="shared" si="248"/>
        <v>0.99015693839609265</v>
      </c>
      <c r="AI1307" s="54" t="str">
        <f t="shared" si="249"/>
        <v/>
      </c>
      <c r="AJ1307" s="54" t="str">
        <f t="shared" si="250"/>
        <v/>
      </c>
      <c r="AK1307" s="54">
        <f t="shared" si="251"/>
        <v>0.81918357728200397</v>
      </c>
    </row>
    <row r="1308" spans="18:37" x14ac:dyDescent="0.45">
      <c r="R1308" s="2">
        <v>29.84</v>
      </c>
      <c r="S1308" s="2">
        <v>5.8372000000000003E-4</v>
      </c>
      <c r="T1308" s="2">
        <v>3.2464000000000001E-4</v>
      </c>
      <c r="V1308" s="11"/>
      <c r="W1308" s="6"/>
      <c r="X1308" s="6">
        <v>12.89</v>
      </c>
      <c r="Y1308" s="11" t="str">
        <f t="shared" si="252"/>
        <v/>
      </c>
      <c r="Z1308" s="6" t="str">
        <f t="shared" si="253"/>
        <v/>
      </c>
      <c r="AA1308" s="23">
        <f t="shared" si="254"/>
        <v>42.89</v>
      </c>
      <c r="AB1308" t="str">
        <f t="shared" si="243"/>
        <v/>
      </c>
      <c r="AC1308" t="str">
        <f t="shared" si="244"/>
        <v/>
      </c>
      <c r="AD1308">
        <f t="shared" si="245"/>
        <v>1.1433299999999999E-3</v>
      </c>
      <c r="AE1308" s="18" t="str">
        <f t="shared" si="246"/>
        <v/>
      </c>
      <c r="AF1308" s="7" t="str">
        <f t="shared" si="247"/>
        <v/>
      </c>
      <c r="AG1308" s="12">
        <f t="shared" si="248"/>
        <v>0.99014562723929123</v>
      </c>
      <c r="AI1308" s="54" t="str">
        <f t="shared" si="249"/>
        <v/>
      </c>
      <c r="AJ1308" s="54" t="str">
        <f t="shared" si="250"/>
        <v/>
      </c>
      <c r="AK1308" s="54">
        <f t="shared" si="251"/>
        <v>0.8200000769728587</v>
      </c>
    </row>
    <row r="1309" spans="18:37" x14ac:dyDescent="0.45">
      <c r="R1309" s="2">
        <v>29.85</v>
      </c>
      <c r="S1309" s="2">
        <v>5.8379999999999999E-4</v>
      </c>
      <c r="T1309" s="2">
        <v>3.2485000000000001E-4</v>
      </c>
      <c r="V1309" s="11"/>
      <c r="W1309" s="6"/>
      <c r="X1309" s="6">
        <v>12.9</v>
      </c>
      <c r="Y1309" s="11" t="str">
        <f t="shared" si="252"/>
        <v/>
      </c>
      <c r="Z1309" s="6" t="str">
        <f t="shared" si="253"/>
        <v/>
      </c>
      <c r="AA1309" s="23">
        <f t="shared" si="254"/>
        <v>42.9</v>
      </c>
      <c r="AB1309" t="str">
        <f t="shared" si="243"/>
        <v/>
      </c>
      <c r="AC1309" t="str">
        <f t="shared" si="244"/>
        <v/>
      </c>
      <c r="AD1309">
        <f t="shared" si="245"/>
        <v>1.1443E-3</v>
      </c>
      <c r="AE1309" s="18" t="str">
        <f t="shared" si="246"/>
        <v/>
      </c>
      <c r="AF1309" s="7" t="str">
        <f t="shared" si="247"/>
        <v/>
      </c>
      <c r="AG1309" s="12">
        <f t="shared" si="248"/>
        <v>0.99013430660729129</v>
      </c>
      <c r="AI1309" s="54" t="str">
        <f t="shared" si="249"/>
        <v/>
      </c>
      <c r="AJ1309" s="54" t="str">
        <f t="shared" si="250"/>
        <v/>
      </c>
      <c r="AK1309" s="54">
        <f t="shared" si="251"/>
        <v>0.82081691084495645</v>
      </c>
    </row>
    <row r="1310" spans="18:37" x14ac:dyDescent="0.45">
      <c r="R1310" s="2">
        <v>29.86</v>
      </c>
      <c r="S1310" s="2">
        <v>5.8387999999999995E-4</v>
      </c>
      <c r="T1310" s="2">
        <v>3.2506000000000001E-4</v>
      </c>
      <c r="V1310" s="11"/>
      <c r="W1310" s="6"/>
      <c r="X1310" s="6">
        <v>12.91</v>
      </c>
      <c r="Y1310" s="11" t="str">
        <f t="shared" si="252"/>
        <v/>
      </c>
      <c r="Z1310" s="6" t="str">
        <f t="shared" si="253"/>
        <v/>
      </c>
      <c r="AA1310" s="23">
        <f t="shared" si="254"/>
        <v>42.91</v>
      </c>
      <c r="AB1310" t="str">
        <f t="shared" si="243"/>
        <v/>
      </c>
      <c r="AC1310" t="str">
        <f t="shared" si="244"/>
        <v/>
      </c>
      <c r="AD1310">
        <f t="shared" si="245"/>
        <v>1.1452700000000001E-3</v>
      </c>
      <c r="AE1310" s="18" t="str">
        <f t="shared" si="246"/>
        <v/>
      </c>
      <c r="AF1310" s="7" t="str">
        <f t="shared" si="247"/>
        <v/>
      </c>
      <c r="AG1310" s="12">
        <f t="shared" si="248"/>
        <v>0.9901229765004208</v>
      </c>
      <c r="AI1310" s="54" t="str">
        <f t="shared" si="249"/>
        <v/>
      </c>
      <c r="AJ1310" s="54" t="str">
        <f t="shared" si="250"/>
        <v/>
      </c>
      <c r="AK1310" s="54">
        <f t="shared" si="251"/>
        <v>0.82163407905163377</v>
      </c>
    </row>
    <row r="1311" spans="18:37" x14ac:dyDescent="0.45">
      <c r="R1311" s="2">
        <v>29.87</v>
      </c>
      <c r="S1311" s="2">
        <v>5.8396000000000001E-4</v>
      </c>
      <c r="T1311" s="2">
        <v>3.2527000000000001E-4</v>
      </c>
      <c r="V1311" s="11"/>
      <c r="W1311" s="6"/>
      <c r="X1311" s="6">
        <v>12.92</v>
      </c>
      <c r="Y1311" s="11" t="str">
        <f t="shared" si="252"/>
        <v/>
      </c>
      <c r="Z1311" s="6" t="str">
        <f t="shared" si="253"/>
        <v/>
      </c>
      <c r="AA1311" s="23">
        <f t="shared" si="254"/>
        <v>42.92</v>
      </c>
      <c r="AB1311" t="str">
        <f t="shared" si="243"/>
        <v/>
      </c>
      <c r="AC1311" t="str">
        <f t="shared" si="244"/>
        <v/>
      </c>
      <c r="AD1311">
        <f t="shared" si="245"/>
        <v>1.14624E-3</v>
      </c>
      <c r="AE1311" s="18" t="str">
        <f t="shared" si="246"/>
        <v/>
      </c>
      <c r="AF1311" s="7" t="str">
        <f t="shared" si="247"/>
        <v/>
      </c>
      <c r="AG1311" s="12">
        <f t="shared" si="248"/>
        <v>0.99011163691900783</v>
      </c>
      <c r="AI1311" s="54" t="str">
        <f t="shared" si="249"/>
        <v/>
      </c>
      <c r="AJ1311" s="54" t="str">
        <f t="shared" si="250"/>
        <v/>
      </c>
      <c r="AK1311" s="54">
        <f t="shared" si="251"/>
        <v>0.82245158174630006</v>
      </c>
    </row>
    <row r="1312" spans="18:37" x14ac:dyDescent="0.45">
      <c r="R1312" s="2">
        <v>29.88</v>
      </c>
      <c r="S1312" s="2">
        <v>5.8403999999999997E-4</v>
      </c>
      <c r="T1312" s="2">
        <v>3.2548000000000001E-4</v>
      </c>
      <c r="V1312" s="11"/>
      <c r="W1312" s="6"/>
      <c r="X1312" s="6">
        <v>12.93</v>
      </c>
      <c r="Y1312" s="11" t="str">
        <f t="shared" si="252"/>
        <v/>
      </c>
      <c r="Z1312" s="6" t="str">
        <f t="shared" si="253"/>
        <v/>
      </c>
      <c r="AA1312" s="23">
        <f t="shared" si="254"/>
        <v>42.93</v>
      </c>
      <c r="AB1312" t="str">
        <f t="shared" si="243"/>
        <v/>
      </c>
      <c r="AC1312" t="str">
        <f t="shared" si="244"/>
        <v/>
      </c>
      <c r="AD1312">
        <f t="shared" si="245"/>
        <v>1.1472100000000001E-3</v>
      </c>
      <c r="AE1312" s="18" t="str">
        <f t="shared" si="246"/>
        <v/>
      </c>
      <c r="AF1312" s="7" t="str">
        <f t="shared" si="247"/>
        <v/>
      </c>
      <c r="AG1312" s="12">
        <f t="shared" si="248"/>
        <v>0.99010028786338078</v>
      </c>
      <c r="AI1312" s="54" t="str">
        <f t="shared" si="249"/>
        <v/>
      </c>
      <c r="AJ1312" s="54" t="str">
        <f t="shared" si="250"/>
        <v/>
      </c>
      <c r="AK1312" s="54">
        <f t="shared" si="251"/>
        <v>0.82326941908243767</v>
      </c>
    </row>
    <row r="1313" spans="18:37" x14ac:dyDescent="0.45">
      <c r="R1313" s="2">
        <v>29.89</v>
      </c>
      <c r="S1313" s="2">
        <v>5.8412000000000004E-4</v>
      </c>
      <c r="T1313" s="2">
        <v>3.2569000000000001E-4</v>
      </c>
      <c r="V1313" s="11"/>
      <c r="W1313" s="6"/>
      <c r="X1313" s="6">
        <v>12.94</v>
      </c>
      <c r="Y1313" s="11" t="str">
        <f t="shared" si="252"/>
        <v/>
      </c>
      <c r="Z1313" s="6" t="str">
        <f t="shared" si="253"/>
        <v/>
      </c>
      <c r="AA1313" s="23">
        <f t="shared" si="254"/>
        <v>42.94</v>
      </c>
      <c r="AB1313" t="str">
        <f t="shared" si="243"/>
        <v/>
      </c>
      <c r="AC1313" t="str">
        <f t="shared" si="244"/>
        <v/>
      </c>
      <c r="AD1313">
        <f t="shared" si="245"/>
        <v>1.1481799999999999E-3</v>
      </c>
      <c r="AE1313" s="18" t="str">
        <f t="shared" si="246"/>
        <v/>
      </c>
      <c r="AF1313" s="7" t="str">
        <f t="shared" si="247"/>
        <v/>
      </c>
      <c r="AG1313" s="12">
        <f t="shared" si="248"/>
        <v>0.99008892933386838</v>
      </c>
      <c r="AI1313" s="54" t="str">
        <f t="shared" si="249"/>
        <v/>
      </c>
      <c r="AJ1313" s="54" t="str">
        <f t="shared" si="250"/>
        <v/>
      </c>
      <c r="AK1313" s="54">
        <f t="shared" si="251"/>
        <v>0.82408759121360176</v>
      </c>
    </row>
    <row r="1314" spans="18:37" x14ac:dyDescent="0.45">
      <c r="R1314" s="2">
        <v>29.9</v>
      </c>
      <c r="S1314" s="2">
        <v>5.842E-4</v>
      </c>
      <c r="T1314" s="2">
        <v>3.2590000000000001E-4</v>
      </c>
      <c r="V1314" s="11"/>
      <c r="W1314" s="6"/>
      <c r="X1314" s="6">
        <v>12.950000000000001</v>
      </c>
      <c r="Y1314" s="11" t="str">
        <f t="shared" si="252"/>
        <v/>
      </c>
      <c r="Z1314" s="6" t="str">
        <f t="shared" si="253"/>
        <v/>
      </c>
      <c r="AA1314" s="23">
        <f t="shared" si="254"/>
        <v>42.95</v>
      </c>
      <c r="AB1314" t="str">
        <f t="shared" si="243"/>
        <v/>
      </c>
      <c r="AC1314" t="str">
        <f t="shared" si="244"/>
        <v/>
      </c>
      <c r="AD1314">
        <f t="shared" si="245"/>
        <v>1.14915E-3</v>
      </c>
      <c r="AE1314" s="18" t="str">
        <f t="shared" si="246"/>
        <v/>
      </c>
      <c r="AF1314" s="7" t="str">
        <f t="shared" si="247"/>
        <v/>
      </c>
      <c r="AG1314" s="12">
        <f t="shared" si="248"/>
        <v>0.9900775613307996</v>
      </c>
      <c r="AI1314" s="54" t="str">
        <f t="shared" si="249"/>
        <v/>
      </c>
      <c r="AJ1314" s="54" t="str">
        <f t="shared" si="250"/>
        <v/>
      </c>
      <c r="AK1314" s="54">
        <f t="shared" si="251"/>
        <v>0.82490609829342054</v>
      </c>
    </row>
    <row r="1315" spans="18:37" x14ac:dyDescent="0.45">
      <c r="R1315" s="2">
        <v>29.91</v>
      </c>
      <c r="S1315" s="2">
        <v>5.8427999999999996E-4</v>
      </c>
      <c r="T1315" s="2">
        <v>3.2611000000000001E-4</v>
      </c>
      <c r="V1315" s="11"/>
      <c r="W1315" s="6"/>
      <c r="X1315" s="6">
        <v>12.96</v>
      </c>
      <c r="Y1315" s="11" t="str">
        <f t="shared" si="252"/>
        <v/>
      </c>
      <c r="Z1315" s="6" t="str">
        <f t="shared" si="253"/>
        <v/>
      </c>
      <c r="AA1315" s="23">
        <f t="shared" si="254"/>
        <v>42.96</v>
      </c>
      <c r="AB1315" t="str">
        <f t="shared" si="243"/>
        <v/>
      </c>
      <c r="AC1315" t="str">
        <f t="shared" si="244"/>
        <v/>
      </c>
      <c r="AD1315">
        <f t="shared" si="245"/>
        <v>1.1501199999999999E-3</v>
      </c>
      <c r="AE1315" s="18" t="str">
        <f t="shared" si="246"/>
        <v/>
      </c>
      <c r="AF1315" s="7" t="str">
        <f t="shared" si="247"/>
        <v/>
      </c>
      <c r="AG1315" s="12">
        <f t="shared" si="248"/>
        <v>0.99006618385450362</v>
      </c>
      <c r="AI1315" s="54" t="str">
        <f t="shared" si="249"/>
        <v/>
      </c>
      <c r="AJ1315" s="54" t="str">
        <f t="shared" si="250"/>
        <v/>
      </c>
      <c r="AK1315" s="54">
        <f t="shared" si="251"/>
        <v>0.82572494047559497</v>
      </c>
    </row>
    <row r="1316" spans="18:37" x14ac:dyDescent="0.45">
      <c r="R1316" s="2">
        <v>29.92</v>
      </c>
      <c r="S1316" s="2">
        <v>5.8436000000000002E-4</v>
      </c>
      <c r="T1316" s="2">
        <v>3.2632000000000001E-4</v>
      </c>
      <c r="V1316" s="11"/>
      <c r="W1316" s="6"/>
      <c r="X1316" s="6">
        <v>12.97</v>
      </c>
      <c r="Y1316" s="11" t="str">
        <f t="shared" si="252"/>
        <v/>
      </c>
      <c r="Z1316" s="6" t="str">
        <f t="shared" si="253"/>
        <v/>
      </c>
      <c r="AA1316" s="23">
        <f t="shared" si="254"/>
        <v>42.97</v>
      </c>
      <c r="AB1316" t="str">
        <f t="shared" si="243"/>
        <v/>
      </c>
      <c r="AC1316" t="str">
        <f t="shared" si="244"/>
        <v/>
      </c>
      <c r="AD1316">
        <f t="shared" si="245"/>
        <v>1.15109E-3</v>
      </c>
      <c r="AE1316" s="18" t="str">
        <f t="shared" si="246"/>
        <v/>
      </c>
      <c r="AF1316" s="7" t="str">
        <f t="shared" si="247"/>
        <v/>
      </c>
      <c r="AG1316" s="12">
        <f t="shared" si="248"/>
        <v>0.99005479690530984</v>
      </c>
      <c r="AI1316" s="54" t="str">
        <f t="shared" si="249"/>
        <v/>
      </c>
      <c r="AJ1316" s="54" t="str">
        <f t="shared" si="250"/>
        <v/>
      </c>
      <c r="AK1316" s="54">
        <f t="shared" si="251"/>
        <v>0.82654411791389915</v>
      </c>
    </row>
    <row r="1317" spans="18:37" x14ac:dyDescent="0.45">
      <c r="R1317" s="2">
        <v>29.93</v>
      </c>
      <c r="S1317" s="2">
        <v>5.8443999999999998E-4</v>
      </c>
      <c r="T1317" s="2">
        <v>3.2653000000000001E-4</v>
      </c>
      <c r="V1317" s="11"/>
      <c r="W1317" s="6"/>
      <c r="X1317" s="6">
        <v>12.98</v>
      </c>
      <c r="Y1317" s="11" t="str">
        <f t="shared" si="252"/>
        <v/>
      </c>
      <c r="Z1317" s="6" t="str">
        <f t="shared" si="253"/>
        <v/>
      </c>
      <c r="AA1317" s="23">
        <f t="shared" si="254"/>
        <v>42.980000000000004</v>
      </c>
      <c r="AB1317" t="str">
        <f t="shared" si="243"/>
        <v/>
      </c>
      <c r="AC1317" t="str">
        <f t="shared" si="244"/>
        <v/>
      </c>
      <c r="AD1317">
        <f t="shared" si="245"/>
        <v>1.1520600000000001E-3</v>
      </c>
      <c r="AE1317" s="18" t="str">
        <f t="shared" si="246"/>
        <v/>
      </c>
      <c r="AF1317" s="7" t="str">
        <f t="shared" si="247"/>
        <v/>
      </c>
      <c r="AG1317" s="12">
        <f t="shared" si="248"/>
        <v>0.99004340048354811</v>
      </c>
      <c r="AI1317" s="54" t="str">
        <f t="shared" si="249"/>
        <v/>
      </c>
      <c r="AJ1317" s="54" t="str">
        <f t="shared" si="250"/>
        <v/>
      </c>
      <c r="AK1317" s="54">
        <f t="shared" si="251"/>
        <v>0.82736363076218011</v>
      </c>
    </row>
    <row r="1318" spans="18:37" x14ac:dyDescent="0.45">
      <c r="R1318" s="2">
        <v>29.94</v>
      </c>
      <c r="S1318" s="2">
        <v>5.8452000000000005E-4</v>
      </c>
      <c r="T1318" s="2">
        <v>3.2674000000000001E-4</v>
      </c>
      <c r="V1318" s="11"/>
      <c r="W1318" s="6"/>
      <c r="X1318" s="6">
        <v>12.99</v>
      </c>
      <c r="Y1318" s="11" t="str">
        <f t="shared" si="252"/>
        <v/>
      </c>
      <c r="Z1318" s="6" t="str">
        <f t="shared" si="253"/>
        <v/>
      </c>
      <c r="AA1318" s="23">
        <f t="shared" si="254"/>
        <v>42.99</v>
      </c>
      <c r="AB1318" t="str">
        <f t="shared" si="243"/>
        <v/>
      </c>
      <c r="AC1318" t="str">
        <f t="shared" si="244"/>
        <v/>
      </c>
      <c r="AD1318">
        <f t="shared" si="245"/>
        <v>1.15303E-3</v>
      </c>
      <c r="AE1318" s="18" t="str">
        <f t="shared" si="246"/>
        <v/>
      </c>
      <c r="AF1318" s="7" t="str">
        <f t="shared" si="247"/>
        <v/>
      </c>
      <c r="AG1318" s="12">
        <f t="shared" si="248"/>
        <v>0.99003199458954849</v>
      </c>
      <c r="AI1318" s="54" t="str">
        <f t="shared" si="249"/>
        <v/>
      </c>
      <c r="AJ1318" s="54" t="str">
        <f t="shared" si="250"/>
        <v/>
      </c>
      <c r="AK1318" s="54">
        <f t="shared" si="251"/>
        <v>0.82818347917435808</v>
      </c>
    </row>
    <row r="1319" spans="18:37" x14ac:dyDescent="0.45">
      <c r="R1319" s="2">
        <v>29.95</v>
      </c>
      <c r="S1319" s="2">
        <v>5.8460000000000001E-4</v>
      </c>
      <c r="T1319" s="2">
        <v>3.2695000000000001E-4</v>
      </c>
      <c r="V1319" s="11"/>
      <c r="W1319" s="6"/>
      <c r="X1319" s="6">
        <v>13</v>
      </c>
      <c r="Y1319" s="11" t="str">
        <f t="shared" si="252"/>
        <v/>
      </c>
      <c r="Z1319" s="6" t="str">
        <f t="shared" si="253"/>
        <v/>
      </c>
      <c r="AA1319" s="23">
        <f t="shared" si="254"/>
        <v>43</v>
      </c>
      <c r="AB1319" t="str">
        <f t="shared" si="243"/>
        <v/>
      </c>
      <c r="AC1319" t="str">
        <f t="shared" si="244"/>
        <v/>
      </c>
      <c r="AD1319">
        <f t="shared" si="245"/>
        <v>1.1540000000000001E-3</v>
      </c>
      <c r="AE1319" s="18" t="str">
        <f t="shared" si="246"/>
        <v/>
      </c>
      <c r="AF1319" s="7" t="str">
        <f t="shared" si="247"/>
        <v/>
      </c>
      <c r="AG1319" s="12">
        <f t="shared" si="248"/>
        <v>0.99002057922364128</v>
      </c>
      <c r="AI1319" s="54" t="str">
        <f t="shared" si="249"/>
        <v/>
      </c>
      <c r="AJ1319" s="54" t="str">
        <f t="shared" si="250"/>
        <v/>
      </c>
      <c r="AK1319" s="54">
        <f t="shared" si="251"/>
        <v>0.82900366330442621</v>
      </c>
    </row>
    <row r="1320" spans="18:37" x14ac:dyDescent="0.45">
      <c r="R1320" s="2">
        <v>29.96</v>
      </c>
      <c r="S1320" s="2">
        <v>5.8467999999999997E-4</v>
      </c>
      <c r="T1320" s="2">
        <v>3.2716000000000001E-4</v>
      </c>
      <c r="V1320" s="11"/>
      <c r="W1320" s="6"/>
      <c r="X1320" s="6">
        <v>13.01</v>
      </c>
      <c r="Y1320" s="11" t="str">
        <f t="shared" si="252"/>
        <v/>
      </c>
      <c r="Z1320" s="6" t="str">
        <f t="shared" si="253"/>
        <v/>
      </c>
      <c r="AA1320" s="23">
        <f t="shared" si="254"/>
        <v>43.01</v>
      </c>
      <c r="AB1320" t="str">
        <f t="shared" si="243"/>
        <v/>
      </c>
      <c r="AC1320" t="str">
        <f t="shared" si="244"/>
        <v/>
      </c>
      <c r="AD1320">
        <f t="shared" si="245"/>
        <v>1.15511E-3</v>
      </c>
      <c r="AE1320" s="18" t="str">
        <f t="shared" si="246"/>
        <v/>
      </c>
      <c r="AF1320" s="7" t="str">
        <f t="shared" si="247"/>
        <v/>
      </c>
      <c r="AG1320" s="12">
        <f t="shared" si="248"/>
        <v>0.990009154386157</v>
      </c>
      <c r="AI1320" s="54" t="str">
        <f t="shared" si="249"/>
        <v/>
      </c>
      <c r="AJ1320" s="54" t="str">
        <f t="shared" si="250"/>
        <v/>
      </c>
      <c r="AK1320" s="54">
        <f t="shared" si="251"/>
        <v>0.82982418330645102</v>
      </c>
    </row>
    <row r="1321" spans="18:37" x14ac:dyDescent="0.45">
      <c r="R1321" s="2">
        <v>29.97</v>
      </c>
      <c r="S1321" s="2">
        <v>5.8476000000000003E-4</v>
      </c>
      <c r="T1321" s="2">
        <v>3.2737E-4</v>
      </c>
      <c r="V1321" s="11"/>
      <c r="W1321" s="6"/>
      <c r="X1321" s="6">
        <v>13.02</v>
      </c>
      <c r="Y1321" s="11" t="str">
        <f t="shared" si="252"/>
        <v/>
      </c>
      <c r="Z1321" s="6" t="str">
        <f t="shared" si="253"/>
        <v/>
      </c>
      <c r="AA1321" s="23">
        <f t="shared" si="254"/>
        <v>43.019999999999996</v>
      </c>
      <c r="AB1321" t="str">
        <f t="shared" si="243"/>
        <v/>
      </c>
      <c r="AC1321" t="str">
        <f t="shared" si="244"/>
        <v/>
      </c>
      <c r="AD1321">
        <f t="shared" si="245"/>
        <v>1.15511E-3</v>
      </c>
      <c r="AE1321" s="18" t="str">
        <f t="shared" si="246"/>
        <v/>
      </c>
      <c r="AF1321" s="7" t="str">
        <f t="shared" si="247"/>
        <v/>
      </c>
      <c r="AG1321" s="12">
        <f t="shared" si="248"/>
        <v>0.98999771869141373</v>
      </c>
      <c r="AI1321" s="54" t="str">
        <f t="shared" si="249"/>
        <v/>
      </c>
      <c r="AJ1321" s="54" t="str">
        <f t="shared" si="250"/>
        <v/>
      </c>
      <c r="AK1321" s="54">
        <f t="shared" si="251"/>
        <v>0.83064503909632592</v>
      </c>
    </row>
    <row r="1322" spans="18:37" x14ac:dyDescent="0.45">
      <c r="R1322" s="2">
        <v>29.98</v>
      </c>
      <c r="S1322" s="2">
        <v>5.8483999999999999E-4</v>
      </c>
      <c r="T1322" s="2">
        <v>3.2758E-4</v>
      </c>
      <c r="V1322" s="11"/>
      <c r="W1322" s="6"/>
      <c r="X1322" s="6">
        <v>13.030000000000001</v>
      </c>
      <c r="Y1322" s="11" t="str">
        <f t="shared" si="252"/>
        <v/>
      </c>
      <c r="Z1322" s="6" t="str">
        <f t="shared" si="253"/>
        <v/>
      </c>
      <c r="AA1322" s="23">
        <f t="shared" si="254"/>
        <v>43.03</v>
      </c>
      <c r="AB1322" t="str">
        <f t="shared" si="243"/>
        <v/>
      </c>
      <c r="AC1322" t="str">
        <f t="shared" si="244"/>
        <v/>
      </c>
      <c r="AD1322">
        <f t="shared" si="245"/>
        <v>1.15733E-3</v>
      </c>
      <c r="AE1322" s="18" t="str">
        <f t="shared" si="246"/>
        <v/>
      </c>
      <c r="AF1322" s="7" t="str">
        <f t="shared" si="247"/>
        <v/>
      </c>
      <c r="AG1322" s="12">
        <f t="shared" si="248"/>
        <v>0.98998628312876535</v>
      </c>
      <c r="AI1322" s="54" t="str">
        <f t="shared" si="249"/>
        <v/>
      </c>
      <c r="AJ1322" s="54" t="str">
        <f t="shared" si="250"/>
        <v/>
      </c>
      <c r="AK1322" s="54">
        <f t="shared" si="251"/>
        <v>0.83146623271030407</v>
      </c>
    </row>
    <row r="1323" spans="18:37" x14ac:dyDescent="0.45">
      <c r="R1323" s="2">
        <v>29.99</v>
      </c>
      <c r="S1323" s="2">
        <v>5.8491999999999995E-4</v>
      </c>
      <c r="T1323" s="2">
        <v>3.2779E-4</v>
      </c>
      <c r="V1323" s="11"/>
      <c r="W1323" s="6"/>
      <c r="X1323" s="6">
        <v>13.040000000000001</v>
      </c>
      <c r="Y1323" s="11" t="str">
        <f t="shared" si="252"/>
        <v/>
      </c>
      <c r="Z1323" s="6" t="str">
        <f t="shared" si="253"/>
        <v/>
      </c>
      <c r="AA1323" s="23">
        <f t="shared" si="254"/>
        <v>43.04</v>
      </c>
      <c r="AB1323" t="str">
        <f t="shared" si="243"/>
        <v/>
      </c>
      <c r="AC1323" t="str">
        <f t="shared" si="244"/>
        <v/>
      </c>
      <c r="AD1323">
        <f t="shared" si="245"/>
        <v>1.1584399999999999E-3</v>
      </c>
      <c r="AE1323" s="18" t="str">
        <f t="shared" si="246"/>
        <v/>
      </c>
      <c r="AF1323" s="7" t="str">
        <f t="shared" si="247"/>
        <v/>
      </c>
      <c r="AG1323" s="12">
        <f t="shared" si="248"/>
        <v>0.98997482572051487</v>
      </c>
      <c r="AI1323" s="54" t="str">
        <f t="shared" si="249"/>
        <v/>
      </c>
      <c r="AJ1323" s="54" t="str">
        <f t="shared" si="250"/>
        <v/>
      </c>
      <c r="AK1323" s="54">
        <f t="shared" si="251"/>
        <v>0.83228776054596776</v>
      </c>
    </row>
    <row r="1324" spans="18:37" x14ac:dyDescent="0.45">
      <c r="R1324" s="2">
        <v>30</v>
      </c>
      <c r="S1324" s="2">
        <v>5.8500000000000002E-4</v>
      </c>
      <c r="T1324" s="2">
        <v>3.28E-4</v>
      </c>
      <c r="V1324" s="11"/>
      <c r="W1324" s="6"/>
      <c r="X1324" s="6">
        <v>13.05</v>
      </c>
      <c r="Y1324" s="11" t="str">
        <f t="shared" si="252"/>
        <v/>
      </c>
      <c r="Z1324" s="6" t="str">
        <f t="shared" si="253"/>
        <v/>
      </c>
      <c r="AA1324" s="23">
        <f t="shared" si="254"/>
        <v>43.05</v>
      </c>
      <c r="AB1324" t="str">
        <f t="shared" si="243"/>
        <v/>
      </c>
      <c r="AC1324" t="str">
        <f t="shared" si="244"/>
        <v/>
      </c>
      <c r="AD1324">
        <f t="shared" si="245"/>
        <v>1.1595500000000001E-3</v>
      </c>
      <c r="AE1324" s="18" t="str">
        <f t="shared" si="246"/>
        <v/>
      </c>
      <c r="AF1324" s="7" t="str">
        <f t="shared" si="247"/>
        <v/>
      </c>
      <c r="AG1324" s="12">
        <f t="shared" si="248"/>
        <v>0.98996335745614383</v>
      </c>
      <c r="AI1324" s="54" t="str">
        <f t="shared" si="249"/>
        <v/>
      </c>
      <c r="AJ1324" s="54" t="str">
        <f t="shared" si="250"/>
        <v/>
      </c>
      <c r="AK1324" s="54">
        <f t="shared" si="251"/>
        <v>0.83310962463894789</v>
      </c>
    </row>
    <row r="1325" spans="18:37" x14ac:dyDescent="0.45">
      <c r="R1325" s="2">
        <v>30.01</v>
      </c>
      <c r="S1325" s="2">
        <v>5.8511000000000001E-4</v>
      </c>
      <c r="T1325" s="2">
        <v>3.2822999999999999E-4</v>
      </c>
      <c r="V1325" s="11"/>
      <c r="W1325" s="6"/>
      <c r="X1325" s="6">
        <v>13.06</v>
      </c>
      <c r="Y1325" s="11" t="str">
        <f t="shared" si="252"/>
        <v/>
      </c>
      <c r="Z1325" s="6" t="str">
        <f t="shared" si="253"/>
        <v/>
      </c>
      <c r="AA1325" s="23">
        <f t="shared" si="254"/>
        <v>43.06</v>
      </c>
      <c r="AB1325" t="str">
        <f t="shared" si="243"/>
        <v/>
      </c>
      <c r="AC1325" t="str">
        <f t="shared" si="244"/>
        <v/>
      </c>
      <c r="AD1325">
        <f t="shared" si="245"/>
        <v>1.16066E-3</v>
      </c>
      <c r="AE1325" s="18" t="str">
        <f t="shared" si="246"/>
        <v/>
      </c>
      <c r="AF1325" s="7" t="str">
        <f t="shared" si="247"/>
        <v/>
      </c>
      <c r="AG1325" s="12">
        <f t="shared" si="248"/>
        <v>0.98995187833603249</v>
      </c>
      <c r="AI1325" s="54" t="str">
        <f t="shared" si="249"/>
        <v/>
      </c>
      <c r="AJ1325" s="54" t="str">
        <f t="shared" si="250"/>
        <v/>
      </c>
      <c r="AK1325" s="54">
        <f t="shared" si="251"/>
        <v>0.83393182514588449</v>
      </c>
    </row>
    <row r="1326" spans="18:37" x14ac:dyDescent="0.45">
      <c r="R1326" s="2">
        <v>30.02</v>
      </c>
      <c r="S1326" s="2">
        <v>5.8522000000000001E-4</v>
      </c>
      <c r="T1326" s="2">
        <v>3.2845999999999998E-4</v>
      </c>
      <c r="V1326" s="11"/>
      <c r="W1326" s="6"/>
      <c r="X1326" s="6">
        <v>13.07</v>
      </c>
      <c r="Y1326" s="11" t="str">
        <f t="shared" si="252"/>
        <v/>
      </c>
      <c r="Z1326" s="6" t="str">
        <f t="shared" si="253"/>
        <v/>
      </c>
      <c r="AA1326" s="23">
        <f t="shared" si="254"/>
        <v>43.07</v>
      </c>
      <c r="AB1326" t="str">
        <f t="shared" si="243"/>
        <v/>
      </c>
      <c r="AC1326" t="str">
        <f t="shared" si="244"/>
        <v/>
      </c>
      <c r="AD1326">
        <f t="shared" si="245"/>
        <v>1.1617699999999999E-3</v>
      </c>
      <c r="AE1326" s="18" t="str">
        <f t="shared" si="246"/>
        <v/>
      </c>
      <c r="AF1326" s="7" t="str">
        <f t="shared" si="247"/>
        <v/>
      </c>
      <c r="AG1326" s="12">
        <f t="shared" si="248"/>
        <v>0.98994038836056142</v>
      </c>
      <c r="AI1326" s="54" t="str">
        <f t="shared" si="249"/>
        <v/>
      </c>
      <c r="AJ1326" s="54" t="str">
        <f t="shared" si="250"/>
        <v/>
      </c>
      <c r="AK1326" s="54">
        <f t="shared" si="251"/>
        <v>0.83475436222349308</v>
      </c>
    </row>
    <row r="1327" spans="18:37" x14ac:dyDescent="0.45">
      <c r="R1327" s="2">
        <v>30.03</v>
      </c>
      <c r="S1327" s="2">
        <v>5.8533000000000001E-4</v>
      </c>
      <c r="T1327" s="2">
        <v>3.2869000000000003E-4</v>
      </c>
      <c r="V1327" s="11"/>
      <c r="W1327" s="6"/>
      <c r="X1327" s="6">
        <v>13.08</v>
      </c>
      <c r="Y1327" s="11" t="str">
        <f t="shared" si="252"/>
        <v/>
      </c>
      <c r="Z1327" s="6" t="str">
        <f t="shared" si="253"/>
        <v/>
      </c>
      <c r="AA1327" s="23">
        <f t="shared" si="254"/>
        <v>43.08</v>
      </c>
      <c r="AB1327" t="str">
        <f t="shared" si="243"/>
        <v/>
      </c>
      <c r="AC1327" t="str">
        <f t="shared" si="244"/>
        <v/>
      </c>
      <c r="AD1327">
        <f t="shared" si="245"/>
        <v>1.16288E-3</v>
      </c>
      <c r="AE1327" s="18" t="str">
        <f t="shared" si="246"/>
        <v/>
      </c>
      <c r="AF1327" s="7" t="str">
        <f t="shared" si="247"/>
        <v/>
      </c>
      <c r="AG1327" s="12">
        <f t="shared" si="248"/>
        <v>0.98992888753011155</v>
      </c>
      <c r="AI1327" s="54" t="str">
        <f t="shared" si="249"/>
        <v/>
      </c>
      <c r="AJ1327" s="54" t="str">
        <f t="shared" si="250"/>
        <v/>
      </c>
      <c r="AK1327" s="54">
        <f t="shared" si="251"/>
        <v>0.83557723602856493</v>
      </c>
    </row>
    <row r="1328" spans="18:37" x14ac:dyDescent="0.45">
      <c r="R1328" s="2">
        <v>30.04</v>
      </c>
      <c r="S1328" s="2">
        <v>5.8544000000000001E-4</v>
      </c>
      <c r="T1328" s="2">
        <v>3.2892000000000002E-4</v>
      </c>
      <c r="V1328" s="11"/>
      <c r="W1328" s="6"/>
      <c r="X1328" s="6">
        <v>13.09</v>
      </c>
      <c r="Y1328" s="11" t="str">
        <f t="shared" si="252"/>
        <v/>
      </c>
      <c r="Z1328" s="6" t="str">
        <f t="shared" si="253"/>
        <v/>
      </c>
      <c r="AA1328" s="23">
        <f t="shared" si="254"/>
        <v>43.09</v>
      </c>
      <c r="AB1328" t="str">
        <f t="shared" si="243"/>
        <v/>
      </c>
      <c r="AC1328" t="str">
        <f t="shared" si="244"/>
        <v/>
      </c>
      <c r="AD1328">
        <f t="shared" si="245"/>
        <v>1.1639899999999999E-3</v>
      </c>
      <c r="AE1328" s="18" t="str">
        <f t="shared" si="246"/>
        <v/>
      </c>
      <c r="AF1328" s="7" t="str">
        <f t="shared" si="247"/>
        <v/>
      </c>
      <c r="AG1328" s="12">
        <f t="shared" si="248"/>
        <v>0.98991737584506423</v>
      </c>
      <c r="AI1328" s="54" t="str">
        <f t="shared" si="249"/>
        <v/>
      </c>
      <c r="AJ1328" s="54" t="str">
        <f t="shared" si="250"/>
        <v/>
      </c>
      <c r="AK1328" s="54">
        <f t="shared" si="251"/>
        <v>0.83640044671796721</v>
      </c>
    </row>
    <row r="1329" spans="18:37" x14ac:dyDescent="0.45">
      <c r="R1329" s="2">
        <v>30.05</v>
      </c>
      <c r="S1329" s="2">
        <v>5.8555E-4</v>
      </c>
      <c r="T1329" s="2">
        <v>3.2915E-4</v>
      </c>
      <c r="V1329" s="11"/>
      <c r="W1329" s="6"/>
      <c r="X1329" s="6">
        <v>13.1</v>
      </c>
      <c r="Y1329" s="11" t="str">
        <f t="shared" si="252"/>
        <v/>
      </c>
      <c r="Z1329" s="6" t="str">
        <f t="shared" si="253"/>
        <v/>
      </c>
      <c r="AA1329" s="23">
        <f t="shared" si="254"/>
        <v>43.1</v>
      </c>
      <c r="AB1329" t="str">
        <f t="shared" si="243"/>
        <v/>
      </c>
      <c r="AC1329" t="str">
        <f t="shared" si="244"/>
        <v/>
      </c>
      <c r="AD1329">
        <f t="shared" si="245"/>
        <v>1.1651000000000001E-3</v>
      </c>
      <c r="AE1329" s="18" t="str">
        <f t="shared" si="246"/>
        <v/>
      </c>
      <c r="AF1329" s="7" t="str">
        <f t="shared" si="247"/>
        <v/>
      </c>
      <c r="AG1329" s="12">
        <f t="shared" si="248"/>
        <v>0.98990585330580116</v>
      </c>
      <c r="AI1329" s="54" t="str">
        <f t="shared" si="249"/>
        <v/>
      </c>
      <c r="AJ1329" s="54" t="str">
        <f t="shared" si="250"/>
        <v/>
      </c>
      <c r="AK1329" s="54">
        <f t="shared" si="251"/>
        <v>0.83722399444864259</v>
      </c>
    </row>
    <row r="1330" spans="18:37" x14ac:dyDescent="0.45">
      <c r="R1330" s="2">
        <v>30.06</v>
      </c>
      <c r="S1330" s="2">
        <v>5.8566E-4</v>
      </c>
      <c r="T1330" s="2">
        <v>3.2937999999999999E-4</v>
      </c>
      <c r="V1330" s="11"/>
      <c r="W1330" s="6"/>
      <c r="X1330" s="6">
        <v>13.11</v>
      </c>
      <c r="Y1330" s="11" t="str">
        <f t="shared" si="252"/>
        <v/>
      </c>
      <c r="Z1330" s="6" t="str">
        <f t="shared" si="253"/>
        <v/>
      </c>
      <c r="AA1330" s="23">
        <f t="shared" si="254"/>
        <v>43.11</v>
      </c>
      <c r="AB1330" t="str">
        <f t="shared" si="243"/>
        <v/>
      </c>
      <c r="AC1330" t="str">
        <f t="shared" si="244"/>
        <v/>
      </c>
      <c r="AD1330">
        <f t="shared" si="245"/>
        <v>1.16621E-3</v>
      </c>
      <c r="AE1330" s="18" t="str">
        <f t="shared" si="246"/>
        <v/>
      </c>
      <c r="AF1330" s="7" t="str">
        <f t="shared" si="247"/>
        <v/>
      </c>
      <c r="AG1330" s="12">
        <f t="shared" si="248"/>
        <v>0.98989431991270427</v>
      </c>
      <c r="AI1330" s="54" t="str">
        <f t="shared" si="249"/>
        <v/>
      </c>
      <c r="AJ1330" s="54" t="str">
        <f t="shared" si="250"/>
        <v/>
      </c>
      <c r="AK1330" s="54">
        <f t="shared" si="251"/>
        <v>0.83804787937760983</v>
      </c>
    </row>
    <row r="1331" spans="18:37" x14ac:dyDescent="0.45">
      <c r="R1331" s="2">
        <v>30.07</v>
      </c>
      <c r="S1331" s="2">
        <v>5.8577E-4</v>
      </c>
      <c r="T1331" s="2">
        <v>3.2960999999999998E-4</v>
      </c>
      <c r="V1331" s="11"/>
      <c r="W1331" s="6"/>
      <c r="X1331" s="6">
        <v>13.120000000000001</v>
      </c>
      <c r="Y1331" s="11" t="str">
        <f t="shared" si="252"/>
        <v/>
      </c>
      <c r="Z1331" s="6" t="str">
        <f t="shared" si="253"/>
        <v/>
      </c>
      <c r="AA1331" s="23">
        <f t="shared" si="254"/>
        <v>43.120000000000005</v>
      </c>
      <c r="AB1331" t="str">
        <f t="shared" si="243"/>
        <v/>
      </c>
      <c r="AC1331" t="str">
        <f t="shared" si="244"/>
        <v/>
      </c>
      <c r="AD1331">
        <f t="shared" si="245"/>
        <v>1.1673199999999999E-3</v>
      </c>
      <c r="AE1331" s="18" t="str">
        <f t="shared" si="246"/>
        <v/>
      </c>
      <c r="AF1331" s="7" t="str">
        <f t="shared" si="247"/>
        <v/>
      </c>
      <c r="AG1331" s="12">
        <f t="shared" si="248"/>
        <v>0.98988277566615601</v>
      </c>
      <c r="AI1331" s="54" t="str">
        <f t="shared" si="249"/>
        <v/>
      </c>
      <c r="AJ1331" s="54" t="str">
        <f t="shared" si="250"/>
        <v/>
      </c>
      <c r="AK1331" s="54">
        <f t="shared" si="251"/>
        <v>0.83887210166196347</v>
      </c>
    </row>
    <row r="1332" spans="18:37" x14ac:dyDescent="0.45">
      <c r="R1332" s="2">
        <v>30.08</v>
      </c>
      <c r="S1332" s="2">
        <v>5.8587999999999999E-4</v>
      </c>
      <c r="T1332" s="2">
        <v>3.2984000000000003E-4</v>
      </c>
      <c r="V1332" s="11"/>
      <c r="W1332" s="6"/>
      <c r="X1332" s="6">
        <v>13.13</v>
      </c>
      <c r="Y1332" s="11" t="str">
        <f t="shared" si="252"/>
        <v/>
      </c>
      <c r="Z1332" s="6" t="str">
        <f t="shared" si="253"/>
        <v/>
      </c>
      <c r="AA1332" s="23">
        <f t="shared" si="254"/>
        <v>43.13</v>
      </c>
      <c r="AB1332" t="str">
        <f t="shared" si="243"/>
        <v/>
      </c>
      <c r="AC1332" t="str">
        <f t="shared" si="244"/>
        <v/>
      </c>
      <c r="AD1332">
        <f t="shared" si="245"/>
        <v>1.16843E-3</v>
      </c>
      <c r="AE1332" s="18" t="str">
        <f t="shared" si="246"/>
        <v/>
      </c>
      <c r="AF1332" s="7" t="str">
        <f t="shared" si="247"/>
        <v/>
      </c>
      <c r="AG1332" s="12">
        <f t="shared" si="248"/>
        <v>0.98987122056653909</v>
      </c>
      <c r="AI1332" s="54" t="str">
        <f t="shared" si="249"/>
        <v/>
      </c>
      <c r="AJ1332" s="54" t="str">
        <f t="shared" si="250"/>
        <v/>
      </c>
      <c r="AK1332" s="54">
        <f t="shared" si="251"/>
        <v>0.83969666145887389</v>
      </c>
    </row>
    <row r="1333" spans="18:37" x14ac:dyDescent="0.45">
      <c r="R1333" s="2">
        <v>30.09</v>
      </c>
      <c r="S1333" s="2">
        <v>5.8598999999999999E-4</v>
      </c>
      <c r="T1333" s="2">
        <v>3.3007000000000002E-4</v>
      </c>
      <c r="V1333" s="11"/>
      <c r="W1333" s="6"/>
      <c r="X1333" s="6">
        <v>13.14</v>
      </c>
      <c r="Y1333" s="11" t="str">
        <f t="shared" si="252"/>
        <v/>
      </c>
      <c r="Z1333" s="6" t="str">
        <f t="shared" si="253"/>
        <v/>
      </c>
      <c r="AA1333" s="23">
        <f t="shared" si="254"/>
        <v>43.14</v>
      </c>
      <c r="AB1333" t="str">
        <f t="shared" si="243"/>
        <v/>
      </c>
      <c r="AC1333" t="str">
        <f t="shared" si="244"/>
        <v/>
      </c>
      <c r="AD1333">
        <f t="shared" si="245"/>
        <v>1.1695399999999999E-3</v>
      </c>
      <c r="AE1333" s="18" t="str">
        <f t="shared" si="246"/>
        <v/>
      </c>
      <c r="AF1333" s="7" t="str">
        <f t="shared" si="247"/>
        <v/>
      </c>
      <c r="AG1333" s="12">
        <f t="shared" si="248"/>
        <v>0.98985965461423664</v>
      </c>
      <c r="AI1333" s="54" t="str">
        <f t="shared" si="249"/>
        <v/>
      </c>
      <c r="AJ1333" s="54" t="str">
        <f t="shared" si="250"/>
        <v/>
      </c>
      <c r="AK1333" s="54">
        <f t="shared" si="251"/>
        <v>0.84052155892558744</v>
      </c>
    </row>
    <row r="1334" spans="18:37" x14ac:dyDescent="0.45">
      <c r="R1334" s="2">
        <v>30.1</v>
      </c>
      <c r="S1334" s="2">
        <v>5.8609999999999999E-4</v>
      </c>
      <c r="T1334" s="2">
        <v>3.3030000000000001E-4</v>
      </c>
      <c r="V1334" s="11"/>
      <c r="W1334" s="6"/>
      <c r="X1334" s="6">
        <v>13.15</v>
      </c>
      <c r="Y1334" s="11" t="str">
        <f t="shared" si="252"/>
        <v/>
      </c>
      <c r="Z1334" s="6" t="str">
        <f t="shared" si="253"/>
        <v/>
      </c>
      <c r="AA1334" s="23">
        <f t="shared" si="254"/>
        <v>43.15</v>
      </c>
      <c r="AB1334" t="str">
        <f t="shared" si="243"/>
        <v/>
      </c>
      <c r="AC1334" t="str">
        <f t="shared" si="244"/>
        <v/>
      </c>
      <c r="AD1334">
        <f t="shared" si="245"/>
        <v>1.1706500000000001E-3</v>
      </c>
      <c r="AE1334" s="18" t="str">
        <f t="shared" si="246"/>
        <v/>
      </c>
      <c r="AF1334" s="7" t="str">
        <f t="shared" si="247"/>
        <v/>
      </c>
      <c r="AG1334" s="12">
        <f t="shared" si="248"/>
        <v>0.98984807780963202</v>
      </c>
      <c r="AI1334" s="54" t="str">
        <f t="shared" si="249"/>
        <v/>
      </c>
      <c r="AJ1334" s="54" t="str">
        <f t="shared" si="250"/>
        <v/>
      </c>
      <c r="AK1334" s="54">
        <f t="shared" si="251"/>
        <v>0.84134679421942637</v>
      </c>
    </row>
    <row r="1335" spans="18:37" x14ac:dyDescent="0.45">
      <c r="R1335" s="2">
        <v>30.11</v>
      </c>
      <c r="S1335" s="2">
        <v>5.8620999999999999E-4</v>
      </c>
      <c r="T1335" s="2">
        <v>3.3052999999999999E-4</v>
      </c>
      <c r="V1335" s="11"/>
      <c r="W1335" s="6"/>
      <c r="X1335" s="6">
        <v>13.16</v>
      </c>
      <c r="Y1335" s="11" t="str">
        <f t="shared" si="252"/>
        <v/>
      </c>
      <c r="Z1335" s="6" t="str">
        <f t="shared" si="253"/>
        <v/>
      </c>
      <c r="AA1335" s="23">
        <f t="shared" si="254"/>
        <v>43.16</v>
      </c>
      <c r="AB1335" t="str">
        <f t="shared" si="243"/>
        <v/>
      </c>
      <c r="AC1335" t="str">
        <f t="shared" si="244"/>
        <v/>
      </c>
      <c r="AD1335">
        <f t="shared" si="245"/>
        <v>1.17176E-3</v>
      </c>
      <c r="AE1335" s="18" t="str">
        <f t="shared" si="246"/>
        <v/>
      </c>
      <c r="AF1335" s="7" t="str">
        <f t="shared" si="247"/>
        <v/>
      </c>
      <c r="AG1335" s="12">
        <f t="shared" si="248"/>
        <v>0.98983649015310915</v>
      </c>
      <c r="AI1335" s="54" t="str">
        <f t="shared" si="249"/>
        <v/>
      </c>
      <c r="AJ1335" s="54" t="str">
        <f t="shared" si="250"/>
        <v/>
      </c>
      <c r="AK1335" s="54">
        <f t="shared" si="251"/>
        <v>0.84217236749778912</v>
      </c>
    </row>
    <row r="1336" spans="18:37" x14ac:dyDescent="0.45">
      <c r="R1336" s="2">
        <v>30.12</v>
      </c>
      <c r="S1336" s="2">
        <v>5.8631999999999998E-4</v>
      </c>
      <c r="T1336" s="2">
        <v>3.3075999999999998E-4</v>
      </c>
      <c r="V1336" s="11"/>
      <c r="W1336" s="6"/>
      <c r="X1336" s="6">
        <v>13.17</v>
      </c>
      <c r="Y1336" s="11" t="str">
        <f t="shared" si="252"/>
        <v/>
      </c>
      <c r="Z1336" s="6" t="str">
        <f t="shared" si="253"/>
        <v/>
      </c>
      <c r="AA1336" s="23">
        <f t="shared" si="254"/>
        <v>43.17</v>
      </c>
      <c r="AB1336" t="str">
        <f t="shared" si="243"/>
        <v/>
      </c>
      <c r="AC1336" t="str">
        <f t="shared" si="244"/>
        <v/>
      </c>
      <c r="AD1336">
        <f t="shared" si="245"/>
        <v>1.1728699999999999E-3</v>
      </c>
      <c r="AE1336" s="18" t="str">
        <f t="shared" si="246"/>
        <v/>
      </c>
      <c r="AF1336" s="7" t="str">
        <f t="shared" si="247"/>
        <v/>
      </c>
      <c r="AG1336" s="12">
        <f t="shared" si="248"/>
        <v>0.98982489164505216</v>
      </c>
      <c r="AI1336" s="54" t="str">
        <f t="shared" si="249"/>
        <v/>
      </c>
      <c r="AJ1336" s="54" t="str">
        <f t="shared" si="250"/>
        <v/>
      </c>
      <c r="AK1336" s="54">
        <f t="shared" si="251"/>
        <v>0.84299827891815016</v>
      </c>
    </row>
    <row r="1337" spans="18:37" x14ac:dyDescent="0.45">
      <c r="R1337" s="2">
        <v>30.13</v>
      </c>
      <c r="S1337" s="2">
        <v>5.8642999999999998E-4</v>
      </c>
      <c r="T1337" s="2">
        <v>3.3098999999999997E-4</v>
      </c>
      <c r="V1337" s="11"/>
      <c r="W1337" s="6"/>
      <c r="X1337" s="6">
        <v>13.18</v>
      </c>
      <c r="Y1337" s="11" t="str">
        <f t="shared" si="252"/>
        <v/>
      </c>
      <c r="Z1337" s="6" t="str">
        <f t="shared" si="253"/>
        <v/>
      </c>
      <c r="AA1337" s="23">
        <f t="shared" si="254"/>
        <v>43.18</v>
      </c>
      <c r="AB1337" t="str">
        <f t="shared" si="243"/>
        <v/>
      </c>
      <c r="AC1337" t="str">
        <f t="shared" si="244"/>
        <v/>
      </c>
      <c r="AD1337">
        <f t="shared" si="245"/>
        <v>1.17398E-3</v>
      </c>
      <c r="AE1337" s="18" t="str">
        <f t="shared" si="246"/>
        <v/>
      </c>
      <c r="AF1337" s="7" t="str">
        <f t="shared" si="247"/>
        <v/>
      </c>
      <c r="AG1337" s="12">
        <f t="shared" si="248"/>
        <v>0.98981328228584553</v>
      </c>
      <c r="AI1337" s="54" t="str">
        <f t="shared" si="249"/>
        <v/>
      </c>
      <c r="AJ1337" s="54" t="str">
        <f t="shared" si="250"/>
        <v/>
      </c>
      <c r="AK1337" s="54">
        <f t="shared" si="251"/>
        <v>0.8438245286380599</v>
      </c>
    </row>
    <row r="1338" spans="18:37" x14ac:dyDescent="0.45">
      <c r="R1338" s="2">
        <v>30.14</v>
      </c>
      <c r="S1338" s="2">
        <v>5.8653999999999998E-4</v>
      </c>
      <c r="T1338" s="2">
        <v>3.3122000000000002E-4</v>
      </c>
      <c r="V1338" s="11"/>
      <c r="W1338" s="6"/>
      <c r="X1338" s="6">
        <v>13.19</v>
      </c>
      <c r="Y1338" s="11" t="str">
        <f t="shared" si="252"/>
        <v/>
      </c>
      <c r="Z1338" s="6" t="str">
        <f t="shared" si="253"/>
        <v/>
      </c>
      <c r="AA1338" s="23">
        <f t="shared" si="254"/>
        <v>43.19</v>
      </c>
      <c r="AB1338" t="str">
        <f t="shared" si="243"/>
        <v/>
      </c>
      <c r="AC1338" t="str">
        <f t="shared" si="244"/>
        <v/>
      </c>
      <c r="AD1338">
        <f t="shared" si="245"/>
        <v>1.1750899999999999E-3</v>
      </c>
      <c r="AE1338" s="18" t="str">
        <f t="shared" si="246"/>
        <v/>
      </c>
      <c r="AF1338" s="7" t="str">
        <f t="shared" si="247"/>
        <v/>
      </c>
      <c r="AG1338" s="12">
        <f t="shared" si="248"/>
        <v>0.98980166207587417</v>
      </c>
      <c r="AI1338" s="54" t="str">
        <f t="shared" si="249"/>
        <v/>
      </c>
      <c r="AJ1338" s="54" t="str">
        <f t="shared" si="250"/>
        <v/>
      </c>
      <c r="AK1338" s="54">
        <f t="shared" si="251"/>
        <v>0.84465111681514493</v>
      </c>
    </row>
    <row r="1339" spans="18:37" x14ac:dyDescent="0.45">
      <c r="R1339" s="2">
        <v>30.15</v>
      </c>
      <c r="S1339" s="2">
        <v>5.8664999999999998E-4</v>
      </c>
      <c r="T1339" s="2">
        <v>3.3145000000000001E-4</v>
      </c>
      <c r="V1339" s="11"/>
      <c r="W1339" s="6"/>
      <c r="X1339" s="6">
        <v>13.200000000000001</v>
      </c>
      <c r="Y1339" s="11" t="str">
        <f t="shared" si="252"/>
        <v/>
      </c>
      <c r="Z1339" s="6" t="str">
        <f t="shared" si="253"/>
        <v/>
      </c>
      <c r="AA1339" s="23">
        <f t="shared" si="254"/>
        <v>43.2</v>
      </c>
      <c r="AB1339" t="str">
        <f t="shared" si="243"/>
        <v/>
      </c>
      <c r="AC1339" t="str">
        <f t="shared" si="244"/>
        <v/>
      </c>
      <c r="AD1339">
        <f t="shared" si="245"/>
        <v>1.1762000000000001E-3</v>
      </c>
      <c r="AE1339" s="18" t="str">
        <f t="shared" si="246"/>
        <v/>
      </c>
      <c r="AF1339" s="7" t="str">
        <f t="shared" si="247"/>
        <v/>
      </c>
      <c r="AG1339" s="12">
        <f t="shared" si="248"/>
        <v>0.98979003101552332</v>
      </c>
      <c r="AI1339" s="54" t="str">
        <f t="shared" si="249"/>
        <v/>
      </c>
      <c r="AJ1339" s="54" t="str">
        <f t="shared" si="250"/>
        <v/>
      </c>
      <c r="AK1339" s="54">
        <f t="shared" si="251"/>
        <v>0.8454780436071081</v>
      </c>
    </row>
    <row r="1340" spans="18:37" x14ac:dyDescent="0.45">
      <c r="R1340" s="2">
        <v>30.16</v>
      </c>
      <c r="S1340" s="2">
        <v>5.8675999999999997E-4</v>
      </c>
      <c r="T1340" s="2">
        <v>3.3168E-4</v>
      </c>
      <c r="V1340" s="11"/>
      <c r="W1340" s="6"/>
      <c r="X1340" s="6">
        <v>13.21</v>
      </c>
      <c r="Y1340" s="11" t="str">
        <f t="shared" si="252"/>
        <v/>
      </c>
      <c r="Z1340" s="6" t="str">
        <f t="shared" si="253"/>
        <v/>
      </c>
      <c r="AA1340" s="23">
        <f t="shared" si="254"/>
        <v>43.21</v>
      </c>
      <c r="AB1340" t="str">
        <f t="shared" si="243"/>
        <v/>
      </c>
      <c r="AC1340" t="str">
        <f t="shared" si="244"/>
        <v/>
      </c>
      <c r="AD1340">
        <f t="shared" si="245"/>
        <v>1.17731E-3</v>
      </c>
      <c r="AE1340" s="18" t="str">
        <f t="shared" si="246"/>
        <v/>
      </c>
      <c r="AF1340" s="7" t="str">
        <f t="shared" si="247"/>
        <v/>
      </c>
      <c r="AG1340" s="12">
        <f t="shared" si="248"/>
        <v>0.98977838910517857</v>
      </c>
      <c r="AI1340" s="54" t="str">
        <f t="shared" si="249"/>
        <v/>
      </c>
      <c r="AJ1340" s="54" t="str">
        <f t="shared" si="250"/>
        <v/>
      </c>
      <c r="AK1340" s="54">
        <f t="shared" si="251"/>
        <v>0.8463053091717283</v>
      </c>
    </row>
    <row r="1341" spans="18:37" x14ac:dyDescent="0.45">
      <c r="R1341" s="2">
        <v>30.17</v>
      </c>
      <c r="S1341" s="2">
        <v>5.8686999999999997E-4</v>
      </c>
      <c r="T1341" s="2">
        <v>3.3190999999999998E-4</v>
      </c>
      <c r="V1341" s="11"/>
      <c r="W1341" s="6"/>
      <c r="X1341" s="6">
        <v>13.22</v>
      </c>
      <c r="Y1341" s="11" t="str">
        <f t="shared" si="252"/>
        <v/>
      </c>
      <c r="Z1341" s="6" t="str">
        <f t="shared" si="253"/>
        <v/>
      </c>
      <c r="AA1341" s="23">
        <f t="shared" si="254"/>
        <v>43.22</v>
      </c>
      <c r="AB1341" t="str">
        <f t="shared" si="243"/>
        <v/>
      </c>
      <c r="AC1341" t="str">
        <f t="shared" si="244"/>
        <v/>
      </c>
      <c r="AD1341">
        <f t="shared" si="245"/>
        <v>1.1784199999999999E-3</v>
      </c>
      <c r="AE1341" s="18" t="str">
        <f t="shared" si="246"/>
        <v/>
      </c>
      <c r="AF1341" s="7" t="str">
        <f t="shared" si="247"/>
        <v/>
      </c>
      <c r="AG1341" s="12">
        <f t="shared" si="248"/>
        <v>0.98976673634522583</v>
      </c>
      <c r="AI1341" s="54" t="str">
        <f t="shared" si="249"/>
        <v/>
      </c>
      <c r="AJ1341" s="54" t="str">
        <f t="shared" si="250"/>
        <v/>
      </c>
      <c r="AK1341" s="54">
        <f t="shared" si="251"/>
        <v>0.84713291366686094</v>
      </c>
    </row>
    <row r="1342" spans="18:37" x14ac:dyDescent="0.45">
      <c r="R1342" s="2">
        <v>30.18</v>
      </c>
      <c r="S1342" s="2">
        <v>5.8697999999999997E-4</v>
      </c>
      <c r="T1342" s="2">
        <v>3.3213999999999997E-4</v>
      </c>
      <c r="V1342" s="11"/>
      <c r="W1342" s="6"/>
      <c r="X1342" s="6">
        <v>13.23</v>
      </c>
      <c r="Y1342" s="11" t="str">
        <f t="shared" si="252"/>
        <v/>
      </c>
      <c r="Z1342" s="6" t="str">
        <f t="shared" si="253"/>
        <v/>
      </c>
      <c r="AA1342" s="23">
        <f t="shared" si="254"/>
        <v>43.230000000000004</v>
      </c>
      <c r="AB1342" t="str">
        <f t="shared" si="243"/>
        <v/>
      </c>
      <c r="AC1342" t="str">
        <f t="shared" si="244"/>
        <v/>
      </c>
      <c r="AD1342">
        <f t="shared" si="245"/>
        <v>1.17953E-3</v>
      </c>
      <c r="AE1342" s="18" t="str">
        <f t="shared" si="246"/>
        <v/>
      </c>
      <c r="AF1342" s="7" t="str">
        <f t="shared" si="247"/>
        <v/>
      </c>
      <c r="AG1342" s="12">
        <f t="shared" si="248"/>
        <v>0.98975507273605134</v>
      </c>
      <c r="AI1342" s="54" t="str">
        <f t="shared" si="249"/>
        <v/>
      </c>
      <c r="AJ1342" s="54" t="str">
        <f t="shared" si="250"/>
        <v/>
      </c>
      <c r="AK1342" s="54">
        <f t="shared" si="251"/>
        <v>0.84796085725043746</v>
      </c>
    </row>
    <row r="1343" spans="18:37" x14ac:dyDescent="0.45">
      <c r="R1343" s="2">
        <v>30.19</v>
      </c>
      <c r="S1343" s="2">
        <v>5.8708999999999996E-4</v>
      </c>
      <c r="T1343" s="2">
        <v>3.3237000000000002E-4</v>
      </c>
      <c r="V1343" s="11"/>
      <c r="W1343" s="6"/>
      <c r="X1343" s="6">
        <v>13.24</v>
      </c>
      <c r="Y1343" s="11" t="str">
        <f t="shared" si="252"/>
        <v/>
      </c>
      <c r="Z1343" s="6" t="str">
        <f t="shared" si="253"/>
        <v/>
      </c>
      <c r="AA1343" s="23">
        <f t="shared" si="254"/>
        <v>43.24</v>
      </c>
      <c r="AB1343" t="str">
        <f t="shared" si="243"/>
        <v/>
      </c>
      <c r="AC1343" t="str">
        <f t="shared" si="244"/>
        <v/>
      </c>
      <c r="AD1343">
        <f t="shared" si="245"/>
        <v>1.1806399999999999E-3</v>
      </c>
      <c r="AE1343" s="18" t="str">
        <f t="shared" si="246"/>
        <v/>
      </c>
      <c r="AF1343" s="7" t="str">
        <f t="shared" si="247"/>
        <v/>
      </c>
      <c r="AG1343" s="12">
        <f t="shared" si="248"/>
        <v>0.98974339827804192</v>
      </c>
      <c r="AI1343" s="54" t="str">
        <f t="shared" si="249"/>
        <v/>
      </c>
      <c r="AJ1343" s="54" t="str">
        <f t="shared" si="250"/>
        <v/>
      </c>
      <c r="AK1343" s="54">
        <f t="shared" si="251"/>
        <v>0.84878914008046569</v>
      </c>
    </row>
    <row r="1344" spans="18:37" x14ac:dyDescent="0.45">
      <c r="R1344" s="2">
        <v>30.2</v>
      </c>
      <c r="S1344" s="2">
        <v>5.8719999999999996E-4</v>
      </c>
      <c r="T1344" s="2">
        <v>3.3260000000000001E-4</v>
      </c>
      <c r="V1344" s="11"/>
      <c r="W1344" s="6"/>
      <c r="X1344" s="6">
        <v>13.25</v>
      </c>
      <c r="Y1344" s="11" t="str">
        <f t="shared" si="252"/>
        <v/>
      </c>
      <c r="Z1344" s="6" t="str">
        <f t="shared" si="253"/>
        <v/>
      </c>
      <c r="AA1344" s="23">
        <f t="shared" si="254"/>
        <v>43.25</v>
      </c>
      <c r="AB1344" t="str">
        <f t="shared" si="243"/>
        <v/>
      </c>
      <c r="AC1344" t="str">
        <f t="shared" si="244"/>
        <v/>
      </c>
      <c r="AD1344">
        <f t="shared" si="245"/>
        <v>1.1817500000000001E-3</v>
      </c>
      <c r="AE1344" s="18" t="str">
        <f t="shared" si="246"/>
        <v/>
      </c>
      <c r="AF1344" s="7" t="str">
        <f t="shared" si="247"/>
        <v/>
      </c>
      <c r="AG1344" s="12">
        <f t="shared" si="248"/>
        <v>0.98973171297158447</v>
      </c>
      <c r="AI1344" s="54" t="str">
        <f t="shared" si="249"/>
        <v/>
      </c>
      <c r="AJ1344" s="54" t="str">
        <f t="shared" si="250"/>
        <v/>
      </c>
      <c r="AK1344" s="54">
        <f t="shared" si="251"/>
        <v>0.84961776231502983</v>
      </c>
    </row>
    <row r="1345" spans="18:37" x14ac:dyDescent="0.45">
      <c r="R1345" s="2">
        <v>30.21</v>
      </c>
      <c r="S1345" s="2">
        <v>5.8730999999999996E-4</v>
      </c>
      <c r="T1345" s="2">
        <v>3.3283E-4</v>
      </c>
      <c r="V1345" s="11"/>
      <c r="W1345" s="6"/>
      <c r="X1345" s="6">
        <v>13.26</v>
      </c>
      <c r="Y1345" s="11" t="str">
        <f t="shared" si="252"/>
        <v/>
      </c>
      <c r="Z1345" s="6" t="str">
        <f t="shared" si="253"/>
        <v/>
      </c>
      <c r="AA1345" s="23">
        <f t="shared" si="254"/>
        <v>43.26</v>
      </c>
      <c r="AB1345" t="str">
        <f t="shared" si="243"/>
        <v/>
      </c>
      <c r="AC1345" t="str">
        <f t="shared" si="244"/>
        <v/>
      </c>
      <c r="AD1345">
        <f t="shared" si="245"/>
        <v>1.18286E-3</v>
      </c>
      <c r="AE1345" s="18" t="str">
        <f t="shared" si="246"/>
        <v/>
      </c>
      <c r="AF1345" s="7" t="str">
        <f t="shared" si="247"/>
        <v/>
      </c>
      <c r="AG1345" s="12">
        <f t="shared" si="248"/>
        <v>0.98972001681706645</v>
      </c>
      <c r="AI1345" s="54" t="str">
        <f t="shared" si="249"/>
        <v/>
      </c>
      <c r="AJ1345" s="54" t="str">
        <f t="shared" si="250"/>
        <v/>
      </c>
      <c r="AK1345" s="54">
        <f t="shared" si="251"/>
        <v>0.8504467241122905</v>
      </c>
    </row>
    <row r="1346" spans="18:37" x14ac:dyDescent="0.45">
      <c r="R1346" s="2">
        <v>30.22</v>
      </c>
      <c r="S1346" s="2">
        <v>5.8741999999999996E-4</v>
      </c>
      <c r="T1346" s="2">
        <v>3.3305999999999999E-4</v>
      </c>
      <c r="V1346" s="11"/>
      <c r="W1346" s="6"/>
      <c r="X1346" s="6">
        <v>13.27</v>
      </c>
      <c r="Y1346" s="11" t="str">
        <f t="shared" si="252"/>
        <v/>
      </c>
      <c r="Z1346" s="6" t="str">
        <f t="shared" si="253"/>
        <v/>
      </c>
      <c r="AA1346" s="23">
        <f t="shared" si="254"/>
        <v>43.269999999999996</v>
      </c>
      <c r="AB1346" t="str">
        <f t="shared" si="243"/>
        <v/>
      </c>
      <c r="AC1346" t="str">
        <f t="shared" si="244"/>
        <v/>
      </c>
      <c r="AD1346">
        <f t="shared" si="245"/>
        <v>1.18286E-3</v>
      </c>
      <c r="AE1346" s="18" t="str">
        <f t="shared" si="246"/>
        <v/>
      </c>
      <c r="AF1346" s="7" t="str">
        <f t="shared" si="247"/>
        <v/>
      </c>
      <c r="AG1346" s="12">
        <f t="shared" si="248"/>
        <v>0.98970830981487556</v>
      </c>
      <c r="AI1346" s="54" t="str">
        <f t="shared" si="249"/>
        <v/>
      </c>
      <c r="AJ1346" s="54" t="str">
        <f t="shared" si="250"/>
        <v/>
      </c>
      <c r="AK1346" s="54">
        <f t="shared" si="251"/>
        <v>0.85127602563048477</v>
      </c>
    </row>
    <row r="1347" spans="18:37" x14ac:dyDescent="0.45">
      <c r="R1347" s="2">
        <v>30.23</v>
      </c>
      <c r="S1347" s="2">
        <v>5.8752999999999995E-4</v>
      </c>
      <c r="T1347" s="2">
        <v>3.3328999999999998E-4</v>
      </c>
      <c r="V1347" s="11"/>
      <c r="W1347" s="6"/>
      <c r="X1347" s="6">
        <v>13.280000000000001</v>
      </c>
      <c r="Y1347" s="11" t="str">
        <f t="shared" si="252"/>
        <v/>
      </c>
      <c r="Z1347" s="6" t="str">
        <f t="shared" si="253"/>
        <v/>
      </c>
      <c r="AA1347" s="23">
        <f t="shared" si="254"/>
        <v>43.28</v>
      </c>
      <c r="AB1347" t="str">
        <f t="shared" si="243"/>
        <v/>
      </c>
      <c r="AC1347" t="str">
        <f t="shared" si="244"/>
        <v/>
      </c>
      <c r="AD1347">
        <f t="shared" si="245"/>
        <v>1.18508E-3</v>
      </c>
      <c r="AE1347" s="18" t="str">
        <f t="shared" si="246"/>
        <v/>
      </c>
      <c r="AF1347" s="7" t="str">
        <f t="shared" si="247"/>
        <v/>
      </c>
      <c r="AG1347" s="12">
        <f t="shared" si="248"/>
        <v>0.98969660295116213</v>
      </c>
      <c r="AI1347" s="54" t="str">
        <f t="shared" si="249"/>
        <v/>
      </c>
      <c r="AJ1347" s="54" t="str">
        <f t="shared" si="250"/>
        <v/>
      </c>
      <c r="AK1347" s="54">
        <f t="shared" si="251"/>
        <v>0.85210566867876225</v>
      </c>
    </row>
    <row r="1348" spans="18:37" x14ac:dyDescent="0.45">
      <c r="R1348" s="2">
        <v>30.24</v>
      </c>
      <c r="S1348" s="2">
        <v>5.8763999999999995E-4</v>
      </c>
      <c r="T1348" s="2">
        <v>3.3352000000000002E-4</v>
      </c>
      <c r="V1348" s="11"/>
      <c r="W1348" s="6"/>
      <c r="X1348" s="6">
        <v>13.290000000000001</v>
      </c>
      <c r="Y1348" s="11" t="str">
        <f t="shared" si="252"/>
        <v/>
      </c>
      <c r="Z1348" s="6" t="str">
        <f t="shared" si="253"/>
        <v/>
      </c>
      <c r="AA1348" s="23">
        <f t="shared" si="254"/>
        <v>43.29</v>
      </c>
      <c r="AB1348" t="str">
        <f t="shared" si="243"/>
        <v/>
      </c>
      <c r="AC1348" t="str">
        <f t="shared" si="244"/>
        <v/>
      </c>
      <c r="AD1348">
        <f t="shared" si="245"/>
        <v>1.1861899999999999E-3</v>
      </c>
      <c r="AE1348" s="18" t="str">
        <f t="shared" si="246"/>
        <v/>
      </c>
      <c r="AF1348" s="7" t="str">
        <f t="shared" si="247"/>
        <v/>
      </c>
      <c r="AG1348" s="12">
        <f t="shared" si="248"/>
        <v>0.9896848742546599</v>
      </c>
      <c r="AI1348" s="54" t="str">
        <f t="shared" si="249"/>
        <v/>
      </c>
      <c r="AJ1348" s="54" t="str">
        <f t="shared" si="250"/>
        <v/>
      </c>
      <c r="AK1348" s="54">
        <f t="shared" si="251"/>
        <v>0.85293565011452066</v>
      </c>
    </row>
    <row r="1349" spans="18:37" x14ac:dyDescent="0.45">
      <c r="R1349" s="2">
        <v>30.25</v>
      </c>
      <c r="S1349" s="2">
        <v>5.8774999999999995E-4</v>
      </c>
      <c r="T1349" s="2">
        <v>3.3375000000000001E-4</v>
      </c>
      <c r="V1349" s="11"/>
      <c r="W1349" s="6"/>
      <c r="X1349" s="6">
        <v>13.3</v>
      </c>
      <c r="Y1349" s="11" t="str">
        <f t="shared" si="252"/>
        <v/>
      </c>
      <c r="Z1349" s="6" t="str">
        <f t="shared" si="253"/>
        <v/>
      </c>
      <c r="AA1349" s="23">
        <f t="shared" si="254"/>
        <v>43.3</v>
      </c>
      <c r="AB1349" t="str">
        <f t="shared" si="243"/>
        <v/>
      </c>
      <c r="AC1349" t="str">
        <f t="shared" si="244"/>
        <v/>
      </c>
      <c r="AD1349">
        <f t="shared" si="245"/>
        <v>1.1873000000000001E-3</v>
      </c>
      <c r="AE1349" s="18" t="str">
        <f t="shared" si="246"/>
        <v/>
      </c>
      <c r="AF1349" s="7" t="str">
        <f t="shared" si="247"/>
        <v/>
      </c>
      <c r="AG1349" s="12">
        <f t="shared" si="248"/>
        <v>0.98967313471164997</v>
      </c>
      <c r="AI1349" s="54" t="str">
        <f t="shared" si="249"/>
        <v/>
      </c>
      <c r="AJ1349" s="54" t="str">
        <f t="shared" si="250"/>
        <v/>
      </c>
      <c r="AK1349" s="54">
        <f t="shared" si="251"/>
        <v>0.85376597174638302</v>
      </c>
    </row>
    <row r="1350" spans="18:37" x14ac:dyDescent="0.45">
      <c r="R1350" s="2">
        <v>30.26</v>
      </c>
      <c r="S1350" s="2">
        <v>5.8786000000000005E-4</v>
      </c>
      <c r="T1350" s="2">
        <v>3.3398E-4</v>
      </c>
      <c r="V1350" s="11"/>
      <c r="W1350" s="6"/>
      <c r="X1350" s="6">
        <v>13.31</v>
      </c>
      <c r="Y1350" s="11" t="str">
        <f t="shared" si="252"/>
        <v/>
      </c>
      <c r="Z1350" s="6" t="str">
        <f t="shared" si="253"/>
        <v/>
      </c>
      <c r="AA1350" s="23">
        <f t="shared" si="254"/>
        <v>43.31</v>
      </c>
      <c r="AB1350" t="str">
        <f t="shared" si="243"/>
        <v/>
      </c>
      <c r="AC1350" t="str">
        <f t="shared" si="244"/>
        <v/>
      </c>
      <c r="AD1350">
        <f t="shared" si="245"/>
        <v>1.18841E-3</v>
      </c>
      <c r="AE1350" s="18" t="str">
        <f t="shared" si="246"/>
        <v/>
      </c>
      <c r="AF1350" s="7" t="str">
        <f t="shared" si="247"/>
        <v/>
      </c>
      <c r="AG1350" s="12">
        <f t="shared" si="248"/>
        <v>0.98966138432252149</v>
      </c>
      <c r="AI1350" s="54" t="str">
        <f t="shared" si="249"/>
        <v/>
      </c>
      <c r="AJ1350" s="54" t="str">
        <f t="shared" si="250"/>
        <v/>
      </c>
      <c r="AK1350" s="54">
        <f t="shared" si="251"/>
        <v>0.85459663373289263</v>
      </c>
    </row>
    <row r="1351" spans="18:37" x14ac:dyDescent="0.45">
      <c r="R1351" s="2">
        <v>30.27</v>
      </c>
      <c r="S1351" s="2">
        <v>5.8797000000000005E-4</v>
      </c>
      <c r="T1351" s="2">
        <v>3.3420999999999999E-4</v>
      </c>
      <c r="V1351" s="11"/>
      <c r="W1351" s="6"/>
      <c r="X1351" s="6">
        <v>13.32</v>
      </c>
      <c r="Y1351" s="11" t="str">
        <f t="shared" si="252"/>
        <v/>
      </c>
      <c r="Z1351" s="6" t="str">
        <f t="shared" si="253"/>
        <v/>
      </c>
      <c r="AA1351" s="23">
        <f t="shared" si="254"/>
        <v>43.32</v>
      </c>
      <c r="AB1351" t="str">
        <f t="shared" si="243"/>
        <v/>
      </c>
      <c r="AC1351" t="str">
        <f t="shared" si="244"/>
        <v/>
      </c>
      <c r="AD1351">
        <f t="shared" si="245"/>
        <v>1.1895199999999999E-3</v>
      </c>
      <c r="AE1351" s="18" t="str">
        <f t="shared" si="246"/>
        <v/>
      </c>
      <c r="AF1351" s="7" t="str">
        <f t="shared" si="247"/>
        <v/>
      </c>
      <c r="AG1351" s="12">
        <f t="shared" si="248"/>
        <v>0.98964962308766402</v>
      </c>
      <c r="AI1351" s="54" t="str">
        <f t="shared" si="249"/>
        <v/>
      </c>
      <c r="AJ1351" s="54" t="str">
        <f t="shared" si="250"/>
        <v/>
      </c>
      <c r="AK1351" s="54">
        <f t="shared" si="251"/>
        <v>0.85542763623266926</v>
      </c>
    </row>
    <row r="1352" spans="18:37" x14ac:dyDescent="0.45">
      <c r="R1352" s="2">
        <v>30.28</v>
      </c>
      <c r="S1352" s="2">
        <v>5.8808000000000005E-4</v>
      </c>
      <c r="T1352" s="2">
        <v>3.3443999999999998E-4</v>
      </c>
      <c r="V1352" s="11"/>
      <c r="W1352" s="6"/>
      <c r="X1352" s="6">
        <v>13.33</v>
      </c>
      <c r="Y1352" s="11" t="str">
        <f t="shared" si="252"/>
        <v/>
      </c>
      <c r="Z1352" s="6" t="str">
        <f t="shared" si="253"/>
        <v/>
      </c>
      <c r="AA1352" s="23">
        <f t="shared" si="254"/>
        <v>43.33</v>
      </c>
      <c r="AB1352" t="str">
        <f t="shared" si="243"/>
        <v/>
      </c>
      <c r="AC1352" t="str">
        <f t="shared" si="244"/>
        <v/>
      </c>
      <c r="AD1352">
        <f t="shared" si="245"/>
        <v>1.19063E-3</v>
      </c>
      <c r="AE1352" s="18" t="str">
        <f t="shared" si="246"/>
        <v/>
      </c>
      <c r="AF1352" s="7" t="str">
        <f t="shared" si="247"/>
        <v/>
      </c>
      <c r="AG1352" s="12">
        <f t="shared" si="248"/>
        <v>0.98963785100746748</v>
      </c>
      <c r="AI1352" s="54" t="str">
        <f t="shared" si="249"/>
        <v/>
      </c>
      <c r="AJ1352" s="54" t="str">
        <f t="shared" si="250"/>
        <v/>
      </c>
      <c r="AK1352" s="54">
        <f t="shared" si="251"/>
        <v>0.85625897940440931</v>
      </c>
    </row>
    <row r="1353" spans="18:37" x14ac:dyDescent="0.45">
      <c r="R1353" s="2">
        <v>30.29</v>
      </c>
      <c r="S1353" s="2">
        <v>5.8819000000000005E-4</v>
      </c>
      <c r="T1353" s="2">
        <v>3.3467000000000002E-4</v>
      </c>
      <c r="V1353" s="11"/>
      <c r="W1353" s="6"/>
      <c r="X1353" s="6">
        <v>13.34</v>
      </c>
      <c r="Y1353" s="11" t="str">
        <f t="shared" si="252"/>
        <v/>
      </c>
      <c r="Z1353" s="6" t="str">
        <f t="shared" si="253"/>
        <v/>
      </c>
      <c r="AA1353" s="23">
        <f t="shared" si="254"/>
        <v>43.34</v>
      </c>
      <c r="AB1353" t="str">
        <f t="shared" si="243"/>
        <v/>
      </c>
      <c r="AC1353" t="str">
        <f t="shared" si="244"/>
        <v/>
      </c>
      <c r="AD1353">
        <f t="shared" si="245"/>
        <v>1.1917399999999999E-3</v>
      </c>
      <c r="AE1353" s="18" t="str">
        <f t="shared" si="246"/>
        <v/>
      </c>
      <c r="AF1353" s="7" t="str">
        <f t="shared" si="247"/>
        <v/>
      </c>
      <c r="AG1353" s="12">
        <f t="shared" si="248"/>
        <v>0.98962606808232201</v>
      </c>
      <c r="AI1353" s="54" t="str">
        <f t="shared" si="249"/>
        <v/>
      </c>
      <c r="AJ1353" s="54" t="str">
        <f t="shared" si="250"/>
        <v/>
      </c>
      <c r="AK1353" s="54">
        <f t="shared" si="251"/>
        <v>0.85709066340688611</v>
      </c>
    </row>
    <row r="1354" spans="18:37" x14ac:dyDescent="0.45">
      <c r="R1354" s="2">
        <v>30.3</v>
      </c>
      <c r="S1354" s="2">
        <v>5.8830000000000004E-4</v>
      </c>
      <c r="T1354" s="2">
        <v>3.3490000000000001E-4</v>
      </c>
      <c r="V1354" s="11"/>
      <c r="W1354" s="6"/>
      <c r="X1354" s="6">
        <v>13.35</v>
      </c>
      <c r="Y1354" s="11" t="str">
        <f t="shared" si="252"/>
        <v/>
      </c>
      <c r="Z1354" s="6" t="str">
        <f t="shared" si="253"/>
        <v/>
      </c>
      <c r="AA1354" s="23">
        <f t="shared" si="254"/>
        <v>43.35</v>
      </c>
      <c r="AB1354" t="str">
        <f t="shared" si="243"/>
        <v/>
      </c>
      <c r="AC1354" t="str">
        <f t="shared" si="244"/>
        <v/>
      </c>
      <c r="AD1354">
        <f t="shared" si="245"/>
        <v>1.1928500000000001E-3</v>
      </c>
      <c r="AE1354" s="18" t="str">
        <f t="shared" si="246"/>
        <v/>
      </c>
      <c r="AF1354" s="7" t="str">
        <f t="shared" si="247"/>
        <v/>
      </c>
      <c r="AG1354" s="12">
        <f t="shared" si="248"/>
        <v>0.98961427431261828</v>
      </c>
      <c r="AI1354" s="54" t="str">
        <f t="shared" si="249"/>
        <v/>
      </c>
      <c r="AJ1354" s="54" t="str">
        <f t="shared" si="250"/>
        <v/>
      </c>
      <c r="AK1354" s="54">
        <f t="shared" si="251"/>
        <v>0.85792268839894947</v>
      </c>
    </row>
    <row r="1355" spans="18:37" x14ac:dyDescent="0.45">
      <c r="R1355" s="2">
        <v>30.31</v>
      </c>
      <c r="S1355" s="2">
        <v>5.8841000000000004E-4</v>
      </c>
      <c r="T1355" s="2">
        <v>3.3513E-4</v>
      </c>
      <c r="V1355" s="11"/>
      <c r="W1355" s="6"/>
      <c r="X1355" s="6">
        <v>13.36</v>
      </c>
      <c r="Y1355" s="11" t="str">
        <f t="shared" si="252"/>
        <v/>
      </c>
      <c r="Z1355" s="6" t="str">
        <f t="shared" si="253"/>
        <v/>
      </c>
      <c r="AA1355" s="23">
        <f t="shared" si="254"/>
        <v>43.36</v>
      </c>
      <c r="AB1355" t="str">
        <f t="shared" si="243"/>
        <v/>
      </c>
      <c r="AC1355" t="str">
        <f t="shared" si="244"/>
        <v/>
      </c>
      <c r="AD1355">
        <f t="shared" si="245"/>
        <v>1.19396E-3</v>
      </c>
      <c r="AE1355" s="18" t="str">
        <f t="shared" si="246"/>
        <v/>
      </c>
      <c r="AF1355" s="7" t="str">
        <f t="shared" si="247"/>
        <v/>
      </c>
      <c r="AG1355" s="12">
        <f t="shared" si="248"/>
        <v>0.9896024696987471</v>
      </c>
      <c r="AI1355" s="54" t="str">
        <f t="shared" si="249"/>
        <v/>
      </c>
      <c r="AJ1355" s="54" t="str">
        <f t="shared" si="250"/>
        <v/>
      </c>
      <c r="AK1355" s="54">
        <f t="shared" si="251"/>
        <v>0.85875505453952616</v>
      </c>
    </row>
    <row r="1356" spans="18:37" x14ac:dyDescent="0.45">
      <c r="R1356" s="2">
        <v>30.32</v>
      </c>
      <c r="S1356" s="2">
        <v>5.8852000000000004E-4</v>
      </c>
      <c r="T1356" s="2">
        <v>3.3535999999999999E-4</v>
      </c>
      <c r="V1356" s="11"/>
      <c r="W1356" s="6"/>
      <c r="X1356" s="6">
        <v>13.370000000000001</v>
      </c>
      <c r="Y1356" s="11" t="str">
        <f t="shared" si="252"/>
        <v/>
      </c>
      <c r="Z1356" s="6" t="str">
        <f t="shared" si="253"/>
        <v/>
      </c>
      <c r="AA1356" s="23">
        <f t="shared" si="254"/>
        <v>43.370000000000005</v>
      </c>
      <c r="AB1356" t="str">
        <f t="shared" si="243"/>
        <v/>
      </c>
      <c r="AC1356" t="str">
        <f t="shared" si="244"/>
        <v/>
      </c>
      <c r="AD1356">
        <f t="shared" si="245"/>
        <v>1.1950699999999999E-3</v>
      </c>
      <c r="AE1356" s="18" t="str">
        <f t="shared" si="246"/>
        <v/>
      </c>
      <c r="AF1356" s="7" t="str">
        <f t="shared" si="247"/>
        <v/>
      </c>
      <c r="AG1356" s="12">
        <f t="shared" si="248"/>
        <v>0.98959065424109993</v>
      </c>
      <c r="AI1356" s="54" t="str">
        <f t="shared" si="249"/>
        <v/>
      </c>
      <c r="AJ1356" s="54" t="str">
        <f t="shared" si="250"/>
        <v/>
      </c>
      <c r="AK1356" s="54">
        <f t="shared" si="251"/>
        <v>0.85958776198761966</v>
      </c>
    </row>
    <row r="1357" spans="18:37" x14ac:dyDescent="0.45">
      <c r="R1357" s="2">
        <v>30.33</v>
      </c>
      <c r="S1357" s="2">
        <v>5.8863000000000003E-4</v>
      </c>
      <c r="T1357" s="2">
        <v>3.3558999999999998E-4</v>
      </c>
      <c r="V1357" s="11"/>
      <c r="W1357" s="6"/>
      <c r="X1357" s="6">
        <v>13.38</v>
      </c>
      <c r="Y1357" s="11" t="str">
        <f t="shared" si="252"/>
        <v/>
      </c>
      <c r="Z1357" s="6" t="str">
        <f t="shared" si="253"/>
        <v/>
      </c>
      <c r="AA1357" s="23">
        <f t="shared" si="254"/>
        <v>43.38</v>
      </c>
      <c r="AB1357" t="str">
        <f t="shared" si="243"/>
        <v/>
      </c>
      <c r="AC1357" t="str">
        <f t="shared" si="244"/>
        <v/>
      </c>
      <c r="AD1357">
        <f t="shared" si="245"/>
        <v>1.19618E-3</v>
      </c>
      <c r="AE1357" s="18" t="str">
        <f t="shared" si="246"/>
        <v/>
      </c>
      <c r="AF1357" s="7" t="str">
        <f t="shared" si="247"/>
        <v/>
      </c>
      <c r="AG1357" s="12">
        <f t="shared" si="248"/>
        <v>0.98957882794006824</v>
      </c>
      <c r="AI1357" s="54" t="str">
        <f t="shared" si="249"/>
        <v/>
      </c>
      <c r="AJ1357" s="54" t="str">
        <f t="shared" si="250"/>
        <v/>
      </c>
      <c r="AK1357" s="54">
        <f t="shared" si="251"/>
        <v>0.86042081090231037</v>
      </c>
    </row>
    <row r="1358" spans="18:37" x14ac:dyDescent="0.45">
      <c r="R1358" s="2">
        <v>30.34</v>
      </c>
      <c r="S1358" s="2">
        <v>5.8874000000000003E-4</v>
      </c>
      <c r="T1358" s="2">
        <v>3.3582000000000002E-4</v>
      </c>
      <c r="V1358" s="11"/>
      <c r="W1358" s="6"/>
      <c r="X1358" s="6">
        <v>13.39</v>
      </c>
      <c r="Y1358" s="11" t="str">
        <f t="shared" si="252"/>
        <v/>
      </c>
      <c r="Z1358" s="6" t="str">
        <f t="shared" si="253"/>
        <v/>
      </c>
      <c r="AA1358" s="23">
        <f t="shared" si="254"/>
        <v>43.39</v>
      </c>
      <c r="AB1358" t="str">
        <f t="shared" si="243"/>
        <v/>
      </c>
      <c r="AC1358" t="str">
        <f t="shared" si="244"/>
        <v/>
      </c>
      <c r="AD1358">
        <f t="shared" si="245"/>
        <v>1.1972899999999999E-3</v>
      </c>
      <c r="AE1358" s="18" t="str">
        <f t="shared" si="246"/>
        <v/>
      </c>
      <c r="AF1358" s="7" t="str">
        <f t="shared" si="247"/>
        <v/>
      </c>
      <c r="AG1358" s="12">
        <f t="shared" si="248"/>
        <v>0.98956699079604415</v>
      </c>
      <c r="AI1358" s="54" t="str">
        <f t="shared" si="249"/>
        <v/>
      </c>
      <c r="AJ1358" s="54" t="str">
        <f t="shared" si="250"/>
        <v/>
      </c>
      <c r="AK1358" s="54">
        <f t="shared" si="251"/>
        <v>0.86125420144275566</v>
      </c>
    </row>
    <row r="1359" spans="18:37" x14ac:dyDescent="0.45">
      <c r="R1359" s="2">
        <v>30.35</v>
      </c>
      <c r="S1359" s="2">
        <v>5.8885000000000003E-4</v>
      </c>
      <c r="T1359" s="2">
        <v>3.3605000000000001E-4</v>
      </c>
      <c r="V1359" s="11"/>
      <c r="W1359" s="6"/>
      <c r="X1359" s="6">
        <v>13.4</v>
      </c>
      <c r="Y1359" s="11" t="str">
        <f t="shared" si="252"/>
        <v/>
      </c>
      <c r="Z1359" s="6" t="str">
        <f t="shared" si="253"/>
        <v/>
      </c>
      <c r="AA1359" s="23">
        <f t="shared" si="254"/>
        <v>43.4</v>
      </c>
      <c r="AB1359" t="str">
        <f t="shared" si="243"/>
        <v/>
      </c>
      <c r="AC1359" t="str">
        <f t="shared" si="244"/>
        <v/>
      </c>
      <c r="AD1359">
        <f t="shared" si="245"/>
        <v>1.1984000000000001E-3</v>
      </c>
      <c r="AE1359" s="18" t="str">
        <f t="shared" si="246"/>
        <v/>
      </c>
      <c r="AF1359" s="7" t="str">
        <f t="shared" si="247"/>
        <v/>
      </c>
      <c r="AG1359" s="12">
        <f t="shared" si="248"/>
        <v>0.98955514280942003</v>
      </c>
      <c r="AI1359" s="54" t="str">
        <f t="shared" si="249"/>
        <v/>
      </c>
      <c r="AJ1359" s="54" t="str">
        <f t="shared" si="250"/>
        <v/>
      </c>
      <c r="AK1359" s="54">
        <f t="shared" si="251"/>
        <v>0.86208793376818971</v>
      </c>
    </row>
    <row r="1360" spans="18:37" x14ac:dyDescent="0.45">
      <c r="R1360" s="2">
        <v>30.36</v>
      </c>
      <c r="S1360" s="2">
        <v>5.8896000000000003E-4</v>
      </c>
      <c r="T1360" s="2">
        <v>3.3628E-4</v>
      </c>
      <c r="V1360" s="11"/>
      <c r="W1360" s="6"/>
      <c r="X1360" s="6">
        <v>13.41</v>
      </c>
      <c r="Y1360" s="11" t="str">
        <f t="shared" si="252"/>
        <v/>
      </c>
      <c r="Z1360" s="6" t="str">
        <f t="shared" si="253"/>
        <v/>
      </c>
      <c r="AA1360" s="23">
        <f t="shared" si="254"/>
        <v>43.41</v>
      </c>
      <c r="AB1360" t="str">
        <f t="shared" si="243"/>
        <v/>
      </c>
      <c r="AC1360" t="str">
        <f t="shared" si="244"/>
        <v/>
      </c>
      <c r="AD1360">
        <f t="shared" si="245"/>
        <v>1.19951E-3</v>
      </c>
      <c r="AE1360" s="18" t="str">
        <f t="shared" si="246"/>
        <v/>
      </c>
      <c r="AF1360" s="7" t="str">
        <f t="shared" si="247"/>
        <v/>
      </c>
      <c r="AG1360" s="12">
        <f t="shared" si="248"/>
        <v>0.98954328398058855</v>
      </c>
      <c r="AI1360" s="54" t="str">
        <f t="shared" si="249"/>
        <v/>
      </c>
      <c r="AJ1360" s="54" t="str">
        <f t="shared" si="250"/>
        <v/>
      </c>
      <c r="AK1360" s="54">
        <f t="shared" si="251"/>
        <v>0.86292200803792374</v>
      </c>
    </row>
    <row r="1361" spans="18:37" x14ac:dyDescent="0.45">
      <c r="R1361" s="2">
        <v>30.37</v>
      </c>
      <c r="S1361" s="2">
        <v>5.8907000000000002E-4</v>
      </c>
      <c r="T1361" s="2">
        <v>3.3650999999999999E-4</v>
      </c>
      <c r="V1361" s="11"/>
      <c r="W1361" s="6"/>
      <c r="X1361" s="6">
        <v>13.42</v>
      </c>
      <c r="Y1361" s="11" t="str">
        <f t="shared" si="252"/>
        <v/>
      </c>
      <c r="Z1361" s="6" t="str">
        <f t="shared" si="253"/>
        <v/>
      </c>
      <c r="AA1361" s="23">
        <f t="shared" si="254"/>
        <v>43.42</v>
      </c>
      <c r="AB1361" t="str">
        <f t="shared" si="243"/>
        <v/>
      </c>
      <c r="AC1361" t="str">
        <f t="shared" si="244"/>
        <v/>
      </c>
      <c r="AD1361">
        <f t="shared" si="245"/>
        <v>1.2006199999999999E-3</v>
      </c>
      <c r="AE1361" s="18" t="str">
        <f t="shared" si="246"/>
        <v/>
      </c>
      <c r="AF1361" s="7" t="str">
        <f t="shared" si="247"/>
        <v/>
      </c>
      <c r="AG1361" s="12">
        <f t="shared" si="248"/>
        <v>0.98953141430994285</v>
      </c>
      <c r="AI1361" s="54" t="str">
        <f t="shared" si="249"/>
        <v/>
      </c>
      <c r="AJ1361" s="54" t="str">
        <f t="shared" si="250"/>
        <v/>
      </c>
      <c r="AK1361" s="54">
        <f t="shared" si="251"/>
        <v>0.86375642441134604</v>
      </c>
    </row>
    <row r="1362" spans="18:37" x14ac:dyDescent="0.45">
      <c r="R1362" s="2">
        <v>30.38</v>
      </c>
      <c r="S1362" s="2">
        <v>5.8918000000000002E-4</v>
      </c>
      <c r="T1362" s="2">
        <v>3.3673999999999998E-4</v>
      </c>
      <c r="V1362" s="11"/>
      <c r="W1362" s="6"/>
      <c r="X1362" s="6">
        <v>13.43</v>
      </c>
      <c r="Y1362" s="11" t="str">
        <f t="shared" si="252"/>
        <v/>
      </c>
      <c r="Z1362" s="6" t="str">
        <f t="shared" si="253"/>
        <v/>
      </c>
      <c r="AA1362" s="23">
        <f t="shared" si="254"/>
        <v>43.43</v>
      </c>
      <c r="AB1362" t="str">
        <f t="shared" si="243"/>
        <v/>
      </c>
      <c r="AC1362" t="str">
        <f t="shared" si="244"/>
        <v/>
      </c>
      <c r="AD1362">
        <f t="shared" si="245"/>
        <v>1.20173E-3</v>
      </c>
      <c r="AE1362" s="18" t="str">
        <f t="shared" si="246"/>
        <v/>
      </c>
      <c r="AF1362" s="7" t="str">
        <f t="shared" si="247"/>
        <v/>
      </c>
      <c r="AG1362" s="12">
        <f t="shared" si="248"/>
        <v>0.98951953379787638</v>
      </c>
      <c r="AI1362" s="54" t="str">
        <f t="shared" si="249"/>
        <v/>
      </c>
      <c r="AJ1362" s="54" t="str">
        <f t="shared" si="250"/>
        <v/>
      </c>
      <c r="AK1362" s="54">
        <f t="shared" si="251"/>
        <v>0.86459118304792182</v>
      </c>
    </row>
    <row r="1363" spans="18:37" x14ac:dyDescent="0.45">
      <c r="R1363" s="2">
        <v>30.39</v>
      </c>
      <c r="S1363" s="2">
        <v>5.8929000000000002E-4</v>
      </c>
      <c r="T1363" s="2">
        <v>3.3697000000000002E-4</v>
      </c>
      <c r="V1363" s="11"/>
      <c r="W1363" s="6"/>
      <c r="X1363" s="6">
        <v>13.44</v>
      </c>
      <c r="Y1363" s="11" t="str">
        <f t="shared" si="252"/>
        <v/>
      </c>
      <c r="Z1363" s="6" t="str">
        <f t="shared" si="253"/>
        <v/>
      </c>
      <c r="AA1363" s="23">
        <f t="shared" si="254"/>
        <v>43.44</v>
      </c>
      <c r="AB1363" t="str">
        <f t="shared" ref="AB1363:AB1426" si="255">IF(Y1363="","",VLOOKUP(Y1363,Table_1,2))</f>
        <v/>
      </c>
      <c r="AC1363" t="str">
        <f t="shared" ref="AC1363:AC1426" si="256">IF(Z1363="","",VLOOKUP(Z1363,Table_2,2))</f>
        <v/>
      </c>
      <c r="AD1363">
        <f t="shared" ref="AD1363:AD1426" si="257">IF(AA1363="","",VLOOKUP(AA1363,Table_3,2))</f>
        <v>1.2028399999999999E-3</v>
      </c>
      <c r="AE1363" s="18" t="str">
        <f t="shared" si="246"/>
        <v/>
      </c>
      <c r="AF1363" s="7" t="str">
        <f t="shared" si="247"/>
        <v/>
      </c>
      <c r="AG1363" s="12">
        <f t="shared" si="248"/>
        <v>0.98950764244478284</v>
      </c>
      <c r="AI1363" s="54" t="str">
        <f t="shared" si="249"/>
        <v/>
      </c>
      <c r="AJ1363" s="54" t="str">
        <f t="shared" si="250"/>
        <v/>
      </c>
      <c r="AK1363" s="54">
        <f t="shared" si="251"/>
        <v>0.86542628410719358</v>
      </c>
    </row>
    <row r="1364" spans="18:37" x14ac:dyDescent="0.45">
      <c r="R1364" s="2">
        <v>30.4</v>
      </c>
      <c r="S1364" s="2">
        <v>5.8940000000000002E-4</v>
      </c>
      <c r="T1364" s="2">
        <v>3.3720000000000001E-4</v>
      </c>
      <c r="V1364" s="11"/>
      <c r="W1364" s="6"/>
      <c r="X1364" s="6">
        <v>13.450000000000001</v>
      </c>
      <c r="Y1364" s="11" t="str">
        <f t="shared" si="252"/>
        <v/>
      </c>
      <c r="Z1364" s="6" t="str">
        <f t="shared" si="253"/>
        <v/>
      </c>
      <c r="AA1364" s="23">
        <f t="shared" si="254"/>
        <v>43.45</v>
      </c>
      <c r="AB1364" t="str">
        <f t="shared" si="255"/>
        <v/>
      </c>
      <c r="AC1364" t="str">
        <f t="shared" si="256"/>
        <v/>
      </c>
      <c r="AD1364">
        <f t="shared" si="257"/>
        <v>1.2039500000000001E-3</v>
      </c>
      <c r="AE1364" s="18" t="str">
        <f t="shared" ref="AE1364:AE1427" si="258">IF(AB1364="","",AE1363+h_1*(-AE1363*AB1363))</f>
        <v/>
      </c>
      <c r="AF1364" s="7" t="str">
        <f t="shared" ref="AF1364:AF1427" si="259">IF(AC1364="","",AF1363+h_2*(-AF1363*AC1363))</f>
        <v/>
      </c>
      <c r="AG1364" s="12">
        <f t="shared" ref="AG1364:AG1427" si="260">IF(AD1364="","",AG1363+h_3*(-AG1363*AD1363))</f>
        <v>0.98949574025105647</v>
      </c>
      <c r="AI1364" s="54" t="str">
        <f t="shared" ref="AI1364:AI1427" si="261">IF(Y1364="","",AI1363+AI$17*(AI1363*delta+Prem1-AB1363*(1-AI1363)))</f>
        <v/>
      </c>
      <c r="AJ1364" s="54" t="str">
        <f t="shared" ref="AJ1364:AJ1427" si="262">IF(Z1364="","",AJ1363+AJ$17*(AJ1363*delta+Prem2-AC1363*(1-AJ1363)))</f>
        <v/>
      </c>
      <c r="AK1364" s="54">
        <f t="shared" ref="AK1364:AK1427" si="263">IF(AA1364="","",AK1363+AK$17*(AK1363*delta+Prem3-AD1363*(1-AK1363)))</f>
        <v>0.86626172774878074</v>
      </c>
    </row>
    <row r="1365" spans="18:37" x14ac:dyDescent="0.45">
      <c r="R1365" s="2">
        <v>30.41</v>
      </c>
      <c r="S1365" s="2">
        <v>5.8951000000000001E-4</v>
      </c>
      <c r="T1365" s="2">
        <v>3.3743E-4</v>
      </c>
      <c r="V1365" s="11"/>
      <c r="W1365" s="6"/>
      <c r="X1365" s="6">
        <v>13.46</v>
      </c>
      <c r="Y1365" s="11" t="str">
        <f t="shared" ref="Y1365:Y1428" si="264">IF(ISBLANK(V1365),"",$Y$19+V1365)</f>
        <v/>
      </c>
      <c r="Z1365" s="6" t="str">
        <f t="shared" ref="Z1365:Z1428" si="265">IF(ISBLANK(W1365),"",$Y$19+W1365)</f>
        <v/>
      </c>
      <c r="AA1365" s="23">
        <f t="shared" ref="AA1365:AA1428" si="266">IF(ISBLANK(X1365),"",$Y$19+X1365)</f>
        <v>43.46</v>
      </c>
      <c r="AB1365" t="str">
        <f t="shared" si="255"/>
        <v/>
      </c>
      <c r="AC1365" t="str">
        <f t="shared" si="256"/>
        <v/>
      </c>
      <c r="AD1365">
        <f t="shared" si="257"/>
        <v>1.20506E-3</v>
      </c>
      <c r="AE1365" s="18" t="str">
        <f t="shared" si="258"/>
        <v/>
      </c>
      <c r="AF1365" s="7" t="str">
        <f t="shared" si="259"/>
        <v/>
      </c>
      <c r="AG1365" s="12">
        <f t="shared" si="260"/>
        <v>0.98948382721709172</v>
      </c>
      <c r="AI1365" s="54" t="str">
        <f t="shared" si="261"/>
        <v/>
      </c>
      <c r="AJ1365" s="54" t="str">
        <f t="shared" si="262"/>
        <v/>
      </c>
      <c r="AK1365" s="54">
        <f t="shared" si="263"/>
        <v>0.86709751413238001</v>
      </c>
    </row>
    <row r="1366" spans="18:37" x14ac:dyDescent="0.45">
      <c r="R1366" s="2">
        <v>30.42</v>
      </c>
      <c r="S1366" s="2">
        <v>5.8962000000000001E-4</v>
      </c>
      <c r="T1366" s="2">
        <v>3.3765999999999999E-4</v>
      </c>
      <c r="V1366" s="11"/>
      <c r="W1366" s="6"/>
      <c r="X1366" s="6">
        <v>13.47</v>
      </c>
      <c r="Y1366" s="11" t="str">
        <f t="shared" si="264"/>
        <v/>
      </c>
      <c r="Z1366" s="6" t="str">
        <f t="shared" si="265"/>
        <v/>
      </c>
      <c r="AA1366" s="23">
        <f t="shared" si="266"/>
        <v>43.47</v>
      </c>
      <c r="AB1366" t="str">
        <f t="shared" si="255"/>
        <v/>
      </c>
      <c r="AC1366" t="str">
        <f t="shared" si="256"/>
        <v/>
      </c>
      <c r="AD1366">
        <f t="shared" si="257"/>
        <v>1.2061699999999999E-3</v>
      </c>
      <c r="AE1366" s="18" t="str">
        <f t="shared" si="258"/>
        <v/>
      </c>
      <c r="AF1366" s="7" t="str">
        <f t="shared" si="259"/>
        <v/>
      </c>
      <c r="AG1366" s="12">
        <f t="shared" si="260"/>
        <v>0.9894719033432835</v>
      </c>
      <c r="AI1366" s="54" t="str">
        <f t="shared" si="261"/>
        <v/>
      </c>
      <c r="AJ1366" s="54" t="str">
        <f t="shared" si="262"/>
        <v/>
      </c>
      <c r="AK1366" s="54">
        <f t="shared" si="263"/>
        <v>0.86793364341776524</v>
      </c>
    </row>
    <row r="1367" spans="18:37" x14ac:dyDescent="0.45">
      <c r="R1367" s="2">
        <v>30.43</v>
      </c>
      <c r="S1367" s="2">
        <v>5.8973000000000001E-4</v>
      </c>
      <c r="T1367" s="2">
        <v>3.3788999999999998E-4</v>
      </c>
      <c r="V1367" s="11"/>
      <c r="W1367" s="6"/>
      <c r="X1367" s="6">
        <v>13.48</v>
      </c>
      <c r="Y1367" s="11" t="str">
        <f t="shared" si="264"/>
        <v/>
      </c>
      <c r="Z1367" s="6" t="str">
        <f t="shared" si="265"/>
        <v/>
      </c>
      <c r="AA1367" s="23">
        <f t="shared" si="266"/>
        <v>43.480000000000004</v>
      </c>
      <c r="AB1367" t="str">
        <f t="shared" si="255"/>
        <v/>
      </c>
      <c r="AC1367" t="str">
        <f t="shared" si="256"/>
        <v/>
      </c>
      <c r="AD1367">
        <f t="shared" si="257"/>
        <v>1.20728E-3</v>
      </c>
      <c r="AE1367" s="18" t="str">
        <f t="shared" si="258"/>
        <v/>
      </c>
      <c r="AF1367" s="7" t="str">
        <f t="shared" si="259"/>
        <v/>
      </c>
      <c r="AG1367" s="12">
        <f t="shared" si="260"/>
        <v>0.98945996863002694</v>
      </c>
      <c r="AI1367" s="54" t="str">
        <f t="shared" si="261"/>
        <v/>
      </c>
      <c r="AJ1367" s="54" t="str">
        <f t="shared" si="262"/>
        <v/>
      </c>
      <c r="AK1367" s="54">
        <f t="shared" si="263"/>
        <v>0.86877011576478769</v>
      </c>
    </row>
    <row r="1368" spans="18:37" x14ac:dyDescent="0.45">
      <c r="R1368" s="2">
        <v>30.44</v>
      </c>
      <c r="S1368" s="2">
        <v>5.8984E-4</v>
      </c>
      <c r="T1368" s="2">
        <v>3.3812000000000002E-4</v>
      </c>
      <c r="V1368" s="11"/>
      <c r="W1368" s="6"/>
      <c r="X1368" s="6">
        <v>13.49</v>
      </c>
      <c r="Y1368" s="11" t="str">
        <f t="shared" si="264"/>
        <v/>
      </c>
      <c r="Z1368" s="6" t="str">
        <f t="shared" si="265"/>
        <v/>
      </c>
      <c r="AA1368" s="23">
        <f t="shared" si="266"/>
        <v>43.49</v>
      </c>
      <c r="AB1368" t="str">
        <f t="shared" si="255"/>
        <v/>
      </c>
      <c r="AC1368" t="str">
        <f t="shared" si="256"/>
        <v/>
      </c>
      <c r="AD1368">
        <f t="shared" si="257"/>
        <v>1.2083899999999999E-3</v>
      </c>
      <c r="AE1368" s="18" t="str">
        <f t="shared" si="258"/>
        <v/>
      </c>
      <c r="AF1368" s="7" t="str">
        <f t="shared" si="259"/>
        <v/>
      </c>
      <c r="AG1368" s="12">
        <f t="shared" si="260"/>
        <v>0.98944802307771762</v>
      </c>
      <c r="AI1368" s="54" t="str">
        <f t="shared" si="261"/>
        <v/>
      </c>
      <c r="AJ1368" s="54" t="str">
        <f t="shared" si="262"/>
        <v/>
      </c>
      <c r="AK1368" s="54">
        <f t="shared" si="263"/>
        <v>0.86960693133337574</v>
      </c>
    </row>
    <row r="1369" spans="18:37" x14ac:dyDescent="0.45">
      <c r="R1369" s="2">
        <v>30.45</v>
      </c>
      <c r="S1369" s="2">
        <v>5.8995E-4</v>
      </c>
      <c r="T1369" s="2">
        <v>3.3835000000000001E-4</v>
      </c>
      <c r="V1369" s="11"/>
      <c r="W1369" s="6"/>
      <c r="X1369" s="6">
        <v>13.5</v>
      </c>
      <c r="Y1369" s="11" t="str">
        <f t="shared" si="264"/>
        <v/>
      </c>
      <c r="Z1369" s="6" t="str">
        <f t="shared" si="265"/>
        <v/>
      </c>
      <c r="AA1369" s="23">
        <f t="shared" si="266"/>
        <v>43.5</v>
      </c>
      <c r="AB1369" t="str">
        <f t="shared" si="255"/>
        <v/>
      </c>
      <c r="AC1369" t="str">
        <f t="shared" si="256"/>
        <v/>
      </c>
      <c r="AD1369">
        <f t="shared" si="257"/>
        <v>1.2095000000000001E-3</v>
      </c>
      <c r="AE1369" s="18" t="str">
        <f t="shared" si="258"/>
        <v/>
      </c>
      <c r="AF1369" s="7" t="str">
        <f t="shared" si="259"/>
        <v/>
      </c>
      <c r="AG1369" s="12">
        <f t="shared" si="260"/>
        <v>0.98943606668675155</v>
      </c>
      <c r="AI1369" s="54" t="str">
        <f t="shared" si="261"/>
        <v/>
      </c>
      <c r="AJ1369" s="54" t="str">
        <f t="shared" si="262"/>
        <v/>
      </c>
      <c r="AK1369" s="54">
        <f t="shared" si="263"/>
        <v>0.87044409028353509</v>
      </c>
    </row>
    <row r="1370" spans="18:37" x14ac:dyDescent="0.45">
      <c r="R1370" s="2">
        <v>30.46</v>
      </c>
      <c r="S1370" s="2">
        <v>5.9006E-4</v>
      </c>
      <c r="T1370" s="2">
        <v>3.3858E-4</v>
      </c>
      <c r="V1370" s="11"/>
      <c r="W1370" s="6"/>
      <c r="X1370" s="6">
        <v>13.51</v>
      </c>
      <c r="Y1370" s="11" t="str">
        <f t="shared" si="264"/>
        <v/>
      </c>
      <c r="Z1370" s="6" t="str">
        <f t="shared" si="265"/>
        <v/>
      </c>
      <c r="AA1370" s="23">
        <f t="shared" si="266"/>
        <v>43.51</v>
      </c>
      <c r="AB1370" t="str">
        <f t="shared" si="255"/>
        <v/>
      </c>
      <c r="AC1370" t="str">
        <f t="shared" si="256"/>
        <v/>
      </c>
      <c r="AD1370">
        <f t="shared" si="257"/>
        <v>1.21061E-3</v>
      </c>
      <c r="AE1370" s="18" t="str">
        <f t="shared" si="258"/>
        <v/>
      </c>
      <c r="AF1370" s="7" t="str">
        <f t="shared" si="259"/>
        <v/>
      </c>
      <c r="AG1370" s="12">
        <f t="shared" si="260"/>
        <v>0.98942409945752496</v>
      </c>
      <c r="AI1370" s="54" t="str">
        <f t="shared" si="261"/>
        <v/>
      </c>
      <c r="AJ1370" s="54" t="str">
        <f t="shared" si="262"/>
        <v/>
      </c>
      <c r="AK1370" s="54">
        <f t="shared" si="263"/>
        <v>0.871281592775349</v>
      </c>
    </row>
    <row r="1371" spans="18:37" x14ac:dyDescent="0.45">
      <c r="R1371" s="2">
        <v>30.47</v>
      </c>
      <c r="S1371" s="2">
        <v>5.9017E-4</v>
      </c>
      <c r="T1371" s="2">
        <v>3.3880999999999999E-4</v>
      </c>
      <c r="V1371" s="11"/>
      <c r="W1371" s="6"/>
      <c r="X1371" s="6">
        <v>13.52</v>
      </c>
      <c r="Y1371" s="11" t="str">
        <f t="shared" si="264"/>
        <v/>
      </c>
      <c r="Z1371" s="6" t="str">
        <f t="shared" si="265"/>
        <v/>
      </c>
      <c r="AA1371" s="23">
        <f t="shared" si="266"/>
        <v>43.519999999999996</v>
      </c>
      <c r="AB1371" t="str">
        <f t="shared" si="255"/>
        <v/>
      </c>
      <c r="AC1371" t="str">
        <f t="shared" si="256"/>
        <v/>
      </c>
      <c r="AD1371">
        <f t="shared" si="257"/>
        <v>1.21061E-3</v>
      </c>
      <c r="AE1371" s="18" t="str">
        <f t="shared" si="258"/>
        <v/>
      </c>
      <c r="AF1371" s="7" t="str">
        <f t="shared" si="259"/>
        <v/>
      </c>
      <c r="AG1371" s="12">
        <f t="shared" si="260"/>
        <v>0.98941212139043455</v>
      </c>
      <c r="AI1371" s="54" t="str">
        <f t="shared" si="261"/>
        <v/>
      </c>
      <c r="AJ1371" s="54" t="str">
        <f t="shared" si="262"/>
        <v/>
      </c>
      <c r="AK1371" s="54">
        <f t="shared" si="263"/>
        <v>0.87211943896897792</v>
      </c>
    </row>
    <row r="1372" spans="18:37" x14ac:dyDescent="0.45">
      <c r="R1372" s="2">
        <v>30.48</v>
      </c>
      <c r="S1372" s="2">
        <v>5.9027999999999999E-4</v>
      </c>
      <c r="T1372" s="2">
        <v>3.3903999999999998E-4</v>
      </c>
      <c r="V1372" s="11"/>
      <c r="W1372" s="6"/>
      <c r="X1372" s="6">
        <v>13.530000000000001</v>
      </c>
      <c r="Y1372" s="11" t="str">
        <f t="shared" si="264"/>
        <v/>
      </c>
      <c r="Z1372" s="6" t="str">
        <f t="shared" si="265"/>
        <v/>
      </c>
      <c r="AA1372" s="23">
        <f t="shared" si="266"/>
        <v>43.53</v>
      </c>
      <c r="AB1372" t="str">
        <f t="shared" si="255"/>
        <v/>
      </c>
      <c r="AC1372" t="str">
        <f t="shared" si="256"/>
        <v/>
      </c>
      <c r="AD1372">
        <f t="shared" si="257"/>
        <v>1.21283E-3</v>
      </c>
      <c r="AE1372" s="18" t="str">
        <f t="shared" si="258"/>
        <v/>
      </c>
      <c r="AF1372" s="7" t="str">
        <f t="shared" si="259"/>
        <v/>
      </c>
      <c r="AG1372" s="12">
        <f t="shared" si="260"/>
        <v>0.98940014346835181</v>
      </c>
      <c r="AI1372" s="54" t="str">
        <f t="shared" si="261"/>
        <v/>
      </c>
      <c r="AJ1372" s="54" t="str">
        <f t="shared" si="262"/>
        <v/>
      </c>
      <c r="AK1372" s="54">
        <f t="shared" si="263"/>
        <v>0.8729576304441341</v>
      </c>
    </row>
    <row r="1373" spans="18:37" x14ac:dyDescent="0.45">
      <c r="R1373" s="2">
        <v>30.49</v>
      </c>
      <c r="S1373" s="2">
        <v>5.9038999999999999E-4</v>
      </c>
      <c r="T1373" s="2">
        <v>3.3927000000000002E-4</v>
      </c>
      <c r="V1373" s="11"/>
      <c r="W1373" s="6"/>
      <c r="X1373" s="6">
        <v>13.540000000000001</v>
      </c>
      <c r="Y1373" s="11" t="str">
        <f t="shared" si="264"/>
        <v/>
      </c>
      <c r="Z1373" s="6" t="str">
        <f t="shared" si="265"/>
        <v/>
      </c>
      <c r="AA1373" s="23">
        <f t="shared" si="266"/>
        <v>43.54</v>
      </c>
      <c r="AB1373" t="str">
        <f t="shared" si="255"/>
        <v/>
      </c>
      <c r="AC1373" t="str">
        <f t="shared" si="256"/>
        <v/>
      </c>
      <c r="AD1373">
        <f t="shared" si="257"/>
        <v>1.2139399999999999E-3</v>
      </c>
      <c r="AE1373" s="18" t="str">
        <f t="shared" si="258"/>
        <v/>
      </c>
      <c r="AF1373" s="7" t="str">
        <f t="shared" si="259"/>
        <v/>
      </c>
      <c r="AG1373" s="12">
        <f t="shared" si="260"/>
        <v>0.98938814372659178</v>
      </c>
      <c r="AI1373" s="54" t="str">
        <f t="shared" si="261"/>
        <v/>
      </c>
      <c r="AJ1373" s="54" t="str">
        <f t="shared" si="262"/>
        <v/>
      </c>
      <c r="AK1373" s="54">
        <f t="shared" si="263"/>
        <v>0.87379616452276954</v>
      </c>
    </row>
    <row r="1374" spans="18:37" x14ac:dyDescent="0.45">
      <c r="R1374" s="2">
        <v>30.5</v>
      </c>
      <c r="S1374" s="2">
        <v>5.9049999999999999E-4</v>
      </c>
      <c r="T1374" s="2">
        <v>3.3950000000000001E-4</v>
      </c>
      <c r="V1374" s="11"/>
      <c r="W1374" s="6"/>
      <c r="X1374" s="6">
        <v>13.55</v>
      </c>
      <c r="Y1374" s="11" t="str">
        <f t="shared" si="264"/>
        <v/>
      </c>
      <c r="Z1374" s="6" t="str">
        <f t="shared" si="265"/>
        <v/>
      </c>
      <c r="AA1374" s="23">
        <f t="shared" si="266"/>
        <v>43.55</v>
      </c>
      <c r="AB1374" t="str">
        <f t="shared" si="255"/>
        <v/>
      </c>
      <c r="AC1374" t="str">
        <f t="shared" si="256"/>
        <v/>
      </c>
      <c r="AD1374">
        <f t="shared" si="257"/>
        <v>1.2150500000000001E-3</v>
      </c>
      <c r="AE1374" s="18" t="str">
        <f t="shared" si="258"/>
        <v/>
      </c>
      <c r="AF1374" s="7" t="str">
        <f t="shared" si="259"/>
        <v/>
      </c>
      <c r="AG1374" s="12">
        <f t="shared" si="260"/>
        <v>0.98937613314815986</v>
      </c>
      <c r="AI1374" s="54" t="str">
        <f t="shared" si="261"/>
        <v/>
      </c>
      <c r="AJ1374" s="54" t="str">
        <f t="shared" si="262"/>
        <v/>
      </c>
      <c r="AK1374" s="54">
        <f t="shared" si="263"/>
        <v>0.87463504278416671</v>
      </c>
    </row>
    <row r="1375" spans="18:37" x14ac:dyDescent="0.45">
      <c r="R1375" s="2">
        <v>30.51</v>
      </c>
      <c r="S1375" s="2">
        <v>5.9060999999999998E-4</v>
      </c>
      <c r="T1375" s="2">
        <v>3.3973E-4</v>
      </c>
      <c r="V1375" s="11"/>
      <c r="W1375" s="6"/>
      <c r="X1375" s="6">
        <v>13.56</v>
      </c>
      <c r="Y1375" s="11" t="str">
        <f t="shared" si="264"/>
        <v/>
      </c>
      <c r="Z1375" s="6" t="str">
        <f t="shared" si="265"/>
        <v/>
      </c>
      <c r="AA1375" s="23">
        <f t="shared" si="266"/>
        <v>43.56</v>
      </c>
      <c r="AB1375" t="str">
        <f t="shared" si="255"/>
        <v/>
      </c>
      <c r="AC1375" t="str">
        <f t="shared" si="256"/>
        <v/>
      </c>
      <c r="AD1375">
        <f t="shared" si="257"/>
        <v>1.21616E-3</v>
      </c>
      <c r="AE1375" s="18" t="str">
        <f t="shared" si="258"/>
        <v/>
      </c>
      <c r="AF1375" s="7" t="str">
        <f t="shared" si="259"/>
        <v/>
      </c>
      <c r="AG1375" s="12">
        <f t="shared" si="260"/>
        <v>0.98936411173345407</v>
      </c>
      <c r="AI1375" s="54" t="str">
        <f t="shared" si="261"/>
        <v/>
      </c>
      <c r="AJ1375" s="54" t="str">
        <f t="shared" si="262"/>
        <v/>
      </c>
      <c r="AK1375" s="54">
        <f t="shared" si="263"/>
        <v>0.87547426538879625</v>
      </c>
    </row>
    <row r="1376" spans="18:37" x14ac:dyDescent="0.45">
      <c r="R1376" s="2">
        <v>30.52</v>
      </c>
      <c r="S1376" s="2">
        <v>5.9071999999999998E-4</v>
      </c>
      <c r="T1376" s="2">
        <v>3.3995999999999999E-4</v>
      </c>
      <c r="V1376" s="11"/>
      <c r="W1376" s="6"/>
      <c r="X1376" s="6">
        <v>13.57</v>
      </c>
      <c r="Y1376" s="11" t="str">
        <f t="shared" si="264"/>
        <v/>
      </c>
      <c r="Z1376" s="6" t="str">
        <f t="shared" si="265"/>
        <v/>
      </c>
      <c r="AA1376" s="23">
        <f t="shared" si="266"/>
        <v>43.57</v>
      </c>
      <c r="AB1376" t="str">
        <f t="shared" si="255"/>
        <v/>
      </c>
      <c r="AC1376" t="str">
        <f t="shared" si="256"/>
        <v/>
      </c>
      <c r="AD1376">
        <f t="shared" si="257"/>
        <v>1.2172699999999999E-3</v>
      </c>
      <c r="AE1376" s="18" t="str">
        <f t="shared" si="258"/>
        <v/>
      </c>
      <c r="AF1376" s="7" t="str">
        <f t="shared" si="259"/>
        <v/>
      </c>
      <c r="AG1376" s="12">
        <f t="shared" si="260"/>
        <v>0.98935207948287285</v>
      </c>
      <c r="AI1376" s="54" t="str">
        <f t="shared" si="261"/>
        <v/>
      </c>
      <c r="AJ1376" s="54" t="str">
        <f t="shared" si="262"/>
        <v/>
      </c>
      <c r="AK1376" s="54">
        <f t="shared" si="263"/>
        <v>0.87631383249720618</v>
      </c>
    </row>
    <row r="1377" spans="18:37" x14ac:dyDescent="0.45">
      <c r="R1377" s="2">
        <v>30.53</v>
      </c>
      <c r="S1377" s="2">
        <v>5.9082999999999998E-4</v>
      </c>
      <c r="T1377" s="2">
        <v>3.4018999999999998E-4</v>
      </c>
      <c r="V1377" s="11"/>
      <c r="W1377" s="6"/>
      <c r="X1377" s="6">
        <v>13.58</v>
      </c>
      <c r="Y1377" s="11" t="str">
        <f t="shared" si="264"/>
        <v/>
      </c>
      <c r="Z1377" s="6" t="str">
        <f t="shared" si="265"/>
        <v/>
      </c>
      <c r="AA1377" s="23">
        <f t="shared" si="266"/>
        <v>43.58</v>
      </c>
      <c r="AB1377" t="str">
        <f t="shared" si="255"/>
        <v/>
      </c>
      <c r="AC1377" t="str">
        <f t="shared" si="256"/>
        <v/>
      </c>
      <c r="AD1377">
        <f t="shared" si="257"/>
        <v>1.21838E-3</v>
      </c>
      <c r="AE1377" s="18" t="str">
        <f t="shared" si="258"/>
        <v/>
      </c>
      <c r="AF1377" s="7" t="str">
        <f t="shared" si="259"/>
        <v/>
      </c>
      <c r="AG1377" s="12">
        <f t="shared" si="260"/>
        <v>0.98934003639681489</v>
      </c>
      <c r="AI1377" s="54" t="str">
        <f t="shared" si="261"/>
        <v/>
      </c>
      <c r="AJ1377" s="54" t="str">
        <f t="shared" si="262"/>
        <v/>
      </c>
      <c r="AK1377" s="54">
        <f t="shared" si="263"/>
        <v>0.87715374427002235</v>
      </c>
    </row>
    <row r="1378" spans="18:37" x14ac:dyDescent="0.45">
      <c r="R1378" s="2">
        <v>30.54</v>
      </c>
      <c r="S1378" s="2">
        <v>5.9093999999999998E-4</v>
      </c>
      <c r="T1378" s="2">
        <v>3.4042000000000002E-4</v>
      </c>
      <c r="V1378" s="11"/>
      <c r="W1378" s="6"/>
      <c r="X1378" s="6">
        <v>13.59</v>
      </c>
      <c r="Y1378" s="11" t="str">
        <f t="shared" si="264"/>
        <v/>
      </c>
      <c r="Z1378" s="6" t="str">
        <f t="shared" si="265"/>
        <v/>
      </c>
      <c r="AA1378" s="23">
        <f t="shared" si="266"/>
        <v>43.59</v>
      </c>
      <c r="AB1378" t="str">
        <f t="shared" si="255"/>
        <v/>
      </c>
      <c r="AC1378" t="str">
        <f t="shared" si="256"/>
        <v/>
      </c>
      <c r="AD1378">
        <f t="shared" si="257"/>
        <v>1.2194899999999999E-3</v>
      </c>
      <c r="AE1378" s="18" t="str">
        <f t="shared" si="258"/>
        <v/>
      </c>
      <c r="AF1378" s="7" t="str">
        <f t="shared" si="259"/>
        <v/>
      </c>
      <c r="AG1378" s="12">
        <f t="shared" si="260"/>
        <v>0.98932798247567943</v>
      </c>
      <c r="AI1378" s="54" t="str">
        <f t="shared" si="261"/>
        <v/>
      </c>
      <c r="AJ1378" s="54" t="str">
        <f t="shared" si="262"/>
        <v/>
      </c>
      <c r="AK1378" s="54">
        <f t="shared" si="263"/>
        <v>0.87799400086794832</v>
      </c>
    </row>
    <row r="1379" spans="18:37" x14ac:dyDescent="0.45">
      <c r="R1379" s="2">
        <v>30.55</v>
      </c>
      <c r="S1379" s="2">
        <v>5.9104999999999997E-4</v>
      </c>
      <c r="T1379" s="2">
        <v>3.4065000000000001E-4</v>
      </c>
      <c r="V1379" s="11"/>
      <c r="W1379" s="6"/>
      <c r="X1379" s="6">
        <v>13.6</v>
      </c>
      <c r="Y1379" s="11" t="str">
        <f t="shared" si="264"/>
        <v/>
      </c>
      <c r="Z1379" s="6" t="str">
        <f t="shared" si="265"/>
        <v/>
      </c>
      <c r="AA1379" s="23">
        <f t="shared" si="266"/>
        <v>43.6</v>
      </c>
      <c r="AB1379" t="str">
        <f t="shared" si="255"/>
        <v/>
      </c>
      <c r="AC1379" t="str">
        <f t="shared" si="256"/>
        <v/>
      </c>
      <c r="AD1379">
        <f t="shared" si="257"/>
        <v>1.2206000000000001E-3</v>
      </c>
      <c r="AE1379" s="18" t="str">
        <f t="shared" si="258"/>
        <v/>
      </c>
      <c r="AF1379" s="7" t="str">
        <f t="shared" si="259"/>
        <v/>
      </c>
      <c r="AG1379" s="12">
        <f t="shared" si="260"/>
        <v>0.98931591771986593</v>
      </c>
      <c r="AI1379" s="54" t="str">
        <f t="shared" si="261"/>
        <v/>
      </c>
      <c r="AJ1379" s="54" t="str">
        <f t="shared" si="262"/>
        <v/>
      </c>
      <c r="AK1379" s="54">
        <f t="shared" si="263"/>
        <v>0.87883460245176515</v>
      </c>
    </row>
    <row r="1380" spans="18:37" x14ac:dyDescent="0.45">
      <c r="R1380" s="2">
        <v>30.56</v>
      </c>
      <c r="S1380" s="2">
        <v>5.9115999999999997E-4</v>
      </c>
      <c r="T1380" s="2">
        <v>3.4088E-4</v>
      </c>
      <c r="V1380" s="11"/>
      <c r="W1380" s="6"/>
      <c r="X1380" s="6">
        <v>13.61</v>
      </c>
      <c r="Y1380" s="11" t="str">
        <f t="shared" si="264"/>
        <v/>
      </c>
      <c r="Z1380" s="6" t="str">
        <f t="shared" si="265"/>
        <v/>
      </c>
      <c r="AA1380" s="23">
        <f t="shared" si="266"/>
        <v>43.61</v>
      </c>
      <c r="AB1380" t="str">
        <f t="shared" si="255"/>
        <v/>
      </c>
      <c r="AC1380" t="str">
        <f t="shared" si="256"/>
        <v/>
      </c>
      <c r="AD1380">
        <f t="shared" si="257"/>
        <v>1.22171E-3</v>
      </c>
      <c r="AE1380" s="18" t="str">
        <f t="shared" si="258"/>
        <v/>
      </c>
      <c r="AF1380" s="7" t="str">
        <f t="shared" si="259"/>
        <v/>
      </c>
      <c r="AG1380" s="12">
        <f t="shared" si="260"/>
        <v>0.98930384212977429</v>
      </c>
      <c r="AI1380" s="54" t="str">
        <f t="shared" si="261"/>
        <v/>
      </c>
      <c r="AJ1380" s="54" t="str">
        <f t="shared" si="262"/>
        <v/>
      </c>
      <c r="AK1380" s="54">
        <f t="shared" si="263"/>
        <v>0.87967554918233182</v>
      </c>
    </row>
    <row r="1381" spans="18:37" x14ac:dyDescent="0.45">
      <c r="R1381" s="2">
        <v>30.57</v>
      </c>
      <c r="S1381" s="2">
        <v>5.9126999999999997E-4</v>
      </c>
      <c r="T1381" s="2">
        <v>3.4110999999999999E-4</v>
      </c>
      <c r="V1381" s="11"/>
      <c r="W1381" s="6"/>
      <c r="X1381" s="6">
        <v>13.620000000000001</v>
      </c>
      <c r="Y1381" s="11" t="str">
        <f t="shared" si="264"/>
        <v/>
      </c>
      <c r="Z1381" s="6" t="str">
        <f t="shared" si="265"/>
        <v/>
      </c>
      <c r="AA1381" s="23">
        <f t="shared" si="266"/>
        <v>43.620000000000005</v>
      </c>
      <c r="AB1381" t="str">
        <f t="shared" si="255"/>
        <v/>
      </c>
      <c r="AC1381" t="str">
        <f t="shared" si="256"/>
        <v/>
      </c>
      <c r="AD1381">
        <f t="shared" si="257"/>
        <v>1.2228199999999999E-3</v>
      </c>
      <c r="AE1381" s="18" t="str">
        <f t="shared" si="258"/>
        <v/>
      </c>
      <c r="AF1381" s="7" t="str">
        <f t="shared" si="259"/>
        <v/>
      </c>
      <c r="AG1381" s="12">
        <f t="shared" si="260"/>
        <v>0.98929175570580463</v>
      </c>
      <c r="AI1381" s="54" t="str">
        <f t="shared" si="261"/>
        <v/>
      </c>
      <c r="AJ1381" s="54" t="str">
        <f t="shared" si="262"/>
        <v/>
      </c>
      <c r="AK1381" s="54">
        <f t="shared" si="263"/>
        <v>0.88051684122058516</v>
      </c>
    </row>
    <row r="1382" spans="18:37" x14ac:dyDescent="0.45">
      <c r="R1382" s="2">
        <v>30.58</v>
      </c>
      <c r="S1382" s="2">
        <v>5.9137999999999997E-4</v>
      </c>
      <c r="T1382" s="2">
        <v>3.4133999999999998E-4</v>
      </c>
      <c r="V1382" s="11"/>
      <c r="W1382" s="6"/>
      <c r="X1382" s="6">
        <v>13.63</v>
      </c>
      <c r="Y1382" s="11" t="str">
        <f t="shared" si="264"/>
        <v/>
      </c>
      <c r="Z1382" s="6" t="str">
        <f t="shared" si="265"/>
        <v/>
      </c>
      <c r="AA1382" s="23">
        <f t="shared" si="266"/>
        <v>43.63</v>
      </c>
      <c r="AB1382" t="str">
        <f t="shared" si="255"/>
        <v/>
      </c>
      <c r="AC1382" t="str">
        <f t="shared" si="256"/>
        <v/>
      </c>
      <c r="AD1382">
        <f t="shared" si="257"/>
        <v>1.22393E-3</v>
      </c>
      <c r="AE1382" s="18" t="str">
        <f t="shared" si="258"/>
        <v/>
      </c>
      <c r="AF1382" s="7" t="str">
        <f t="shared" si="259"/>
        <v/>
      </c>
      <c r="AG1382" s="12">
        <f t="shared" si="260"/>
        <v>0.98927965844835752</v>
      </c>
      <c r="AI1382" s="54" t="str">
        <f t="shared" si="261"/>
        <v/>
      </c>
      <c r="AJ1382" s="54" t="str">
        <f t="shared" si="262"/>
        <v/>
      </c>
      <c r="AK1382" s="54">
        <f t="shared" si="263"/>
        <v>0.8813584787275397</v>
      </c>
    </row>
    <row r="1383" spans="18:37" x14ac:dyDescent="0.45">
      <c r="R1383" s="2">
        <v>30.59</v>
      </c>
      <c r="S1383" s="2">
        <v>5.9148999999999996E-4</v>
      </c>
      <c r="T1383" s="2">
        <v>3.4157000000000002E-4</v>
      </c>
      <c r="V1383" s="11"/>
      <c r="W1383" s="6"/>
      <c r="X1383" s="6">
        <v>13.64</v>
      </c>
      <c r="Y1383" s="11" t="str">
        <f t="shared" si="264"/>
        <v/>
      </c>
      <c r="Z1383" s="6" t="str">
        <f t="shared" si="265"/>
        <v/>
      </c>
      <c r="AA1383" s="23">
        <f t="shared" si="266"/>
        <v>43.64</v>
      </c>
      <c r="AB1383" t="str">
        <f t="shared" si="255"/>
        <v/>
      </c>
      <c r="AC1383" t="str">
        <f t="shared" si="256"/>
        <v/>
      </c>
      <c r="AD1383">
        <f t="shared" si="257"/>
        <v>1.2250399999999999E-3</v>
      </c>
      <c r="AE1383" s="18" t="str">
        <f t="shared" si="258"/>
        <v/>
      </c>
      <c r="AF1383" s="7" t="str">
        <f t="shared" si="259"/>
        <v/>
      </c>
      <c r="AG1383" s="12">
        <f t="shared" si="260"/>
        <v>0.98926755035783387</v>
      </c>
      <c r="AI1383" s="54" t="str">
        <f t="shared" si="261"/>
        <v/>
      </c>
      <c r="AJ1383" s="54" t="str">
        <f t="shared" si="262"/>
        <v/>
      </c>
      <c r="AK1383" s="54">
        <f t="shared" si="263"/>
        <v>0.88220046186428791</v>
      </c>
    </row>
    <row r="1384" spans="18:37" x14ac:dyDescent="0.45">
      <c r="R1384" s="2">
        <v>30.6</v>
      </c>
      <c r="S1384" s="2">
        <v>5.9159999999999996E-4</v>
      </c>
      <c r="T1384" s="2">
        <v>3.4180000000000001E-4</v>
      </c>
      <c r="V1384" s="11"/>
      <c r="W1384" s="6"/>
      <c r="X1384" s="6">
        <v>13.65</v>
      </c>
      <c r="Y1384" s="11" t="str">
        <f t="shared" si="264"/>
        <v/>
      </c>
      <c r="Z1384" s="6" t="str">
        <f t="shared" si="265"/>
        <v/>
      </c>
      <c r="AA1384" s="23">
        <f t="shared" si="266"/>
        <v>43.65</v>
      </c>
      <c r="AB1384" t="str">
        <f t="shared" si="255"/>
        <v/>
      </c>
      <c r="AC1384" t="str">
        <f t="shared" si="256"/>
        <v/>
      </c>
      <c r="AD1384">
        <f t="shared" si="257"/>
        <v>1.2261500000000001E-3</v>
      </c>
      <c r="AE1384" s="18" t="str">
        <f t="shared" si="258"/>
        <v/>
      </c>
      <c r="AF1384" s="7" t="str">
        <f t="shared" si="259"/>
        <v/>
      </c>
      <c r="AG1384" s="12">
        <f t="shared" si="260"/>
        <v>0.98925543143463501</v>
      </c>
      <c r="AI1384" s="54" t="str">
        <f t="shared" si="261"/>
        <v/>
      </c>
      <c r="AJ1384" s="54" t="str">
        <f t="shared" si="262"/>
        <v/>
      </c>
      <c r="AK1384" s="54">
        <f t="shared" si="263"/>
        <v>0.8830427907920001</v>
      </c>
    </row>
    <row r="1385" spans="18:37" x14ac:dyDescent="0.45">
      <c r="R1385" s="2">
        <v>30.61</v>
      </c>
      <c r="S1385" s="2">
        <v>5.9170999999999996E-4</v>
      </c>
      <c r="T1385" s="2">
        <v>3.4203E-4</v>
      </c>
      <c r="V1385" s="11"/>
      <c r="W1385" s="6"/>
      <c r="X1385" s="6">
        <v>13.66</v>
      </c>
      <c r="Y1385" s="11" t="str">
        <f t="shared" si="264"/>
        <v/>
      </c>
      <c r="Z1385" s="6" t="str">
        <f t="shared" si="265"/>
        <v/>
      </c>
      <c r="AA1385" s="23">
        <f t="shared" si="266"/>
        <v>43.66</v>
      </c>
      <c r="AB1385" t="str">
        <f t="shared" si="255"/>
        <v/>
      </c>
      <c r="AC1385" t="str">
        <f t="shared" si="256"/>
        <v/>
      </c>
      <c r="AD1385">
        <f t="shared" si="257"/>
        <v>1.22726E-3</v>
      </c>
      <c r="AE1385" s="18" t="str">
        <f t="shared" si="258"/>
        <v/>
      </c>
      <c r="AF1385" s="7" t="str">
        <f t="shared" si="259"/>
        <v/>
      </c>
      <c r="AG1385" s="12">
        <f t="shared" si="260"/>
        <v>0.98924330167916252</v>
      </c>
      <c r="AI1385" s="54" t="str">
        <f t="shared" si="261"/>
        <v/>
      </c>
      <c r="AJ1385" s="54" t="str">
        <f t="shared" si="262"/>
        <v/>
      </c>
      <c r="AK1385" s="54">
        <f t="shared" si="263"/>
        <v>0.88388546567192472</v>
      </c>
    </row>
    <row r="1386" spans="18:37" x14ac:dyDescent="0.45">
      <c r="R1386" s="2">
        <v>30.62</v>
      </c>
      <c r="S1386" s="2">
        <v>5.9181999999999995E-4</v>
      </c>
      <c r="T1386" s="2">
        <v>3.4225999999999999E-4</v>
      </c>
      <c r="V1386" s="11"/>
      <c r="W1386" s="6"/>
      <c r="X1386" s="6">
        <v>13.67</v>
      </c>
      <c r="Y1386" s="11" t="str">
        <f t="shared" si="264"/>
        <v/>
      </c>
      <c r="Z1386" s="6" t="str">
        <f t="shared" si="265"/>
        <v/>
      </c>
      <c r="AA1386" s="23">
        <f t="shared" si="266"/>
        <v>43.67</v>
      </c>
      <c r="AB1386" t="str">
        <f t="shared" si="255"/>
        <v/>
      </c>
      <c r="AC1386" t="str">
        <f t="shared" si="256"/>
        <v/>
      </c>
      <c r="AD1386">
        <f t="shared" si="257"/>
        <v>1.2283699999999999E-3</v>
      </c>
      <c r="AE1386" s="18" t="str">
        <f t="shared" si="258"/>
        <v/>
      </c>
      <c r="AF1386" s="7" t="str">
        <f t="shared" si="259"/>
        <v/>
      </c>
      <c r="AG1386" s="12">
        <f t="shared" si="260"/>
        <v>0.9892311610918183</v>
      </c>
      <c r="AI1386" s="54" t="str">
        <f t="shared" si="261"/>
        <v/>
      </c>
      <c r="AJ1386" s="54" t="str">
        <f t="shared" si="262"/>
        <v/>
      </c>
      <c r="AK1386" s="54">
        <f t="shared" si="263"/>
        <v>0.88472848666538795</v>
      </c>
    </row>
    <row r="1387" spans="18:37" x14ac:dyDescent="0.45">
      <c r="R1387" s="2">
        <v>30.63</v>
      </c>
      <c r="S1387" s="2">
        <v>5.9192999999999995E-4</v>
      </c>
      <c r="T1387" s="2">
        <v>3.4248999999999998E-4</v>
      </c>
      <c r="V1387" s="11"/>
      <c r="W1387" s="6"/>
      <c r="X1387" s="6">
        <v>13.68</v>
      </c>
      <c r="Y1387" s="11" t="str">
        <f t="shared" si="264"/>
        <v/>
      </c>
      <c r="Z1387" s="6" t="str">
        <f t="shared" si="265"/>
        <v/>
      </c>
      <c r="AA1387" s="23">
        <f t="shared" si="266"/>
        <v>43.68</v>
      </c>
      <c r="AB1387" t="str">
        <f t="shared" si="255"/>
        <v/>
      </c>
      <c r="AC1387" t="str">
        <f t="shared" si="256"/>
        <v/>
      </c>
      <c r="AD1387">
        <f t="shared" si="257"/>
        <v>1.22948E-3</v>
      </c>
      <c r="AE1387" s="18" t="str">
        <f t="shared" si="258"/>
        <v/>
      </c>
      <c r="AF1387" s="7" t="str">
        <f t="shared" si="259"/>
        <v/>
      </c>
      <c r="AG1387" s="12">
        <f t="shared" si="260"/>
        <v>0.9892190096730048</v>
      </c>
      <c r="AI1387" s="54" t="str">
        <f t="shared" si="261"/>
        <v/>
      </c>
      <c r="AJ1387" s="54" t="str">
        <f t="shared" si="262"/>
        <v/>
      </c>
      <c r="AK1387" s="54">
        <f t="shared" si="263"/>
        <v>0.88557185393379423</v>
      </c>
    </row>
    <row r="1388" spans="18:37" x14ac:dyDescent="0.45">
      <c r="R1388" s="2">
        <v>30.64</v>
      </c>
      <c r="S1388" s="2">
        <v>5.9203999999999995E-4</v>
      </c>
      <c r="T1388" s="2">
        <v>3.4272000000000003E-4</v>
      </c>
      <c r="V1388" s="11"/>
      <c r="W1388" s="6"/>
      <c r="X1388" s="6">
        <v>13.69</v>
      </c>
      <c r="Y1388" s="11" t="str">
        <f t="shared" si="264"/>
        <v/>
      </c>
      <c r="Z1388" s="6" t="str">
        <f t="shared" si="265"/>
        <v/>
      </c>
      <c r="AA1388" s="23">
        <f t="shared" si="266"/>
        <v>43.69</v>
      </c>
      <c r="AB1388" t="str">
        <f t="shared" si="255"/>
        <v/>
      </c>
      <c r="AC1388" t="str">
        <f t="shared" si="256"/>
        <v/>
      </c>
      <c r="AD1388">
        <f t="shared" si="257"/>
        <v>1.2305899999999999E-3</v>
      </c>
      <c r="AE1388" s="18" t="str">
        <f t="shared" si="258"/>
        <v/>
      </c>
      <c r="AF1388" s="7" t="str">
        <f t="shared" si="259"/>
        <v/>
      </c>
      <c r="AG1388" s="12">
        <f t="shared" si="260"/>
        <v>0.9892068474231247</v>
      </c>
      <c r="AI1388" s="54" t="str">
        <f t="shared" si="261"/>
        <v/>
      </c>
      <c r="AJ1388" s="54" t="str">
        <f t="shared" si="262"/>
        <v/>
      </c>
      <c r="AK1388" s="54">
        <f t="shared" si="263"/>
        <v>0.88641556763862595</v>
      </c>
    </row>
    <row r="1389" spans="18:37" x14ac:dyDescent="0.45">
      <c r="R1389" s="2">
        <v>30.65</v>
      </c>
      <c r="S1389" s="2">
        <v>5.9214999999999995E-4</v>
      </c>
      <c r="T1389" s="2">
        <v>3.4295000000000001E-4</v>
      </c>
      <c r="V1389" s="11"/>
      <c r="W1389" s="6"/>
      <c r="X1389" s="6">
        <v>13.700000000000001</v>
      </c>
      <c r="Y1389" s="11" t="str">
        <f t="shared" si="264"/>
        <v/>
      </c>
      <c r="Z1389" s="6" t="str">
        <f t="shared" si="265"/>
        <v/>
      </c>
      <c r="AA1389" s="23">
        <f t="shared" si="266"/>
        <v>43.7</v>
      </c>
      <c r="AB1389" t="str">
        <f t="shared" si="255"/>
        <v/>
      </c>
      <c r="AC1389" t="str">
        <f t="shared" si="256"/>
        <v/>
      </c>
      <c r="AD1389">
        <f t="shared" si="257"/>
        <v>1.2317000000000001E-3</v>
      </c>
      <c r="AE1389" s="18" t="str">
        <f t="shared" si="258"/>
        <v/>
      </c>
      <c r="AF1389" s="7" t="str">
        <f t="shared" si="259"/>
        <v/>
      </c>
      <c r="AG1389" s="12">
        <f t="shared" si="260"/>
        <v>0.98919467434258102</v>
      </c>
      <c r="AI1389" s="54" t="str">
        <f t="shared" si="261"/>
        <v/>
      </c>
      <c r="AJ1389" s="54" t="str">
        <f t="shared" si="262"/>
        <v/>
      </c>
      <c r="AK1389" s="54">
        <f t="shared" si="263"/>
        <v>0.88725962794144364</v>
      </c>
    </row>
    <row r="1390" spans="18:37" x14ac:dyDescent="0.45">
      <c r="R1390" s="2">
        <v>30.66</v>
      </c>
      <c r="S1390" s="2">
        <v>5.9226000000000005E-4</v>
      </c>
      <c r="T1390" s="2">
        <v>3.4318E-4</v>
      </c>
      <c r="V1390" s="11"/>
      <c r="W1390" s="6"/>
      <c r="X1390" s="6">
        <v>13.71</v>
      </c>
      <c r="Y1390" s="11" t="str">
        <f t="shared" si="264"/>
        <v/>
      </c>
      <c r="Z1390" s="6" t="str">
        <f t="shared" si="265"/>
        <v/>
      </c>
      <c r="AA1390" s="23">
        <f t="shared" si="266"/>
        <v>43.71</v>
      </c>
      <c r="AB1390" t="str">
        <f t="shared" si="255"/>
        <v/>
      </c>
      <c r="AC1390" t="str">
        <f t="shared" si="256"/>
        <v/>
      </c>
      <c r="AD1390">
        <f t="shared" si="257"/>
        <v>1.23281E-3</v>
      </c>
      <c r="AE1390" s="18" t="str">
        <f t="shared" si="258"/>
        <v/>
      </c>
      <c r="AF1390" s="7" t="str">
        <f t="shared" si="259"/>
        <v/>
      </c>
      <c r="AG1390" s="12">
        <f t="shared" si="260"/>
        <v>0.98918249043177708</v>
      </c>
      <c r="AI1390" s="54" t="str">
        <f t="shared" si="261"/>
        <v/>
      </c>
      <c r="AJ1390" s="54" t="str">
        <f t="shared" si="262"/>
        <v/>
      </c>
      <c r="AK1390" s="54">
        <f t="shared" si="263"/>
        <v>0.88810403500388602</v>
      </c>
    </row>
    <row r="1391" spans="18:37" x14ac:dyDescent="0.45">
      <c r="R1391" s="2">
        <v>30.67</v>
      </c>
      <c r="S1391" s="2">
        <v>5.9237000000000005E-4</v>
      </c>
      <c r="T1391" s="2">
        <v>3.4340999999999999E-4</v>
      </c>
      <c r="V1391" s="11"/>
      <c r="W1391" s="6"/>
      <c r="X1391" s="6">
        <v>13.72</v>
      </c>
      <c r="Y1391" s="11" t="str">
        <f t="shared" si="264"/>
        <v/>
      </c>
      <c r="Z1391" s="6" t="str">
        <f t="shared" si="265"/>
        <v/>
      </c>
      <c r="AA1391" s="23">
        <f t="shared" si="266"/>
        <v>43.72</v>
      </c>
      <c r="AB1391" t="str">
        <f t="shared" si="255"/>
        <v/>
      </c>
      <c r="AC1391" t="str">
        <f t="shared" si="256"/>
        <v/>
      </c>
      <c r="AD1391">
        <f t="shared" si="257"/>
        <v>1.2339199999999999E-3</v>
      </c>
      <c r="AE1391" s="18" t="str">
        <f t="shared" si="258"/>
        <v/>
      </c>
      <c r="AF1391" s="7" t="str">
        <f t="shared" si="259"/>
        <v/>
      </c>
      <c r="AG1391" s="12">
        <f t="shared" si="260"/>
        <v>0.98917029569111681</v>
      </c>
      <c r="AI1391" s="54" t="str">
        <f t="shared" si="261"/>
        <v/>
      </c>
      <c r="AJ1391" s="54" t="str">
        <f t="shared" si="262"/>
        <v/>
      </c>
      <c r="AK1391" s="54">
        <f t="shared" si="263"/>
        <v>0.88894878898767005</v>
      </c>
    </row>
    <row r="1392" spans="18:37" x14ac:dyDescent="0.45">
      <c r="R1392" s="2">
        <v>30.68</v>
      </c>
      <c r="S1392" s="2">
        <v>5.9248000000000005E-4</v>
      </c>
      <c r="T1392" s="2">
        <v>3.4363999999999998E-4</v>
      </c>
      <c r="V1392" s="11"/>
      <c r="W1392" s="6"/>
      <c r="X1392" s="6">
        <v>13.73</v>
      </c>
      <c r="Y1392" s="11" t="str">
        <f t="shared" si="264"/>
        <v/>
      </c>
      <c r="Z1392" s="6" t="str">
        <f t="shared" si="265"/>
        <v/>
      </c>
      <c r="AA1392" s="23">
        <f t="shared" si="266"/>
        <v>43.730000000000004</v>
      </c>
      <c r="AB1392" t="str">
        <f t="shared" si="255"/>
        <v/>
      </c>
      <c r="AC1392" t="str">
        <f t="shared" si="256"/>
        <v/>
      </c>
      <c r="AD1392">
        <f t="shared" si="257"/>
        <v>1.23503E-3</v>
      </c>
      <c r="AE1392" s="18" t="str">
        <f t="shared" si="258"/>
        <v/>
      </c>
      <c r="AF1392" s="7" t="str">
        <f t="shared" si="259"/>
        <v/>
      </c>
      <c r="AG1392" s="12">
        <f t="shared" si="260"/>
        <v>0.9891580901210042</v>
      </c>
      <c r="AI1392" s="54" t="str">
        <f t="shared" si="261"/>
        <v/>
      </c>
      <c r="AJ1392" s="54" t="str">
        <f t="shared" si="262"/>
        <v/>
      </c>
      <c r="AK1392" s="54">
        <f t="shared" si="263"/>
        <v>0.88979389005459064</v>
      </c>
    </row>
    <row r="1393" spans="18:37" x14ac:dyDescent="0.45">
      <c r="R1393" s="2">
        <v>30.69</v>
      </c>
      <c r="S1393" s="2">
        <v>5.9259000000000004E-4</v>
      </c>
      <c r="T1393" s="2">
        <v>3.4387000000000003E-4</v>
      </c>
      <c r="V1393" s="11"/>
      <c r="W1393" s="6"/>
      <c r="X1393" s="6">
        <v>13.74</v>
      </c>
      <c r="Y1393" s="11" t="str">
        <f t="shared" si="264"/>
        <v/>
      </c>
      <c r="Z1393" s="6" t="str">
        <f t="shared" si="265"/>
        <v/>
      </c>
      <c r="AA1393" s="23">
        <f t="shared" si="266"/>
        <v>43.74</v>
      </c>
      <c r="AB1393" t="str">
        <f t="shared" si="255"/>
        <v/>
      </c>
      <c r="AC1393" t="str">
        <f t="shared" si="256"/>
        <v/>
      </c>
      <c r="AD1393">
        <f t="shared" si="257"/>
        <v>1.2361399999999999E-3</v>
      </c>
      <c r="AE1393" s="18" t="str">
        <f t="shared" si="258"/>
        <v/>
      </c>
      <c r="AF1393" s="7" t="str">
        <f t="shared" si="259"/>
        <v/>
      </c>
      <c r="AG1393" s="12">
        <f t="shared" si="260"/>
        <v>0.98914587372184382</v>
      </c>
      <c r="AI1393" s="54" t="str">
        <f t="shared" si="261"/>
        <v/>
      </c>
      <c r="AJ1393" s="54" t="str">
        <f t="shared" si="262"/>
        <v/>
      </c>
      <c r="AK1393" s="54">
        <f t="shared" si="263"/>
        <v>0.89063933836652132</v>
      </c>
    </row>
    <row r="1394" spans="18:37" x14ac:dyDescent="0.45">
      <c r="R1394" s="2">
        <v>30.7</v>
      </c>
      <c r="S1394" s="2">
        <v>5.9270000000000004E-4</v>
      </c>
      <c r="T1394" s="2">
        <v>3.4410000000000002E-4</v>
      </c>
      <c r="V1394" s="11"/>
      <c r="W1394" s="6"/>
      <c r="X1394" s="6">
        <v>13.75</v>
      </c>
      <c r="Y1394" s="11" t="str">
        <f t="shared" si="264"/>
        <v/>
      </c>
      <c r="Z1394" s="6" t="str">
        <f t="shared" si="265"/>
        <v/>
      </c>
      <c r="AA1394" s="23">
        <f t="shared" si="266"/>
        <v>43.75</v>
      </c>
      <c r="AB1394" t="str">
        <f t="shared" si="255"/>
        <v/>
      </c>
      <c r="AC1394" t="str">
        <f t="shared" si="256"/>
        <v/>
      </c>
      <c r="AD1394">
        <f t="shared" si="257"/>
        <v>1.2372500000000001E-3</v>
      </c>
      <c r="AE1394" s="18" t="str">
        <f t="shared" si="258"/>
        <v/>
      </c>
      <c r="AF1394" s="7" t="str">
        <f t="shared" si="259"/>
        <v/>
      </c>
      <c r="AG1394" s="12">
        <f t="shared" si="260"/>
        <v>0.98913364649404034</v>
      </c>
      <c r="AI1394" s="54" t="str">
        <f t="shared" si="261"/>
        <v/>
      </c>
      <c r="AJ1394" s="54" t="str">
        <f t="shared" si="262"/>
        <v/>
      </c>
      <c r="AK1394" s="54">
        <f t="shared" si="263"/>
        <v>0.89148513408541374</v>
      </c>
    </row>
    <row r="1395" spans="18:37" x14ac:dyDescent="0.45">
      <c r="R1395" s="2">
        <v>30.71</v>
      </c>
      <c r="S1395" s="2">
        <v>5.9281000000000004E-4</v>
      </c>
      <c r="T1395" s="2">
        <v>3.4433E-4</v>
      </c>
      <c r="V1395" s="11"/>
      <c r="W1395" s="6"/>
      <c r="X1395" s="6">
        <v>13.76</v>
      </c>
      <c r="Y1395" s="11" t="str">
        <f t="shared" si="264"/>
        <v/>
      </c>
      <c r="Z1395" s="6" t="str">
        <f t="shared" si="265"/>
        <v/>
      </c>
      <c r="AA1395" s="23">
        <f t="shared" si="266"/>
        <v>43.76</v>
      </c>
      <c r="AB1395" t="str">
        <f t="shared" si="255"/>
        <v/>
      </c>
      <c r="AC1395" t="str">
        <f t="shared" si="256"/>
        <v/>
      </c>
      <c r="AD1395">
        <f t="shared" si="257"/>
        <v>1.23836E-3</v>
      </c>
      <c r="AE1395" s="18" t="str">
        <f t="shared" si="258"/>
        <v/>
      </c>
      <c r="AF1395" s="7" t="str">
        <f t="shared" si="259"/>
        <v/>
      </c>
      <c r="AG1395" s="12">
        <f t="shared" si="260"/>
        <v>0.98912140843799912</v>
      </c>
      <c r="AI1395" s="54" t="str">
        <f t="shared" si="261"/>
        <v/>
      </c>
      <c r="AJ1395" s="54" t="str">
        <f t="shared" si="262"/>
        <v/>
      </c>
      <c r="AK1395" s="54">
        <f t="shared" si="263"/>
        <v>0.89233127737329787</v>
      </c>
    </row>
    <row r="1396" spans="18:37" x14ac:dyDescent="0.45">
      <c r="R1396" s="2">
        <v>30.72</v>
      </c>
      <c r="S1396" s="2">
        <v>5.9292000000000004E-4</v>
      </c>
      <c r="T1396" s="2">
        <v>3.4455999999999999E-4</v>
      </c>
      <c r="V1396" s="11"/>
      <c r="W1396" s="6"/>
      <c r="X1396" s="6">
        <v>13.77</v>
      </c>
      <c r="Y1396" s="11" t="str">
        <f t="shared" si="264"/>
        <v/>
      </c>
      <c r="Z1396" s="6" t="str">
        <f t="shared" si="265"/>
        <v/>
      </c>
      <c r="AA1396" s="23">
        <f t="shared" si="266"/>
        <v>43.769999999999996</v>
      </c>
      <c r="AB1396" t="str">
        <f t="shared" si="255"/>
        <v/>
      </c>
      <c r="AC1396" t="str">
        <f t="shared" si="256"/>
        <v/>
      </c>
      <c r="AD1396">
        <f t="shared" si="257"/>
        <v>1.23836E-3</v>
      </c>
      <c r="AE1396" s="18" t="str">
        <f t="shared" si="258"/>
        <v/>
      </c>
      <c r="AF1396" s="7" t="str">
        <f t="shared" si="259"/>
        <v/>
      </c>
      <c r="AG1396" s="12">
        <f t="shared" si="260"/>
        <v>0.98910915955412559</v>
      </c>
      <c r="AI1396" s="54" t="str">
        <f t="shared" si="261"/>
        <v/>
      </c>
      <c r="AJ1396" s="54" t="str">
        <f t="shared" si="262"/>
        <v/>
      </c>
      <c r="AK1396" s="54">
        <f t="shared" si="263"/>
        <v>0.89317776839228213</v>
      </c>
    </row>
    <row r="1397" spans="18:37" x14ac:dyDescent="0.45">
      <c r="R1397" s="2">
        <v>30.73</v>
      </c>
      <c r="S1397" s="2">
        <v>5.9303000000000003E-4</v>
      </c>
      <c r="T1397" s="2">
        <v>3.4478999999999998E-4</v>
      </c>
      <c r="V1397" s="11"/>
      <c r="W1397" s="6"/>
      <c r="X1397" s="6">
        <v>13.780000000000001</v>
      </c>
      <c r="Y1397" s="11" t="str">
        <f t="shared" si="264"/>
        <v/>
      </c>
      <c r="Z1397" s="6" t="str">
        <f t="shared" si="265"/>
        <v/>
      </c>
      <c r="AA1397" s="23">
        <f t="shared" si="266"/>
        <v>43.78</v>
      </c>
      <c r="AB1397" t="str">
        <f t="shared" si="255"/>
        <v/>
      </c>
      <c r="AC1397" t="str">
        <f t="shared" si="256"/>
        <v/>
      </c>
      <c r="AD1397">
        <f t="shared" si="257"/>
        <v>1.24058E-3</v>
      </c>
      <c r="AE1397" s="18" t="str">
        <f t="shared" si="258"/>
        <v/>
      </c>
      <c r="AF1397" s="7" t="str">
        <f t="shared" si="259"/>
        <v/>
      </c>
      <c r="AG1397" s="12">
        <f t="shared" si="260"/>
        <v>0.98909691082193729</v>
      </c>
      <c r="AI1397" s="54" t="str">
        <f t="shared" si="261"/>
        <v/>
      </c>
      <c r="AJ1397" s="54" t="str">
        <f t="shared" si="262"/>
        <v/>
      </c>
      <c r="AK1397" s="54">
        <f t="shared" si="263"/>
        <v>0.8940246084902802</v>
      </c>
    </row>
    <row r="1398" spans="18:37" x14ac:dyDescent="0.45">
      <c r="R1398" s="2">
        <v>30.74</v>
      </c>
      <c r="S1398" s="2">
        <v>5.9314000000000003E-4</v>
      </c>
      <c r="T1398" s="2">
        <v>3.4501999999999997E-4</v>
      </c>
      <c r="V1398" s="11"/>
      <c r="W1398" s="6"/>
      <c r="X1398" s="6">
        <v>13.790000000000001</v>
      </c>
      <c r="Y1398" s="11" t="str">
        <f t="shared" si="264"/>
        <v/>
      </c>
      <c r="Z1398" s="6" t="str">
        <f t="shared" si="265"/>
        <v/>
      </c>
      <c r="AA1398" s="23">
        <f t="shared" si="266"/>
        <v>43.79</v>
      </c>
      <c r="AB1398" t="str">
        <f t="shared" si="255"/>
        <v/>
      </c>
      <c r="AC1398" t="str">
        <f t="shared" si="256"/>
        <v/>
      </c>
      <c r="AD1398">
        <f t="shared" si="257"/>
        <v>1.2416899999999999E-3</v>
      </c>
      <c r="AE1398" s="18" t="str">
        <f t="shared" si="258"/>
        <v/>
      </c>
      <c r="AF1398" s="7" t="str">
        <f t="shared" si="259"/>
        <v/>
      </c>
      <c r="AG1398" s="12">
        <f t="shared" si="260"/>
        <v>0.98908464028348098</v>
      </c>
      <c r="AI1398" s="54" t="str">
        <f t="shared" si="261"/>
        <v/>
      </c>
      <c r="AJ1398" s="54" t="str">
        <f t="shared" si="262"/>
        <v/>
      </c>
      <c r="AK1398" s="54">
        <f t="shared" si="263"/>
        <v>0.89487179545859286</v>
      </c>
    </row>
    <row r="1399" spans="18:37" x14ac:dyDescent="0.45">
      <c r="R1399" s="2">
        <v>30.75</v>
      </c>
      <c r="S1399" s="2">
        <v>5.9325000000000003E-4</v>
      </c>
      <c r="T1399" s="2">
        <v>3.4525000000000002E-4</v>
      </c>
      <c r="V1399" s="11"/>
      <c r="W1399" s="6"/>
      <c r="X1399" s="6">
        <v>13.8</v>
      </c>
      <c r="Y1399" s="11" t="str">
        <f t="shared" si="264"/>
        <v/>
      </c>
      <c r="Z1399" s="6" t="str">
        <f t="shared" si="265"/>
        <v/>
      </c>
      <c r="AA1399" s="23">
        <f t="shared" si="266"/>
        <v>43.8</v>
      </c>
      <c r="AB1399" t="str">
        <f t="shared" si="255"/>
        <v/>
      </c>
      <c r="AC1399" t="str">
        <f t="shared" si="256"/>
        <v/>
      </c>
      <c r="AD1399">
        <f t="shared" si="257"/>
        <v>1.2428000000000001E-3</v>
      </c>
      <c r="AE1399" s="18" t="str">
        <f t="shared" si="258"/>
        <v/>
      </c>
      <c r="AF1399" s="7" t="str">
        <f t="shared" si="259"/>
        <v/>
      </c>
      <c r="AG1399" s="12">
        <f t="shared" si="260"/>
        <v>0.98907235891841105</v>
      </c>
      <c r="AI1399" s="54" t="str">
        <f t="shared" si="261"/>
        <v/>
      </c>
      <c r="AJ1399" s="54" t="str">
        <f t="shared" si="262"/>
        <v/>
      </c>
      <c r="AK1399" s="54">
        <f t="shared" si="263"/>
        <v>0.8957193306448018</v>
      </c>
    </row>
    <row r="1400" spans="18:37" x14ac:dyDescent="0.45">
      <c r="R1400" s="2">
        <v>30.76</v>
      </c>
      <c r="S1400" s="2">
        <v>5.9336000000000002E-4</v>
      </c>
      <c r="T1400" s="2">
        <v>3.4548000000000001E-4</v>
      </c>
      <c r="V1400" s="11"/>
      <c r="W1400" s="6"/>
      <c r="X1400" s="6">
        <v>13.81</v>
      </c>
      <c r="Y1400" s="11" t="str">
        <f t="shared" si="264"/>
        <v/>
      </c>
      <c r="Z1400" s="6" t="str">
        <f t="shared" si="265"/>
        <v/>
      </c>
      <c r="AA1400" s="23">
        <f t="shared" si="266"/>
        <v>43.81</v>
      </c>
      <c r="AB1400" t="str">
        <f t="shared" si="255"/>
        <v/>
      </c>
      <c r="AC1400" t="str">
        <f t="shared" si="256"/>
        <v/>
      </c>
      <c r="AD1400">
        <f t="shared" si="257"/>
        <v>1.24391E-3</v>
      </c>
      <c r="AE1400" s="18" t="str">
        <f t="shared" si="258"/>
        <v/>
      </c>
      <c r="AF1400" s="7" t="str">
        <f t="shared" si="259"/>
        <v/>
      </c>
      <c r="AG1400" s="12">
        <f t="shared" si="260"/>
        <v>0.98906006672713442</v>
      </c>
      <c r="AI1400" s="54" t="str">
        <f t="shared" si="261"/>
        <v/>
      </c>
      <c r="AJ1400" s="54" t="str">
        <f t="shared" si="262"/>
        <v/>
      </c>
      <c r="AK1400" s="54">
        <f t="shared" si="263"/>
        <v>0.89656721421132946</v>
      </c>
    </row>
    <row r="1401" spans="18:37" x14ac:dyDescent="0.45">
      <c r="R1401" s="2">
        <v>30.77</v>
      </c>
      <c r="S1401" s="2">
        <v>5.9347000000000002E-4</v>
      </c>
      <c r="T1401" s="2">
        <v>3.4571E-4</v>
      </c>
      <c r="V1401" s="11"/>
      <c r="W1401" s="6"/>
      <c r="X1401" s="6">
        <v>13.82</v>
      </c>
      <c r="Y1401" s="11" t="str">
        <f t="shared" si="264"/>
        <v/>
      </c>
      <c r="Z1401" s="6" t="str">
        <f t="shared" si="265"/>
        <v/>
      </c>
      <c r="AA1401" s="23">
        <f t="shared" si="266"/>
        <v>43.82</v>
      </c>
      <c r="AB1401" t="str">
        <f t="shared" si="255"/>
        <v/>
      </c>
      <c r="AC1401" t="str">
        <f t="shared" si="256"/>
        <v/>
      </c>
      <c r="AD1401">
        <f t="shared" si="257"/>
        <v>1.2450199999999999E-3</v>
      </c>
      <c r="AE1401" s="18" t="str">
        <f t="shared" si="258"/>
        <v/>
      </c>
      <c r="AF1401" s="7" t="str">
        <f t="shared" si="259"/>
        <v/>
      </c>
      <c r="AG1401" s="12">
        <f t="shared" si="260"/>
        <v>0.98904776371005843</v>
      </c>
      <c r="AI1401" s="54" t="str">
        <f t="shared" si="261"/>
        <v/>
      </c>
      <c r="AJ1401" s="54" t="str">
        <f t="shared" si="262"/>
        <v/>
      </c>
      <c r="AK1401" s="54">
        <f t="shared" si="263"/>
        <v>0.89741544632067682</v>
      </c>
    </row>
    <row r="1402" spans="18:37" x14ac:dyDescent="0.45">
      <c r="R1402" s="2">
        <v>30.78</v>
      </c>
      <c r="S1402" s="2">
        <v>5.9358000000000002E-4</v>
      </c>
      <c r="T1402" s="2">
        <v>3.4593999999999998E-4</v>
      </c>
      <c r="V1402" s="11"/>
      <c r="W1402" s="6"/>
      <c r="X1402" s="6">
        <v>13.83</v>
      </c>
      <c r="Y1402" s="11" t="str">
        <f t="shared" si="264"/>
        <v/>
      </c>
      <c r="Z1402" s="6" t="str">
        <f t="shared" si="265"/>
        <v/>
      </c>
      <c r="AA1402" s="23">
        <f t="shared" si="266"/>
        <v>43.83</v>
      </c>
      <c r="AB1402" t="str">
        <f t="shared" si="255"/>
        <v/>
      </c>
      <c r="AC1402" t="str">
        <f t="shared" si="256"/>
        <v/>
      </c>
      <c r="AD1402">
        <f t="shared" si="257"/>
        <v>1.24613E-3</v>
      </c>
      <c r="AE1402" s="18" t="str">
        <f t="shared" si="258"/>
        <v/>
      </c>
      <c r="AF1402" s="7" t="str">
        <f t="shared" si="259"/>
        <v/>
      </c>
      <c r="AG1402" s="12">
        <f t="shared" si="260"/>
        <v>0.98903544986759073</v>
      </c>
      <c r="AI1402" s="54" t="str">
        <f t="shared" si="261"/>
        <v/>
      </c>
      <c r="AJ1402" s="54" t="str">
        <f t="shared" si="262"/>
        <v/>
      </c>
      <c r="AK1402" s="54">
        <f t="shared" si="263"/>
        <v>0.89826402713542342</v>
      </c>
    </row>
    <row r="1403" spans="18:37" x14ac:dyDescent="0.45">
      <c r="R1403" s="2">
        <v>30.79</v>
      </c>
      <c r="S1403" s="2">
        <v>5.9369000000000002E-4</v>
      </c>
      <c r="T1403" s="2">
        <v>3.4616999999999997E-4</v>
      </c>
      <c r="V1403" s="11"/>
      <c r="W1403" s="6"/>
      <c r="X1403" s="6">
        <v>13.84</v>
      </c>
      <c r="Y1403" s="11" t="str">
        <f t="shared" si="264"/>
        <v/>
      </c>
      <c r="Z1403" s="6" t="str">
        <f t="shared" si="265"/>
        <v/>
      </c>
      <c r="AA1403" s="23">
        <f t="shared" si="266"/>
        <v>43.84</v>
      </c>
      <c r="AB1403" t="str">
        <f t="shared" si="255"/>
        <v/>
      </c>
      <c r="AC1403" t="str">
        <f t="shared" si="256"/>
        <v/>
      </c>
      <c r="AD1403">
        <f t="shared" si="257"/>
        <v>1.2472399999999999E-3</v>
      </c>
      <c r="AE1403" s="18" t="str">
        <f t="shared" si="258"/>
        <v/>
      </c>
      <c r="AF1403" s="7" t="str">
        <f t="shared" si="259"/>
        <v/>
      </c>
      <c r="AG1403" s="12">
        <f t="shared" si="260"/>
        <v>0.98902312520013935</v>
      </c>
      <c r="AI1403" s="54" t="str">
        <f t="shared" si="261"/>
        <v/>
      </c>
      <c r="AJ1403" s="54" t="str">
        <f t="shared" si="262"/>
        <v/>
      </c>
      <c r="AK1403" s="54">
        <f t="shared" si="263"/>
        <v>0.89911295681822745</v>
      </c>
    </row>
    <row r="1404" spans="18:37" x14ac:dyDescent="0.45">
      <c r="R1404" s="2">
        <v>30.8</v>
      </c>
      <c r="S1404" s="2">
        <v>5.9380000000000001E-4</v>
      </c>
      <c r="T1404" s="2">
        <v>3.4640000000000002E-4</v>
      </c>
      <c r="V1404" s="11"/>
      <c r="W1404" s="6"/>
      <c r="X1404" s="6">
        <v>13.85</v>
      </c>
      <c r="Y1404" s="11" t="str">
        <f t="shared" si="264"/>
        <v/>
      </c>
      <c r="Z1404" s="6" t="str">
        <f t="shared" si="265"/>
        <v/>
      </c>
      <c r="AA1404" s="23">
        <f t="shared" si="266"/>
        <v>43.85</v>
      </c>
      <c r="AB1404" t="str">
        <f t="shared" si="255"/>
        <v/>
      </c>
      <c r="AC1404" t="str">
        <f t="shared" si="256"/>
        <v/>
      </c>
      <c r="AD1404">
        <f t="shared" si="257"/>
        <v>1.2483500000000001E-3</v>
      </c>
      <c r="AE1404" s="18" t="str">
        <f t="shared" si="258"/>
        <v/>
      </c>
      <c r="AF1404" s="7" t="str">
        <f t="shared" si="259"/>
        <v/>
      </c>
      <c r="AG1404" s="12">
        <f t="shared" si="260"/>
        <v>0.98901078970811263</v>
      </c>
      <c r="AI1404" s="54" t="str">
        <f t="shared" si="261"/>
        <v/>
      </c>
      <c r="AJ1404" s="54" t="str">
        <f t="shared" si="262"/>
        <v/>
      </c>
      <c r="AK1404" s="54">
        <f t="shared" si="263"/>
        <v>0.89996223553182586</v>
      </c>
    </row>
    <row r="1405" spans="18:37" x14ac:dyDescent="0.45">
      <c r="R1405" s="2">
        <v>30.81</v>
      </c>
      <c r="S1405" s="2">
        <v>5.9391000000000001E-4</v>
      </c>
      <c r="T1405" s="2">
        <v>3.4663000000000001E-4</v>
      </c>
      <c r="V1405" s="11"/>
      <c r="W1405" s="6"/>
      <c r="X1405" s="6">
        <v>13.86</v>
      </c>
      <c r="Y1405" s="11" t="str">
        <f t="shared" si="264"/>
        <v/>
      </c>
      <c r="Z1405" s="6" t="str">
        <f t="shared" si="265"/>
        <v/>
      </c>
      <c r="AA1405" s="23">
        <f t="shared" si="266"/>
        <v>43.86</v>
      </c>
      <c r="AB1405" t="str">
        <f t="shared" si="255"/>
        <v/>
      </c>
      <c r="AC1405" t="str">
        <f t="shared" si="256"/>
        <v/>
      </c>
      <c r="AD1405">
        <f t="shared" si="257"/>
        <v>1.24946E-3</v>
      </c>
      <c r="AE1405" s="18" t="str">
        <f t="shared" si="258"/>
        <v/>
      </c>
      <c r="AF1405" s="7" t="str">
        <f t="shared" si="259"/>
        <v/>
      </c>
      <c r="AG1405" s="12">
        <f t="shared" si="260"/>
        <v>0.98899844339191934</v>
      </c>
      <c r="AI1405" s="54" t="str">
        <f t="shared" si="261"/>
        <v/>
      </c>
      <c r="AJ1405" s="54" t="str">
        <f t="shared" si="262"/>
        <v/>
      </c>
      <c r="AK1405" s="54">
        <f t="shared" si="263"/>
        <v>0.9008118634390343</v>
      </c>
    </row>
    <row r="1406" spans="18:37" x14ac:dyDescent="0.45">
      <c r="R1406" s="2">
        <v>30.82</v>
      </c>
      <c r="S1406" s="2">
        <v>5.9402000000000001E-4</v>
      </c>
      <c r="T1406" s="2">
        <v>3.4686E-4</v>
      </c>
      <c r="V1406" s="11"/>
      <c r="W1406" s="6"/>
      <c r="X1406" s="6">
        <v>13.870000000000001</v>
      </c>
      <c r="Y1406" s="11" t="str">
        <f t="shared" si="264"/>
        <v/>
      </c>
      <c r="Z1406" s="6" t="str">
        <f t="shared" si="265"/>
        <v/>
      </c>
      <c r="AA1406" s="23">
        <f t="shared" si="266"/>
        <v>43.870000000000005</v>
      </c>
      <c r="AB1406" t="str">
        <f t="shared" si="255"/>
        <v/>
      </c>
      <c r="AC1406" t="str">
        <f t="shared" si="256"/>
        <v/>
      </c>
      <c r="AD1406">
        <f t="shared" si="257"/>
        <v>1.2505699999999999E-3</v>
      </c>
      <c r="AE1406" s="18" t="str">
        <f t="shared" si="258"/>
        <v/>
      </c>
      <c r="AF1406" s="7" t="str">
        <f t="shared" si="259"/>
        <v/>
      </c>
      <c r="AG1406" s="12">
        <f t="shared" si="260"/>
        <v>0.98898608625196849</v>
      </c>
      <c r="AI1406" s="54" t="str">
        <f t="shared" si="261"/>
        <v/>
      </c>
      <c r="AJ1406" s="54" t="str">
        <f t="shared" si="262"/>
        <v/>
      </c>
      <c r="AK1406" s="54">
        <f t="shared" si="263"/>
        <v>0.90166184070274735</v>
      </c>
    </row>
    <row r="1407" spans="18:37" x14ac:dyDescent="0.45">
      <c r="R1407" s="2">
        <v>30.83</v>
      </c>
      <c r="S1407" s="2">
        <v>5.9413000000000001E-4</v>
      </c>
      <c r="T1407" s="2">
        <v>3.4708999999999999E-4</v>
      </c>
      <c r="V1407" s="11"/>
      <c r="W1407" s="6"/>
      <c r="X1407" s="6">
        <v>13.88</v>
      </c>
      <c r="Y1407" s="11" t="str">
        <f t="shared" si="264"/>
        <v/>
      </c>
      <c r="Z1407" s="6" t="str">
        <f t="shared" si="265"/>
        <v/>
      </c>
      <c r="AA1407" s="23">
        <f t="shared" si="266"/>
        <v>43.88</v>
      </c>
      <c r="AB1407" t="str">
        <f t="shared" si="255"/>
        <v/>
      </c>
      <c r="AC1407" t="str">
        <f t="shared" si="256"/>
        <v/>
      </c>
      <c r="AD1407">
        <f t="shared" si="257"/>
        <v>1.25168E-3</v>
      </c>
      <c r="AE1407" s="18" t="str">
        <f t="shared" si="258"/>
        <v/>
      </c>
      <c r="AF1407" s="7" t="str">
        <f t="shared" si="259"/>
        <v/>
      </c>
      <c r="AG1407" s="12">
        <f t="shared" si="260"/>
        <v>0.98897371828866965</v>
      </c>
      <c r="AI1407" s="54" t="str">
        <f t="shared" si="261"/>
        <v/>
      </c>
      <c r="AJ1407" s="54" t="str">
        <f t="shared" si="262"/>
        <v/>
      </c>
      <c r="AK1407" s="54">
        <f t="shared" si="263"/>
        <v>0.90251216748593821</v>
      </c>
    </row>
    <row r="1408" spans="18:37" x14ac:dyDescent="0.45">
      <c r="R1408" s="2">
        <v>30.84</v>
      </c>
      <c r="S1408" s="2">
        <v>5.9424E-4</v>
      </c>
      <c r="T1408" s="2">
        <v>3.4731999999999997E-4</v>
      </c>
      <c r="V1408" s="11"/>
      <c r="W1408" s="6"/>
      <c r="X1408" s="6">
        <v>13.89</v>
      </c>
      <c r="Y1408" s="11" t="str">
        <f t="shared" si="264"/>
        <v/>
      </c>
      <c r="Z1408" s="6" t="str">
        <f t="shared" si="265"/>
        <v/>
      </c>
      <c r="AA1408" s="23">
        <f t="shared" si="266"/>
        <v>43.89</v>
      </c>
      <c r="AB1408" t="str">
        <f t="shared" si="255"/>
        <v/>
      </c>
      <c r="AC1408" t="str">
        <f t="shared" si="256"/>
        <v/>
      </c>
      <c r="AD1408">
        <f t="shared" si="257"/>
        <v>1.2527899999999999E-3</v>
      </c>
      <c r="AE1408" s="18" t="str">
        <f t="shared" si="258"/>
        <v/>
      </c>
      <c r="AF1408" s="7" t="str">
        <f t="shared" si="259"/>
        <v/>
      </c>
      <c r="AG1408" s="12">
        <f t="shared" si="260"/>
        <v>0.98896133950243259</v>
      </c>
      <c r="AI1408" s="54" t="str">
        <f t="shared" si="261"/>
        <v/>
      </c>
      <c r="AJ1408" s="54" t="str">
        <f t="shared" si="262"/>
        <v/>
      </c>
      <c r="AK1408" s="54">
        <f t="shared" si="263"/>
        <v>0.90336284395165911</v>
      </c>
    </row>
    <row r="1409" spans="18:37" x14ac:dyDescent="0.45">
      <c r="R1409" s="2">
        <v>30.85</v>
      </c>
      <c r="S1409" s="2">
        <v>5.9435E-4</v>
      </c>
      <c r="T1409" s="2">
        <v>3.4755000000000002E-4</v>
      </c>
      <c r="V1409" s="11"/>
      <c r="W1409" s="6"/>
      <c r="X1409" s="6">
        <v>13.9</v>
      </c>
      <c r="Y1409" s="11" t="str">
        <f t="shared" si="264"/>
        <v/>
      </c>
      <c r="Z1409" s="6" t="str">
        <f t="shared" si="265"/>
        <v/>
      </c>
      <c r="AA1409" s="23">
        <f t="shared" si="266"/>
        <v>43.9</v>
      </c>
      <c r="AB1409" t="str">
        <f t="shared" si="255"/>
        <v/>
      </c>
      <c r="AC1409" t="str">
        <f t="shared" si="256"/>
        <v/>
      </c>
      <c r="AD1409">
        <f t="shared" si="257"/>
        <v>1.2539000000000001E-3</v>
      </c>
      <c r="AE1409" s="18" t="str">
        <f t="shared" si="258"/>
        <v/>
      </c>
      <c r="AF1409" s="7" t="str">
        <f t="shared" si="259"/>
        <v/>
      </c>
      <c r="AG1409" s="12">
        <f t="shared" si="260"/>
        <v>0.98894894989366744</v>
      </c>
      <c r="AI1409" s="54" t="str">
        <f t="shared" si="261"/>
        <v/>
      </c>
      <c r="AJ1409" s="54" t="str">
        <f t="shared" si="262"/>
        <v/>
      </c>
      <c r="AK1409" s="54">
        <f t="shared" si="263"/>
        <v>0.90421387026304101</v>
      </c>
    </row>
    <row r="1410" spans="18:37" x14ac:dyDescent="0.45">
      <c r="R1410" s="2">
        <v>30.86</v>
      </c>
      <c r="S1410" s="2">
        <v>5.9446E-4</v>
      </c>
      <c r="T1410" s="2">
        <v>3.4778000000000001E-4</v>
      </c>
      <c r="V1410" s="11"/>
      <c r="W1410" s="6"/>
      <c r="X1410" s="6">
        <v>13.91</v>
      </c>
      <c r="Y1410" s="11" t="str">
        <f t="shared" si="264"/>
        <v/>
      </c>
      <c r="Z1410" s="6" t="str">
        <f t="shared" si="265"/>
        <v/>
      </c>
      <c r="AA1410" s="23">
        <f t="shared" si="266"/>
        <v>43.91</v>
      </c>
      <c r="AB1410" t="str">
        <f t="shared" si="255"/>
        <v/>
      </c>
      <c r="AC1410" t="str">
        <f t="shared" si="256"/>
        <v/>
      </c>
      <c r="AD1410">
        <f t="shared" si="257"/>
        <v>1.25501E-3</v>
      </c>
      <c r="AE1410" s="18" t="str">
        <f t="shared" si="258"/>
        <v/>
      </c>
      <c r="AF1410" s="7" t="str">
        <f t="shared" si="259"/>
        <v/>
      </c>
      <c r="AG1410" s="12">
        <f t="shared" si="260"/>
        <v>0.98893654946278475</v>
      </c>
      <c r="AI1410" s="54" t="str">
        <f t="shared" si="261"/>
        <v/>
      </c>
      <c r="AJ1410" s="54" t="str">
        <f t="shared" si="262"/>
        <v/>
      </c>
      <c r="AK1410" s="54">
        <f t="shared" si="263"/>
        <v>0.9050652465832939</v>
      </c>
    </row>
    <row r="1411" spans="18:37" x14ac:dyDescent="0.45">
      <c r="R1411" s="2">
        <v>30.87</v>
      </c>
      <c r="S1411" s="2">
        <v>5.9456999999999999E-4</v>
      </c>
      <c r="T1411" s="2">
        <v>3.4801E-4</v>
      </c>
      <c r="V1411" s="11"/>
      <c r="W1411" s="6"/>
      <c r="X1411" s="6">
        <v>13.92</v>
      </c>
      <c r="Y1411" s="11" t="str">
        <f t="shared" si="264"/>
        <v/>
      </c>
      <c r="Z1411" s="6" t="str">
        <f t="shared" si="265"/>
        <v/>
      </c>
      <c r="AA1411" s="23">
        <f t="shared" si="266"/>
        <v>43.92</v>
      </c>
      <c r="AB1411" t="str">
        <f t="shared" si="255"/>
        <v/>
      </c>
      <c r="AC1411" t="str">
        <f t="shared" si="256"/>
        <v/>
      </c>
      <c r="AD1411">
        <f t="shared" si="257"/>
        <v>1.2561199999999999E-3</v>
      </c>
      <c r="AE1411" s="18" t="str">
        <f t="shared" si="258"/>
        <v/>
      </c>
      <c r="AF1411" s="7" t="str">
        <f t="shared" si="259"/>
        <v/>
      </c>
      <c r="AG1411" s="12">
        <f t="shared" si="260"/>
        <v>0.98892413821019531</v>
      </c>
      <c r="AI1411" s="54" t="str">
        <f t="shared" si="261"/>
        <v/>
      </c>
      <c r="AJ1411" s="54" t="str">
        <f t="shared" si="262"/>
        <v/>
      </c>
      <c r="AK1411" s="54">
        <f t="shared" si="263"/>
        <v>0.90591697307570684</v>
      </c>
    </row>
    <row r="1412" spans="18:37" x14ac:dyDescent="0.45">
      <c r="R1412" s="2">
        <v>30.88</v>
      </c>
      <c r="S1412" s="2">
        <v>5.9467999999999999E-4</v>
      </c>
      <c r="T1412" s="2">
        <v>3.4823999999999999E-4</v>
      </c>
      <c r="V1412" s="11"/>
      <c r="W1412" s="6"/>
      <c r="X1412" s="6">
        <v>13.93</v>
      </c>
      <c r="Y1412" s="11" t="str">
        <f t="shared" si="264"/>
        <v/>
      </c>
      <c r="Z1412" s="6" t="str">
        <f t="shared" si="265"/>
        <v/>
      </c>
      <c r="AA1412" s="23">
        <f t="shared" si="266"/>
        <v>43.93</v>
      </c>
      <c r="AB1412" t="str">
        <f t="shared" si="255"/>
        <v/>
      </c>
      <c r="AC1412" t="str">
        <f t="shared" si="256"/>
        <v/>
      </c>
      <c r="AD1412">
        <f t="shared" si="257"/>
        <v>1.25723E-3</v>
      </c>
      <c r="AE1412" s="18" t="str">
        <f t="shared" si="258"/>
        <v/>
      </c>
      <c r="AF1412" s="7" t="str">
        <f t="shared" si="259"/>
        <v/>
      </c>
      <c r="AG1412" s="12">
        <f t="shared" si="260"/>
        <v>0.98891171613631046</v>
      </c>
      <c r="AI1412" s="54" t="str">
        <f t="shared" si="261"/>
        <v/>
      </c>
      <c r="AJ1412" s="54" t="str">
        <f t="shared" si="262"/>
        <v/>
      </c>
      <c r="AK1412" s="54">
        <f t="shared" si="263"/>
        <v>0.90676904990364782</v>
      </c>
    </row>
    <row r="1413" spans="18:37" x14ac:dyDescent="0.45">
      <c r="R1413" s="2">
        <v>30.89</v>
      </c>
      <c r="S1413" s="2">
        <v>5.9478999999999999E-4</v>
      </c>
      <c r="T1413" s="2">
        <v>3.4846999999999998E-4</v>
      </c>
      <c r="V1413" s="11"/>
      <c r="W1413" s="6"/>
      <c r="X1413" s="6">
        <v>13.94</v>
      </c>
      <c r="Y1413" s="11" t="str">
        <f t="shared" si="264"/>
        <v/>
      </c>
      <c r="Z1413" s="6" t="str">
        <f t="shared" si="265"/>
        <v/>
      </c>
      <c r="AA1413" s="23">
        <f t="shared" si="266"/>
        <v>43.94</v>
      </c>
      <c r="AB1413" t="str">
        <f t="shared" si="255"/>
        <v/>
      </c>
      <c r="AC1413" t="str">
        <f t="shared" si="256"/>
        <v/>
      </c>
      <c r="AD1413">
        <f t="shared" si="257"/>
        <v>1.2583399999999999E-3</v>
      </c>
      <c r="AE1413" s="18" t="str">
        <f t="shared" si="258"/>
        <v/>
      </c>
      <c r="AF1413" s="7" t="str">
        <f t="shared" si="259"/>
        <v/>
      </c>
      <c r="AG1413" s="12">
        <f t="shared" si="260"/>
        <v>0.98889928324154164</v>
      </c>
      <c r="AI1413" s="54" t="str">
        <f t="shared" si="261"/>
        <v/>
      </c>
      <c r="AJ1413" s="54" t="str">
        <f t="shared" si="262"/>
        <v/>
      </c>
      <c r="AK1413" s="54">
        <f t="shared" si="263"/>
        <v>0.90762147723056386</v>
      </c>
    </row>
    <row r="1414" spans="18:37" x14ac:dyDescent="0.45">
      <c r="R1414" s="2">
        <v>30.9</v>
      </c>
      <c r="S1414" s="2">
        <v>5.9489999999999999E-4</v>
      </c>
      <c r="T1414" s="2">
        <v>3.4870000000000002E-4</v>
      </c>
      <c r="V1414" s="11"/>
      <c r="W1414" s="6"/>
      <c r="X1414" s="6">
        <v>13.950000000000001</v>
      </c>
      <c r="Y1414" s="11" t="str">
        <f t="shared" si="264"/>
        <v/>
      </c>
      <c r="Z1414" s="6" t="str">
        <f t="shared" si="265"/>
        <v/>
      </c>
      <c r="AA1414" s="23">
        <f t="shared" si="266"/>
        <v>43.95</v>
      </c>
      <c r="AB1414" t="str">
        <f t="shared" si="255"/>
        <v/>
      </c>
      <c r="AC1414" t="str">
        <f t="shared" si="256"/>
        <v/>
      </c>
      <c r="AD1414">
        <f t="shared" si="257"/>
        <v>1.2594500000000001E-3</v>
      </c>
      <c r="AE1414" s="18" t="str">
        <f t="shared" si="258"/>
        <v/>
      </c>
      <c r="AF1414" s="7" t="str">
        <f t="shared" si="259"/>
        <v/>
      </c>
      <c r="AG1414" s="12">
        <f t="shared" si="260"/>
        <v>0.98888683952630085</v>
      </c>
      <c r="AI1414" s="54" t="str">
        <f t="shared" si="261"/>
        <v/>
      </c>
      <c r="AJ1414" s="54" t="str">
        <f t="shared" si="262"/>
        <v/>
      </c>
      <c r="AK1414" s="54">
        <f t="shared" si="263"/>
        <v>0.90847425521998115</v>
      </c>
    </row>
    <row r="1415" spans="18:37" x14ac:dyDescent="0.45">
      <c r="R1415" s="2">
        <v>30.91</v>
      </c>
      <c r="S1415" s="2">
        <v>5.9500999999999998E-4</v>
      </c>
      <c r="T1415" s="2">
        <v>3.4893000000000001E-4</v>
      </c>
      <c r="V1415" s="11"/>
      <c r="W1415" s="6"/>
      <c r="X1415" s="6">
        <v>13.96</v>
      </c>
      <c r="Y1415" s="11" t="str">
        <f t="shared" si="264"/>
        <v/>
      </c>
      <c r="Z1415" s="6" t="str">
        <f t="shared" si="265"/>
        <v/>
      </c>
      <c r="AA1415" s="23">
        <f t="shared" si="266"/>
        <v>43.96</v>
      </c>
      <c r="AB1415" t="str">
        <f t="shared" si="255"/>
        <v/>
      </c>
      <c r="AC1415" t="str">
        <f t="shared" si="256"/>
        <v/>
      </c>
      <c r="AD1415">
        <f t="shared" si="257"/>
        <v>1.26056E-3</v>
      </c>
      <c r="AE1415" s="18" t="str">
        <f t="shared" si="258"/>
        <v/>
      </c>
      <c r="AF1415" s="7" t="str">
        <f t="shared" si="259"/>
        <v/>
      </c>
      <c r="AG1415" s="12">
        <f t="shared" si="260"/>
        <v>0.98887438499100044</v>
      </c>
      <c r="AI1415" s="54" t="str">
        <f t="shared" si="261"/>
        <v/>
      </c>
      <c r="AJ1415" s="54" t="str">
        <f t="shared" si="262"/>
        <v/>
      </c>
      <c r="AK1415" s="54">
        <f t="shared" si="263"/>
        <v>0.90932738403550506</v>
      </c>
    </row>
    <row r="1416" spans="18:37" x14ac:dyDescent="0.45">
      <c r="R1416" s="2">
        <v>30.92</v>
      </c>
      <c r="S1416" s="2">
        <v>5.9511999999999998E-4</v>
      </c>
      <c r="T1416" s="2">
        <v>3.4916E-4</v>
      </c>
      <c r="V1416" s="11"/>
      <c r="W1416" s="6"/>
      <c r="X1416" s="6">
        <v>13.97</v>
      </c>
      <c r="Y1416" s="11" t="str">
        <f t="shared" si="264"/>
        <v/>
      </c>
      <c r="Z1416" s="6" t="str">
        <f t="shared" si="265"/>
        <v/>
      </c>
      <c r="AA1416" s="23">
        <f t="shared" si="266"/>
        <v>43.97</v>
      </c>
      <c r="AB1416" t="str">
        <f t="shared" si="255"/>
        <v/>
      </c>
      <c r="AC1416" t="str">
        <f t="shared" si="256"/>
        <v/>
      </c>
      <c r="AD1416">
        <f t="shared" si="257"/>
        <v>1.2616699999999999E-3</v>
      </c>
      <c r="AE1416" s="18" t="str">
        <f t="shared" si="258"/>
        <v/>
      </c>
      <c r="AF1416" s="7" t="str">
        <f t="shared" si="259"/>
        <v/>
      </c>
      <c r="AG1416" s="12">
        <f t="shared" si="260"/>
        <v>0.98886191963605297</v>
      </c>
      <c r="AI1416" s="54" t="str">
        <f t="shared" si="261"/>
        <v/>
      </c>
      <c r="AJ1416" s="54" t="str">
        <f t="shared" si="262"/>
        <v/>
      </c>
      <c r="AK1416" s="54">
        <f t="shared" si="263"/>
        <v>0.91018086384081998</v>
      </c>
    </row>
    <row r="1417" spans="18:37" x14ac:dyDescent="0.45">
      <c r="R1417" s="2">
        <v>30.93</v>
      </c>
      <c r="S1417" s="2">
        <v>5.9522999999999998E-4</v>
      </c>
      <c r="T1417" s="2">
        <v>3.4938999999999999E-4</v>
      </c>
      <c r="V1417" s="11"/>
      <c r="W1417" s="6"/>
      <c r="X1417" s="6">
        <v>13.98</v>
      </c>
      <c r="Y1417" s="11" t="str">
        <f t="shared" si="264"/>
        <v/>
      </c>
      <c r="Z1417" s="6" t="str">
        <f t="shared" si="265"/>
        <v/>
      </c>
      <c r="AA1417" s="23">
        <f t="shared" si="266"/>
        <v>43.980000000000004</v>
      </c>
      <c r="AB1417" t="str">
        <f t="shared" si="255"/>
        <v/>
      </c>
      <c r="AC1417" t="str">
        <f t="shared" si="256"/>
        <v/>
      </c>
      <c r="AD1417">
        <f t="shared" si="257"/>
        <v>1.26278E-3</v>
      </c>
      <c r="AE1417" s="18" t="str">
        <f t="shared" si="258"/>
        <v/>
      </c>
      <c r="AF1417" s="7" t="str">
        <f t="shared" si="259"/>
        <v/>
      </c>
      <c r="AG1417" s="12">
        <f t="shared" si="260"/>
        <v>0.98884944346187154</v>
      </c>
      <c r="AI1417" s="54" t="str">
        <f t="shared" si="261"/>
        <v/>
      </c>
      <c r="AJ1417" s="54" t="str">
        <f t="shared" si="262"/>
        <v/>
      </c>
      <c r="AK1417" s="54">
        <f t="shared" si="263"/>
        <v>0.91103469479968957</v>
      </c>
    </row>
    <row r="1418" spans="18:37" x14ac:dyDescent="0.45">
      <c r="R1418" s="2">
        <v>30.94</v>
      </c>
      <c r="S1418" s="2">
        <v>5.9533999999999998E-4</v>
      </c>
      <c r="T1418" s="2">
        <v>3.4961999999999998E-4</v>
      </c>
      <c r="V1418" s="11"/>
      <c r="W1418" s="6"/>
      <c r="X1418" s="6">
        <v>13.99</v>
      </c>
      <c r="Y1418" s="11" t="str">
        <f t="shared" si="264"/>
        <v/>
      </c>
      <c r="Z1418" s="6" t="str">
        <f t="shared" si="265"/>
        <v/>
      </c>
      <c r="AA1418" s="23">
        <f t="shared" si="266"/>
        <v>43.99</v>
      </c>
      <c r="AB1418" t="str">
        <f t="shared" si="255"/>
        <v/>
      </c>
      <c r="AC1418" t="str">
        <f t="shared" si="256"/>
        <v/>
      </c>
      <c r="AD1418">
        <f t="shared" si="257"/>
        <v>1.2638899999999999E-3</v>
      </c>
      <c r="AE1418" s="18" t="str">
        <f t="shared" si="258"/>
        <v/>
      </c>
      <c r="AF1418" s="7" t="str">
        <f t="shared" si="259"/>
        <v/>
      </c>
      <c r="AG1418" s="12">
        <f t="shared" si="260"/>
        <v>0.98883695646886938</v>
      </c>
      <c r="AI1418" s="54" t="str">
        <f t="shared" si="261"/>
        <v/>
      </c>
      <c r="AJ1418" s="54" t="str">
        <f t="shared" si="262"/>
        <v/>
      </c>
      <c r="AK1418" s="54">
        <f t="shared" si="263"/>
        <v>0.91188887707595689</v>
      </c>
    </row>
    <row r="1419" spans="18:37" x14ac:dyDescent="0.45">
      <c r="R1419" s="2">
        <v>30.95</v>
      </c>
      <c r="S1419" s="2">
        <v>5.9544999999999997E-4</v>
      </c>
      <c r="T1419" s="2">
        <v>3.4985000000000002E-4</v>
      </c>
      <c r="V1419" s="11"/>
      <c r="W1419" s="6"/>
      <c r="X1419" s="6">
        <v>14</v>
      </c>
      <c r="Y1419" s="11" t="str">
        <f t="shared" si="264"/>
        <v/>
      </c>
      <c r="Z1419" s="6" t="str">
        <f t="shared" si="265"/>
        <v/>
      </c>
      <c r="AA1419" s="23">
        <f t="shared" si="266"/>
        <v>44</v>
      </c>
      <c r="AB1419" t="str">
        <f t="shared" si="255"/>
        <v/>
      </c>
      <c r="AC1419" t="str">
        <f t="shared" si="256"/>
        <v/>
      </c>
      <c r="AD1419">
        <f t="shared" si="257"/>
        <v>1.2650000000000001E-3</v>
      </c>
      <c r="AE1419" s="18" t="str">
        <f t="shared" si="258"/>
        <v/>
      </c>
      <c r="AF1419" s="7" t="str">
        <f t="shared" si="259"/>
        <v/>
      </c>
      <c r="AG1419" s="12">
        <f t="shared" si="260"/>
        <v>0.98882445865746027</v>
      </c>
      <c r="AI1419" s="54" t="str">
        <f t="shared" si="261"/>
        <v/>
      </c>
      <c r="AJ1419" s="54" t="str">
        <f t="shared" si="262"/>
        <v/>
      </c>
      <c r="AK1419" s="54">
        <f t="shared" si="263"/>
        <v>0.91274341083354427</v>
      </c>
    </row>
    <row r="1420" spans="18:37" x14ac:dyDescent="0.45">
      <c r="R1420" s="2">
        <v>30.96</v>
      </c>
      <c r="S1420" s="2">
        <v>5.9555999999999997E-4</v>
      </c>
      <c r="T1420" s="2">
        <v>3.5008000000000001E-4</v>
      </c>
      <c r="V1420" s="11"/>
      <c r="W1420" s="6"/>
      <c r="X1420" s="6">
        <v>14.01</v>
      </c>
      <c r="Y1420" s="11" t="str">
        <f t="shared" si="264"/>
        <v/>
      </c>
      <c r="Z1420" s="6" t="str">
        <f t="shared" si="265"/>
        <v/>
      </c>
      <c r="AA1420" s="23">
        <f t="shared" si="266"/>
        <v>44.01</v>
      </c>
      <c r="AB1420" t="str">
        <f t="shared" si="255"/>
        <v/>
      </c>
      <c r="AC1420" t="str">
        <f t="shared" si="256"/>
        <v/>
      </c>
      <c r="AD1420">
        <f t="shared" si="257"/>
        <v>1.26629E-3</v>
      </c>
      <c r="AE1420" s="18" t="str">
        <f t="shared" si="258"/>
        <v/>
      </c>
      <c r="AF1420" s="7" t="str">
        <f t="shared" si="259"/>
        <v/>
      </c>
      <c r="AG1420" s="12">
        <f t="shared" si="260"/>
        <v>0.98881195002805822</v>
      </c>
      <c r="AI1420" s="54" t="str">
        <f t="shared" si="261"/>
        <v/>
      </c>
      <c r="AJ1420" s="54" t="str">
        <f t="shared" si="262"/>
        <v/>
      </c>
      <c r="AK1420" s="54">
        <f t="shared" si="263"/>
        <v>0.91359829623645328</v>
      </c>
    </row>
    <row r="1421" spans="18:37" x14ac:dyDescent="0.45">
      <c r="R1421" s="2">
        <v>30.97</v>
      </c>
      <c r="S1421" s="2">
        <v>5.9566999999999997E-4</v>
      </c>
      <c r="T1421" s="2">
        <v>3.5031E-4</v>
      </c>
      <c r="V1421" s="11"/>
      <c r="W1421" s="6"/>
      <c r="X1421" s="6">
        <v>14.02</v>
      </c>
      <c r="Y1421" s="11" t="str">
        <f t="shared" si="264"/>
        <v/>
      </c>
      <c r="Z1421" s="6" t="str">
        <f t="shared" si="265"/>
        <v/>
      </c>
      <c r="AA1421" s="23">
        <f t="shared" si="266"/>
        <v>44.019999999999996</v>
      </c>
      <c r="AB1421" t="str">
        <f t="shared" si="255"/>
        <v/>
      </c>
      <c r="AC1421" t="str">
        <f t="shared" si="256"/>
        <v/>
      </c>
      <c r="AD1421">
        <f t="shared" si="257"/>
        <v>1.26629E-3</v>
      </c>
      <c r="AE1421" s="18" t="str">
        <f t="shared" si="258"/>
        <v/>
      </c>
      <c r="AF1421" s="7" t="str">
        <f t="shared" si="259"/>
        <v/>
      </c>
      <c r="AG1421" s="12">
        <f t="shared" si="260"/>
        <v>0.98879942880121618</v>
      </c>
      <c r="AI1421" s="54" t="str">
        <f t="shared" si="261"/>
        <v/>
      </c>
      <c r="AJ1421" s="54" t="str">
        <f t="shared" si="262"/>
        <v/>
      </c>
      <c r="AK1421" s="54">
        <f t="shared" si="263"/>
        <v>0.91445353329324175</v>
      </c>
    </row>
    <row r="1422" spans="18:37" x14ac:dyDescent="0.45">
      <c r="R1422" s="2">
        <v>30.98</v>
      </c>
      <c r="S1422" s="2">
        <v>5.9577999999999996E-4</v>
      </c>
      <c r="T1422" s="2">
        <v>3.5053999999999999E-4</v>
      </c>
      <c r="V1422" s="11"/>
      <c r="W1422" s="6"/>
      <c r="X1422" s="6">
        <v>14.030000000000001</v>
      </c>
      <c r="Y1422" s="11" t="str">
        <f t="shared" si="264"/>
        <v/>
      </c>
      <c r="Z1422" s="6" t="str">
        <f t="shared" si="265"/>
        <v/>
      </c>
      <c r="AA1422" s="23">
        <f t="shared" si="266"/>
        <v>44.03</v>
      </c>
      <c r="AB1422" t="str">
        <f t="shared" si="255"/>
        <v/>
      </c>
      <c r="AC1422" t="str">
        <f t="shared" si="256"/>
        <v/>
      </c>
      <c r="AD1422">
        <f t="shared" si="257"/>
        <v>1.2688700000000001E-3</v>
      </c>
      <c r="AE1422" s="18" t="str">
        <f t="shared" si="258"/>
        <v/>
      </c>
      <c r="AF1422" s="7" t="str">
        <f t="shared" si="259"/>
        <v/>
      </c>
      <c r="AG1422" s="12">
        <f t="shared" si="260"/>
        <v>0.98878690773292921</v>
      </c>
      <c r="AI1422" s="54" t="str">
        <f t="shared" si="261"/>
        <v/>
      </c>
      <c r="AJ1422" s="54" t="str">
        <f t="shared" si="262"/>
        <v/>
      </c>
      <c r="AK1422" s="54">
        <f t="shared" si="263"/>
        <v>0.91530912327463432</v>
      </c>
    </row>
    <row r="1423" spans="18:37" x14ac:dyDescent="0.45">
      <c r="R1423" s="2">
        <v>30.99</v>
      </c>
      <c r="S1423" s="2">
        <v>5.9588999999999996E-4</v>
      </c>
      <c r="T1423" s="2">
        <v>3.5076999999999998E-4</v>
      </c>
      <c r="V1423" s="11"/>
      <c r="W1423" s="6"/>
      <c r="X1423" s="6">
        <v>14.040000000000001</v>
      </c>
      <c r="Y1423" s="11" t="str">
        <f t="shared" si="264"/>
        <v/>
      </c>
      <c r="Z1423" s="6" t="str">
        <f t="shared" si="265"/>
        <v/>
      </c>
      <c r="AA1423" s="23">
        <f t="shared" si="266"/>
        <v>44.04</v>
      </c>
      <c r="AB1423" t="str">
        <f t="shared" si="255"/>
        <v/>
      </c>
      <c r="AC1423" t="str">
        <f t="shared" si="256"/>
        <v/>
      </c>
      <c r="AD1423">
        <f t="shared" si="257"/>
        <v>1.27016E-3</v>
      </c>
      <c r="AE1423" s="18" t="str">
        <f t="shared" si="258"/>
        <v/>
      </c>
      <c r="AF1423" s="7" t="str">
        <f t="shared" si="259"/>
        <v/>
      </c>
      <c r="AG1423" s="12">
        <f t="shared" si="260"/>
        <v>0.98877436131249308</v>
      </c>
      <c r="AI1423" s="54" t="str">
        <f t="shared" si="261"/>
        <v/>
      </c>
      <c r="AJ1423" s="54" t="str">
        <f t="shared" si="262"/>
        <v/>
      </c>
      <c r="AK1423" s="54">
        <f t="shared" si="263"/>
        <v>0.91616506414124521</v>
      </c>
    </row>
    <row r="1424" spans="18:37" x14ac:dyDescent="0.45">
      <c r="R1424" s="2">
        <v>31</v>
      </c>
      <c r="S1424" s="2">
        <v>5.9599999999999996E-4</v>
      </c>
      <c r="T1424" s="2">
        <v>3.5100000000000002E-4</v>
      </c>
      <c r="V1424" s="11"/>
      <c r="W1424" s="6"/>
      <c r="X1424" s="6">
        <v>14.05</v>
      </c>
      <c r="Y1424" s="11" t="str">
        <f t="shared" si="264"/>
        <v/>
      </c>
      <c r="Z1424" s="6" t="str">
        <f t="shared" si="265"/>
        <v/>
      </c>
      <c r="AA1424" s="23">
        <f t="shared" si="266"/>
        <v>44.05</v>
      </c>
      <c r="AB1424" t="str">
        <f t="shared" si="255"/>
        <v/>
      </c>
      <c r="AC1424" t="str">
        <f t="shared" si="256"/>
        <v/>
      </c>
      <c r="AD1424">
        <f t="shared" si="257"/>
        <v>1.2714499999999999E-3</v>
      </c>
      <c r="AE1424" s="18" t="str">
        <f t="shared" si="258"/>
        <v/>
      </c>
      <c r="AF1424" s="7" t="str">
        <f t="shared" si="259"/>
        <v/>
      </c>
      <c r="AG1424" s="12">
        <f t="shared" si="260"/>
        <v>0.98876180229606547</v>
      </c>
      <c r="AI1424" s="54" t="str">
        <f t="shared" si="261"/>
        <v/>
      </c>
      <c r="AJ1424" s="54" t="str">
        <f t="shared" si="262"/>
        <v/>
      </c>
      <c r="AK1424" s="54">
        <f t="shared" si="263"/>
        <v>0.91702135716350885</v>
      </c>
    </row>
    <row r="1425" spans="18:37" x14ac:dyDescent="0.45">
      <c r="R1425" s="2">
        <v>31.01</v>
      </c>
      <c r="S1425" s="2">
        <v>5.9613000000000005E-4</v>
      </c>
      <c r="T1425" s="2">
        <v>3.5125999999999999E-4</v>
      </c>
      <c r="V1425" s="11"/>
      <c r="W1425" s="6"/>
      <c r="X1425" s="6">
        <v>14.06</v>
      </c>
      <c r="Y1425" s="11" t="str">
        <f t="shared" si="264"/>
        <v/>
      </c>
      <c r="Z1425" s="6" t="str">
        <f t="shared" si="265"/>
        <v/>
      </c>
      <c r="AA1425" s="23">
        <f t="shared" si="266"/>
        <v>44.06</v>
      </c>
      <c r="AB1425" t="str">
        <f t="shared" si="255"/>
        <v/>
      </c>
      <c r="AC1425" t="str">
        <f t="shared" si="256"/>
        <v/>
      </c>
      <c r="AD1425">
        <f t="shared" si="257"/>
        <v>1.2727400000000001E-3</v>
      </c>
      <c r="AE1425" s="18" t="str">
        <f t="shared" si="258"/>
        <v/>
      </c>
      <c r="AF1425" s="7" t="str">
        <f t="shared" si="259"/>
        <v/>
      </c>
      <c r="AG1425" s="12">
        <f t="shared" si="260"/>
        <v>0.98874923068413023</v>
      </c>
      <c r="AI1425" s="54" t="str">
        <f t="shared" si="261"/>
        <v/>
      </c>
      <c r="AJ1425" s="54" t="str">
        <f t="shared" si="262"/>
        <v/>
      </c>
      <c r="AK1425" s="54">
        <f t="shared" si="263"/>
        <v>0.91787800250884843</v>
      </c>
    </row>
    <row r="1426" spans="18:37" x14ac:dyDescent="0.45">
      <c r="R1426" s="2">
        <v>31.02</v>
      </c>
      <c r="S1426" s="2">
        <v>5.9626000000000004E-4</v>
      </c>
      <c r="T1426" s="2">
        <v>3.5152000000000002E-4</v>
      </c>
      <c r="V1426" s="11"/>
      <c r="W1426" s="6"/>
      <c r="X1426" s="6">
        <v>14.07</v>
      </c>
      <c r="Y1426" s="11" t="str">
        <f t="shared" si="264"/>
        <v/>
      </c>
      <c r="Z1426" s="6" t="str">
        <f t="shared" si="265"/>
        <v/>
      </c>
      <c r="AA1426" s="23">
        <f t="shared" si="266"/>
        <v>44.07</v>
      </c>
      <c r="AB1426" t="str">
        <f t="shared" si="255"/>
        <v/>
      </c>
      <c r="AC1426" t="str">
        <f t="shared" si="256"/>
        <v/>
      </c>
      <c r="AD1426">
        <f t="shared" si="257"/>
        <v>1.27403E-3</v>
      </c>
      <c r="AE1426" s="18" t="str">
        <f t="shared" si="258"/>
        <v/>
      </c>
      <c r="AF1426" s="7" t="str">
        <f t="shared" si="259"/>
        <v/>
      </c>
      <c r="AG1426" s="12">
        <f t="shared" si="260"/>
        <v>0.98873664647717163</v>
      </c>
      <c r="AI1426" s="54" t="str">
        <f t="shared" si="261"/>
        <v/>
      </c>
      <c r="AJ1426" s="54" t="str">
        <f t="shared" si="262"/>
        <v/>
      </c>
      <c r="AK1426" s="54">
        <f t="shared" si="263"/>
        <v>0.91873500034476963</v>
      </c>
    </row>
    <row r="1427" spans="18:37" x14ac:dyDescent="0.45">
      <c r="R1427" s="2">
        <v>31.03</v>
      </c>
      <c r="S1427" s="2">
        <v>5.9639000000000003E-4</v>
      </c>
      <c r="T1427" s="2">
        <v>3.5178E-4</v>
      </c>
      <c r="V1427" s="11"/>
      <c r="W1427" s="6"/>
      <c r="X1427" s="6">
        <v>14.08</v>
      </c>
      <c r="Y1427" s="11" t="str">
        <f t="shared" si="264"/>
        <v/>
      </c>
      <c r="Z1427" s="6" t="str">
        <f t="shared" si="265"/>
        <v/>
      </c>
      <c r="AA1427" s="23">
        <f t="shared" si="266"/>
        <v>44.08</v>
      </c>
      <c r="AB1427" t="str">
        <f t="shared" ref="AB1427:AB1490" si="267">IF(Y1427="","",VLOOKUP(Y1427,Table_1,2))</f>
        <v/>
      </c>
      <c r="AC1427" t="str">
        <f t="shared" ref="AC1427:AC1490" si="268">IF(Z1427="","",VLOOKUP(Z1427,Table_2,2))</f>
        <v/>
      </c>
      <c r="AD1427">
        <f t="shared" ref="AD1427:AD1490" si="269">IF(AA1427="","",VLOOKUP(AA1427,Table_3,2))</f>
        <v>1.2753199999999999E-3</v>
      </c>
      <c r="AE1427" s="18" t="str">
        <f t="shared" si="258"/>
        <v/>
      </c>
      <c r="AF1427" s="7" t="str">
        <f t="shared" si="259"/>
        <v/>
      </c>
      <c r="AG1427" s="12">
        <f t="shared" si="260"/>
        <v>0.98872404967567451</v>
      </c>
      <c r="AI1427" s="54" t="str">
        <f t="shared" si="261"/>
        <v/>
      </c>
      <c r="AJ1427" s="54" t="str">
        <f t="shared" si="262"/>
        <v/>
      </c>
      <c r="AK1427" s="54">
        <f t="shared" si="263"/>
        <v>0.91959235083886093</v>
      </c>
    </row>
    <row r="1428" spans="18:37" x14ac:dyDescent="0.45">
      <c r="R1428" s="2">
        <v>31.04</v>
      </c>
      <c r="S1428" s="2">
        <v>5.9652000000000001E-4</v>
      </c>
      <c r="T1428" s="2">
        <v>3.5204000000000002E-4</v>
      </c>
      <c r="V1428" s="11"/>
      <c r="W1428" s="6"/>
      <c r="X1428" s="6">
        <v>14.09</v>
      </c>
      <c r="Y1428" s="11" t="str">
        <f t="shared" si="264"/>
        <v/>
      </c>
      <c r="Z1428" s="6" t="str">
        <f t="shared" si="265"/>
        <v/>
      </c>
      <c r="AA1428" s="23">
        <f t="shared" si="266"/>
        <v>44.09</v>
      </c>
      <c r="AB1428" t="str">
        <f t="shared" si="267"/>
        <v/>
      </c>
      <c r="AC1428" t="str">
        <f t="shared" si="268"/>
        <v/>
      </c>
      <c r="AD1428">
        <f t="shared" si="269"/>
        <v>1.2766100000000001E-3</v>
      </c>
      <c r="AE1428" s="18" t="str">
        <f t="shared" ref="AE1428:AE1491" si="270">IF(AB1428="","",AE1427+h_1*(-AE1427*AB1427))</f>
        <v/>
      </c>
      <c r="AF1428" s="7" t="str">
        <f t="shared" ref="AF1428:AF1491" si="271">IF(AC1428="","",AF1427+h_2*(-AF1427*AC1427))</f>
        <v/>
      </c>
      <c r="AG1428" s="12">
        <f t="shared" ref="AG1428:AG1491" si="272">IF(AD1428="","",AG1427+h_3*(-AG1427*AD1427))</f>
        <v>0.98871144028012414</v>
      </c>
      <c r="AI1428" s="54" t="str">
        <f t="shared" ref="AI1428:AI1491" si="273">IF(Y1428="","",AI1427+AI$17*(AI1427*delta+Prem1-AB1427*(1-AI1427)))</f>
        <v/>
      </c>
      <c r="AJ1428" s="54" t="str">
        <f t="shared" ref="AJ1428:AJ1491" si="274">IF(Z1428="","",AJ1427+AJ$17*(AJ1427*delta+Prem2-AC1427*(1-AJ1427)))</f>
        <v/>
      </c>
      <c r="AK1428" s="54">
        <f t="shared" ref="AK1428:AK1491" si="275">IF(AA1428="","",AK1427+AK$17*(AK1427*delta+Prem3-AD1427*(1-AK1427)))</f>
        <v>0.92045005415879366</v>
      </c>
    </row>
    <row r="1429" spans="18:37" x14ac:dyDescent="0.45">
      <c r="R1429" s="2">
        <v>31.05</v>
      </c>
      <c r="S1429" s="2">
        <v>5.9665E-4</v>
      </c>
      <c r="T1429" s="2">
        <v>3.523E-4</v>
      </c>
      <c r="V1429" s="11"/>
      <c r="W1429" s="6"/>
      <c r="X1429" s="6">
        <v>14.1</v>
      </c>
      <c r="Y1429" s="11" t="str">
        <f t="shared" ref="Y1429:Y1492" si="276">IF(ISBLANK(V1429),"",$Y$19+V1429)</f>
        <v/>
      </c>
      <c r="Z1429" s="6" t="str">
        <f t="shared" ref="Z1429:Z1492" si="277">IF(ISBLANK(W1429),"",$Y$19+W1429)</f>
        <v/>
      </c>
      <c r="AA1429" s="23">
        <f t="shared" ref="AA1429:AA1492" si="278">IF(ISBLANK(X1429),"",$Y$19+X1429)</f>
        <v>44.1</v>
      </c>
      <c r="AB1429" t="str">
        <f t="shared" si="267"/>
        <v/>
      </c>
      <c r="AC1429" t="str">
        <f t="shared" si="268"/>
        <v/>
      </c>
      <c r="AD1429">
        <f t="shared" si="269"/>
        <v>1.2779E-3</v>
      </c>
      <c r="AE1429" s="18" t="str">
        <f t="shared" si="270"/>
        <v/>
      </c>
      <c r="AF1429" s="7" t="str">
        <f t="shared" si="271"/>
        <v/>
      </c>
      <c r="AG1429" s="12">
        <f t="shared" si="272"/>
        <v>0.98869881829100636</v>
      </c>
      <c r="AI1429" s="54" t="str">
        <f t="shared" si="273"/>
        <v/>
      </c>
      <c r="AJ1429" s="54" t="str">
        <f t="shared" si="274"/>
        <v/>
      </c>
      <c r="AK1429" s="54">
        <f t="shared" si="275"/>
        <v>0.92130811047232208</v>
      </c>
    </row>
    <row r="1430" spans="18:37" x14ac:dyDescent="0.45">
      <c r="R1430" s="2">
        <v>31.06</v>
      </c>
      <c r="S1430" s="2">
        <v>5.9677999999999999E-4</v>
      </c>
      <c r="T1430" s="2">
        <v>3.5256000000000003E-4</v>
      </c>
      <c r="V1430" s="11"/>
      <c r="W1430" s="6"/>
      <c r="X1430" s="6">
        <v>14.11</v>
      </c>
      <c r="Y1430" s="11" t="str">
        <f t="shared" si="276"/>
        <v/>
      </c>
      <c r="Z1430" s="6" t="str">
        <f t="shared" si="277"/>
        <v/>
      </c>
      <c r="AA1430" s="23">
        <f t="shared" si="278"/>
        <v>44.11</v>
      </c>
      <c r="AB1430" t="str">
        <f t="shared" si="267"/>
        <v/>
      </c>
      <c r="AC1430" t="str">
        <f t="shared" si="268"/>
        <v/>
      </c>
      <c r="AD1430">
        <f t="shared" si="269"/>
        <v>1.2791899999999999E-3</v>
      </c>
      <c r="AE1430" s="18" t="str">
        <f t="shared" si="270"/>
        <v/>
      </c>
      <c r="AF1430" s="7" t="str">
        <f t="shared" si="271"/>
        <v/>
      </c>
      <c r="AG1430" s="12">
        <f t="shared" si="272"/>
        <v>0.98868618370880745</v>
      </c>
      <c r="AI1430" s="54" t="str">
        <f t="shared" si="273"/>
        <v/>
      </c>
      <c r="AJ1430" s="54" t="str">
        <f t="shared" si="274"/>
        <v/>
      </c>
      <c r="AK1430" s="54">
        <f t="shared" si="275"/>
        <v>0.92216651994728327</v>
      </c>
    </row>
    <row r="1431" spans="18:37" x14ac:dyDescent="0.45">
      <c r="R1431" s="2">
        <v>31.07</v>
      </c>
      <c r="S1431" s="2">
        <v>5.9690999999999998E-4</v>
      </c>
      <c r="T1431" s="2">
        <v>3.5282E-4</v>
      </c>
      <c r="V1431" s="11"/>
      <c r="W1431" s="6"/>
      <c r="X1431" s="6">
        <v>14.120000000000001</v>
      </c>
      <c r="Y1431" s="11" t="str">
        <f t="shared" si="276"/>
        <v/>
      </c>
      <c r="Z1431" s="6" t="str">
        <f t="shared" si="277"/>
        <v/>
      </c>
      <c r="AA1431" s="23">
        <f t="shared" si="278"/>
        <v>44.120000000000005</v>
      </c>
      <c r="AB1431" t="str">
        <f t="shared" si="267"/>
        <v/>
      </c>
      <c r="AC1431" t="str">
        <f t="shared" si="268"/>
        <v/>
      </c>
      <c r="AD1431">
        <f t="shared" si="269"/>
        <v>1.2804800000000001E-3</v>
      </c>
      <c r="AE1431" s="18" t="str">
        <f t="shared" si="270"/>
        <v/>
      </c>
      <c r="AF1431" s="7" t="str">
        <f t="shared" si="271"/>
        <v/>
      </c>
      <c r="AG1431" s="12">
        <f t="shared" si="272"/>
        <v>0.98867353653401402</v>
      </c>
      <c r="AI1431" s="54" t="str">
        <f t="shared" si="273"/>
        <v/>
      </c>
      <c r="AJ1431" s="54" t="str">
        <f t="shared" si="274"/>
        <v/>
      </c>
      <c r="AK1431" s="54">
        <f t="shared" si="275"/>
        <v>0.92302528275159723</v>
      </c>
    </row>
    <row r="1432" spans="18:37" x14ac:dyDescent="0.45">
      <c r="R1432" s="2">
        <v>31.08</v>
      </c>
      <c r="S1432" s="2">
        <v>5.9703999999999996E-4</v>
      </c>
      <c r="T1432" s="2">
        <v>3.5307999999999997E-4</v>
      </c>
      <c r="V1432" s="11"/>
      <c r="W1432" s="6"/>
      <c r="X1432" s="6">
        <v>14.13</v>
      </c>
      <c r="Y1432" s="11" t="str">
        <f t="shared" si="276"/>
        <v/>
      </c>
      <c r="Z1432" s="6" t="str">
        <f t="shared" si="277"/>
        <v/>
      </c>
      <c r="AA1432" s="23">
        <f t="shared" si="278"/>
        <v>44.13</v>
      </c>
      <c r="AB1432" t="str">
        <f t="shared" si="267"/>
        <v/>
      </c>
      <c r="AC1432" t="str">
        <f t="shared" si="268"/>
        <v/>
      </c>
      <c r="AD1432">
        <f t="shared" si="269"/>
        <v>1.28177E-3</v>
      </c>
      <c r="AE1432" s="18" t="str">
        <f t="shared" si="270"/>
        <v/>
      </c>
      <c r="AF1432" s="7" t="str">
        <f t="shared" si="271"/>
        <v/>
      </c>
      <c r="AG1432" s="12">
        <f t="shared" si="272"/>
        <v>0.98866087676711345</v>
      </c>
      <c r="AI1432" s="54" t="str">
        <f t="shared" si="273"/>
        <v/>
      </c>
      <c r="AJ1432" s="54" t="str">
        <f t="shared" si="274"/>
        <v/>
      </c>
      <c r="AK1432" s="54">
        <f t="shared" si="275"/>
        <v>0.92388439905326691</v>
      </c>
    </row>
    <row r="1433" spans="18:37" x14ac:dyDescent="0.45">
      <c r="R1433" s="2">
        <v>31.09</v>
      </c>
      <c r="S1433" s="2">
        <v>5.9716999999999995E-4</v>
      </c>
      <c r="T1433" s="2">
        <v>3.5334E-4</v>
      </c>
      <c r="V1433" s="11"/>
      <c r="W1433" s="6"/>
      <c r="X1433" s="6">
        <v>14.14</v>
      </c>
      <c r="Y1433" s="11" t="str">
        <f t="shared" si="276"/>
        <v/>
      </c>
      <c r="Z1433" s="6" t="str">
        <f t="shared" si="277"/>
        <v/>
      </c>
      <c r="AA1433" s="23">
        <f t="shared" si="278"/>
        <v>44.14</v>
      </c>
      <c r="AB1433" t="str">
        <f t="shared" si="267"/>
        <v/>
      </c>
      <c r="AC1433" t="str">
        <f t="shared" si="268"/>
        <v/>
      </c>
      <c r="AD1433">
        <f t="shared" si="269"/>
        <v>1.2830599999999999E-3</v>
      </c>
      <c r="AE1433" s="18" t="str">
        <f t="shared" si="270"/>
        <v/>
      </c>
      <c r="AF1433" s="7" t="str">
        <f t="shared" si="271"/>
        <v/>
      </c>
      <c r="AG1433" s="12">
        <f t="shared" si="272"/>
        <v>0.98864820440859336</v>
      </c>
      <c r="AI1433" s="54" t="str">
        <f t="shared" si="273"/>
        <v/>
      </c>
      <c r="AJ1433" s="54" t="str">
        <f t="shared" si="274"/>
        <v/>
      </c>
      <c r="AK1433" s="54">
        <f t="shared" si="275"/>
        <v>0.92474386902037842</v>
      </c>
    </row>
    <row r="1434" spans="18:37" x14ac:dyDescent="0.45">
      <c r="R1434" s="2">
        <v>31.1</v>
      </c>
      <c r="S1434" s="2">
        <v>5.9730000000000004E-4</v>
      </c>
      <c r="T1434" s="2">
        <v>3.5359999999999998E-4</v>
      </c>
      <c r="V1434" s="11"/>
      <c r="W1434" s="6"/>
      <c r="X1434" s="6">
        <v>14.15</v>
      </c>
      <c r="Y1434" s="11" t="str">
        <f t="shared" si="276"/>
        <v/>
      </c>
      <c r="Z1434" s="6" t="str">
        <f t="shared" si="277"/>
        <v/>
      </c>
      <c r="AA1434" s="23">
        <f t="shared" si="278"/>
        <v>44.15</v>
      </c>
      <c r="AB1434" t="str">
        <f t="shared" si="267"/>
        <v/>
      </c>
      <c r="AC1434" t="str">
        <f t="shared" si="268"/>
        <v/>
      </c>
      <c r="AD1434">
        <f t="shared" si="269"/>
        <v>1.2843500000000001E-3</v>
      </c>
      <c r="AE1434" s="18" t="str">
        <f t="shared" si="270"/>
        <v/>
      </c>
      <c r="AF1434" s="7" t="str">
        <f t="shared" si="271"/>
        <v/>
      </c>
      <c r="AG1434" s="12">
        <f t="shared" si="272"/>
        <v>0.9886355194589419</v>
      </c>
      <c r="AI1434" s="54" t="str">
        <f t="shared" si="273"/>
        <v/>
      </c>
      <c r="AJ1434" s="54" t="str">
        <f t="shared" si="274"/>
        <v/>
      </c>
      <c r="AK1434" s="54">
        <f t="shared" si="275"/>
        <v>0.92560369282110089</v>
      </c>
    </row>
    <row r="1435" spans="18:37" x14ac:dyDescent="0.45">
      <c r="R1435" s="2">
        <v>31.11</v>
      </c>
      <c r="S1435" s="2">
        <v>5.9743000000000003E-4</v>
      </c>
      <c r="T1435" s="2">
        <v>3.5386E-4</v>
      </c>
      <c r="V1435" s="11"/>
      <c r="W1435" s="6"/>
      <c r="X1435" s="6">
        <v>14.16</v>
      </c>
      <c r="Y1435" s="11" t="str">
        <f t="shared" si="276"/>
        <v/>
      </c>
      <c r="Z1435" s="6" t="str">
        <f t="shared" si="277"/>
        <v/>
      </c>
      <c r="AA1435" s="23">
        <f t="shared" si="278"/>
        <v>44.16</v>
      </c>
      <c r="AB1435" t="str">
        <f t="shared" si="267"/>
        <v/>
      </c>
      <c r="AC1435" t="str">
        <f t="shared" si="268"/>
        <v/>
      </c>
      <c r="AD1435">
        <f t="shared" si="269"/>
        <v>1.28564E-3</v>
      </c>
      <c r="AE1435" s="18" t="str">
        <f t="shared" si="270"/>
        <v/>
      </c>
      <c r="AF1435" s="7" t="str">
        <f t="shared" si="271"/>
        <v/>
      </c>
      <c r="AG1435" s="12">
        <f t="shared" si="272"/>
        <v>0.9886228219186477</v>
      </c>
      <c r="AI1435" s="54" t="str">
        <f t="shared" si="273"/>
        <v/>
      </c>
      <c r="AJ1435" s="54" t="str">
        <f t="shared" si="274"/>
        <v/>
      </c>
      <c r="AK1435" s="54">
        <f t="shared" si="275"/>
        <v>0.92646387062368663</v>
      </c>
    </row>
    <row r="1436" spans="18:37" x14ac:dyDescent="0.45">
      <c r="R1436" s="2">
        <v>31.12</v>
      </c>
      <c r="S1436" s="2">
        <v>5.9756000000000002E-4</v>
      </c>
      <c r="T1436" s="2">
        <v>3.5411999999999998E-4</v>
      </c>
      <c r="V1436" s="11"/>
      <c r="W1436" s="6"/>
      <c r="X1436" s="6">
        <v>14.17</v>
      </c>
      <c r="Y1436" s="11" t="str">
        <f t="shared" si="276"/>
        <v/>
      </c>
      <c r="Z1436" s="6" t="str">
        <f t="shared" si="277"/>
        <v/>
      </c>
      <c r="AA1436" s="23">
        <f t="shared" si="278"/>
        <v>44.17</v>
      </c>
      <c r="AB1436" t="str">
        <f t="shared" si="267"/>
        <v/>
      </c>
      <c r="AC1436" t="str">
        <f t="shared" si="268"/>
        <v/>
      </c>
      <c r="AD1436">
        <f t="shared" si="269"/>
        <v>1.2869299999999999E-3</v>
      </c>
      <c r="AE1436" s="18" t="str">
        <f t="shared" si="270"/>
        <v/>
      </c>
      <c r="AF1436" s="7" t="str">
        <f t="shared" si="271"/>
        <v/>
      </c>
      <c r="AG1436" s="12">
        <f t="shared" si="272"/>
        <v>0.98861011178820002</v>
      </c>
      <c r="AI1436" s="54" t="str">
        <f t="shared" si="273"/>
        <v/>
      </c>
      <c r="AJ1436" s="54" t="str">
        <f t="shared" si="274"/>
        <v/>
      </c>
      <c r="AK1436" s="54">
        <f t="shared" si="275"/>
        <v>0.92732440259647086</v>
      </c>
    </row>
    <row r="1437" spans="18:37" x14ac:dyDescent="0.45">
      <c r="R1437" s="2">
        <v>31.13</v>
      </c>
      <c r="S1437" s="2">
        <v>5.9769000000000001E-4</v>
      </c>
      <c r="T1437" s="2">
        <v>3.5438000000000001E-4</v>
      </c>
      <c r="V1437" s="11"/>
      <c r="W1437" s="6"/>
      <c r="X1437" s="6">
        <v>14.18</v>
      </c>
      <c r="Y1437" s="11" t="str">
        <f t="shared" si="276"/>
        <v/>
      </c>
      <c r="Z1437" s="6" t="str">
        <f t="shared" si="277"/>
        <v/>
      </c>
      <c r="AA1437" s="23">
        <f t="shared" si="278"/>
        <v>44.18</v>
      </c>
      <c r="AB1437" t="str">
        <f t="shared" si="267"/>
        <v/>
      </c>
      <c r="AC1437" t="str">
        <f t="shared" si="268"/>
        <v/>
      </c>
      <c r="AD1437">
        <f t="shared" si="269"/>
        <v>1.2882200000000001E-3</v>
      </c>
      <c r="AE1437" s="18" t="str">
        <f t="shared" si="270"/>
        <v/>
      </c>
      <c r="AF1437" s="7" t="str">
        <f t="shared" si="271"/>
        <v/>
      </c>
      <c r="AG1437" s="12">
        <f t="shared" si="272"/>
        <v>0.98859738906808836</v>
      </c>
      <c r="AI1437" s="54" t="str">
        <f t="shared" si="273"/>
        <v/>
      </c>
      <c r="AJ1437" s="54" t="str">
        <f t="shared" si="274"/>
        <v/>
      </c>
      <c r="AK1437" s="54">
        <f t="shared" si="275"/>
        <v>0.92818528890787233</v>
      </c>
    </row>
    <row r="1438" spans="18:37" x14ac:dyDescent="0.45">
      <c r="R1438" s="2">
        <v>31.14</v>
      </c>
      <c r="S1438" s="2">
        <v>5.9781999999999999E-4</v>
      </c>
      <c r="T1438" s="2">
        <v>3.5463999999999998E-4</v>
      </c>
      <c r="V1438" s="11"/>
      <c r="W1438" s="6"/>
      <c r="X1438" s="6">
        <v>14.19</v>
      </c>
      <c r="Y1438" s="11" t="str">
        <f t="shared" si="276"/>
        <v/>
      </c>
      <c r="Z1438" s="6" t="str">
        <f t="shared" si="277"/>
        <v/>
      </c>
      <c r="AA1438" s="23">
        <f t="shared" si="278"/>
        <v>44.19</v>
      </c>
      <c r="AB1438" t="str">
        <f t="shared" si="267"/>
        <v/>
      </c>
      <c r="AC1438" t="str">
        <f t="shared" si="268"/>
        <v/>
      </c>
      <c r="AD1438">
        <f t="shared" si="269"/>
        <v>1.28951E-3</v>
      </c>
      <c r="AE1438" s="18" t="str">
        <f t="shared" si="270"/>
        <v/>
      </c>
      <c r="AF1438" s="7" t="str">
        <f t="shared" si="271"/>
        <v/>
      </c>
      <c r="AG1438" s="12">
        <f t="shared" si="272"/>
        <v>0.98858465375880289</v>
      </c>
      <c r="AI1438" s="54" t="str">
        <f t="shared" si="273"/>
        <v/>
      </c>
      <c r="AJ1438" s="54" t="str">
        <f t="shared" si="274"/>
        <v/>
      </c>
      <c r="AK1438" s="54">
        <f t="shared" si="275"/>
        <v>0.92904652972639279</v>
      </c>
    </row>
    <row r="1439" spans="18:37" x14ac:dyDescent="0.45">
      <c r="R1439" s="2">
        <v>31.15</v>
      </c>
      <c r="S1439" s="2">
        <v>5.9794999999999998E-4</v>
      </c>
      <c r="T1439" s="2">
        <v>3.5490000000000001E-4</v>
      </c>
      <c r="V1439" s="11"/>
      <c r="W1439" s="6"/>
      <c r="X1439" s="6">
        <v>14.200000000000001</v>
      </c>
      <c r="Y1439" s="11" t="str">
        <f t="shared" si="276"/>
        <v/>
      </c>
      <c r="Z1439" s="6" t="str">
        <f t="shared" si="277"/>
        <v/>
      </c>
      <c r="AA1439" s="23">
        <f t="shared" si="278"/>
        <v>44.2</v>
      </c>
      <c r="AB1439" t="str">
        <f t="shared" si="267"/>
        <v/>
      </c>
      <c r="AC1439" t="str">
        <f t="shared" si="268"/>
        <v/>
      </c>
      <c r="AD1439">
        <f t="shared" si="269"/>
        <v>1.2907999999999999E-3</v>
      </c>
      <c r="AE1439" s="18" t="str">
        <f t="shared" si="270"/>
        <v/>
      </c>
      <c r="AF1439" s="7" t="str">
        <f t="shared" si="271"/>
        <v/>
      </c>
      <c r="AG1439" s="12">
        <f t="shared" si="272"/>
        <v>0.98857190586083421</v>
      </c>
      <c r="AI1439" s="54" t="str">
        <f t="shared" si="273"/>
        <v/>
      </c>
      <c r="AJ1439" s="54" t="str">
        <f t="shared" si="274"/>
        <v/>
      </c>
      <c r="AK1439" s="54">
        <f t="shared" si="275"/>
        <v>0.92990812522061728</v>
      </c>
    </row>
    <row r="1440" spans="18:37" x14ac:dyDescent="0.45">
      <c r="R1440" s="2">
        <v>31.16</v>
      </c>
      <c r="S1440" s="2">
        <v>5.9807999999999997E-4</v>
      </c>
      <c r="T1440" s="2">
        <v>3.5515999999999998E-4</v>
      </c>
      <c r="V1440" s="11"/>
      <c r="W1440" s="6"/>
      <c r="X1440" s="6">
        <v>14.21</v>
      </c>
      <c r="Y1440" s="11" t="str">
        <f t="shared" si="276"/>
        <v/>
      </c>
      <c r="Z1440" s="6" t="str">
        <f t="shared" si="277"/>
        <v/>
      </c>
      <c r="AA1440" s="23">
        <f t="shared" si="278"/>
        <v>44.21</v>
      </c>
      <c r="AB1440" t="str">
        <f t="shared" si="267"/>
        <v/>
      </c>
      <c r="AC1440" t="str">
        <f t="shared" si="268"/>
        <v/>
      </c>
      <c r="AD1440">
        <f t="shared" si="269"/>
        <v>1.2920900000000001E-3</v>
      </c>
      <c r="AE1440" s="18" t="str">
        <f t="shared" si="270"/>
        <v/>
      </c>
      <c r="AF1440" s="7" t="str">
        <f t="shared" si="271"/>
        <v/>
      </c>
      <c r="AG1440" s="12">
        <f t="shared" si="272"/>
        <v>0.98855914537467338</v>
      </c>
      <c r="AI1440" s="54" t="str">
        <f t="shared" si="273"/>
        <v/>
      </c>
      <c r="AJ1440" s="54" t="str">
        <f t="shared" si="274"/>
        <v/>
      </c>
      <c r="AK1440" s="54">
        <f t="shared" si="275"/>
        <v>0.93077007555921432</v>
      </c>
    </row>
    <row r="1441" spans="18:37" x14ac:dyDescent="0.45">
      <c r="R1441" s="2">
        <v>31.17</v>
      </c>
      <c r="S1441" s="2">
        <v>5.9820999999999995E-4</v>
      </c>
      <c r="T1441" s="2">
        <v>3.5542000000000001E-4</v>
      </c>
      <c r="V1441" s="11"/>
      <c r="W1441" s="6"/>
      <c r="X1441" s="6">
        <v>14.22</v>
      </c>
      <c r="Y1441" s="11" t="str">
        <f t="shared" si="276"/>
        <v/>
      </c>
      <c r="Z1441" s="6" t="str">
        <f t="shared" si="277"/>
        <v/>
      </c>
      <c r="AA1441" s="23">
        <f t="shared" si="278"/>
        <v>44.22</v>
      </c>
      <c r="AB1441" t="str">
        <f t="shared" si="267"/>
        <v/>
      </c>
      <c r="AC1441" t="str">
        <f t="shared" si="268"/>
        <v/>
      </c>
      <c r="AD1441">
        <f t="shared" si="269"/>
        <v>1.29338E-3</v>
      </c>
      <c r="AE1441" s="18" t="str">
        <f t="shared" si="270"/>
        <v/>
      </c>
      <c r="AF1441" s="7" t="str">
        <f t="shared" si="271"/>
        <v/>
      </c>
      <c r="AG1441" s="12">
        <f t="shared" si="272"/>
        <v>0.98854637230081188</v>
      </c>
      <c r="AI1441" s="54" t="str">
        <f t="shared" si="273"/>
        <v/>
      </c>
      <c r="AJ1441" s="54" t="str">
        <f t="shared" si="274"/>
        <v/>
      </c>
      <c r="AK1441" s="54">
        <f t="shared" si="275"/>
        <v>0.93163238091093581</v>
      </c>
    </row>
    <row r="1442" spans="18:37" x14ac:dyDescent="0.45">
      <c r="R1442" s="2">
        <v>31.18</v>
      </c>
      <c r="S1442" s="2">
        <v>5.9834000000000005E-4</v>
      </c>
      <c r="T1442" s="2">
        <v>3.5567999999999998E-4</v>
      </c>
      <c r="V1442" s="11"/>
      <c r="W1442" s="6"/>
      <c r="X1442" s="6">
        <v>14.23</v>
      </c>
      <c r="Y1442" s="11" t="str">
        <f t="shared" si="276"/>
        <v/>
      </c>
      <c r="Z1442" s="6" t="str">
        <f t="shared" si="277"/>
        <v/>
      </c>
      <c r="AA1442" s="23">
        <f t="shared" si="278"/>
        <v>44.230000000000004</v>
      </c>
      <c r="AB1442" t="str">
        <f t="shared" si="267"/>
        <v/>
      </c>
      <c r="AC1442" t="str">
        <f t="shared" si="268"/>
        <v/>
      </c>
      <c r="AD1442">
        <f t="shared" si="269"/>
        <v>1.2946699999999999E-3</v>
      </c>
      <c r="AE1442" s="18" t="str">
        <f t="shared" si="270"/>
        <v/>
      </c>
      <c r="AF1442" s="7" t="str">
        <f t="shared" si="271"/>
        <v/>
      </c>
      <c r="AG1442" s="12">
        <f t="shared" si="272"/>
        <v>0.98853358663974178</v>
      </c>
      <c r="AI1442" s="54" t="str">
        <f t="shared" si="273"/>
        <v/>
      </c>
      <c r="AJ1442" s="54" t="str">
        <f t="shared" si="274"/>
        <v/>
      </c>
      <c r="AK1442" s="54">
        <f t="shared" si="275"/>
        <v>0.93249504144461692</v>
      </c>
    </row>
    <row r="1443" spans="18:37" x14ac:dyDescent="0.45">
      <c r="R1443" s="2">
        <v>31.19</v>
      </c>
      <c r="S1443" s="2">
        <v>5.9847000000000003E-4</v>
      </c>
      <c r="T1443" s="2">
        <v>3.5594000000000001E-4</v>
      </c>
      <c r="V1443" s="11"/>
      <c r="W1443" s="6"/>
      <c r="X1443" s="6">
        <v>14.24</v>
      </c>
      <c r="Y1443" s="11" t="str">
        <f t="shared" si="276"/>
        <v/>
      </c>
      <c r="Z1443" s="6" t="str">
        <f t="shared" si="277"/>
        <v/>
      </c>
      <c r="AA1443" s="23">
        <f t="shared" si="278"/>
        <v>44.24</v>
      </c>
      <c r="AB1443" t="str">
        <f t="shared" si="267"/>
        <v/>
      </c>
      <c r="AC1443" t="str">
        <f t="shared" si="268"/>
        <v/>
      </c>
      <c r="AD1443">
        <f t="shared" si="269"/>
        <v>1.2959600000000001E-3</v>
      </c>
      <c r="AE1443" s="18" t="str">
        <f t="shared" si="270"/>
        <v/>
      </c>
      <c r="AF1443" s="7" t="str">
        <f t="shared" si="271"/>
        <v/>
      </c>
      <c r="AG1443" s="12">
        <f t="shared" si="272"/>
        <v>0.98852078839195567</v>
      </c>
      <c r="AI1443" s="54" t="str">
        <f t="shared" si="273"/>
        <v/>
      </c>
      <c r="AJ1443" s="54" t="str">
        <f t="shared" si="274"/>
        <v/>
      </c>
      <c r="AK1443" s="54">
        <f t="shared" si="275"/>
        <v>0.93335805732917632</v>
      </c>
    </row>
    <row r="1444" spans="18:37" x14ac:dyDescent="0.45">
      <c r="R1444" s="2">
        <v>31.2</v>
      </c>
      <c r="S1444" s="2">
        <v>5.9860000000000002E-4</v>
      </c>
      <c r="T1444" s="2">
        <v>3.5619999999999998E-4</v>
      </c>
      <c r="V1444" s="11"/>
      <c r="W1444" s="6"/>
      <c r="X1444" s="6">
        <v>14.25</v>
      </c>
      <c r="Y1444" s="11" t="str">
        <f t="shared" si="276"/>
        <v/>
      </c>
      <c r="Z1444" s="6" t="str">
        <f t="shared" si="277"/>
        <v/>
      </c>
      <c r="AA1444" s="23">
        <f t="shared" si="278"/>
        <v>44.25</v>
      </c>
      <c r="AB1444" t="str">
        <f t="shared" si="267"/>
        <v/>
      </c>
      <c r="AC1444" t="str">
        <f t="shared" si="268"/>
        <v/>
      </c>
      <c r="AD1444">
        <f t="shared" si="269"/>
        <v>1.29725E-3</v>
      </c>
      <c r="AE1444" s="18" t="str">
        <f t="shared" si="270"/>
        <v/>
      </c>
      <c r="AF1444" s="7" t="str">
        <f t="shared" si="271"/>
        <v/>
      </c>
      <c r="AG1444" s="12">
        <f t="shared" si="272"/>
        <v>0.98850797755794639</v>
      </c>
      <c r="AI1444" s="54" t="str">
        <f t="shared" si="273"/>
        <v/>
      </c>
      <c r="AJ1444" s="54" t="str">
        <f t="shared" si="274"/>
        <v/>
      </c>
      <c r="AK1444" s="54">
        <f t="shared" si="275"/>
        <v>0.93422142873361624</v>
      </c>
    </row>
    <row r="1445" spans="18:37" x14ac:dyDescent="0.45">
      <c r="R1445" s="2">
        <v>31.21</v>
      </c>
      <c r="S1445" s="2">
        <v>5.9873000000000001E-4</v>
      </c>
      <c r="T1445" s="2">
        <v>3.5646000000000001E-4</v>
      </c>
      <c r="V1445" s="11"/>
      <c r="W1445" s="6"/>
      <c r="X1445" s="6">
        <v>14.26</v>
      </c>
      <c r="Y1445" s="11" t="str">
        <f t="shared" si="276"/>
        <v/>
      </c>
      <c r="Z1445" s="6" t="str">
        <f t="shared" si="277"/>
        <v/>
      </c>
      <c r="AA1445" s="23">
        <f t="shared" si="278"/>
        <v>44.26</v>
      </c>
      <c r="AB1445" t="str">
        <f t="shared" si="267"/>
        <v/>
      </c>
      <c r="AC1445" t="str">
        <f t="shared" si="268"/>
        <v/>
      </c>
      <c r="AD1445">
        <f t="shared" si="269"/>
        <v>1.2985399999999999E-3</v>
      </c>
      <c r="AE1445" s="18" t="str">
        <f t="shared" si="270"/>
        <v/>
      </c>
      <c r="AF1445" s="7" t="str">
        <f t="shared" si="271"/>
        <v/>
      </c>
      <c r="AG1445" s="12">
        <f t="shared" si="272"/>
        <v>0.98849515413820754</v>
      </c>
      <c r="AI1445" s="54" t="str">
        <f t="shared" si="273"/>
        <v/>
      </c>
      <c r="AJ1445" s="54" t="str">
        <f t="shared" si="274"/>
        <v/>
      </c>
      <c r="AK1445" s="54">
        <f t="shared" si="275"/>
        <v>0.93508515582702245</v>
      </c>
    </row>
    <row r="1446" spans="18:37" x14ac:dyDescent="0.45">
      <c r="R1446" s="2">
        <v>31.22</v>
      </c>
      <c r="S1446" s="2">
        <v>5.9886E-4</v>
      </c>
      <c r="T1446" s="2">
        <v>3.5671999999999999E-4</v>
      </c>
      <c r="V1446" s="11"/>
      <c r="W1446" s="6"/>
      <c r="X1446" s="6">
        <v>14.27</v>
      </c>
      <c r="Y1446" s="11" t="str">
        <f t="shared" si="276"/>
        <v/>
      </c>
      <c r="Z1446" s="6" t="str">
        <f t="shared" si="277"/>
        <v/>
      </c>
      <c r="AA1446" s="23">
        <f t="shared" si="278"/>
        <v>44.269999999999996</v>
      </c>
      <c r="AB1446" t="str">
        <f t="shared" si="267"/>
        <v/>
      </c>
      <c r="AC1446" t="str">
        <f t="shared" si="268"/>
        <v/>
      </c>
      <c r="AD1446">
        <f t="shared" si="269"/>
        <v>1.2985399999999999E-3</v>
      </c>
      <c r="AE1446" s="18" t="str">
        <f t="shared" si="270"/>
        <v/>
      </c>
      <c r="AF1446" s="7" t="str">
        <f t="shared" si="271"/>
        <v/>
      </c>
      <c r="AG1446" s="12">
        <f t="shared" si="272"/>
        <v>0.98848231813323295</v>
      </c>
      <c r="AI1446" s="54" t="str">
        <f t="shared" si="273"/>
        <v/>
      </c>
      <c r="AJ1446" s="54" t="str">
        <f t="shared" si="274"/>
        <v/>
      </c>
      <c r="AK1446" s="54">
        <f t="shared" si="275"/>
        <v>0.93594923877856429</v>
      </c>
    </row>
    <row r="1447" spans="18:37" x14ac:dyDescent="0.45">
      <c r="R1447" s="2">
        <v>31.23</v>
      </c>
      <c r="S1447" s="2">
        <v>5.9898999999999998E-4</v>
      </c>
      <c r="T1447" s="2">
        <v>3.5698000000000001E-4</v>
      </c>
      <c r="V1447" s="11"/>
      <c r="W1447" s="6"/>
      <c r="X1447" s="6">
        <v>14.280000000000001</v>
      </c>
      <c r="Y1447" s="11" t="str">
        <f t="shared" si="276"/>
        <v/>
      </c>
      <c r="Z1447" s="6" t="str">
        <f t="shared" si="277"/>
        <v/>
      </c>
      <c r="AA1447" s="23">
        <f t="shared" si="278"/>
        <v>44.28</v>
      </c>
      <c r="AB1447" t="str">
        <f t="shared" si="267"/>
        <v/>
      </c>
      <c r="AC1447" t="str">
        <f t="shared" si="268"/>
        <v/>
      </c>
      <c r="AD1447">
        <f t="shared" si="269"/>
        <v>1.30112E-3</v>
      </c>
      <c r="AE1447" s="18" t="str">
        <f t="shared" si="270"/>
        <v/>
      </c>
      <c r="AF1447" s="7" t="str">
        <f t="shared" si="271"/>
        <v/>
      </c>
      <c r="AG1447" s="12">
        <f t="shared" si="272"/>
        <v>0.98846948229493903</v>
      </c>
      <c r="AI1447" s="54" t="str">
        <f t="shared" si="273"/>
        <v/>
      </c>
      <c r="AJ1447" s="54" t="str">
        <f t="shared" si="274"/>
        <v/>
      </c>
      <c r="AK1447" s="54">
        <f t="shared" si="275"/>
        <v>0.93681367858374942</v>
      </c>
    </row>
    <row r="1448" spans="18:37" x14ac:dyDescent="0.45">
      <c r="R1448" s="2">
        <v>31.24</v>
      </c>
      <c r="S1448" s="2">
        <v>5.9911999999999997E-4</v>
      </c>
      <c r="T1448" s="2">
        <v>3.5723999999999999E-4</v>
      </c>
      <c r="V1448" s="11"/>
      <c r="W1448" s="6"/>
      <c r="X1448" s="6">
        <v>14.290000000000001</v>
      </c>
      <c r="Y1448" s="11" t="str">
        <f t="shared" si="276"/>
        <v/>
      </c>
      <c r="Z1448" s="6" t="str">
        <f t="shared" si="277"/>
        <v/>
      </c>
      <c r="AA1448" s="23">
        <f t="shared" si="278"/>
        <v>44.29</v>
      </c>
      <c r="AB1448" t="str">
        <f t="shared" si="267"/>
        <v/>
      </c>
      <c r="AC1448" t="str">
        <f t="shared" si="268"/>
        <v/>
      </c>
      <c r="AD1448">
        <f t="shared" si="269"/>
        <v>1.3024099999999999E-3</v>
      </c>
      <c r="AE1448" s="18" t="str">
        <f t="shared" si="270"/>
        <v/>
      </c>
      <c r="AF1448" s="7" t="str">
        <f t="shared" si="271"/>
        <v/>
      </c>
      <c r="AG1448" s="12">
        <f t="shared" si="272"/>
        <v>0.98845662112081101</v>
      </c>
      <c r="AI1448" s="54" t="str">
        <f t="shared" si="273"/>
        <v/>
      </c>
      <c r="AJ1448" s="54" t="str">
        <f t="shared" si="274"/>
        <v/>
      </c>
      <c r="AK1448" s="54">
        <f t="shared" si="275"/>
        <v>0.93767847375974622</v>
      </c>
    </row>
    <row r="1449" spans="18:37" x14ac:dyDescent="0.45">
      <c r="R1449" s="2">
        <v>31.25</v>
      </c>
      <c r="S1449" s="2">
        <v>5.9924999999999996E-4</v>
      </c>
      <c r="T1449" s="2">
        <v>3.5750000000000002E-4</v>
      </c>
      <c r="V1449" s="11"/>
      <c r="W1449" s="6"/>
      <c r="X1449" s="6">
        <v>14.3</v>
      </c>
      <c r="Y1449" s="11" t="str">
        <f t="shared" si="276"/>
        <v/>
      </c>
      <c r="Z1449" s="6" t="str">
        <f t="shared" si="277"/>
        <v/>
      </c>
      <c r="AA1449" s="23">
        <f t="shared" si="278"/>
        <v>44.3</v>
      </c>
      <c r="AB1449" t="str">
        <f t="shared" si="267"/>
        <v/>
      </c>
      <c r="AC1449" t="str">
        <f t="shared" si="268"/>
        <v/>
      </c>
      <c r="AD1449">
        <f t="shared" si="269"/>
        <v>1.3037000000000001E-3</v>
      </c>
      <c r="AE1449" s="18" t="str">
        <f t="shared" si="270"/>
        <v/>
      </c>
      <c r="AF1449" s="7" t="str">
        <f t="shared" si="271"/>
        <v/>
      </c>
      <c r="AG1449" s="12">
        <f t="shared" si="272"/>
        <v>0.98844374736293183</v>
      </c>
      <c r="AI1449" s="54" t="str">
        <f t="shared" si="273"/>
        <v/>
      </c>
      <c r="AJ1449" s="54" t="str">
        <f t="shared" si="274"/>
        <v/>
      </c>
      <c r="AK1449" s="54">
        <f t="shared" si="275"/>
        <v>0.93854362530188873</v>
      </c>
    </row>
    <row r="1450" spans="18:37" x14ac:dyDescent="0.45">
      <c r="R1450" s="2">
        <v>31.26</v>
      </c>
      <c r="S1450" s="2">
        <v>5.9938000000000005E-4</v>
      </c>
      <c r="T1450" s="2">
        <v>3.5775999999999999E-4</v>
      </c>
      <c r="V1450" s="11"/>
      <c r="W1450" s="6"/>
      <c r="X1450" s="6">
        <v>14.31</v>
      </c>
      <c r="Y1450" s="11" t="str">
        <f t="shared" si="276"/>
        <v/>
      </c>
      <c r="Z1450" s="6" t="str">
        <f t="shared" si="277"/>
        <v/>
      </c>
      <c r="AA1450" s="23">
        <f t="shared" si="278"/>
        <v>44.31</v>
      </c>
      <c r="AB1450" t="str">
        <f t="shared" si="267"/>
        <v/>
      </c>
      <c r="AC1450" t="str">
        <f t="shared" si="268"/>
        <v/>
      </c>
      <c r="AD1450">
        <f t="shared" si="269"/>
        <v>1.30499E-3</v>
      </c>
      <c r="AE1450" s="18" t="str">
        <f t="shared" si="270"/>
        <v/>
      </c>
      <c r="AF1450" s="7" t="str">
        <f t="shared" si="271"/>
        <v/>
      </c>
      <c r="AG1450" s="12">
        <f t="shared" si="272"/>
        <v>0.98843086102179745</v>
      </c>
      <c r="AI1450" s="54" t="str">
        <f t="shared" si="273"/>
        <v/>
      </c>
      <c r="AJ1450" s="54" t="str">
        <f t="shared" si="274"/>
        <v/>
      </c>
      <c r="AK1450" s="54">
        <f t="shared" si="275"/>
        <v>0.93940913337968102</v>
      </c>
    </row>
    <row r="1451" spans="18:37" x14ac:dyDescent="0.45">
      <c r="R1451" s="2">
        <v>31.27</v>
      </c>
      <c r="S1451" s="2">
        <v>5.9951000000000004E-4</v>
      </c>
      <c r="T1451" s="2">
        <v>3.5802000000000002E-4</v>
      </c>
      <c r="V1451" s="11"/>
      <c r="W1451" s="6"/>
      <c r="X1451" s="6">
        <v>14.32</v>
      </c>
      <c r="Y1451" s="11" t="str">
        <f t="shared" si="276"/>
        <v/>
      </c>
      <c r="Z1451" s="6" t="str">
        <f t="shared" si="277"/>
        <v/>
      </c>
      <c r="AA1451" s="23">
        <f t="shared" si="278"/>
        <v>44.32</v>
      </c>
      <c r="AB1451" t="str">
        <f t="shared" si="267"/>
        <v/>
      </c>
      <c r="AC1451" t="str">
        <f t="shared" si="268"/>
        <v/>
      </c>
      <c r="AD1451">
        <f t="shared" si="269"/>
        <v>1.3062799999999999E-3</v>
      </c>
      <c r="AE1451" s="18" t="str">
        <f t="shared" si="270"/>
        <v/>
      </c>
      <c r="AF1451" s="7" t="str">
        <f t="shared" si="271"/>
        <v/>
      </c>
      <c r="AG1451" s="12">
        <f t="shared" si="272"/>
        <v>0.98841796209790422</v>
      </c>
      <c r="AI1451" s="54" t="str">
        <f t="shared" si="273"/>
        <v/>
      </c>
      <c r="AJ1451" s="54" t="str">
        <f t="shared" si="274"/>
        <v/>
      </c>
      <c r="AK1451" s="54">
        <f t="shared" si="275"/>
        <v>0.9402749981627111</v>
      </c>
    </row>
    <row r="1452" spans="18:37" x14ac:dyDescent="0.45">
      <c r="R1452" s="2">
        <v>31.28</v>
      </c>
      <c r="S1452" s="2">
        <v>5.9964000000000003E-4</v>
      </c>
      <c r="T1452" s="2">
        <v>3.5827999999999999E-4</v>
      </c>
      <c r="V1452" s="11"/>
      <c r="W1452" s="6"/>
      <c r="X1452" s="6">
        <v>14.33</v>
      </c>
      <c r="Y1452" s="11" t="str">
        <f t="shared" si="276"/>
        <v/>
      </c>
      <c r="Z1452" s="6" t="str">
        <f t="shared" si="277"/>
        <v/>
      </c>
      <c r="AA1452" s="23">
        <f t="shared" si="278"/>
        <v>44.33</v>
      </c>
      <c r="AB1452" t="str">
        <f t="shared" si="267"/>
        <v/>
      </c>
      <c r="AC1452" t="str">
        <f t="shared" si="268"/>
        <v/>
      </c>
      <c r="AD1452">
        <f t="shared" si="269"/>
        <v>1.3075700000000001E-3</v>
      </c>
      <c r="AE1452" s="18" t="str">
        <f t="shared" si="270"/>
        <v/>
      </c>
      <c r="AF1452" s="7" t="str">
        <f t="shared" si="271"/>
        <v/>
      </c>
      <c r="AG1452" s="12">
        <f t="shared" si="272"/>
        <v>0.98840505059174888</v>
      </c>
      <c r="AI1452" s="54" t="str">
        <f t="shared" si="273"/>
        <v/>
      </c>
      <c r="AJ1452" s="54" t="str">
        <f t="shared" si="274"/>
        <v/>
      </c>
      <c r="AK1452" s="54">
        <f t="shared" si="275"/>
        <v>0.94114121982065069</v>
      </c>
    </row>
    <row r="1453" spans="18:37" x14ac:dyDescent="0.45">
      <c r="R1453" s="2">
        <v>31.29</v>
      </c>
      <c r="S1453" s="2">
        <v>5.9977000000000001E-4</v>
      </c>
      <c r="T1453" s="2">
        <v>3.5854000000000002E-4</v>
      </c>
      <c r="V1453" s="11"/>
      <c r="W1453" s="6"/>
      <c r="X1453" s="6">
        <v>14.34</v>
      </c>
      <c r="Y1453" s="11" t="str">
        <f t="shared" si="276"/>
        <v/>
      </c>
      <c r="Z1453" s="6" t="str">
        <f t="shared" si="277"/>
        <v/>
      </c>
      <c r="AA1453" s="23">
        <f t="shared" si="278"/>
        <v>44.34</v>
      </c>
      <c r="AB1453" t="str">
        <f t="shared" si="267"/>
        <v/>
      </c>
      <c r="AC1453" t="str">
        <f t="shared" si="268"/>
        <v/>
      </c>
      <c r="AD1453">
        <f t="shared" si="269"/>
        <v>1.30886E-3</v>
      </c>
      <c r="AE1453" s="18" t="str">
        <f t="shared" si="270"/>
        <v/>
      </c>
      <c r="AF1453" s="7" t="str">
        <f t="shared" si="271"/>
        <v/>
      </c>
      <c r="AG1453" s="12">
        <f t="shared" si="272"/>
        <v>0.98839212650382891</v>
      </c>
      <c r="AI1453" s="54" t="str">
        <f t="shared" si="273"/>
        <v/>
      </c>
      <c r="AJ1453" s="54" t="str">
        <f t="shared" si="274"/>
        <v/>
      </c>
      <c r="AK1453" s="54">
        <f t="shared" si="275"/>
        <v>0.94200779852325545</v>
      </c>
    </row>
    <row r="1454" spans="18:37" x14ac:dyDescent="0.45">
      <c r="R1454" s="2">
        <v>31.3</v>
      </c>
      <c r="S1454" s="2">
        <v>5.999E-4</v>
      </c>
      <c r="T1454" s="2">
        <v>3.5879999999999999E-4</v>
      </c>
      <c r="V1454" s="11"/>
      <c r="W1454" s="6"/>
      <c r="X1454" s="6">
        <v>14.35</v>
      </c>
      <c r="Y1454" s="11" t="str">
        <f t="shared" si="276"/>
        <v/>
      </c>
      <c r="Z1454" s="6" t="str">
        <f t="shared" si="277"/>
        <v/>
      </c>
      <c r="AA1454" s="23">
        <f t="shared" si="278"/>
        <v>44.35</v>
      </c>
      <c r="AB1454" t="str">
        <f t="shared" si="267"/>
        <v/>
      </c>
      <c r="AC1454" t="str">
        <f t="shared" si="268"/>
        <v/>
      </c>
      <c r="AD1454">
        <f t="shared" si="269"/>
        <v>1.3101499999999999E-3</v>
      </c>
      <c r="AE1454" s="18" t="str">
        <f t="shared" si="270"/>
        <v/>
      </c>
      <c r="AF1454" s="7" t="str">
        <f t="shared" si="271"/>
        <v/>
      </c>
      <c r="AG1454" s="12">
        <f t="shared" si="272"/>
        <v>0.9883791898346419</v>
      </c>
      <c r="AI1454" s="54" t="str">
        <f t="shared" si="273"/>
        <v/>
      </c>
      <c r="AJ1454" s="54" t="str">
        <f t="shared" si="274"/>
        <v/>
      </c>
      <c r="AK1454" s="54">
        <f t="shared" si="275"/>
        <v>0.94287473444036496</v>
      </c>
    </row>
    <row r="1455" spans="18:37" x14ac:dyDescent="0.45">
      <c r="R1455" s="2">
        <v>31.31</v>
      </c>
      <c r="S1455" s="2">
        <v>6.0002999999999999E-4</v>
      </c>
      <c r="T1455" s="2">
        <v>3.5906000000000002E-4</v>
      </c>
      <c r="V1455" s="11"/>
      <c r="W1455" s="6"/>
      <c r="X1455" s="6">
        <v>14.36</v>
      </c>
      <c r="Y1455" s="11" t="str">
        <f t="shared" si="276"/>
        <v/>
      </c>
      <c r="Z1455" s="6" t="str">
        <f t="shared" si="277"/>
        <v/>
      </c>
      <c r="AA1455" s="23">
        <f t="shared" si="278"/>
        <v>44.36</v>
      </c>
      <c r="AB1455" t="str">
        <f t="shared" si="267"/>
        <v/>
      </c>
      <c r="AC1455" t="str">
        <f t="shared" si="268"/>
        <v/>
      </c>
      <c r="AD1455">
        <f t="shared" si="269"/>
        <v>1.3114400000000001E-3</v>
      </c>
      <c r="AE1455" s="18" t="str">
        <f t="shared" si="270"/>
        <v/>
      </c>
      <c r="AF1455" s="7" t="str">
        <f t="shared" si="271"/>
        <v/>
      </c>
      <c r="AG1455" s="12">
        <f t="shared" si="272"/>
        <v>0.98836624058468625</v>
      </c>
      <c r="AI1455" s="54" t="str">
        <f t="shared" si="273"/>
        <v/>
      </c>
      <c r="AJ1455" s="54" t="str">
        <f t="shared" si="274"/>
        <v/>
      </c>
      <c r="AK1455" s="54">
        <f t="shared" si="275"/>
        <v>0.94374202774190286</v>
      </c>
    </row>
    <row r="1456" spans="18:37" x14ac:dyDescent="0.45">
      <c r="R1456" s="2">
        <v>31.32</v>
      </c>
      <c r="S1456" s="2">
        <v>6.0015999999999997E-4</v>
      </c>
      <c r="T1456" s="2">
        <v>3.5932E-4</v>
      </c>
      <c r="V1456" s="11"/>
      <c r="W1456" s="6"/>
      <c r="X1456" s="6">
        <v>14.370000000000001</v>
      </c>
      <c r="Y1456" s="11" t="str">
        <f t="shared" si="276"/>
        <v/>
      </c>
      <c r="Z1456" s="6" t="str">
        <f t="shared" si="277"/>
        <v/>
      </c>
      <c r="AA1456" s="23">
        <f t="shared" si="278"/>
        <v>44.370000000000005</v>
      </c>
      <c r="AB1456" t="str">
        <f t="shared" si="267"/>
        <v/>
      </c>
      <c r="AC1456" t="str">
        <f t="shared" si="268"/>
        <v/>
      </c>
      <c r="AD1456">
        <f t="shared" si="269"/>
        <v>1.31273E-3</v>
      </c>
      <c r="AE1456" s="18" t="str">
        <f t="shared" si="270"/>
        <v/>
      </c>
      <c r="AF1456" s="7" t="str">
        <f t="shared" si="271"/>
        <v/>
      </c>
      <c r="AG1456" s="12">
        <f t="shared" si="272"/>
        <v>0.98835327875446077</v>
      </c>
      <c r="AI1456" s="54" t="str">
        <f t="shared" si="273"/>
        <v/>
      </c>
      <c r="AJ1456" s="54" t="str">
        <f t="shared" si="274"/>
        <v/>
      </c>
      <c r="AK1456" s="54">
        <f t="shared" si="275"/>
        <v>0.9446096785978767</v>
      </c>
    </row>
    <row r="1457" spans="18:37" x14ac:dyDescent="0.45">
      <c r="R1457" s="2">
        <v>31.33</v>
      </c>
      <c r="S1457" s="2">
        <v>6.0028999999999996E-4</v>
      </c>
      <c r="T1457" s="2">
        <v>3.5958000000000002E-4</v>
      </c>
      <c r="V1457" s="11"/>
      <c r="W1457" s="6"/>
      <c r="X1457" s="6">
        <v>14.38</v>
      </c>
      <c r="Y1457" s="11" t="str">
        <f t="shared" si="276"/>
        <v/>
      </c>
      <c r="Z1457" s="6" t="str">
        <f t="shared" si="277"/>
        <v/>
      </c>
      <c r="AA1457" s="23">
        <f t="shared" si="278"/>
        <v>44.38</v>
      </c>
      <c r="AB1457" t="str">
        <f t="shared" si="267"/>
        <v/>
      </c>
      <c r="AC1457" t="str">
        <f t="shared" si="268"/>
        <v/>
      </c>
      <c r="AD1457">
        <f t="shared" si="269"/>
        <v>1.3140199999999999E-3</v>
      </c>
      <c r="AE1457" s="18" t="str">
        <f t="shared" si="270"/>
        <v/>
      </c>
      <c r="AF1457" s="7" t="str">
        <f t="shared" si="271"/>
        <v/>
      </c>
      <c r="AG1457" s="12">
        <f t="shared" si="272"/>
        <v>0.98834030434446463</v>
      </c>
      <c r="AI1457" s="54" t="str">
        <f t="shared" si="273"/>
        <v/>
      </c>
      <c r="AJ1457" s="54" t="str">
        <f t="shared" si="274"/>
        <v/>
      </c>
      <c r="AK1457" s="54">
        <f t="shared" si="275"/>
        <v>0.94547768717837821</v>
      </c>
    </row>
    <row r="1458" spans="18:37" x14ac:dyDescent="0.45">
      <c r="R1458" s="2">
        <v>31.34</v>
      </c>
      <c r="S1458" s="2">
        <v>6.0041999999999995E-4</v>
      </c>
      <c r="T1458" s="2">
        <v>3.5984E-4</v>
      </c>
      <c r="V1458" s="11"/>
      <c r="W1458" s="6"/>
      <c r="X1458" s="6">
        <v>14.39</v>
      </c>
      <c r="Y1458" s="11" t="str">
        <f t="shared" si="276"/>
        <v/>
      </c>
      <c r="Z1458" s="6" t="str">
        <f t="shared" si="277"/>
        <v/>
      </c>
      <c r="AA1458" s="23">
        <f t="shared" si="278"/>
        <v>44.39</v>
      </c>
      <c r="AB1458" t="str">
        <f t="shared" si="267"/>
        <v/>
      </c>
      <c r="AC1458" t="str">
        <f t="shared" si="268"/>
        <v/>
      </c>
      <c r="AD1458">
        <f t="shared" si="269"/>
        <v>1.3153100000000001E-3</v>
      </c>
      <c r="AE1458" s="18" t="str">
        <f t="shared" si="270"/>
        <v/>
      </c>
      <c r="AF1458" s="7" t="str">
        <f t="shared" si="271"/>
        <v/>
      </c>
      <c r="AG1458" s="12">
        <f t="shared" si="272"/>
        <v>0.98832731735519752</v>
      </c>
      <c r="AI1458" s="54" t="str">
        <f t="shared" si="273"/>
        <v/>
      </c>
      <c r="AJ1458" s="54" t="str">
        <f t="shared" si="274"/>
        <v/>
      </c>
      <c r="AK1458" s="54">
        <f t="shared" si="275"/>
        <v>0.94634605365358315</v>
      </c>
    </row>
    <row r="1459" spans="18:37" x14ac:dyDescent="0.45">
      <c r="R1459" s="2">
        <v>31.35</v>
      </c>
      <c r="S1459" s="2">
        <v>6.0055000000000004E-4</v>
      </c>
      <c r="T1459" s="2">
        <v>3.6010000000000003E-4</v>
      </c>
      <c r="V1459" s="11"/>
      <c r="W1459" s="6"/>
      <c r="X1459" s="6">
        <v>14.4</v>
      </c>
      <c r="Y1459" s="11" t="str">
        <f t="shared" si="276"/>
        <v/>
      </c>
      <c r="Z1459" s="6" t="str">
        <f t="shared" si="277"/>
        <v/>
      </c>
      <c r="AA1459" s="23">
        <f t="shared" si="278"/>
        <v>44.4</v>
      </c>
      <c r="AB1459" t="str">
        <f t="shared" si="267"/>
        <v/>
      </c>
      <c r="AC1459" t="str">
        <f t="shared" si="268"/>
        <v/>
      </c>
      <c r="AD1459">
        <f t="shared" si="269"/>
        <v>1.3166E-3</v>
      </c>
      <c r="AE1459" s="18" t="str">
        <f t="shared" si="270"/>
        <v/>
      </c>
      <c r="AF1459" s="7" t="str">
        <f t="shared" si="271"/>
        <v/>
      </c>
      <c r="AG1459" s="12">
        <f t="shared" si="272"/>
        <v>0.98831431778715961</v>
      </c>
      <c r="AI1459" s="54" t="str">
        <f t="shared" si="273"/>
        <v/>
      </c>
      <c r="AJ1459" s="54" t="str">
        <f t="shared" si="274"/>
        <v/>
      </c>
      <c r="AK1459" s="54">
        <f t="shared" si="275"/>
        <v>0.94721477819375144</v>
      </c>
    </row>
    <row r="1460" spans="18:37" x14ac:dyDescent="0.45">
      <c r="R1460" s="2">
        <v>31.36</v>
      </c>
      <c r="S1460" s="2">
        <v>6.0068000000000003E-4</v>
      </c>
      <c r="T1460" s="2">
        <v>3.6036E-4</v>
      </c>
      <c r="V1460" s="11"/>
      <c r="W1460" s="6"/>
      <c r="X1460" s="6">
        <v>14.41</v>
      </c>
      <c r="Y1460" s="11" t="str">
        <f t="shared" si="276"/>
        <v/>
      </c>
      <c r="Z1460" s="6" t="str">
        <f t="shared" si="277"/>
        <v/>
      </c>
      <c r="AA1460" s="23">
        <f t="shared" si="278"/>
        <v>44.41</v>
      </c>
      <c r="AB1460" t="str">
        <f t="shared" si="267"/>
        <v/>
      </c>
      <c r="AC1460" t="str">
        <f t="shared" si="268"/>
        <v/>
      </c>
      <c r="AD1460">
        <f t="shared" si="269"/>
        <v>1.3178899999999999E-3</v>
      </c>
      <c r="AE1460" s="18" t="str">
        <f t="shared" si="270"/>
        <v/>
      </c>
      <c r="AF1460" s="7" t="str">
        <f t="shared" si="271"/>
        <v/>
      </c>
      <c r="AG1460" s="12">
        <f t="shared" si="272"/>
        <v>0.98830130564085161</v>
      </c>
      <c r="AI1460" s="54" t="str">
        <f t="shared" si="273"/>
        <v/>
      </c>
      <c r="AJ1460" s="54" t="str">
        <f t="shared" si="274"/>
        <v/>
      </c>
      <c r="AK1460" s="54">
        <f t="shared" si="275"/>
        <v>0.94808386096922714</v>
      </c>
    </row>
    <row r="1461" spans="18:37" x14ac:dyDescent="0.45">
      <c r="R1461" s="2">
        <v>31.37</v>
      </c>
      <c r="S1461" s="2">
        <v>6.0081000000000002E-4</v>
      </c>
      <c r="T1461" s="2">
        <v>3.6062000000000003E-4</v>
      </c>
      <c r="V1461" s="11"/>
      <c r="W1461" s="6"/>
      <c r="X1461" s="6">
        <v>14.42</v>
      </c>
      <c r="Y1461" s="11" t="str">
        <f t="shared" si="276"/>
        <v/>
      </c>
      <c r="Z1461" s="6" t="str">
        <f t="shared" si="277"/>
        <v/>
      </c>
      <c r="AA1461" s="23">
        <f t="shared" si="278"/>
        <v>44.42</v>
      </c>
      <c r="AB1461" t="str">
        <f t="shared" si="267"/>
        <v/>
      </c>
      <c r="AC1461" t="str">
        <f t="shared" si="268"/>
        <v/>
      </c>
      <c r="AD1461">
        <f t="shared" si="269"/>
        <v>1.3191800000000001E-3</v>
      </c>
      <c r="AE1461" s="18" t="str">
        <f t="shared" si="270"/>
        <v/>
      </c>
      <c r="AF1461" s="7" t="str">
        <f t="shared" si="271"/>
        <v/>
      </c>
      <c r="AG1461" s="12">
        <f t="shared" si="272"/>
        <v>0.98828828091677468</v>
      </c>
      <c r="AI1461" s="54" t="str">
        <f t="shared" si="273"/>
        <v/>
      </c>
      <c r="AJ1461" s="54" t="str">
        <f t="shared" si="274"/>
        <v/>
      </c>
      <c r="AK1461" s="54">
        <f t="shared" si="275"/>
        <v>0.9489533021504386</v>
      </c>
    </row>
    <row r="1462" spans="18:37" x14ac:dyDescent="0.45">
      <c r="R1462" s="2">
        <v>31.38</v>
      </c>
      <c r="S1462" s="2">
        <v>6.0094E-4</v>
      </c>
      <c r="T1462" s="2">
        <v>3.6088E-4</v>
      </c>
      <c r="V1462" s="11"/>
      <c r="W1462" s="6"/>
      <c r="X1462" s="6">
        <v>14.43</v>
      </c>
      <c r="Y1462" s="11" t="str">
        <f t="shared" si="276"/>
        <v/>
      </c>
      <c r="Z1462" s="6" t="str">
        <f t="shared" si="277"/>
        <v/>
      </c>
      <c r="AA1462" s="23">
        <f t="shared" si="278"/>
        <v>44.43</v>
      </c>
      <c r="AB1462" t="str">
        <f t="shared" si="267"/>
        <v/>
      </c>
      <c r="AC1462" t="str">
        <f t="shared" si="268"/>
        <v/>
      </c>
      <c r="AD1462">
        <f t="shared" si="269"/>
        <v>1.32047E-3</v>
      </c>
      <c r="AE1462" s="18" t="str">
        <f t="shared" si="270"/>
        <v/>
      </c>
      <c r="AF1462" s="7" t="str">
        <f t="shared" si="271"/>
        <v/>
      </c>
      <c r="AG1462" s="12">
        <f t="shared" si="272"/>
        <v>0.98827524361543051</v>
      </c>
      <c r="AI1462" s="54" t="str">
        <f t="shared" si="273"/>
        <v/>
      </c>
      <c r="AJ1462" s="54" t="str">
        <f t="shared" si="274"/>
        <v/>
      </c>
      <c r="AK1462" s="54">
        <f t="shared" si="275"/>
        <v>0.94982310190789854</v>
      </c>
    </row>
    <row r="1463" spans="18:37" x14ac:dyDescent="0.45">
      <c r="R1463" s="2">
        <v>31.39</v>
      </c>
      <c r="S1463" s="2">
        <v>6.0106999999999999E-4</v>
      </c>
      <c r="T1463" s="2">
        <v>3.6113999999999997E-4</v>
      </c>
      <c r="V1463" s="11"/>
      <c r="W1463" s="6"/>
      <c r="X1463" s="6">
        <v>14.44</v>
      </c>
      <c r="Y1463" s="11" t="str">
        <f t="shared" si="276"/>
        <v/>
      </c>
      <c r="Z1463" s="6" t="str">
        <f t="shared" si="277"/>
        <v/>
      </c>
      <c r="AA1463" s="23">
        <f t="shared" si="278"/>
        <v>44.44</v>
      </c>
      <c r="AB1463" t="str">
        <f t="shared" si="267"/>
        <v/>
      </c>
      <c r="AC1463" t="str">
        <f t="shared" si="268"/>
        <v/>
      </c>
      <c r="AD1463">
        <f t="shared" si="269"/>
        <v>1.3217599999999999E-3</v>
      </c>
      <c r="AE1463" s="18" t="str">
        <f t="shared" si="270"/>
        <v/>
      </c>
      <c r="AF1463" s="7" t="str">
        <f t="shared" si="271"/>
        <v/>
      </c>
      <c r="AG1463" s="12">
        <f t="shared" si="272"/>
        <v>0.98826219373732116</v>
      </c>
      <c r="AI1463" s="54" t="str">
        <f t="shared" si="273"/>
        <v/>
      </c>
      <c r="AJ1463" s="54" t="str">
        <f t="shared" si="274"/>
        <v/>
      </c>
      <c r="AK1463" s="54">
        <f t="shared" si="275"/>
        <v>0.95069326041220392</v>
      </c>
    </row>
    <row r="1464" spans="18:37" x14ac:dyDescent="0.45">
      <c r="R1464" s="2">
        <v>31.4</v>
      </c>
      <c r="S1464" s="2">
        <v>6.0119999999999998E-4</v>
      </c>
      <c r="T1464" s="2">
        <v>3.614E-4</v>
      </c>
      <c r="V1464" s="11"/>
      <c r="W1464" s="6"/>
      <c r="X1464" s="6">
        <v>14.450000000000001</v>
      </c>
      <c r="Y1464" s="11" t="str">
        <f t="shared" si="276"/>
        <v/>
      </c>
      <c r="Z1464" s="6" t="str">
        <f t="shared" si="277"/>
        <v/>
      </c>
      <c r="AA1464" s="23">
        <f t="shared" si="278"/>
        <v>44.45</v>
      </c>
      <c r="AB1464" t="str">
        <f t="shared" si="267"/>
        <v/>
      </c>
      <c r="AC1464" t="str">
        <f t="shared" si="268"/>
        <v/>
      </c>
      <c r="AD1464">
        <f t="shared" si="269"/>
        <v>1.3230500000000001E-3</v>
      </c>
      <c r="AE1464" s="18" t="str">
        <f t="shared" si="270"/>
        <v/>
      </c>
      <c r="AF1464" s="7" t="str">
        <f t="shared" si="271"/>
        <v/>
      </c>
      <c r="AG1464" s="12">
        <f t="shared" si="272"/>
        <v>0.98824913128294922</v>
      </c>
      <c r="AI1464" s="54" t="str">
        <f t="shared" si="273"/>
        <v/>
      </c>
      <c r="AJ1464" s="54" t="str">
        <f t="shared" si="274"/>
        <v/>
      </c>
      <c r="AK1464" s="54">
        <f t="shared" si="275"/>
        <v>0.95156377783403612</v>
      </c>
    </row>
    <row r="1465" spans="18:37" x14ac:dyDescent="0.45">
      <c r="R1465" s="2">
        <v>31.41</v>
      </c>
      <c r="S1465" s="2">
        <v>6.0132999999999996E-4</v>
      </c>
      <c r="T1465" s="2">
        <v>3.6165999999999998E-4</v>
      </c>
      <c r="V1465" s="11"/>
      <c r="W1465" s="6"/>
      <c r="X1465" s="6">
        <v>14.46</v>
      </c>
      <c r="Y1465" s="11" t="str">
        <f t="shared" si="276"/>
        <v/>
      </c>
      <c r="Z1465" s="6" t="str">
        <f t="shared" si="277"/>
        <v/>
      </c>
      <c r="AA1465" s="23">
        <f t="shared" si="278"/>
        <v>44.46</v>
      </c>
      <c r="AB1465" t="str">
        <f t="shared" si="267"/>
        <v/>
      </c>
      <c r="AC1465" t="str">
        <f t="shared" si="268"/>
        <v/>
      </c>
      <c r="AD1465">
        <f t="shared" si="269"/>
        <v>1.32434E-3</v>
      </c>
      <c r="AE1465" s="18" t="str">
        <f t="shared" si="270"/>
        <v/>
      </c>
      <c r="AF1465" s="7" t="str">
        <f t="shared" si="271"/>
        <v/>
      </c>
      <c r="AG1465" s="12">
        <f t="shared" si="272"/>
        <v>0.98823605625281774</v>
      </c>
      <c r="AI1465" s="54" t="str">
        <f t="shared" si="273"/>
        <v/>
      </c>
      <c r="AJ1465" s="54" t="str">
        <f t="shared" si="274"/>
        <v/>
      </c>
      <c r="AK1465" s="54">
        <f t="shared" si="275"/>
        <v>0.95243465434416086</v>
      </c>
    </row>
    <row r="1466" spans="18:37" x14ac:dyDescent="0.45">
      <c r="R1466" s="2">
        <v>31.42</v>
      </c>
      <c r="S1466" s="2">
        <v>6.0145999999999995E-4</v>
      </c>
      <c r="T1466" s="2">
        <v>3.6192E-4</v>
      </c>
      <c r="V1466" s="11"/>
      <c r="W1466" s="6"/>
      <c r="X1466" s="6">
        <v>14.47</v>
      </c>
      <c r="Y1466" s="11" t="str">
        <f t="shared" si="276"/>
        <v/>
      </c>
      <c r="Z1466" s="6" t="str">
        <f t="shared" si="277"/>
        <v/>
      </c>
      <c r="AA1466" s="23">
        <f t="shared" si="278"/>
        <v>44.47</v>
      </c>
      <c r="AB1466" t="str">
        <f t="shared" si="267"/>
        <v/>
      </c>
      <c r="AC1466" t="str">
        <f t="shared" si="268"/>
        <v/>
      </c>
      <c r="AD1466">
        <f t="shared" si="269"/>
        <v>1.32563E-3</v>
      </c>
      <c r="AE1466" s="18" t="str">
        <f t="shared" si="270"/>
        <v/>
      </c>
      <c r="AF1466" s="7" t="str">
        <f t="shared" si="271"/>
        <v/>
      </c>
      <c r="AG1466" s="12">
        <f t="shared" si="272"/>
        <v>0.98822296864743031</v>
      </c>
      <c r="AI1466" s="54" t="str">
        <f t="shared" si="273"/>
        <v/>
      </c>
      <c r="AJ1466" s="54" t="str">
        <f t="shared" si="274"/>
        <v/>
      </c>
      <c r="AK1466" s="54">
        <f t="shared" si="275"/>
        <v>0.95330589011342837</v>
      </c>
    </row>
    <row r="1467" spans="18:37" x14ac:dyDescent="0.45">
      <c r="R1467" s="2">
        <v>31.43</v>
      </c>
      <c r="S1467" s="2">
        <v>6.0159000000000005E-4</v>
      </c>
      <c r="T1467" s="2">
        <v>3.6217999999999998E-4</v>
      </c>
      <c r="V1467" s="11"/>
      <c r="W1467" s="6"/>
      <c r="X1467" s="6">
        <v>14.48</v>
      </c>
      <c r="Y1467" s="11" t="str">
        <f t="shared" si="276"/>
        <v/>
      </c>
      <c r="Z1467" s="6" t="str">
        <f t="shared" si="277"/>
        <v/>
      </c>
      <c r="AA1467" s="23">
        <f t="shared" si="278"/>
        <v>44.480000000000004</v>
      </c>
      <c r="AB1467" t="str">
        <f t="shared" si="267"/>
        <v/>
      </c>
      <c r="AC1467" t="str">
        <f t="shared" si="268"/>
        <v/>
      </c>
      <c r="AD1467">
        <f t="shared" si="269"/>
        <v>1.3269200000000001E-3</v>
      </c>
      <c r="AE1467" s="18" t="str">
        <f t="shared" si="270"/>
        <v/>
      </c>
      <c r="AF1467" s="7" t="str">
        <f t="shared" si="271"/>
        <v/>
      </c>
      <c r="AG1467" s="12">
        <f t="shared" si="272"/>
        <v>0.98820986846729097</v>
      </c>
      <c r="AI1467" s="54" t="str">
        <f t="shared" si="273"/>
        <v/>
      </c>
      <c r="AJ1467" s="54" t="str">
        <f t="shared" si="274"/>
        <v/>
      </c>
      <c r="AK1467" s="54">
        <f t="shared" si="275"/>
        <v>0.95417748531277335</v>
      </c>
    </row>
    <row r="1468" spans="18:37" x14ac:dyDescent="0.45">
      <c r="R1468" s="2">
        <v>31.44</v>
      </c>
      <c r="S1468" s="2">
        <v>6.0172000000000003E-4</v>
      </c>
      <c r="T1468" s="2">
        <v>3.6244000000000001E-4</v>
      </c>
      <c r="V1468" s="11"/>
      <c r="W1468" s="6"/>
      <c r="X1468" s="6">
        <v>14.49</v>
      </c>
      <c r="Y1468" s="11" t="str">
        <f t="shared" si="276"/>
        <v/>
      </c>
      <c r="Z1468" s="6" t="str">
        <f t="shared" si="277"/>
        <v/>
      </c>
      <c r="AA1468" s="23">
        <f t="shared" si="278"/>
        <v>44.49</v>
      </c>
      <c r="AB1468" t="str">
        <f t="shared" si="267"/>
        <v/>
      </c>
      <c r="AC1468" t="str">
        <f t="shared" si="268"/>
        <v/>
      </c>
      <c r="AD1468">
        <f t="shared" si="269"/>
        <v>1.32821E-3</v>
      </c>
      <c r="AE1468" s="18" t="str">
        <f t="shared" si="270"/>
        <v/>
      </c>
      <c r="AF1468" s="7" t="str">
        <f t="shared" si="271"/>
        <v/>
      </c>
      <c r="AG1468" s="12">
        <f t="shared" si="272"/>
        <v>0.98819675571290433</v>
      </c>
      <c r="AI1468" s="54" t="str">
        <f t="shared" si="273"/>
        <v/>
      </c>
      <c r="AJ1468" s="54" t="str">
        <f t="shared" si="274"/>
        <v/>
      </c>
      <c r="AK1468" s="54">
        <f t="shared" si="275"/>
        <v>0.95504944011321502</v>
      </c>
    </row>
    <row r="1469" spans="18:37" x14ac:dyDescent="0.45">
      <c r="R1469" s="2">
        <v>31.45</v>
      </c>
      <c r="S1469" s="2">
        <v>6.0185000000000002E-4</v>
      </c>
      <c r="T1469" s="2">
        <v>3.6269999999999998E-4</v>
      </c>
      <c r="V1469" s="11"/>
      <c r="W1469" s="6"/>
      <c r="X1469" s="6">
        <v>14.5</v>
      </c>
      <c r="Y1469" s="11" t="str">
        <f t="shared" si="276"/>
        <v/>
      </c>
      <c r="Z1469" s="6" t="str">
        <f t="shared" si="277"/>
        <v/>
      </c>
      <c r="AA1469" s="23">
        <f t="shared" si="278"/>
        <v>44.5</v>
      </c>
      <c r="AB1469" t="str">
        <f t="shared" si="267"/>
        <v/>
      </c>
      <c r="AC1469" t="str">
        <f t="shared" si="268"/>
        <v/>
      </c>
      <c r="AD1469">
        <f t="shared" si="269"/>
        <v>1.3295E-3</v>
      </c>
      <c r="AE1469" s="18" t="str">
        <f t="shared" si="270"/>
        <v/>
      </c>
      <c r="AF1469" s="7" t="str">
        <f t="shared" si="271"/>
        <v/>
      </c>
      <c r="AG1469" s="12">
        <f t="shared" si="272"/>
        <v>0.9881836303847753</v>
      </c>
      <c r="AI1469" s="54" t="str">
        <f t="shared" si="273"/>
        <v/>
      </c>
      <c r="AJ1469" s="54" t="str">
        <f t="shared" si="274"/>
        <v/>
      </c>
      <c r="AK1469" s="54">
        <f t="shared" si="275"/>
        <v>0.95592175468585738</v>
      </c>
    </row>
    <row r="1470" spans="18:37" x14ac:dyDescent="0.45">
      <c r="R1470" s="2">
        <v>31.46</v>
      </c>
      <c r="S1470" s="2">
        <v>6.0198000000000001E-4</v>
      </c>
      <c r="T1470" s="2">
        <v>3.6296000000000001E-4</v>
      </c>
      <c r="V1470" s="11"/>
      <c r="W1470" s="6"/>
      <c r="X1470" s="6">
        <v>14.51</v>
      </c>
      <c r="Y1470" s="11" t="str">
        <f t="shared" si="276"/>
        <v/>
      </c>
      <c r="Z1470" s="6" t="str">
        <f t="shared" si="277"/>
        <v/>
      </c>
      <c r="AA1470" s="23">
        <f t="shared" si="278"/>
        <v>44.51</v>
      </c>
      <c r="AB1470" t="str">
        <f t="shared" si="267"/>
        <v/>
      </c>
      <c r="AC1470" t="str">
        <f t="shared" si="268"/>
        <v/>
      </c>
      <c r="AD1470">
        <f t="shared" si="269"/>
        <v>1.3307900000000001E-3</v>
      </c>
      <c r="AE1470" s="18" t="str">
        <f t="shared" si="270"/>
        <v/>
      </c>
      <c r="AF1470" s="7" t="str">
        <f t="shared" si="271"/>
        <v/>
      </c>
      <c r="AG1470" s="12">
        <f t="shared" si="272"/>
        <v>0.98817049248340938</v>
      </c>
      <c r="AI1470" s="54" t="str">
        <f t="shared" si="273"/>
        <v/>
      </c>
      <c r="AJ1470" s="54" t="str">
        <f t="shared" si="274"/>
        <v/>
      </c>
      <c r="AK1470" s="54">
        <f t="shared" si="275"/>
        <v>0.95679442920188873</v>
      </c>
    </row>
    <row r="1471" spans="18:37" x14ac:dyDescent="0.45">
      <c r="R1471" s="2">
        <v>31.47</v>
      </c>
      <c r="S1471" s="2">
        <v>6.0210999999999999E-4</v>
      </c>
      <c r="T1471" s="2">
        <v>3.6321999999999998E-4</v>
      </c>
      <c r="V1471" s="11"/>
      <c r="W1471" s="6"/>
      <c r="X1471" s="6">
        <v>14.52</v>
      </c>
      <c r="Y1471" s="11" t="str">
        <f t="shared" si="276"/>
        <v/>
      </c>
      <c r="Z1471" s="6" t="str">
        <f t="shared" si="277"/>
        <v/>
      </c>
      <c r="AA1471" s="23">
        <f t="shared" si="278"/>
        <v>44.519999999999996</v>
      </c>
      <c r="AB1471" t="str">
        <f t="shared" si="267"/>
        <v/>
      </c>
      <c r="AC1471" t="str">
        <f t="shared" si="268"/>
        <v/>
      </c>
      <c r="AD1471">
        <f t="shared" si="269"/>
        <v>1.3307900000000001E-3</v>
      </c>
      <c r="AE1471" s="18" t="str">
        <f t="shared" si="270"/>
        <v/>
      </c>
      <c r="AF1471" s="7" t="str">
        <f t="shared" si="271"/>
        <v/>
      </c>
      <c r="AG1471" s="12">
        <f t="shared" si="272"/>
        <v>0.98815734200931249</v>
      </c>
      <c r="AI1471" s="54" t="str">
        <f t="shared" si="273"/>
        <v/>
      </c>
      <c r="AJ1471" s="54" t="str">
        <f t="shared" si="274"/>
        <v/>
      </c>
      <c r="AK1471" s="54">
        <f t="shared" si="275"/>
        <v>0.95766746383258239</v>
      </c>
    </row>
    <row r="1472" spans="18:37" x14ac:dyDescent="0.45">
      <c r="R1472" s="2">
        <v>31.48</v>
      </c>
      <c r="S1472" s="2">
        <v>6.0223999999999998E-4</v>
      </c>
      <c r="T1472" s="2">
        <v>3.6348000000000001E-4</v>
      </c>
      <c r="V1472" s="11"/>
      <c r="W1472" s="6"/>
      <c r="X1472" s="6">
        <v>14.530000000000001</v>
      </c>
      <c r="Y1472" s="11" t="str">
        <f t="shared" si="276"/>
        <v/>
      </c>
      <c r="Z1472" s="6" t="str">
        <f t="shared" si="277"/>
        <v/>
      </c>
      <c r="AA1472" s="23">
        <f t="shared" si="278"/>
        <v>44.53</v>
      </c>
      <c r="AB1472" t="str">
        <f t="shared" si="267"/>
        <v/>
      </c>
      <c r="AC1472" t="str">
        <f t="shared" si="268"/>
        <v/>
      </c>
      <c r="AD1472">
        <f t="shared" si="269"/>
        <v>1.33337E-3</v>
      </c>
      <c r="AE1472" s="18" t="str">
        <f t="shared" si="270"/>
        <v/>
      </c>
      <c r="AF1472" s="7" t="str">
        <f t="shared" si="271"/>
        <v/>
      </c>
      <c r="AG1472" s="12">
        <f t="shared" si="272"/>
        <v>0.98814419171022072</v>
      </c>
      <c r="AI1472" s="54" t="str">
        <f t="shared" si="273"/>
        <v/>
      </c>
      <c r="AJ1472" s="54" t="str">
        <f t="shared" si="274"/>
        <v/>
      </c>
      <c r="AK1472" s="54">
        <f t="shared" si="275"/>
        <v>0.95854085929538591</v>
      </c>
    </row>
    <row r="1473" spans="18:37" x14ac:dyDescent="0.45">
      <c r="R1473" s="2">
        <v>31.49</v>
      </c>
      <c r="S1473" s="2">
        <v>6.0236999999999997E-4</v>
      </c>
      <c r="T1473" s="2">
        <v>3.6373999999999998E-4</v>
      </c>
      <c r="V1473" s="11"/>
      <c r="W1473" s="6"/>
      <c r="X1473" s="6">
        <v>14.540000000000001</v>
      </c>
      <c r="Y1473" s="11" t="str">
        <f t="shared" si="276"/>
        <v/>
      </c>
      <c r="Z1473" s="6" t="str">
        <f t="shared" si="277"/>
        <v/>
      </c>
      <c r="AA1473" s="23">
        <f t="shared" si="278"/>
        <v>44.54</v>
      </c>
      <c r="AB1473" t="str">
        <f t="shared" si="267"/>
        <v/>
      </c>
      <c r="AC1473" t="str">
        <f t="shared" si="268"/>
        <v/>
      </c>
      <c r="AD1473">
        <f t="shared" si="269"/>
        <v>1.3346600000000001E-3</v>
      </c>
      <c r="AE1473" s="18" t="str">
        <f t="shared" si="270"/>
        <v/>
      </c>
      <c r="AF1473" s="7" t="str">
        <f t="shared" si="271"/>
        <v/>
      </c>
      <c r="AG1473" s="12">
        <f t="shared" si="272"/>
        <v>0.9881310160920117</v>
      </c>
      <c r="AI1473" s="54" t="str">
        <f t="shared" si="273"/>
        <v/>
      </c>
      <c r="AJ1473" s="54" t="str">
        <f t="shared" si="274"/>
        <v/>
      </c>
      <c r="AK1473" s="54">
        <f t="shared" si="275"/>
        <v>0.95941461466978817</v>
      </c>
    </row>
    <row r="1474" spans="18:37" x14ac:dyDescent="0.45">
      <c r="R1474" s="2">
        <v>31.5</v>
      </c>
      <c r="S1474" s="2">
        <v>6.0249999999999995E-4</v>
      </c>
      <c r="T1474" s="2">
        <v>3.6400000000000001E-4</v>
      </c>
      <c r="V1474" s="11"/>
      <c r="W1474" s="6"/>
      <c r="X1474" s="6">
        <v>14.55</v>
      </c>
      <c r="Y1474" s="11" t="str">
        <f t="shared" si="276"/>
        <v/>
      </c>
      <c r="Z1474" s="6" t="str">
        <f t="shared" si="277"/>
        <v/>
      </c>
      <c r="AA1474" s="23">
        <f t="shared" si="278"/>
        <v>44.55</v>
      </c>
      <c r="AB1474" t="str">
        <f t="shared" si="267"/>
        <v/>
      </c>
      <c r="AC1474" t="str">
        <f t="shared" si="268"/>
        <v/>
      </c>
      <c r="AD1474">
        <f t="shared" si="269"/>
        <v>1.33595E-3</v>
      </c>
      <c r="AE1474" s="18" t="str">
        <f t="shared" si="270"/>
        <v/>
      </c>
      <c r="AF1474" s="7" t="str">
        <f t="shared" si="271"/>
        <v/>
      </c>
      <c r="AG1474" s="12">
        <f t="shared" si="272"/>
        <v>0.98811782790259228</v>
      </c>
      <c r="AI1474" s="54" t="str">
        <f t="shared" si="273"/>
        <v/>
      </c>
      <c r="AJ1474" s="54" t="str">
        <f t="shared" si="274"/>
        <v/>
      </c>
      <c r="AK1474" s="54">
        <f t="shared" si="275"/>
        <v>0.96028873067318077</v>
      </c>
    </row>
    <row r="1475" spans="18:37" x14ac:dyDescent="0.45">
      <c r="R1475" s="2">
        <v>31.51</v>
      </c>
      <c r="S1475" s="2">
        <v>6.0263000000000005E-4</v>
      </c>
      <c r="T1475" s="2">
        <v>3.6425999999999999E-4</v>
      </c>
      <c r="V1475" s="11"/>
      <c r="W1475" s="6"/>
      <c r="X1475" s="6">
        <v>14.56</v>
      </c>
      <c r="Y1475" s="11" t="str">
        <f t="shared" si="276"/>
        <v/>
      </c>
      <c r="Z1475" s="6" t="str">
        <f t="shared" si="277"/>
        <v/>
      </c>
      <c r="AA1475" s="23">
        <f t="shared" si="278"/>
        <v>44.56</v>
      </c>
      <c r="AB1475" t="str">
        <f t="shared" si="267"/>
        <v/>
      </c>
      <c r="AC1475" t="str">
        <f t="shared" si="268"/>
        <v/>
      </c>
      <c r="AD1475">
        <f t="shared" si="269"/>
        <v>1.33724E-3</v>
      </c>
      <c r="AE1475" s="18" t="str">
        <f t="shared" si="270"/>
        <v/>
      </c>
      <c r="AF1475" s="7" t="str">
        <f t="shared" si="271"/>
        <v/>
      </c>
      <c r="AG1475" s="12">
        <f t="shared" si="272"/>
        <v>0.98810462714247038</v>
      </c>
      <c r="AI1475" s="54" t="str">
        <f t="shared" si="273"/>
        <v/>
      </c>
      <c r="AJ1475" s="54" t="str">
        <f t="shared" si="274"/>
        <v/>
      </c>
      <c r="AK1475" s="54">
        <f t="shared" si="275"/>
        <v>0.96116320747717598</v>
      </c>
    </row>
    <row r="1476" spans="18:37" x14ac:dyDescent="0.45">
      <c r="R1476" s="2">
        <v>31.52</v>
      </c>
      <c r="S1476" s="2">
        <v>6.0276000000000004E-4</v>
      </c>
      <c r="T1476" s="2">
        <v>3.6452000000000001E-4</v>
      </c>
      <c r="V1476" s="11"/>
      <c r="W1476" s="6"/>
      <c r="X1476" s="6">
        <v>14.57</v>
      </c>
      <c r="Y1476" s="11" t="str">
        <f t="shared" si="276"/>
        <v/>
      </c>
      <c r="Z1476" s="6" t="str">
        <f t="shared" si="277"/>
        <v/>
      </c>
      <c r="AA1476" s="23">
        <f t="shared" si="278"/>
        <v>44.57</v>
      </c>
      <c r="AB1476" t="str">
        <f t="shared" si="267"/>
        <v/>
      </c>
      <c r="AC1476" t="str">
        <f t="shared" si="268"/>
        <v/>
      </c>
      <c r="AD1476">
        <f t="shared" si="269"/>
        <v>1.3385300000000001E-3</v>
      </c>
      <c r="AE1476" s="18" t="str">
        <f t="shared" si="270"/>
        <v/>
      </c>
      <c r="AF1476" s="7" t="str">
        <f t="shared" si="271"/>
        <v/>
      </c>
      <c r="AG1476" s="12">
        <f t="shared" si="272"/>
        <v>0.98809141381215437</v>
      </c>
      <c r="AI1476" s="54" t="str">
        <f t="shared" si="273"/>
        <v/>
      </c>
      <c r="AJ1476" s="54" t="str">
        <f t="shared" si="274"/>
        <v/>
      </c>
      <c r="AK1476" s="54">
        <f t="shared" si="275"/>
        <v>0.96203804525347103</v>
      </c>
    </row>
    <row r="1477" spans="18:37" x14ac:dyDescent="0.45">
      <c r="R1477" s="2">
        <v>31.53</v>
      </c>
      <c r="S1477" s="2">
        <v>6.0289000000000002E-4</v>
      </c>
      <c r="T1477" s="2">
        <v>3.6477999999999999E-4</v>
      </c>
      <c r="V1477" s="11"/>
      <c r="W1477" s="6"/>
      <c r="X1477" s="6">
        <v>14.58</v>
      </c>
      <c r="Y1477" s="11" t="str">
        <f t="shared" si="276"/>
        <v/>
      </c>
      <c r="Z1477" s="6" t="str">
        <f t="shared" si="277"/>
        <v/>
      </c>
      <c r="AA1477" s="23">
        <f t="shared" si="278"/>
        <v>44.58</v>
      </c>
      <c r="AB1477" t="str">
        <f t="shared" si="267"/>
        <v/>
      </c>
      <c r="AC1477" t="str">
        <f t="shared" si="268"/>
        <v/>
      </c>
      <c r="AD1477">
        <f t="shared" si="269"/>
        <v>1.33982E-3</v>
      </c>
      <c r="AE1477" s="18" t="str">
        <f t="shared" si="270"/>
        <v/>
      </c>
      <c r="AF1477" s="7" t="str">
        <f t="shared" si="271"/>
        <v/>
      </c>
      <c r="AG1477" s="12">
        <f t="shared" si="272"/>
        <v>0.98807818791215307</v>
      </c>
      <c r="AI1477" s="54" t="str">
        <f t="shared" si="273"/>
        <v/>
      </c>
      <c r="AJ1477" s="54" t="str">
        <f t="shared" si="274"/>
        <v/>
      </c>
      <c r="AK1477" s="54">
        <f t="shared" si="275"/>
        <v>0.96291324417384805</v>
      </c>
    </row>
    <row r="1478" spans="18:37" x14ac:dyDescent="0.45">
      <c r="R1478" s="2">
        <v>31.54</v>
      </c>
      <c r="S1478" s="2">
        <v>6.0302000000000001E-4</v>
      </c>
      <c r="T1478" s="2">
        <v>3.6504000000000002E-4</v>
      </c>
      <c r="V1478" s="11"/>
      <c r="W1478" s="6"/>
      <c r="X1478" s="6">
        <v>14.59</v>
      </c>
      <c r="Y1478" s="11" t="str">
        <f t="shared" si="276"/>
        <v/>
      </c>
      <c r="Z1478" s="6" t="str">
        <f t="shared" si="277"/>
        <v/>
      </c>
      <c r="AA1478" s="23">
        <f t="shared" si="278"/>
        <v>44.59</v>
      </c>
      <c r="AB1478" t="str">
        <f t="shared" si="267"/>
        <v/>
      </c>
      <c r="AC1478" t="str">
        <f t="shared" si="268"/>
        <v/>
      </c>
      <c r="AD1478">
        <f t="shared" si="269"/>
        <v>1.34111E-3</v>
      </c>
      <c r="AE1478" s="18" t="str">
        <f t="shared" si="270"/>
        <v/>
      </c>
      <c r="AF1478" s="7" t="str">
        <f t="shared" si="271"/>
        <v/>
      </c>
      <c r="AG1478" s="12">
        <f t="shared" si="272"/>
        <v>0.98806494944297574</v>
      </c>
      <c r="AI1478" s="54" t="str">
        <f t="shared" si="273"/>
        <v/>
      </c>
      <c r="AJ1478" s="54" t="str">
        <f t="shared" si="274"/>
        <v/>
      </c>
      <c r="AK1478" s="54">
        <f t="shared" si="275"/>
        <v>0.96378880441017423</v>
      </c>
    </row>
    <row r="1479" spans="18:37" x14ac:dyDescent="0.45">
      <c r="R1479" s="2">
        <v>31.55</v>
      </c>
      <c r="S1479" s="2">
        <v>6.0315E-4</v>
      </c>
      <c r="T1479" s="2">
        <v>3.6529999999999999E-4</v>
      </c>
      <c r="V1479" s="11"/>
      <c r="W1479" s="6"/>
      <c r="X1479" s="6">
        <v>14.6</v>
      </c>
      <c r="Y1479" s="11" t="str">
        <f t="shared" si="276"/>
        <v/>
      </c>
      <c r="Z1479" s="6" t="str">
        <f t="shared" si="277"/>
        <v/>
      </c>
      <c r="AA1479" s="23">
        <f t="shared" si="278"/>
        <v>44.6</v>
      </c>
      <c r="AB1479" t="str">
        <f t="shared" si="267"/>
        <v/>
      </c>
      <c r="AC1479" t="str">
        <f t="shared" si="268"/>
        <v/>
      </c>
      <c r="AD1479">
        <f t="shared" si="269"/>
        <v>1.3424000000000001E-3</v>
      </c>
      <c r="AE1479" s="18" t="str">
        <f t="shared" si="270"/>
        <v/>
      </c>
      <c r="AF1479" s="7" t="str">
        <f t="shared" si="271"/>
        <v/>
      </c>
      <c r="AG1479" s="12">
        <f t="shared" si="272"/>
        <v>0.98805169840513229</v>
      </c>
      <c r="AI1479" s="54" t="str">
        <f t="shared" si="273"/>
        <v/>
      </c>
      <c r="AJ1479" s="54" t="str">
        <f t="shared" si="274"/>
        <v/>
      </c>
      <c r="AK1479" s="54">
        <f t="shared" si="275"/>
        <v>0.96466472613440157</v>
      </c>
    </row>
    <row r="1480" spans="18:37" x14ac:dyDescent="0.45">
      <c r="R1480" s="2">
        <v>31.56</v>
      </c>
      <c r="S1480" s="2">
        <v>6.0327999999999998E-4</v>
      </c>
      <c r="T1480" s="2">
        <v>3.6556000000000002E-4</v>
      </c>
      <c r="V1480" s="11"/>
      <c r="W1480" s="6"/>
      <c r="X1480" s="6">
        <v>14.61</v>
      </c>
      <c r="Y1480" s="11" t="str">
        <f t="shared" si="276"/>
        <v/>
      </c>
      <c r="Z1480" s="6" t="str">
        <f t="shared" si="277"/>
        <v/>
      </c>
      <c r="AA1480" s="23">
        <f t="shared" si="278"/>
        <v>44.61</v>
      </c>
      <c r="AB1480" t="str">
        <f t="shared" si="267"/>
        <v/>
      </c>
      <c r="AC1480" t="str">
        <f t="shared" si="268"/>
        <v/>
      </c>
      <c r="AD1480">
        <f t="shared" si="269"/>
        <v>1.34369E-3</v>
      </c>
      <c r="AE1480" s="18" t="str">
        <f t="shared" si="270"/>
        <v/>
      </c>
      <c r="AF1480" s="7" t="str">
        <f t="shared" si="271"/>
        <v/>
      </c>
      <c r="AG1480" s="12">
        <f t="shared" si="272"/>
        <v>0.98803843479913289</v>
      </c>
      <c r="AI1480" s="54" t="str">
        <f t="shared" si="273"/>
        <v/>
      </c>
      <c r="AJ1480" s="54" t="str">
        <f t="shared" si="274"/>
        <v/>
      </c>
      <c r="AK1480" s="54">
        <f t="shared" si="275"/>
        <v>0.96554100951856747</v>
      </c>
    </row>
    <row r="1481" spans="18:37" x14ac:dyDescent="0.45">
      <c r="R1481" s="2">
        <v>31.57</v>
      </c>
      <c r="S1481" s="2">
        <v>6.0340999999999997E-4</v>
      </c>
      <c r="T1481" s="2">
        <v>3.6581999999999999E-4</v>
      </c>
      <c r="V1481" s="11"/>
      <c r="W1481" s="6"/>
      <c r="X1481" s="6">
        <v>14.620000000000001</v>
      </c>
      <c r="Y1481" s="11" t="str">
        <f t="shared" si="276"/>
        <v/>
      </c>
      <c r="Z1481" s="6" t="str">
        <f t="shared" si="277"/>
        <v/>
      </c>
      <c r="AA1481" s="23">
        <f t="shared" si="278"/>
        <v>44.620000000000005</v>
      </c>
      <c r="AB1481" t="str">
        <f t="shared" si="267"/>
        <v/>
      </c>
      <c r="AC1481" t="str">
        <f t="shared" si="268"/>
        <v/>
      </c>
      <c r="AD1481">
        <f t="shared" si="269"/>
        <v>1.34498E-3</v>
      </c>
      <c r="AE1481" s="18" t="str">
        <f t="shared" si="270"/>
        <v/>
      </c>
      <c r="AF1481" s="7" t="str">
        <f t="shared" si="271"/>
        <v/>
      </c>
      <c r="AG1481" s="12">
        <f t="shared" si="272"/>
        <v>0.98802515862548834</v>
      </c>
      <c r="AI1481" s="54" t="str">
        <f t="shared" si="273"/>
        <v/>
      </c>
      <c r="AJ1481" s="54" t="str">
        <f t="shared" si="274"/>
        <v/>
      </c>
      <c r="AK1481" s="54">
        <f t="shared" si="275"/>
        <v>0.96641765473479424</v>
      </c>
    </row>
    <row r="1482" spans="18:37" x14ac:dyDescent="0.45">
      <c r="R1482" s="2">
        <v>31.58</v>
      </c>
      <c r="S1482" s="2">
        <v>6.0353999999999996E-4</v>
      </c>
      <c r="T1482" s="2">
        <v>3.6608000000000002E-4</v>
      </c>
      <c r="V1482" s="11"/>
      <c r="W1482" s="6"/>
      <c r="X1482" s="6">
        <v>14.63</v>
      </c>
      <c r="Y1482" s="11" t="str">
        <f t="shared" si="276"/>
        <v/>
      </c>
      <c r="Z1482" s="6" t="str">
        <f t="shared" si="277"/>
        <v/>
      </c>
      <c r="AA1482" s="23">
        <f t="shared" si="278"/>
        <v>44.63</v>
      </c>
      <c r="AB1482" t="str">
        <f t="shared" si="267"/>
        <v/>
      </c>
      <c r="AC1482" t="str">
        <f t="shared" si="268"/>
        <v/>
      </c>
      <c r="AD1482">
        <f t="shared" si="269"/>
        <v>1.3462700000000001E-3</v>
      </c>
      <c r="AE1482" s="18" t="str">
        <f t="shared" si="270"/>
        <v/>
      </c>
      <c r="AF1482" s="7" t="str">
        <f t="shared" si="271"/>
        <v/>
      </c>
      <c r="AG1482" s="12">
        <f t="shared" si="272"/>
        <v>0.9880118698847099</v>
      </c>
      <c r="AI1482" s="54" t="str">
        <f t="shared" si="273"/>
        <v/>
      </c>
      <c r="AJ1482" s="54" t="str">
        <f t="shared" si="274"/>
        <v/>
      </c>
      <c r="AK1482" s="54">
        <f t="shared" si="275"/>
        <v>0.96729466195528935</v>
      </c>
    </row>
    <row r="1483" spans="18:37" x14ac:dyDescent="0.45">
      <c r="R1483" s="2">
        <v>31.59</v>
      </c>
      <c r="S1483" s="2">
        <v>6.0367000000000005E-4</v>
      </c>
      <c r="T1483" s="2">
        <v>3.6633999999999999E-4</v>
      </c>
      <c r="V1483" s="11"/>
      <c r="W1483" s="6"/>
      <c r="X1483" s="6">
        <v>14.64</v>
      </c>
      <c r="Y1483" s="11" t="str">
        <f t="shared" si="276"/>
        <v/>
      </c>
      <c r="Z1483" s="6" t="str">
        <f t="shared" si="277"/>
        <v/>
      </c>
      <c r="AA1483" s="23">
        <f t="shared" si="278"/>
        <v>44.64</v>
      </c>
      <c r="AB1483" t="str">
        <f t="shared" si="267"/>
        <v/>
      </c>
      <c r="AC1483" t="str">
        <f t="shared" si="268"/>
        <v/>
      </c>
      <c r="AD1483">
        <f t="shared" si="269"/>
        <v>1.34756E-3</v>
      </c>
      <c r="AE1483" s="18" t="str">
        <f t="shared" si="270"/>
        <v/>
      </c>
      <c r="AF1483" s="7" t="str">
        <f t="shared" si="271"/>
        <v/>
      </c>
      <c r="AG1483" s="12">
        <f t="shared" si="272"/>
        <v>0.98799856857730917</v>
      </c>
      <c r="AI1483" s="54" t="str">
        <f t="shared" si="273"/>
        <v/>
      </c>
      <c r="AJ1483" s="54" t="str">
        <f t="shared" si="274"/>
        <v/>
      </c>
      <c r="AK1483" s="54">
        <f t="shared" si="275"/>
        <v>0.96817203135234542</v>
      </c>
    </row>
    <row r="1484" spans="18:37" x14ac:dyDescent="0.45">
      <c r="R1484" s="2">
        <v>31.6</v>
      </c>
      <c r="S1484" s="2">
        <v>6.0380000000000004E-4</v>
      </c>
      <c r="T1484" s="2">
        <v>3.6660000000000002E-4</v>
      </c>
      <c r="V1484" s="11"/>
      <c r="W1484" s="6"/>
      <c r="X1484" s="6">
        <v>14.65</v>
      </c>
      <c r="Y1484" s="11" t="str">
        <f t="shared" si="276"/>
        <v/>
      </c>
      <c r="Z1484" s="6" t="str">
        <f t="shared" si="277"/>
        <v/>
      </c>
      <c r="AA1484" s="23">
        <f t="shared" si="278"/>
        <v>44.65</v>
      </c>
      <c r="AB1484" t="str">
        <f t="shared" si="267"/>
        <v/>
      </c>
      <c r="AC1484" t="str">
        <f t="shared" si="268"/>
        <v/>
      </c>
      <c r="AD1484">
        <f t="shared" si="269"/>
        <v>1.34885E-3</v>
      </c>
      <c r="AE1484" s="18" t="str">
        <f t="shared" si="270"/>
        <v/>
      </c>
      <c r="AF1484" s="7" t="str">
        <f t="shared" si="271"/>
        <v/>
      </c>
      <c r="AG1484" s="12">
        <f t="shared" si="272"/>
        <v>0.9879852547037985</v>
      </c>
      <c r="AI1484" s="54" t="str">
        <f t="shared" si="273"/>
        <v/>
      </c>
      <c r="AJ1484" s="54" t="str">
        <f t="shared" si="274"/>
        <v/>
      </c>
      <c r="AK1484" s="54">
        <f t="shared" si="275"/>
        <v>0.96904976309834057</v>
      </c>
    </row>
    <row r="1485" spans="18:37" x14ac:dyDescent="0.45">
      <c r="R1485" s="2">
        <v>31.61</v>
      </c>
      <c r="S1485" s="2">
        <v>6.0393000000000003E-4</v>
      </c>
      <c r="T1485" s="2">
        <v>3.6685999999999999E-4</v>
      </c>
      <c r="V1485" s="11"/>
      <c r="W1485" s="6"/>
      <c r="X1485" s="6">
        <v>14.66</v>
      </c>
      <c r="Y1485" s="11" t="str">
        <f t="shared" si="276"/>
        <v/>
      </c>
      <c r="Z1485" s="6" t="str">
        <f t="shared" si="277"/>
        <v/>
      </c>
      <c r="AA1485" s="23">
        <f t="shared" si="278"/>
        <v>44.66</v>
      </c>
      <c r="AB1485" t="str">
        <f t="shared" si="267"/>
        <v/>
      </c>
      <c r="AC1485" t="str">
        <f t="shared" si="268"/>
        <v/>
      </c>
      <c r="AD1485">
        <f t="shared" si="269"/>
        <v>1.3501400000000001E-3</v>
      </c>
      <c r="AE1485" s="18" t="str">
        <f t="shared" si="270"/>
        <v/>
      </c>
      <c r="AF1485" s="7" t="str">
        <f t="shared" si="271"/>
        <v/>
      </c>
      <c r="AG1485" s="12">
        <f t="shared" si="272"/>
        <v>0.98797192826469038</v>
      </c>
      <c r="AI1485" s="54" t="str">
        <f t="shared" si="273"/>
        <v/>
      </c>
      <c r="AJ1485" s="54" t="str">
        <f t="shared" si="274"/>
        <v/>
      </c>
      <c r="AK1485" s="54">
        <f t="shared" si="275"/>
        <v>0.96992785736573794</v>
      </c>
    </row>
    <row r="1486" spans="18:37" x14ac:dyDescent="0.45">
      <c r="R1486" s="2">
        <v>31.62</v>
      </c>
      <c r="S1486" s="2">
        <v>6.0406000000000001E-4</v>
      </c>
      <c r="T1486" s="2">
        <v>3.6712000000000002E-4</v>
      </c>
      <c r="V1486" s="11"/>
      <c r="W1486" s="6"/>
      <c r="X1486" s="6">
        <v>14.67</v>
      </c>
      <c r="Y1486" s="11" t="str">
        <f t="shared" si="276"/>
        <v/>
      </c>
      <c r="Z1486" s="6" t="str">
        <f t="shared" si="277"/>
        <v/>
      </c>
      <c r="AA1486" s="23">
        <f t="shared" si="278"/>
        <v>44.67</v>
      </c>
      <c r="AB1486" t="str">
        <f t="shared" si="267"/>
        <v/>
      </c>
      <c r="AC1486" t="str">
        <f t="shared" si="268"/>
        <v/>
      </c>
      <c r="AD1486">
        <f t="shared" si="269"/>
        <v>1.35143E-3</v>
      </c>
      <c r="AE1486" s="18" t="str">
        <f t="shared" si="270"/>
        <v/>
      </c>
      <c r="AF1486" s="7" t="str">
        <f t="shared" si="271"/>
        <v/>
      </c>
      <c r="AG1486" s="12">
        <f t="shared" si="272"/>
        <v>0.98795858926049807</v>
      </c>
      <c r="AI1486" s="54" t="str">
        <f t="shared" si="273"/>
        <v/>
      </c>
      <c r="AJ1486" s="54" t="str">
        <f t="shared" si="274"/>
        <v/>
      </c>
      <c r="AK1486" s="54">
        <f t="shared" si="275"/>
        <v>0.97080631432708619</v>
      </c>
    </row>
    <row r="1487" spans="18:37" x14ac:dyDescent="0.45">
      <c r="R1487" s="2">
        <v>31.63</v>
      </c>
      <c r="S1487" s="2">
        <v>6.0419E-4</v>
      </c>
      <c r="T1487" s="2">
        <v>3.6738E-4</v>
      </c>
      <c r="V1487" s="11"/>
      <c r="W1487" s="6"/>
      <c r="X1487" s="6">
        <v>14.68</v>
      </c>
      <c r="Y1487" s="11" t="str">
        <f t="shared" si="276"/>
        <v/>
      </c>
      <c r="Z1487" s="6" t="str">
        <f t="shared" si="277"/>
        <v/>
      </c>
      <c r="AA1487" s="23">
        <f t="shared" si="278"/>
        <v>44.68</v>
      </c>
      <c r="AB1487" t="str">
        <f t="shared" si="267"/>
        <v/>
      </c>
      <c r="AC1487" t="str">
        <f t="shared" si="268"/>
        <v/>
      </c>
      <c r="AD1487">
        <f t="shared" si="269"/>
        <v>1.35272E-3</v>
      </c>
      <c r="AE1487" s="18" t="str">
        <f t="shared" si="270"/>
        <v/>
      </c>
      <c r="AF1487" s="7" t="str">
        <f t="shared" si="271"/>
        <v/>
      </c>
      <c r="AG1487" s="12">
        <f t="shared" si="272"/>
        <v>0.98794523769173526</v>
      </c>
      <c r="AI1487" s="54" t="str">
        <f t="shared" si="273"/>
        <v/>
      </c>
      <c r="AJ1487" s="54" t="str">
        <f t="shared" si="274"/>
        <v/>
      </c>
      <c r="AK1487" s="54">
        <f t="shared" si="275"/>
        <v>0.97168513415501923</v>
      </c>
    </row>
    <row r="1488" spans="18:37" x14ac:dyDescent="0.45">
      <c r="R1488" s="2">
        <v>31.64</v>
      </c>
      <c r="S1488" s="2">
        <v>6.0431999999999999E-4</v>
      </c>
      <c r="T1488" s="2">
        <v>3.6764000000000002E-4</v>
      </c>
      <c r="V1488" s="11"/>
      <c r="W1488" s="6"/>
      <c r="X1488" s="6">
        <v>14.69</v>
      </c>
      <c r="Y1488" s="11" t="str">
        <f t="shared" si="276"/>
        <v/>
      </c>
      <c r="Z1488" s="6" t="str">
        <f t="shared" si="277"/>
        <v/>
      </c>
      <c r="AA1488" s="23">
        <f t="shared" si="278"/>
        <v>44.69</v>
      </c>
      <c r="AB1488" t="str">
        <f t="shared" si="267"/>
        <v/>
      </c>
      <c r="AC1488" t="str">
        <f t="shared" si="268"/>
        <v/>
      </c>
      <c r="AD1488">
        <f t="shared" si="269"/>
        <v>1.3540099999999999E-3</v>
      </c>
      <c r="AE1488" s="18" t="str">
        <f t="shared" si="270"/>
        <v/>
      </c>
      <c r="AF1488" s="7" t="str">
        <f t="shared" si="271"/>
        <v/>
      </c>
      <c r="AG1488" s="12">
        <f t="shared" si="272"/>
        <v>0.98793187355891599</v>
      </c>
      <c r="AI1488" s="54" t="str">
        <f t="shared" si="273"/>
        <v/>
      </c>
      <c r="AJ1488" s="54" t="str">
        <f t="shared" si="274"/>
        <v/>
      </c>
      <c r="AK1488" s="54">
        <f t="shared" si="275"/>
        <v>0.97256431702225643</v>
      </c>
    </row>
    <row r="1489" spans="18:37" x14ac:dyDescent="0.45">
      <c r="R1489" s="2">
        <v>31.65</v>
      </c>
      <c r="S1489" s="2">
        <v>6.0444999999999997E-4</v>
      </c>
      <c r="T1489" s="2">
        <v>3.679E-4</v>
      </c>
      <c r="V1489" s="11"/>
      <c r="W1489" s="6"/>
      <c r="X1489" s="6">
        <v>14.700000000000001</v>
      </c>
      <c r="Y1489" s="11" t="str">
        <f t="shared" si="276"/>
        <v/>
      </c>
      <c r="Z1489" s="6" t="str">
        <f t="shared" si="277"/>
        <v/>
      </c>
      <c r="AA1489" s="23">
        <f t="shared" si="278"/>
        <v>44.7</v>
      </c>
      <c r="AB1489" t="str">
        <f t="shared" si="267"/>
        <v/>
      </c>
      <c r="AC1489" t="str">
        <f t="shared" si="268"/>
        <v/>
      </c>
      <c r="AD1489">
        <f t="shared" si="269"/>
        <v>1.3553E-3</v>
      </c>
      <c r="AE1489" s="18" t="str">
        <f t="shared" si="270"/>
        <v/>
      </c>
      <c r="AF1489" s="7" t="str">
        <f t="shared" si="271"/>
        <v/>
      </c>
      <c r="AG1489" s="12">
        <f t="shared" si="272"/>
        <v>0.98791849686255484</v>
      </c>
      <c r="AI1489" s="54" t="str">
        <f t="shared" si="273"/>
        <v/>
      </c>
      <c r="AJ1489" s="54" t="str">
        <f t="shared" si="274"/>
        <v/>
      </c>
      <c r="AK1489" s="54">
        <f t="shared" si="275"/>
        <v>0.97344386310160269</v>
      </c>
    </row>
    <row r="1490" spans="18:37" x14ac:dyDescent="0.45">
      <c r="R1490" s="2">
        <v>31.66</v>
      </c>
      <c r="S1490" s="2">
        <v>6.0457999999999996E-4</v>
      </c>
      <c r="T1490" s="2">
        <v>3.6816000000000003E-4</v>
      </c>
      <c r="V1490" s="11"/>
      <c r="W1490" s="6"/>
      <c r="X1490" s="6">
        <v>14.71</v>
      </c>
      <c r="Y1490" s="11" t="str">
        <f t="shared" si="276"/>
        <v/>
      </c>
      <c r="Z1490" s="6" t="str">
        <f t="shared" si="277"/>
        <v/>
      </c>
      <c r="AA1490" s="23">
        <f t="shared" si="278"/>
        <v>44.71</v>
      </c>
      <c r="AB1490" t="str">
        <f t="shared" si="267"/>
        <v/>
      </c>
      <c r="AC1490" t="str">
        <f t="shared" si="268"/>
        <v/>
      </c>
      <c r="AD1490">
        <f t="shared" si="269"/>
        <v>1.35659E-3</v>
      </c>
      <c r="AE1490" s="18" t="str">
        <f t="shared" si="270"/>
        <v/>
      </c>
      <c r="AF1490" s="7" t="str">
        <f t="shared" si="271"/>
        <v/>
      </c>
      <c r="AG1490" s="12">
        <f t="shared" si="272"/>
        <v>0.98790510760316685</v>
      </c>
      <c r="AI1490" s="54" t="str">
        <f t="shared" si="273"/>
        <v/>
      </c>
      <c r="AJ1490" s="54" t="str">
        <f t="shared" si="274"/>
        <v/>
      </c>
      <c r="AK1490" s="54">
        <f t="shared" si="275"/>
        <v>0.97432377256594849</v>
      </c>
    </row>
    <row r="1491" spans="18:37" x14ac:dyDescent="0.45">
      <c r="R1491" s="2">
        <v>31.67</v>
      </c>
      <c r="S1491" s="2">
        <v>6.0470999999999995E-4</v>
      </c>
      <c r="T1491" s="2">
        <v>3.6842E-4</v>
      </c>
      <c r="V1491" s="11"/>
      <c r="W1491" s="6"/>
      <c r="X1491" s="6">
        <v>14.72</v>
      </c>
      <c r="Y1491" s="11" t="str">
        <f t="shared" si="276"/>
        <v/>
      </c>
      <c r="Z1491" s="6" t="str">
        <f t="shared" si="277"/>
        <v/>
      </c>
      <c r="AA1491" s="23">
        <f t="shared" si="278"/>
        <v>44.72</v>
      </c>
      <c r="AB1491" t="str">
        <f t="shared" ref="AB1491:AB1519" si="279">IF(Y1491="","",VLOOKUP(Y1491,Table_1,2))</f>
        <v/>
      </c>
      <c r="AC1491" t="str">
        <f t="shared" ref="AC1491:AC1519" si="280">IF(Z1491="","",VLOOKUP(Z1491,Table_2,2))</f>
        <v/>
      </c>
      <c r="AD1491">
        <f t="shared" ref="AD1491:AD1519" si="281">IF(AA1491="","",VLOOKUP(AA1491,Table_3,2))</f>
        <v>1.3578799999999999E-3</v>
      </c>
      <c r="AE1491" s="18" t="str">
        <f t="shared" si="270"/>
        <v/>
      </c>
      <c r="AF1491" s="7" t="str">
        <f t="shared" si="271"/>
        <v/>
      </c>
      <c r="AG1491" s="12">
        <f t="shared" si="272"/>
        <v>0.98789170578126762</v>
      </c>
      <c r="AI1491" s="54" t="str">
        <f t="shared" si="273"/>
        <v/>
      </c>
      <c r="AJ1491" s="54" t="str">
        <f t="shared" si="274"/>
        <v/>
      </c>
      <c r="AK1491" s="54">
        <f t="shared" si="275"/>
        <v>0.97520404558826956</v>
      </c>
    </row>
    <row r="1492" spans="18:37" x14ac:dyDescent="0.45">
      <c r="R1492" s="2">
        <v>31.68</v>
      </c>
      <c r="S1492" s="2">
        <v>6.0484000000000004E-4</v>
      </c>
      <c r="T1492" s="2">
        <v>3.6867999999999997E-4</v>
      </c>
      <c r="V1492" s="11"/>
      <c r="W1492" s="6"/>
      <c r="X1492" s="6">
        <v>14.73</v>
      </c>
      <c r="Y1492" s="11" t="str">
        <f t="shared" si="276"/>
        <v/>
      </c>
      <c r="Z1492" s="6" t="str">
        <f t="shared" si="277"/>
        <v/>
      </c>
      <c r="AA1492" s="23">
        <f t="shared" si="278"/>
        <v>44.730000000000004</v>
      </c>
      <c r="AB1492" t="str">
        <f t="shared" si="279"/>
        <v/>
      </c>
      <c r="AC1492" t="str">
        <f t="shared" si="280"/>
        <v/>
      </c>
      <c r="AD1492">
        <f t="shared" si="281"/>
        <v>1.35917E-3</v>
      </c>
      <c r="AE1492" s="18" t="str">
        <f t="shared" ref="AE1492:AE1519" si="282">IF(AB1492="","",AE1491+h_1*(-AE1491*AB1491))</f>
        <v/>
      </c>
      <c r="AF1492" s="7" t="str">
        <f t="shared" ref="AF1492:AF1519" si="283">IF(AC1492="","",AF1491+h_2*(-AF1491*AC1491))</f>
        <v/>
      </c>
      <c r="AG1492" s="12">
        <f t="shared" ref="AG1492:AG1519" si="284">IF(AD1492="","",AG1491+h_3*(-AG1491*AD1491))</f>
        <v>0.98787829139737315</v>
      </c>
      <c r="AI1492" s="54" t="str">
        <f t="shared" ref="AI1492:AI1519" si="285">IF(Y1492="","",AI1491+AI$17*(AI1491*delta+Prem1-AB1491*(1-AI1491)))</f>
        <v/>
      </c>
      <c r="AJ1492" s="54" t="str">
        <f t="shared" ref="AJ1492:AJ1519" si="286">IF(Z1492="","",AJ1491+AJ$17*(AJ1491*delta+Prem2-AC1491*(1-AJ1491)))</f>
        <v/>
      </c>
      <c r="AK1492" s="54">
        <f t="shared" ref="AK1492:AK1519" si="287">IF(AA1492="","",AK1491+AK$17*(AK1491*delta+Prem3-AD1491*(1-AK1491)))</f>
        <v>0.9760846823416276</v>
      </c>
    </row>
    <row r="1493" spans="18:37" x14ac:dyDescent="0.45">
      <c r="R1493" s="2">
        <v>31.69</v>
      </c>
      <c r="S1493" s="2">
        <v>6.0497000000000003E-4</v>
      </c>
      <c r="T1493" s="2">
        <v>3.6894E-4</v>
      </c>
      <c r="V1493" s="11"/>
      <c r="W1493" s="6"/>
      <c r="X1493" s="6">
        <v>14.74</v>
      </c>
      <c r="Y1493" s="11" t="str">
        <f t="shared" ref="Y1493:Y1519" si="288">IF(ISBLANK(V1493),"",$Y$19+V1493)</f>
        <v/>
      </c>
      <c r="Z1493" s="6" t="str">
        <f t="shared" ref="Z1493:Z1519" si="289">IF(ISBLANK(W1493),"",$Y$19+W1493)</f>
        <v/>
      </c>
      <c r="AA1493" s="23">
        <f t="shared" ref="AA1493:AA1519" si="290">IF(ISBLANK(X1493),"",$Y$19+X1493)</f>
        <v>44.74</v>
      </c>
      <c r="AB1493" t="str">
        <f t="shared" si="279"/>
        <v/>
      </c>
      <c r="AC1493" t="str">
        <f t="shared" si="280"/>
        <v/>
      </c>
      <c r="AD1493">
        <f t="shared" si="281"/>
        <v>1.36046E-3</v>
      </c>
      <c r="AE1493" s="18" t="str">
        <f t="shared" si="282"/>
        <v/>
      </c>
      <c r="AF1493" s="7" t="str">
        <f t="shared" si="283"/>
        <v/>
      </c>
      <c r="AG1493" s="12">
        <f t="shared" si="284"/>
        <v>0.98786486445199995</v>
      </c>
      <c r="AI1493" s="54" t="str">
        <f t="shared" si="285"/>
        <v/>
      </c>
      <c r="AJ1493" s="54" t="str">
        <f t="shared" si="286"/>
        <v/>
      </c>
      <c r="AK1493" s="54">
        <f t="shared" si="287"/>
        <v>0.97696568299916975</v>
      </c>
    </row>
    <row r="1494" spans="18:37" x14ac:dyDescent="0.45">
      <c r="R1494" s="2">
        <v>31.7</v>
      </c>
      <c r="S1494" s="2">
        <v>6.0510000000000002E-4</v>
      </c>
      <c r="T1494" s="2">
        <v>3.6919999999999998E-4</v>
      </c>
      <c r="V1494" s="11"/>
      <c r="W1494" s="6"/>
      <c r="X1494" s="6">
        <v>14.75</v>
      </c>
      <c r="Y1494" s="11" t="str">
        <f t="shared" si="288"/>
        <v/>
      </c>
      <c r="Z1494" s="6" t="str">
        <f t="shared" si="289"/>
        <v/>
      </c>
      <c r="AA1494" s="23">
        <f t="shared" si="290"/>
        <v>44.75</v>
      </c>
      <c r="AB1494" t="str">
        <f t="shared" si="279"/>
        <v/>
      </c>
      <c r="AC1494" t="str">
        <f t="shared" si="280"/>
        <v/>
      </c>
      <c r="AD1494">
        <f t="shared" si="281"/>
        <v>1.3617499999999999E-3</v>
      </c>
      <c r="AE1494" s="18" t="str">
        <f t="shared" si="282"/>
        <v/>
      </c>
      <c r="AF1494" s="7" t="str">
        <f t="shared" si="283"/>
        <v/>
      </c>
      <c r="AG1494" s="12">
        <f t="shared" si="284"/>
        <v>0.98785142494566502</v>
      </c>
      <c r="AI1494" s="54" t="str">
        <f t="shared" si="285"/>
        <v/>
      </c>
      <c r="AJ1494" s="54" t="str">
        <f t="shared" si="286"/>
        <v/>
      </c>
      <c r="AK1494" s="54">
        <f t="shared" si="287"/>
        <v>0.97784704773412889</v>
      </c>
    </row>
    <row r="1495" spans="18:37" x14ac:dyDescent="0.45">
      <c r="R1495" s="2">
        <v>31.71</v>
      </c>
      <c r="S1495" s="2">
        <v>6.0523E-4</v>
      </c>
      <c r="T1495" s="2">
        <v>3.6946E-4</v>
      </c>
      <c r="V1495" s="11"/>
      <c r="W1495" s="6"/>
      <c r="X1495" s="6">
        <v>14.76</v>
      </c>
      <c r="Y1495" s="11" t="str">
        <f t="shared" si="288"/>
        <v/>
      </c>
      <c r="Z1495" s="6" t="str">
        <f t="shared" si="289"/>
        <v/>
      </c>
      <c r="AA1495" s="23">
        <f t="shared" si="290"/>
        <v>44.76</v>
      </c>
      <c r="AB1495" t="str">
        <f t="shared" si="279"/>
        <v/>
      </c>
      <c r="AC1495" t="str">
        <f t="shared" si="280"/>
        <v/>
      </c>
      <c r="AD1495">
        <f t="shared" si="281"/>
        <v>1.36304E-3</v>
      </c>
      <c r="AE1495" s="18" t="str">
        <f t="shared" si="282"/>
        <v/>
      </c>
      <c r="AF1495" s="7" t="str">
        <f t="shared" si="283"/>
        <v/>
      </c>
      <c r="AG1495" s="12">
        <f t="shared" si="284"/>
        <v>0.98783797287888586</v>
      </c>
      <c r="AI1495" s="54" t="str">
        <f t="shared" si="285"/>
        <v/>
      </c>
      <c r="AJ1495" s="54" t="str">
        <f t="shared" si="286"/>
        <v/>
      </c>
      <c r="AK1495" s="54">
        <f t="shared" si="287"/>
        <v>0.97872877671982361</v>
      </c>
    </row>
    <row r="1496" spans="18:37" x14ac:dyDescent="0.45">
      <c r="R1496" s="2">
        <v>31.72</v>
      </c>
      <c r="S1496" s="2">
        <v>6.0535999999999999E-4</v>
      </c>
      <c r="T1496" s="2">
        <v>3.6971999999999998E-4</v>
      </c>
      <c r="V1496" s="11"/>
      <c r="W1496" s="6"/>
      <c r="X1496" s="6">
        <v>14.77</v>
      </c>
      <c r="Y1496" s="11" t="str">
        <f t="shared" si="288"/>
        <v/>
      </c>
      <c r="Z1496" s="6" t="str">
        <f t="shared" si="289"/>
        <v/>
      </c>
      <c r="AA1496" s="23">
        <f t="shared" si="290"/>
        <v>44.769999999999996</v>
      </c>
      <c r="AB1496" t="str">
        <f t="shared" si="279"/>
        <v/>
      </c>
      <c r="AC1496" t="str">
        <f t="shared" si="280"/>
        <v/>
      </c>
      <c r="AD1496">
        <f t="shared" si="281"/>
        <v>1.36304E-3</v>
      </c>
      <c r="AE1496" s="18" t="str">
        <f t="shared" si="282"/>
        <v/>
      </c>
      <c r="AF1496" s="7" t="str">
        <f t="shared" si="283"/>
        <v/>
      </c>
      <c r="AG1496" s="12">
        <f t="shared" si="284"/>
        <v>0.98782450825218038</v>
      </c>
      <c r="AI1496" s="54" t="str">
        <f t="shared" si="285"/>
        <v/>
      </c>
      <c r="AJ1496" s="54" t="str">
        <f t="shared" si="286"/>
        <v/>
      </c>
      <c r="AK1496" s="54">
        <f t="shared" si="287"/>
        <v>0.9796108701296582</v>
      </c>
    </row>
    <row r="1497" spans="18:37" x14ac:dyDescent="0.45">
      <c r="R1497" s="2">
        <v>31.73</v>
      </c>
      <c r="S1497" s="2">
        <v>6.0548999999999998E-4</v>
      </c>
      <c r="T1497" s="2">
        <v>3.6998000000000001E-4</v>
      </c>
      <c r="V1497" s="11"/>
      <c r="W1497" s="6"/>
      <c r="X1497" s="6">
        <v>14.780000000000001</v>
      </c>
      <c r="Y1497" s="11" t="str">
        <f t="shared" si="288"/>
        <v/>
      </c>
      <c r="Z1497" s="6" t="str">
        <f t="shared" si="289"/>
        <v/>
      </c>
      <c r="AA1497" s="23">
        <f t="shared" si="290"/>
        <v>44.78</v>
      </c>
      <c r="AB1497" t="str">
        <f t="shared" si="279"/>
        <v/>
      </c>
      <c r="AC1497" t="str">
        <f t="shared" si="280"/>
        <v/>
      </c>
      <c r="AD1497">
        <f t="shared" si="281"/>
        <v>1.3656199999999999E-3</v>
      </c>
      <c r="AE1497" s="18" t="str">
        <f t="shared" si="282"/>
        <v/>
      </c>
      <c r="AF1497" s="7" t="str">
        <f t="shared" si="283"/>
        <v/>
      </c>
      <c r="AG1497" s="12">
        <f t="shared" si="284"/>
        <v>0.98781104380900309</v>
      </c>
      <c r="AI1497" s="54" t="str">
        <f t="shared" si="285"/>
        <v/>
      </c>
      <c r="AJ1497" s="54" t="str">
        <f t="shared" si="286"/>
        <v/>
      </c>
      <c r="AK1497" s="54">
        <f t="shared" si="287"/>
        <v>0.98049332840014281</v>
      </c>
    </row>
    <row r="1498" spans="18:37" x14ac:dyDescent="0.45">
      <c r="R1498" s="2">
        <v>31.74</v>
      </c>
      <c r="S1498" s="2">
        <v>6.0561999999999996E-4</v>
      </c>
      <c r="T1498" s="2">
        <v>3.7023999999999998E-4</v>
      </c>
      <c r="V1498" s="11"/>
      <c r="W1498" s="6"/>
      <c r="X1498" s="6">
        <v>14.790000000000001</v>
      </c>
      <c r="Y1498" s="11" t="str">
        <f t="shared" si="288"/>
        <v/>
      </c>
      <c r="Z1498" s="6" t="str">
        <f t="shared" si="289"/>
        <v/>
      </c>
      <c r="AA1498" s="23">
        <f t="shared" si="290"/>
        <v>44.79</v>
      </c>
      <c r="AB1498" t="str">
        <f t="shared" si="279"/>
        <v/>
      </c>
      <c r="AC1498" t="str">
        <f t="shared" si="280"/>
        <v/>
      </c>
      <c r="AD1498">
        <f t="shared" si="281"/>
        <v>1.36691E-3</v>
      </c>
      <c r="AE1498" s="18" t="str">
        <f t="shared" si="282"/>
        <v/>
      </c>
      <c r="AF1498" s="7" t="str">
        <f t="shared" si="283"/>
        <v/>
      </c>
      <c r="AG1498" s="12">
        <f t="shared" si="284"/>
        <v>0.98779755406382663</v>
      </c>
      <c r="AI1498" s="54" t="str">
        <f t="shared" si="285"/>
        <v/>
      </c>
      <c r="AJ1498" s="54" t="str">
        <f t="shared" si="286"/>
        <v/>
      </c>
      <c r="AK1498" s="54">
        <f t="shared" si="287"/>
        <v>0.98137615117892263</v>
      </c>
    </row>
    <row r="1499" spans="18:37" x14ac:dyDescent="0.45">
      <c r="R1499" s="2">
        <v>31.75</v>
      </c>
      <c r="S1499" s="2">
        <v>6.0574999999999995E-4</v>
      </c>
      <c r="T1499" s="2">
        <v>3.7050000000000001E-4</v>
      </c>
      <c r="V1499" s="11"/>
      <c r="W1499" s="6"/>
      <c r="X1499" s="6">
        <v>14.8</v>
      </c>
      <c r="Y1499" s="11" t="str">
        <f t="shared" si="288"/>
        <v/>
      </c>
      <c r="Z1499" s="6" t="str">
        <f t="shared" si="289"/>
        <v/>
      </c>
      <c r="AA1499" s="23">
        <f t="shared" si="290"/>
        <v>44.8</v>
      </c>
      <c r="AB1499" t="str">
        <f t="shared" si="279"/>
        <v/>
      </c>
      <c r="AC1499" t="str">
        <f t="shared" si="280"/>
        <v/>
      </c>
      <c r="AD1499">
        <f t="shared" si="281"/>
        <v>1.3682E-3</v>
      </c>
      <c r="AE1499" s="18" t="str">
        <f t="shared" si="282"/>
        <v/>
      </c>
      <c r="AF1499" s="7" t="str">
        <f t="shared" si="283"/>
        <v/>
      </c>
      <c r="AG1499" s="12">
        <f t="shared" si="284"/>
        <v>0.98778405176028039</v>
      </c>
      <c r="AI1499" s="54" t="str">
        <f t="shared" si="285"/>
        <v/>
      </c>
      <c r="AJ1499" s="54" t="str">
        <f t="shared" si="286"/>
        <v/>
      </c>
      <c r="AK1499" s="54">
        <f t="shared" si="287"/>
        <v>0.98225933890257078</v>
      </c>
    </row>
    <row r="1500" spans="18:37" x14ac:dyDescent="0.45">
      <c r="R1500" s="2">
        <v>31.76</v>
      </c>
      <c r="S1500" s="2">
        <v>6.0588000000000005E-4</v>
      </c>
      <c r="T1500" s="2">
        <v>3.7075999999999998E-4</v>
      </c>
      <c r="V1500" s="11"/>
      <c r="W1500" s="6"/>
      <c r="X1500" s="6">
        <v>14.81</v>
      </c>
      <c r="Y1500" s="11" t="str">
        <f t="shared" si="288"/>
        <v/>
      </c>
      <c r="Z1500" s="6" t="str">
        <f t="shared" si="289"/>
        <v/>
      </c>
      <c r="AA1500" s="23">
        <f t="shared" si="290"/>
        <v>44.81</v>
      </c>
      <c r="AB1500" t="str">
        <f t="shared" si="279"/>
        <v/>
      </c>
      <c r="AC1500" t="str">
        <f t="shared" si="280"/>
        <v/>
      </c>
      <c r="AD1500">
        <f t="shared" si="281"/>
        <v>1.3694899999999999E-3</v>
      </c>
      <c r="AE1500" s="18" t="str">
        <f t="shared" si="282"/>
        <v/>
      </c>
      <c r="AF1500" s="7" t="str">
        <f t="shared" si="283"/>
        <v/>
      </c>
      <c r="AG1500" s="12">
        <f t="shared" si="284"/>
        <v>0.98777053689888417</v>
      </c>
      <c r="AI1500" s="54" t="str">
        <f t="shared" si="285"/>
        <v/>
      </c>
      <c r="AJ1500" s="54" t="str">
        <f t="shared" si="286"/>
        <v/>
      </c>
      <c r="AK1500" s="54">
        <f t="shared" si="287"/>
        <v>0.98314289174483516</v>
      </c>
    </row>
    <row r="1501" spans="18:37" x14ac:dyDescent="0.45">
      <c r="R1501" s="2">
        <v>31.77</v>
      </c>
      <c r="S1501" s="2">
        <v>6.0601000000000003E-4</v>
      </c>
      <c r="T1501" s="2">
        <v>3.7102000000000001E-4</v>
      </c>
      <c r="V1501" s="11"/>
      <c r="W1501" s="6"/>
      <c r="X1501" s="6">
        <v>14.82</v>
      </c>
      <c r="Y1501" s="11" t="str">
        <f t="shared" si="288"/>
        <v/>
      </c>
      <c r="Z1501" s="6" t="str">
        <f t="shared" si="289"/>
        <v/>
      </c>
      <c r="AA1501" s="23">
        <f t="shared" si="290"/>
        <v>44.82</v>
      </c>
      <c r="AB1501" t="str">
        <f t="shared" si="279"/>
        <v/>
      </c>
      <c r="AC1501" t="str">
        <f t="shared" si="280"/>
        <v/>
      </c>
      <c r="AD1501">
        <f t="shared" si="281"/>
        <v>1.37078E-3</v>
      </c>
      <c r="AE1501" s="18" t="str">
        <f t="shared" si="282"/>
        <v/>
      </c>
      <c r="AF1501" s="7" t="str">
        <f t="shared" si="283"/>
        <v/>
      </c>
      <c r="AG1501" s="12">
        <f t="shared" si="284"/>
        <v>0.98775700948015843</v>
      </c>
      <c r="AI1501" s="54" t="str">
        <f t="shared" si="285"/>
        <v/>
      </c>
      <c r="AJ1501" s="54" t="str">
        <f t="shared" si="286"/>
        <v/>
      </c>
      <c r="AK1501" s="54">
        <f t="shared" si="287"/>
        <v>0.98402680987954971</v>
      </c>
    </row>
    <row r="1502" spans="18:37" x14ac:dyDescent="0.45">
      <c r="R1502" s="2">
        <v>31.78</v>
      </c>
      <c r="S1502" s="2">
        <v>6.0614000000000002E-4</v>
      </c>
      <c r="T1502" s="2">
        <v>3.7127999999999998E-4</v>
      </c>
      <c r="V1502" s="11"/>
      <c r="W1502" s="6"/>
      <c r="X1502" s="6">
        <v>14.83</v>
      </c>
      <c r="Y1502" s="11" t="str">
        <f t="shared" si="288"/>
        <v/>
      </c>
      <c r="Z1502" s="6" t="str">
        <f t="shared" si="289"/>
        <v/>
      </c>
      <c r="AA1502" s="23">
        <f t="shared" si="290"/>
        <v>44.83</v>
      </c>
      <c r="AB1502" t="str">
        <f t="shared" si="279"/>
        <v/>
      </c>
      <c r="AC1502" t="str">
        <f t="shared" si="280"/>
        <v/>
      </c>
      <c r="AD1502">
        <f t="shared" si="281"/>
        <v>1.37207E-3</v>
      </c>
      <c r="AE1502" s="18" t="str">
        <f t="shared" si="282"/>
        <v/>
      </c>
      <c r="AF1502" s="7" t="str">
        <f t="shared" si="283"/>
        <v/>
      </c>
      <c r="AG1502" s="12">
        <f t="shared" si="284"/>
        <v>0.98774346950462388</v>
      </c>
      <c r="AI1502" s="54" t="str">
        <f t="shared" si="285"/>
        <v/>
      </c>
      <c r="AJ1502" s="54" t="str">
        <f t="shared" si="286"/>
        <v/>
      </c>
      <c r="AK1502" s="54">
        <f t="shared" si="287"/>
        <v>0.98491109348063455</v>
      </c>
    </row>
    <row r="1503" spans="18:37" x14ac:dyDescent="0.45">
      <c r="R1503" s="2">
        <v>31.79</v>
      </c>
      <c r="S1503" s="2">
        <v>6.0627000000000001E-4</v>
      </c>
      <c r="T1503" s="2">
        <v>3.7154000000000001E-4</v>
      </c>
      <c r="V1503" s="11"/>
      <c r="W1503" s="6"/>
      <c r="X1503" s="6">
        <v>14.84</v>
      </c>
      <c r="Y1503" s="11" t="str">
        <f t="shared" si="288"/>
        <v/>
      </c>
      <c r="Z1503" s="6" t="str">
        <f t="shared" si="289"/>
        <v/>
      </c>
      <c r="AA1503" s="23">
        <f t="shared" si="290"/>
        <v>44.84</v>
      </c>
      <c r="AB1503" t="str">
        <f t="shared" si="279"/>
        <v/>
      </c>
      <c r="AC1503" t="str">
        <f t="shared" si="280"/>
        <v/>
      </c>
      <c r="AD1503">
        <f t="shared" si="281"/>
        <v>1.3733599999999999E-3</v>
      </c>
      <c r="AE1503" s="18" t="str">
        <f t="shared" si="282"/>
        <v/>
      </c>
      <c r="AF1503" s="7" t="str">
        <f t="shared" si="283"/>
        <v/>
      </c>
      <c r="AG1503" s="12">
        <f t="shared" si="284"/>
        <v>0.98772991697280188</v>
      </c>
      <c r="AI1503" s="54" t="str">
        <f t="shared" si="285"/>
        <v/>
      </c>
      <c r="AJ1503" s="54" t="str">
        <f t="shared" si="286"/>
        <v/>
      </c>
      <c r="AK1503" s="54">
        <f t="shared" si="287"/>
        <v>0.98579574272209558</v>
      </c>
    </row>
    <row r="1504" spans="18:37" x14ac:dyDescent="0.45">
      <c r="R1504" s="2">
        <v>31.8</v>
      </c>
      <c r="S1504" s="2">
        <v>6.0639999999999999E-4</v>
      </c>
      <c r="T1504" s="2">
        <v>3.7179999999999998E-4</v>
      </c>
      <c r="V1504" s="11"/>
      <c r="W1504" s="6"/>
      <c r="X1504" s="6">
        <v>14.85</v>
      </c>
      <c r="Y1504" s="11" t="str">
        <f t="shared" si="288"/>
        <v/>
      </c>
      <c r="Z1504" s="6" t="str">
        <f t="shared" si="289"/>
        <v/>
      </c>
      <c r="AA1504" s="23">
        <f t="shared" si="290"/>
        <v>44.85</v>
      </c>
      <c r="AB1504" t="str">
        <f t="shared" si="279"/>
        <v/>
      </c>
      <c r="AC1504" t="str">
        <f t="shared" si="280"/>
        <v/>
      </c>
      <c r="AD1504">
        <f t="shared" si="281"/>
        <v>1.37465E-3</v>
      </c>
      <c r="AE1504" s="18" t="str">
        <f t="shared" si="282"/>
        <v/>
      </c>
      <c r="AF1504" s="7" t="str">
        <f t="shared" si="283"/>
        <v/>
      </c>
      <c r="AG1504" s="12">
        <f t="shared" si="284"/>
        <v>0.98771635188521412</v>
      </c>
      <c r="AI1504" s="54" t="str">
        <f t="shared" si="285"/>
        <v/>
      </c>
      <c r="AJ1504" s="54" t="str">
        <f t="shared" si="286"/>
        <v/>
      </c>
      <c r="AK1504" s="54">
        <f t="shared" si="287"/>
        <v>0.98668075777802511</v>
      </c>
    </row>
    <row r="1505" spans="18:37" x14ac:dyDescent="0.45">
      <c r="R1505" s="2">
        <v>31.81</v>
      </c>
      <c r="S1505" s="2">
        <v>6.0652999999999998E-4</v>
      </c>
      <c r="T1505" s="2">
        <v>3.7206000000000001E-4</v>
      </c>
      <c r="V1505" s="11"/>
      <c r="W1505" s="6"/>
      <c r="X1505" s="6">
        <v>14.86</v>
      </c>
      <c r="Y1505" s="11" t="str">
        <f t="shared" si="288"/>
        <v/>
      </c>
      <c r="Z1505" s="6" t="str">
        <f t="shared" si="289"/>
        <v/>
      </c>
      <c r="AA1505" s="23">
        <f t="shared" si="290"/>
        <v>44.86</v>
      </c>
      <c r="AB1505" t="str">
        <f t="shared" si="279"/>
        <v/>
      </c>
      <c r="AC1505" t="str">
        <f t="shared" si="280"/>
        <v/>
      </c>
      <c r="AD1505">
        <f t="shared" si="281"/>
        <v>1.37594E-3</v>
      </c>
      <c r="AE1505" s="18" t="str">
        <f t="shared" si="282"/>
        <v/>
      </c>
      <c r="AF1505" s="7" t="str">
        <f t="shared" si="283"/>
        <v/>
      </c>
      <c r="AG1505" s="12">
        <f t="shared" si="284"/>
        <v>0.98770277424238295</v>
      </c>
      <c r="AI1505" s="54" t="str">
        <f t="shared" si="285"/>
        <v/>
      </c>
      <c r="AJ1505" s="54" t="str">
        <f t="shared" si="286"/>
        <v/>
      </c>
      <c r="AK1505" s="54">
        <f t="shared" si="287"/>
        <v>0.98756613882260158</v>
      </c>
    </row>
    <row r="1506" spans="18:37" x14ac:dyDescent="0.45">
      <c r="R1506" s="2">
        <v>31.82</v>
      </c>
      <c r="S1506" s="2">
        <v>6.0665999999999997E-4</v>
      </c>
      <c r="T1506" s="2">
        <v>3.7231999999999999E-4</v>
      </c>
      <c r="V1506" s="11"/>
      <c r="W1506" s="6"/>
      <c r="X1506" s="6">
        <v>14.870000000000001</v>
      </c>
      <c r="Y1506" s="11" t="str">
        <f t="shared" si="288"/>
        <v/>
      </c>
      <c r="Z1506" s="6" t="str">
        <f t="shared" si="289"/>
        <v/>
      </c>
      <c r="AA1506" s="23">
        <f t="shared" si="290"/>
        <v>44.870000000000005</v>
      </c>
      <c r="AB1506" t="str">
        <f t="shared" si="279"/>
        <v/>
      </c>
      <c r="AC1506" t="str">
        <f t="shared" si="280"/>
        <v/>
      </c>
      <c r="AD1506">
        <f t="shared" si="281"/>
        <v>1.3772299999999999E-3</v>
      </c>
      <c r="AE1506" s="18" t="str">
        <f t="shared" si="282"/>
        <v/>
      </c>
      <c r="AF1506" s="7" t="str">
        <f t="shared" si="283"/>
        <v/>
      </c>
      <c r="AG1506" s="12">
        <f t="shared" si="284"/>
        <v>0.98768918404483108</v>
      </c>
      <c r="AI1506" s="54" t="str">
        <f t="shared" si="285"/>
        <v/>
      </c>
      <c r="AJ1506" s="54" t="str">
        <f t="shared" si="286"/>
        <v/>
      </c>
      <c r="AK1506" s="54">
        <f t="shared" si="287"/>
        <v>0.9884518860300896</v>
      </c>
    </row>
    <row r="1507" spans="18:37" x14ac:dyDescent="0.45">
      <c r="R1507" s="2">
        <v>31.83</v>
      </c>
      <c r="S1507" s="2">
        <v>6.0678999999999996E-4</v>
      </c>
      <c r="T1507" s="2">
        <v>3.7258000000000001E-4</v>
      </c>
      <c r="V1507" s="11"/>
      <c r="W1507" s="6"/>
      <c r="X1507" s="6">
        <v>14.88</v>
      </c>
      <c r="Y1507" s="11" t="str">
        <f t="shared" si="288"/>
        <v/>
      </c>
      <c r="Z1507" s="6" t="str">
        <f t="shared" si="289"/>
        <v/>
      </c>
      <c r="AA1507" s="23">
        <f t="shared" si="290"/>
        <v>44.88</v>
      </c>
      <c r="AB1507" t="str">
        <f t="shared" si="279"/>
        <v/>
      </c>
      <c r="AC1507" t="str">
        <f t="shared" si="280"/>
        <v/>
      </c>
      <c r="AD1507">
        <f t="shared" si="281"/>
        <v>1.37852E-3</v>
      </c>
      <c r="AE1507" s="18" t="str">
        <f t="shared" si="282"/>
        <v/>
      </c>
      <c r="AF1507" s="7" t="str">
        <f t="shared" si="283"/>
        <v/>
      </c>
      <c r="AG1507" s="12">
        <f t="shared" si="284"/>
        <v>0.98767558129308164</v>
      </c>
      <c r="AI1507" s="54" t="str">
        <f t="shared" si="285"/>
        <v/>
      </c>
      <c r="AJ1507" s="54" t="str">
        <f t="shared" si="286"/>
        <v/>
      </c>
      <c r="AK1507" s="54">
        <f t="shared" si="287"/>
        <v>0.98933799957484014</v>
      </c>
    </row>
    <row r="1508" spans="18:37" x14ac:dyDescent="0.45">
      <c r="R1508" s="2">
        <v>31.84</v>
      </c>
      <c r="S1508" s="2">
        <v>6.0692000000000005E-4</v>
      </c>
      <c r="T1508" s="2">
        <v>3.7283999999999999E-4</v>
      </c>
      <c r="V1508" s="11"/>
      <c r="W1508" s="6"/>
      <c r="X1508" s="6">
        <v>14.89</v>
      </c>
      <c r="Y1508" s="11" t="str">
        <f t="shared" si="288"/>
        <v/>
      </c>
      <c r="Z1508" s="6" t="str">
        <f t="shared" si="289"/>
        <v/>
      </c>
      <c r="AA1508" s="23">
        <f t="shared" si="290"/>
        <v>44.89</v>
      </c>
      <c r="AB1508" t="str">
        <f t="shared" si="279"/>
        <v/>
      </c>
      <c r="AC1508" t="str">
        <f t="shared" si="280"/>
        <v/>
      </c>
      <c r="AD1508">
        <f t="shared" si="281"/>
        <v>1.37981E-3</v>
      </c>
      <c r="AE1508" s="18" t="str">
        <f t="shared" si="282"/>
        <v/>
      </c>
      <c r="AF1508" s="7" t="str">
        <f t="shared" si="283"/>
        <v/>
      </c>
      <c r="AG1508" s="12">
        <f t="shared" si="284"/>
        <v>0.98766196598765843</v>
      </c>
      <c r="AI1508" s="54" t="str">
        <f t="shared" si="285"/>
        <v/>
      </c>
      <c r="AJ1508" s="54" t="str">
        <f t="shared" si="286"/>
        <v/>
      </c>
      <c r="AK1508" s="54">
        <f t="shared" si="287"/>
        <v>0.99022447963129034</v>
      </c>
    </row>
    <row r="1509" spans="18:37" x14ac:dyDescent="0.45">
      <c r="R1509" s="2">
        <v>31.85</v>
      </c>
      <c r="S1509" s="2">
        <v>6.0705000000000004E-4</v>
      </c>
      <c r="T1509" s="2">
        <v>3.7310000000000002E-4</v>
      </c>
      <c r="V1509" s="11"/>
      <c r="W1509" s="6"/>
      <c r="X1509" s="6">
        <v>14.9</v>
      </c>
      <c r="Y1509" s="11" t="str">
        <f t="shared" si="288"/>
        <v/>
      </c>
      <c r="Z1509" s="6" t="str">
        <f t="shared" si="289"/>
        <v/>
      </c>
      <c r="AA1509" s="23">
        <f t="shared" si="290"/>
        <v>44.9</v>
      </c>
      <c r="AB1509" t="str">
        <f t="shared" si="279"/>
        <v/>
      </c>
      <c r="AC1509" t="str">
        <f t="shared" si="280"/>
        <v/>
      </c>
      <c r="AD1509">
        <f t="shared" si="281"/>
        <v>1.3810999999999999E-3</v>
      </c>
      <c r="AE1509" s="18" t="str">
        <f t="shared" si="282"/>
        <v/>
      </c>
      <c r="AF1509" s="7" t="str">
        <f t="shared" si="283"/>
        <v/>
      </c>
      <c r="AG1509" s="12">
        <f t="shared" si="284"/>
        <v>0.98764833812908559</v>
      </c>
      <c r="AI1509" s="54" t="str">
        <f t="shared" si="285"/>
        <v/>
      </c>
      <c r="AJ1509" s="54" t="str">
        <f t="shared" si="286"/>
        <v/>
      </c>
      <c r="AK1509" s="54">
        <f t="shared" si="287"/>
        <v>0.99111132637396371</v>
      </c>
    </row>
    <row r="1510" spans="18:37" x14ac:dyDescent="0.45">
      <c r="R1510" s="2">
        <v>31.86</v>
      </c>
      <c r="S1510" s="2">
        <v>6.0718000000000002E-4</v>
      </c>
      <c r="T1510" s="2">
        <v>3.7335999999999999E-4</v>
      </c>
      <c r="V1510" s="11"/>
      <c r="W1510" s="6"/>
      <c r="X1510" s="6">
        <v>14.91</v>
      </c>
      <c r="Y1510" s="11" t="str">
        <f t="shared" si="288"/>
        <v/>
      </c>
      <c r="Z1510" s="6" t="str">
        <f t="shared" si="289"/>
        <v/>
      </c>
      <c r="AA1510" s="23">
        <f t="shared" si="290"/>
        <v>44.91</v>
      </c>
      <c r="AB1510" t="str">
        <f t="shared" si="279"/>
        <v/>
      </c>
      <c r="AC1510" t="str">
        <f t="shared" si="280"/>
        <v/>
      </c>
      <c r="AD1510">
        <f t="shared" si="281"/>
        <v>1.3823900000000001E-3</v>
      </c>
      <c r="AE1510" s="18" t="str">
        <f t="shared" si="282"/>
        <v/>
      </c>
      <c r="AF1510" s="7" t="str">
        <f t="shared" si="283"/>
        <v/>
      </c>
      <c r="AG1510" s="12">
        <f t="shared" si="284"/>
        <v>0.9876346977178877</v>
      </c>
      <c r="AI1510" s="54" t="str">
        <f t="shared" si="285"/>
        <v/>
      </c>
      <c r="AJ1510" s="54" t="str">
        <f t="shared" si="286"/>
        <v/>
      </c>
      <c r="AK1510" s="54">
        <f t="shared" si="287"/>
        <v>0.99199853997747034</v>
      </c>
    </row>
    <row r="1511" spans="18:37" x14ac:dyDescent="0.45">
      <c r="R1511" s="2">
        <v>31.87</v>
      </c>
      <c r="S1511" s="2">
        <v>6.0731000000000001E-4</v>
      </c>
      <c r="T1511" s="2">
        <v>3.7362000000000002E-4</v>
      </c>
      <c r="V1511" s="11"/>
      <c r="W1511" s="6"/>
      <c r="X1511" s="6">
        <v>14.92</v>
      </c>
      <c r="Y1511" s="11" t="str">
        <f t="shared" si="288"/>
        <v/>
      </c>
      <c r="Z1511" s="6" t="str">
        <f t="shared" si="289"/>
        <v/>
      </c>
      <c r="AA1511" s="23">
        <f t="shared" si="290"/>
        <v>44.92</v>
      </c>
      <c r="AB1511" t="str">
        <f t="shared" si="279"/>
        <v/>
      </c>
      <c r="AC1511" t="str">
        <f t="shared" si="280"/>
        <v/>
      </c>
      <c r="AD1511">
        <f t="shared" si="281"/>
        <v>1.38368E-3</v>
      </c>
      <c r="AE1511" s="18" t="str">
        <f t="shared" si="282"/>
        <v/>
      </c>
      <c r="AF1511" s="7" t="str">
        <f t="shared" si="283"/>
        <v/>
      </c>
      <c r="AG1511" s="12">
        <f t="shared" si="284"/>
        <v>0.98762104475458989</v>
      </c>
      <c r="AI1511" s="54" t="str">
        <f t="shared" si="285"/>
        <v/>
      </c>
      <c r="AJ1511" s="54" t="str">
        <f t="shared" si="286"/>
        <v/>
      </c>
      <c r="AK1511" s="54">
        <f t="shared" si="287"/>
        <v>0.99288612061650661</v>
      </c>
    </row>
    <row r="1512" spans="18:37" x14ac:dyDescent="0.45">
      <c r="R1512" s="2">
        <v>31.88</v>
      </c>
      <c r="S1512" s="2">
        <v>6.0744E-4</v>
      </c>
      <c r="T1512" s="2">
        <v>3.7387999999999999E-4</v>
      </c>
      <c r="V1512" s="11"/>
      <c r="W1512" s="6"/>
      <c r="X1512" s="6">
        <v>14.93</v>
      </c>
      <c r="Y1512" s="11" t="str">
        <f t="shared" si="288"/>
        <v/>
      </c>
      <c r="Z1512" s="6" t="str">
        <f t="shared" si="289"/>
        <v/>
      </c>
      <c r="AA1512" s="23">
        <f t="shared" si="290"/>
        <v>44.93</v>
      </c>
      <c r="AB1512" t="str">
        <f t="shared" si="279"/>
        <v/>
      </c>
      <c r="AC1512" t="str">
        <f t="shared" si="280"/>
        <v/>
      </c>
      <c r="AD1512">
        <f t="shared" si="281"/>
        <v>1.3849699999999999E-3</v>
      </c>
      <c r="AE1512" s="18" t="str">
        <f t="shared" si="282"/>
        <v/>
      </c>
      <c r="AF1512" s="7" t="str">
        <f t="shared" si="283"/>
        <v/>
      </c>
      <c r="AG1512" s="12">
        <f t="shared" si="284"/>
        <v>0.98760737923971786</v>
      </c>
      <c r="AI1512" s="54" t="str">
        <f t="shared" si="285"/>
        <v/>
      </c>
      <c r="AJ1512" s="54" t="str">
        <f t="shared" si="286"/>
        <v/>
      </c>
      <c r="AK1512" s="54">
        <f t="shared" si="287"/>
        <v>0.99377406846585548</v>
      </c>
    </row>
    <row r="1513" spans="18:37" x14ac:dyDescent="0.45">
      <c r="R1513" s="2">
        <v>31.89</v>
      </c>
      <c r="S1513" s="2">
        <v>6.0756999999999999E-4</v>
      </c>
      <c r="T1513" s="2">
        <v>3.7414000000000002E-4</v>
      </c>
      <c r="V1513" s="11"/>
      <c r="W1513" s="6"/>
      <c r="X1513" s="6">
        <v>14.94</v>
      </c>
      <c r="Y1513" s="11" t="str">
        <f t="shared" si="288"/>
        <v/>
      </c>
      <c r="Z1513" s="6" t="str">
        <f t="shared" si="289"/>
        <v/>
      </c>
      <c r="AA1513" s="23">
        <f t="shared" si="290"/>
        <v>44.94</v>
      </c>
      <c r="AB1513" t="str">
        <f t="shared" si="279"/>
        <v/>
      </c>
      <c r="AC1513" t="str">
        <f t="shared" si="280"/>
        <v/>
      </c>
      <c r="AD1513">
        <f t="shared" si="281"/>
        <v>1.3862600000000001E-3</v>
      </c>
      <c r="AE1513" s="18" t="str">
        <f t="shared" si="282"/>
        <v/>
      </c>
      <c r="AF1513" s="7" t="str">
        <f t="shared" si="283"/>
        <v/>
      </c>
      <c r="AG1513" s="12">
        <f t="shared" si="284"/>
        <v>0.98759370117379763</v>
      </c>
      <c r="AI1513" s="54" t="str">
        <f t="shared" si="285"/>
        <v/>
      </c>
      <c r="AJ1513" s="54" t="str">
        <f t="shared" si="286"/>
        <v/>
      </c>
      <c r="AK1513" s="54">
        <f t="shared" si="287"/>
        <v>0.9946623837003864</v>
      </c>
    </row>
    <row r="1514" spans="18:37" x14ac:dyDescent="0.45">
      <c r="R1514" s="2">
        <v>31.9</v>
      </c>
      <c r="S1514" s="2">
        <v>6.0769999999999997E-4</v>
      </c>
      <c r="T1514" s="2">
        <v>3.7439999999999999E-4</v>
      </c>
      <c r="V1514" s="11"/>
      <c r="W1514" s="6"/>
      <c r="X1514" s="6">
        <v>14.950000000000001</v>
      </c>
      <c r="Y1514" s="11" t="str">
        <f t="shared" si="288"/>
        <v/>
      </c>
      <c r="Z1514" s="6" t="str">
        <f t="shared" si="289"/>
        <v/>
      </c>
      <c r="AA1514" s="23">
        <f t="shared" si="290"/>
        <v>44.95</v>
      </c>
      <c r="AB1514" t="str">
        <f t="shared" si="279"/>
        <v/>
      </c>
      <c r="AC1514" t="str">
        <f t="shared" si="280"/>
        <v/>
      </c>
      <c r="AD1514">
        <f t="shared" si="281"/>
        <v>1.38755E-3</v>
      </c>
      <c r="AE1514" s="18" t="str">
        <f t="shared" si="282"/>
        <v/>
      </c>
      <c r="AF1514" s="7" t="str">
        <f t="shared" si="283"/>
        <v/>
      </c>
      <c r="AG1514" s="12">
        <f t="shared" si="284"/>
        <v>0.98758001055735578</v>
      </c>
      <c r="AI1514" s="54" t="str">
        <f t="shared" si="285"/>
        <v/>
      </c>
      <c r="AJ1514" s="54" t="str">
        <f t="shared" si="286"/>
        <v/>
      </c>
      <c r="AK1514" s="54">
        <f t="shared" si="287"/>
        <v>0.99555106649505531</v>
      </c>
    </row>
    <row r="1515" spans="18:37" x14ac:dyDescent="0.45">
      <c r="R1515" s="2">
        <v>31.91</v>
      </c>
      <c r="S1515" s="2">
        <v>6.0782999999999996E-4</v>
      </c>
      <c r="T1515" s="2">
        <v>3.7466000000000002E-4</v>
      </c>
      <c r="V1515" s="11"/>
      <c r="W1515" s="6"/>
      <c r="X1515" s="6">
        <v>14.96</v>
      </c>
      <c r="Y1515" s="11" t="str">
        <f t="shared" si="288"/>
        <v/>
      </c>
      <c r="Z1515" s="6" t="str">
        <f t="shared" si="289"/>
        <v/>
      </c>
      <c r="AA1515" s="23">
        <f t="shared" si="290"/>
        <v>44.96</v>
      </c>
      <c r="AB1515" t="str">
        <f t="shared" si="279"/>
        <v/>
      </c>
      <c r="AC1515" t="str">
        <f t="shared" si="280"/>
        <v/>
      </c>
      <c r="AD1515">
        <f t="shared" si="281"/>
        <v>1.3888399999999999E-3</v>
      </c>
      <c r="AE1515" s="18" t="str">
        <f t="shared" si="282"/>
        <v/>
      </c>
      <c r="AF1515" s="7" t="str">
        <f t="shared" si="283"/>
        <v/>
      </c>
      <c r="AG1515" s="12">
        <f t="shared" si="284"/>
        <v>0.98756630739091933</v>
      </c>
      <c r="AI1515" s="54" t="str">
        <f t="shared" si="285"/>
        <v/>
      </c>
      <c r="AJ1515" s="54" t="str">
        <f t="shared" si="286"/>
        <v/>
      </c>
      <c r="AK1515" s="54">
        <f t="shared" si="287"/>
        <v>0.99644011702490498</v>
      </c>
    </row>
    <row r="1516" spans="18:37" x14ac:dyDescent="0.45">
      <c r="R1516" s="2">
        <v>31.92</v>
      </c>
      <c r="S1516" s="2">
        <v>6.0796000000000005E-4</v>
      </c>
      <c r="T1516" s="2">
        <v>3.7492E-4</v>
      </c>
      <c r="V1516" s="11"/>
      <c r="W1516" s="6"/>
      <c r="X1516" s="6">
        <v>14.97</v>
      </c>
      <c r="Y1516" s="11" t="str">
        <f t="shared" si="288"/>
        <v/>
      </c>
      <c r="Z1516" s="6" t="str">
        <f t="shared" si="289"/>
        <v/>
      </c>
      <c r="AA1516" s="23">
        <f t="shared" si="290"/>
        <v>44.97</v>
      </c>
      <c r="AB1516" t="str">
        <f t="shared" si="279"/>
        <v/>
      </c>
      <c r="AC1516" t="str">
        <f t="shared" si="280"/>
        <v/>
      </c>
      <c r="AD1516">
        <f t="shared" si="281"/>
        <v>1.3901300000000001E-3</v>
      </c>
      <c r="AE1516" s="18" t="str">
        <f t="shared" si="282"/>
        <v/>
      </c>
      <c r="AF1516" s="7" t="str">
        <f t="shared" si="283"/>
        <v/>
      </c>
      <c r="AG1516" s="12">
        <f t="shared" si="284"/>
        <v>0.98755259167501575</v>
      </c>
      <c r="AI1516" s="54" t="str">
        <f t="shared" si="285"/>
        <v/>
      </c>
      <c r="AJ1516" s="54" t="str">
        <f t="shared" si="286"/>
        <v/>
      </c>
      <c r="AK1516" s="54">
        <f t="shared" si="287"/>
        <v>0.99732953546506475</v>
      </c>
    </row>
    <row r="1517" spans="18:37" x14ac:dyDescent="0.45">
      <c r="R1517" s="2">
        <v>31.93</v>
      </c>
      <c r="S1517" s="2">
        <v>6.0809000000000004E-4</v>
      </c>
      <c r="T1517" s="2">
        <v>3.7518000000000002E-4</v>
      </c>
      <c r="V1517" s="11"/>
      <c r="W1517" s="6"/>
      <c r="X1517" s="6">
        <v>14.98</v>
      </c>
      <c r="Y1517" s="11" t="str">
        <f t="shared" si="288"/>
        <v/>
      </c>
      <c r="Z1517" s="6" t="str">
        <f t="shared" si="289"/>
        <v/>
      </c>
      <c r="AA1517" s="23">
        <f t="shared" si="290"/>
        <v>44.980000000000004</v>
      </c>
      <c r="AB1517" t="str">
        <f t="shared" si="279"/>
        <v/>
      </c>
      <c r="AC1517" t="str">
        <f t="shared" si="280"/>
        <v/>
      </c>
      <c r="AD1517">
        <f t="shared" si="281"/>
        <v>1.39142E-3</v>
      </c>
      <c r="AE1517" s="18" t="str">
        <f t="shared" si="282"/>
        <v/>
      </c>
      <c r="AF1517" s="7" t="str">
        <f t="shared" si="283"/>
        <v/>
      </c>
      <c r="AG1517" s="12">
        <f t="shared" si="284"/>
        <v>0.98753886341017305</v>
      </c>
      <c r="AI1517" s="54" t="str">
        <f t="shared" si="285"/>
        <v/>
      </c>
      <c r="AJ1517" s="54" t="str">
        <f t="shared" si="286"/>
        <v/>
      </c>
      <c r="AK1517" s="54">
        <f t="shared" si="287"/>
        <v>0.99821932199075059</v>
      </c>
    </row>
    <row r="1518" spans="18:37" x14ac:dyDescent="0.45">
      <c r="R1518" s="2">
        <v>31.94</v>
      </c>
      <c r="S1518" s="2">
        <v>6.0822000000000003E-4</v>
      </c>
      <c r="T1518" s="2">
        <v>3.7544E-4</v>
      </c>
      <c r="V1518" s="11"/>
      <c r="W1518" s="6"/>
      <c r="X1518" s="6">
        <v>14.99</v>
      </c>
      <c r="Y1518" s="11" t="str">
        <f t="shared" si="288"/>
        <v/>
      </c>
      <c r="Z1518" s="6" t="str">
        <f t="shared" si="289"/>
        <v/>
      </c>
      <c r="AA1518" s="23">
        <f t="shared" si="290"/>
        <v>44.99</v>
      </c>
      <c r="AB1518" t="str">
        <f t="shared" si="279"/>
        <v/>
      </c>
      <c r="AC1518" t="str">
        <f t="shared" si="280"/>
        <v/>
      </c>
      <c r="AD1518">
        <f t="shared" si="281"/>
        <v>1.3927099999999999E-3</v>
      </c>
      <c r="AE1518" s="18" t="str">
        <f t="shared" si="282"/>
        <v/>
      </c>
      <c r="AF1518" s="7" t="str">
        <f t="shared" si="283"/>
        <v/>
      </c>
      <c r="AG1518" s="12">
        <f t="shared" si="284"/>
        <v>0.98752512259691982</v>
      </c>
      <c r="AI1518" s="54" t="str">
        <f t="shared" si="285"/>
        <v/>
      </c>
      <c r="AJ1518" s="54" t="str">
        <f t="shared" si="286"/>
        <v/>
      </c>
      <c r="AK1518" s="54">
        <f t="shared" si="287"/>
        <v>0.99910947677726547</v>
      </c>
    </row>
    <row r="1519" spans="18:37" x14ac:dyDescent="0.45">
      <c r="R1519" s="2">
        <v>31.95</v>
      </c>
      <c r="S1519" s="2">
        <v>6.0835000000000001E-4</v>
      </c>
      <c r="T1519" s="2">
        <v>3.7570000000000002E-4</v>
      </c>
      <c r="V1519" s="13"/>
      <c r="W1519" s="8"/>
      <c r="X1519" s="8">
        <v>15</v>
      </c>
      <c r="Y1519" s="13" t="str">
        <f t="shared" si="288"/>
        <v/>
      </c>
      <c r="Z1519" s="8" t="str">
        <f t="shared" si="289"/>
        <v/>
      </c>
      <c r="AA1519" s="24">
        <f t="shared" si="290"/>
        <v>45</v>
      </c>
      <c r="AB1519" s="9" t="str">
        <f t="shared" si="279"/>
        <v/>
      </c>
      <c r="AC1519" s="9" t="str">
        <f t="shared" si="280"/>
        <v/>
      </c>
      <c r="AD1519" s="9">
        <f t="shared" si="281"/>
        <v>1.3940000000000001E-3</v>
      </c>
      <c r="AE1519" s="19" t="str">
        <f t="shared" si="282"/>
        <v/>
      </c>
      <c r="AF1519" s="10" t="str">
        <f t="shared" si="283"/>
        <v/>
      </c>
      <c r="AG1519" s="14">
        <f t="shared" si="284"/>
        <v>0.98751136923578486</v>
      </c>
      <c r="AI1519" s="54" t="str">
        <f t="shared" si="285"/>
        <v/>
      </c>
      <c r="AJ1519" s="54" t="str">
        <f t="shared" si="286"/>
        <v/>
      </c>
      <c r="AK1519" s="54">
        <f t="shared" si="287"/>
        <v>0.99999999999999889</v>
      </c>
    </row>
    <row r="1520" spans="18:37" x14ac:dyDescent="0.45">
      <c r="R1520" s="2">
        <v>31.96</v>
      </c>
      <c r="S1520" s="2">
        <v>6.0848E-4</v>
      </c>
      <c r="T1520" s="2">
        <v>3.7596E-4</v>
      </c>
    </row>
    <row r="1521" spans="18:20" x14ac:dyDescent="0.45">
      <c r="R1521" s="2">
        <v>31.97</v>
      </c>
      <c r="S1521" s="2">
        <v>6.0860999999999999E-4</v>
      </c>
      <c r="T1521" s="2">
        <v>3.7622000000000003E-4</v>
      </c>
    </row>
    <row r="1522" spans="18:20" x14ac:dyDescent="0.45">
      <c r="R1522" s="2">
        <v>31.98</v>
      </c>
      <c r="S1522" s="2">
        <v>6.0873999999999998E-4</v>
      </c>
      <c r="T1522" s="2">
        <v>3.7648E-4</v>
      </c>
    </row>
    <row r="1523" spans="18:20" x14ac:dyDescent="0.45">
      <c r="R1523" s="2">
        <v>31.99</v>
      </c>
      <c r="S1523" s="2">
        <v>6.0886999999999996E-4</v>
      </c>
      <c r="T1523" s="2">
        <v>3.7673999999999997E-4</v>
      </c>
    </row>
    <row r="1524" spans="18:20" x14ac:dyDescent="0.45">
      <c r="R1524" s="2">
        <v>32</v>
      </c>
      <c r="S1524" s="2">
        <v>6.0899999999999995E-4</v>
      </c>
      <c r="T1524" s="2">
        <v>3.77E-4</v>
      </c>
    </row>
    <row r="1525" spans="18:20" x14ac:dyDescent="0.45">
      <c r="R1525" s="2">
        <v>32.01</v>
      </c>
      <c r="S1525" s="2">
        <v>6.0917000000000002E-4</v>
      </c>
      <c r="T1525" s="2">
        <v>3.7729000000000001E-4</v>
      </c>
    </row>
    <row r="1526" spans="18:20" x14ac:dyDescent="0.45">
      <c r="R1526" s="2">
        <v>32.020000000000003</v>
      </c>
      <c r="S1526" s="2">
        <v>6.0933999999999999E-4</v>
      </c>
      <c r="T1526" s="2">
        <v>3.7757999999999997E-4</v>
      </c>
    </row>
    <row r="1527" spans="18:20" x14ac:dyDescent="0.45">
      <c r="R1527" s="2">
        <v>32.03</v>
      </c>
      <c r="S1527" s="2">
        <v>6.0950999999999996E-4</v>
      </c>
      <c r="T1527" s="2">
        <v>3.7786999999999999E-4</v>
      </c>
    </row>
    <row r="1528" spans="18:20" x14ac:dyDescent="0.45">
      <c r="R1528" s="2">
        <v>32.04</v>
      </c>
      <c r="S1528" s="2">
        <v>6.0968000000000003E-4</v>
      </c>
      <c r="T1528" s="2">
        <v>3.7816E-4</v>
      </c>
    </row>
    <row r="1529" spans="18:20" x14ac:dyDescent="0.45">
      <c r="R1529" s="2">
        <v>32.049999999999997</v>
      </c>
      <c r="S1529" s="2">
        <v>6.0985E-4</v>
      </c>
      <c r="T1529" s="2">
        <v>3.7845000000000001E-4</v>
      </c>
    </row>
    <row r="1530" spans="18:20" x14ac:dyDescent="0.45">
      <c r="R1530" s="2">
        <v>32.06</v>
      </c>
      <c r="S1530" s="2">
        <v>6.1001999999999996E-4</v>
      </c>
      <c r="T1530" s="2">
        <v>3.7874000000000002E-4</v>
      </c>
    </row>
    <row r="1531" spans="18:20" x14ac:dyDescent="0.45">
      <c r="R1531" s="2">
        <v>32.07</v>
      </c>
      <c r="S1531" s="2">
        <v>6.1019000000000004E-4</v>
      </c>
      <c r="T1531" s="2">
        <v>3.7902999999999998E-4</v>
      </c>
    </row>
    <row r="1532" spans="18:20" x14ac:dyDescent="0.45">
      <c r="R1532" s="2">
        <v>32.08</v>
      </c>
      <c r="S1532" s="2">
        <v>6.1036E-4</v>
      </c>
      <c r="T1532" s="2">
        <v>3.7931999999999999E-4</v>
      </c>
    </row>
    <row r="1533" spans="18:20" x14ac:dyDescent="0.45">
      <c r="R1533" s="2">
        <v>32.090000000000003</v>
      </c>
      <c r="S1533" s="2">
        <v>6.1052999999999997E-4</v>
      </c>
      <c r="T1533" s="2">
        <v>3.7961000000000001E-4</v>
      </c>
    </row>
    <row r="1534" spans="18:20" x14ac:dyDescent="0.45">
      <c r="R1534" s="2">
        <v>32.1</v>
      </c>
      <c r="S1534" s="2">
        <v>6.1070000000000004E-4</v>
      </c>
      <c r="T1534" s="2">
        <v>3.7990000000000002E-4</v>
      </c>
    </row>
    <row r="1535" spans="18:20" x14ac:dyDescent="0.45">
      <c r="R1535" s="2">
        <v>32.11</v>
      </c>
      <c r="S1535" s="2">
        <v>6.1087000000000001E-4</v>
      </c>
      <c r="T1535" s="2">
        <v>3.8018999999999998E-4</v>
      </c>
    </row>
    <row r="1536" spans="18:20" x14ac:dyDescent="0.45">
      <c r="R1536" s="2">
        <v>32.119999999999997</v>
      </c>
      <c r="S1536" s="2">
        <v>6.1103999999999998E-4</v>
      </c>
      <c r="T1536" s="2">
        <v>3.8047999999999999E-4</v>
      </c>
    </row>
    <row r="1537" spans="18:20" x14ac:dyDescent="0.45">
      <c r="R1537" s="2">
        <v>32.130000000000003</v>
      </c>
      <c r="S1537" s="2">
        <v>6.1121000000000005E-4</v>
      </c>
      <c r="T1537" s="2">
        <v>3.8077E-4</v>
      </c>
    </row>
    <row r="1538" spans="18:20" x14ac:dyDescent="0.45">
      <c r="R1538" s="2">
        <v>32.14</v>
      </c>
      <c r="S1538" s="2">
        <v>6.1138000000000002E-4</v>
      </c>
      <c r="T1538" s="2">
        <v>3.8106000000000001E-4</v>
      </c>
    </row>
    <row r="1539" spans="18:20" x14ac:dyDescent="0.45">
      <c r="R1539" s="2">
        <v>32.15</v>
      </c>
      <c r="S1539" s="2">
        <v>6.1154999999999998E-4</v>
      </c>
      <c r="T1539" s="2">
        <v>3.8135000000000003E-4</v>
      </c>
    </row>
    <row r="1540" spans="18:20" x14ac:dyDescent="0.45">
      <c r="R1540" s="2">
        <v>32.159999999999997</v>
      </c>
      <c r="S1540" s="2">
        <v>6.1171999999999995E-4</v>
      </c>
      <c r="T1540" s="2">
        <v>3.8163999999999998E-4</v>
      </c>
    </row>
    <row r="1541" spans="18:20" x14ac:dyDescent="0.45">
      <c r="R1541" s="2">
        <v>32.17</v>
      </c>
      <c r="S1541" s="2">
        <v>6.1189000000000003E-4</v>
      </c>
      <c r="T1541" s="2">
        <v>3.8193E-4</v>
      </c>
    </row>
    <row r="1542" spans="18:20" x14ac:dyDescent="0.45">
      <c r="R1542" s="2">
        <v>32.18</v>
      </c>
      <c r="S1542" s="2">
        <v>6.1205999999999999E-4</v>
      </c>
      <c r="T1542" s="2">
        <v>3.8222000000000001E-4</v>
      </c>
    </row>
    <row r="1543" spans="18:20" x14ac:dyDescent="0.45">
      <c r="R1543" s="2">
        <v>32.19</v>
      </c>
      <c r="S1543" s="2">
        <v>6.1222999999999996E-4</v>
      </c>
      <c r="T1543" s="2">
        <v>3.8251000000000002E-4</v>
      </c>
    </row>
    <row r="1544" spans="18:20" x14ac:dyDescent="0.45">
      <c r="R1544" s="2">
        <v>32.200000000000003</v>
      </c>
      <c r="S1544" s="2">
        <v>6.1240000000000003E-4</v>
      </c>
      <c r="T1544" s="2">
        <v>3.8279999999999998E-4</v>
      </c>
    </row>
    <row r="1545" spans="18:20" x14ac:dyDescent="0.45">
      <c r="R1545" s="2">
        <v>32.21</v>
      </c>
      <c r="S1545" s="2">
        <v>6.1257E-4</v>
      </c>
      <c r="T1545" s="2">
        <v>3.8308999999999999E-4</v>
      </c>
    </row>
    <row r="1546" spans="18:20" x14ac:dyDescent="0.45">
      <c r="R1546" s="2">
        <v>32.22</v>
      </c>
      <c r="S1546" s="2">
        <v>6.1273999999999996E-4</v>
      </c>
      <c r="T1546" s="2">
        <v>3.8338000000000001E-4</v>
      </c>
    </row>
    <row r="1547" spans="18:20" x14ac:dyDescent="0.45">
      <c r="R1547" s="2">
        <v>32.229999999999997</v>
      </c>
      <c r="S1547" s="2">
        <v>6.1291000000000004E-4</v>
      </c>
      <c r="T1547" s="2">
        <v>3.8367000000000002E-4</v>
      </c>
    </row>
    <row r="1548" spans="18:20" x14ac:dyDescent="0.45">
      <c r="R1548" s="2">
        <v>32.24</v>
      </c>
      <c r="S1548" s="2">
        <v>6.1308000000000001E-4</v>
      </c>
      <c r="T1548" s="2">
        <v>3.8395999999999998E-4</v>
      </c>
    </row>
    <row r="1549" spans="18:20" x14ac:dyDescent="0.45">
      <c r="R1549" s="2">
        <v>32.25</v>
      </c>
      <c r="S1549" s="2">
        <v>6.1324999999999997E-4</v>
      </c>
      <c r="T1549" s="2">
        <v>3.8424999999999999E-4</v>
      </c>
    </row>
    <row r="1550" spans="18:20" x14ac:dyDescent="0.45">
      <c r="R1550" s="2">
        <v>32.26</v>
      </c>
      <c r="S1550" s="2">
        <v>6.1342000000000005E-4</v>
      </c>
      <c r="T1550" s="2">
        <v>3.8454E-4</v>
      </c>
    </row>
    <row r="1551" spans="18:20" x14ac:dyDescent="0.45">
      <c r="R1551" s="2">
        <v>32.270000000000003</v>
      </c>
      <c r="S1551" s="2">
        <v>6.1359000000000001E-4</v>
      </c>
      <c r="T1551" s="2">
        <v>3.8483000000000001E-4</v>
      </c>
    </row>
    <row r="1552" spans="18:20" x14ac:dyDescent="0.45">
      <c r="R1552" s="2">
        <v>32.28</v>
      </c>
      <c r="S1552" s="2">
        <v>6.1375999999999998E-4</v>
      </c>
      <c r="T1552" s="2">
        <v>3.8512000000000003E-4</v>
      </c>
    </row>
    <row r="1553" spans="18:20" x14ac:dyDescent="0.45">
      <c r="R1553" s="2">
        <v>32.29</v>
      </c>
      <c r="S1553" s="2">
        <v>6.1393000000000005E-4</v>
      </c>
      <c r="T1553" s="2">
        <v>3.8540999999999998E-4</v>
      </c>
    </row>
    <row r="1554" spans="18:20" x14ac:dyDescent="0.45">
      <c r="R1554" s="2">
        <v>32.299999999999997</v>
      </c>
      <c r="S1554" s="2">
        <v>6.1410000000000002E-4</v>
      </c>
      <c r="T1554" s="2">
        <v>3.857E-4</v>
      </c>
    </row>
    <row r="1555" spans="18:20" x14ac:dyDescent="0.45">
      <c r="R1555" s="2">
        <v>32.31</v>
      </c>
      <c r="S1555" s="2">
        <v>6.1426999999999999E-4</v>
      </c>
      <c r="T1555" s="2">
        <v>3.8599000000000001E-4</v>
      </c>
    </row>
    <row r="1556" spans="18:20" x14ac:dyDescent="0.45">
      <c r="R1556" s="2">
        <v>32.32</v>
      </c>
      <c r="S1556" s="2">
        <v>6.1443999999999995E-4</v>
      </c>
      <c r="T1556" s="2">
        <v>3.8628000000000002E-4</v>
      </c>
    </row>
    <row r="1557" spans="18:20" x14ac:dyDescent="0.45">
      <c r="R1557" s="2">
        <v>32.33</v>
      </c>
      <c r="S1557" s="2">
        <v>6.1461000000000003E-4</v>
      </c>
      <c r="T1557" s="2">
        <v>3.8656999999999998E-4</v>
      </c>
    </row>
    <row r="1558" spans="18:20" x14ac:dyDescent="0.45">
      <c r="R1558" s="2">
        <v>32.340000000000003</v>
      </c>
      <c r="S1558" s="2">
        <v>6.1477999999999999E-4</v>
      </c>
      <c r="T1558" s="2">
        <v>3.8685999999999999E-4</v>
      </c>
    </row>
    <row r="1559" spans="18:20" x14ac:dyDescent="0.45">
      <c r="R1559" s="2">
        <v>32.35</v>
      </c>
      <c r="S1559" s="2">
        <v>6.1494999999999996E-4</v>
      </c>
      <c r="T1559" s="2">
        <v>3.8715E-4</v>
      </c>
    </row>
    <row r="1560" spans="18:20" x14ac:dyDescent="0.45">
      <c r="R1560" s="2">
        <v>32.36</v>
      </c>
      <c r="S1560" s="2">
        <v>6.1512000000000003E-4</v>
      </c>
      <c r="T1560" s="2">
        <v>3.8744000000000002E-4</v>
      </c>
    </row>
    <row r="1561" spans="18:20" x14ac:dyDescent="0.45">
      <c r="R1561" s="2">
        <v>32.369999999999997</v>
      </c>
      <c r="S1561" s="2">
        <v>6.1529E-4</v>
      </c>
      <c r="T1561" s="2">
        <v>3.8772999999999998E-4</v>
      </c>
    </row>
    <row r="1562" spans="18:20" x14ac:dyDescent="0.45">
      <c r="R1562" s="2">
        <v>32.380000000000003</v>
      </c>
      <c r="S1562" s="2">
        <v>6.1545999999999997E-4</v>
      </c>
      <c r="T1562" s="2">
        <v>3.8801999999999999E-4</v>
      </c>
    </row>
    <row r="1563" spans="18:20" x14ac:dyDescent="0.45">
      <c r="R1563" s="2">
        <v>32.39</v>
      </c>
      <c r="S1563" s="2">
        <v>6.1563000000000004E-4</v>
      </c>
      <c r="T1563" s="2">
        <v>3.8831E-4</v>
      </c>
    </row>
    <row r="1564" spans="18:20" x14ac:dyDescent="0.45">
      <c r="R1564" s="2">
        <v>32.4</v>
      </c>
      <c r="S1564" s="2">
        <v>6.1580000000000001E-4</v>
      </c>
      <c r="T1564" s="2">
        <v>3.8860000000000001E-4</v>
      </c>
    </row>
    <row r="1565" spans="18:20" x14ac:dyDescent="0.45">
      <c r="R1565" s="2">
        <v>32.409999999999997</v>
      </c>
      <c r="S1565" s="2">
        <v>6.1596999999999997E-4</v>
      </c>
      <c r="T1565" s="2">
        <v>3.8889000000000003E-4</v>
      </c>
    </row>
    <row r="1566" spans="18:20" x14ac:dyDescent="0.45">
      <c r="R1566" s="2">
        <v>32.42</v>
      </c>
      <c r="S1566" s="2">
        <v>6.1614000000000005E-4</v>
      </c>
      <c r="T1566" s="2">
        <v>3.8917999999999998E-4</v>
      </c>
    </row>
    <row r="1567" spans="18:20" x14ac:dyDescent="0.45">
      <c r="R1567" s="2">
        <v>32.43</v>
      </c>
      <c r="S1567" s="2">
        <v>6.1631000000000001E-4</v>
      </c>
      <c r="T1567" s="2">
        <v>3.8947E-4</v>
      </c>
    </row>
    <row r="1568" spans="18:20" x14ac:dyDescent="0.45">
      <c r="R1568" s="2">
        <v>32.44</v>
      </c>
      <c r="S1568" s="2">
        <v>6.1647999999999998E-4</v>
      </c>
      <c r="T1568" s="2">
        <v>3.8976000000000001E-4</v>
      </c>
    </row>
    <row r="1569" spans="18:20" x14ac:dyDescent="0.45">
      <c r="R1569" s="2">
        <v>32.450000000000003</v>
      </c>
      <c r="S1569" s="2">
        <v>6.1665000000000005E-4</v>
      </c>
      <c r="T1569" s="2">
        <v>3.9005000000000002E-4</v>
      </c>
    </row>
    <row r="1570" spans="18:20" x14ac:dyDescent="0.45">
      <c r="R1570" s="2">
        <v>32.46</v>
      </c>
      <c r="S1570" s="2">
        <v>6.1682000000000002E-4</v>
      </c>
      <c r="T1570" s="2">
        <v>3.9033999999999998E-4</v>
      </c>
    </row>
    <row r="1571" spans="18:20" x14ac:dyDescent="0.45">
      <c r="R1571" s="2">
        <v>32.47</v>
      </c>
      <c r="S1571" s="2">
        <v>6.1698999999999999E-4</v>
      </c>
      <c r="T1571" s="2">
        <v>3.9062999999999999E-4</v>
      </c>
    </row>
    <row r="1572" spans="18:20" x14ac:dyDescent="0.45">
      <c r="R1572" s="2">
        <v>32.479999999999997</v>
      </c>
      <c r="S1572" s="2">
        <v>6.1715999999999995E-4</v>
      </c>
      <c r="T1572" s="2">
        <v>3.9092E-4</v>
      </c>
    </row>
    <row r="1573" spans="18:20" x14ac:dyDescent="0.45">
      <c r="R1573" s="2">
        <v>32.49</v>
      </c>
      <c r="S1573" s="2">
        <v>6.1733000000000003E-4</v>
      </c>
      <c r="T1573" s="2">
        <v>3.9121000000000002E-4</v>
      </c>
    </row>
    <row r="1574" spans="18:20" x14ac:dyDescent="0.45">
      <c r="R1574" s="2">
        <v>32.5</v>
      </c>
      <c r="S1574" s="2">
        <v>6.1749999999999999E-4</v>
      </c>
      <c r="T1574" s="2">
        <v>3.9149999999999998E-4</v>
      </c>
    </row>
    <row r="1575" spans="18:20" x14ac:dyDescent="0.45">
      <c r="R1575" s="2">
        <v>32.51</v>
      </c>
      <c r="S1575" s="2">
        <v>6.1766999999999996E-4</v>
      </c>
      <c r="T1575" s="2">
        <v>3.9178999999999999E-4</v>
      </c>
    </row>
    <row r="1576" spans="18:20" x14ac:dyDescent="0.45">
      <c r="R1576" s="2">
        <v>32.520000000000003</v>
      </c>
      <c r="S1576" s="2">
        <v>6.1784000000000003E-4</v>
      </c>
      <c r="T1576" s="2">
        <v>3.9208E-4</v>
      </c>
    </row>
    <row r="1577" spans="18:20" x14ac:dyDescent="0.45">
      <c r="R1577" s="2">
        <v>32.53</v>
      </c>
      <c r="S1577" s="2">
        <v>6.1801E-4</v>
      </c>
      <c r="T1577" s="2">
        <v>3.9237000000000001E-4</v>
      </c>
    </row>
    <row r="1578" spans="18:20" x14ac:dyDescent="0.45">
      <c r="R1578" s="2">
        <v>32.54</v>
      </c>
      <c r="S1578" s="2">
        <v>6.1817999999999997E-4</v>
      </c>
      <c r="T1578" s="2">
        <v>3.9266000000000003E-4</v>
      </c>
    </row>
    <row r="1579" spans="18:20" x14ac:dyDescent="0.45">
      <c r="R1579" s="2">
        <v>32.549999999999997</v>
      </c>
      <c r="S1579" s="2">
        <v>6.1835000000000004E-4</v>
      </c>
      <c r="T1579" s="2">
        <v>3.9294999999999998E-4</v>
      </c>
    </row>
    <row r="1580" spans="18:20" x14ac:dyDescent="0.45">
      <c r="R1580" s="2">
        <v>32.56</v>
      </c>
      <c r="S1580" s="2">
        <v>6.1852000000000001E-4</v>
      </c>
      <c r="T1580" s="2">
        <v>3.9324E-4</v>
      </c>
    </row>
    <row r="1581" spans="18:20" x14ac:dyDescent="0.45">
      <c r="R1581" s="2">
        <v>32.57</v>
      </c>
      <c r="S1581" s="2">
        <v>6.1868999999999997E-4</v>
      </c>
      <c r="T1581" s="2">
        <v>3.9353000000000001E-4</v>
      </c>
    </row>
    <row r="1582" spans="18:20" x14ac:dyDescent="0.45">
      <c r="R1582" s="2">
        <v>32.58</v>
      </c>
      <c r="S1582" s="2">
        <v>6.1886000000000005E-4</v>
      </c>
      <c r="T1582" s="2">
        <v>3.9382000000000002E-4</v>
      </c>
    </row>
    <row r="1583" spans="18:20" x14ac:dyDescent="0.45">
      <c r="R1583" s="2">
        <v>32.590000000000003</v>
      </c>
      <c r="S1583" s="2">
        <v>6.1903000000000001E-4</v>
      </c>
      <c r="T1583" s="2">
        <v>3.9410999999999998E-4</v>
      </c>
    </row>
    <row r="1584" spans="18:20" x14ac:dyDescent="0.45">
      <c r="R1584" s="2">
        <v>32.6</v>
      </c>
      <c r="S1584" s="2">
        <v>6.1919999999999998E-4</v>
      </c>
      <c r="T1584" s="2">
        <v>3.9439999999999999E-4</v>
      </c>
    </row>
    <row r="1585" spans="18:20" x14ac:dyDescent="0.45">
      <c r="R1585" s="2">
        <v>32.61</v>
      </c>
      <c r="S1585" s="2">
        <v>6.1936999999999995E-4</v>
      </c>
      <c r="T1585" s="2">
        <v>3.9469E-4</v>
      </c>
    </row>
    <row r="1586" spans="18:20" x14ac:dyDescent="0.45">
      <c r="R1586" s="2">
        <v>32.619999999999997</v>
      </c>
      <c r="S1586" s="2">
        <v>6.1954000000000002E-4</v>
      </c>
      <c r="T1586" s="2">
        <v>3.9498000000000002E-4</v>
      </c>
    </row>
    <row r="1587" spans="18:20" x14ac:dyDescent="0.45">
      <c r="R1587" s="2">
        <v>32.630000000000003</v>
      </c>
      <c r="S1587" s="2">
        <v>6.1970999999999999E-4</v>
      </c>
      <c r="T1587" s="2">
        <v>3.9526999999999997E-4</v>
      </c>
    </row>
    <row r="1588" spans="18:20" x14ac:dyDescent="0.45">
      <c r="R1588" s="2">
        <v>32.64</v>
      </c>
      <c r="S1588" s="2">
        <v>6.1987999999999995E-4</v>
      </c>
      <c r="T1588" s="2">
        <v>3.9555999999999999E-4</v>
      </c>
    </row>
    <row r="1589" spans="18:20" x14ac:dyDescent="0.45">
      <c r="R1589" s="2">
        <v>32.65</v>
      </c>
      <c r="S1589" s="2">
        <v>6.2005000000000003E-4</v>
      </c>
      <c r="T1589" s="2">
        <v>3.9585E-4</v>
      </c>
    </row>
    <row r="1590" spans="18:20" x14ac:dyDescent="0.45">
      <c r="R1590" s="2">
        <v>32.659999999999997</v>
      </c>
      <c r="S1590" s="2">
        <v>6.2021999999999999E-4</v>
      </c>
      <c r="T1590" s="2">
        <v>3.9614000000000001E-4</v>
      </c>
    </row>
    <row r="1591" spans="18:20" x14ac:dyDescent="0.45">
      <c r="R1591" s="2">
        <v>32.67</v>
      </c>
      <c r="S1591" s="2">
        <v>6.2038999999999996E-4</v>
      </c>
      <c r="T1591" s="2">
        <v>3.9643000000000002E-4</v>
      </c>
    </row>
    <row r="1592" spans="18:20" x14ac:dyDescent="0.45">
      <c r="R1592" s="2">
        <v>32.68</v>
      </c>
      <c r="S1592" s="2">
        <v>6.2056000000000004E-4</v>
      </c>
      <c r="T1592" s="2">
        <v>3.9671999999999998E-4</v>
      </c>
    </row>
    <row r="1593" spans="18:20" x14ac:dyDescent="0.45">
      <c r="R1593" s="2">
        <v>32.69</v>
      </c>
      <c r="S1593" s="2">
        <v>6.2073E-4</v>
      </c>
      <c r="T1593" s="2">
        <v>3.9701E-4</v>
      </c>
    </row>
    <row r="1594" spans="18:20" x14ac:dyDescent="0.45">
      <c r="R1594" s="2">
        <v>32.700000000000003</v>
      </c>
      <c r="S1594" s="2">
        <v>6.2089999999999997E-4</v>
      </c>
      <c r="T1594" s="2">
        <v>3.9730000000000001E-4</v>
      </c>
    </row>
    <row r="1595" spans="18:20" x14ac:dyDescent="0.45">
      <c r="R1595" s="2">
        <v>32.71</v>
      </c>
      <c r="S1595" s="2">
        <v>6.2107000000000004E-4</v>
      </c>
      <c r="T1595" s="2">
        <v>3.9759000000000002E-4</v>
      </c>
    </row>
    <row r="1596" spans="18:20" x14ac:dyDescent="0.45">
      <c r="R1596" s="2">
        <v>32.72</v>
      </c>
      <c r="S1596" s="2">
        <v>6.2124000000000001E-4</v>
      </c>
      <c r="T1596" s="2">
        <v>3.9787999999999998E-4</v>
      </c>
    </row>
    <row r="1597" spans="18:20" x14ac:dyDescent="0.45">
      <c r="R1597" s="2">
        <v>32.729999999999997</v>
      </c>
      <c r="S1597" s="2">
        <v>6.2140999999999997E-4</v>
      </c>
      <c r="T1597" s="2">
        <v>3.9816999999999999E-4</v>
      </c>
    </row>
    <row r="1598" spans="18:20" x14ac:dyDescent="0.45">
      <c r="R1598" s="2">
        <v>32.74</v>
      </c>
      <c r="S1598" s="2">
        <v>6.2158000000000005E-4</v>
      </c>
      <c r="T1598" s="2">
        <v>3.9846E-4</v>
      </c>
    </row>
    <row r="1599" spans="18:20" x14ac:dyDescent="0.45">
      <c r="R1599" s="2">
        <v>32.75</v>
      </c>
      <c r="S1599" s="2">
        <v>6.2175000000000002E-4</v>
      </c>
      <c r="T1599" s="2">
        <v>3.9875000000000002E-4</v>
      </c>
    </row>
    <row r="1600" spans="18:20" x14ac:dyDescent="0.45">
      <c r="R1600" s="2">
        <v>32.76</v>
      </c>
      <c r="S1600" s="2">
        <v>6.2191999999999998E-4</v>
      </c>
      <c r="T1600" s="2">
        <v>3.9903999999999997E-4</v>
      </c>
    </row>
    <row r="1601" spans="18:20" x14ac:dyDescent="0.45">
      <c r="R1601" s="2">
        <v>32.770000000000003</v>
      </c>
      <c r="S1601" s="2">
        <v>6.2208999999999995E-4</v>
      </c>
      <c r="T1601" s="2">
        <v>3.9932999999999999E-4</v>
      </c>
    </row>
    <row r="1602" spans="18:20" x14ac:dyDescent="0.45">
      <c r="R1602" s="2">
        <v>32.78</v>
      </c>
      <c r="S1602" s="2">
        <v>6.2226000000000002E-4</v>
      </c>
      <c r="T1602" s="2">
        <v>3.9962E-4</v>
      </c>
    </row>
    <row r="1603" spans="18:20" x14ac:dyDescent="0.45">
      <c r="R1603" s="2">
        <v>32.79</v>
      </c>
      <c r="S1603" s="2">
        <v>6.2242999999999999E-4</v>
      </c>
      <c r="T1603" s="2">
        <v>3.9991000000000001E-4</v>
      </c>
    </row>
    <row r="1604" spans="18:20" x14ac:dyDescent="0.45">
      <c r="R1604" s="2">
        <v>32.799999999999997</v>
      </c>
      <c r="S1604" s="2">
        <v>6.2259999999999995E-4</v>
      </c>
      <c r="T1604" s="2">
        <v>4.0020000000000002E-4</v>
      </c>
    </row>
    <row r="1605" spans="18:20" x14ac:dyDescent="0.45">
      <c r="R1605" s="2">
        <v>32.81</v>
      </c>
      <c r="S1605" s="2">
        <v>6.2277000000000003E-4</v>
      </c>
      <c r="T1605" s="2">
        <v>4.0048999999999998E-4</v>
      </c>
    </row>
    <row r="1606" spans="18:20" x14ac:dyDescent="0.45">
      <c r="R1606" s="2">
        <v>32.82</v>
      </c>
      <c r="S1606" s="2">
        <v>6.2294E-4</v>
      </c>
      <c r="T1606" s="2">
        <v>4.0077999999999999E-4</v>
      </c>
    </row>
    <row r="1607" spans="18:20" x14ac:dyDescent="0.45">
      <c r="R1607" s="2">
        <v>32.83</v>
      </c>
      <c r="S1607" s="2">
        <v>6.2310999999999996E-4</v>
      </c>
      <c r="T1607" s="2">
        <v>4.0107000000000001E-4</v>
      </c>
    </row>
    <row r="1608" spans="18:20" x14ac:dyDescent="0.45">
      <c r="R1608" s="2">
        <v>32.840000000000003</v>
      </c>
      <c r="S1608" s="2">
        <v>6.2328000000000004E-4</v>
      </c>
      <c r="T1608" s="2">
        <v>4.0136000000000002E-4</v>
      </c>
    </row>
    <row r="1609" spans="18:20" x14ac:dyDescent="0.45">
      <c r="R1609" s="2">
        <v>32.85</v>
      </c>
      <c r="S1609" s="2">
        <v>6.2345E-4</v>
      </c>
      <c r="T1609" s="2">
        <v>4.0164999999999998E-4</v>
      </c>
    </row>
    <row r="1610" spans="18:20" x14ac:dyDescent="0.45">
      <c r="R1610" s="2">
        <v>32.86</v>
      </c>
      <c r="S1610" s="2">
        <v>6.2361999999999997E-4</v>
      </c>
      <c r="T1610" s="2">
        <v>4.0193999999999999E-4</v>
      </c>
    </row>
    <row r="1611" spans="18:20" x14ac:dyDescent="0.45">
      <c r="R1611" s="2">
        <v>32.869999999999997</v>
      </c>
      <c r="S1611" s="2">
        <v>6.2379000000000004E-4</v>
      </c>
      <c r="T1611" s="2">
        <v>4.0223E-4</v>
      </c>
    </row>
    <row r="1612" spans="18:20" x14ac:dyDescent="0.45">
      <c r="R1612" s="2">
        <v>32.880000000000003</v>
      </c>
      <c r="S1612" s="2">
        <v>6.2396000000000001E-4</v>
      </c>
      <c r="T1612" s="2">
        <v>4.0252000000000002E-4</v>
      </c>
    </row>
    <row r="1613" spans="18:20" x14ac:dyDescent="0.45">
      <c r="R1613" s="2">
        <v>32.89</v>
      </c>
      <c r="S1613" s="2">
        <v>6.2412999999999998E-4</v>
      </c>
      <c r="T1613" s="2">
        <v>4.0280999999999997E-4</v>
      </c>
    </row>
    <row r="1614" spans="18:20" x14ac:dyDescent="0.45">
      <c r="R1614" s="2">
        <v>32.9</v>
      </c>
      <c r="S1614" s="2">
        <v>6.2430000000000005E-4</v>
      </c>
      <c r="T1614" s="2">
        <v>4.0309999999999999E-4</v>
      </c>
    </row>
    <row r="1615" spans="18:20" x14ac:dyDescent="0.45">
      <c r="R1615" s="2">
        <v>32.909999999999997</v>
      </c>
      <c r="S1615" s="2">
        <v>6.2447000000000002E-4</v>
      </c>
      <c r="T1615" s="2">
        <v>4.0339E-4</v>
      </c>
    </row>
    <row r="1616" spans="18:20" x14ac:dyDescent="0.45">
      <c r="R1616" s="2">
        <v>32.92</v>
      </c>
      <c r="S1616" s="2">
        <v>6.2463999999999998E-4</v>
      </c>
      <c r="T1616" s="2">
        <v>4.0368000000000001E-4</v>
      </c>
    </row>
    <row r="1617" spans="18:20" x14ac:dyDescent="0.45">
      <c r="R1617" s="2">
        <v>32.93</v>
      </c>
      <c r="S1617" s="2">
        <v>6.2480999999999995E-4</v>
      </c>
      <c r="T1617" s="2">
        <v>4.0397000000000002E-4</v>
      </c>
    </row>
    <row r="1618" spans="18:20" x14ac:dyDescent="0.45">
      <c r="R1618" s="2">
        <v>32.94</v>
      </c>
      <c r="S1618" s="2">
        <v>6.2498000000000002E-4</v>
      </c>
      <c r="T1618" s="2">
        <v>4.0425999999999998E-4</v>
      </c>
    </row>
    <row r="1619" spans="18:20" x14ac:dyDescent="0.45">
      <c r="R1619" s="2">
        <v>32.950000000000003</v>
      </c>
      <c r="S1619" s="2">
        <v>6.2514999999999999E-4</v>
      </c>
      <c r="T1619" s="2">
        <v>4.0454999999999999E-4</v>
      </c>
    </row>
    <row r="1620" spans="18:20" x14ac:dyDescent="0.45">
      <c r="R1620" s="2">
        <v>32.96</v>
      </c>
      <c r="S1620" s="2">
        <v>6.2531999999999996E-4</v>
      </c>
      <c r="T1620" s="2">
        <v>4.0484000000000001E-4</v>
      </c>
    </row>
    <row r="1621" spans="18:20" x14ac:dyDescent="0.45">
      <c r="R1621" s="2">
        <v>32.97</v>
      </c>
      <c r="S1621" s="2">
        <v>6.2549000000000003E-4</v>
      </c>
      <c r="T1621" s="2">
        <v>4.0513000000000002E-4</v>
      </c>
    </row>
    <row r="1622" spans="18:20" x14ac:dyDescent="0.45">
      <c r="R1622" s="2">
        <v>32.979999999999997</v>
      </c>
      <c r="S1622" s="2">
        <v>6.2566E-4</v>
      </c>
      <c r="T1622" s="2">
        <v>4.0541999999999998E-4</v>
      </c>
    </row>
    <row r="1623" spans="18:20" x14ac:dyDescent="0.45">
      <c r="R1623" s="2">
        <v>32.99</v>
      </c>
      <c r="S1623" s="2">
        <v>6.2582999999999996E-4</v>
      </c>
      <c r="T1623" s="2">
        <v>4.0570999999999999E-4</v>
      </c>
    </row>
    <row r="1624" spans="18:20" x14ac:dyDescent="0.45">
      <c r="R1624" s="2">
        <v>33</v>
      </c>
      <c r="S1624" s="2">
        <v>6.2600000000000004E-4</v>
      </c>
      <c r="T1624" s="2">
        <v>4.06E-4</v>
      </c>
    </row>
    <row r="1625" spans="18:20" x14ac:dyDescent="0.45">
      <c r="R1625" s="2">
        <v>33.01</v>
      </c>
      <c r="S1625" s="2">
        <v>6.2620999999999998E-4</v>
      </c>
      <c r="T1625" s="2">
        <v>4.0632E-4</v>
      </c>
    </row>
    <row r="1626" spans="18:20" x14ac:dyDescent="0.45">
      <c r="R1626" s="2">
        <v>33.020000000000003</v>
      </c>
      <c r="S1626" s="2">
        <v>6.2642000000000004E-4</v>
      </c>
      <c r="T1626" s="2">
        <v>4.0664E-4</v>
      </c>
    </row>
    <row r="1627" spans="18:20" x14ac:dyDescent="0.45">
      <c r="R1627" s="2">
        <v>33.03</v>
      </c>
      <c r="S1627" s="2">
        <v>6.2662999999999998E-4</v>
      </c>
      <c r="T1627" s="2">
        <v>4.0695999999999999E-4</v>
      </c>
    </row>
    <row r="1628" spans="18:20" x14ac:dyDescent="0.45">
      <c r="R1628" s="2">
        <v>33.04</v>
      </c>
      <c r="S1628" s="2">
        <v>6.2684000000000004E-4</v>
      </c>
      <c r="T1628" s="2">
        <v>4.0727999999999999E-4</v>
      </c>
    </row>
    <row r="1629" spans="18:20" x14ac:dyDescent="0.45">
      <c r="R1629" s="2">
        <v>33.049999999999997</v>
      </c>
      <c r="S1629" s="2">
        <v>6.2704999999999998E-4</v>
      </c>
      <c r="T1629" s="2">
        <v>4.0759999999999999E-4</v>
      </c>
    </row>
    <row r="1630" spans="18:20" x14ac:dyDescent="0.45">
      <c r="R1630" s="2">
        <v>33.06</v>
      </c>
      <c r="S1630" s="2">
        <v>6.2726000000000004E-4</v>
      </c>
      <c r="T1630" s="2">
        <v>4.0791999999999998E-4</v>
      </c>
    </row>
    <row r="1631" spans="18:20" x14ac:dyDescent="0.45">
      <c r="R1631" s="2">
        <v>33.07</v>
      </c>
      <c r="S1631" s="2">
        <v>6.2746999999999998E-4</v>
      </c>
      <c r="T1631" s="2">
        <v>4.0823999999999998E-4</v>
      </c>
    </row>
    <row r="1632" spans="18:20" x14ac:dyDescent="0.45">
      <c r="R1632" s="2">
        <v>33.08</v>
      </c>
      <c r="S1632" s="2">
        <v>6.2768000000000003E-4</v>
      </c>
      <c r="T1632" s="2">
        <v>4.0855999999999998E-4</v>
      </c>
    </row>
    <row r="1633" spans="18:20" x14ac:dyDescent="0.45">
      <c r="R1633" s="2">
        <v>33.090000000000003</v>
      </c>
      <c r="S1633" s="2">
        <v>6.2788999999999998E-4</v>
      </c>
      <c r="T1633" s="2">
        <v>4.0887999999999997E-4</v>
      </c>
    </row>
    <row r="1634" spans="18:20" x14ac:dyDescent="0.45">
      <c r="R1634" s="2">
        <v>33.1</v>
      </c>
      <c r="S1634" s="2">
        <v>6.2810000000000003E-4</v>
      </c>
      <c r="T1634" s="2">
        <v>4.0920000000000003E-4</v>
      </c>
    </row>
    <row r="1635" spans="18:20" x14ac:dyDescent="0.45">
      <c r="R1635" s="2">
        <v>33.11</v>
      </c>
      <c r="S1635" s="2">
        <v>6.2830999999999998E-4</v>
      </c>
      <c r="T1635" s="2">
        <v>4.0952000000000002E-4</v>
      </c>
    </row>
    <row r="1636" spans="18:20" x14ac:dyDescent="0.45">
      <c r="R1636" s="2">
        <v>33.119999999999997</v>
      </c>
      <c r="S1636" s="2">
        <v>6.2852000000000003E-4</v>
      </c>
      <c r="T1636" s="2">
        <v>4.0984000000000002E-4</v>
      </c>
    </row>
    <row r="1637" spans="18:20" x14ac:dyDescent="0.45">
      <c r="R1637" s="2">
        <v>33.130000000000003</v>
      </c>
      <c r="S1637" s="2">
        <v>6.2872999999999998E-4</v>
      </c>
      <c r="T1637" s="2">
        <v>4.1016000000000002E-4</v>
      </c>
    </row>
    <row r="1638" spans="18:20" x14ac:dyDescent="0.45">
      <c r="R1638" s="2">
        <v>33.14</v>
      </c>
      <c r="S1638" s="2">
        <v>6.2894000000000003E-4</v>
      </c>
      <c r="T1638" s="2">
        <v>4.1048000000000001E-4</v>
      </c>
    </row>
    <row r="1639" spans="18:20" x14ac:dyDescent="0.45">
      <c r="R1639" s="2">
        <v>33.15</v>
      </c>
      <c r="S1639" s="2">
        <v>6.2914999999999998E-4</v>
      </c>
      <c r="T1639" s="2">
        <v>4.1080000000000001E-4</v>
      </c>
    </row>
    <row r="1640" spans="18:20" x14ac:dyDescent="0.45">
      <c r="R1640" s="2">
        <v>33.159999999999997</v>
      </c>
      <c r="S1640" s="2">
        <v>6.2936000000000003E-4</v>
      </c>
      <c r="T1640" s="2">
        <v>4.1112000000000001E-4</v>
      </c>
    </row>
    <row r="1641" spans="18:20" x14ac:dyDescent="0.45">
      <c r="R1641" s="2">
        <v>33.17</v>
      </c>
      <c r="S1641" s="2">
        <v>6.2956999999999998E-4</v>
      </c>
      <c r="T1641" s="2">
        <v>4.1144E-4</v>
      </c>
    </row>
    <row r="1642" spans="18:20" x14ac:dyDescent="0.45">
      <c r="R1642" s="2">
        <v>33.18</v>
      </c>
      <c r="S1642" s="2">
        <v>6.2978000000000003E-4</v>
      </c>
      <c r="T1642" s="2">
        <v>4.1176E-4</v>
      </c>
    </row>
    <row r="1643" spans="18:20" x14ac:dyDescent="0.45">
      <c r="R1643" s="2">
        <v>33.19</v>
      </c>
      <c r="S1643" s="2">
        <v>6.2998999999999998E-4</v>
      </c>
      <c r="T1643" s="2">
        <v>4.1208E-4</v>
      </c>
    </row>
    <row r="1644" spans="18:20" x14ac:dyDescent="0.45">
      <c r="R1644" s="2">
        <v>33.200000000000003</v>
      </c>
      <c r="S1644" s="2">
        <v>6.3020000000000003E-4</v>
      </c>
      <c r="T1644" s="2">
        <v>4.124E-4</v>
      </c>
    </row>
    <row r="1645" spans="18:20" x14ac:dyDescent="0.45">
      <c r="R1645" s="2">
        <v>33.21</v>
      </c>
      <c r="S1645" s="2">
        <v>6.3040999999999998E-4</v>
      </c>
      <c r="T1645" s="2">
        <v>4.1271999999999999E-4</v>
      </c>
    </row>
    <row r="1646" spans="18:20" x14ac:dyDescent="0.45">
      <c r="R1646" s="2">
        <v>33.22</v>
      </c>
      <c r="S1646" s="2">
        <v>6.3062000000000003E-4</v>
      </c>
      <c r="T1646" s="2">
        <v>4.1303999999999999E-4</v>
      </c>
    </row>
    <row r="1647" spans="18:20" x14ac:dyDescent="0.45">
      <c r="R1647" s="2">
        <v>33.229999999999997</v>
      </c>
      <c r="S1647" s="2">
        <v>6.3082999999999998E-4</v>
      </c>
      <c r="T1647" s="2">
        <v>4.1335999999999999E-4</v>
      </c>
    </row>
    <row r="1648" spans="18:20" x14ac:dyDescent="0.45">
      <c r="R1648" s="2">
        <v>33.24</v>
      </c>
      <c r="S1648" s="2">
        <v>6.3104000000000003E-4</v>
      </c>
      <c r="T1648" s="2">
        <v>4.1367999999999998E-4</v>
      </c>
    </row>
    <row r="1649" spans="18:20" x14ac:dyDescent="0.45">
      <c r="R1649" s="2">
        <v>33.25</v>
      </c>
      <c r="S1649" s="2">
        <v>6.3124999999999998E-4</v>
      </c>
      <c r="T1649" s="2">
        <v>4.1399999999999998E-4</v>
      </c>
    </row>
    <row r="1650" spans="18:20" x14ac:dyDescent="0.45">
      <c r="R1650" s="2">
        <v>33.26</v>
      </c>
      <c r="S1650" s="2">
        <v>6.3146000000000003E-4</v>
      </c>
      <c r="T1650" s="2">
        <v>4.1431999999999998E-4</v>
      </c>
    </row>
    <row r="1651" spans="18:20" x14ac:dyDescent="0.45">
      <c r="R1651" s="2">
        <v>33.270000000000003</v>
      </c>
      <c r="S1651" s="2">
        <v>6.3166999999999997E-4</v>
      </c>
      <c r="T1651" s="2">
        <v>4.1463999999999997E-4</v>
      </c>
    </row>
    <row r="1652" spans="18:20" x14ac:dyDescent="0.45">
      <c r="R1652" s="2">
        <v>33.28</v>
      </c>
      <c r="S1652" s="2">
        <v>6.3188000000000003E-4</v>
      </c>
      <c r="T1652" s="2">
        <v>4.1496000000000003E-4</v>
      </c>
    </row>
    <row r="1653" spans="18:20" x14ac:dyDescent="0.45">
      <c r="R1653" s="2">
        <v>33.29</v>
      </c>
      <c r="S1653" s="2">
        <v>6.3208999999999997E-4</v>
      </c>
      <c r="T1653" s="2">
        <v>4.1528000000000002E-4</v>
      </c>
    </row>
    <row r="1654" spans="18:20" x14ac:dyDescent="0.45">
      <c r="R1654" s="2">
        <v>33.299999999999997</v>
      </c>
      <c r="S1654" s="2">
        <v>6.3230000000000003E-4</v>
      </c>
      <c r="T1654" s="2">
        <v>4.1560000000000002E-4</v>
      </c>
    </row>
    <row r="1655" spans="18:20" x14ac:dyDescent="0.45">
      <c r="R1655" s="2">
        <v>33.31</v>
      </c>
      <c r="S1655" s="2">
        <v>6.3250999999999997E-4</v>
      </c>
      <c r="T1655" s="2">
        <v>4.1592000000000002E-4</v>
      </c>
    </row>
    <row r="1656" spans="18:20" x14ac:dyDescent="0.45">
      <c r="R1656" s="2">
        <v>33.32</v>
      </c>
      <c r="S1656" s="2">
        <v>6.3272000000000003E-4</v>
      </c>
      <c r="T1656" s="2">
        <v>4.1624000000000001E-4</v>
      </c>
    </row>
    <row r="1657" spans="18:20" x14ac:dyDescent="0.45">
      <c r="R1657" s="2">
        <v>33.33</v>
      </c>
      <c r="S1657" s="2">
        <v>6.3292999999999997E-4</v>
      </c>
      <c r="T1657" s="2">
        <v>4.1656000000000001E-4</v>
      </c>
    </row>
    <row r="1658" spans="18:20" x14ac:dyDescent="0.45">
      <c r="R1658" s="2">
        <v>33.340000000000003</v>
      </c>
      <c r="S1658" s="2">
        <v>6.3314000000000003E-4</v>
      </c>
      <c r="T1658" s="2">
        <v>4.1688000000000001E-4</v>
      </c>
    </row>
    <row r="1659" spans="18:20" x14ac:dyDescent="0.45">
      <c r="R1659" s="2">
        <v>33.35</v>
      </c>
      <c r="S1659" s="2">
        <v>6.3334999999999997E-4</v>
      </c>
      <c r="T1659" s="2">
        <v>4.172E-4</v>
      </c>
    </row>
    <row r="1660" spans="18:20" x14ac:dyDescent="0.45">
      <c r="R1660" s="2">
        <v>33.36</v>
      </c>
      <c r="S1660" s="2">
        <v>6.3356000000000003E-4</v>
      </c>
      <c r="T1660" s="2">
        <v>4.1752E-4</v>
      </c>
    </row>
    <row r="1661" spans="18:20" x14ac:dyDescent="0.45">
      <c r="R1661" s="2">
        <v>33.369999999999997</v>
      </c>
      <c r="S1661" s="2">
        <v>6.3376999999999997E-4</v>
      </c>
      <c r="T1661" s="2">
        <v>4.1784E-4</v>
      </c>
    </row>
    <row r="1662" spans="18:20" x14ac:dyDescent="0.45">
      <c r="R1662" s="2">
        <v>33.380000000000003</v>
      </c>
      <c r="S1662" s="2">
        <v>6.3398000000000003E-4</v>
      </c>
      <c r="T1662" s="2">
        <v>4.1815999999999999E-4</v>
      </c>
    </row>
    <row r="1663" spans="18:20" x14ac:dyDescent="0.45">
      <c r="R1663" s="2">
        <v>33.39</v>
      </c>
      <c r="S1663" s="2">
        <v>6.3418999999999997E-4</v>
      </c>
      <c r="T1663" s="2">
        <v>4.1847999999999999E-4</v>
      </c>
    </row>
    <row r="1664" spans="18:20" x14ac:dyDescent="0.45">
      <c r="R1664" s="2">
        <v>33.4</v>
      </c>
      <c r="S1664" s="2">
        <v>6.3440000000000002E-4</v>
      </c>
      <c r="T1664" s="2">
        <v>4.1879999999999999E-4</v>
      </c>
    </row>
    <row r="1665" spans="18:20" x14ac:dyDescent="0.45">
      <c r="R1665" s="2">
        <v>33.409999999999997</v>
      </c>
      <c r="S1665" s="2">
        <v>6.3460999999999997E-4</v>
      </c>
      <c r="T1665" s="2">
        <v>4.1911999999999999E-4</v>
      </c>
    </row>
    <row r="1666" spans="18:20" x14ac:dyDescent="0.45">
      <c r="R1666" s="2">
        <v>33.42</v>
      </c>
      <c r="S1666" s="2">
        <v>6.3482000000000002E-4</v>
      </c>
      <c r="T1666" s="2">
        <v>4.1943999999999998E-4</v>
      </c>
    </row>
    <row r="1667" spans="18:20" x14ac:dyDescent="0.45">
      <c r="R1667" s="2">
        <v>33.43</v>
      </c>
      <c r="S1667" s="2">
        <v>6.3502999999999997E-4</v>
      </c>
      <c r="T1667" s="2">
        <v>4.1975999999999998E-4</v>
      </c>
    </row>
    <row r="1668" spans="18:20" x14ac:dyDescent="0.45">
      <c r="R1668" s="2">
        <v>33.44</v>
      </c>
      <c r="S1668" s="2">
        <v>6.3524000000000002E-4</v>
      </c>
      <c r="T1668" s="2">
        <v>4.2007999999999998E-4</v>
      </c>
    </row>
    <row r="1669" spans="18:20" x14ac:dyDescent="0.45">
      <c r="R1669" s="2">
        <v>33.450000000000003</v>
      </c>
      <c r="S1669" s="2">
        <v>6.3544999999999997E-4</v>
      </c>
      <c r="T1669" s="2">
        <v>4.2039999999999997E-4</v>
      </c>
    </row>
    <row r="1670" spans="18:20" x14ac:dyDescent="0.45">
      <c r="R1670" s="2">
        <v>33.46</v>
      </c>
      <c r="S1670" s="2">
        <v>6.3566000000000002E-4</v>
      </c>
      <c r="T1670" s="2">
        <v>4.2072000000000002E-4</v>
      </c>
    </row>
    <row r="1671" spans="18:20" x14ac:dyDescent="0.45">
      <c r="R1671" s="2">
        <v>33.47</v>
      </c>
      <c r="S1671" s="2">
        <v>6.3586999999999997E-4</v>
      </c>
      <c r="T1671" s="2">
        <v>4.2104000000000002E-4</v>
      </c>
    </row>
    <row r="1672" spans="18:20" x14ac:dyDescent="0.45">
      <c r="R1672" s="2">
        <v>33.479999999999997</v>
      </c>
      <c r="S1672" s="2">
        <v>6.3608000000000002E-4</v>
      </c>
      <c r="T1672" s="2">
        <v>4.2136000000000002E-4</v>
      </c>
    </row>
    <row r="1673" spans="18:20" x14ac:dyDescent="0.45">
      <c r="R1673" s="2">
        <v>33.49</v>
      </c>
      <c r="S1673" s="2">
        <v>6.3628999999999997E-4</v>
      </c>
      <c r="T1673" s="2">
        <v>4.2168000000000001E-4</v>
      </c>
    </row>
    <row r="1674" spans="18:20" x14ac:dyDescent="0.45">
      <c r="R1674" s="2">
        <v>33.5</v>
      </c>
      <c r="S1674" s="2">
        <v>6.3650000000000002E-4</v>
      </c>
      <c r="T1674" s="2">
        <v>4.2200000000000001E-4</v>
      </c>
    </row>
    <row r="1675" spans="18:20" x14ac:dyDescent="0.45">
      <c r="R1675" s="2">
        <v>33.51</v>
      </c>
      <c r="S1675" s="2">
        <v>6.3670999999999997E-4</v>
      </c>
      <c r="T1675" s="2">
        <v>4.2232000000000001E-4</v>
      </c>
    </row>
    <row r="1676" spans="18:20" x14ac:dyDescent="0.45">
      <c r="R1676" s="2">
        <v>33.520000000000003</v>
      </c>
      <c r="S1676" s="2">
        <v>6.3692000000000002E-4</v>
      </c>
      <c r="T1676" s="2">
        <v>4.2264000000000001E-4</v>
      </c>
    </row>
    <row r="1677" spans="18:20" x14ac:dyDescent="0.45">
      <c r="R1677" s="2">
        <v>33.53</v>
      </c>
      <c r="S1677" s="2">
        <v>6.3712999999999997E-4</v>
      </c>
      <c r="T1677" s="2">
        <v>4.2296E-4</v>
      </c>
    </row>
    <row r="1678" spans="18:20" x14ac:dyDescent="0.45">
      <c r="R1678" s="2">
        <v>33.54</v>
      </c>
      <c r="S1678" s="2">
        <v>6.3734000000000002E-4</v>
      </c>
      <c r="T1678" s="2">
        <v>4.2328E-4</v>
      </c>
    </row>
    <row r="1679" spans="18:20" x14ac:dyDescent="0.45">
      <c r="R1679" s="2">
        <v>33.549999999999997</v>
      </c>
      <c r="S1679" s="2">
        <v>6.3754999999999997E-4</v>
      </c>
      <c r="T1679" s="2">
        <v>4.236E-4</v>
      </c>
    </row>
    <row r="1680" spans="18:20" x14ac:dyDescent="0.45">
      <c r="R1680" s="2">
        <v>33.56</v>
      </c>
      <c r="S1680" s="2">
        <v>6.3776000000000002E-4</v>
      </c>
      <c r="T1680" s="2">
        <v>4.2391999999999999E-4</v>
      </c>
    </row>
    <row r="1681" spans="18:20" x14ac:dyDescent="0.45">
      <c r="R1681" s="2">
        <v>33.57</v>
      </c>
      <c r="S1681" s="2">
        <v>6.3796999999999997E-4</v>
      </c>
      <c r="T1681" s="2">
        <v>4.2423999999999999E-4</v>
      </c>
    </row>
    <row r="1682" spans="18:20" x14ac:dyDescent="0.45">
      <c r="R1682" s="2">
        <v>33.58</v>
      </c>
      <c r="S1682" s="2">
        <v>6.3818000000000002E-4</v>
      </c>
      <c r="T1682" s="2">
        <v>4.2455999999999999E-4</v>
      </c>
    </row>
    <row r="1683" spans="18:20" x14ac:dyDescent="0.45">
      <c r="R1683" s="2">
        <v>33.590000000000003</v>
      </c>
      <c r="S1683" s="2">
        <v>6.3838999999999996E-4</v>
      </c>
      <c r="T1683" s="2">
        <v>4.2487999999999998E-4</v>
      </c>
    </row>
    <row r="1684" spans="18:20" x14ac:dyDescent="0.45">
      <c r="R1684" s="2">
        <v>33.6</v>
      </c>
      <c r="S1684" s="2">
        <v>6.3860000000000002E-4</v>
      </c>
      <c r="T1684" s="2">
        <v>4.2519999999999998E-4</v>
      </c>
    </row>
    <row r="1685" spans="18:20" x14ac:dyDescent="0.45">
      <c r="R1685" s="2">
        <v>33.61</v>
      </c>
      <c r="S1685" s="2">
        <v>6.3880999999999996E-4</v>
      </c>
      <c r="T1685" s="2">
        <v>4.2551999999999998E-4</v>
      </c>
    </row>
    <row r="1686" spans="18:20" x14ac:dyDescent="0.45">
      <c r="R1686" s="2">
        <v>33.619999999999997</v>
      </c>
      <c r="S1686" s="2">
        <v>6.3902000000000002E-4</v>
      </c>
      <c r="T1686" s="2">
        <v>4.2583999999999998E-4</v>
      </c>
    </row>
    <row r="1687" spans="18:20" x14ac:dyDescent="0.45">
      <c r="R1687" s="2">
        <v>33.630000000000003</v>
      </c>
      <c r="S1687" s="2">
        <v>6.3922999999999996E-4</v>
      </c>
      <c r="T1687" s="2">
        <v>4.2616000000000003E-4</v>
      </c>
    </row>
    <row r="1688" spans="18:20" x14ac:dyDescent="0.45">
      <c r="R1688" s="2">
        <v>33.64</v>
      </c>
      <c r="S1688" s="2">
        <v>6.3944000000000002E-4</v>
      </c>
      <c r="T1688" s="2">
        <v>4.2648000000000002E-4</v>
      </c>
    </row>
    <row r="1689" spans="18:20" x14ac:dyDescent="0.45">
      <c r="R1689" s="2">
        <v>33.65</v>
      </c>
      <c r="S1689" s="2">
        <v>6.3964999999999996E-4</v>
      </c>
      <c r="T1689" s="2">
        <v>4.2680000000000002E-4</v>
      </c>
    </row>
    <row r="1690" spans="18:20" x14ac:dyDescent="0.45">
      <c r="R1690" s="2">
        <v>33.659999999999997</v>
      </c>
      <c r="S1690" s="2">
        <v>6.3986000000000002E-4</v>
      </c>
      <c r="T1690" s="2">
        <v>4.2712000000000002E-4</v>
      </c>
    </row>
    <row r="1691" spans="18:20" x14ac:dyDescent="0.45">
      <c r="R1691" s="2">
        <v>33.67</v>
      </c>
      <c r="S1691" s="2">
        <v>6.4006999999999996E-4</v>
      </c>
      <c r="T1691" s="2">
        <v>4.2744000000000001E-4</v>
      </c>
    </row>
    <row r="1692" spans="18:20" x14ac:dyDescent="0.45">
      <c r="R1692" s="2">
        <v>33.68</v>
      </c>
      <c r="S1692" s="2">
        <v>6.4028000000000002E-4</v>
      </c>
      <c r="T1692" s="2">
        <v>4.2776000000000001E-4</v>
      </c>
    </row>
    <row r="1693" spans="18:20" x14ac:dyDescent="0.45">
      <c r="R1693" s="2">
        <v>33.69</v>
      </c>
      <c r="S1693" s="2">
        <v>6.4048999999999996E-4</v>
      </c>
      <c r="T1693" s="2">
        <v>4.2808000000000001E-4</v>
      </c>
    </row>
    <row r="1694" spans="18:20" x14ac:dyDescent="0.45">
      <c r="R1694" s="2">
        <v>33.700000000000003</v>
      </c>
      <c r="S1694" s="2">
        <v>6.4070000000000002E-4</v>
      </c>
      <c r="T1694" s="2">
        <v>4.284E-4</v>
      </c>
    </row>
    <row r="1695" spans="18:20" x14ac:dyDescent="0.45">
      <c r="R1695" s="2">
        <v>33.71</v>
      </c>
      <c r="S1695" s="2">
        <v>6.4090999999999996E-4</v>
      </c>
      <c r="T1695" s="2">
        <v>4.2872E-4</v>
      </c>
    </row>
    <row r="1696" spans="18:20" x14ac:dyDescent="0.45">
      <c r="R1696" s="2">
        <v>33.72</v>
      </c>
      <c r="S1696" s="2">
        <v>6.4112000000000001E-4</v>
      </c>
      <c r="T1696" s="2">
        <v>4.2904E-4</v>
      </c>
    </row>
    <row r="1697" spans="18:20" x14ac:dyDescent="0.45">
      <c r="R1697" s="2">
        <v>33.729999999999997</v>
      </c>
      <c r="S1697" s="2">
        <v>6.4132999999999996E-4</v>
      </c>
      <c r="T1697" s="2">
        <v>4.2936E-4</v>
      </c>
    </row>
    <row r="1698" spans="18:20" x14ac:dyDescent="0.45">
      <c r="R1698" s="2">
        <v>33.74</v>
      </c>
      <c r="S1698" s="2">
        <v>6.4154000000000001E-4</v>
      </c>
      <c r="T1698" s="2">
        <v>4.2967999999999999E-4</v>
      </c>
    </row>
    <row r="1699" spans="18:20" x14ac:dyDescent="0.45">
      <c r="R1699" s="2">
        <v>33.75</v>
      </c>
      <c r="S1699" s="2">
        <v>6.4174999999999996E-4</v>
      </c>
      <c r="T1699" s="2">
        <v>4.2999999999999999E-4</v>
      </c>
    </row>
    <row r="1700" spans="18:20" x14ac:dyDescent="0.45">
      <c r="R1700" s="2">
        <v>33.76</v>
      </c>
      <c r="S1700" s="2">
        <v>6.4196000000000001E-4</v>
      </c>
      <c r="T1700" s="2">
        <v>4.3031999999999999E-4</v>
      </c>
    </row>
    <row r="1701" spans="18:20" x14ac:dyDescent="0.45">
      <c r="R1701" s="2">
        <v>33.770000000000003</v>
      </c>
      <c r="S1701" s="2">
        <v>6.4216999999999996E-4</v>
      </c>
      <c r="T1701" s="2">
        <v>4.3063999999999998E-4</v>
      </c>
    </row>
    <row r="1702" spans="18:20" x14ac:dyDescent="0.45">
      <c r="R1702" s="2">
        <v>33.78</v>
      </c>
      <c r="S1702" s="2">
        <v>6.4238000000000001E-4</v>
      </c>
      <c r="T1702" s="2">
        <v>4.3095999999999998E-4</v>
      </c>
    </row>
    <row r="1703" spans="18:20" x14ac:dyDescent="0.45">
      <c r="R1703" s="2">
        <v>33.79</v>
      </c>
      <c r="S1703" s="2">
        <v>6.4258999999999996E-4</v>
      </c>
      <c r="T1703" s="2">
        <v>4.3127999999999998E-4</v>
      </c>
    </row>
    <row r="1704" spans="18:20" x14ac:dyDescent="0.45">
      <c r="R1704" s="2">
        <v>33.799999999999997</v>
      </c>
      <c r="S1704" s="2">
        <v>6.4280000000000001E-4</v>
      </c>
      <c r="T1704" s="2">
        <v>4.3159999999999997E-4</v>
      </c>
    </row>
    <row r="1705" spans="18:20" x14ac:dyDescent="0.45">
      <c r="R1705" s="2">
        <v>33.81</v>
      </c>
      <c r="S1705" s="2">
        <v>6.4300999999999996E-4</v>
      </c>
      <c r="T1705" s="2">
        <v>4.3192000000000003E-4</v>
      </c>
    </row>
    <row r="1706" spans="18:20" x14ac:dyDescent="0.45">
      <c r="R1706" s="2">
        <v>33.82</v>
      </c>
      <c r="S1706" s="2">
        <v>6.4322000000000001E-4</v>
      </c>
      <c r="T1706" s="2">
        <v>4.3224000000000002E-4</v>
      </c>
    </row>
    <row r="1707" spans="18:20" x14ac:dyDescent="0.45">
      <c r="R1707" s="2">
        <v>33.83</v>
      </c>
      <c r="S1707" s="2">
        <v>6.4342999999999996E-4</v>
      </c>
      <c r="T1707" s="2">
        <v>4.3256000000000002E-4</v>
      </c>
    </row>
    <row r="1708" spans="18:20" x14ac:dyDescent="0.45">
      <c r="R1708" s="2">
        <v>33.840000000000003</v>
      </c>
      <c r="S1708" s="2">
        <v>6.4364000000000001E-4</v>
      </c>
      <c r="T1708" s="2">
        <v>4.3288000000000002E-4</v>
      </c>
    </row>
    <row r="1709" spans="18:20" x14ac:dyDescent="0.45">
      <c r="R1709" s="2">
        <v>33.85</v>
      </c>
      <c r="S1709" s="2">
        <v>6.4384999999999996E-4</v>
      </c>
      <c r="T1709" s="2">
        <v>4.3320000000000001E-4</v>
      </c>
    </row>
    <row r="1710" spans="18:20" x14ac:dyDescent="0.45">
      <c r="R1710" s="2">
        <v>33.86</v>
      </c>
      <c r="S1710" s="2">
        <v>6.4406000000000001E-4</v>
      </c>
      <c r="T1710" s="2">
        <v>4.3352000000000001E-4</v>
      </c>
    </row>
    <row r="1711" spans="18:20" x14ac:dyDescent="0.45">
      <c r="R1711" s="2">
        <v>33.869999999999997</v>
      </c>
      <c r="S1711" s="2">
        <v>6.4426999999999996E-4</v>
      </c>
      <c r="T1711" s="2">
        <v>4.3384000000000001E-4</v>
      </c>
    </row>
    <row r="1712" spans="18:20" x14ac:dyDescent="0.45">
      <c r="R1712" s="2">
        <v>33.880000000000003</v>
      </c>
      <c r="S1712" s="2">
        <v>6.4448000000000001E-4</v>
      </c>
      <c r="T1712" s="2">
        <v>4.3416E-4</v>
      </c>
    </row>
    <row r="1713" spans="18:20" x14ac:dyDescent="0.45">
      <c r="R1713" s="2">
        <v>33.89</v>
      </c>
      <c r="S1713" s="2">
        <v>6.4468999999999995E-4</v>
      </c>
      <c r="T1713" s="2">
        <v>4.3448E-4</v>
      </c>
    </row>
    <row r="1714" spans="18:20" x14ac:dyDescent="0.45">
      <c r="R1714" s="2">
        <v>33.9</v>
      </c>
      <c r="S1714" s="2">
        <v>6.4490000000000001E-4</v>
      </c>
      <c r="T1714" s="2">
        <v>4.348E-4</v>
      </c>
    </row>
    <row r="1715" spans="18:20" x14ac:dyDescent="0.45">
      <c r="R1715" s="2">
        <v>33.909999999999997</v>
      </c>
      <c r="S1715" s="2">
        <v>6.4510999999999995E-4</v>
      </c>
      <c r="T1715" s="2">
        <v>4.3511999999999999E-4</v>
      </c>
    </row>
    <row r="1716" spans="18:20" x14ac:dyDescent="0.45">
      <c r="R1716" s="2">
        <v>33.92</v>
      </c>
      <c r="S1716" s="2">
        <v>6.4532000000000001E-4</v>
      </c>
      <c r="T1716" s="2">
        <v>4.3543999999999999E-4</v>
      </c>
    </row>
    <row r="1717" spans="18:20" x14ac:dyDescent="0.45">
      <c r="R1717" s="2">
        <v>33.93</v>
      </c>
      <c r="S1717" s="2">
        <v>6.4552999999999995E-4</v>
      </c>
      <c r="T1717" s="2">
        <v>4.3575999999999999E-4</v>
      </c>
    </row>
    <row r="1718" spans="18:20" x14ac:dyDescent="0.45">
      <c r="R1718" s="2">
        <v>33.94</v>
      </c>
      <c r="S1718" s="2">
        <v>6.4574000000000001E-4</v>
      </c>
      <c r="T1718" s="2">
        <v>4.3607999999999999E-4</v>
      </c>
    </row>
    <row r="1719" spans="18:20" x14ac:dyDescent="0.45">
      <c r="R1719" s="2">
        <v>33.950000000000003</v>
      </c>
      <c r="S1719" s="2">
        <v>6.4594999999999995E-4</v>
      </c>
      <c r="T1719" s="2">
        <v>4.3639999999999998E-4</v>
      </c>
    </row>
    <row r="1720" spans="18:20" x14ac:dyDescent="0.45">
      <c r="R1720" s="2">
        <v>33.96</v>
      </c>
      <c r="S1720" s="2">
        <v>6.4616000000000001E-4</v>
      </c>
      <c r="T1720" s="2">
        <v>4.3671999999999998E-4</v>
      </c>
    </row>
    <row r="1721" spans="18:20" x14ac:dyDescent="0.45">
      <c r="R1721" s="2">
        <v>33.97</v>
      </c>
      <c r="S1721" s="2">
        <v>6.4636999999999995E-4</v>
      </c>
      <c r="T1721" s="2">
        <v>4.3703999999999998E-4</v>
      </c>
    </row>
    <row r="1722" spans="18:20" x14ac:dyDescent="0.45">
      <c r="R1722" s="2">
        <v>33.979999999999997</v>
      </c>
      <c r="S1722" s="2">
        <v>6.4658000000000001E-4</v>
      </c>
      <c r="T1722" s="2">
        <v>4.3735999999999997E-4</v>
      </c>
    </row>
    <row r="1723" spans="18:20" x14ac:dyDescent="0.45">
      <c r="R1723" s="2">
        <v>33.99</v>
      </c>
      <c r="S1723" s="2">
        <v>6.4678999999999995E-4</v>
      </c>
      <c r="T1723" s="2">
        <v>4.3768000000000002E-4</v>
      </c>
    </row>
    <row r="1724" spans="18:20" x14ac:dyDescent="0.45">
      <c r="R1724" s="2">
        <v>34</v>
      </c>
      <c r="S1724" s="2">
        <v>6.4700000000000001E-4</v>
      </c>
      <c r="T1724" s="2">
        <v>4.3800000000000002E-4</v>
      </c>
    </row>
    <row r="1725" spans="18:20" x14ac:dyDescent="0.45">
      <c r="R1725" s="2">
        <v>34.01</v>
      </c>
      <c r="S1725" s="2">
        <v>6.4727000000000003E-4</v>
      </c>
      <c r="T1725" s="2">
        <v>4.3835E-4</v>
      </c>
    </row>
    <row r="1726" spans="18:20" x14ac:dyDescent="0.45">
      <c r="R1726" s="2">
        <v>34.020000000000003</v>
      </c>
      <c r="S1726" s="2">
        <v>6.4754000000000005E-4</v>
      </c>
      <c r="T1726" s="2">
        <v>4.3869999999999998E-4</v>
      </c>
    </row>
    <row r="1727" spans="18:20" x14ac:dyDescent="0.45">
      <c r="R1727" s="2">
        <v>34.03</v>
      </c>
      <c r="S1727" s="2">
        <v>6.4780999999999997E-4</v>
      </c>
      <c r="T1727" s="2">
        <v>4.3905000000000002E-4</v>
      </c>
    </row>
    <row r="1728" spans="18:20" x14ac:dyDescent="0.45">
      <c r="R1728" s="2">
        <v>34.04</v>
      </c>
      <c r="S1728" s="2">
        <v>6.4807999999999999E-4</v>
      </c>
      <c r="T1728" s="2">
        <v>4.394E-4</v>
      </c>
    </row>
    <row r="1729" spans="18:20" x14ac:dyDescent="0.45">
      <c r="R1729" s="2">
        <v>34.049999999999997</v>
      </c>
      <c r="S1729" s="2">
        <v>6.4835000000000001E-4</v>
      </c>
      <c r="T1729" s="2">
        <v>4.3974999999999998E-4</v>
      </c>
    </row>
    <row r="1730" spans="18:20" x14ac:dyDescent="0.45">
      <c r="R1730" s="2">
        <v>34.06</v>
      </c>
      <c r="S1730" s="2">
        <v>6.4862000000000003E-4</v>
      </c>
      <c r="T1730" s="2">
        <v>4.4010000000000002E-4</v>
      </c>
    </row>
    <row r="1731" spans="18:20" x14ac:dyDescent="0.45">
      <c r="R1731" s="2">
        <v>34.07</v>
      </c>
      <c r="S1731" s="2">
        <v>6.4888999999999995E-4</v>
      </c>
      <c r="T1731" s="2">
        <v>4.4045E-4</v>
      </c>
    </row>
    <row r="1732" spans="18:20" x14ac:dyDescent="0.45">
      <c r="R1732" s="2">
        <v>34.08</v>
      </c>
      <c r="S1732" s="2">
        <v>6.4915999999999997E-4</v>
      </c>
      <c r="T1732" s="2">
        <v>4.4079999999999998E-4</v>
      </c>
    </row>
    <row r="1733" spans="18:20" x14ac:dyDescent="0.45">
      <c r="R1733" s="2">
        <v>34.090000000000003</v>
      </c>
      <c r="S1733" s="2">
        <v>6.4942999999999999E-4</v>
      </c>
      <c r="T1733" s="2">
        <v>4.4115000000000002E-4</v>
      </c>
    </row>
    <row r="1734" spans="18:20" x14ac:dyDescent="0.45">
      <c r="R1734" s="2">
        <v>34.1</v>
      </c>
      <c r="S1734" s="2">
        <v>6.4970000000000002E-4</v>
      </c>
      <c r="T1734" s="2">
        <v>4.415E-4</v>
      </c>
    </row>
    <row r="1735" spans="18:20" x14ac:dyDescent="0.45">
      <c r="R1735" s="2">
        <v>34.11</v>
      </c>
      <c r="S1735" s="2">
        <v>6.4997000000000004E-4</v>
      </c>
      <c r="T1735" s="2">
        <v>4.4184999999999998E-4</v>
      </c>
    </row>
    <row r="1736" spans="18:20" x14ac:dyDescent="0.45">
      <c r="R1736" s="2">
        <v>34.119999999999997</v>
      </c>
      <c r="S1736" s="2">
        <v>6.5023999999999995E-4</v>
      </c>
      <c r="T1736" s="2">
        <v>4.4220000000000001E-4</v>
      </c>
    </row>
    <row r="1737" spans="18:20" x14ac:dyDescent="0.45">
      <c r="R1737" s="2">
        <v>34.130000000000003</v>
      </c>
      <c r="S1737" s="2">
        <v>6.5050999999999998E-4</v>
      </c>
      <c r="T1737" s="2">
        <v>4.4255E-4</v>
      </c>
    </row>
    <row r="1738" spans="18:20" x14ac:dyDescent="0.45">
      <c r="R1738" s="2">
        <v>34.14</v>
      </c>
      <c r="S1738" s="2">
        <v>6.5078E-4</v>
      </c>
      <c r="T1738" s="2">
        <v>4.4289999999999998E-4</v>
      </c>
    </row>
    <row r="1739" spans="18:20" x14ac:dyDescent="0.45">
      <c r="R1739" s="2">
        <v>34.15</v>
      </c>
      <c r="S1739" s="2">
        <v>6.5105000000000002E-4</v>
      </c>
      <c r="T1739" s="2">
        <v>4.4325000000000001E-4</v>
      </c>
    </row>
    <row r="1740" spans="18:20" x14ac:dyDescent="0.45">
      <c r="R1740" s="2">
        <v>34.159999999999997</v>
      </c>
      <c r="S1740" s="2">
        <v>6.5132000000000005E-4</v>
      </c>
      <c r="T1740" s="2">
        <v>4.4359999999999999E-4</v>
      </c>
    </row>
    <row r="1741" spans="18:20" x14ac:dyDescent="0.45">
      <c r="R1741" s="2">
        <v>34.17</v>
      </c>
      <c r="S1741" s="2">
        <v>6.5158999999999996E-4</v>
      </c>
      <c r="T1741" s="2">
        <v>4.4394999999999998E-4</v>
      </c>
    </row>
    <row r="1742" spans="18:20" x14ac:dyDescent="0.45">
      <c r="R1742" s="2">
        <v>34.18</v>
      </c>
      <c r="S1742" s="2">
        <v>6.5185999999999998E-4</v>
      </c>
      <c r="T1742" s="2">
        <v>4.4430000000000001E-4</v>
      </c>
    </row>
    <row r="1743" spans="18:20" x14ac:dyDescent="0.45">
      <c r="R1743" s="2">
        <v>34.19</v>
      </c>
      <c r="S1743" s="2">
        <v>6.5213000000000001E-4</v>
      </c>
      <c r="T1743" s="2">
        <v>4.4464999999999999E-4</v>
      </c>
    </row>
    <row r="1744" spans="18:20" x14ac:dyDescent="0.45">
      <c r="R1744" s="2">
        <v>34.200000000000003</v>
      </c>
      <c r="S1744" s="2">
        <v>6.5240000000000003E-4</v>
      </c>
      <c r="T1744" s="2">
        <v>4.4499999999999997E-4</v>
      </c>
    </row>
    <row r="1745" spans="18:20" x14ac:dyDescent="0.45">
      <c r="R1745" s="2">
        <v>34.21</v>
      </c>
      <c r="S1745" s="2">
        <v>6.5267000000000005E-4</v>
      </c>
      <c r="T1745" s="2">
        <v>4.4535000000000001E-4</v>
      </c>
    </row>
    <row r="1746" spans="18:20" x14ac:dyDescent="0.45">
      <c r="R1746" s="2">
        <v>34.22</v>
      </c>
      <c r="S1746" s="2">
        <v>6.5293999999999997E-4</v>
      </c>
      <c r="T1746" s="2">
        <v>4.4569999999999999E-4</v>
      </c>
    </row>
    <row r="1747" spans="18:20" x14ac:dyDescent="0.45">
      <c r="R1747" s="2">
        <v>34.229999999999997</v>
      </c>
      <c r="S1747" s="2">
        <v>6.5320999999999999E-4</v>
      </c>
      <c r="T1747" s="2">
        <v>4.4604999999999997E-4</v>
      </c>
    </row>
    <row r="1748" spans="18:20" x14ac:dyDescent="0.45">
      <c r="R1748" s="2">
        <v>34.24</v>
      </c>
      <c r="S1748" s="2">
        <v>6.5348000000000001E-4</v>
      </c>
      <c r="T1748" s="2">
        <v>4.4640000000000001E-4</v>
      </c>
    </row>
    <row r="1749" spans="18:20" x14ac:dyDescent="0.45">
      <c r="R1749" s="2">
        <v>34.25</v>
      </c>
      <c r="S1749" s="2">
        <v>6.5375000000000003E-4</v>
      </c>
      <c r="T1749" s="2">
        <v>4.4674999999999999E-4</v>
      </c>
    </row>
    <row r="1750" spans="18:20" x14ac:dyDescent="0.45">
      <c r="R1750" s="2">
        <v>34.26</v>
      </c>
      <c r="S1750" s="2">
        <v>6.5401999999999995E-4</v>
      </c>
      <c r="T1750" s="2">
        <v>4.4710000000000003E-4</v>
      </c>
    </row>
    <row r="1751" spans="18:20" x14ac:dyDescent="0.45">
      <c r="R1751" s="2">
        <v>34.270000000000003</v>
      </c>
      <c r="S1751" s="2">
        <v>6.5428999999999997E-4</v>
      </c>
      <c r="T1751" s="2">
        <v>4.4745000000000001E-4</v>
      </c>
    </row>
    <row r="1752" spans="18:20" x14ac:dyDescent="0.45">
      <c r="R1752" s="2">
        <v>34.28</v>
      </c>
      <c r="S1752" s="2">
        <v>6.5455999999999999E-4</v>
      </c>
      <c r="T1752" s="2">
        <v>4.4779999999999999E-4</v>
      </c>
    </row>
    <row r="1753" spans="18:20" x14ac:dyDescent="0.45">
      <c r="R1753" s="2">
        <v>34.29</v>
      </c>
      <c r="S1753" s="2">
        <v>6.5483000000000002E-4</v>
      </c>
      <c r="T1753" s="2">
        <v>4.4815000000000002E-4</v>
      </c>
    </row>
    <row r="1754" spans="18:20" x14ac:dyDescent="0.45">
      <c r="R1754" s="2">
        <v>34.299999999999997</v>
      </c>
      <c r="S1754" s="2">
        <v>6.5510000000000004E-4</v>
      </c>
      <c r="T1754" s="2">
        <v>4.4850000000000001E-4</v>
      </c>
    </row>
    <row r="1755" spans="18:20" x14ac:dyDescent="0.45">
      <c r="R1755" s="2">
        <v>34.31</v>
      </c>
      <c r="S1755" s="2">
        <v>6.5536999999999995E-4</v>
      </c>
      <c r="T1755" s="2">
        <v>4.4884999999999999E-4</v>
      </c>
    </row>
    <row r="1756" spans="18:20" x14ac:dyDescent="0.45">
      <c r="R1756" s="2">
        <v>34.32</v>
      </c>
      <c r="S1756" s="2">
        <v>6.5563999999999998E-4</v>
      </c>
      <c r="T1756" s="2">
        <v>4.4920000000000002E-4</v>
      </c>
    </row>
    <row r="1757" spans="18:20" x14ac:dyDescent="0.45">
      <c r="R1757" s="2">
        <v>34.33</v>
      </c>
      <c r="S1757" s="2">
        <v>6.5591E-4</v>
      </c>
      <c r="T1757" s="2">
        <v>4.4955E-4</v>
      </c>
    </row>
    <row r="1758" spans="18:20" x14ac:dyDescent="0.45">
      <c r="R1758" s="2">
        <v>34.340000000000003</v>
      </c>
      <c r="S1758" s="2">
        <v>6.5618000000000002E-4</v>
      </c>
      <c r="T1758" s="2">
        <v>4.4989999999999999E-4</v>
      </c>
    </row>
    <row r="1759" spans="18:20" x14ac:dyDescent="0.45">
      <c r="R1759" s="2">
        <v>34.35</v>
      </c>
      <c r="S1759" s="2">
        <v>6.5645000000000005E-4</v>
      </c>
      <c r="T1759" s="2">
        <v>4.5025000000000002E-4</v>
      </c>
    </row>
    <row r="1760" spans="18:20" x14ac:dyDescent="0.45">
      <c r="R1760" s="2">
        <v>34.36</v>
      </c>
      <c r="S1760" s="2">
        <v>6.5671999999999996E-4</v>
      </c>
      <c r="T1760" s="2">
        <v>4.506E-4</v>
      </c>
    </row>
    <row r="1761" spans="18:20" x14ac:dyDescent="0.45">
      <c r="R1761" s="2">
        <v>34.369999999999997</v>
      </c>
      <c r="S1761" s="2">
        <v>6.5698999999999998E-4</v>
      </c>
      <c r="T1761" s="2">
        <v>4.5094999999999998E-4</v>
      </c>
    </row>
    <row r="1762" spans="18:20" x14ac:dyDescent="0.45">
      <c r="R1762" s="2">
        <v>34.380000000000003</v>
      </c>
      <c r="S1762" s="2">
        <v>6.5726000000000001E-4</v>
      </c>
      <c r="T1762" s="2">
        <v>4.5130000000000002E-4</v>
      </c>
    </row>
    <row r="1763" spans="18:20" x14ac:dyDescent="0.45">
      <c r="R1763" s="2">
        <v>34.39</v>
      </c>
      <c r="S1763" s="2">
        <v>6.5753000000000003E-4</v>
      </c>
      <c r="T1763" s="2">
        <v>4.5165E-4</v>
      </c>
    </row>
    <row r="1764" spans="18:20" x14ac:dyDescent="0.45">
      <c r="R1764" s="2">
        <v>34.4</v>
      </c>
      <c r="S1764" s="2">
        <v>6.5780000000000005E-4</v>
      </c>
      <c r="T1764" s="2">
        <v>4.5199999999999998E-4</v>
      </c>
    </row>
    <row r="1765" spans="18:20" x14ac:dyDescent="0.45">
      <c r="R1765" s="2">
        <v>34.409999999999997</v>
      </c>
      <c r="S1765" s="2">
        <v>6.5806999999999997E-4</v>
      </c>
      <c r="T1765" s="2">
        <v>4.5235000000000002E-4</v>
      </c>
    </row>
    <row r="1766" spans="18:20" x14ac:dyDescent="0.45">
      <c r="R1766" s="2">
        <v>34.42</v>
      </c>
      <c r="S1766" s="2">
        <v>6.5833999999999999E-4</v>
      </c>
      <c r="T1766" s="2">
        <v>4.527E-4</v>
      </c>
    </row>
    <row r="1767" spans="18:20" x14ac:dyDescent="0.45">
      <c r="R1767" s="2">
        <v>34.43</v>
      </c>
      <c r="S1767" s="2">
        <v>6.5861000000000001E-4</v>
      </c>
      <c r="T1767" s="2">
        <v>4.5304999999999998E-4</v>
      </c>
    </row>
    <row r="1768" spans="18:20" x14ac:dyDescent="0.45">
      <c r="R1768" s="2">
        <v>34.44</v>
      </c>
      <c r="S1768" s="2">
        <v>6.5888000000000003E-4</v>
      </c>
      <c r="T1768" s="2">
        <v>4.5340000000000002E-4</v>
      </c>
    </row>
    <row r="1769" spans="18:20" x14ac:dyDescent="0.45">
      <c r="R1769" s="2">
        <v>34.450000000000003</v>
      </c>
      <c r="S1769" s="2">
        <v>6.5914999999999995E-4</v>
      </c>
      <c r="T1769" s="2">
        <v>4.5375E-4</v>
      </c>
    </row>
    <row r="1770" spans="18:20" x14ac:dyDescent="0.45">
      <c r="R1770" s="2">
        <v>34.46</v>
      </c>
      <c r="S1770" s="2">
        <v>6.5941999999999997E-4</v>
      </c>
      <c r="T1770" s="2">
        <v>4.5409999999999998E-4</v>
      </c>
    </row>
    <row r="1771" spans="18:20" x14ac:dyDescent="0.45">
      <c r="R1771" s="2">
        <v>34.47</v>
      </c>
      <c r="S1771" s="2">
        <v>6.5968999999999999E-4</v>
      </c>
      <c r="T1771" s="2">
        <v>4.5445000000000001E-4</v>
      </c>
    </row>
    <row r="1772" spans="18:20" x14ac:dyDescent="0.45">
      <c r="R1772" s="2">
        <v>34.479999999999997</v>
      </c>
      <c r="S1772" s="2">
        <v>6.5996000000000002E-4</v>
      </c>
      <c r="T1772" s="2">
        <v>4.548E-4</v>
      </c>
    </row>
    <row r="1773" spans="18:20" x14ac:dyDescent="0.45">
      <c r="R1773" s="2">
        <v>34.49</v>
      </c>
      <c r="S1773" s="2">
        <v>6.6023000000000004E-4</v>
      </c>
      <c r="T1773" s="2">
        <v>4.5514999999999998E-4</v>
      </c>
    </row>
    <row r="1774" spans="18:20" x14ac:dyDescent="0.45">
      <c r="R1774" s="2">
        <v>34.5</v>
      </c>
      <c r="S1774" s="2">
        <v>6.6049999999999995E-4</v>
      </c>
      <c r="T1774" s="2">
        <v>4.5550000000000001E-4</v>
      </c>
    </row>
    <row r="1775" spans="18:20" x14ac:dyDescent="0.45">
      <c r="R1775" s="2">
        <v>34.51</v>
      </c>
      <c r="S1775" s="2">
        <v>6.6076999999999998E-4</v>
      </c>
      <c r="T1775" s="2">
        <v>4.5584999999999999E-4</v>
      </c>
    </row>
    <row r="1776" spans="18:20" x14ac:dyDescent="0.45">
      <c r="R1776" s="2">
        <v>34.520000000000003</v>
      </c>
      <c r="S1776" s="2">
        <v>6.6104E-4</v>
      </c>
      <c r="T1776" s="2">
        <v>4.5619999999999998E-4</v>
      </c>
    </row>
    <row r="1777" spans="18:20" x14ac:dyDescent="0.45">
      <c r="R1777" s="2">
        <v>34.53</v>
      </c>
      <c r="S1777" s="2">
        <v>6.6131000000000002E-4</v>
      </c>
      <c r="T1777" s="2">
        <v>4.5655000000000001E-4</v>
      </c>
    </row>
    <row r="1778" spans="18:20" x14ac:dyDescent="0.45">
      <c r="R1778" s="2">
        <v>34.54</v>
      </c>
      <c r="S1778" s="2">
        <v>6.6158000000000005E-4</v>
      </c>
      <c r="T1778" s="2">
        <v>4.5689999999999999E-4</v>
      </c>
    </row>
    <row r="1779" spans="18:20" x14ac:dyDescent="0.45">
      <c r="R1779" s="2">
        <v>34.549999999999997</v>
      </c>
      <c r="S1779" s="2">
        <v>6.6184999999999996E-4</v>
      </c>
      <c r="T1779" s="2">
        <v>4.5724999999999997E-4</v>
      </c>
    </row>
    <row r="1780" spans="18:20" x14ac:dyDescent="0.45">
      <c r="R1780" s="2">
        <v>34.56</v>
      </c>
      <c r="S1780" s="2">
        <v>6.6211999999999998E-4</v>
      </c>
      <c r="T1780" s="2">
        <v>4.5760000000000001E-4</v>
      </c>
    </row>
    <row r="1781" spans="18:20" x14ac:dyDescent="0.45">
      <c r="R1781" s="2">
        <v>34.57</v>
      </c>
      <c r="S1781" s="2">
        <v>6.6239000000000001E-4</v>
      </c>
      <c r="T1781" s="2">
        <v>4.5794999999999999E-4</v>
      </c>
    </row>
    <row r="1782" spans="18:20" x14ac:dyDescent="0.45">
      <c r="R1782" s="2">
        <v>34.58</v>
      </c>
      <c r="S1782" s="2">
        <v>6.6266000000000003E-4</v>
      </c>
      <c r="T1782" s="2">
        <v>4.5830000000000003E-4</v>
      </c>
    </row>
    <row r="1783" spans="18:20" x14ac:dyDescent="0.45">
      <c r="R1783" s="2">
        <v>34.590000000000003</v>
      </c>
      <c r="S1783" s="2">
        <v>6.6293000000000005E-4</v>
      </c>
      <c r="T1783" s="2">
        <v>4.5865000000000001E-4</v>
      </c>
    </row>
    <row r="1784" spans="18:20" x14ac:dyDescent="0.45">
      <c r="R1784" s="2">
        <v>34.6</v>
      </c>
      <c r="S1784" s="2">
        <v>6.6319999999999997E-4</v>
      </c>
      <c r="T1784" s="2">
        <v>4.5899999999999999E-4</v>
      </c>
    </row>
    <row r="1785" spans="18:20" x14ac:dyDescent="0.45">
      <c r="R1785" s="2">
        <v>34.61</v>
      </c>
      <c r="S1785" s="2">
        <v>6.6346999999999999E-4</v>
      </c>
      <c r="T1785" s="2">
        <v>4.5935000000000003E-4</v>
      </c>
    </row>
    <row r="1786" spans="18:20" x14ac:dyDescent="0.45">
      <c r="R1786" s="2">
        <v>34.619999999999997</v>
      </c>
      <c r="S1786" s="2">
        <v>6.6374000000000001E-4</v>
      </c>
      <c r="T1786" s="2">
        <v>4.5970000000000001E-4</v>
      </c>
    </row>
    <row r="1787" spans="18:20" x14ac:dyDescent="0.45">
      <c r="R1787" s="2">
        <v>34.630000000000003</v>
      </c>
      <c r="S1787" s="2">
        <v>6.6401000000000003E-4</v>
      </c>
      <c r="T1787" s="2">
        <v>4.6004999999999999E-4</v>
      </c>
    </row>
    <row r="1788" spans="18:20" x14ac:dyDescent="0.45">
      <c r="R1788" s="2">
        <v>34.64</v>
      </c>
      <c r="S1788" s="2">
        <v>6.6427999999999995E-4</v>
      </c>
      <c r="T1788" s="2">
        <v>4.6040000000000002E-4</v>
      </c>
    </row>
    <row r="1789" spans="18:20" x14ac:dyDescent="0.45">
      <c r="R1789" s="2">
        <v>34.65</v>
      </c>
      <c r="S1789" s="2">
        <v>6.6454999999999997E-4</v>
      </c>
      <c r="T1789" s="2">
        <v>4.6075000000000001E-4</v>
      </c>
    </row>
    <row r="1790" spans="18:20" x14ac:dyDescent="0.45">
      <c r="R1790" s="2">
        <v>34.659999999999997</v>
      </c>
      <c r="S1790" s="2">
        <v>6.6481999999999999E-4</v>
      </c>
      <c r="T1790" s="2">
        <v>4.6109999999999999E-4</v>
      </c>
    </row>
    <row r="1791" spans="18:20" x14ac:dyDescent="0.45">
      <c r="R1791" s="2">
        <v>34.67</v>
      </c>
      <c r="S1791" s="2">
        <v>6.6509000000000002E-4</v>
      </c>
      <c r="T1791" s="2">
        <v>4.6145000000000002E-4</v>
      </c>
    </row>
    <row r="1792" spans="18:20" x14ac:dyDescent="0.45">
      <c r="R1792" s="2">
        <v>34.68</v>
      </c>
      <c r="S1792" s="2">
        <v>6.6536000000000004E-4</v>
      </c>
      <c r="T1792" s="2">
        <v>4.618E-4</v>
      </c>
    </row>
    <row r="1793" spans="18:20" x14ac:dyDescent="0.45">
      <c r="R1793" s="2">
        <v>34.69</v>
      </c>
      <c r="S1793" s="2">
        <v>6.6562999999999995E-4</v>
      </c>
      <c r="T1793" s="2">
        <v>4.6214999999999998E-4</v>
      </c>
    </row>
    <row r="1794" spans="18:20" x14ac:dyDescent="0.45">
      <c r="R1794" s="2">
        <v>34.700000000000003</v>
      </c>
      <c r="S1794" s="2">
        <v>6.6589999999999998E-4</v>
      </c>
      <c r="T1794" s="2">
        <v>4.6250000000000002E-4</v>
      </c>
    </row>
    <row r="1795" spans="18:20" x14ac:dyDescent="0.45">
      <c r="R1795" s="2">
        <v>34.71</v>
      </c>
      <c r="S1795" s="2">
        <v>6.6617E-4</v>
      </c>
      <c r="T1795" s="2">
        <v>4.6285E-4</v>
      </c>
    </row>
    <row r="1796" spans="18:20" x14ac:dyDescent="0.45">
      <c r="R1796" s="2">
        <v>34.72</v>
      </c>
      <c r="S1796" s="2">
        <v>6.6644000000000002E-4</v>
      </c>
      <c r="T1796" s="2">
        <v>4.6319999999999998E-4</v>
      </c>
    </row>
    <row r="1797" spans="18:20" x14ac:dyDescent="0.45">
      <c r="R1797" s="2">
        <v>34.729999999999997</v>
      </c>
      <c r="S1797" s="2">
        <v>6.6671000000000005E-4</v>
      </c>
      <c r="T1797" s="2">
        <v>4.6355000000000002E-4</v>
      </c>
    </row>
    <row r="1798" spans="18:20" x14ac:dyDescent="0.45">
      <c r="R1798" s="2">
        <v>34.74</v>
      </c>
      <c r="S1798" s="2">
        <v>6.6697999999999996E-4</v>
      </c>
      <c r="T1798" s="2">
        <v>4.639E-4</v>
      </c>
    </row>
    <row r="1799" spans="18:20" x14ac:dyDescent="0.45">
      <c r="R1799" s="2">
        <v>34.75</v>
      </c>
      <c r="S1799" s="2">
        <v>6.6724999999999998E-4</v>
      </c>
      <c r="T1799" s="2">
        <v>4.6424999999999998E-4</v>
      </c>
    </row>
    <row r="1800" spans="18:20" x14ac:dyDescent="0.45">
      <c r="R1800" s="2">
        <v>34.76</v>
      </c>
      <c r="S1800" s="2">
        <v>6.6752000000000001E-4</v>
      </c>
      <c r="T1800" s="2">
        <v>4.6460000000000002E-4</v>
      </c>
    </row>
    <row r="1801" spans="18:20" x14ac:dyDescent="0.45">
      <c r="R1801" s="2">
        <v>34.770000000000003</v>
      </c>
      <c r="S1801" s="2">
        <v>6.6779000000000003E-4</v>
      </c>
      <c r="T1801" s="2">
        <v>4.6495E-4</v>
      </c>
    </row>
    <row r="1802" spans="18:20" x14ac:dyDescent="0.45">
      <c r="R1802" s="2">
        <v>34.78</v>
      </c>
      <c r="S1802" s="2">
        <v>6.6806000000000005E-4</v>
      </c>
      <c r="T1802" s="2">
        <v>4.6529999999999998E-4</v>
      </c>
    </row>
    <row r="1803" spans="18:20" x14ac:dyDescent="0.45">
      <c r="R1803" s="2">
        <v>34.79</v>
      </c>
      <c r="S1803" s="2">
        <v>6.6832999999999997E-4</v>
      </c>
      <c r="T1803" s="2">
        <v>4.6565000000000002E-4</v>
      </c>
    </row>
    <row r="1804" spans="18:20" x14ac:dyDescent="0.45">
      <c r="R1804" s="2">
        <v>34.799999999999997</v>
      </c>
      <c r="S1804" s="2">
        <v>6.6859999999999999E-4</v>
      </c>
      <c r="T1804" s="2">
        <v>4.66E-4</v>
      </c>
    </row>
    <row r="1805" spans="18:20" x14ac:dyDescent="0.45">
      <c r="R1805" s="2">
        <v>34.81</v>
      </c>
      <c r="S1805" s="2">
        <v>6.6887000000000001E-4</v>
      </c>
      <c r="T1805" s="2">
        <v>4.6634999999999998E-4</v>
      </c>
    </row>
    <row r="1806" spans="18:20" x14ac:dyDescent="0.45">
      <c r="R1806" s="2">
        <v>34.82</v>
      </c>
      <c r="S1806" s="2">
        <v>6.6914000000000003E-4</v>
      </c>
      <c r="T1806" s="2">
        <v>4.6670000000000001E-4</v>
      </c>
    </row>
    <row r="1807" spans="18:20" x14ac:dyDescent="0.45">
      <c r="R1807" s="2">
        <v>34.83</v>
      </c>
      <c r="S1807" s="2">
        <v>6.6940999999999995E-4</v>
      </c>
      <c r="T1807" s="2">
        <v>4.6705E-4</v>
      </c>
    </row>
    <row r="1808" spans="18:20" x14ac:dyDescent="0.45">
      <c r="R1808" s="2">
        <v>34.840000000000003</v>
      </c>
      <c r="S1808" s="2">
        <v>6.6967999999999997E-4</v>
      </c>
      <c r="T1808" s="2">
        <v>4.6739999999999998E-4</v>
      </c>
    </row>
    <row r="1809" spans="18:20" x14ac:dyDescent="0.45">
      <c r="R1809" s="2">
        <v>34.85</v>
      </c>
      <c r="S1809" s="2">
        <v>6.6994999999999999E-4</v>
      </c>
      <c r="T1809" s="2">
        <v>4.6775000000000001E-4</v>
      </c>
    </row>
    <row r="1810" spans="18:20" x14ac:dyDescent="0.45">
      <c r="R1810" s="2">
        <v>34.86</v>
      </c>
      <c r="S1810" s="2">
        <v>6.7022000000000002E-4</v>
      </c>
      <c r="T1810" s="2">
        <v>4.6809999999999999E-4</v>
      </c>
    </row>
    <row r="1811" spans="18:20" x14ac:dyDescent="0.45">
      <c r="R1811" s="2">
        <v>34.869999999999997</v>
      </c>
      <c r="S1811" s="2">
        <v>6.7049000000000004E-4</v>
      </c>
      <c r="T1811" s="2">
        <v>4.6844999999999998E-4</v>
      </c>
    </row>
    <row r="1812" spans="18:20" x14ac:dyDescent="0.45">
      <c r="R1812" s="2">
        <v>34.880000000000003</v>
      </c>
      <c r="S1812" s="2">
        <v>6.7075999999999995E-4</v>
      </c>
      <c r="T1812" s="2">
        <v>4.6880000000000001E-4</v>
      </c>
    </row>
    <row r="1813" spans="18:20" x14ac:dyDescent="0.45">
      <c r="R1813" s="2">
        <v>34.89</v>
      </c>
      <c r="S1813" s="2">
        <v>6.7102999999999998E-4</v>
      </c>
      <c r="T1813" s="2">
        <v>4.6914999999999999E-4</v>
      </c>
    </row>
    <row r="1814" spans="18:20" x14ac:dyDescent="0.45">
      <c r="R1814" s="2">
        <v>34.9</v>
      </c>
      <c r="S1814" s="2">
        <v>6.713E-4</v>
      </c>
      <c r="T1814" s="2">
        <v>4.6949999999999997E-4</v>
      </c>
    </row>
    <row r="1815" spans="18:20" x14ac:dyDescent="0.45">
      <c r="R1815" s="2">
        <v>34.909999999999997</v>
      </c>
      <c r="S1815" s="2">
        <v>6.7157000000000002E-4</v>
      </c>
      <c r="T1815" s="2">
        <v>4.6985000000000001E-4</v>
      </c>
    </row>
    <row r="1816" spans="18:20" x14ac:dyDescent="0.45">
      <c r="R1816" s="2">
        <v>34.92</v>
      </c>
      <c r="S1816" s="2">
        <v>6.7184000000000005E-4</v>
      </c>
      <c r="T1816" s="2">
        <v>4.7019999999999999E-4</v>
      </c>
    </row>
    <row r="1817" spans="18:20" x14ac:dyDescent="0.45">
      <c r="R1817" s="2">
        <v>34.93</v>
      </c>
      <c r="S1817" s="2">
        <v>6.7210999999999996E-4</v>
      </c>
      <c r="T1817" s="2">
        <v>4.7055000000000003E-4</v>
      </c>
    </row>
    <row r="1818" spans="18:20" x14ac:dyDescent="0.45">
      <c r="R1818" s="2">
        <v>34.94</v>
      </c>
      <c r="S1818" s="2">
        <v>6.7237999999999998E-4</v>
      </c>
      <c r="T1818" s="2">
        <v>4.7090000000000001E-4</v>
      </c>
    </row>
    <row r="1819" spans="18:20" x14ac:dyDescent="0.45">
      <c r="R1819" s="2">
        <v>34.950000000000003</v>
      </c>
      <c r="S1819" s="2">
        <v>6.7265000000000001E-4</v>
      </c>
      <c r="T1819" s="2">
        <v>4.7124999999999999E-4</v>
      </c>
    </row>
    <row r="1820" spans="18:20" x14ac:dyDescent="0.45">
      <c r="R1820" s="2">
        <v>34.96</v>
      </c>
      <c r="S1820" s="2">
        <v>6.7292000000000003E-4</v>
      </c>
      <c r="T1820" s="2">
        <v>4.7160000000000002E-4</v>
      </c>
    </row>
    <row r="1821" spans="18:20" x14ac:dyDescent="0.45">
      <c r="R1821" s="2">
        <v>34.97</v>
      </c>
      <c r="S1821" s="2">
        <v>6.7319000000000005E-4</v>
      </c>
      <c r="T1821" s="2">
        <v>4.7195000000000001E-4</v>
      </c>
    </row>
    <row r="1822" spans="18:20" x14ac:dyDescent="0.45">
      <c r="R1822" s="2">
        <v>34.979999999999997</v>
      </c>
      <c r="S1822" s="2">
        <v>6.7345999999999997E-4</v>
      </c>
      <c r="T1822" s="2">
        <v>4.7229999999999999E-4</v>
      </c>
    </row>
    <row r="1823" spans="18:20" x14ac:dyDescent="0.45">
      <c r="R1823" s="2">
        <v>34.99</v>
      </c>
      <c r="S1823" s="2">
        <v>6.7372999999999999E-4</v>
      </c>
      <c r="T1823" s="2">
        <v>4.7265000000000002E-4</v>
      </c>
    </row>
    <row r="1824" spans="18:20" x14ac:dyDescent="0.45">
      <c r="R1824" s="2">
        <v>35</v>
      </c>
      <c r="S1824" s="2">
        <v>6.7400000000000001E-4</v>
      </c>
      <c r="T1824" s="2">
        <v>4.73E-4</v>
      </c>
    </row>
    <row r="1825" spans="18:20" x14ac:dyDescent="0.45">
      <c r="R1825" s="2">
        <v>35.01</v>
      </c>
      <c r="S1825" s="2">
        <v>6.7431999999999995E-4</v>
      </c>
      <c r="T1825" s="2">
        <v>4.7339000000000002E-4</v>
      </c>
    </row>
    <row r="1826" spans="18:20" x14ac:dyDescent="0.45">
      <c r="R1826" s="2">
        <v>35.020000000000003</v>
      </c>
      <c r="S1826" s="2">
        <v>6.7464000000000001E-4</v>
      </c>
      <c r="T1826" s="2">
        <v>4.7377999999999998E-4</v>
      </c>
    </row>
    <row r="1827" spans="18:20" x14ac:dyDescent="0.45">
      <c r="R1827" s="2">
        <v>35.03</v>
      </c>
      <c r="S1827" s="2">
        <v>6.7495999999999995E-4</v>
      </c>
      <c r="T1827" s="2">
        <v>4.7417E-4</v>
      </c>
    </row>
    <row r="1828" spans="18:20" x14ac:dyDescent="0.45">
      <c r="R1828" s="2">
        <v>35.04</v>
      </c>
      <c r="S1828" s="2">
        <v>6.7528E-4</v>
      </c>
      <c r="T1828" s="2">
        <v>4.7456000000000001E-4</v>
      </c>
    </row>
    <row r="1829" spans="18:20" x14ac:dyDescent="0.45">
      <c r="R1829" s="2">
        <v>35.049999999999997</v>
      </c>
      <c r="S1829" s="2">
        <v>6.7560000000000005E-4</v>
      </c>
      <c r="T1829" s="2">
        <v>4.7495000000000002E-4</v>
      </c>
    </row>
    <row r="1830" spans="18:20" x14ac:dyDescent="0.45">
      <c r="R1830" s="2">
        <v>35.06</v>
      </c>
      <c r="S1830" s="2">
        <v>6.7591999999999999E-4</v>
      </c>
      <c r="T1830" s="2">
        <v>4.7533999999999999E-4</v>
      </c>
    </row>
    <row r="1831" spans="18:20" x14ac:dyDescent="0.45">
      <c r="R1831" s="2">
        <v>35.07</v>
      </c>
      <c r="S1831" s="2">
        <v>6.7624000000000004E-4</v>
      </c>
      <c r="T1831" s="2">
        <v>4.7573E-4</v>
      </c>
    </row>
    <row r="1832" spans="18:20" x14ac:dyDescent="0.45">
      <c r="R1832" s="2">
        <v>35.08</v>
      </c>
      <c r="S1832" s="2">
        <v>6.7655999999999999E-4</v>
      </c>
      <c r="T1832" s="2">
        <v>4.7612000000000002E-4</v>
      </c>
    </row>
    <row r="1833" spans="18:20" x14ac:dyDescent="0.45">
      <c r="R1833" s="2">
        <v>35.090000000000003</v>
      </c>
      <c r="S1833" s="2">
        <v>6.7688000000000004E-4</v>
      </c>
      <c r="T1833" s="2">
        <v>4.7650999999999998E-4</v>
      </c>
    </row>
    <row r="1834" spans="18:20" x14ac:dyDescent="0.45">
      <c r="R1834" s="2">
        <v>35.1</v>
      </c>
      <c r="S1834" s="2">
        <v>6.7719999999999998E-4</v>
      </c>
      <c r="T1834" s="2">
        <v>4.7689999999999999E-4</v>
      </c>
    </row>
    <row r="1835" spans="18:20" x14ac:dyDescent="0.45">
      <c r="R1835" s="2">
        <v>35.11</v>
      </c>
      <c r="S1835" s="2">
        <v>6.7752000000000003E-4</v>
      </c>
      <c r="T1835" s="2">
        <v>4.7729000000000001E-4</v>
      </c>
    </row>
    <row r="1836" spans="18:20" x14ac:dyDescent="0.45">
      <c r="R1836" s="2">
        <v>35.119999999999997</v>
      </c>
      <c r="S1836" s="2">
        <v>6.7783999999999997E-4</v>
      </c>
      <c r="T1836" s="2">
        <v>4.7768000000000002E-4</v>
      </c>
    </row>
    <row r="1837" spans="18:20" x14ac:dyDescent="0.45">
      <c r="R1837" s="2">
        <v>35.130000000000003</v>
      </c>
      <c r="S1837" s="2">
        <v>6.7816000000000003E-4</v>
      </c>
      <c r="T1837" s="2">
        <v>4.7806999999999998E-4</v>
      </c>
    </row>
    <row r="1838" spans="18:20" x14ac:dyDescent="0.45">
      <c r="R1838" s="2">
        <v>35.14</v>
      </c>
      <c r="S1838" s="2">
        <v>6.7847999999999997E-4</v>
      </c>
      <c r="T1838" s="2">
        <v>4.7846E-4</v>
      </c>
    </row>
    <row r="1839" spans="18:20" x14ac:dyDescent="0.45">
      <c r="R1839" s="2">
        <v>35.15</v>
      </c>
      <c r="S1839" s="2">
        <v>6.7880000000000002E-4</v>
      </c>
      <c r="T1839" s="2">
        <v>4.7885000000000001E-4</v>
      </c>
    </row>
    <row r="1840" spans="18:20" x14ac:dyDescent="0.45">
      <c r="R1840" s="2">
        <v>35.159999999999997</v>
      </c>
      <c r="S1840" s="2">
        <v>6.7911999999999996E-4</v>
      </c>
      <c r="T1840" s="2">
        <v>4.7924000000000003E-4</v>
      </c>
    </row>
    <row r="1841" spans="18:20" x14ac:dyDescent="0.45">
      <c r="R1841" s="2">
        <v>35.17</v>
      </c>
      <c r="S1841" s="2">
        <v>6.7944000000000001E-4</v>
      </c>
      <c r="T1841" s="2">
        <v>4.7962999999999999E-4</v>
      </c>
    </row>
    <row r="1842" spans="18:20" x14ac:dyDescent="0.45">
      <c r="R1842" s="2">
        <v>35.18</v>
      </c>
      <c r="S1842" s="2">
        <v>6.7975999999999996E-4</v>
      </c>
      <c r="T1842" s="2">
        <v>4.8002E-4</v>
      </c>
    </row>
    <row r="1843" spans="18:20" x14ac:dyDescent="0.45">
      <c r="R1843" s="2">
        <v>35.19</v>
      </c>
      <c r="S1843" s="2">
        <v>6.8008000000000001E-4</v>
      </c>
      <c r="T1843" s="2">
        <v>4.8041000000000002E-4</v>
      </c>
    </row>
    <row r="1844" spans="18:20" x14ac:dyDescent="0.45">
      <c r="R1844" s="2">
        <v>35.200000000000003</v>
      </c>
      <c r="S1844" s="2">
        <v>6.8039999999999995E-4</v>
      </c>
      <c r="T1844" s="2">
        <v>4.8079999999999998E-4</v>
      </c>
    </row>
    <row r="1845" spans="18:20" x14ac:dyDescent="0.45">
      <c r="R1845" s="2">
        <v>35.21</v>
      </c>
      <c r="S1845" s="2">
        <v>6.8072E-4</v>
      </c>
      <c r="T1845" s="2">
        <v>4.8118999999999999E-4</v>
      </c>
    </row>
    <row r="1846" spans="18:20" x14ac:dyDescent="0.45">
      <c r="R1846" s="2">
        <v>35.22</v>
      </c>
      <c r="S1846" s="2">
        <v>6.8104000000000005E-4</v>
      </c>
      <c r="T1846" s="2">
        <v>4.8158000000000001E-4</v>
      </c>
    </row>
    <row r="1847" spans="18:20" x14ac:dyDescent="0.45">
      <c r="R1847" s="2">
        <v>35.229999999999997</v>
      </c>
      <c r="S1847" s="2">
        <v>6.8136E-4</v>
      </c>
      <c r="T1847" s="2">
        <v>4.8197000000000002E-4</v>
      </c>
    </row>
    <row r="1848" spans="18:20" x14ac:dyDescent="0.45">
      <c r="R1848" s="2">
        <v>35.24</v>
      </c>
      <c r="S1848" s="2">
        <v>6.8168000000000005E-4</v>
      </c>
      <c r="T1848" s="2">
        <v>4.8235999999999998E-4</v>
      </c>
    </row>
    <row r="1849" spans="18:20" x14ac:dyDescent="0.45">
      <c r="R1849" s="2">
        <v>35.25</v>
      </c>
      <c r="S1849" s="2">
        <v>6.8199999999999999E-4</v>
      </c>
      <c r="T1849" s="2">
        <v>4.8275E-4</v>
      </c>
    </row>
    <row r="1850" spans="18:20" x14ac:dyDescent="0.45">
      <c r="R1850" s="2">
        <v>35.26</v>
      </c>
      <c r="S1850" s="2">
        <v>6.8232000000000004E-4</v>
      </c>
      <c r="T1850" s="2">
        <v>4.8314000000000001E-4</v>
      </c>
    </row>
    <row r="1851" spans="18:20" x14ac:dyDescent="0.45">
      <c r="R1851" s="2">
        <v>35.270000000000003</v>
      </c>
      <c r="S1851" s="2">
        <v>6.8263999999999998E-4</v>
      </c>
      <c r="T1851" s="2">
        <v>4.8352999999999997E-4</v>
      </c>
    </row>
    <row r="1852" spans="18:20" x14ac:dyDescent="0.45">
      <c r="R1852" s="2">
        <v>35.28</v>
      </c>
      <c r="S1852" s="2">
        <v>6.8296000000000003E-4</v>
      </c>
      <c r="T1852" s="2">
        <v>4.8391999999999999E-4</v>
      </c>
    </row>
    <row r="1853" spans="18:20" x14ac:dyDescent="0.45">
      <c r="R1853" s="2">
        <v>35.29</v>
      </c>
      <c r="S1853" s="2">
        <v>6.8327999999999998E-4</v>
      </c>
      <c r="T1853" s="2">
        <v>4.8431E-4</v>
      </c>
    </row>
    <row r="1854" spans="18:20" x14ac:dyDescent="0.45">
      <c r="R1854" s="2">
        <v>35.299999999999997</v>
      </c>
      <c r="S1854" s="2">
        <v>6.8360000000000003E-4</v>
      </c>
      <c r="T1854" s="2">
        <v>4.8470000000000002E-4</v>
      </c>
    </row>
    <row r="1855" spans="18:20" x14ac:dyDescent="0.45">
      <c r="R1855" s="2">
        <v>35.31</v>
      </c>
      <c r="S1855" s="2">
        <v>6.8391999999999997E-4</v>
      </c>
      <c r="T1855" s="2">
        <v>4.8508999999999998E-4</v>
      </c>
    </row>
    <row r="1856" spans="18:20" x14ac:dyDescent="0.45">
      <c r="R1856" s="2">
        <v>35.32</v>
      </c>
      <c r="S1856" s="2">
        <v>6.8424000000000002E-4</v>
      </c>
      <c r="T1856" s="2">
        <v>4.8547999999999999E-4</v>
      </c>
    </row>
    <row r="1857" spans="18:20" x14ac:dyDescent="0.45">
      <c r="R1857" s="2">
        <v>35.33</v>
      </c>
      <c r="S1857" s="2">
        <v>6.8455999999999996E-4</v>
      </c>
      <c r="T1857" s="2">
        <v>4.8587000000000001E-4</v>
      </c>
    </row>
    <row r="1858" spans="18:20" x14ac:dyDescent="0.45">
      <c r="R1858" s="2">
        <v>35.340000000000003</v>
      </c>
      <c r="S1858" s="2">
        <v>6.8488000000000002E-4</v>
      </c>
      <c r="T1858" s="2">
        <v>4.8626000000000002E-4</v>
      </c>
    </row>
    <row r="1859" spans="18:20" x14ac:dyDescent="0.45">
      <c r="R1859" s="2">
        <v>35.35</v>
      </c>
      <c r="S1859" s="2">
        <v>6.8519999999999996E-4</v>
      </c>
      <c r="T1859" s="2">
        <v>4.8664999999999998E-4</v>
      </c>
    </row>
    <row r="1860" spans="18:20" x14ac:dyDescent="0.45">
      <c r="R1860" s="2">
        <v>35.36</v>
      </c>
      <c r="S1860" s="2">
        <v>6.8552000000000001E-4</v>
      </c>
      <c r="T1860" s="2">
        <v>4.8704E-4</v>
      </c>
    </row>
    <row r="1861" spans="18:20" x14ac:dyDescent="0.45">
      <c r="R1861" s="2">
        <v>35.369999999999997</v>
      </c>
      <c r="S1861" s="2">
        <v>6.8583999999999995E-4</v>
      </c>
      <c r="T1861" s="2">
        <v>4.8743000000000001E-4</v>
      </c>
    </row>
    <row r="1862" spans="18:20" x14ac:dyDescent="0.45">
      <c r="R1862" s="2">
        <v>35.380000000000003</v>
      </c>
      <c r="S1862" s="2">
        <v>6.8616E-4</v>
      </c>
      <c r="T1862" s="2">
        <v>4.8781999999999997E-4</v>
      </c>
    </row>
    <row r="1863" spans="18:20" x14ac:dyDescent="0.45">
      <c r="R1863" s="2">
        <v>35.39</v>
      </c>
      <c r="S1863" s="2">
        <v>6.8647999999999995E-4</v>
      </c>
      <c r="T1863" s="2">
        <v>4.8820999999999999E-4</v>
      </c>
    </row>
    <row r="1864" spans="18:20" x14ac:dyDescent="0.45">
      <c r="R1864" s="2">
        <v>35.4</v>
      </c>
      <c r="S1864" s="2">
        <v>6.868E-4</v>
      </c>
      <c r="T1864" s="2">
        <v>4.8859999999999995E-4</v>
      </c>
    </row>
    <row r="1865" spans="18:20" x14ac:dyDescent="0.45">
      <c r="R1865" s="2">
        <v>35.409999999999997</v>
      </c>
      <c r="S1865" s="2">
        <v>6.8712000000000005E-4</v>
      </c>
      <c r="T1865" s="2">
        <v>4.8899000000000002E-4</v>
      </c>
    </row>
    <row r="1866" spans="18:20" x14ac:dyDescent="0.45">
      <c r="R1866" s="2">
        <v>35.42</v>
      </c>
      <c r="S1866" s="2">
        <v>6.8743999999999999E-4</v>
      </c>
      <c r="T1866" s="2">
        <v>4.8937999999999998E-4</v>
      </c>
    </row>
    <row r="1867" spans="18:20" x14ac:dyDescent="0.45">
      <c r="R1867" s="2">
        <v>35.43</v>
      </c>
      <c r="S1867" s="2">
        <v>6.8776000000000004E-4</v>
      </c>
      <c r="T1867" s="2">
        <v>4.8977000000000005E-4</v>
      </c>
    </row>
    <row r="1868" spans="18:20" x14ac:dyDescent="0.45">
      <c r="R1868" s="2">
        <v>35.44</v>
      </c>
      <c r="S1868" s="2">
        <v>6.8807999999999999E-4</v>
      </c>
      <c r="T1868" s="2">
        <v>4.9016000000000001E-4</v>
      </c>
    </row>
    <row r="1869" spans="18:20" x14ac:dyDescent="0.45">
      <c r="R1869" s="2">
        <v>35.450000000000003</v>
      </c>
      <c r="S1869" s="2">
        <v>6.8840000000000004E-4</v>
      </c>
      <c r="T1869" s="2">
        <v>4.9054999999999997E-4</v>
      </c>
    </row>
    <row r="1870" spans="18:20" x14ac:dyDescent="0.45">
      <c r="R1870" s="2">
        <v>35.46</v>
      </c>
      <c r="S1870" s="2">
        <v>6.8871999999999998E-4</v>
      </c>
      <c r="T1870" s="2">
        <v>4.9094000000000004E-4</v>
      </c>
    </row>
    <row r="1871" spans="18:20" x14ac:dyDescent="0.45">
      <c r="R1871" s="2">
        <v>35.47</v>
      </c>
      <c r="S1871" s="2">
        <v>6.8904000000000003E-4</v>
      </c>
      <c r="T1871" s="2">
        <v>4.9133E-4</v>
      </c>
    </row>
    <row r="1872" spans="18:20" x14ac:dyDescent="0.45">
      <c r="R1872" s="2">
        <v>35.479999999999997</v>
      </c>
      <c r="S1872" s="2">
        <v>6.8935999999999997E-4</v>
      </c>
      <c r="T1872" s="2">
        <v>4.9171999999999996E-4</v>
      </c>
    </row>
    <row r="1873" spans="18:20" x14ac:dyDescent="0.45">
      <c r="R1873" s="2">
        <v>35.49</v>
      </c>
      <c r="S1873" s="2">
        <v>6.8968000000000002E-4</v>
      </c>
      <c r="T1873" s="2">
        <v>4.9211000000000003E-4</v>
      </c>
    </row>
    <row r="1874" spans="18:20" x14ac:dyDescent="0.45">
      <c r="R1874" s="2">
        <v>35.5</v>
      </c>
      <c r="S1874" s="2">
        <v>6.8999999999999997E-4</v>
      </c>
      <c r="T1874" s="2">
        <v>4.9249999999999999E-4</v>
      </c>
    </row>
    <row r="1875" spans="18:20" x14ac:dyDescent="0.45">
      <c r="R1875" s="2">
        <v>35.51</v>
      </c>
      <c r="S1875" s="2">
        <v>6.9032000000000002E-4</v>
      </c>
      <c r="T1875" s="2">
        <v>4.9288999999999995E-4</v>
      </c>
    </row>
    <row r="1876" spans="18:20" x14ac:dyDescent="0.45">
      <c r="R1876" s="2">
        <v>35.520000000000003</v>
      </c>
      <c r="S1876" s="2">
        <v>6.9063999999999996E-4</v>
      </c>
      <c r="T1876" s="2">
        <v>4.9328000000000002E-4</v>
      </c>
    </row>
    <row r="1877" spans="18:20" x14ac:dyDescent="0.45">
      <c r="R1877" s="2">
        <v>35.53</v>
      </c>
      <c r="S1877" s="2">
        <v>6.9096000000000001E-4</v>
      </c>
      <c r="T1877" s="2">
        <v>4.9366999999999998E-4</v>
      </c>
    </row>
    <row r="1878" spans="18:20" x14ac:dyDescent="0.45">
      <c r="R1878" s="2">
        <v>35.54</v>
      </c>
      <c r="S1878" s="2">
        <v>6.9127999999999995E-4</v>
      </c>
      <c r="T1878" s="2">
        <v>4.9406000000000005E-4</v>
      </c>
    </row>
    <row r="1879" spans="18:20" x14ac:dyDescent="0.45">
      <c r="R1879" s="2">
        <v>35.549999999999997</v>
      </c>
      <c r="S1879" s="2">
        <v>6.9160000000000001E-4</v>
      </c>
      <c r="T1879" s="2">
        <v>4.9445000000000001E-4</v>
      </c>
    </row>
    <row r="1880" spans="18:20" x14ac:dyDescent="0.45">
      <c r="R1880" s="2">
        <v>35.56</v>
      </c>
      <c r="S1880" s="2">
        <v>6.9191999999999995E-4</v>
      </c>
      <c r="T1880" s="2">
        <v>4.9483999999999997E-4</v>
      </c>
    </row>
    <row r="1881" spans="18:20" x14ac:dyDescent="0.45">
      <c r="R1881" s="2">
        <v>35.57</v>
      </c>
      <c r="S1881" s="2">
        <v>6.9224E-4</v>
      </c>
      <c r="T1881" s="2">
        <v>4.9523000000000004E-4</v>
      </c>
    </row>
    <row r="1882" spans="18:20" x14ac:dyDescent="0.45">
      <c r="R1882" s="2">
        <v>35.58</v>
      </c>
      <c r="S1882" s="2">
        <v>6.9256000000000005E-4</v>
      </c>
      <c r="T1882" s="2">
        <v>4.9562E-4</v>
      </c>
    </row>
    <row r="1883" spans="18:20" x14ac:dyDescent="0.45">
      <c r="R1883" s="2">
        <v>35.590000000000003</v>
      </c>
      <c r="S1883" s="2">
        <v>6.9287999999999999E-4</v>
      </c>
      <c r="T1883" s="2">
        <v>4.9600999999999996E-4</v>
      </c>
    </row>
    <row r="1884" spans="18:20" x14ac:dyDescent="0.45">
      <c r="R1884" s="2">
        <v>35.6</v>
      </c>
      <c r="S1884" s="2">
        <v>6.9320000000000004E-4</v>
      </c>
      <c r="T1884" s="2">
        <v>4.9640000000000003E-4</v>
      </c>
    </row>
    <row r="1885" spans="18:20" x14ac:dyDescent="0.45">
      <c r="R1885" s="2">
        <v>35.61</v>
      </c>
      <c r="S1885" s="2">
        <v>6.9351999999999999E-4</v>
      </c>
      <c r="T1885" s="2">
        <v>4.9678999999999999E-4</v>
      </c>
    </row>
    <row r="1886" spans="18:20" x14ac:dyDescent="0.45">
      <c r="R1886" s="2">
        <v>35.619999999999997</v>
      </c>
      <c r="S1886" s="2">
        <v>6.9384000000000004E-4</v>
      </c>
      <c r="T1886" s="2">
        <v>4.9717999999999995E-4</v>
      </c>
    </row>
    <row r="1887" spans="18:20" x14ac:dyDescent="0.45">
      <c r="R1887" s="2">
        <v>35.630000000000003</v>
      </c>
      <c r="S1887" s="2">
        <v>6.9415999999999998E-4</v>
      </c>
      <c r="T1887" s="2">
        <v>4.9757000000000002E-4</v>
      </c>
    </row>
    <row r="1888" spans="18:20" x14ac:dyDescent="0.45">
      <c r="R1888" s="2">
        <v>35.64</v>
      </c>
      <c r="S1888" s="2">
        <v>6.9448000000000003E-4</v>
      </c>
      <c r="T1888" s="2">
        <v>4.9795999999999998E-4</v>
      </c>
    </row>
    <row r="1889" spans="18:20" x14ac:dyDescent="0.45">
      <c r="R1889" s="2">
        <v>35.65</v>
      </c>
      <c r="S1889" s="2">
        <v>6.9479999999999997E-4</v>
      </c>
      <c r="T1889" s="2">
        <v>4.9835000000000005E-4</v>
      </c>
    </row>
    <row r="1890" spans="18:20" x14ac:dyDescent="0.45">
      <c r="R1890" s="2">
        <v>35.659999999999997</v>
      </c>
      <c r="S1890" s="2">
        <v>6.9512000000000003E-4</v>
      </c>
      <c r="T1890" s="2">
        <v>4.9874000000000001E-4</v>
      </c>
    </row>
    <row r="1891" spans="18:20" x14ac:dyDescent="0.45">
      <c r="R1891" s="2">
        <v>35.67</v>
      </c>
      <c r="S1891" s="2">
        <v>6.9543999999999997E-4</v>
      </c>
      <c r="T1891" s="2">
        <v>4.9912999999999997E-4</v>
      </c>
    </row>
    <row r="1892" spans="18:20" x14ac:dyDescent="0.45">
      <c r="R1892" s="2">
        <v>35.68</v>
      </c>
      <c r="S1892" s="2">
        <v>6.9576000000000002E-4</v>
      </c>
      <c r="T1892" s="2">
        <v>4.9952000000000004E-4</v>
      </c>
    </row>
    <row r="1893" spans="18:20" x14ac:dyDescent="0.45">
      <c r="R1893" s="2">
        <v>35.69</v>
      </c>
      <c r="S1893" s="2">
        <v>6.9607999999999996E-4</v>
      </c>
      <c r="T1893" s="2">
        <v>4.9991E-4</v>
      </c>
    </row>
    <row r="1894" spans="18:20" x14ac:dyDescent="0.45">
      <c r="R1894" s="2">
        <v>35.700000000000003</v>
      </c>
      <c r="S1894" s="2">
        <v>6.9640000000000001E-4</v>
      </c>
      <c r="T1894" s="2">
        <v>5.0029999999999996E-4</v>
      </c>
    </row>
    <row r="1895" spans="18:20" x14ac:dyDescent="0.45">
      <c r="R1895" s="2">
        <v>35.71</v>
      </c>
      <c r="S1895" s="2">
        <v>6.9671999999999996E-4</v>
      </c>
      <c r="T1895" s="2">
        <v>5.0069000000000003E-4</v>
      </c>
    </row>
    <row r="1896" spans="18:20" x14ac:dyDescent="0.45">
      <c r="R1896" s="2">
        <v>35.72</v>
      </c>
      <c r="S1896" s="2">
        <v>6.9704000000000001E-4</v>
      </c>
      <c r="T1896" s="2">
        <v>5.0107999999999999E-4</v>
      </c>
    </row>
    <row r="1897" spans="18:20" x14ac:dyDescent="0.45">
      <c r="R1897" s="2">
        <v>35.729999999999997</v>
      </c>
      <c r="S1897" s="2">
        <v>6.9735999999999995E-4</v>
      </c>
      <c r="T1897" s="2">
        <v>5.0146999999999995E-4</v>
      </c>
    </row>
    <row r="1898" spans="18:20" x14ac:dyDescent="0.45">
      <c r="R1898" s="2">
        <v>35.74</v>
      </c>
      <c r="S1898" s="2">
        <v>6.9768E-4</v>
      </c>
      <c r="T1898" s="2">
        <v>5.0186000000000002E-4</v>
      </c>
    </row>
    <row r="1899" spans="18:20" x14ac:dyDescent="0.45">
      <c r="R1899" s="2">
        <v>35.75</v>
      </c>
      <c r="S1899" s="2">
        <v>6.9800000000000005E-4</v>
      </c>
      <c r="T1899" s="2">
        <v>5.0224999999999998E-4</v>
      </c>
    </row>
    <row r="1900" spans="18:20" x14ac:dyDescent="0.45">
      <c r="R1900" s="2">
        <v>35.76</v>
      </c>
      <c r="S1900" s="2">
        <v>6.9832E-4</v>
      </c>
      <c r="T1900" s="2">
        <v>5.0264000000000005E-4</v>
      </c>
    </row>
    <row r="1901" spans="18:20" x14ac:dyDescent="0.45">
      <c r="R1901" s="2">
        <v>35.770000000000003</v>
      </c>
      <c r="S1901" s="2">
        <v>6.9864000000000005E-4</v>
      </c>
      <c r="T1901" s="2">
        <v>5.0303000000000001E-4</v>
      </c>
    </row>
    <row r="1902" spans="18:20" x14ac:dyDescent="0.45">
      <c r="R1902" s="2">
        <v>35.78</v>
      </c>
      <c r="S1902" s="2">
        <v>6.9895999999999999E-4</v>
      </c>
      <c r="T1902" s="2">
        <v>5.0341999999999997E-4</v>
      </c>
    </row>
    <row r="1903" spans="18:20" x14ac:dyDescent="0.45">
      <c r="R1903" s="2">
        <v>35.79</v>
      </c>
      <c r="S1903" s="2">
        <v>6.9928000000000004E-4</v>
      </c>
      <c r="T1903" s="2">
        <v>5.0381000000000004E-4</v>
      </c>
    </row>
    <row r="1904" spans="18:20" x14ac:dyDescent="0.45">
      <c r="R1904" s="2">
        <v>35.799999999999997</v>
      </c>
      <c r="S1904" s="2">
        <v>6.9959999999999998E-4</v>
      </c>
      <c r="T1904" s="2">
        <v>5.042E-4</v>
      </c>
    </row>
    <row r="1905" spans="18:20" x14ac:dyDescent="0.45">
      <c r="R1905" s="2">
        <v>35.81</v>
      </c>
      <c r="S1905" s="2">
        <v>6.9992000000000003E-4</v>
      </c>
      <c r="T1905" s="2">
        <v>5.0458999999999996E-4</v>
      </c>
    </row>
    <row r="1906" spans="18:20" x14ac:dyDescent="0.45">
      <c r="R1906" s="2">
        <v>35.82</v>
      </c>
      <c r="S1906" s="2">
        <v>7.0023999999999998E-4</v>
      </c>
      <c r="T1906" s="2">
        <v>5.0498000000000003E-4</v>
      </c>
    </row>
    <row r="1907" spans="18:20" x14ac:dyDescent="0.45">
      <c r="R1907" s="2">
        <v>35.83</v>
      </c>
      <c r="S1907" s="2">
        <v>7.0056000000000003E-4</v>
      </c>
      <c r="T1907" s="2">
        <v>5.0536999999999999E-4</v>
      </c>
    </row>
    <row r="1908" spans="18:20" x14ac:dyDescent="0.45">
      <c r="R1908" s="2">
        <v>35.840000000000003</v>
      </c>
      <c r="S1908" s="2">
        <v>7.0087999999999997E-4</v>
      </c>
      <c r="T1908" s="2">
        <v>5.0575999999999996E-4</v>
      </c>
    </row>
    <row r="1909" spans="18:20" x14ac:dyDescent="0.45">
      <c r="R1909" s="2">
        <v>35.85</v>
      </c>
      <c r="S1909" s="2">
        <v>7.0120000000000002E-4</v>
      </c>
      <c r="T1909" s="2">
        <v>5.0615000000000002E-4</v>
      </c>
    </row>
    <row r="1910" spans="18:20" x14ac:dyDescent="0.45">
      <c r="R1910" s="2">
        <v>35.86</v>
      </c>
      <c r="S1910" s="2">
        <v>7.0151999999999996E-4</v>
      </c>
      <c r="T1910" s="2">
        <v>5.0653999999999999E-4</v>
      </c>
    </row>
    <row r="1911" spans="18:20" x14ac:dyDescent="0.45">
      <c r="R1911" s="2">
        <v>35.869999999999997</v>
      </c>
      <c r="S1911" s="2">
        <v>7.0184000000000002E-4</v>
      </c>
      <c r="T1911" s="2">
        <v>5.0693000000000005E-4</v>
      </c>
    </row>
    <row r="1912" spans="18:20" x14ac:dyDescent="0.45">
      <c r="R1912" s="2">
        <v>35.880000000000003</v>
      </c>
      <c r="S1912" s="2">
        <v>7.0215999999999996E-4</v>
      </c>
      <c r="T1912" s="2">
        <v>5.0732000000000001E-4</v>
      </c>
    </row>
    <row r="1913" spans="18:20" x14ac:dyDescent="0.45">
      <c r="R1913" s="2">
        <v>35.89</v>
      </c>
      <c r="S1913" s="2">
        <v>7.0248000000000001E-4</v>
      </c>
      <c r="T1913" s="2">
        <v>5.0770999999999998E-4</v>
      </c>
    </row>
    <row r="1914" spans="18:20" x14ac:dyDescent="0.45">
      <c r="R1914" s="2">
        <v>35.9</v>
      </c>
      <c r="S1914" s="2">
        <v>7.0279999999999995E-4</v>
      </c>
      <c r="T1914" s="2">
        <v>5.0810000000000004E-4</v>
      </c>
    </row>
    <row r="1915" spans="18:20" x14ac:dyDescent="0.45">
      <c r="R1915" s="2">
        <v>35.909999999999997</v>
      </c>
      <c r="S1915" s="2">
        <v>7.0312E-4</v>
      </c>
      <c r="T1915" s="2">
        <v>5.0849000000000001E-4</v>
      </c>
    </row>
    <row r="1916" spans="18:20" x14ac:dyDescent="0.45">
      <c r="R1916" s="2">
        <v>35.92</v>
      </c>
      <c r="S1916" s="2">
        <v>7.0343999999999995E-4</v>
      </c>
      <c r="T1916" s="2">
        <v>5.0887999999999997E-4</v>
      </c>
    </row>
    <row r="1917" spans="18:20" x14ac:dyDescent="0.45">
      <c r="R1917" s="2">
        <v>35.93</v>
      </c>
      <c r="S1917" s="2">
        <v>7.0376E-4</v>
      </c>
      <c r="T1917" s="2">
        <v>5.0927000000000004E-4</v>
      </c>
    </row>
    <row r="1918" spans="18:20" x14ac:dyDescent="0.45">
      <c r="R1918" s="2">
        <v>35.94</v>
      </c>
      <c r="S1918" s="2">
        <v>7.0408000000000005E-4</v>
      </c>
      <c r="T1918" s="2">
        <v>5.0966E-4</v>
      </c>
    </row>
    <row r="1919" spans="18:20" x14ac:dyDescent="0.45">
      <c r="R1919" s="2">
        <v>35.950000000000003</v>
      </c>
      <c r="S1919" s="2">
        <v>7.0439999999999999E-4</v>
      </c>
      <c r="T1919" s="2">
        <v>5.1004999999999996E-4</v>
      </c>
    </row>
    <row r="1920" spans="18:20" x14ac:dyDescent="0.45">
      <c r="R1920" s="2">
        <v>35.96</v>
      </c>
      <c r="S1920" s="2">
        <v>7.0472000000000004E-4</v>
      </c>
      <c r="T1920" s="2">
        <v>5.1044000000000003E-4</v>
      </c>
    </row>
    <row r="1921" spans="18:20" x14ac:dyDescent="0.45">
      <c r="R1921" s="2">
        <v>35.97</v>
      </c>
      <c r="S1921" s="2">
        <v>7.0503999999999999E-4</v>
      </c>
      <c r="T1921" s="2">
        <v>5.1082999999999999E-4</v>
      </c>
    </row>
    <row r="1922" spans="18:20" x14ac:dyDescent="0.45">
      <c r="R1922" s="2">
        <v>35.979999999999997</v>
      </c>
      <c r="S1922" s="2">
        <v>7.0536000000000004E-4</v>
      </c>
      <c r="T1922" s="2">
        <v>5.1121999999999995E-4</v>
      </c>
    </row>
    <row r="1923" spans="18:20" x14ac:dyDescent="0.45">
      <c r="R1923" s="2">
        <v>35.99</v>
      </c>
      <c r="S1923" s="2">
        <v>7.0567999999999998E-4</v>
      </c>
      <c r="T1923" s="2">
        <v>5.1161000000000002E-4</v>
      </c>
    </row>
    <row r="1924" spans="18:20" x14ac:dyDescent="0.45">
      <c r="R1924" s="2">
        <v>36</v>
      </c>
      <c r="S1924" s="2">
        <v>7.0600000000000003E-4</v>
      </c>
      <c r="T1924" s="2">
        <v>5.1199999999999998E-4</v>
      </c>
    </row>
    <row r="1925" spans="18:20" x14ac:dyDescent="0.45">
      <c r="R1925" s="2">
        <v>36.01</v>
      </c>
      <c r="S1925" s="2">
        <v>7.0638000000000005E-4</v>
      </c>
      <c r="T1925" s="2">
        <v>5.1243000000000003E-4</v>
      </c>
    </row>
    <row r="1926" spans="18:20" x14ac:dyDescent="0.45">
      <c r="R1926" s="2">
        <v>36.020000000000003</v>
      </c>
      <c r="S1926" s="2">
        <v>7.0675999999999996E-4</v>
      </c>
      <c r="T1926" s="2">
        <v>5.1285999999999997E-4</v>
      </c>
    </row>
    <row r="1927" spans="18:20" x14ac:dyDescent="0.45">
      <c r="R1927" s="2">
        <v>36.03</v>
      </c>
      <c r="S1927" s="2">
        <v>7.0713999999999998E-4</v>
      </c>
      <c r="T1927" s="2">
        <v>5.1329000000000001E-4</v>
      </c>
    </row>
    <row r="1928" spans="18:20" x14ac:dyDescent="0.45">
      <c r="R1928" s="2">
        <v>36.04</v>
      </c>
      <c r="S1928" s="2">
        <v>7.0752E-4</v>
      </c>
      <c r="T1928" s="2">
        <v>5.1371999999999995E-4</v>
      </c>
    </row>
    <row r="1929" spans="18:20" x14ac:dyDescent="0.45">
      <c r="R1929" s="2">
        <v>36.049999999999997</v>
      </c>
      <c r="S1929" s="2">
        <v>7.0790000000000002E-4</v>
      </c>
      <c r="T1929" s="2">
        <v>5.1415E-4</v>
      </c>
    </row>
    <row r="1930" spans="18:20" x14ac:dyDescent="0.45">
      <c r="R1930" s="2">
        <v>36.06</v>
      </c>
      <c r="S1930" s="2">
        <v>7.0828000000000004E-4</v>
      </c>
      <c r="T1930" s="2">
        <v>5.1458000000000005E-4</v>
      </c>
    </row>
    <row r="1931" spans="18:20" x14ac:dyDescent="0.45">
      <c r="R1931" s="2">
        <v>36.07</v>
      </c>
      <c r="S1931" s="2">
        <v>7.0865999999999995E-4</v>
      </c>
      <c r="T1931" s="2">
        <v>5.1500999999999999E-4</v>
      </c>
    </row>
    <row r="1932" spans="18:20" x14ac:dyDescent="0.45">
      <c r="R1932" s="2">
        <v>36.08</v>
      </c>
      <c r="S1932" s="2">
        <v>7.0903999999999997E-4</v>
      </c>
      <c r="T1932" s="2">
        <v>5.1544000000000004E-4</v>
      </c>
    </row>
    <row r="1933" spans="18:20" x14ac:dyDescent="0.45">
      <c r="R1933" s="2">
        <v>36.090000000000003</v>
      </c>
      <c r="S1933" s="2">
        <v>7.0941999999999999E-4</v>
      </c>
      <c r="T1933" s="2">
        <v>5.1586999999999998E-4</v>
      </c>
    </row>
    <row r="1934" spans="18:20" x14ac:dyDescent="0.45">
      <c r="R1934" s="2">
        <v>36.1</v>
      </c>
      <c r="S1934" s="2">
        <v>7.0980000000000001E-4</v>
      </c>
      <c r="T1934" s="2">
        <v>5.1630000000000003E-4</v>
      </c>
    </row>
    <row r="1935" spans="18:20" x14ac:dyDescent="0.45">
      <c r="R1935" s="2">
        <v>36.11</v>
      </c>
      <c r="S1935" s="2">
        <v>7.1018000000000003E-4</v>
      </c>
      <c r="T1935" s="2">
        <v>5.1672999999999997E-4</v>
      </c>
    </row>
    <row r="1936" spans="18:20" x14ac:dyDescent="0.45">
      <c r="R1936" s="2">
        <v>36.119999999999997</v>
      </c>
      <c r="S1936" s="2">
        <v>7.1055999999999995E-4</v>
      </c>
      <c r="T1936" s="2">
        <v>5.1716000000000002E-4</v>
      </c>
    </row>
    <row r="1937" spans="18:20" x14ac:dyDescent="0.45">
      <c r="R1937" s="2">
        <v>36.130000000000003</v>
      </c>
      <c r="S1937" s="2">
        <v>7.1093999999999997E-4</v>
      </c>
      <c r="T1937" s="2">
        <v>5.1758999999999996E-4</v>
      </c>
    </row>
    <row r="1938" spans="18:20" x14ac:dyDescent="0.45">
      <c r="R1938" s="2">
        <v>36.14</v>
      </c>
      <c r="S1938" s="2">
        <v>7.1131999999999999E-4</v>
      </c>
      <c r="T1938" s="2">
        <v>5.1802E-4</v>
      </c>
    </row>
    <row r="1939" spans="18:20" x14ac:dyDescent="0.45">
      <c r="R1939" s="2">
        <v>36.15</v>
      </c>
      <c r="S1939" s="2">
        <v>7.1170000000000001E-4</v>
      </c>
      <c r="T1939" s="2">
        <v>5.1845000000000005E-4</v>
      </c>
    </row>
    <row r="1940" spans="18:20" x14ac:dyDescent="0.45">
      <c r="R1940" s="2">
        <v>36.159999999999997</v>
      </c>
      <c r="S1940" s="2">
        <v>7.1208000000000003E-4</v>
      </c>
      <c r="T1940" s="2">
        <v>5.1887999999999999E-4</v>
      </c>
    </row>
    <row r="1941" spans="18:20" x14ac:dyDescent="0.45">
      <c r="R1941" s="2">
        <v>36.17</v>
      </c>
      <c r="S1941" s="2">
        <v>7.1246000000000005E-4</v>
      </c>
      <c r="T1941" s="2">
        <v>5.1931000000000004E-4</v>
      </c>
    </row>
    <row r="1942" spans="18:20" x14ac:dyDescent="0.45">
      <c r="R1942" s="2">
        <v>36.18</v>
      </c>
      <c r="S1942" s="2">
        <v>7.1283999999999996E-4</v>
      </c>
      <c r="T1942" s="2">
        <v>5.1973999999999998E-4</v>
      </c>
    </row>
    <row r="1943" spans="18:20" x14ac:dyDescent="0.45">
      <c r="R1943" s="2">
        <v>36.19</v>
      </c>
      <c r="S1943" s="2">
        <v>7.1321999999999998E-4</v>
      </c>
      <c r="T1943" s="2">
        <v>5.2017000000000003E-4</v>
      </c>
    </row>
    <row r="1944" spans="18:20" x14ac:dyDescent="0.45">
      <c r="R1944" s="2">
        <v>36.200000000000003</v>
      </c>
      <c r="S1944" s="2">
        <v>7.136E-4</v>
      </c>
      <c r="T1944" s="2">
        <v>5.2059999999999997E-4</v>
      </c>
    </row>
    <row r="1945" spans="18:20" x14ac:dyDescent="0.45">
      <c r="R1945" s="2">
        <v>36.21</v>
      </c>
      <c r="S1945" s="2">
        <v>7.1398000000000002E-4</v>
      </c>
      <c r="T1945" s="2">
        <v>5.2103000000000002E-4</v>
      </c>
    </row>
    <row r="1946" spans="18:20" x14ac:dyDescent="0.45">
      <c r="R1946" s="2">
        <v>36.22</v>
      </c>
      <c r="S1946" s="2">
        <v>7.1436000000000004E-4</v>
      </c>
      <c r="T1946" s="2">
        <v>5.2145999999999996E-4</v>
      </c>
    </row>
    <row r="1947" spans="18:20" x14ac:dyDescent="0.45">
      <c r="R1947" s="2">
        <v>36.229999999999997</v>
      </c>
      <c r="S1947" s="2">
        <v>7.1473999999999995E-4</v>
      </c>
      <c r="T1947" s="2">
        <v>5.2189000000000001E-4</v>
      </c>
    </row>
    <row r="1948" spans="18:20" x14ac:dyDescent="0.45">
      <c r="R1948" s="2">
        <v>36.24</v>
      </c>
      <c r="S1948" s="2">
        <v>7.1511999999999997E-4</v>
      </c>
      <c r="T1948" s="2">
        <v>5.2231999999999995E-4</v>
      </c>
    </row>
    <row r="1949" spans="18:20" x14ac:dyDescent="0.45">
      <c r="R1949" s="2">
        <v>36.25</v>
      </c>
      <c r="S1949" s="2">
        <v>7.1549999999999999E-4</v>
      </c>
      <c r="T1949" s="2">
        <v>5.2274999999999999E-4</v>
      </c>
    </row>
    <row r="1950" spans="18:20" x14ac:dyDescent="0.45">
      <c r="R1950" s="2">
        <v>36.26</v>
      </c>
      <c r="S1950" s="2">
        <v>7.1588000000000001E-4</v>
      </c>
      <c r="T1950" s="2">
        <v>5.2318000000000004E-4</v>
      </c>
    </row>
    <row r="1951" spans="18:20" x14ac:dyDescent="0.45">
      <c r="R1951" s="2">
        <v>36.270000000000003</v>
      </c>
      <c r="S1951" s="2">
        <v>7.1626000000000003E-4</v>
      </c>
      <c r="T1951" s="2">
        <v>5.2360999999999998E-4</v>
      </c>
    </row>
    <row r="1952" spans="18:20" x14ac:dyDescent="0.45">
      <c r="R1952" s="2">
        <v>36.28</v>
      </c>
      <c r="S1952" s="2">
        <v>7.1664000000000005E-4</v>
      </c>
      <c r="T1952" s="2">
        <v>5.2404000000000003E-4</v>
      </c>
    </row>
    <row r="1953" spans="18:20" x14ac:dyDescent="0.45">
      <c r="R1953" s="2">
        <v>36.29</v>
      </c>
      <c r="S1953" s="2">
        <v>7.1701999999999996E-4</v>
      </c>
      <c r="T1953" s="2">
        <v>5.2446999999999997E-4</v>
      </c>
    </row>
    <row r="1954" spans="18:20" x14ac:dyDescent="0.45">
      <c r="R1954" s="2">
        <v>36.299999999999997</v>
      </c>
      <c r="S1954" s="2">
        <v>7.1739999999999998E-4</v>
      </c>
      <c r="T1954" s="2">
        <v>5.2490000000000002E-4</v>
      </c>
    </row>
    <row r="1955" spans="18:20" x14ac:dyDescent="0.45">
      <c r="R1955" s="2">
        <v>36.31</v>
      </c>
      <c r="S1955" s="2">
        <v>7.1778E-4</v>
      </c>
      <c r="T1955" s="2">
        <v>5.2532999999999996E-4</v>
      </c>
    </row>
    <row r="1956" spans="18:20" x14ac:dyDescent="0.45">
      <c r="R1956" s="2">
        <v>36.32</v>
      </c>
      <c r="S1956" s="2">
        <v>7.1816000000000002E-4</v>
      </c>
      <c r="T1956" s="2">
        <v>5.2576000000000001E-4</v>
      </c>
    </row>
    <row r="1957" spans="18:20" x14ac:dyDescent="0.45">
      <c r="R1957" s="2">
        <v>36.33</v>
      </c>
      <c r="S1957" s="2">
        <v>7.1854000000000004E-4</v>
      </c>
      <c r="T1957" s="2">
        <v>5.2618999999999995E-4</v>
      </c>
    </row>
    <row r="1958" spans="18:20" x14ac:dyDescent="0.45">
      <c r="R1958" s="2">
        <v>36.340000000000003</v>
      </c>
      <c r="S1958" s="2">
        <v>7.1891999999999995E-4</v>
      </c>
      <c r="T1958" s="2">
        <v>5.2662E-4</v>
      </c>
    </row>
    <row r="1959" spans="18:20" x14ac:dyDescent="0.45">
      <c r="R1959" s="2">
        <v>36.35</v>
      </c>
      <c r="S1959" s="2">
        <v>7.1929999999999997E-4</v>
      </c>
      <c r="T1959" s="2">
        <v>5.2705000000000004E-4</v>
      </c>
    </row>
    <row r="1960" spans="18:20" x14ac:dyDescent="0.45">
      <c r="R1960" s="2">
        <v>36.36</v>
      </c>
      <c r="S1960" s="2">
        <v>7.1967999999999999E-4</v>
      </c>
      <c r="T1960" s="2">
        <v>5.2747999999999998E-4</v>
      </c>
    </row>
    <row r="1961" spans="18:20" x14ac:dyDescent="0.45">
      <c r="R1961" s="2">
        <v>36.369999999999997</v>
      </c>
      <c r="S1961" s="2">
        <v>7.2006000000000001E-4</v>
      </c>
      <c r="T1961" s="2">
        <v>5.2791000000000003E-4</v>
      </c>
    </row>
    <row r="1962" spans="18:20" x14ac:dyDescent="0.45">
      <c r="R1962" s="2">
        <v>36.380000000000003</v>
      </c>
      <c r="S1962" s="2">
        <v>7.2044000000000003E-4</v>
      </c>
      <c r="T1962" s="2">
        <v>5.2833999999999997E-4</v>
      </c>
    </row>
    <row r="1963" spans="18:20" x14ac:dyDescent="0.45">
      <c r="R1963" s="2">
        <v>36.39</v>
      </c>
      <c r="S1963" s="2">
        <v>7.2081999999999995E-4</v>
      </c>
      <c r="T1963" s="2">
        <v>5.2877000000000002E-4</v>
      </c>
    </row>
    <row r="1964" spans="18:20" x14ac:dyDescent="0.45">
      <c r="R1964" s="2">
        <v>36.4</v>
      </c>
      <c r="S1964" s="2">
        <v>7.2119999999999997E-4</v>
      </c>
      <c r="T1964" s="2">
        <v>5.2919999999999996E-4</v>
      </c>
    </row>
    <row r="1965" spans="18:20" x14ac:dyDescent="0.45">
      <c r="R1965" s="2">
        <v>36.409999999999997</v>
      </c>
      <c r="S1965" s="2">
        <v>7.2157999999999999E-4</v>
      </c>
      <c r="T1965" s="2">
        <v>5.2963000000000001E-4</v>
      </c>
    </row>
    <row r="1966" spans="18:20" x14ac:dyDescent="0.45">
      <c r="R1966" s="2">
        <v>36.42</v>
      </c>
      <c r="S1966" s="2">
        <v>7.2196000000000001E-4</v>
      </c>
      <c r="T1966" s="2">
        <v>5.3005999999999995E-4</v>
      </c>
    </row>
    <row r="1967" spans="18:20" x14ac:dyDescent="0.45">
      <c r="R1967" s="2">
        <v>36.43</v>
      </c>
      <c r="S1967" s="2">
        <v>7.2234000000000003E-4</v>
      </c>
      <c r="T1967" s="2">
        <v>5.3049E-4</v>
      </c>
    </row>
    <row r="1968" spans="18:20" x14ac:dyDescent="0.45">
      <c r="R1968" s="2">
        <v>36.44</v>
      </c>
      <c r="S1968" s="2">
        <v>7.2272000000000005E-4</v>
      </c>
      <c r="T1968" s="2">
        <v>5.3092000000000005E-4</v>
      </c>
    </row>
    <row r="1969" spans="18:20" x14ac:dyDescent="0.45">
      <c r="R1969" s="2">
        <v>36.450000000000003</v>
      </c>
      <c r="S1969" s="2">
        <v>7.2309999999999996E-4</v>
      </c>
      <c r="T1969" s="2">
        <v>5.3134999999999999E-4</v>
      </c>
    </row>
    <row r="1970" spans="18:20" x14ac:dyDescent="0.45">
      <c r="R1970" s="2">
        <v>36.46</v>
      </c>
      <c r="S1970" s="2">
        <v>7.2347999999999998E-4</v>
      </c>
      <c r="T1970" s="2">
        <v>5.3178000000000003E-4</v>
      </c>
    </row>
    <row r="1971" spans="18:20" x14ac:dyDescent="0.45">
      <c r="R1971" s="2">
        <v>36.47</v>
      </c>
      <c r="S1971" s="2">
        <v>7.2386E-4</v>
      </c>
      <c r="T1971" s="2">
        <v>5.3220999999999997E-4</v>
      </c>
    </row>
    <row r="1972" spans="18:20" x14ac:dyDescent="0.45">
      <c r="R1972" s="2">
        <v>36.479999999999997</v>
      </c>
      <c r="S1972" s="2">
        <v>7.2424000000000002E-4</v>
      </c>
      <c r="T1972" s="2">
        <v>5.3264000000000002E-4</v>
      </c>
    </row>
    <row r="1973" spans="18:20" x14ac:dyDescent="0.45">
      <c r="R1973" s="2">
        <v>36.49</v>
      </c>
      <c r="S1973" s="2">
        <v>7.2462000000000004E-4</v>
      </c>
      <c r="T1973" s="2">
        <v>5.3306999999999996E-4</v>
      </c>
    </row>
    <row r="1974" spans="18:20" x14ac:dyDescent="0.45">
      <c r="R1974" s="2">
        <v>36.5</v>
      </c>
      <c r="S1974" s="2">
        <v>7.2499999999999995E-4</v>
      </c>
      <c r="T1974" s="2">
        <v>5.3350000000000001E-4</v>
      </c>
    </row>
    <row r="1975" spans="18:20" x14ac:dyDescent="0.45">
      <c r="R1975" s="2">
        <v>36.51</v>
      </c>
      <c r="S1975" s="2">
        <v>7.2537999999999997E-4</v>
      </c>
      <c r="T1975" s="2">
        <v>5.3392999999999995E-4</v>
      </c>
    </row>
    <row r="1976" spans="18:20" x14ac:dyDescent="0.45">
      <c r="R1976" s="2">
        <v>36.520000000000003</v>
      </c>
      <c r="S1976" s="2">
        <v>7.2575999999999999E-4</v>
      </c>
      <c r="T1976" s="2">
        <v>5.3436E-4</v>
      </c>
    </row>
    <row r="1977" spans="18:20" x14ac:dyDescent="0.45">
      <c r="R1977" s="2">
        <v>36.53</v>
      </c>
      <c r="S1977" s="2">
        <v>7.2614000000000001E-4</v>
      </c>
      <c r="T1977" s="2">
        <v>5.3479000000000005E-4</v>
      </c>
    </row>
    <row r="1978" spans="18:20" x14ac:dyDescent="0.45">
      <c r="R1978" s="2">
        <v>36.54</v>
      </c>
      <c r="S1978" s="2">
        <v>7.2652000000000003E-4</v>
      </c>
      <c r="T1978" s="2">
        <v>5.3521999999999999E-4</v>
      </c>
    </row>
    <row r="1979" spans="18:20" x14ac:dyDescent="0.45">
      <c r="R1979" s="2">
        <v>36.549999999999997</v>
      </c>
      <c r="S1979" s="2">
        <v>7.2690000000000005E-4</v>
      </c>
      <c r="T1979" s="2">
        <v>5.3565000000000004E-4</v>
      </c>
    </row>
    <row r="1980" spans="18:20" x14ac:dyDescent="0.45">
      <c r="R1980" s="2">
        <v>36.56</v>
      </c>
      <c r="S1980" s="2">
        <v>7.2727999999999996E-4</v>
      </c>
      <c r="T1980" s="2">
        <v>5.3607999999999998E-4</v>
      </c>
    </row>
    <row r="1981" spans="18:20" x14ac:dyDescent="0.45">
      <c r="R1981" s="2">
        <v>36.57</v>
      </c>
      <c r="S1981" s="2">
        <v>7.2765999999999998E-4</v>
      </c>
      <c r="T1981" s="2">
        <v>5.3651000000000003E-4</v>
      </c>
    </row>
    <row r="1982" spans="18:20" x14ac:dyDescent="0.45">
      <c r="R1982" s="2">
        <v>36.58</v>
      </c>
      <c r="S1982" s="2">
        <v>7.2804E-4</v>
      </c>
      <c r="T1982" s="2">
        <v>5.3693999999999997E-4</v>
      </c>
    </row>
    <row r="1983" spans="18:20" x14ac:dyDescent="0.45">
      <c r="R1983" s="2">
        <v>36.590000000000003</v>
      </c>
      <c r="S1983" s="2">
        <v>7.2842000000000002E-4</v>
      </c>
      <c r="T1983" s="2">
        <v>5.3737000000000001E-4</v>
      </c>
    </row>
    <row r="1984" spans="18:20" x14ac:dyDescent="0.45">
      <c r="R1984" s="2">
        <v>36.6</v>
      </c>
      <c r="S1984" s="2">
        <v>7.2880000000000004E-4</v>
      </c>
      <c r="T1984" s="2">
        <v>5.3779999999999995E-4</v>
      </c>
    </row>
    <row r="1985" spans="18:20" x14ac:dyDescent="0.45">
      <c r="R1985" s="2">
        <v>36.61</v>
      </c>
      <c r="S1985" s="2">
        <v>7.2917999999999995E-4</v>
      </c>
      <c r="T1985" s="2">
        <v>5.3823E-4</v>
      </c>
    </row>
    <row r="1986" spans="18:20" x14ac:dyDescent="0.45">
      <c r="R1986" s="2">
        <v>36.619999999999997</v>
      </c>
      <c r="S1986" s="2">
        <v>7.2955999999999997E-4</v>
      </c>
      <c r="T1986" s="2">
        <v>5.3866000000000005E-4</v>
      </c>
    </row>
    <row r="1987" spans="18:20" x14ac:dyDescent="0.45">
      <c r="R1987" s="2">
        <v>36.630000000000003</v>
      </c>
      <c r="S1987" s="2">
        <v>7.2993999999999999E-4</v>
      </c>
      <c r="T1987" s="2">
        <v>5.3908999999999999E-4</v>
      </c>
    </row>
    <row r="1988" spans="18:20" x14ac:dyDescent="0.45">
      <c r="R1988" s="2">
        <v>36.64</v>
      </c>
      <c r="S1988" s="2">
        <v>7.3032000000000001E-4</v>
      </c>
      <c r="T1988" s="2">
        <v>5.3952000000000004E-4</v>
      </c>
    </row>
    <row r="1989" spans="18:20" x14ac:dyDescent="0.45">
      <c r="R1989" s="2">
        <v>36.65</v>
      </c>
      <c r="S1989" s="2">
        <v>7.3070000000000003E-4</v>
      </c>
      <c r="T1989" s="2">
        <v>5.3994999999999998E-4</v>
      </c>
    </row>
    <row r="1990" spans="18:20" x14ac:dyDescent="0.45">
      <c r="R1990" s="2">
        <v>36.659999999999997</v>
      </c>
      <c r="S1990" s="2">
        <v>7.3107999999999995E-4</v>
      </c>
      <c r="T1990" s="2">
        <v>5.4038000000000003E-4</v>
      </c>
    </row>
    <row r="1991" spans="18:20" x14ac:dyDescent="0.45">
      <c r="R1991" s="2">
        <v>36.67</v>
      </c>
      <c r="S1991" s="2">
        <v>7.3145999999999997E-4</v>
      </c>
      <c r="T1991" s="2">
        <v>5.4080999999999997E-4</v>
      </c>
    </row>
    <row r="1992" spans="18:20" x14ac:dyDescent="0.45">
      <c r="R1992" s="2">
        <v>36.68</v>
      </c>
      <c r="S1992" s="2">
        <v>7.3183999999999999E-4</v>
      </c>
      <c r="T1992" s="2">
        <v>5.4124000000000002E-4</v>
      </c>
    </row>
    <row r="1993" spans="18:20" x14ac:dyDescent="0.45">
      <c r="R1993" s="2">
        <v>36.69</v>
      </c>
      <c r="S1993" s="2">
        <v>7.3222000000000001E-4</v>
      </c>
      <c r="T1993" s="2">
        <v>5.4166999999999996E-4</v>
      </c>
    </row>
    <row r="1994" spans="18:20" x14ac:dyDescent="0.45">
      <c r="R1994" s="2">
        <v>36.700000000000003</v>
      </c>
      <c r="S1994" s="2">
        <v>7.3260000000000003E-4</v>
      </c>
      <c r="T1994" s="2">
        <v>5.421E-4</v>
      </c>
    </row>
    <row r="1995" spans="18:20" x14ac:dyDescent="0.45">
      <c r="R1995" s="2">
        <v>36.71</v>
      </c>
      <c r="S1995" s="2">
        <v>7.3298000000000005E-4</v>
      </c>
      <c r="T1995" s="2">
        <v>5.4253000000000005E-4</v>
      </c>
    </row>
    <row r="1996" spans="18:20" x14ac:dyDescent="0.45">
      <c r="R1996" s="2">
        <v>36.72</v>
      </c>
      <c r="S1996" s="2">
        <v>7.3335999999999996E-4</v>
      </c>
      <c r="T1996" s="2">
        <v>5.4295999999999999E-4</v>
      </c>
    </row>
    <row r="1997" spans="18:20" x14ac:dyDescent="0.45">
      <c r="R1997" s="2">
        <v>36.729999999999997</v>
      </c>
      <c r="S1997" s="2">
        <v>7.3373999999999998E-4</v>
      </c>
      <c r="T1997" s="2">
        <v>5.4339000000000004E-4</v>
      </c>
    </row>
    <row r="1998" spans="18:20" x14ac:dyDescent="0.45">
      <c r="R1998" s="2">
        <v>36.74</v>
      </c>
      <c r="S1998" s="2">
        <v>7.3412E-4</v>
      </c>
      <c r="T1998" s="2">
        <v>5.4381999999999998E-4</v>
      </c>
    </row>
    <row r="1999" spans="18:20" x14ac:dyDescent="0.45">
      <c r="R1999" s="2">
        <v>36.75</v>
      </c>
      <c r="S1999" s="2">
        <v>7.3450000000000002E-4</v>
      </c>
      <c r="T1999" s="2">
        <v>5.4425000000000003E-4</v>
      </c>
    </row>
    <row r="2000" spans="18:20" x14ac:dyDescent="0.45">
      <c r="R2000" s="2">
        <v>36.76</v>
      </c>
      <c r="S2000" s="2">
        <v>7.3488000000000004E-4</v>
      </c>
      <c r="T2000" s="2">
        <v>5.4467999999999997E-4</v>
      </c>
    </row>
    <row r="2001" spans="18:20" x14ac:dyDescent="0.45">
      <c r="R2001" s="2">
        <v>36.770000000000003</v>
      </c>
      <c r="S2001" s="2">
        <v>7.3525999999999995E-4</v>
      </c>
      <c r="T2001" s="2">
        <v>5.4511000000000002E-4</v>
      </c>
    </row>
    <row r="2002" spans="18:20" x14ac:dyDescent="0.45">
      <c r="R2002" s="2">
        <v>36.78</v>
      </c>
      <c r="S2002" s="2">
        <v>7.3563999999999997E-4</v>
      </c>
      <c r="T2002" s="2">
        <v>5.4553999999999996E-4</v>
      </c>
    </row>
    <row r="2003" spans="18:20" x14ac:dyDescent="0.45">
      <c r="R2003" s="2">
        <v>36.79</v>
      </c>
      <c r="S2003" s="2">
        <v>7.3601999999999999E-4</v>
      </c>
      <c r="T2003" s="2">
        <v>5.4597000000000001E-4</v>
      </c>
    </row>
    <row r="2004" spans="18:20" x14ac:dyDescent="0.45">
      <c r="R2004" s="2">
        <v>36.799999999999997</v>
      </c>
      <c r="S2004" s="2">
        <v>7.3640000000000001E-4</v>
      </c>
      <c r="T2004" s="2">
        <v>5.4640000000000005E-4</v>
      </c>
    </row>
    <row r="2005" spans="18:20" x14ac:dyDescent="0.45">
      <c r="R2005" s="2">
        <v>36.81</v>
      </c>
      <c r="S2005" s="2">
        <v>7.3678000000000003E-4</v>
      </c>
      <c r="T2005" s="2">
        <v>5.4682999999999999E-4</v>
      </c>
    </row>
    <row r="2006" spans="18:20" x14ac:dyDescent="0.45">
      <c r="R2006" s="2">
        <v>36.82</v>
      </c>
      <c r="S2006" s="2">
        <v>7.3716000000000005E-4</v>
      </c>
      <c r="T2006" s="2">
        <v>5.4726000000000004E-4</v>
      </c>
    </row>
    <row r="2007" spans="18:20" x14ac:dyDescent="0.45">
      <c r="R2007" s="2">
        <v>36.83</v>
      </c>
      <c r="S2007" s="2">
        <v>7.3753999999999996E-4</v>
      </c>
      <c r="T2007" s="2">
        <v>5.4768999999999998E-4</v>
      </c>
    </row>
    <row r="2008" spans="18:20" x14ac:dyDescent="0.45">
      <c r="R2008" s="2">
        <v>36.840000000000003</v>
      </c>
      <c r="S2008" s="2">
        <v>7.3791999999999998E-4</v>
      </c>
      <c r="T2008" s="2">
        <v>5.4812000000000003E-4</v>
      </c>
    </row>
    <row r="2009" spans="18:20" x14ac:dyDescent="0.45">
      <c r="R2009" s="2">
        <v>36.85</v>
      </c>
      <c r="S2009" s="2">
        <v>7.383E-4</v>
      </c>
      <c r="T2009" s="2">
        <v>5.4854999999999997E-4</v>
      </c>
    </row>
    <row r="2010" spans="18:20" x14ac:dyDescent="0.45">
      <c r="R2010" s="2">
        <v>36.86</v>
      </c>
      <c r="S2010" s="2">
        <v>7.3868000000000002E-4</v>
      </c>
      <c r="T2010" s="2">
        <v>5.4898000000000002E-4</v>
      </c>
    </row>
    <row r="2011" spans="18:20" x14ac:dyDescent="0.45">
      <c r="R2011" s="2">
        <v>36.869999999999997</v>
      </c>
      <c r="S2011" s="2">
        <v>7.3906000000000004E-4</v>
      </c>
      <c r="T2011" s="2">
        <v>5.4940999999999996E-4</v>
      </c>
    </row>
    <row r="2012" spans="18:20" x14ac:dyDescent="0.45">
      <c r="R2012" s="2">
        <v>36.880000000000003</v>
      </c>
      <c r="S2012" s="2">
        <v>7.3943999999999995E-4</v>
      </c>
      <c r="T2012" s="2">
        <v>5.4984000000000001E-4</v>
      </c>
    </row>
    <row r="2013" spans="18:20" x14ac:dyDescent="0.45">
      <c r="R2013" s="2">
        <v>36.89</v>
      </c>
      <c r="S2013" s="2">
        <v>7.3981999999999997E-4</v>
      </c>
      <c r="T2013" s="2">
        <v>5.5026999999999995E-4</v>
      </c>
    </row>
    <row r="2014" spans="18:20" x14ac:dyDescent="0.45">
      <c r="R2014" s="2">
        <v>36.9</v>
      </c>
      <c r="S2014" s="2">
        <v>7.4019999999999999E-4</v>
      </c>
      <c r="T2014" s="2">
        <v>5.507E-4</v>
      </c>
    </row>
    <row r="2015" spans="18:20" x14ac:dyDescent="0.45">
      <c r="R2015" s="2">
        <v>36.909999999999997</v>
      </c>
      <c r="S2015" s="2">
        <v>7.4058000000000001E-4</v>
      </c>
      <c r="T2015" s="2">
        <v>5.5113000000000004E-4</v>
      </c>
    </row>
    <row r="2016" spans="18:20" x14ac:dyDescent="0.45">
      <c r="R2016" s="2">
        <v>36.92</v>
      </c>
      <c r="S2016" s="2">
        <v>7.4096000000000003E-4</v>
      </c>
      <c r="T2016" s="2">
        <v>5.5155999999999998E-4</v>
      </c>
    </row>
    <row r="2017" spans="18:20" x14ac:dyDescent="0.45">
      <c r="R2017" s="2">
        <v>36.93</v>
      </c>
      <c r="S2017" s="2">
        <v>7.4133999999999995E-4</v>
      </c>
      <c r="T2017" s="2">
        <v>5.5199000000000003E-4</v>
      </c>
    </row>
    <row r="2018" spans="18:20" x14ac:dyDescent="0.45">
      <c r="R2018" s="2">
        <v>36.94</v>
      </c>
      <c r="S2018" s="2">
        <v>7.4171999999999997E-4</v>
      </c>
      <c r="T2018" s="2">
        <v>5.5241999999999997E-4</v>
      </c>
    </row>
    <row r="2019" spans="18:20" x14ac:dyDescent="0.45">
      <c r="R2019" s="2">
        <v>36.950000000000003</v>
      </c>
      <c r="S2019" s="2">
        <v>7.4209999999999999E-4</v>
      </c>
      <c r="T2019" s="2">
        <v>5.5285000000000002E-4</v>
      </c>
    </row>
    <row r="2020" spans="18:20" x14ac:dyDescent="0.45">
      <c r="R2020" s="2">
        <v>36.96</v>
      </c>
      <c r="S2020" s="2">
        <v>7.4248000000000001E-4</v>
      </c>
      <c r="T2020" s="2">
        <v>5.5327999999999996E-4</v>
      </c>
    </row>
    <row r="2021" spans="18:20" x14ac:dyDescent="0.45">
      <c r="R2021" s="2">
        <v>36.97</v>
      </c>
      <c r="S2021" s="2">
        <v>7.4286000000000003E-4</v>
      </c>
      <c r="T2021" s="2">
        <v>5.5371000000000001E-4</v>
      </c>
    </row>
    <row r="2022" spans="18:20" x14ac:dyDescent="0.45">
      <c r="R2022" s="2">
        <v>36.979999999999997</v>
      </c>
      <c r="S2022" s="2">
        <v>7.4324000000000005E-4</v>
      </c>
      <c r="T2022" s="2">
        <v>5.5413999999999995E-4</v>
      </c>
    </row>
    <row r="2023" spans="18:20" x14ac:dyDescent="0.45">
      <c r="R2023" s="2">
        <v>36.99</v>
      </c>
      <c r="S2023" s="2">
        <v>7.4361999999999996E-4</v>
      </c>
      <c r="T2023" s="2">
        <v>5.5457E-4</v>
      </c>
    </row>
    <row r="2024" spans="18:20" x14ac:dyDescent="0.45">
      <c r="R2024" s="2">
        <v>37</v>
      </c>
      <c r="S2024" s="2">
        <v>7.4399999999999998E-4</v>
      </c>
      <c r="T2024" s="2">
        <v>5.5500000000000005E-4</v>
      </c>
    </row>
    <row r="2025" spans="18:20" x14ac:dyDescent="0.45">
      <c r="R2025" s="2">
        <v>37.01</v>
      </c>
      <c r="S2025" s="2">
        <v>7.4443999999999997E-4</v>
      </c>
      <c r="T2025" s="2">
        <v>5.5548000000000001E-4</v>
      </c>
    </row>
    <row r="2026" spans="18:20" x14ac:dyDescent="0.45">
      <c r="R2026" s="2">
        <v>37.020000000000003</v>
      </c>
      <c r="S2026" s="2">
        <v>7.4487999999999996E-4</v>
      </c>
      <c r="T2026" s="2">
        <v>5.5595999999999998E-4</v>
      </c>
    </row>
    <row r="2027" spans="18:20" x14ac:dyDescent="0.45">
      <c r="R2027" s="2">
        <v>37.03</v>
      </c>
      <c r="S2027" s="2">
        <v>7.4532000000000005E-4</v>
      </c>
      <c r="T2027" s="2">
        <v>5.5643999999999995E-4</v>
      </c>
    </row>
    <row r="2028" spans="18:20" x14ac:dyDescent="0.45">
      <c r="R2028" s="2">
        <v>37.04</v>
      </c>
      <c r="S2028" s="2">
        <v>7.4576000000000004E-4</v>
      </c>
      <c r="T2028" s="2">
        <v>5.5692000000000003E-4</v>
      </c>
    </row>
    <row r="2029" spans="18:20" x14ac:dyDescent="0.45">
      <c r="R2029" s="2">
        <v>37.049999999999997</v>
      </c>
      <c r="S2029" s="2">
        <v>7.4620000000000003E-4</v>
      </c>
      <c r="T2029" s="2">
        <v>5.574E-4</v>
      </c>
    </row>
    <row r="2030" spans="18:20" x14ac:dyDescent="0.45">
      <c r="R2030" s="2">
        <v>37.06</v>
      </c>
      <c r="S2030" s="2">
        <v>7.4664000000000002E-4</v>
      </c>
      <c r="T2030" s="2">
        <v>5.5787999999999996E-4</v>
      </c>
    </row>
    <row r="2031" spans="18:20" x14ac:dyDescent="0.45">
      <c r="R2031" s="2">
        <v>37.07</v>
      </c>
      <c r="S2031" s="2">
        <v>7.4708000000000001E-4</v>
      </c>
      <c r="T2031" s="2">
        <v>5.5836000000000004E-4</v>
      </c>
    </row>
    <row r="2032" spans="18:20" x14ac:dyDescent="0.45">
      <c r="R2032" s="2">
        <v>37.08</v>
      </c>
      <c r="S2032" s="2">
        <v>7.4752E-4</v>
      </c>
      <c r="T2032" s="2">
        <v>5.5884000000000001E-4</v>
      </c>
    </row>
    <row r="2033" spans="18:20" x14ac:dyDescent="0.45">
      <c r="R2033" s="2">
        <v>37.090000000000003</v>
      </c>
      <c r="S2033" s="2">
        <v>7.4795999999999999E-4</v>
      </c>
      <c r="T2033" s="2">
        <v>5.5931999999999998E-4</v>
      </c>
    </row>
    <row r="2034" spans="18:20" x14ac:dyDescent="0.45">
      <c r="R2034" s="2">
        <v>37.1</v>
      </c>
      <c r="S2034" s="2">
        <v>7.4839999999999998E-4</v>
      </c>
      <c r="T2034" s="2">
        <v>5.5979999999999995E-4</v>
      </c>
    </row>
    <row r="2035" spans="18:20" x14ac:dyDescent="0.45">
      <c r="R2035" s="2">
        <v>37.11</v>
      </c>
      <c r="S2035" s="2">
        <v>7.4883999999999997E-4</v>
      </c>
      <c r="T2035" s="2">
        <v>5.6028000000000002E-4</v>
      </c>
    </row>
    <row r="2036" spans="18:20" x14ac:dyDescent="0.45">
      <c r="R2036" s="2">
        <v>37.119999999999997</v>
      </c>
      <c r="S2036" s="2">
        <v>7.4927999999999995E-4</v>
      </c>
      <c r="T2036" s="2">
        <v>5.6075999999999999E-4</v>
      </c>
    </row>
    <row r="2037" spans="18:20" x14ac:dyDescent="0.45">
      <c r="R2037" s="2">
        <v>37.130000000000003</v>
      </c>
      <c r="S2037" s="2">
        <v>7.4972000000000005E-4</v>
      </c>
      <c r="T2037" s="2">
        <v>5.6123999999999996E-4</v>
      </c>
    </row>
    <row r="2038" spans="18:20" x14ac:dyDescent="0.45">
      <c r="R2038" s="2">
        <v>37.14</v>
      </c>
      <c r="S2038" s="2">
        <v>7.5016000000000004E-4</v>
      </c>
      <c r="T2038" s="2">
        <v>5.6172000000000004E-4</v>
      </c>
    </row>
    <row r="2039" spans="18:20" x14ac:dyDescent="0.45">
      <c r="R2039" s="2">
        <v>37.15</v>
      </c>
      <c r="S2039" s="2">
        <v>7.5060000000000003E-4</v>
      </c>
      <c r="T2039" s="2">
        <v>5.622E-4</v>
      </c>
    </row>
    <row r="2040" spans="18:20" x14ac:dyDescent="0.45">
      <c r="R2040" s="2">
        <v>37.159999999999997</v>
      </c>
      <c r="S2040" s="2">
        <v>7.5104000000000002E-4</v>
      </c>
      <c r="T2040" s="2">
        <v>5.6267999999999997E-4</v>
      </c>
    </row>
    <row r="2041" spans="18:20" x14ac:dyDescent="0.45">
      <c r="R2041" s="2">
        <v>37.17</v>
      </c>
      <c r="S2041" s="2">
        <v>7.5148000000000001E-4</v>
      </c>
      <c r="T2041" s="2">
        <v>5.6316000000000005E-4</v>
      </c>
    </row>
    <row r="2042" spans="18:20" x14ac:dyDescent="0.45">
      <c r="R2042" s="2">
        <v>37.18</v>
      </c>
      <c r="S2042" s="2">
        <v>7.5192E-4</v>
      </c>
      <c r="T2042" s="2">
        <v>5.6364000000000002E-4</v>
      </c>
    </row>
    <row r="2043" spans="18:20" x14ac:dyDescent="0.45">
      <c r="R2043" s="2">
        <v>37.19</v>
      </c>
      <c r="S2043" s="2">
        <v>7.5235999999999999E-4</v>
      </c>
      <c r="T2043" s="2">
        <v>5.6411999999999999E-4</v>
      </c>
    </row>
    <row r="2044" spans="18:20" x14ac:dyDescent="0.45">
      <c r="R2044" s="2">
        <v>37.200000000000003</v>
      </c>
      <c r="S2044" s="2">
        <v>7.5279999999999998E-4</v>
      </c>
      <c r="T2044" s="2">
        <v>5.6459999999999995E-4</v>
      </c>
    </row>
    <row r="2045" spans="18:20" x14ac:dyDescent="0.45">
      <c r="R2045" s="2">
        <v>37.21</v>
      </c>
      <c r="S2045" s="2">
        <v>7.5323999999999996E-4</v>
      </c>
      <c r="T2045" s="2">
        <v>5.6508000000000003E-4</v>
      </c>
    </row>
    <row r="2046" spans="18:20" x14ac:dyDescent="0.45">
      <c r="R2046" s="2">
        <v>37.22</v>
      </c>
      <c r="S2046" s="2">
        <v>7.5367999999999995E-4</v>
      </c>
      <c r="T2046" s="2">
        <v>5.6556E-4</v>
      </c>
    </row>
    <row r="2047" spans="18:20" x14ac:dyDescent="0.45">
      <c r="R2047" s="2">
        <v>37.229999999999997</v>
      </c>
      <c r="S2047" s="2">
        <v>7.5412000000000005E-4</v>
      </c>
      <c r="T2047" s="2">
        <v>5.6603999999999997E-4</v>
      </c>
    </row>
    <row r="2048" spans="18:20" x14ac:dyDescent="0.45">
      <c r="R2048" s="2">
        <v>37.24</v>
      </c>
      <c r="S2048" s="2">
        <v>7.5456000000000004E-4</v>
      </c>
      <c r="T2048" s="2">
        <v>5.6652000000000004E-4</v>
      </c>
    </row>
    <row r="2049" spans="18:20" x14ac:dyDescent="0.45">
      <c r="R2049" s="2">
        <v>37.25</v>
      </c>
      <c r="S2049" s="2">
        <v>7.5500000000000003E-4</v>
      </c>
      <c r="T2049" s="2">
        <v>5.6700000000000001E-4</v>
      </c>
    </row>
    <row r="2050" spans="18:20" x14ac:dyDescent="0.45">
      <c r="R2050" s="2">
        <v>37.26</v>
      </c>
      <c r="S2050" s="2">
        <v>7.5544000000000002E-4</v>
      </c>
      <c r="T2050" s="2">
        <v>5.6747999999999998E-4</v>
      </c>
    </row>
    <row r="2051" spans="18:20" x14ac:dyDescent="0.45">
      <c r="R2051" s="2">
        <v>37.270000000000003</v>
      </c>
      <c r="S2051" s="2">
        <v>7.5588000000000001E-4</v>
      </c>
      <c r="T2051" s="2">
        <v>5.6795999999999995E-4</v>
      </c>
    </row>
    <row r="2052" spans="18:20" x14ac:dyDescent="0.45">
      <c r="R2052" s="2">
        <v>37.28</v>
      </c>
      <c r="S2052" s="2">
        <v>7.5632E-4</v>
      </c>
      <c r="T2052" s="2">
        <v>5.6844000000000003E-4</v>
      </c>
    </row>
    <row r="2053" spans="18:20" x14ac:dyDescent="0.45">
      <c r="R2053" s="2">
        <v>37.29</v>
      </c>
      <c r="S2053" s="2">
        <v>7.5675999999999998E-4</v>
      </c>
      <c r="T2053" s="2">
        <v>5.6891999999999999E-4</v>
      </c>
    </row>
    <row r="2054" spans="18:20" x14ac:dyDescent="0.45">
      <c r="R2054" s="2">
        <v>37.299999999999997</v>
      </c>
      <c r="S2054" s="2">
        <v>7.5719999999999997E-4</v>
      </c>
      <c r="T2054" s="2">
        <v>5.6939999999999996E-4</v>
      </c>
    </row>
    <row r="2055" spans="18:20" x14ac:dyDescent="0.45">
      <c r="R2055" s="2">
        <v>37.31</v>
      </c>
      <c r="S2055" s="2">
        <v>7.5763999999999996E-4</v>
      </c>
      <c r="T2055" s="2">
        <v>5.6988000000000004E-4</v>
      </c>
    </row>
    <row r="2056" spans="18:20" x14ac:dyDescent="0.45">
      <c r="R2056" s="2">
        <v>37.32</v>
      </c>
      <c r="S2056" s="2">
        <v>7.5807999999999995E-4</v>
      </c>
      <c r="T2056" s="2">
        <v>5.7036000000000001E-4</v>
      </c>
    </row>
    <row r="2057" spans="18:20" x14ac:dyDescent="0.45">
      <c r="R2057" s="2">
        <v>37.33</v>
      </c>
      <c r="S2057" s="2">
        <v>7.5852000000000005E-4</v>
      </c>
      <c r="T2057" s="2">
        <v>5.7083999999999998E-4</v>
      </c>
    </row>
    <row r="2058" spans="18:20" x14ac:dyDescent="0.45">
      <c r="R2058" s="2">
        <v>37.340000000000003</v>
      </c>
      <c r="S2058" s="2">
        <v>7.5896000000000004E-4</v>
      </c>
      <c r="T2058" s="2">
        <v>5.7132000000000005E-4</v>
      </c>
    </row>
    <row r="2059" spans="18:20" x14ac:dyDescent="0.45">
      <c r="R2059" s="2">
        <v>37.35</v>
      </c>
      <c r="S2059" s="2">
        <v>7.5940000000000003E-4</v>
      </c>
      <c r="T2059" s="2">
        <v>5.7180000000000002E-4</v>
      </c>
    </row>
    <row r="2060" spans="18:20" x14ac:dyDescent="0.45">
      <c r="R2060" s="2">
        <v>37.36</v>
      </c>
      <c r="S2060" s="2">
        <v>7.5984000000000002E-4</v>
      </c>
      <c r="T2060" s="2">
        <v>5.7227999999999999E-4</v>
      </c>
    </row>
    <row r="2061" spans="18:20" x14ac:dyDescent="0.45">
      <c r="R2061" s="2">
        <v>37.369999999999997</v>
      </c>
      <c r="S2061" s="2">
        <v>7.6028000000000001E-4</v>
      </c>
      <c r="T2061" s="2">
        <v>5.7275999999999996E-4</v>
      </c>
    </row>
    <row r="2062" spans="18:20" x14ac:dyDescent="0.45">
      <c r="R2062" s="2">
        <v>37.380000000000003</v>
      </c>
      <c r="S2062" s="2">
        <v>7.6071999999999999E-4</v>
      </c>
      <c r="T2062" s="2">
        <v>5.7324000000000003E-4</v>
      </c>
    </row>
    <row r="2063" spans="18:20" x14ac:dyDescent="0.45">
      <c r="R2063" s="2">
        <v>37.39</v>
      </c>
      <c r="S2063" s="2">
        <v>7.6115999999999998E-4</v>
      </c>
      <c r="T2063" s="2">
        <v>5.7372E-4</v>
      </c>
    </row>
    <row r="2064" spans="18:20" x14ac:dyDescent="0.45">
      <c r="R2064" s="2">
        <v>37.4</v>
      </c>
      <c r="S2064" s="2">
        <v>7.6159999999999997E-4</v>
      </c>
      <c r="T2064" s="2">
        <v>5.7419999999999997E-4</v>
      </c>
    </row>
    <row r="2065" spans="18:20" x14ac:dyDescent="0.45">
      <c r="R2065" s="2">
        <v>37.409999999999997</v>
      </c>
      <c r="S2065" s="2">
        <v>7.6203999999999996E-4</v>
      </c>
      <c r="T2065" s="2">
        <v>5.7468000000000005E-4</v>
      </c>
    </row>
    <row r="2066" spans="18:20" x14ac:dyDescent="0.45">
      <c r="R2066" s="2">
        <v>37.42</v>
      </c>
      <c r="S2066" s="2">
        <v>7.6247999999999995E-4</v>
      </c>
      <c r="T2066" s="2">
        <v>5.7516000000000002E-4</v>
      </c>
    </row>
    <row r="2067" spans="18:20" x14ac:dyDescent="0.45">
      <c r="R2067" s="2">
        <v>37.43</v>
      </c>
      <c r="S2067" s="2">
        <v>7.6292000000000005E-4</v>
      </c>
      <c r="T2067" s="2">
        <v>5.7563999999999998E-4</v>
      </c>
    </row>
    <row r="2068" spans="18:20" x14ac:dyDescent="0.45">
      <c r="R2068" s="2">
        <v>37.44</v>
      </c>
      <c r="S2068" s="2">
        <v>7.6336000000000004E-4</v>
      </c>
      <c r="T2068" s="2">
        <v>5.7611999999999995E-4</v>
      </c>
    </row>
    <row r="2069" spans="18:20" x14ac:dyDescent="0.45">
      <c r="R2069" s="2">
        <v>37.450000000000003</v>
      </c>
      <c r="S2069" s="2">
        <v>7.6380000000000003E-4</v>
      </c>
      <c r="T2069" s="2">
        <v>5.7660000000000003E-4</v>
      </c>
    </row>
    <row r="2070" spans="18:20" x14ac:dyDescent="0.45">
      <c r="R2070" s="2">
        <v>37.46</v>
      </c>
      <c r="S2070" s="2">
        <v>7.6424000000000001E-4</v>
      </c>
      <c r="T2070" s="2">
        <v>5.7708E-4</v>
      </c>
    </row>
    <row r="2071" spans="18:20" x14ac:dyDescent="0.45">
      <c r="R2071" s="2">
        <v>37.47</v>
      </c>
      <c r="S2071" s="2">
        <v>7.6468E-4</v>
      </c>
      <c r="T2071" s="2">
        <v>5.7755999999999997E-4</v>
      </c>
    </row>
    <row r="2072" spans="18:20" x14ac:dyDescent="0.45">
      <c r="R2072" s="2">
        <v>37.479999999999997</v>
      </c>
      <c r="S2072" s="2">
        <v>7.6511999999999999E-4</v>
      </c>
      <c r="T2072" s="2">
        <v>5.7804000000000004E-4</v>
      </c>
    </row>
    <row r="2073" spans="18:20" x14ac:dyDescent="0.45">
      <c r="R2073" s="2">
        <v>37.49</v>
      </c>
      <c r="S2073" s="2">
        <v>7.6555999999999998E-4</v>
      </c>
      <c r="T2073" s="2">
        <v>5.7852000000000001E-4</v>
      </c>
    </row>
    <row r="2074" spans="18:20" x14ac:dyDescent="0.45">
      <c r="R2074" s="2">
        <v>37.5</v>
      </c>
      <c r="S2074" s="2">
        <v>7.6599999999999997E-4</v>
      </c>
      <c r="T2074" s="2">
        <v>5.7899999999999998E-4</v>
      </c>
    </row>
    <row r="2075" spans="18:20" x14ac:dyDescent="0.45">
      <c r="R2075" s="2">
        <v>37.51</v>
      </c>
      <c r="S2075" s="2">
        <v>7.6643999999999996E-4</v>
      </c>
      <c r="T2075" s="2">
        <v>5.7947999999999995E-4</v>
      </c>
    </row>
    <row r="2076" spans="18:20" x14ac:dyDescent="0.45">
      <c r="R2076" s="2">
        <v>37.520000000000003</v>
      </c>
      <c r="S2076" s="2">
        <v>7.6687999999999995E-4</v>
      </c>
      <c r="T2076" s="2">
        <v>5.7996000000000002E-4</v>
      </c>
    </row>
    <row r="2077" spans="18:20" x14ac:dyDescent="0.45">
      <c r="R2077" s="2">
        <v>37.53</v>
      </c>
      <c r="S2077" s="2">
        <v>7.6732000000000005E-4</v>
      </c>
      <c r="T2077" s="2">
        <v>5.8043999999999999E-4</v>
      </c>
    </row>
    <row r="2078" spans="18:20" x14ac:dyDescent="0.45">
      <c r="R2078" s="2">
        <v>37.54</v>
      </c>
      <c r="S2078" s="2">
        <v>7.6776000000000004E-4</v>
      </c>
      <c r="T2078" s="2">
        <v>5.8091999999999996E-4</v>
      </c>
    </row>
    <row r="2079" spans="18:20" x14ac:dyDescent="0.45">
      <c r="R2079" s="2">
        <v>37.549999999999997</v>
      </c>
      <c r="S2079" s="2">
        <v>7.6820000000000002E-4</v>
      </c>
      <c r="T2079" s="2">
        <v>5.8140000000000004E-4</v>
      </c>
    </row>
    <row r="2080" spans="18:20" x14ac:dyDescent="0.45">
      <c r="R2080" s="2">
        <v>37.56</v>
      </c>
      <c r="S2080" s="2">
        <v>7.6864000000000001E-4</v>
      </c>
      <c r="T2080" s="2">
        <v>5.8188000000000001E-4</v>
      </c>
    </row>
    <row r="2081" spans="18:20" x14ac:dyDescent="0.45">
      <c r="R2081" s="2">
        <v>37.57</v>
      </c>
      <c r="S2081" s="2">
        <v>7.6908E-4</v>
      </c>
      <c r="T2081" s="2">
        <v>5.8235999999999997E-4</v>
      </c>
    </row>
    <row r="2082" spans="18:20" x14ac:dyDescent="0.45">
      <c r="R2082" s="2">
        <v>37.58</v>
      </c>
      <c r="S2082" s="2">
        <v>7.6951999999999999E-4</v>
      </c>
      <c r="T2082" s="2">
        <v>5.8284000000000005E-4</v>
      </c>
    </row>
    <row r="2083" spans="18:20" x14ac:dyDescent="0.45">
      <c r="R2083" s="2">
        <v>37.590000000000003</v>
      </c>
      <c r="S2083" s="2">
        <v>7.6995999999999998E-4</v>
      </c>
      <c r="T2083" s="2">
        <v>5.8332000000000002E-4</v>
      </c>
    </row>
    <row r="2084" spans="18:20" x14ac:dyDescent="0.45">
      <c r="R2084" s="2">
        <v>37.6</v>
      </c>
      <c r="S2084" s="2">
        <v>7.7039999999999997E-4</v>
      </c>
      <c r="T2084" s="2">
        <v>5.8379999999999999E-4</v>
      </c>
    </row>
    <row r="2085" spans="18:20" x14ac:dyDescent="0.45">
      <c r="R2085" s="2">
        <v>37.61</v>
      </c>
      <c r="S2085" s="2">
        <v>7.7083999999999996E-4</v>
      </c>
      <c r="T2085" s="2">
        <v>5.8427999999999996E-4</v>
      </c>
    </row>
    <row r="2086" spans="18:20" x14ac:dyDescent="0.45">
      <c r="R2086" s="2">
        <v>37.619999999999997</v>
      </c>
      <c r="S2086" s="2">
        <v>7.7127999999999995E-4</v>
      </c>
      <c r="T2086" s="2">
        <v>5.8476000000000003E-4</v>
      </c>
    </row>
    <row r="2087" spans="18:20" x14ac:dyDescent="0.45">
      <c r="R2087" s="2">
        <v>37.630000000000003</v>
      </c>
      <c r="S2087" s="2">
        <v>7.7172000000000004E-4</v>
      </c>
      <c r="T2087" s="2">
        <v>5.8524E-4</v>
      </c>
    </row>
    <row r="2088" spans="18:20" x14ac:dyDescent="0.45">
      <c r="R2088" s="2">
        <v>37.64</v>
      </c>
      <c r="S2088" s="2">
        <v>7.7216000000000003E-4</v>
      </c>
      <c r="T2088" s="2">
        <v>5.8571999999999997E-4</v>
      </c>
    </row>
    <row r="2089" spans="18:20" x14ac:dyDescent="0.45">
      <c r="R2089" s="2">
        <v>37.65</v>
      </c>
      <c r="S2089" s="2">
        <v>7.7260000000000002E-4</v>
      </c>
      <c r="T2089" s="2">
        <v>5.8620000000000005E-4</v>
      </c>
    </row>
    <row r="2090" spans="18:20" x14ac:dyDescent="0.45">
      <c r="R2090" s="2">
        <v>37.659999999999997</v>
      </c>
      <c r="S2090" s="2">
        <v>7.7304000000000001E-4</v>
      </c>
      <c r="T2090" s="2">
        <v>5.8668000000000001E-4</v>
      </c>
    </row>
    <row r="2091" spans="18:20" x14ac:dyDescent="0.45">
      <c r="R2091" s="2">
        <v>37.67</v>
      </c>
      <c r="S2091" s="2">
        <v>7.7348E-4</v>
      </c>
      <c r="T2091" s="2">
        <v>5.8715999999999998E-4</v>
      </c>
    </row>
    <row r="2092" spans="18:20" x14ac:dyDescent="0.45">
      <c r="R2092" s="2">
        <v>37.68</v>
      </c>
      <c r="S2092" s="2">
        <v>7.7391999999999999E-4</v>
      </c>
      <c r="T2092" s="2">
        <v>5.8763999999999995E-4</v>
      </c>
    </row>
    <row r="2093" spans="18:20" x14ac:dyDescent="0.45">
      <c r="R2093" s="2">
        <v>37.69</v>
      </c>
      <c r="S2093" s="2">
        <v>7.7435999999999998E-4</v>
      </c>
      <c r="T2093" s="2">
        <v>5.8812000000000003E-4</v>
      </c>
    </row>
    <row r="2094" spans="18:20" x14ac:dyDescent="0.45">
      <c r="R2094" s="2">
        <v>37.700000000000003</v>
      </c>
      <c r="S2094" s="2">
        <v>7.7479999999999997E-4</v>
      </c>
      <c r="T2094" s="2">
        <v>5.886E-4</v>
      </c>
    </row>
    <row r="2095" spans="18:20" x14ac:dyDescent="0.45">
      <c r="R2095" s="2">
        <v>37.71</v>
      </c>
      <c r="S2095" s="2">
        <v>7.7523999999999996E-4</v>
      </c>
      <c r="T2095" s="2">
        <v>5.8907999999999996E-4</v>
      </c>
    </row>
    <row r="2096" spans="18:20" x14ac:dyDescent="0.45">
      <c r="R2096" s="2">
        <v>37.72</v>
      </c>
      <c r="S2096" s="2">
        <v>7.7567999999999995E-4</v>
      </c>
      <c r="T2096" s="2">
        <v>5.8956000000000004E-4</v>
      </c>
    </row>
    <row r="2097" spans="18:20" x14ac:dyDescent="0.45">
      <c r="R2097" s="2">
        <v>37.729999999999997</v>
      </c>
      <c r="S2097" s="2">
        <v>7.7612000000000004E-4</v>
      </c>
      <c r="T2097" s="2">
        <v>5.9004000000000001E-4</v>
      </c>
    </row>
    <row r="2098" spans="18:20" x14ac:dyDescent="0.45">
      <c r="R2098" s="2">
        <v>37.74</v>
      </c>
      <c r="S2098" s="2">
        <v>7.7656000000000003E-4</v>
      </c>
      <c r="T2098" s="2">
        <v>5.9051999999999998E-4</v>
      </c>
    </row>
    <row r="2099" spans="18:20" x14ac:dyDescent="0.45">
      <c r="R2099" s="2">
        <v>37.75</v>
      </c>
      <c r="S2099" s="2">
        <v>7.7700000000000002E-4</v>
      </c>
      <c r="T2099" s="2">
        <v>5.9100000000000005E-4</v>
      </c>
    </row>
    <row r="2100" spans="18:20" x14ac:dyDescent="0.45">
      <c r="R2100" s="2">
        <v>37.76</v>
      </c>
      <c r="S2100" s="2">
        <v>7.7744000000000001E-4</v>
      </c>
      <c r="T2100" s="2">
        <v>5.9148000000000002E-4</v>
      </c>
    </row>
    <row r="2101" spans="18:20" x14ac:dyDescent="0.45">
      <c r="R2101" s="2">
        <v>37.770000000000003</v>
      </c>
      <c r="S2101" s="2">
        <v>7.7788E-4</v>
      </c>
      <c r="T2101" s="2">
        <v>5.9195999999999999E-4</v>
      </c>
    </row>
    <row r="2102" spans="18:20" x14ac:dyDescent="0.45">
      <c r="R2102" s="2">
        <v>37.78</v>
      </c>
      <c r="S2102" s="2">
        <v>7.7831999999999999E-4</v>
      </c>
      <c r="T2102" s="2">
        <v>5.9243999999999996E-4</v>
      </c>
    </row>
    <row r="2103" spans="18:20" x14ac:dyDescent="0.45">
      <c r="R2103" s="2">
        <v>37.79</v>
      </c>
      <c r="S2103" s="2">
        <v>7.7875999999999998E-4</v>
      </c>
      <c r="T2103" s="2">
        <v>5.9292000000000004E-4</v>
      </c>
    </row>
    <row r="2104" spans="18:20" x14ac:dyDescent="0.45">
      <c r="R2104" s="2">
        <v>37.799999999999997</v>
      </c>
      <c r="S2104" s="2">
        <v>7.7919999999999997E-4</v>
      </c>
      <c r="T2104" s="2">
        <v>5.934E-4</v>
      </c>
    </row>
    <row r="2105" spans="18:20" x14ac:dyDescent="0.45">
      <c r="R2105" s="2">
        <v>37.81</v>
      </c>
      <c r="S2105" s="2">
        <v>7.7963999999999996E-4</v>
      </c>
      <c r="T2105" s="2">
        <v>5.9387999999999997E-4</v>
      </c>
    </row>
    <row r="2106" spans="18:20" x14ac:dyDescent="0.45">
      <c r="R2106" s="2">
        <v>37.82</v>
      </c>
      <c r="S2106" s="2">
        <v>7.8008000000000005E-4</v>
      </c>
      <c r="T2106" s="2">
        <v>5.9436000000000005E-4</v>
      </c>
    </row>
    <row r="2107" spans="18:20" x14ac:dyDescent="0.45">
      <c r="R2107" s="2">
        <v>37.83</v>
      </c>
      <c r="S2107" s="2">
        <v>7.8052000000000004E-4</v>
      </c>
      <c r="T2107" s="2">
        <v>5.9484000000000002E-4</v>
      </c>
    </row>
    <row r="2108" spans="18:20" x14ac:dyDescent="0.45">
      <c r="R2108" s="2">
        <v>37.840000000000003</v>
      </c>
      <c r="S2108" s="2">
        <v>7.8096000000000003E-4</v>
      </c>
      <c r="T2108" s="2">
        <v>5.9531999999999999E-4</v>
      </c>
    </row>
    <row r="2109" spans="18:20" x14ac:dyDescent="0.45">
      <c r="R2109" s="2">
        <v>37.85</v>
      </c>
      <c r="S2109" s="2">
        <v>7.8140000000000002E-4</v>
      </c>
      <c r="T2109" s="2">
        <v>5.9579999999999995E-4</v>
      </c>
    </row>
    <row r="2110" spans="18:20" x14ac:dyDescent="0.45">
      <c r="R2110" s="2">
        <v>37.86</v>
      </c>
      <c r="S2110" s="2">
        <v>7.8184000000000001E-4</v>
      </c>
      <c r="T2110" s="2">
        <v>5.9628000000000003E-4</v>
      </c>
    </row>
    <row r="2111" spans="18:20" x14ac:dyDescent="0.45">
      <c r="R2111" s="2">
        <v>37.869999999999997</v>
      </c>
      <c r="S2111" s="2">
        <v>7.8228E-4</v>
      </c>
      <c r="T2111" s="2">
        <v>5.9676E-4</v>
      </c>
    </row>
    <row r="2112" spans="18:20" x14ac:dyDescent="0.45">
      <c r="R2112" s="2">
        <v>37.880000000000003</v>
      </c>
      <c r="S2112" s="2">
        <v>7.8271999999999999E-4</v>
      </c>
      <c r="T2112" s="2">
        <v>5.9723999999999997E-4</v>
      </c>
    </row>
    <row r="2113" spans="18:20" x14ac:dyDescent="0.45">
      <c r="R2113" s="2">
        <v>37.89</v>
      </c>
      <c r="S2113" s="2">
        <v>7.8315999999999998E-4</v>
      </c>
      <c r="T2113" s="2">
        <v>5.9772000000000004E-4</v>
      </c>
    </row>
    <row r="2114" spans="18:20" x14ac:dyDescent="0.45">
      <c r="R2114" s="2">
        <v>37.9</v>
      </c>
      <c r="S2114" s="2">
        <v>7.8359999999999996E-4</v>
      </c>
      <c r="T2114" s="2">
        <v>5.9820000000000001E-4</v>
      </c>
    </row>
    <row r="2115" spans="18:20" x14ac:dyDescent="0.45">
      <c r="R2115" s="2">
        <v>37.909999999999997</v>
      </c>
      <c r="S2115" s="2">
        <v>7.8403999999999995E-4</v>
      </c>
      <c r="T2115" s="2">
        <v>5.9867999999999998E-4</v>
      </c>
    </row>
    <row r="2116" spans="18:20" x14ac:dyDescent="0.45">
      <c r="R2116" s="2">
        <v>37.92</v>
      </c>
      <c r="S2116" s="2">
        <v>7.8448000000000005E-4</v>
      </c>
      <c r="T2116" s="2">
        <v>5.9915999999999995E-4</v>
      </c>
    </row>
    <row r="2117" spans="18:20" x14ac:dyDescent="0.45">
      <c r="R2117" s="2">
        <v>37.93</v>
      </c>
      <c r="S2117" s="2">
        <v>7.8492000000000004E-4</v>
      </c>
      <c r="T2117" s="2">
        <v>5.9964000000000003E-4</v>
      </c>
    </row>
    <row r="2118" spans="18:20" x14ac:dyDescent="0.45">
      <c r="R2118" s="2">
        <v>37.94</v>
      </c>
      <c r="S2118" s="2">
        <v>7.8536000000000003E-4</v>
      </c>
      <c r="T2118" s="2">
        <v>6.0011999999999999E-4</v>
      </c>
    </row>
    <row r="2119" spans="18:20" x14ac:dyDescent="0.45">
      <c r="R2119" s="2">
        <v>37.950000000000003</v>
      </c>
      <c r="S2119" s="2">
        <v>7.8580000000000002E-4</v>
      </c>
      <c r="T2119" s="2">
        <v>6.0059999999999996E-4</v>
      </c>
    </row>
    <row r="2120" spans="18:20" x14ac:dyDescent="0.45">
      <c r="R2120" s="2">
        <v>37.96</v>
      </c>
      <c r="S2120" s="2">
        <v>7.8624000000000001E-4</v>
      </c>
      <c r="T2120" s="2">
        <v>6.0108000000000004E-4</v>
      </c>
    </row>
    <row r="2121" spans="18:20" x14ac:dyDescent="0.45">
      <c r="R2121" s="2">
        <v>37.97</v>
      </c>
      <c r="S2121" s="2">
        <v>7.8668E-4</v>
      </c>
      <c r="T2121" s="2">
        <v>6.0156000000000001E-4</v>
      </c>
    </row>
    <row r="2122" spans="18:20" x14ac:dyDescent="0.45">
      <c r="R2122" s="2">
        <v>37.979999999999997</v>
      </c>
      <c r="S2122" s="2">
        <v>7.8711999999999999E-4</v>
      </c>
      <c r="T2122" s="2">
        <v>6.0203999999999998E-4</v>
      </c>
    </row>
    <row r="2123" spans="18:20" x14ac:dyDescent="0.45">
      <c r="R2123" s="2">
        <v>37.99</v>
      </c>
      <c r="S2123" s="2">
        <v>7.8755999999999997E-4</v>
      </c>
      <c r="T2123" s="2">
        <v>6.0252000000000005E-4</v>
      </c>
    </row>
    <row r="2124" spans="18:20" x14ac:dyDescent="0.45">
      <c r="R2124" s="2">
        <v>38</v>
      </c>
      <c r="S2124" s="2">
        <v>7.8799999999999996E-4</v>
      </c>
      <c r="T2124" s="2">
        <v>6.0300000000000002E-4</v>
      </c>
    </row>
    <row r="2125" spans="18:20" x14ac:dyDescent="0.45">
      <c r="R2125" s="2">
        <v>38.01</v>
      </c>
      <c r="S2125" s="2">
        <v>7.8852000000000002E-4</v>
      </c>
      <c r="T2125" s="2">
        <v>6.0353000000000002E-4</v>
      </c>
    </row>
    <row r="2126" spans="18:20" x14ac:dyDescent="0.45">
      <c r="R2126" s="2">
        <v>38.020000000000003</v>
      </c>
      <c r="S2126" s="2">
        <v>7.8903999999999997E-4</v>
      </c>
      <c r="T2126" s="2">
        <v>6.0406000000000001E-4</v>
      </c>
    </row>
    <row r="2127" spans="18:20" x14ac:dyDescent="0.45">
      <c r="R2127" s="2">
        <v>38.03</v>
      </c>
      <c r="S2127" s="2">
        <v>7.8956000000000002E-4</v>
      </c>
      <c r="T2127" s="2">
        <v>6.0459000000000001E-4</v>
      </c>
    </row>
    <row r="2128" spans="18:20" x14ac:dyDescent="0.45">
      <c r="R2128" s="2">
        <v>38.04</v>
      </c>
      <c r="S2128" s="2">
        <v>7.9007999999999997E-4</v>
      </c>
      <c r="T2128" s="2">
        <v>6.0512000000000001E-4</v>
      </c>
    </row>
    <row r="2129" spans="18:20" x14ac:dyDescent="0.45">
      <c r="R2129" s="2">
        <v>38.049999999999997</v>
      </c>
      <c r="S2129" s="2">
        <v>7.9060000000000003E-4</v>
      </c>
      <c r="T2129" s="2">
        <v>6.0565E-4</v>
      </c>
    </row>
    <row r="2130" spans="18:20" x14ac:dyDescent="0.45">
      <c r="R2130" s="2">
        <v>38.06</v>
      </c>
      <c r="S2130" s="2">
        <v>7.9111999999999997E-4</v>
      </c>
      <c r="T2130" s="2">
        <v>6.0618E-4</v>
      </c>
    </row>
    <row r="2131" spans="18:20" x14ac:dyDescent="0.45">
      <c r="R2131" s="2">
        <v>38.07</v>
      </c>
      <c r="S2131" s="2">
        <v>7.9164000000000003E-4</v>
      </c>
      <c r="T2131" s="2">
        <v>6.0671E-4</v>
      </c>
    </row>
    <row r="2132" spans="18:20" x14ac:dyDescent="0.45">
      <c r="R2132" s="2">
        <v>38.08</v>
      </c>
      <c r="S2132" s="2">
        <v>7.9215999999999998E-4</v>
      </c>
      <c r="T2132" s="2">
        <v>6.0723999999999999E-4</v>
      </c>
    </row>
    <row r="2133" spans="18:20" x14ac:dyDescent="0.45">
      <c r="R2133" s="2">
        <v>38.090000000000003</v>
      </c>
      <c r="S2133" s="2">
        <v>7.9268000000000003E-4</v>
      </c>
      <c r="T2133" s="2">
        <v>6.0776999999999999E-4</v>
      </c>
    </row>
    <row r="2134" spans="18:20" x14ac:dyDescent="0.45">
      <c r="R2134" s="2">
        <v>38.1</v>
      </c>
      <c r="S2134" s="2">
        <v>7.9319999999999998E-4</v>
      </c>
      <c r="T2134" s="2">
        <v>6.0829999999999999E-4</v>
      </c>
    </row>
    <row r="2135" spans="18:20" x14ac:dyDescent="0.45">
      <c r="R2135" s="2">
        <v>38.11</v>
      </c>
      <c r="S2135" s="2">
        <v>7.9372000000000004E-4</v>
      </c>
      <c r="T2135" s="2">
        <v>6.0882999999999998E-4</v>
      </c>
    </row>
    <row r="2136" spans="18:20" x14ac:dyDescent="0.45">
      <c r="R2136" s="2">
        <v>38.119999999999997</v>
      </c>
      <c r="S2136" s="2">
        <v>7.9423999999999999E-4</v>
      </c>
      <c r="T2136" s="2">
        <v>6.0935999999999998E-4</v>
      </c>
    </row>
    <row r="2137" spans="18:20" x14ac:dyDescent="0.45">
      <c r="R2137" s="2">
        <v>38.130000000000003</v>
      </c>
      <c r="S2137" s="2">
        <v>7.9476000000000004E-4</v>
      </c>
      <c r="T2137" s="2">
        <v>6.0988999999999998E-4</v>
      </c>
    </row>
    <row r="2138" spans="18:20" x14ac:dyDescent="0.45">
      <c r="R2138" s="2">
        <v>38.14</v>
      </c>
      <c r="S2138" s="2">
        <v>7.9527999999999999E-4</v>
      </c>
      <c r="T2138" s="2">
        <v>6.1041999999999997E-4</v>
      </c>
    </row>
    <row r="2139" spans="18:20" x14ac:dyDescent="0.45">
      <c r="R2139" s="2">
        <v>38.15</v>
      </c>
      <c r="S2139" s="2">
        <v>7.9580000000000004E-4</v>
      </c>
      <c r="T2139" s="2">
        <v>6.1094999999999997E-4</v>
      </c>
    </row>
    <row r="2140" spans="18:20" x14ac:dyDescent="0.45">
      <c r="R2140" s="2">
        <v>38.159999999999997</v>
      </c>
      <c r="S2140" s="2">
        <v>7.9631999999999999E-4</v>
      </c>
      <c r="T2140" s="2">
        <v>6.1147999999999997E-4</v>
      </c>
    </row>
    <row r="2141" spans="18:20" x14ac:dyDescent="0.45">
      <c r="R2141" s="2">
        <v>38.17</v>
      </c>
      <c r="S2141" s="2">
        <v>7.9684000000000005E-4</v>
      </c>
      <c r="T2141" s="2">
        <v>6.1200999999999996E-4</v>
      </c>
    </row>
    <row r="2142" spans="18:20" x14ac:dyDescent="0.45">
      <c r="R2142" s="2">
        <v>38.18</v>
      </c>
      <c r="S2142" s="2">
        <v>7.9736E-4</v>
      </c>
      <c r="T2142" s="2">
        <v>6.1253999999999996E-4</v>
      </c>
    </row>
    <row r="2143" spans="18:20" x14ac:dyDescent="0.45">
      <c r="R2143" s="2">
        <v>38.19</v>
      </c>
      <c r="S2143" s="2">
        <v>7.9788000000000005E-4</v>
      </c>
      <c r="T2143" s="2">
        <v>6.1306999999999996E-4</v>
      </c>
    </row>
    <row r="2144" spans="18:20" x14ac:dyDescent="0.45">
      <c r="R2144" s="2">
        <v>38.200000000000003</v>
      </c>
      <c r="S2144" s="2">
        <v>7.984E-4</v>
      </c>
      <c r="T2144" s="2">
        <v>6.1359999999999995E-4</v>
      </c>
    </row>
    <row r="2145" spans="18:20" x14ac:dyDescent="0.45">
      <c r="R2145" s="2">
        <v>38.21</v>
      </c>
      <c r="S2145" s="2">
        <v>7.9891999999999995E-4</v>
      </c>
      <c r="T2145" s="2">
        <v>6.1412999999999995E-4</v>
      </c>
    </row>
    <row r="2146" spans="18:20" x14ac:dyDescent="0.45">
      <c r="R2146" s="2">
        <v>38.22</v>
      </c>
      <c r="S2146" s="2">
        <v>7.9944E-4</v>
      </c>
      <c r="T2146" s="2">
        <v>6.1465999999999995E-4</v>
      </c>
    </row>
    <row r="2147" spans="18:20" x14ac:dyDescent="0.45">
      <c r="R2147" s="2">
        <v>38.229999999999997</v>
      </c>
      <c r="S2147" s="2">
        <v>7.9995999999999995E-4</v>
      </c>
      <c r="T2147" s="2">
        <v>6.1519000000000005E-4</v>
      </c>
    </row>
    <row r="2148" spans="18:20" x14ac:dyDescent="0.45">
      <c r="R2148" s="2">
        <v>38.24</v>
      </c>
      <c r="S2148" s="2">
        <v>8.0048000000000001E-4</v>
      </c>
      <c r="T2148" s="2">
        <v>6.1572000000000005E-4</v>
      </c>
    </row>
    <row r="2149" spans="18:20" x14ac:dyDescent="0.45">
      <c r="R2149" s="2">
        <v>38.25</v>
      </c>
      <c r="S2149" s="2">
        <v>8.0099999999999995E-4</v>
      </c>
      <c r="T2149" s="2">
        <v>6.1625000000000004E-4</v>
      </c>
    </row>
    <row r="2150" spans="18:20" x14ac:dyDescent="0.45">
      <c r="R2150" s="2">
        <v>38.26</v>
      </c>
      <c r="S2150" s="2">
        <v>8.0152000000000001E-4</v>
      </c>
      <c r="T2150" s="2">
        <v>6.1678000000000004E-4</v>
      </c>
    </row>
    <row r="2151" spans="18:20" x14ac:dyDescent="0.45">
      <c r="R2151" s="2">
        <v>38.270000000000003</v>
      </c>
      <c r="S2151" s="2">
        <v>8.0203999999999996E-4</v>
      </c>
      <c r="T2151" s="2">
        <v>6.1731000000000004E-4</v>
      </c>
    </row>
    <row r="2152" spans="18:20" x14ac:dyDescent="0.45">
      <c r="R2152" s="2">
        <v>38.28</v>
      </c>
      <c r="S2152" s="2">
        <v>8.0256000000000001E-4</v>
      </c>
      <c r="T2152" s="2">
        <v>6.1784000000000003E-4</v>
      </c>
    </row>
    <row r="2153" spans="18:20" x14ac:dyDescent="0.45">
      <c r="R2153" s="2">
        <v>38.29</v>
      </c>
      <c r="S2153" s="2">
        <v>8.0307999999999996E-4</v>
      </c>
      <c r="T2153" s="2">
        <v>6.1837000000000003E-4</v>
      </c>
    </row>
    <row r="2154" spans="18:20" x14ac:dyDescent="0.45">
      <c r="R2154" s="2">
        <v>38.299999999999997</v>
      </c>
      <c r="S2154" s="2">
        <v>8.0360000000000002E-4</v>
      </c>
      <c r="T2154" s="2">
        <v>6.1890000000000003E-4</v>
      </c>
    </row>
    <row r="2155" spans="18:20" x14ac:dyDescent="0.45">
      <c r="R2155" s="2">
        <v>38.31</v>
      </c>
      <c r="S2155" s="2">
        <v>8.0411999999999997E-4</v>
      </c>
      <c r="T2155" s="2">
        <v>6.1943000000000002E-4</v>
      </c>
    </row>
    <row r="2156" spans="18:20" x14ac:dyDescent="0.45">
      <c r="R2156" s="2">
        <v>38.32</v>
      </c>
      <c r="S2156" s="2">
        <v>8.0464000000000002E-4</v>
      </c>
      <c r="T2156" s="2">
        <v>6.1996000000000002E-4</v>
      </c>
    </row>
    <row r="2157" spans="18:20" x14ac:dyDescent="0.45">
      <c r="R2157" s="2">
        <v>38.33</v>
      </c>
      <c r="S2157" s="2">
        <v>8.0515999999999997E-4</v>
      </c>
      <c r="T2157" s="2">
        <v>6.2049000000000002E-4</v>
      </c>
    </row>
    <row r="2158" spans="18:20" x14ac:dyDescent="0.45">
      <c r="R2158" s="2">
        <v>38.340000000000003</v>
      </c>
      <c r="S2158" s="2">
        <v>8.0568000000000002E-4</v>
      </c>
      <c r="T2158" s="2">
        <v>6.2102000000000001E-4</v>
      </c>
    </row>
    <row r="2159" spans="18:20" x14ac:dyDescent="0.45">
      <c r="R2159" s="2">
        <v>38.35</v>
      </c>
      <c r="S2159" s="2">
        <v>8.0619999999999997E-4</v>
      </c>
      <c r="T2159" s="2">
        <v>6.2155000000000001E-4</v>
      </c>
    </row>
    <row r="2160" spans="18:20" x14ac:dyDescent="0.45">
      <c r="R2160" s="2">
        <v>38.36</v>
      </c>
      <c r="S2160" s="2">
        <v>8.0672000000000003E-4</v>
      </c>
      <c r="T2160" s="2">
        <v>6.2208000000000001E-4</v>
      </c>
    </row>
    <row r="2161" spans="18:20" x14ac:dyDescent="0.45">
      <c r="R2161" s="2">
        <v>38.369999999999997</v>
      </c>
      <c r="S2161" s="2">
        <v>8.0723999999999998E-4</v>
      </c>
      <c r="T2161" s="2">
        <v>6.2261E-4</v>
      </c>
    </row>
    <row r="2162" spans="18:20" x14ac:dyDescent="0.45">
      <c r="R2162" s="2">
        <v>38.380000000000003</v>
      </c>
      <c r="S2162" s="2">
        <v>8.0776000000000003E-4</v>
      </c>
      <c r="T2162" s="2">
        <v>6.2314E-4</v>
      </c>
    </row>
    <row r="2163" spans="18:20" x14ac:dyDescent="0.45">
      <c r="R2163" s="2">
        <v>38.39</v>
      </c>
      <c r="S2163" s="2">
        <v>8.0827999999999998E-4</v>
      </c>
      <c r="T2163" s="2">
        <v>6.2367E-4</v>
      </c>
    </row>
    <row r="2164" spans="18:20" x14ac:dyDescent="0.45">
      <c r="R2164" s="2">
        <v>38.4</v>
      </c>
      <c r="S2164" s="2">
        <v>8.0880000000000004E-4</v>
      </c>
      <c r="T2164" s="2">
        <v>6.2419999999999999E-4</v>
      </c>
    </row>
    <row r="2165" spans="18:20" x14ac:dyDescent="0.45">
      <c r="R2165" s="2">
        <v>38.409999999999997</v>
      </c>
      <c r="S2165" s="2">
        <v>8.0931999999999998E-4</v>
      </c>
      <c r="T2165" s="2">
        <v>6.2472999999999999E-4</v>
      </c>
    </row>
    <row r="2166" spans="18:20" x14ac:dyDescent="0.45">
      <c r="R2166" s="2">
        <v>38.42</v>
      </c>
      <c r="S2166" s="2">
        <v>8.0984000000000004E-4</v>
      </c>
      <c r="T2166" s="2">
        <v>6.2525999999999999E-4</v>
      </c>
    </row>
    <row r="2167" spans="18:20" x14ac:dyDescent="0.45">
      <c r="R2167" s="2">
        <v>38.43</v>
      </c>
      <c r="S2167" s="2">
        <v>8.1035999999999999E-4</v>
      </c>
      <c r="T2167" s="2">
        <v>6.2578999999999998E-4</v>
      </c>
    </row>
    <row r="2168" spans="18:20" x14ac:dyDescent="0.45">
      <c r="R2168" s="2">
        <v>38.44</v>
      </c>
      <c r="S2168" s="2">
        <v>8.1088000000000004E-4</v>
      </c>
      <c r="T2168" s="2">
        <v>6.2631999999999998E-4</v>
      </c>
    </row>
    <row r="2169" spans="18:20" x14ac:dyDescent="0.45">
      <c r="R2169" s="2">
        <v>38.450000000000003</v>
      </c>
      <c r="S2169" s="2">
        <v>8.1139999999999999E-4</v>
      </c>
      <c r="T2169" s="2">
        <v>6.2684999999999998E-4</v>
      </c>
    </row>
    <row r="2170" spans="18:20" x14ac:dyDescent="0.45">
      <c r="R2170" s="2">
        <v>38.46</v>
      </c>
      <c r="S2170" s="2">
        <v>8.1192000000000005E-4</v>
      </c>
      <c r="T2170" s="2">
        <v>6.2737999999999997E-4</v>
      </c>
    </row>
    <row r="2171" spans="18:20" x14ac:dyDescent="0.45">
      <c r="R2171" s="2">
        <v>38.47</v>
      </c>
      <c r="S2171" s="2">
        <v>8.1243999999999999E-4</v>
      </c>
      <c r="T2171" s="2">
        <v>6.2790999999999997E-4</v>
      </c>
    </row>
    <row r="2172" spans="18:20" x14ac:dyDescent="0.45">
      <c r="R2172" s="2">
        <v>38.479999999999997</v>
      </c>
      <c r="S2172" s="2">
        <v>8.1296000000000005E-4</v>
      </c>
      <c r="T2172" s="2">
        <v>6.2843999999999997E-4</v>
      </c>
    </row>
    <row r="2173" spans="18:20" x14ac:dyDescent="0.45">
      <c r="R2173" s="2">
        <v>38.49</v>
      </c>
      <c r="S2173" s="2">
        <v>8.1348E-4</v>
      </c>
      <c r="T2173" s="2">
        <v>6.2896999999999996E-4</v>
      </c>
    </row>
    <row r="2174" spans="18:20" x14ac:dyDescent="0.45">
      <c r="R2174" s="2">
        <v>38.5</v>
      </c>
      <c r="S2174" s="2">
        <v>8.1400000000000005E-4</v>
      </c>
      <c r="T2174" s="2">
        <v>6.2949999999999996E-4</v>
      </c>
    </row>
    <row r="2175" spans="18:20" x14ac:dyDescent="0.45">
      <c r="R2175" s="2">
        <v>38.51</v>
      </c>
      <c r="S2175" s="2">
        <v>8.1452E-4</v>
      </c>
      <c r="T2175" s="2">
        <v>6.3002999999999996E-4</v>
      </c>
    </row>
    <row r="2176" spans="18:20" x14ac:dyDescent="0.45">
      <c r="R2176" s="2">
        <v>38.520000000000003</v>
      </c>
      <c r="S2176" s="2">
        <v>8.1503999999999995E-4</v>
      </c>
      <c r="T2176" s="2">
        <v>6.3055999999999995E-4</v>
      </c>
    </row>
    <row r="2177" spans="18:20" x14ac:dyDescent="0.45">
      <c r="R2177" s="2">
        <v>38.53</v>
      </c>
      <c r="S2177" s="2">
        <v>8.1556E-4</v>
      </c>
      <c r="T2177" s="2">
        <v>6.3108999999999995E-4</v>
      </c>
    </row>
    <row r="2178" spans="18:20" x14ac:dyDescent="0.45">
      <c r="R2178" s="2">
        <v>38.54</v>
      </c>
      <c r="S2178" s="2">
        <v>8.1607999999999995E-4</v>
      </c>
      <c r="T2178" s="2">
        <v>6.3161999999999995E-4</v>
      </c>
    </row>
    <row r="2179" spans="18:20" x14ac:dyDescent="0.45">
      <c r="R2179" s="2">
        <v>38.549999999999997</v>
      </c>
      <c r="S2179" s="2">
        <v>8.1660000000000001E-4</v>
      </c>
      <c r="T2179" s="2">
        <v>6.3215000000000005E-4</v>
      </c>
    </row>
    <row r="2180" spans="18:20" x14ac:dyDescent="0.45">
      <c r="R2180" s="2">
        <v>38.56</v>
      </c>
      <c r="S2180" s="2">
        <v>8.1711999999999996E-4</v>
      </c>
      <c r="T2180" s="2">
        <v>6.3268000000000005E-4</v>
      </c>
    </row>
    <row r="2181" spans="18:20" x14ac:dyDescent="0.45">
      <c r="R2181" s="2">
        <v>38.57</v>
      </c>
      <c r="S2181" s="2">
        <v>8.1764000000000001E-4</v>
      </c>
      <c r="T2181" s="2">
        <v>6.3321000000000004E-4</v>
      </c>
    </row>
    <row r="2182" spans="18:20" x14ac:dyDescent="0.45">
      <c r="R2182" s="2">
        <v>38.58</v>
      </c>
      <c r="S2182" s="2">
        <v>8.1815999999999996E-4</v>
      </c>
      <c r="T2182" s="2">
        <v>6.3374000000000004E-4</v>
      </c>
    </row>
    <row r="2183" spans="18:20" x14ac:dyDescent="0.45">
      <c r="R2183" s="2">
        <v>38.590000000000003</v>
      </c>
      <c r="S2183" s="2">
        <v>8.1868000000000002E-4</v>
      </c>
      <c r="T2183" s="2">
        <v>6.3427000000000004E-4</v>
      </c>
    </row>
    <row r="2184" spans="18:20" x14ac:dyDescent="0.45">
      <c r="R2184" s="2">
        <v>38.6</v>
      </c>
      <c r="S2184" s="2">
        <v>8.1919999999999996E-4</v>
      </c>
      <c r="T2184" s="2">
        <v>6.3480000000000003E-4</v>
      </c>
    </row>
    <row r="2185" spans="18:20" x14ac:dyDescent="0.45">
      <c r="R2185" s="2">
        <v>38.61</v>
      </c>
      <c r="S2185" s="2">
        <v>8.1972000000000002E-4</v>
      </c>
      <c r="T2185" s="2">
        <v>6.3533000000000003E-4</v>
      </c>
    </row>
    <row r="2186" spans="18:20" x14ac:dyDescent="0.45">
      <c r="R2186" s="2">
        <v>38.619999999999997</v>
      </c>
      <c r="S2186" s="2">
        <v>8.2023999999999997E-4</v>
      </c>
      <c r="T2186" s="2">
        <v>6.3586000000000003E-4</v>
      </c>
    </row>
    <row r="2187" spans="18:20" x14ac:dyDescent="0.45">
      <c r="R2187" s="2">
        <v>38.630000000000003</v>
      </c>
      <c r="S2187" s="2">
        <v>8.2076000000000002E-4</v>
      </c>
      <c r="T2187" s="2">
        <v>6.3639000000000002E-4</v>
      </c>
    </row>
    <row r="2188" spans="18:20" x14ac:dyDescent="0.45">
      <c r="R2188" s="2">
        <v>38.64</v>
      </c>
      <c r="S2188" s="2">
        <v>8.2127999999999997E-4</v>
      </c>
      <c r="T2188" s="2">
        <v>6.3692000000000002E-4</v>
      </c>
    </row>
    <row r="2189" spans="18:20" x14ac:dyDescent="0.45">
      <c r="R2189" s="2">
        <v>38.65</v>
      </c>
      <c r="S2189" s="2">
        <v>8.2180000000000003E-4</v>
      </c>
      <c r="T2189" s="2">
        <v>6.3745000000000002E-4</v>
      </c>
    </row>
    <row r="2190" spans="18:20" x14ac:dyDescent="0.45">
      <c r="R2190" s="2">
        <v>38.659999999999997</v>
      </c>
      <c r="S2190" s="2">
        <v>8.2231999999999997E-4</v>
      </c>
      <c r="T2190" s="2">
        <v>6.3798000000000001E-4</v>
      </c>
    </row>
    <row r="2191" spans="18:20" x14ac:dyDescent="0.45">
      <c r="R2191" s="2">
        <v>38.67</v>
      </c>
      <c r="S2191" s="2">
        <v>8.2284000000000003E-4</v>
      </c>
      <c r="T2191" s="2">
        <v>6.3851000000000001E-4</v>
      </c>
    </row>
    <row r="2192" spans="18:20" x14ac:dyDescent="0.45">
      <c r="R2192" s="2">
        <v>38.68</v>
      </c>
      <c r="S2192" s="2">
        <v>8.2335999999999998E-4</v>
      </c>
      <c r="T2192" s="2">
        <v>6.3904000000000001E-4</v>
      </c>
    </row>
    <row r="2193" spans="18:20" x14ac:dyDescent="0.45">
      <c r="R2193" s="2">
        <v>38.69</v>
      </c>
      <c r="S2193" s="2">
        <v>8.2388000000000003E-4</v>
      </c>
      <c r="T2193" s="2">
        <v>6.3957E-4</v>
      </c>
    </row>
    <row r="2194" spans="18:20" x14ac:dyDescent="0.45">
      <c r="R2194" s="2">
        <v>38.700000000000003</v>
      </c>
      <c r="S2194" s="2">
        <v>8.2439999999999998E-4</v>
      </c>
      <c r="T2194" s="2">
        <v>6.401E-4</v>
      </c>
    </row>
    <row r="2195" spans="18:20" x14ac:dyDescent="0.45">
      <c r="R2195" s="2">
        <v>38.71</v>
      </c>
      <c r="S2195" s="2">
        <v>8.2492000000000004E-4</v>
      </c>
      <c r="T2195" s="2">
        <v>6.4063E-4</v>
      </c>
    </row>
    <row r="2196" spans="18:20" x14ac:dyDescent="0.45">
      <c r="R2196" s="2">
        <v>38.72</v>
      </c>
      <c r="S2196" s="2">
        <v>8.2543999999999998E-4</v>
      </c>
      <c r="T2196" s="2">
        <v>6.4115999999999999E-4</v>
      </c>
    </row>
    <row r="2197" spans="18:20" x14ac:dyDescent="0.45">
      <c r="R2197" s="2">
        <v>38.729999999999997</v>
      </c>
      <c r="S2197" s="2">
        <v>8.2596000000000004E-4</v>
      </c>
      <c r="T2197" s="2">
        <v>6.4168999999999999E-4</v>
      </c>
    </row>
    <row r="2198" spans="18:20" x14ac:dyDescent="0.45">
      <c r="R2198" s="2">
        <v>38.74</v>
      </c>
      <c r="S2198" s="2">
        <v>8.2647999999999999E-4</v>
      </c>
      <c r="T2198" s="2">
        <v>6.4221999999999999E-4</v>
      </c>
    </row>
    <row r="2199" spans="18:20" x14ac:dyDescent="0.45">
      <c r="R2199" s="2">
        <v>38.75</v>
      </c>
      <c r="S2199" s="2">
        <v>8.2700000000000004E-4</v>
      </c>
      <c r="T2199" s="2">
        <v>6.4274999999999998E-4</v>
      </c>
    </row>
    <row r="2200" spans="18:20" x14ac:dyDescent="0.45">
      <c r="R2200" s="2">
        <v>38.76</v>
      </c>
      <c r="S2200" s="2">
        <v>8.2751999999999999E-4</v>
      </c>
      <c r="T2200" s="2">
        <v>6.4327999999999998E-4</v>
      </c>
    </row>
    <row r="2201" spans="18:20" x14ac:dyDescent="0.45">
      <c r="R2201" s="2">
        <v>38.770000000000003</v>
      </c>
      <c r="S2201" s="2">
        <v>8.2804000000000005E-4</v>
      </c>
      <c r="T2201" s="2">
        <v>6.4380999999999998E-4</v>
      </c>
    </row>
    <row r="2202" spans="18:20" x14ac:dyDescent="0.45">
      <c r="R2202" s="2">
        <v>38.78</v>
      </c>
      <c r="S2202" s="2">
        <v>8.2856E-4</v>
      </c>
      <c r="T2202" s="2">
        <v>6.4433999999999997E-4</v>
      </c>
    </row>
    <row r="2203" spans="18:20" x14ac:dyDescent="0.45">
      <c r="R2203" s="2">
        <v>38.79</v>
      </c>
      <c r="S2203" s="2">
        <v>8.2908000000000005E-4</v>
      </c>
      <c r="T2203" s="2">
        <v>6.4486999999999997E-4</v>
      </c>
    </row>
    <row r="2204" spans="18:20" x14ac:dyDescent="0.45">
      <c r="R2204" s="2">
        <v>38.799999999999997</v>
      </c>
      <c r="S2204" s="2">
        <v>8.296E-4</v>
      </c>
      <c r="T2204" s="2">
        <v>6.4539999999999997E-4</v>
      </c>
    </row>
    <row r="2205" spans="18:20" x14ac:dyDescent="0.45">
      <c r="R2205" s="2">
        <v>38.81</v>
      </c>
      <c r="S2205" s="2">
        <v>8.3011999999999995E-4</v>
      </c>
      <c r="T2205" s="2">
        <v>6.4592999999999996E-4</v>
      </c>
    </row>
    <row r="2206" spans="18:20" x14ac:dyDescent="0.45">
      <c r="R2206" s="2">
        <v>38.82</v>
      </c>
      <c r="S2206" s="2">
        <v>8.3064E-4</v>
      </c>
      <c r="T2206" s="2">
        <v>6.4645999999999996E-4</v>
      </c>
    </row>
    <row r="2207" spans="18:20" x14ac:dyDescent="0.45">
      <c r="R2207" s="2">
        <v>38.83</v>
      </c>
      <c r="S2207" s="2">
        <v>8.3115999999999995E-4</v>
      </c>
      <c r="T2207" s="2">
        <v>6.4698999999999996E-4</v>
      </c>
    </row>
    <row r="2208" spans="18:20" x14ac:dyDescent="0.45">
      <c r="R2208" s="2">
        <v>38.840000000000003</v>
      </c>
      <c r="S2208" s="2">
        <v>8.3168000000000001E-4</v>
      </c>
      <c r="T2208" s="2">
        <v>6.4751999999999995E-4</v>
      </c>
    </row>
    <row r="2209" spans="18:20" x14ac:dyDescent="0.45">
      <c r="R2209" s="2">
        <v>38.85</v>
      </c>
      <c r="S2209" s="2">
        <v>8.3219999999999995E-4</v>
      </c>
      <c r="T2209" s="2">
        <v>6.4804999999999995E-4</v>
      </c>
    </row>
    <row r="2210" spans="18:20" x14ac:dyDescent="0.45">
      <c r="R2210" s="2">
        <v>38.86</v>
      </c>
      <c r="S2210" s="2">
        <v>8.3272000000000001E-4</v>
      </c>
      <c r="T2210" s="2">
        <v>6.4857999999999995E-4</v>
      </c>
    </row>
    <row r="2211" spans="18:20" x14ac:dyDescent="0.45">
      <c r="R2211" s="2">
        <v>38.869999999999997</v>
      </c>
      <c r="S2211" s="2">
        <v>8.3323999999999996E-4</v>
      </c>
      <c r="T2211" s="2">
        <v>6.4911000000000005E-4</v>
      </c>
    </row>
    <row r="2212" spans="18:20" x14ac:dyDescent="0.45">
      <c r="R2212" s="2">
        <v>38.880000000000003</v>
      </c>
      <c r="S2212" s="2">
        <v>8.3376000000000001E-4</v>
      </c>
      <c r="T2212" s="2">
        <v>6.4964000000000005E-4</v>
      </c>
    </row>
    <row r="2213" spans="18:20" x14ac:dyDescent="0.45">
      <c r="R2213" s="2">
        <v>38.89</v>
      </c>
      <c r="S2213" s="2">
        <v>8.3427999999999996E-4</v>
      </c>
      <c r="T2213" s="2">
        <v>6.5017000000000004E-4</v>
      </c>
    </row>
    <row r="2214" spans="18:20" x14ac:dyDescent="0.45">
      <c r="R2214" s="2">
        <v>38.9</v>
      </c>
      <c r="S2214" s="2">
        <v>8.3480000000000002E-4</v>
      </c>
      <c r="T2214" s="2">
        <v>6.5070000000000004E-4</v>
      </c>
    </row>
    <row r="2215" spans="18:20" x14ac:dyDescent="0.45">
      <c r="R2215" s="2">
        <v>38.909999999999997</v>
      </c>
      <c r="S2215" s="2">
        <v>8.3531999999999996E-4</v>
      </c>
      <c r="T2215" s="2">
        <v>6.5123000000000004E-4</v>
      </c>
    </row>
    <row r="2216" spans="18:20" x14ac:dyDescent="0.45">
      <c r="R2216" s="2">
        <v>38.92</v>
      </c>
      <c r="S2216" s="2">
        <v>8.3584000000000002E-4</v>
      </c>
      <c r="T2216" s="2">
        <v>6.5176000000000003E-4</v>
      </c>
    </row>
    <row r="2217" spans="18:20" x14ac:dyDescent="0.45">
      <c r="R2217" s="2">
        <v>38.93</v>
      </c>
      <c r="S2217" s="2">
        <v>8.3635999999999997E-4</v>
      </c>
      <c r="T2217" s="2">
        <v>6.5229000000000003E-4</v>
      </c>
    </row>
    <row r="2218" spans="18:20" x14ac:dyDescent="0.45">
      <c r="R2218" s="2">
        <v>38.94</v>
      </c>
      <c r="S2218" s="2">
        <v>8.3688000000000002E-4</v>
      </c>
      <c r="T2218" s="2">
        <v>6.5282000000000003E-4</v>
      </c>
    </row>
    <row r="2219" spans="18:20" x14ac:dyDescent="0.45">
      <c r="R2219" s="2">
        <v>38.950000000000003</v>
      </c>
      <c r="S2219" s="2">
        <v>8.3739999999999997E-4</v>
      </c>
      <c r="T2219" s="2">
        <v>6.5335000000000002E-4</v>
      </c>
    </row>
    <row r="2220" spans="18:20" x14ac:dyDescent="0.45">
      <c r="R2220" s="2">
        <v>38.96</v>
      </c>
      <c r="S2220" s="2">
        <v>8.3792000000000003E-4</v>
      </c>
      <c r="T2220" s="2">
        <v>6.5388000000000002E-4</v>
      </c>
    </row>
    <row r="2221" spans="18:20" x14ac:dyDescent="0.45">
      <c r="R2221" s="2">
        <v>38.97</v>
      </c>
      <c r="S2221" s="2">
        <v>8.3843999999999998E-4</v>
      </c>
      <c r="T2221" s="2">
        <v>6.5441000000000002E-4</v>
      </c>
    </row>
    <row r="2222" spans="18:20" x14ac:dyDescent="0.45">
      <c r="R2222" s="2">
        <v>38.979999999999997</v>
      </c>
      <c r="S2222" s="2">
        <v>8.3896000000000003E-4</v>
      </c>
      <c r="T2222" s="2">
        <v>6.5494000000000001E-4</v>
      </c>
    </row>
    <row r="2223" spans="18:20" x14ac:dyDescent="0.45">
      <c r="R2223" s="2">
        <v>38.99</v>
      </c>
      <c r="S2223" s="2">
        <v>8.3947999999999998E-4</v>
      </c>
      <c r="T2223" s="2">
        <v>6.5547000000000001E-4</v>
      </c>
    </row>
    <row r="2224" spans="18:20" x14ac:dyDescent="0.45">
      <c r="R2224" s="2">
        <v>39</v>
      </c>
      <c r="S2224" s="2">
        <v>8.4000000000000003E-4</v>
      </c>
      <c r="T2224" s="2">
        <v>6.5600000000000001E-4</v>
      </c>
    </row>
    <row r="2225" spans="18:20" x14ac:dyDescent="0.45">
      <c r="R2225" s="2">
        <v>39.01</v>
      </c>
      <c r="S2225" s="2">
        <v>8.4062000000000004E-4</v>
      </c>
      <c r="T2225" s="2">
        <v>6.5658999999999997E-4</v>
      </c>
    </row>
    <row r="2226" spans="18:20" x14ac:dyDescent="0.45">
      <c r="R2226" s="2">
        <v>39.020000000000003</v>
      </c>
      <c r="S2226" s="2">
        <v>8.4124000000000004E-4</v>
      </c>
      <c r="T2226" s="2">
        <v>6.5718000000000005E-4</v>
      </c>
    </row>
    <row r="2227" spans="18:20" x14ac:dyDescent="0.45">
      <c r="R2227" s="2">
        <v>39.03</v>
      </c>
      <c r="S2227" s="2">
        <v>8.4186000000000005E-4</v>
      </c>
      <c r="T2227" s="2">
        <v>6.5777000000000001E-4</v>
      </c>
    </row>
    <row r="2228" spans="18:20" x14ac:dyDescent="0.45">
      <c r="R2228" s="2">
        <v>39.04</v>
      </c>
      <c r="S2228" s="2">
        <v>8.4248000000000005E-4</v>
      </c>
      <c r="T2228" s="2">
        <v>6.5835999999999998E-4</v>
      </c>
    </row>
    <row r="2229" spans="18:20" x14ac:dyDescent="0.45">
      <c r="R2229" s="2">
        <v>39.049999999999997</v>
      </c>
      <c r="S2229" s="2">
        <v>8.4309999999999995E-4</v>
      </c>
      <c r="T2229" s="2">
        <v>6.5895000000000005E-4</v>
      </c>
    </row>
    <row r="2230" spans="18:20" x14ac:dyDescent="0.45">
      <c r="R2230" s="2">
        <v>39.06</v>
      </c>
      <c r="S2230" s="2">
        <v>8.4371999999999995E-4</v>
      </c>
      <c r="T2230" s="2">
        <v>6.5954000000000002E-4</v>
      </c>
    </row>
    <row r="2231" spans="18:20" x14ac:dyDescent="0.45">
      <c r="R2231" s="2">
        <v>39.07</v>
      </c>
      <c r="S2231" s="2">
        <v>8.4433999999999996E-4</v>
      </c>
      <c r="T2231" s="2">
        <v>6.6012999999999998E-4</v>
      </c>
    </row>
    <row r="2232" spans="18:20" x14ac:dyDescent="0.45">
      <c r="R2232" s="2">
        <v>39.08</v>
      </c>
      <c r="S2232" s="2">
        <v>8.4495999999999996E-4</v>
      </c>
      <c r="T2232" s="2">
        <v>6.6071999999999995E-4</v>
      </c>
    </row>
    <row r="2233" spans="18:20" x14ac:dyDescent="0.45">
      <c r="R2233" s="2">
        <v>39.090000000000003</v>
      </c>
      <c r="S2233" s="2">
        <v>8.4557999999999996E-4</v>
      </c>
      <c r="T2233" s="2">
        <v>6.6131000000000002E-4</v>
      </c>
    </row>
    <row r="2234" spans="18:20" x14ac:dyDescent="0.45">
      <c r="R2234" s="2">
        <v>39.1</v>
      </c>
      <c r="S2234" s="2">
        <v>8.4619999999999997E-4</v>
      </c>
      <c r="T2234" s="2">
        <v>6.6189999999999999E-4</v>
      </c>
    </row>
    <row r="2235" spans="18:20" x14ac:dyDescent="0.45">
      <c r="R2235" s="2">
        <v>39.11</v>
      </c>
      <c r="S2235" s="2">
        <v>8.4681999999999997E-4</v>
      </c>
      <c r="T2235" s="2">
        <v>6.6248999999999995E-4</v>
      </c>
    </row>
    <row r="2236" spans="18:20" x14ac:dyDescent="0.45">
      <c r="R2236" s="2">
        <v>39.119999999999997</v>
      </c>
      <c r="S2236" s="2">
        <v>8.4743999999999998E-4</v>
      </c>
      <c r="T2236" s="2">
        <v>6.6308000000000003E-4</v>
      </c>
    </row>
    <row r="2237" spans="18:20" x14ac:dyDescent="0.45">
      <c r="R2237" s="2">
        <v>39.130000000000003</v>
      </c>
      <c r="S2237" s="2">
        <v>8.4805999999999998E-4</v>
      </c>
      <c r="T2237" s="2">
        <v>6.6366999999999999E-4</v>
      </c>
    </row>
    <row r="2238" spans="18:20" x14ac:dyDescent="0.45">
      <c r="R2238" s="2">
        <v>39.14</v>
      </c>
      <c r="S2238" s="2">
        <v>8.4867999999999999E-4</v>
      </c>
      <c r="T2238" s="2">
        <v>6.6425999999999996E-4</v>
      </c>
    </row>
    <row r="2239" spans="18:20" x14ac:dyDescent="0.45">
      <c r="R2239" s="2">
        <v>39.15</v>
      </c>
      <c r="S2239" s="2">
        <v>8.4929999999999999E-4</v>
      </c>
      <c r="T2239" s="2">
        <v>6.6485000000000003E-4</v>
      </c>
    </row>
    <row r="2240" spans="18:20" x14ac:dyDescent="0.45">
      <c r="R2240" s="2">
        <v>39.159999999999997</v>
      </c>
      <c r="S2240" s="2">
        <v>8.4991999999999999E-4</v>
      </c>
      <c r="T2240" s="2">
        <v>6.6544E-4</v>
      </c>
    </row>
    <row r="2241" spans="18:20" x14ac:dyDescent="0.45">
      <c r="R2241" s="2">
        <v>39.17</v>
      </c>
      <c r="S2241" s="2">
        <v>8.5054E-4</v>
      </c>
      <c r="T2241" s="2">
        <v>6.6602999999999996E-4</v>
      </c>
    </row>
    <row r="2242" spans="18:20" x14ac:dyDescent="0.45">
      <c r="R2242" s="2">
        <v>39.18</v>
      </c>
      <c r="S2242" s="2">
        <v>8.5116E-4</v>
      </c>
      <c r="T2242" s="2">
        <v>6.6662000000000004E-4</v>
      </c>
    </row>
    <row r="2243" spans="18:20" x14ac:dyDescent="0.45">
      <c r="R2243" s="2">
        <v>39.19</v>
      </c>
      <c r="S2243" s="2">
        <v>8.5178000000000001E-4</v>
      </c>
      <c r="T2243" s="2">
        <v>6.6721E-4</v>
      </c>
    </row>
    <row r="2244" spans="18:20" x14ac:dyDescent="0.45">
      <c r="R2244" s="2">
        <v>39.200000000000003</v>
      </c>
      <c r="S2244" s="2">
        <v>8.5240000000000001E-4</v>
      </c>
      <c r="T2244" s="2">
        <v>6.6779999999999997E-4</v>
      </c>
    </row>
    <row r="2245" spans="18:20" x14ac:dyDescent="0.45">
      <c r="R2245" s="2">
        <v>39.21</v>
      </c>
      <c r="S2245" s="2">
        <v>8.5302000000000002E-4</v>
      </c>
      <c r="T2245" s="2">
        <v>6.6839000000000004E-4</v>
      </c>
    </row>
    <row r="2246" spans="18:20" x14ac:dyDescent="0.45">
      <c r="R2246" s="2">
        <v>39.22</v>
      </c>
      <c r="S2246" s="2">
        <v>8.5364000000000002E-4</v>
      </c>
      <c r="T2246" s="2">
        <v>6.6898000000000001E-4</v>
      </c>
    </row>
    <row r="2247" spans="18:20" x14ac:dyDescent="0.45">
      <c r="R2247" s="2">
        <v>39.229999999999997</v>
      </c>
      <c r="S2247" s="2">
        <v>8.5426000000000002E-4</v>
      </c>
      <c r="T2247" s="2">
        <v>6.6956999999999997E-4</v>
      </c>
    </row>
    <row r="2248" spans="18:20" x14ac:dyDescent="0.45">
      <c r="R2248" s="2">
        <v>39.24</v>
      </c>
      <c r="S2248" s="2">
        <v>8.5488000000000003E-4</v>
      </c>
      <c r="T2248" s="2">
        <v>6.7016000000000005E-4</v>
      </c>
    </row>
    <row r="2249" spans="18:20" x14ac:dyDescent="0.45">
      <c r="R2249" s="2">
        <v>39.25</v>
      </c>
      <c r="S2249" s="2">
        <v>8.5550000000000003E-4</v>
      </c>
      <c r="T2249" s="2">
        <v>6.7075000000000001E-4</v>
      </c>
    </row>
    <row r="2250" spans="18:20" x14ac:dyDescent="0.45">
      <c r="R2250" s="2">
        <v>39.26</v>
      </c>
      <c r="S2250" s="2">
        <v>8.5612000000000004E-4</v>
      </c>
      <c r="T2250" s="2">
        <v>6.7133999999999998E-4</v>
      </c>
    </row>
    <row r="2251" spans="18:20" x14ac:dyDescent="0.45">
      <c r="R2251" s="2">
        <v>39.270000000000003</v>
      </c>
      <c r="S2251" s="2">
        <v>8.5674000000000004E-4</v>
      </c>
      <c r="T2251" s="2">
        <v>6.7193000000000005E-4</v>
      </c>
    </row>
    <row r="2252" spans="18:20" x14ac:dyDescent="0.45">
      <c r="R2252" s="2">
        <v>39.28</v>
      </c>
      <c r="S2252" s="2">
        <v>8.5736000000000004E-4</v>
      </c>
      <c r="T2252" s="2">
        <v>6.7252000000000002E-4</v>
      </c>
    </row>
    <row r="2253" spans="18:20" x14ac:dyDescent="0.45">
      <c r="R2253" s="2">
        <v>39.29</v>
      </c>
      <c r="S2253" s="2">
        <v>8.5798000000000005E-4</v>
      </c>
      <c r="T2253" s="2">
        <v>6.7310999999999998E-4</v>
      </c>
    </row>
    <row r="2254" spans="18:20" x14ac:dyDescent="0.45">
      <c r="R2254" s="2">
        <v>39.299999999999997</v>
      </c>
      <c r="S2254" s="2">
        <v>8.5860000000000005E-4</v>
      </c>
      <c r="T2254" s="2">
        <v>6.7369999999999995E-4</v>
      </c>
    </row>
    <row r="2255" spans="18:20" x14ac:dyDescent="0.45">
      <c r="R2255" s="2">
        <v>39.31</v>
      </c>
      <c r="S2255" s="2">
        <v>8.5921999999999995E-4</v>
      </c>
      <c r="T2255" s="2">
        <v>6.7429000000000002E-4</v>
      </c>
    </row>
    <row r="2256" spans="18:20" x14ac:dyDescent="0.45">
      <c r="R2256" s="2">
        <v>39.32</v>
      </c>
      <c r="S2256" s="2">
        <v>8.5983999999999995E-4</v>
      </c>
      <c r="T2256" s="2">
        <v>6.7487999999999999E-4</v>
      </c>
    </row>
    <row r="2257" spans="18:20" x14ac:dyDescent="0.45">
      <c r="R2257" s="2">
        <v>39.33</v>
      </c>
      <c r="S2257" s="2">
        <v>8.6045999999999996E-4</v>
      </c>
      <c r="T2257" s="2">
        <v>6.7546999999999996E-4</v>
      </c>
    </row>
    <row r="2258" spans="18:20" x14ac:dyDescent="0.45">
      <c r="R2258" s="2">
        <v>39.340000000000003</v>
      </c>
      <c r="S2258" s="2">
        <v>8.6107999999999996E-4</v>
      </c>
      <c r="T2258" s="2">
        <v>6.7606000000000003E-4</v>
      </c>
    </row>
    <row r="2259" spans="18:20" x14ac:dyDescent="0.45">
      <c r="R2259" s="2">
        <v>39.35</v>
      </c>
      <c r="S2259" s="2">
        <v>8.6169999999999997E-4</v>
      </c>
      <c r="T2259" s="2">
        <v>6.7664999999999999E-4</v>
      </c>
    </row>
    <row r="2260" spans="18:20" x14ac:dyDescent="0.45">
      <c r="R2260" s="2">
        <v>39.36</v>
      </c>
      <c r="S2260" s="2">
        <v>8.6231999999999997E-4</v>
      </c>
      <c r="T2260" s="2">
        <v>6.7723999999999996E-4</v>
      </c>
    </row>
    <row r="2261" spans="18:20" x14ac:dyDescent="0.45">
      <c r="R2261" s="2">
        <v>39.369999999999997</v>
      </c>
      <c r="S2261" s="2">
        <v>8.6293999999999997E-4</v>
      </c>
      <c r="T2261" s="2">
        <v>6.7783000000000003E-4</v>
      </c>
    </row>
    <row r="2262" spans="18:20" x14ac:dyDescent="0.45">
      <c r="R2262" s="2">
        <v>39.380000000000003</v>
      </c>
      <c r="S2262" s="2">
        <v>8.6355999999999998E-4</v>
      </c>
      <c r="T2262" s="2">
        <v>6.7842E-4</v>
      </c>
    </row>
    <row r="2263" spans="18:20" x14ac:dyDescent="0.45">
      <c r="R2263" s="2">
        <v>39.39</v>
      </c>
      <c r="S2263" s="2">
        <v>8.6417999999999998E-4</v>
      </c>
      <c r="T2263" s="2">
        <v>6.7900999999999997E-4</v>
      </c>
    </row>
    <row r="2264" spans="18:20" x14ac:dyDescent="0.45">
      <c r="R2264" s="2">
        <v>39.4</v>
      </c>
      <c r="S2264" s="2">
        <v>8.6479999999999999E-4</v>
      </c>
      <c r="T2264" s="2">
        <v>6.7960000000000004E-4</v>
      </c>
    </row>
    <row r="2265" spans="18:20" x14ac:dyDescent="0.45">
      <c r="R2265" s="2">
        <v>39.409999999999997</v>
      </c>
      <c r="S2265" s="2">
        <v>8.6541999999999999E-4</v>
      </c>
      <c r="T2265" s="2">
        <v>6.8019E-4</v>
      </c>
    </row>
    <row r="2266" spans="18:20" x14ac:dyDescent="0.45">
      <c r="R2266" s="2">
        <v>39.42</v>
      </c>
      <c r="S2266" s="2">
        <v>8.6604E-4</v>
      </c>
      <c r="T2266" s="2">
        <v>6.8077999999999997E-4</v>
      </c>
    </row>
    <row r="2267" spans="18:20" x14ac:dyDescent="0.45">
      <c r="R2267" s="2">
        <v>39.43</v>
      </c>
      <c r="S2267" s="2">
        <v>8.6666E-4</v>
      </c>
      <c r="T2267" s="2">
        <v>6.8137000000000004E-4</v>
      </c>
    </row>
    <row r="2268" spans="18:20" x14ac:dyDescent="0.45">
      <c r="R2268" s="2">
        <v>39.44</v>
      </c>
      <c r="S2268" s="2">
        <v>8.6728E-4</v>
      </c>
      <c r="T2268" s="2">
        <v>6.8196000000000001E-4</v>
      </c>
    </row>
    <row r="2269" spans="18:20" x14ac:dyDescent="0.45">
      <c r="R2269" s="2">
        <v>39.450000000000003</v>
      </c>
      <c r="S2269" s="2">
        <v>8.6790000000000001E-4</v>
      </c>
      <c r="T2269" s="2">
        <v>6.8254999999999998E-4</v>
      </c>
    </row>
    <row r="2270" spans="18:20" x14ac:dyDescent="0.45">
      <c r="R2270" s="2">
        <v>39.46</v>
      </c>
      <c r="S2270" s="2">
        <v>8.6852000000000001E-4</v>
      </c>
      <c r="T2270" s="2">
        <v>6.8314000000000005E-4</v>
      </c>
    </row>
    <row r="2271" spans="18:20" x14ac:dyDescent="0.45">
      <c r="R2271" s="2">
        <v>39.47</v>
      </c>
      <c r="S2271" s="2">
        <v>8.6914000000000002E-4</v>
      </c>
      <c r="T2271" s="2">
        <v>6.8373000000000001E-4</v>
      </c>
    </row>
    <row r="2272" spans="18:20" x14ac:dyDescent="0.45">
      <c r="R2272" s="2">
        <v>39.479999999999997</v>
      </c>
      <c r="S2272" s="2">
        <v>8.6976000000000002E-4</v>
      </c>
      <c r="T2272" s="2">
        <v>6.8431999999999998E-4</v>
      </c>
    </row>
    <row r="2273" spans="18:20" x14ac:dyDescent="0.45">
      <c r="R2273" s="2">
        <v>39.49</v>
      </c>
      <c r="S2273" s="2">
        <v>8.7038000000000003E-4</v>
      </c>
      <c r="T2273" s="2">
        <v>6.8490999999999995E-4</v>
      </c>
    </row>
    <row r="2274" spans="18:20" x14ac:dyDescent="0.45">
      <c r="R2274" s="2">
        <v>39.5</v>
      </c>
      <c r="S2274" s="2">
        <v>8.7100000000000003E-4</v>
      </c>
      <c r="T2274" s="2">
        <v>6.8550000000000002E-4</v>
      </c>
    </row>
    <row r="2275" spans="18:20" x14ac:dyDescent="0.45">
      <c r="R2275" s="2">
        <v>39.51</v>
      </c>
      <c r="S2275" s="2">
        <v>8.7162000000000003E-4</v>
      </c>
      <c r="T2275" s="2">
        <v>6.8608999999999999E-4</v>
      </c>
    </row>
    <row r="2276" spans="18:20" x14ac:dyDescent="0.45">
      <c r="R2276" s="2">
        <v>39.520000000000003</v>
      </c>
      <c r="S2276" s="2">
        <v>8.7224000000000004E-4</v>
      </c>
      <c r="T2276" s="2">
        <v>6.8667999999999995E-4</v>
      </c>
    </row>
    <row r="2277" spans="18:20" x14ac:dyDescent="0.45">
      <c r="R2277" s="2">
        <v>39.53</v>
      </c>
      <c r="S2277" s="2">
        <v>8.7286000000000004E-4</v>
      </c>
      <c r="T2277" s="2">
        <v>6.8727000000000002E-4</v>
      </c>
    </row>
    <row r="2278" spans="18:20" x14ac:dyDescent="0.45">
      <c r="R2278" s="2">
        <v>39.54</v>
      </c>
      <c r="S2278" s="2">
        <v>8.7348000000000005E-4</v>
      </c>
      <c r="T2278" s="2">
        <v>6.8785999999999999E-4</v>
      </c>
    </row>
    <row r="2279" spans="18:20" x14ac:dyDescent="0.45">
      <c r="R2279" s="2">
        <v>39.549999999999997</v>
      </c>
      <c r="S2279" s="2">
        <v>8.7410000000000005E-4</v>
      </c>
      <c r="T2279" s="2">
        <v>6.8844999999999996E-4</v>
      </c>
    </row>
    <row r="2280" spans="18:20" x14ac:dyDescent="0.45">
      <c r="R2280" s="2">
        <v>39.56</v>
      </c>
      <c r="S2280" s="2">
        <v>8.7471999999999995E-4</v>
      </c>
      <c r="T2280" s="2">
        <v>6.8904000000000003E-4</v>
      </c>
    </row>
    <row r="2281" spans="18:20" x14ac:dyDescent="0.45">
      <c r="R2281" s="2">
        <v>39.57</v>
      </c>
      <c r="S2281" s="2">
        <v>8.7533999999999995E-4</v>
      </c>
      <c r="T2281" s="2">
        <v>6.8963E-4</v>
      </c>
    </row>
    <row r="2282" spans="18:20" x14ac:dyDescent="0.45">
      <c r="R2282" s="2">
        <v>39.58</v>
      </c>
      <c r="S2282" s="2">
        <v>8.7595999999999995E-4</v>
      </c>
      <c r="T2282" s="2">
        <v>6.9021999999999996E-4</v>
      </c>
    </row>
    <row r="2283" spans="18:20" x14ac:dyDescent="0.45">
      <c r="R2283" s="2">
        <v>39.590000000000003</v>
      </c>
      <c r="S2283" s="2">
        <v>8.7657999999999996E-4</v>
      </c>
      <c r="T2283" s="2">
        <v>6.9081000000000004E-4</v>
      </c>
    </row>
    <row r="2284" spans="18:20" x14ac:dyDescent="0.45">
      <c r="R2284" s="2">
        <v>39.6</v>
      </c>
      <c r="S2284" s="2">
        <v>8.7719999999999996E-4</v>
      </c>
      <c r="T2284" s="2">
        <v>6.914E-4</v>
      </c>
    </row>
    <row r="2285" spans="18:20" x14ac:dyDescent="0.45">
      <c r="R2285" s="2">
        <v>39.61</v>
      </c>
      <c r="S2285" s="2">
        <v>8.7781999999999997E-4</v>
      </c>
      <c r="T2285" s="2">
        <v>6.9198999999999997E-4</v>
      </c>
    </row>
    <row r="2286" spans="18:20" x14ac:dyDescent="0.45">
      <c r="R2286" s="2">
        <v>39.619999999999997</v>
      </c>
      <c r="S2286" s="2">
        <v>8.7843999999999997E-4</v>
      </c>
      <c r="T2286" s="2">
        <v>6.9258000000000004E-4</v>
      </c>
    </row>
    <row r="2287" spans="18:20" x14ac:dyDescent="0.45">
      <c r="R2287" s="2">
        <v>39.630000000000003</v>
      </c>
      <c r="S2287" s="2">
        <v>8.7905999999999998E-4</v>
      </c>
      <c r="T2287" s="2">
        <v>6.9317000000000001E-4</v>
      </c>
    </row>
    <row r="2288" spans="18:20" x14ac:dyDescent="0.45">
      <c r="R2288" s="2">
        <v>39.64</v>
      </c>
      <c r="S2288" s="2">
        <v>8.7967999999999998E-4</v>
      </c>
      <c r="T2288" s="2">
        <v>6.9375999999999997E-4</v>
      </c>
    </row>
    <row r="2289" spans="18:20" x14ac:dyDescent="0.45">
      <c r="R2289" s="2">
        <v>39.65</v>
      </c>
      <c r="S2289" s="2">
        <v>8.8029999999999998E-4</v>
      </c>
      <c r="T2289" s="2">
        <v>6.9435000000000005E-4</v>
      </c>
    </row>
    <row r="2290" spans="18:20" x14ac:dyDescent="0.45">
      <c r="R2290" s="2">
        <v>39.659999999999997</v>
      </c>
      <c r="S2290" s="2">
        <v>8.8091999999999999E-4</v>
      </c>
      <c r="T2290" s="2">
        <v>6.9494000000000001E-4</v>
      </c>
    </row>
    <row r="2291" spans="18:20" x14ac:dyDescent="0.45">
      <c r="R2291" s="2">
        <v>39.67</v>
      </c>
      <c r="S2291" s="2">
        <v>8.8153999999999999E-4</v>
      </c>
      <c r="T2291" s="2">
        <v>6.9552999999999998E-4</v>
      </c>
    </row>
    <row r="2292" spans="18:20" x14ac:dyDescent="0.45">
      <c r="R2292" s="2">
        <v>39.68</v>
      </c>
      <c r="S2292" s="2">
        <v>8.8216E-4</v>
      </c>
      <c r="T2292" s="2">
        <v>6.9612000000000005E-4</v>
      </c>
    </row>
    <row r="2293" spans="18:20" x14ac:dyDescent="0.45">
      <c r="R2293" s="2">
        <v>39.69</v>
      </c>
      <c r="S2293" s="2">
        <v>8.8278E-4</v>
      </c>
      <c r="T2293" s="2">
        <v>6.9671000000000002E-4</v>
      </c>
    </row>
    <row r="2294" spans="18:20" x14ac:dyDescent="0.45">
      <c r="R2294" s="2">
        <v>39.700000000000003</v>
      </c>
      <c r="S2294" s="2">
        <v>8.8340000000000001E-4</v>
      </c>
      <c r="T2294" s="2">
        <v>6.9729999999999998E-4</v>
      </c>
    </row>
    <row r="2295" spans="18:20" x14ac:dyDescent="0.45">
      <c r="R2295" s="2">
        <v>39.71</v>
      </c>
      <c r="S2295" s="2">
        <v>8.8402000000000001E-4</v>
      </c>
      <c r="T2295" s="2">
        <v>6.9788999999999995E-4</v>
      </c>
    </row>
    <row r="2296" spans="18:20" x14ac:dyDescent="0.45">
      <c r="R2296" s="2">
        <v>39.72</v>
      </c>
      <c r="S2296" s="2">
        <v>8.8464000000000001E-4</v>
      </c>
      <c r="T2296" s="2">
        <v>6.9848000000000002E-4</v>
      </c>
    </row>
    <row r="2297" spans="18:20" x14ac:dyDescent="0.45">
      <c r="R2297" s="2">
        <v>39.729999999999997</v>
      </c>
      <c r="S2297" s="2">
        <v>8.8526000000000002E-4</v>
      </c>
      <c r="T2297" s="2">
        <v>6.9906999999999999E-4</v>
      </c>
    </row>
    <row r="2298" spans="18:20" x14ac:dyDescent="0.45">
      <c r="R2298" s="2">
        <v>39.74</v>
      </c>
      <c r="S2298" s="2">
        <v>8.8588000000000002E-4</v>
      </c>
      <c r="T2298" s="2">
        <v>6.9965999999999995E-4</v>
      </c>
    </row>
    <row r="2299" spans="18:20" x14ac:dyDescent="0.45">
      <c r="R2299" s="2">
        <v>39.75</v>
      </c>
      <c r="S2299" s="2">
        <v>8.8650000000000003E-4</v>
      </c>
      <c r="T2299" s="2">
        <v>7.0025000000000003E-4</v>
      </c>
    </row>
    <row r="2300" spans="18:20" x14ac:dyDescent="0.45">
      <c r="R2300" s="2">
        <v>39.76</v>
      </c>
      <c r="S2300" s="2">
        <v>8.8712000000000003E-4</v>
      </c>
      <c r="T2300" s="2">
        <v>7.0083999999999999E-4</v>
      </c>
    </row>
    <row r="2301" spans="18:20" x14ac:dyDescent="0.45">
      <c r="R2301" s="2">
        <v>39.770000000000003</v>
      </c>
      <c r="S2301" s="2">
        <v>8.8774000000000004E-4</v>
      </c>
      <c r="T2301" s="2">
        <v>7.0142999999999996E-4</v>
      </c>
    </row>
    <row r="2302" spans="18:20" x14ac:dyDescent="0.45">
      <c r="R2302" s="2">
        <v>39.78</v>
      </c>
      <c r="S2302" s="2">
        <v>8.8836000000000004E-4</v>
      </c>
      <c r="T2302" s="2">
        <v>7.0202000000000003E-4</v>
      </c>
    </row>
    <row r="2303" spans="18:20" x14ac:dyDescent="0.45">
      <c r="R2303" s="2">
        <v>39.79</v>
      </c>
      <c r="S2303" s="2">
        <v>8.8898000000000004E-4</v>
      </c>
      <c r="T2303" s="2">
        <v>7.0261E-4</v>
      </c>
    </row>
    <row r="2304" spans="18:20" x14ac:dyDescent="0.45">
      <c r="R2304" s="2">
        <v>39.799999999999997</v>
      </c>
      <c r="S2304" s="2">
        <v>8.8960000000000005E-4</v>
      </c>
      <c r="T2304" s="2">
        <v>7.0319999999999996E-4</v>
      </c>
    </row>
    <row r="2305" spans="18:20" x14ac:dyDescent="0.45">
      <c r="R2305" s="2">
        <v>39.81</v>
      </c>
      <c r="S2305" s="2">
        <v>8.9022000000000005E-4</v>
      </c>
      <c r="T2305" s="2">
        <v>7.0379000000000004E-4</v>
      </c>
    </row>
    <row r="2306" spans="18:20" x14ac:dyDescent="0.45">
      <c r="R2306" s="2">
        <v>39.82</v>
      </c>
      <c r="S2306" s="2">
        <v>8.9083999999999995E-4</v>
      </c>
      <c r="T2306" s="2">
        <v>7.0438E-4</v>
      </c>
    </row>
    <row r="2307" spans="18:20" x14ac:dyDescent="0.45">
      <c r="R2307" s="2">
        <v>39.83</v>
      </c>
      <c r="S2307" s="2">
        <v>8.9145999999999995E-4</v>
      </c>
      <c r="T2307" s="2">
        <v>7.0496999999999997E-4</v>
      </c>
    </row>
    <row r="2308" spans="18:20" x14ac:dyDescent="0.45">
      <c r="R2308" s="2">
        <v>39.840000000000003</v>
      </c>
      <c r="S2308" s="2">
        <v>8.9207999999999996E-4</v>
      </c>
      <c r="T2308" s="2">
        <v>7.0556000000000004E-4</v>
      </c>
    </row>
    <row r="2309" spans="18:20" x14ac:dyDescent="0.45">
      <c r="R2309" s="2">
        <v>39.85</v>
      </c>
      <c r="S2309" s="2">
        <v>8.9269999999999996E-4</v>
      </c>
      <c r="T2309" s="2">
        <v>7.0615000000000001E-4</v>
      </c>
    </row>
    <row r="2310" spans="18:20" x14ac:dyDescent="0.45">
      <c r="R2310" s="2">
        <v>39.86</v>
      </c>
      <c r="S2310" s="2">
        <v>8.9331999999999996E-4</v>
      </c>
      <c r="T2310" s="2">
        <v>7.0673999999999997E-4</v>
      </c>
    </row>
    <row r="2311" spans="18:20" x14ac:dyDescent="0.45">
      <c r="R2311" s="2">
        <v>39.869999999999997</v>
      </c>
      <c r="S2311" s="2">
        <v>8.9393999999999997E-4</v>
      </c>
      <c r="T2311" s="2">
        <v>7.0733000000000005E-4</v>
      </c>
    </row>
    <row r="2312" spans="18:20" x14ac:dyDescent="0.45">
      <c r="R2312" s="2">
        <v>39.880000000000003</v>
      </c>
      <c r="S2312" s="2">
        <v>8.9455999999999997E-4</v>
      </c>
      <c r="T2312" s="2">
        <v>7.0792000000000001E-4</v>
      </c>
    </row>
    <row r="2313" spans="18:20" x14ac:dyDescent="0.45">
      <c r="R2313" s="2">
        <v>39.89</v>
      </c>
      <c r="S2313" s="2">
        <v>8.9517999999999998E-4</v>
      </c>
      <c r="T2313" s="2">
        <v>7.0850999999999998E-4</v>
      </c>
    </row>
    <row r="2314" spans="18:20" x14ac:dyDescent="0.45">
      <c r="R2314" s="2">
        <v>39.9</v>
      </c>
      <c r="S2314" s="2">
        <v>8.9579999999999998E-4</v>
      </c>
      <c r="T2314" s="2">
        <v>7.0910000000000005E-4</v>
      </c>
    </row>
    <row r="2315" spans="18:20" x14ac:dyDescent="0.45">
      <c r="R2315" s="2">
        <v>39.909999999999997</v>
      </c>
      <c r="S2315" s="2">
        <v>8.9641999999999999E-4</v>
      </c>
      <c r="T2315" s="2">
        <v>7.0969000000000002E-4</v>
      </c>
    </row>
    <row r="2316" spans="18:20" x14ac:dyDescent="0.45">
      <c r="R2316" s="2">
        <v>39.92</v>
      </c>
      <c r="S2316" s="2">
        <v>8.9703999999999999E-4</v>
      </c>
      <c r="T2316" s="2">
        <v>7.1027999999999998E-4</v>
      </c>
    </row>
    <row r="2317" spans="18:20" x14ac:dyDescent="0.45">
      <c r="R2317" s="2">
        <v>39.93</v>
      </c>
      <c r="S2317" s="2">
        <v>8.9765999999999999E-4</v>
      </c>
      <c r="T2317" s="2">
        <v>7.1086999999999995E-4</v>
      </c>
    </row>
    <row r="2318" spans="18:20" x14ac:dyDescent="0.45">
      <c r="R2318" s="2">
        <v>39.94</v>
      </c>
      <c r="S2318" s="2">
        <v>8.9828E-4</v>
      </c>
      <c r="T2318" s="2">
        <v>7.1146000000000002E-4</v>
      </c>
    </row>
    <row r="2319" spans="18:20" x14ac:dyDescent="0.45">
      <c r="R2319" s="2">
        <v>39.950000000000003</v>
      </c>
      <c r="S2319" s="2">
        <v>8.989E-4</v>
      </c>
      <c r="T2319" s="2">
        <v>7.1204999999999999E-4</v>
      </c>
    </row>
    <row r="2320" spans="18:20" x14ac:dyDescent="0.45">
      <c r="R2320" s="2">
        <v>39.96</v>
      </c>
      <c r="S2320" s="2">
        <v>8.9952000000000001E-4</v>
      </c>
      <c r="T2320" s="2">
        <v>7.1263999999999995E-4</v>
      </c>
    </row>
    <row r="2321" spans="18:20" x14ac:dyDescent="0.45">
      <c r="R2321" s="2">
        <v>39.97</v>
      </c>
      <c r="S2321" s="2">
        <v>9.0014000000000001E-4</v>
      </c>
      <c r="T2321" s="2">
        <v>7.1323000000000003E-4</v>
      </c>
    </row>
    <row r="2322" spans="18:20" x14ac:dyDescent="0.45">
      <c r="R2322" s="2">
        <v>39.979999999999997</v>
      </c>
      <c r="S2322" s="2">
        <v>9.0076000000000002E-4</v>
      </c>
      <c r="T2322" s="2">
        <v>7.1381999999999999E-4</v>
      </c>
    </row>
    <row r="2323" spans="18:20" x14ac:dyDescent="0.45">
      <c r="R2323" s="2">
        <v>39.99</v>
      </c>
      <c r="S2323" s="2">
        <v>9.0138000000000002E-4</v>
      </c>
      <c r="T2323" s="2">
        <v>7.1440999999999996E-4</v>
      </c>
    </row>
    <row r="2324" spans="18:20" x14ac:dyDescent="0.45">
      <c r="R2324" s="2">
        <v>40</v>
      </c>
      <c r="S2324" s="2">
        <v>9.0200000000000002E-4</v>
      </c>
      <c r="T2324" s="2">
        <v>7.1500000000000003E-4</v>
      </c>
    </row>
    <row r="2325" spans="18:20" x14ac:dyDescent="0.45">
      <c r="R2325" s="2">
        <v>40.01</v>
      </c>
      <c r="S2325" s="2">
        <v>9.0271999999999998E-4</v>
      </c>
      <c r="T2325" s="2">
        <v>7.1566000000000002E-4</v>
      </c>
    </row>
    <row r="2326" spans="18:20" x14ac:dyDescent="0.45">
      <c r="R2326" s="2">
        <v>40.020000000000003</v>
      </c>
      <c r="S2326" s="2">
        <v>9.0344000000000004E-4</v>
      </c>
      <c r="T2326" s="2">
        <v>7.1632E-4</v>
      </c>
    </row>
    <row r="2327" spans="18:20" x14ac:dyDescent="0.45">
      <c r="R2327" s="2">
        <v>40.03</v>
      </c>
      <c r="S2327" s="2">
        <v>9.0415999999999999E-4</v>
      </c>
      <c r="T2327" s="2">
        <v>7.1697999999999998E-4</v>
      </c>
    </row>
    <row r="2328" spans="18:20" x14ac:dyDescent="0.45">
      <c r="R2328" s="2">
        <v>40.04</v>
      </c>
      <c r="S2328" s="2">
        <v>9.0488000000000005E-4</v>
      </c>
      <c r="T2328" s="2">
        <v>7.1763999999999997E-4</v>
      </c>
    </row>
    <row r="2329" spans="18:20" x14ac:dyDescent="0.45">
      <c r="R2329" s="2">
        <v>40.049999999999997</v>
      </c>
      <c r="S2329" s="2">
        <v>9.056E-4</v>
      </c>
      <c r="T2329" s="2">
        <v>7.1829999999999995E-4</v>
      </c>
    </row>
    <row r="2330" spans="18:20" x14ac:dyDescent="0.45">
      <c r="R2330" s="2">
        <v>40.06</v>
      </c>
      <c r="S2330" s="2">
        <v>9.0631999999999996E-4</v>
      </c>
      <c r="T2330" s="2">
        <v>7.1896000000000004E-4</v>
      </c>
    </row>
    <row r="2331" spans="18:20" x14ac:dyDescent="0.45">
      <c r="R2331" s="2">
        <v>40.07</v>
      </c>
      <c r="S2331" s="2">
        <v>9.0704000000000002E-4</v>
      </c>
      <c r="T2331" s="2">
        <v>7.1962000000000003E-4</v>
      </c>
    </row>
    <row r="2332" spans="18:20" x14ac:dyDescent="0.45">
      <c r="R2332" s="2">
        <v>40.08</v>
      </c>
      <c r="S2332" s="2">
        <v>9.0775999999999997E-4</v>
      </c>
      <c r="T2332" s="2">
        <v>7.2028000000000001E-4</v>
      </c>
    </row>
    <row r="2333" spans="18:20" x14ac:dyDescent="0.45">
      <c r="R2333" s="2">
        <v>40.090000000000003</v>
      </c>
      <c r="S2333" s="2">
        <v>9.0848000000000003E-4</v>
      </c>
      <c r="T2333" s="2">
        <v>7.2093999999999999E-4</v>
      </c>
    </row>
    <row r="2334" spans="18:20" x14ac:dyDescent="0.45">
      <c r="R2334" s="2">
        <v>40.1</v>
      </c>
      <c r="S2334" s="2">
        <v>9.0919999999999998E-4</v>
      </c>
      <c r="T2334" s="2">
        <v>7.2159999999999998E-4</v>
      </c>
    </row>
    <row r="2335" spans="18:20" x14ac:dyDescent="0.45">
      <c r="R2335" s="2">
        <v>40.11</v>
      </c>
      <c r="S2335" s="2">
        <v>9.0992000000000004E-4</v>
      </c>
      <c r="T2335" s="2">
        <v>7.2225999999999996E-4</v>
      </c>
    </row>
    <row r="2336" spans="18:20" x14ac:dyDescent="0.45">
      <c r="R2336" s="2">
        <v>40.119999999999997</v>
      </c>
      <c r="S2336" s="2">
        <v>9.1064E-4</v>
      </c>
      <c r="T2336" s="2">
        <v>7.2292000000000005E-4</v>
      </c>
    </row>
    <row r="2337" spans="18:20" x14ac:dyDescent="0.45">
      <c r="R2337" s="2">
        <v>40.130000000000003</v>
      </c>
      <c r="S2337" s="2">
        <v>9.1135999999999995E-4</v>
      </c>
      <c r="T2337" s="2">
        <v>7.2358000000000003E-4</v>
      </c>
    </row>
    <row r="2338" spans="18:20" x14ac:dyDescent="0.45">
      <c r="R2338" s="2">
        <v>40.14</v>
      </c>
      <c r="S2338" s="2">
        <v>9.1208000000000001E-4</v>
      </c>
      <c r="T2338" s="2">
        <v>7.2424000000000002E-4</v>
      </c>
    </row>
    <row r="2339" spans="18:20" x14ac:dyDescent="0.45">
      <c r="R2339" s="2">
        <v>40.15</v>
      </c>
      <c r="S2339" s="2">
        <v>9.1279999999999996E-4</v>
      </c>
      <c r="T2339" s="2">
        <v>7.249E-4</v>
      </c>
    </row>
    <row r="2340" spans="18:20" x14ac:dyDescent="0.45">
      <c r="R2340" s="2">
        <v>40.159999999999997</v>
      </c>
      <c r="S2340" s="2">
        <v>9.1352000000000002E-4</v>
      </c>
      <c r="T2340" s="2">
        <v>7.2555999999999999E-4</v>
      </c>
    </row>
    <row r="2341" spans="18:20" x14ac:dyDescent="0.45">
      <c r="R2341" s="2">
        <v>40.17</v>
      </c>
      <c r="S2341" s="2">
        <v>9.1423999999999997E-4</v>
      </c>
      <c r="T2341" s="2">
        <v>7.2621999999999997E-4</v>
      </c>
    </row>
    <row r="2342" spans="18:20" x14ac:dyDescent="0.45">
      <c r="R2342" s="2">
        <v>40.18</v>
      </c>
      <c r="S2342" s="2">
        <v>9.1496000000000004E-4</v>
      </c>
      <c r="T2342" s="2">
        <v>7.2687999999999995E-4</v>
      </c>
    </row>
    <row r="2343" spans="18:20" x14ac:dyDescent="0.45">
      <c r="R2343" s="2">
        <v>40.19</v>
      </c>
      <c r="S2343" s="2">
        <v>9.1567999999999999E-4</v>
      </c>
      <c r="T2343" s="2">
        <v>7.2754000000000004E-4</v>
      </c>
    </row>
    <row r="2344" spans="18:20" x14ac:dyDescent="0.45">
      <c r="R2344" s="2">
        <v>40.200000000000003</v>
      </c>
      <c r="S2344" s="2">
        <v>9.1640000000000005E-4</v>
      </c>
      <c r="T2344" s="2">
        <v>7.2820000000000003E-4</v>
      </c>
    </row>
    <row r="2345" spans="18:20" x14ac:dyDescent="0.45">
      <c r="R2345" s="2">
        <v>40.21</v>
      </c>
      <c r="S2345" s="2">
        <v>9.1712E-4</v>
      </c>
      <c r="T2345" s="2">
        <v>7.2886000000000001E-4</v>
      </c>
    </row>
    <row r="2346" spans="18:20" x14ac:dyDescent="0.45">
      <c r="R2346" s="2">
        <v>40.22</v>
      </c>
      <c r="S2346" s="2">
        <v>9.1783999999999995E-4</v>
      </c>
      <c r="T2346" s="2">
        <v>7.2951999999999999E-4</v>
      </c>
    </row>
    <row r="2347" spans="18:20" x14ac:dyDescent="0.45">
      <c r="R2347" s="2">
        <v>40.229999999999997</v>
      </c>
      <c r="S2347" s="2">
        <v>9.1856000000000001E-4</v>
      </c>
      <c r="T2347" s="2">
        <v>7.3017999999999998E-4</v>
      </c>
    </row>
    <row r="2348" spans="18:20" x14ac:dyDescent="0.45">
      <c r="R2348" s="2">
        <v>40.24</v>
      </c>
      <c r="S2348" s="2">
        <v>9.1927999999999997E-4</v>
      </c>
      <c r="T2348" s="2">
        <v>7.3083999999999996E-4</v>
      </c>
    </row>
    <row r="2349" spans="18:20" x14ac:dyDescent="0.45">
      <c r="R2349" s="2">
        <v>40.25</v>
      </c>
      <c r="S2349" s="2">
        <v>9.2000000000000003E-4</v>
      </c>
      <c r="T2349" s="2">
        <v>7.3150000000000005E-4</v>
      </c>
    </row>
    <row r="2350" spans="18:20" x14ac:dyDescent="0.45">
      <c r="R2350" s="2">
        <v>40.26</v>
      </c>
      <c r="S2350" s="2">
        <v>9.2071999999999998E-4</v>
      </c>
      <c r="T2350" s="2">
        <v>7.3216000000000004E-4</v>
      </c>
    </row>
    <row r="2351" spans="18:20" x14ac:dyDescent="0.45">
      <c r="R2351" s="2">
        <v>40.270000000000003</v>
      </c>
      <c r="S2351" s="2">
        <v>9.2144000000000004E-4</v>
      </c>
      <c r="T2351" s="2">
        <v>7.3282000000000002E-4</v>
      </c>
    </row>
    <row r="2352" spans="18:20" x14ac:dyDescent="0.45">
      <c r="R2352" s="2">
        <v>40.28</v>
      </c>
      <c r="S2352" s="2">
        <v>9.2215999999999999E-4</v>
      </c>
      <c r="T2352" s="2">
        <v>7.3348E-4</v>
      </c>
    </row>
    <row r="2353" spans="18:20" x14ac:dyDescent="0.45">
      <c r="R2353" s="2">
        <v>40.29</v>
      </c>
      <c r="S2353" s="2">
        <v>9.2287999999999995E-4</v>
      </c>
      <c r="T2353" s="2">
        <v>7.3413999999999999E-4</v>
      </c>
    </row>
    <row r="2354" spans="18:20" x14ac:dyDescent="0.45">
      <c r="R2354" s="2">
        <v>40.299999999999997</v>
      </c>
      <c r="S2354" s="2">
        <v>9.2360000000000001E-4</v>
      </c>
      <c r="T2354" s="2">
        <v>7.3479999999999997E-4</v>
      </c>
    </row>
    <row r="2355" spans="18:20" x14ac:dyDescent="0.45">
      <c r="R2355" s="2">
        <v>40.31</v>
      </c>
      <c r="S2355" s="2">
        <v>9.2431999999999996E-4</v>
      </c>
      <c r="T2355" s="2">
        <v>7.3545999999999995E-4</v>
      </c>
    </row>
    <row r="2356" spans="18:20" x14ac:dyDescent="0.45">
      <c r="R2356" s="2">
        <v>40.32</v>
      </c>
      <c r="S2356" s="2">
        <v>9.2504000000000002E-4</v>
      </c>
      <c r="T2356" s="2">
        <v>7.3612000000000005E-4</v>
      </c>
    </row>
    <row r="2357" spans="18:20" x14ac:dyDescent="0.45">
      <c r="R2357" s="2">
        <v>40.33</v>
      </c>
      <c r="S2357" s="2">
        <v>9.2575999999999997E-4</v>
      </c>
      <c r="T2357" s="2">
        <v>7.3678000000000003E-4</v>
      </c>
    </row>
    <row r="2358" spans="18:20" x14ac:dyDescent="0.45">
      <c r="R2358" s="2">
        <v>40.340000000000003</v>
      </c>
      <c r="S2358" s="2">
        <v>9.2648000000000003E-4</v>
      </c>
      <c r="T2358" s="2">
        <v>7.3744000000000001E-4</v>
      </c>
    </row>
    <row r="2359" spans="18:20" x14ac:dyDescent="0.45">
      <c r="R2359" s="2">
        <v>40.35</v>
      </c>
      <c r="S2359" s="2">
        <v>9.2719999999999999E-4</v>
      </c>
      <c r="T2359" s="2">
        <v>7.381E-4</v>
      </c>
    </row>
    <row r="2360" spans="18:20" x14ac:dyDescent="0.45">
      <c r="R2360" s="2">
        <v>40.36</v>
      </c>
      <c r="S2360" s="2">
        <v>9.2792000000000005E-4</v>
      </c>
      <c r="T2360" s="2">
        <v>7.3875999999999998E-4</v>
      </c>
    </row>
    <row r="2361" spans="18:20" x14ac:dyDescent="0.45">
      <c r="R2361" s="2">
        <v>40.369999999999997</v>
      </c>
      <c r="S2361" s="2">
        <v>9.2864E-4</v>
      </c>
      <c r="T2361" s="2">
        <v>7.3941999999999996E-4</v>
      </c>
    </row>
    <row r="2362" spans="18:20" x14ac:dyDescent="0.45">
      <c r="R2362" s="2">
        <v>40.380000000000003</v>
      </c>
      <c r="S2362" s="2">
        <v>9.2935999999999995E-4</v>
      </c>
      <c r="T2362" s="2">
        <v>7.4007999999999995E-4</v>
      </c>
    </row>
    <row r="2363" spans="18:20" x14ac:dyDescent="0.45">
      <c r="R2363" s="2">
        <v>40.39</v>
      </c>
      <c r="S2363" s="2">
        <v>9.3008000000000001E-4</v>
      </c>
      <c r="T2363" s="2">
        <v>7.4074000000000004E-4</v>
      </c>
    </row>
    <row r="2364" spans="18:20" x14ac:dyDescent="0.45">
      <c r="R2364" s="2">
        <v>40.4</v>
      </c>
      <c r="S2364" s="2">
        <v>9.3079999999999997E-4</v>
      </c>
      <c r="T2364" s="2">
        <v>7.4140000000000002E-4</v>
      </c>
    </row>
    <row r="2365" spans="18:20" x14ac:dyDescent="0.45">
      <c r="R2365" s="2">
        <v>40.409999999999997</v>
      </c>
      <c r="S2365" s="2">
        <v>9.3152000000000003E-4</v>
      </c>
      <c r="T2365" s="2">
        <v>7.4206000000000001E-4</v>
      </c>
    </row>
    <row r="2366" spans="18:20" x14ac:dyDescent="0.45">
      <c r="R2366" s="2">
        <v>40.42</v>
      </c>
      <c r="S2366" s="2">
        <v>9.3223999999999998E-4</v>
      </c>
      <c r="T2366" s="2">
        <v>7.4271999999999999E-4</v>
      </c>
    </row>
    <row r="2367" spans="18:20" x14ac:dyDescent="0.45">
      <c r="R2367" s="2">
        <v>40.43</v>
      </c>
      <c r="S2367" s="2">
        <v>9.3296000000000004E-4</v>
      </c>
      <c r="T2367" s="2">
        <v>7.4337999999999997E-4</v>
      </c>
    </row>
    <row r="2368" spans="18:20" x14ac:dyDescent="0.45">
      <c r="R2368" s="2">
        <v>40.44</v>
      </c>
      <c r="S2368" s="2">
        <v>9.3367999999999999E-4</v>
      </c>
      <c r="T2368" s="2">
        <v>7.4403999999999996E-4</v>
      </c>
    </row>
    <row r="2369" spans="18:20" x14ac:dyDescent="0.45">
      <c r="R2369" s="2">
        <v>40.450000000000003</v>
      </c>
      <c r="S2369" s="2">
        <v>9.3440000000000005E-4</v>
      </c>
      <c r="T2369" s="2">
        <v>7.4470000000000005E-4</v>
      </c>
    </row>
    <row r="2370" spans="18:20" x14ac:dyDescent="0.45">
      <c r="R2370" s="2">
        <v>40.46</v>
      </c>
      <c r="S2370" s="2">
        <v>9.3512000000000001E-4</v>
      </c>
      <c r="T2370" s="2">
        <v>7.4536000000000003E-4</v>
      </c>
    </row>
    <row r="2371" spans="18:20" x14ac:dyDescent="0.45">
      <c r="R2371" s="2">
        <v>40.47</v>
      </c>
      <c r="S2371" s="2">
        <v>9.3583999999999996E-4</v>
      </c>
      <c r="T2371" s="2">
        <v>7.4602000000000002E-4</v>
      </c>
    </row>
    <row r="2372" spans="18:20" x14ac:dyDescent="0.45">
      <c r="R2372" s="2">
        <v>40.479999999999997</v>
      </c>
      <c r="S2372" s="2">
        <v>9.3656000000000002E-4</v>
      </c>
      <c r="T2372" s="2">
        <v>7.4668E-4</v>
      </c>
    </row>
    <row r="2373" spans="18:20" x14ac:dyDescent="0.45">
      <c r="R2373" s="2">
        <v>40.49</v>
      </c>
      <c r="S2373" s="2">
        <v>9.3727999999999997E-4</v>
      </c>
      <c r="T2373" s="2">
        <v>7.4733999999999998E-4</v>
      </c>
    </row>
    <row r="2374" spans="18:20" x14ac:dyDescent="0.45">
      <c r="R2374" s="2">
        <v>40.5</v>
      </c>
      <c r="S2374" s="2">
        <v>9.3800000000000003E-4</v>
      </c>
      <c r="T2374" s="2">
        <v>7.4799999999999997E-4</v>
      </c>
    </row>
    <row r="2375" spans="18:20" x14ac:dyDescent="0.45">
      <c r="R2375" s="2">
        <v>40.51</v>
      </c>
      <c r="S2375" s="2">
        <v>9.3871999999999998E-4</v>
      </c>
      <c r="T2375" s="2">
        <v>7.4865999999999995E-4</v>
      </c>
    </row>
    <row r="2376" spans="18:20" x14ac:dyDescent="0.45">
      <c r="R2376" s="2">
        <v>40.520000000000003</v>
      </c>
      <c r="S2376" s="2">
        <v>9.3944000000000004E-4</v>
      </c>
      <c r="T2376" s="2">
        <v>7.4932000000000004E-4</v>
      </c>
    </row>
    <row r="2377" spans="18:20" x14ac:dyDescent="0.45">
      <c r="R2377" s="2">
        <v>40.53</v>
      </c>
      <c r="S2377" s="2">
        <v>9.4016E-4</v>
      </c>
      <c r="T2377" s="2">
        <v>7.4998000000000003E-4</v>
      </c>
    </row>
    <row r="2378" spans="18:20" x14ac:dyDescent="0.45">
      <c r="R2378" s="2">
        <v>40.54</v>
      </c>
      <c r="S2378" s="2">
        <v>9.4087999999999995E-4</v>
      </c>
      <c r="T2378" s="2">
        <v>7.5064000000000001E-4</v>
      </c>
    </row>
    <row r="2379" spans="18:20" x14ac:dyDescent="0.45">
      <c r="R2379" s="2">
        <v>40.549999999999997</v>
      </c>
      <c r="S2379" s="2">
        <v>9.4160000000000001E-4</v>
      </c>
      <c r="T2379" s="2">
        <v>7.5129999999999999E-4</v>
      </c>
    </row>
    <row r="2380" spans="18:20" x14ac:dyDescent="0.45">
      <c r="R2380" s="2">
        <v>40.56</v>
      </c>
      <c r="S2380" s="2">
        <v>9.4231999999999996E-4</v>
      </c>
      <c r="T2380" s="2">
        <v>7.5195999999999998E-4</v>
      </c>
    </row>
    <row r="2381" spans="18:20" x14ac:dyDescent="0.45">
      <c r="R2381" s="2">
        <v>40.57</v>
      </c>
      <c r="S2381" s="2">
        <v>9.4304000000000002E-4</v>
      </c>
      <c r="T2381" s="2">
        <v>7.5261999999999996E-4</v>
      </c>
    </row>
    <row r="2382" spans="18:20" x14ac:dyDescent="0.45">
      <c r="R2382" s="2">
        <v>40.58</v>
      </c>
      <c r="S2382" s="2">
        <v>9.4375999999999998E-4</v>
      </c>
      <c r="T2382" s="2">
        <v>7.5328000000000005E-4</v>
      </c>
    </row>
    <row r="2383" spans="18:20" x14ac:dyDescent="0.45">
      <c r="R2383" s="2">
        <v>40.590000000000003</v>
      </c>
      <c r="S2383" s="2">
        <v>9.4448000000000004E-4</v>
      </c>
      <c r="T2383" s="2">
        <v>7.5394000000000004E-4</v>
      </c>
    </row>
    <row r="2384" spans="18:20" x14ac:dyDescent="0.45">
      <c r="R2384" s="2">
        <v>40.6</v>
      </c>
      <c r="S2384" s="2">
        <v>9.4519999999999999E-4</v>
      </c>
      <c r="T2384" s="2">
        <v>7.5460000000000002E-4</v>
      </c>
    </row>
    <row r="2385" spans="18:20" x14ac:dyDescent="0.45">
      <c r="R2385" s="2">
        <v>40.61</v>
      </c>
      <c r="S2385" s="2">
        <v>9.4592000000000005E-4</v>
      </c>
      <c r="T2385" s="2">
        <v>7.5526E-4</v>
      </c>
    </row>
    <row r="2386" spans="18:20" x14ac:dyDescent="0.45">
      <c r="R2386" s="2">
        <v>40.619999999999997</v>
      </c>
      <c r="S2386" s="2">
        <v>9.4664E-4</v>
      </c>
      <c r="T2386" s="2">
        <v>7.5591999999999999E-4</v>
      </c>
    </row>
    <row r="2387" spans="18:20" x14ac:dyDescent="0.45">
      <c r="R2387" s="2">
        <v>40.630000000000003</v>
      </c>
      <c r="S2387" s="2">
        <v>9.4735999999999996E-4</v>
      </c>
      <c r="T2387" s="2">
        <v>7.5657999999999997E-4</v>
      </c>
    </row>
    <row r="2388" spans="18:20" x14ac:dyDescent="0.45">
      <c r="R2388" s="2">
        <v>40.64</v>
      </c>
      <c r="S2388" s="2">
        <v>9.4808000000000002E-4</v>
      </c>
      <c r="T2388" s="2">
        <v>7.5723999999999995E-4</v>
      </c>
    </row>
    <row r="2389" spans="18:20" x14ac:dyDescent="0.45">
      <c r="R2389" s="2">
        <v>40.65</v>
      </c>
      <c r="S2389" s="2">
        <v>9.4879999999999997E-4</v>
      </c>
      <c r="T2389" s="2">
        <v>7.5790000000000005E-4</v>
      </c>
    </row>
    <row r="2390" spans="18:20" x14ac:dyDescent="0.45">
      <c r="R2390" s="2">
        <v>40.659999999999997</v>
      </c>
      <c r="S2390" s="2">
        <v>9.4952000000000003E-4</v>
      </c>
      <c r="T2390" s="2">
        <v>7.5856000000000003E-4</v>
      </c>
    </row>
    <row r="2391" spans="18:20" x14ac:dyDescent="0.45">
      <c r="R2391" s="2">
        <v>40.67</v>
      </c>
      <c r="S2391" s="2">
        <v>9.5023999999999998E-4</v>
      </c>
      <c r="T2391" s="2">
        <v>7.5922000000000001E-4</v>
      </c>
    </row>
    <row r="2392" spans="18:20" x14ac:dyDescent="0.45">
      <c r="R2392" s="2">
        <v>40.68</v>
      </c>
      <c r="S2392" s="2">
        <v>9.5096000000000004E-4</v>
      </c>
      <c r="T2392" s="2">
        <v>7.5988E-4</v>
      </c>
    </row>
    <row r="2393" spans="18:20" x14ac:dyDescent="0.45">
      <c r="R2393" s="2">
        <v>40.69</v>
      </c>
      <c r="S2393" s="2">
        <v>9.5168E-4</v>
      </c>
      <c r="T2393" s="2">
        <v>7.6053999999999998E-4</v>
      </c>
    </row>
    <row r="2394" spans="18:20" x14ac:dyDescent="0.45">
      <c r="R2394" s="2">
        <v>40.700000000000003</v>
      </c>
      <c r="S2394" s="2">
        <v>9.5239999999999995E-4</v>
      </c>
      <c r="T2394" s="2">
        <v>7.6119999999999996E-4</v>
      </c>
    </row>
    <row r="2395" spans="18:20" x14ac:dyDescent="0.45">
      <c r="R2395" s="2">
        <v>40.71</v>
      </c>
      <c r="S2395" s="2">
        <v>9.5312000000000001E-4</v>
      </c>
      <c r="T2395" s="2">
        <v>7.6185999999999995E-4</v>
      </c>
    </row>
    <row r="2396" spans="18:20" x14ac:dyDescent="0.45">
      <c r="R2396" s="2">
        <v>40.72</v>
      </c>
      <c r="S2396" s="2">
        <v>9.5383999999999996E-4</v>
      </c>
      <c r="T2396" s="2">
        <v>7.6252000000000004E-4</v>
      </c>
    </row>
    <row r="2397" spans="18:20" x14ac:dyDescent="0.45">
      <c r="R2397" s="2">
        <v>40.729999999999997</v>
      </c>
      <c r="S2397" s="2">
        <v>9.5456000000000002E-4</v>
      </c>
      <c r="T2397" s="2">
        <v>7.6318000000000002E-4</v>
      </c>
    </row>
    <row r="2398" spans="18:20" x14ac:dyDescent="0.45">
      <c r="R2398" s="2">
        <v>40.74</v>
      </c>
      <c r="S2398" s="2">
        <v>9.5527999999999997E-4</v>
      </c>
      <c r="T2398" s="2">
        <v>7.6384000000000001E-4</v>
      </c>
    </row>
    <row r="2399" spans="18:20" x14ac:dyDescent="0.45">
      <c r="R2399" s="2">
        <v>40.75</v>
      </c>
      <c r="S2399" s="2">
        <v>9.5600000000000004E-4</v>
      </c>
      <c r="T2399" s="2">
        <v>7.6449999999999999E-4</v>
      </c>
    </row>
    <row r="2400" spans="18:20" x14ac:dyDescent="0.45">
      <c r="R2400" s="2">
        <v>40.76</v>
      </c>
      <c r="S2400" s="2">
        <v>9.5671999999999999E-4</v>
      </c>
      <c r="T2400" s="2">
        <v>7.6515999999999997E-4</v>
      </c>
    </row>
    <row r="2401" spans="18:20" x14ac:dyDescent="0.45">
      <c r="R2401" s="2">
        <v>40.770000000000003</v>
      </c>
      <c r="S2401" s="2">
        <v>9.5744000000000005E-4</v>
      </c>
      <c r="T2401" s="2">
        <v>7.6581999999999996E-4</v>
      </c>
    </row>
    <row r="2402" spans="18:20" x14ac:dyDescent="0.45">
      <c r="R2402" s="2">
        <v>40.78</v>
      </c>
      <c r="S2402" s="2">
        <v>9.5816E-4</v>
      </c>
      <c r="T2402" s="2">
        <v>7.6648000000000005E-4</v>
      </c>
    </row>
    <row r="2403" spans="18:20" x14ac:dyDescent="0.45">
      <c r="R2403" s="2">
        <v>40.79</v>
      </c>
      <c r="S2403" s="2">
        <v>9.5887999999999995E-4</v>
      </c>
      <c r="T2403" s="2">
        <v>7.6714000000000003E-4</v>
      </c>
    </row>
    <row r="2404" spans="18:20" x14ac:dyDescent="0.45">
      <c r="R2404" s="2">
        <v>40.799999999999997</v>
      </c>
      <c r="S2404" s="2">
        <v>9.5960000000000001E-4</v>
      </c>
      <c r="T2404" s="2">
        <v>7.6780000000000001E-4</v>
      </c>
    </row>
    <row r="2405" spans="18:20" x14ac:dyDescent="0.45">
      <c r="R2405" s="2">
        <v>40.81</v>
      </c>
      <c r="S2405" s="2">
        <v>9.6031999999999997E-4</v>
      </c>
      <c r="T2405" s="2">
        <v>7.6846E-4</v>
      </c>
    </row>
    <row r="2406" spans="18:20" x14ac:dyDescent="0.45">
      <c r="R2406" s="2">
        <v>40.82</v>
      </c>
      <c r="S2406" s="2">
        <v>9.6104000000000003E-4</v>
      </c>
      <c r="T2406" s="2">
        <v>7.6911999999999998E-4</v>
      </c>
    </row>
    <row r="2407" spans="18:20" x14ac:dyDescent="0.45">
      <c r="R2407" s="2">
        <v>40.83</v>
      </c>
      <c r="S2407" s="2">
        <v>9.6175999999999998E-4</v>
      </c>
      <c r="T2407" s="2">
        <v>7.6977999999999997E-4</v>
      </c>
    </row>
    <row r="2408" spans="18:20" x14ac:dyDescent="0.45">
      <c r="R2408" s="2">
        <v>40.840000000000003</v>
      </c>
      <c r="S2408" s="2">
        <v>9.6248000000000004E-4</v>
      </c>
      <c r="T2408" s="2">
        <v>7.7043999999999995E-4</v>
      </c>
    </row>
    <row r="2409" spans="18:20" x14ac:dyDescent="0.45">
      <c r="R2409" s="2">
        <v>40.85</v>
      </c>
      <c r="S2409" s="2">
        <v>9.6319999999999999E-4</v>
      </c>
      <c r="T2409" s="2">
        <v>7.7110000000000004E-4</v>
      </c>
    </row>
    <row r="2410" spans="18:20" x14ac:dyDescent="0.45">
      <c r="R2410" s="2">
        <v>40.86</v>
      </c>
      <c r="S2410" s="2">
        <v>9.6391999999999995E-4</v>
      </c>
      <c r="T2410" s="2">
        <v>7.7176000000000002E-4</v>
      </c>
    </row>
    <row r="2411" spans="18:20" x14ac:dyDescent="0.45">
      <c r="R2411" s="2">
        <v>40.869999999999997</v>
      </c>
      <c r="S2411" s="2">
        <v>9.6464000000000001E-4</v>
      </c>
      <c r="T2411" s="2">
        <v>7.7242000000000001E-4</v>
      </c>
    </row>
    <row r="2412" spans="18:20" x14ac:dyDescent="0.45">
      <c r="R2412" s="2">
        <v>40.880000000000003</v>
      </c>
      <c r="S2412" s="2">
        <v>9.6535999999999996E-4</v>
      </c>
      <c r="T2412" s="2">
        <v>7.7307999999999999E-4</v>
      </c>
    </row>
    <row r="2413" spans="18:20" x14ac:dyDescent="0.45">
      <c r="R2413" s="2">
        <v>40.89</v>
      </c>
      <c r="S2413" s="2">
        <v>9.6608000000000002E-4</v>
      </c>
      <c r="T2413" s="2">
        <v>7.7373999999999997E-4</v>
      </c>
    </row>
    <row r="2414" spans="18:20" x14ac:dyDescent="0.45">
      <c r="R2414" s="2">
        <v>40.9</v>
      </c>
      <c r="S2414" s="2">
        <v>9.6679999999999997E-4</v>
      </c>
      <c r="T2414" s="2">
        <v>7.7439999999999996E-4</v>
      </c>
    </row>
    <row r="2415" spans="18:20" x14ac:dyDescent="0.45">
      <c r="R2415" s="2">
        <v>40.909999999999997</v>
      </c>
      <c r="S2415" s="2">
        <v>9.6752000000000003E-4</v>
      </c>
      <c r="T2415" s="2">
        <v>7.7506000000000005E-4</v>
      </c>
    </row>
    <row r="2416" spans="18:20" x14ac:dyDescent="0.45">
      <c r="R2416" s="2">
        <v>40.92</v>
      </c>
      <c r="S2416" s="2">
        <v>9.6823999999999999E-4</v>
      </c>
      <c r="T2416" s="2">
        <v>7.7572000000000003E-4</v>
      </c>
    </row>
    <row r="2417" spans="18:20" x14ac:dyDescent="0.45">
      <c r="R2417" s="2">
        <v>40.93</v>
      </c>
      <c r="S2417" s="2">
        <v>9.6896000000000005E-4</v>
      </c>
      <c r="T2417" s="2">
        <v>7.7638000000000002E-4</v>
      </c>
    </row>
    <row r="2418" spans="18:20" x14ac:dyDescent="0.45">
      <c r="R2418" s="2">
        <v>40.94</v>
      </c>
      <c r="S2418" s="2">
        <v>9.6968E-4</v>
      </c>
      <c r="T2418" s="2">
        <v>7.7704E-4</v>
      </c>
    </row>
    <row r="2419" spans="18:20" x14ac:dyDescent="0.45">
      <c r="R2419" s="2">
        <v>40.950000000000003</v>
      </c>
      <c r="S2419" s="2">
        <v>9.7039999999999995E-4</v>
      </c>
      <c r="T2419" s="2">
        <v>7.7769999999999998E-4</v>
      </c>
    </row>
    <row r="2420" spans="18:20" x14ac:dyDescent="0.45">
      <c r="R2420" s="2">
        <v>40.96</v>
      </c>
      <c r="S2420" s="2">
        <v>9.7112000000000001E-4</v>
      </c>
      <c r="T2420" s="2">
        <v>7.7835999999999997E-4</v>
      </c>
    </row>
    <row r="2421" spans="18:20" x14ac:dyDescent="0.45">
      <c r="R2421" s="2">
        <v>40.97</v>
      </c>
      <c r="S2421" s="2">
        <v>9.7183999999999997E-4</v>
      </c>
      <c r="T2421" s="2">
        <v>7.7901999999999995E-4</v>
      </c>
    </row>
    <row r="2422" spans="18:20" x14ac:dyDescent="0.45">
      <c r="R2422" s="2">
        <v>40.98</v>
      </c>
      <c r="S2422" s="2">
        <v>9.7256000000000003E-4</v>
      </c>
      <c r="T2422" s="2">
        <v>7.7968000000000004E-4</v>
      </c>
    </row>
    <row r="2423" spans="18:20" x14ac:dyDescent="0.45">
      <c r="R2423" s="2">
        <v>40.99</v>
      </c>
      <c r="S2423" s="2">
        <v>9.7327999999999998E-4</v>
      </c>
      <c r="T2423" s="2">
        <v>7.8034000000000003E-4</v>
      </c>
    </row>
    <row r="2424" spans="18:20" x14ac:dyDescent="0.45">
      <c r="R2424" s="2">
        <v>41</v>
      </c>
      <c r="S2424" s="2">
        <v>9.7400000000000004E-4</v>
      </c>
      <c r="T2424" s="2">
        <v>7.8100000000000001E-4</v>
      </c>
    </row>
    <row r="2425" spans="18:20" x14ac:dyDescent="0.45">
      <c r="R2425" s="2">
        <v>41.01</v>
      </c>
      <c r="S2425" s="2">
        <v>9.7482999999999999E-4</v>
      </c>
      <c r="T2425" s="2">
        <v>7.8171999999999996E-4</v>
      </c>
    </row>
    <row r="2426" spans="18:20" x14ac:dyDescent="0.45">
      <c r="R2426" s="2">
        <v>41.02</v>
      </c>
      <c r="S2426" s="2">
        <v>9.7566000000000005E-4</v>
      </c>
      <c r="T2426" s="2">
        <v>7.8244000000000002E-4</v>
      </c>
    </row>
    <row r="2427" spans="18:20" x14ac:dyDescent="0.45">
      <c r="R2427" s="2">
        <v>41.03</v>
      </c>
      <c r="S2427" s="2">
        <v>9.7649E-4</v>
      </c>
      <c r="T2427" s="2">
        <v>7.8315999999999998E-4</v>
      </c>
    </row>
    <row r="2428" spans="18:20" x14ac:dyDescent="0.45">
      <c r="R2428" s="2">
        <v>41.04</v>
      </c>
      <c r="S2428" s="2">
        <v>9.7732000000000006E-4</v>
      </c>
      <c r="T2428" s="2">
        <v>7.8388000000000004E-4</v>
      </c>
    </row>
    <row r="2429" spans="18:20" x14ac:dyDescent="0.45">
      <c r="R2429" s="2">
        <v>41.05</v>
      </c>
      <c r="S2429" s="2">
        <v>9.781499999999999E-4</v>
      </c>
      <c r="T2429" s="2">
        <v>7.8459999999999999E-4</v>
      </c>
    </row>
    <row r="2430" spans="18:20" x14ac:dyDescent="0.45">
      <c r="R2430" s="2">
        <v>41.06</v>
      </c>
      <c r="S2430" s="2">
        <v>9.7897999999999995E-4</v>
      </c>
      <c r="T2430" s="2">
        <v>7.8532000000000005E-4</v>
      </c>
    </row>
    <row r="2431" spans="18:20" x14ac:dyDescent="0.45">
      <c r="R2431" s="2">
        <v>41.07</v>
      </c>
      <c r="S2431" s="2">
        <v>9.7981000000000001E-4</v>
      </c>
      <c r="T2431" s="2">
        <v>7.8604E-4</v>
      </c>
    </row>
    <row r="2432" spans="18:20" x14ac:dyDescent="0.45">
      <c r="R2432" s="2">
        <v>41.08</v>
      </c>
      <c r="S2432" s="2">
        <v>9.8064000000000007E-4</v>
      </c>
      <c r="T2432" s="2">
        <v>7.8675999999999996E-4</v>
      </c>
    </row>
    <row r="2433" spans="18:20" x14ac:dyDescent="0.45">
      <c r="R2433" s="2">
        <v>41.09</v>
      </c>
      <c r="S2433" s="2">
        <v>9.8146999999999991E-4</v>
      </c>
      <c r="T2433" s="2">
        <v>7.8748000000000002E-4</v>
      </c>
    </row>
    <row r="2434" spans="18:20" x14ac:dyDescent="0.45">
      <c r="R2434" s="2">
        <v>41.1</v>
      </c>
      <c r="S2434" s="2">
        <v>9.8229999999999997E-4</v>
      </c>
      <c r="T2434" s="2">
        <v>7.8819999999999997E-4</v>
      </c>
    </row>
    <row r="2435" spans="18:20" x14ac:dyDescent="0.45">
      <c r="R2435" s="2">
        <v>41.11</v>
      </c>
      <c r="S2435" s="2">
        <v>9.8313000000000003E-4</v>
      </c>
      <c r="T2435" s="2">
        <v>7.8892000000000003E-4</v>
      </c>
    </row>
    <row r="2436" spans="18:20" x14ac:dyDescent="0.45">
      <c r="R2436" s="2">
        <v>41.12</v>
      </c>
      <c r="S2436" s="2">
        <v>9.8396000000000009E-4</v>
      </c>
      <c r="T2436" s="2">
        <v>7.8963999999999998E-4</v>
      </c>
    </row>
    <row r="2437" spans="18:20" x14ac:dyDescent="0.45">
      <c r="R2437" s="2">
        <v>41.13</v>
      </c>
      <c r="S2437" s="2">
        <v>9.8478999999999993E-4</v>
      </c>
      <c r="T2437" s="2">
        <v>7.9036000000000004E-4</v>
      </c>
    </row>
    <row r="2438" spans="18:20" x14ac:dyDescent="0.45">
      <c r="R2438" s="2">
        <v>41.14</v>
      </c>
      <c r="S2438" s="2">
        <v>9.8561999999999999E-4</v>
      </c>
      <c r="T2438" s="2">
        <v>7.9107999999999999E-4</v>
      </c>
    </row>
    <row r="2439" spans="18:20" x14ac:dyDescent="0.45">
      <c r="R2439" s="2">
        <v>41.15</v>
      </c>
      <c r="S2439" s="2">
        <v>9.8645000000000004E-4</v>
      </c>
      <c r="T2439" s="2">
        <v>7.9179999999999995E-4</v>
      </c>
    </row>
    <row r="2440" spans="18:20" x14ac:dyDescent="0.45">
      <c r="R2440" s="2">
        <v>41.16</v>
      </c>
      <c r="S2440" s="2">
        <v>9.872800000000001E-4</v>
      </c>
      <c r="T2440" s="2">
        <v>7.9252000000000001E-4</v>
      </c>
    </row>
    <row r="2441" spans="18:20" x14ac:dyDescent="0.45">
      <c r="R2441" s="2">
        <v>41.17</v>
      </c>
      <c r="S2441" s="2">
        <v>9.8810999999999994E-4</v>
      </c>
      <c r="T2441" s="2">
        <v>7.9323999999999996E-4</v>
      </c>
    </row>
    <row r="2442" spans="18:20" x14ac:dyDescent="0.45">
      <c r="R2442" s="2">
        <v>41.18</v>
      </c>
      <c r="S2442" s="2">
        <v>9.8894E-4</v>
      </c>
      <c r="T2442" s="2">
        <v>7.9396000000000002E-4</v>
      </c>
    </row>
    <row r="2443" spans="18:20" x14ac:dyDescent="0.45">
      <c r="R2443" s="2">
        <v>41.19</v>
      </c>
      <c r="S2443" s="2">
        <v>9.8977000000000006E-4</v>
      </c>
      <c r="T2443" s="2">
        <v>7.9467999999999997E-4</v>
      </c>
    </row>
    <row r="2444" spans="18:20" x14ac:dyDescent="0.45">
      <c r="R2444" s="2">
        <v>41.2</v>
      </c>
      <c r="S2444" s="2">
        <v>9.905999999999999E-4</v>
      </c>
      <c r="T2444" s="2">
        <v>7.9540000000000003E-4</v>
      </c>
    </row>
    <row r="2445" spans="18:20" x14ac:dyDescent="0.45">
      <c r="R2445" s="2">
        <v>41.21</v>
      </c>
      <c r="S2445" s="2">
        <v>9.9142999999999996E-4</v>
      </c>
      <c r="T2445" s="2">
        <v>7.9611999999999999E-4</v>
      </c>
    </row>
    <row r="2446" spans="18:20" x14ac:dyDescent="0.45">
      <c r="R2446" s="2">
        <v>41.22</v>
      </c>
      <c r="S2446" s="2">
        <v>9.9226000000000002E-4</v>
      </c>
      <c r="T2446" s="2">
        <v>7.9684000000000005E-4</v>
      </c>
    </row>
    <row r="2447" spans="18:20" x14ac:dyDescent="0.45">
      <c r="R2447" s="2">
        <v>41.23</v>
      </c>
      <c r="S2447" s="2">
        <v>9.9309000000000008E-4</v>
      </c>
      <c r="T2447" s="2">
        <v>7.9756E-4</v>
      </c>
    </row>
    <row r="2448" spans="18:20" x14ac:dyDescent="0.45">
      <c r="R2448" s="2">
        <v>41.24</v>
      </c>
      <c r="S2448" s="2">
        <v>9.9391999999999992E-4</v>
      </c>
      <c r="T2448" s="2">
        <v>7.9827999999999995E-4</v>
      </c>
    </row>
    <row r="2449" spans="18:20" x14ac:dyDescent="0.45">
      <c r="R2449" s="2">
        <v>41.25</v>
      </c>
      <c r="S2449" s="2">
        <v>9.9474999999999997E-4</v>
      </c>
      <c r="T2449" s="2">
        <v>7.9900000000000001E-4</v>
      </c>
    </row>
    <row r="2450" spans="18:20" x14ac:dyDescent="0.45">
      <c r="R2450" s="2">
        <v>41.26</v>
      </c>
      <c r="S2450" s="2">
        <v>9.9558000000000003E-4</v>
      </c>
      <c r="T2450" s="2">
        <v>7.9971999999999997E-4</v>
      </c>
    </row>
    <row r="2451" spans="18:20" x14ac:dyDescent="0.45">
      <c r="R2451" s="2">
        <v>41.27</v>
      </c>
      <c r="S2451" s="2">
        <v>9.9641000000000009E-4</v>
      </c>
      <c r="T2451" s="2">
        <v>8.0044000000000003E-4</v>
      </c>
    </row>
    <row r="2452" spans="18:20" x14ac:dyDescent="0.45">
      <c r="R2452" s="2">
        <v>41.28</v>
      </c>
      <c r="S2452" s="2">
        <v>9.9723999999999993E-4</v>
      </c>
      <c r="T2452" s="2">
        <v>8.0115999999999998E-4</v>
      </c>
    </row>
    <row r="2453" spans="18:20" x14ac:dyDescent="0.45">
      <c r="R2453" s="2">
        <v>41.29</v>
      </c>
      <c r="S2453" s="2">
        <v>9.9806999999999999E-4</v>
      </c>
      <c r="T2453" s="2">
        <v>8.0188000000000004E-4</v>
      </c>
    </row>
    <row r="2454" spans="18:20" x14ac:dyDescent="0.45">
      <c r="R2454" s="2">
        <v>41.3</v>
      </c>
      <c r="S2454" s="2">
        <v>9.9890000000000005E-4</v>
      </c>
      <c r="T2454" s="2">
        <v>8.0259999999999999E-4</v>
      </c>
    </row>
    <row r="2455" spans="18:20" x14ac:dyDescent="0.45">
      <c r="R2455" s="2">
        <v>41.31</v>
      </c>
      <c r="S2455" s="2">
        <v>9.9973000000000011E-4</v>
      </c>
      <c r="T2455" s="2">
        <v>8.0332000000000005E-4</v>
      </c>
    </row>
    <row r="2456" spans="18:20" x14ac:dyDescent="0.45">
      <c r="R2456" s="2">
        <v>41.32</v>
      </c>
      <c r="S2456" s="2">
        <v>1.0005599999999999E-3</v>
      </c>
      <c r="T2456" s="2">
        <v>8.0404000000000001E-4</v>
      </c>
    </row>
    <row r="2457" spans="18:20" x14ac:dyDescent="0.45">
      <c r="R2457" s="2">
        <v>41.33</v>
      </c>
      <c r="S2457" s="2">
        <v>1.00139E-3</v>
      </c>
      <c r="T2457" s="2">
        <v>8.0475999999999996E-4</v>
      </c>
    </row>
    <row r="2458" spans="18:20" x14ac:dyDescent="0.45">
      <c r="R2458" s="2">
        <v>41.34</v>
      </c>
      <c r="S2458" s="2">
        <v>1.0022200000000001E-3</v>
      </c>
      <c r="T2458" s="2">
        <v>8.0548000000000002E-4</v>
      </c>
    </row>
    <row r="2459" spans="18:20" x14ac:dyDescent="0.45">
      <c r="R2459" s="2">
        <v>41.35</v>
      </c>
      <c r="S2459" s="2">
        <v>1.0030499999999999E-3</v>
      </c>
      <c r="T2459" s="2">
        <v>8.0619999999999997E-4</v>
      </c>
    </row>
    <row r="2460" spans="18:20" x14ac:dyDescent="0.45">
      <c r="R2460" s="2">
        <v>41.36</v>
      </c>
      <c r="S2460" s="2">
        <v>1.00388E-3</v>
      </c>
      <c r="T2460" s="2">
        <v>8.0692000000000003E-4</v>
      </c>
    </row>
    <row r="2461" spans="18:20" x14ac:dyDescent="0.45">
      <c r="R2461" s="2">
        <v>41.37</v>
      </c>
      <c r="S2461" s="2">
        <v>1.00471E-3</v>
      </c>
      <c r="T2461" s="2">
        <v>8.0763999999999999E-4</v>
      </c>
    </row>
    <row r="2462" spans="18:20" x14ac:dyDescent="0.45">
      <c r="R2462" s="2">
        <v>41.38</v>
      </c>
      <c r="S2462" s="2">
        <v>1.0055400000000001E-3</v>
      </c>
      <c r="T2462" s="2">
        <v>8.0836000000000005E-4</v>
      </c>
    </row>
    <row r="2463" spans="18:20" x14ac:dyDescent="0.45">
      <c r="R2463" s="2">
        <v>41.39</v>
      </c>
      <c r="S2463" s="2">
        <v>1.0063699999999999E-3</v>
      </c>
      <c r="T2463" s="2">
        <v>8.0908E-4</v>
      </c>
    </row>
    <row r="2464" spans="18:20" x14ac:dyDescent="0.45">
      <c r="R2464" s="2">
        <v>41.4</v>
      </c>
      <c r="S2464" s="2">
        <v>1.0072E-3</v>
      </c>
      <c r="T2464" s="2">
        <v>8.0979999999999995E-4</v>
      </c>
    </row>
    <row r="2465" spans="18:20" x14ac:dyDescent="0.45">
      <c r="R2465" s="2">
        <v>41.41</v>
      </c>
      <c r="S2465" s="2">
        <v>1.00803E-3</v>
      </c>
      <c r="T2465" s="2">
        <v>8.1052000000000001E-4</v>
      </c>
    </row>
    <row r="2466" spans="18:20" x14ac:dyDescent="0.45">
      <c r="R2466" s="2">
        <v>41.42</v>
      </c>
      <c r="S2466" s="2">
        <v>1.0088600000000001E-3</v>
      </c>
      <c r="T2466" s="2">
        <v>8.1123999999999996E-4</v>
      </c>
    </row>
    <row r="2467" spans="18:20" x14ac:dyDescent="0.45">
      <c r="R2467" s="2">
        <v>41.43</v>
      </c>
      <c r="S2467" s="2">
        <v>1.0096899999999999E-3</v>
      </c>
      <c r="T2467" s="2">
        <v>8.1196000000000003E-4</v>
      </c>
    </row>
    <row r="2468" spans="18:20" x14ac:dyDescent="0.45">
      <c r="R2468" s="2">
        <v>41.44</v>
      </c>
      <c r="S2468" s="2">
        <v>1.01052E-3</v>
      </c>
      <c r="T2468" s="2">
        <v>8.1267999999999998E-4</v>
      </c>
    </row>
    <row r="2469" spans="18:20" x14ac:dyDescent="0.45">
      <c r="R2469" s="2">
        <v>41.45</v>
      </c>
      <c r="S2469" s="2">
        <v>1.0113500000000001E-3</v>
      </c>
      <c r="T2469" s="2">
        <v>8.1340000000000004E-4</v>
      </c>
    </row>
    <row r="2470" spans="18:20" x14ac:dyDescent="0.45">
      <c r="R2470" s="2">
        <v>41.46</v>
      </c>
      <c r="S2470" s="2">
        <v>1.0121799999999999E-3</v>
      </c>
      <c r="T2470" s="2">
        <v>8.1411999999999999E-4</v>
      </c>
    </row>
    <row r="2471" spans="18:20" x14ac:dyDescent="0.45">
      <c r="R2471" s="2">
        <v>41.47</v>
      </c>
      <c r="S2471" s="2">
        <v>1.01301E-3</v>
      </c>
      <c r="T2471" s="2">
        <v>8.1484000000000005E-4</v>
      </c>
    </row>
    <row r="2472" spans="18:20" x14ac:dyDescent="0.45">
      <c r="R2472" s="2">
        <v>41.48</v>
      </c>
      <c r="S2472" s="2">
        <v>1.01384E-3</v>
      </c>
      <c r="T2472" s="2">
        <v>8.1556E-4</v>
      </c>
    </row>
    <row r="2473" spans="18:20" x14ac:dyDescent="0.45">
      <c r="R2473" s="2">
        <v>41.49</v>
      </c>
      <c r="S2473" s="2">
        <v>1.0146700000000001E-3</v>
      </c>
      <c r="T2473" s="2">
        <v>8.1627999999999996E-4</v>
      </c>
    </row>
    <row r="2474" spans="18:20" x14ac:dyDescent="0.45">
      <c r="R2474" s="2">
        <v>41.5</v>
      </c>
      <c r="S2474" s="2">
        <v>1.0154999999999999E-3</v>
      </c>
      <c r="T2474" s="2">
        <v>8.1700000000000002E-4</v>
      </c>
    </row>
    <row r="2475" spans="18:20" x14ac:dyDescent="0.45">
      <c r="R2475" s="2">
        <v>41.51</v>
      </c>
      <c r="S2475" s="2">
        <v>1.01633E-3</v>
      </c>
      <c r="T2475" s="2">
        <v>8.1771999999999997E-4</v>
      </c>
    </row>
    <row r="2476" spans="18:20" x14ac:dyDescent="0.45">
      <c r="R2476" s="2">
        <v>41.52</v>
      </c>
      <c r="S2476" s="2">
        <v>1.01716E-3</v>
      </c>
      <c r="T2476" s="2">
        <v>8.1844000000000003E-4</v>
      </c>
    </row>
    <row r="2477" spans="18:20" x14ac:dyDescent="0.45">
      <c r="R2477" s="2">
        <v>41.53</v>
      </c>
      <c r="S2477" s="2">
        <v>1.0179900000000001E-3</v>
      </c>
      <c r="T2477" s="2">
        <v>8.1915999999999998E-4</v>
      </c>
    </row>
    <row r="2478" spans="18:20" x14ac:dyDescent="0.45">
      <c r="R2478" s="2">
        <v>41.54</v>
      </c>
      <c r="S2478" s="2">
        <v>1.0188199999999999E-3</v>
      </c>
      <c r="T2478" s="2">
        <v>8.1988000000000004E-4</v>
      </c>
    </row>
    <row r="2479" spans="18:20" x14ac:dyDescent="0.45">
      <c r="R2479" s="2">
        <v>41.55</v>
      </c>
      <c r="S2479" s="2">
        <v>1.01965E-3</v>
      </c>
      <c r="T2479" s="2">
        <v>8.206E-4</v>
      </c>
    </row>
    <row r="2480" spans="18:20" x14ac:dyDescent="0.45">
      <c r="R2480" s="2">
        <v>41.56</v>
      </c>
      <c r="S2480" s="2">
        <v>1.02048E-3</v>
      </c>
      <c r="T2480" s="2">
        <v>8.2131999999999995E-4</v>
      </c>
    </row>
    <row r="2481" spans="18:20" x14ac:dyDescent="0.45">
      <c r="R2481" s="2">
        <v>41.57</v>
      </c>
      <c r="S2481" s="2">
        <v>1.0213100000000001E-3</v>
      </c>
      <c r="T2481" s="2">
        <v>8.2204000000000001E-4</v>
      </c>
    </row>
    <row r="2482" spans="18:20" x14ac:dyDescent="0.45">
      <c r="R2482" s="2">
        <v>41.58</v>
      </c>
      <c r="S2482" s="2">
        <v>1.0221399999999999E-3</v>
      </c>
      <c r="T2482" s="2">
        <v>8.2275999999999996E-4</v>
      </c>
    </row>
    <row r="2483" spans="18:20" x14ac:dyDescent="0.45">
      <c r="R2483" s="2">
        <v>41.59</v>
      </c>
      <c r="S2483" s="2">
        <v>1.02297E-3</v>
      </c>
      <c r="T2483" s="2">
        <v>8.2348000000000002E-4</v>
      </c>
    </row>
    <row r="2484" spans="18:20" x14ac:dyDescent="0.45">
      <c r="R2484" s="2">
        <v>41.6</v>
      </c>
      <c r="S2484" s="2">
        <v>1.0238000000000001E-3</v>
      </c>
      <c r="T2484" s="2">
        <v>8.2419999999999998E-4</v>
      </c>
    </row>
    <row r="2485" spans="18:20" x14ac:dyDescent="0.45">
      <c r="R2485" s="2">
        <v>41.61</v>
      </c>
      <c r="S2485" s="2">
        <v>1.0246299999999999E-3</v>
      </c>
      <c r="T2485" s="2">
        <v>8.2492000000000004E-4</v>
      </c>
    </row>
    <row r="2486" spans="18:20" x14ac:dyDescent="0.45">
      <c r="R2486" s="2">
        <v>41.62</v>
      </c>
      <c r="S2486" s="2">
        <v>1.02546E-3</v>
      </c>
      <c r="T2486" s="2">
        <v>8.2563999999999999E-4</v>
      </c>
    </row>
    <row r="2487" spans="18:20" x14ac:dyDescent="0.45">
      <c r="R2487" s="2">
        <v>41.63</v>
      </c>
      <c r="S2487" s="2">
        <v>1.02629E-3</v>
      </c>
      <c r="T2487" s="2">
        <v>8.2636000000000005E-4</v>
      </c>
    </row>
    <row r="2488" spans="18:20" x14ac:dyDescent="0.45">
      <c r="R2488" s="2">
        <v>41.64</v>
      </c>
      <c r="S2488" s="2">
        <v>1.0271200000000001E-3</v>
      </c>
      <c r="T2488" s="2">
        <v>8.2708E-4</v>
      </c>
    </row>
    <row r="2489" spans="18:20" x14ac:dyDescent="0.45">
      <c r="R2489" s="2">
        <v>41.65</v>
      </c>
      <c r="S2489" s="2">
        <v>1.0279499999999999E-3</v>
      </c>
      <c r="T2489" s="2">
        <v>8.2779999999999996E-4</v>
      </c>
    </row>
    <row r="2490" spans="18:20" x14ac:dyDescent="0.45">
      <c r="R2490" s="2">
        <v>41.66</v>
      </c>
      <c r="S2490" s="2">
        <v>1.02878E-3</v>
      </c>
      <c r="T2490" s="2">
        <v>8.2852000000000002E-4</v>
      </c>
    </row>
    <row r="2491" spans="18:20" x14ac:dyDescent="0.45">
      <c r="R2491" s="2">
        <v>41.67</v>
      </c>
      <c r="S2491" s="2">
        <v>1.02961E-3</v>
      </c>
      <c r="T2491" s="2">
        <v>8.2923999999999997E-4</v>
      </c>
    </row>
    <row r="2492" spans="18:20" x14ac:dyDescent="0.45">
      <c r="R2492" s="2">
        <v>41.68</v>
      </c>
      <c r="S2492" s="2">
        <v>1.0304400000000001E-3</v>
      </c>
      <c r="T2492" s="2">
        <v>8.2996000000000003E-4</v>
      </c>
    </row>
    <row r="2493" spans="18:20" x14ac:dyDescent="0.45">
      <c r="R2493" s="2">
        <v>41.69</v>
      </c>
      <c r="S2493" s="2">
        <v>1.0312699999999999E-3</v>
      </c>
      <c r="T2493" s="2">
        <v>8.3067999999999998E-4</v>
      </c>
    </row>
    <row r="2494" spans="18:20" x14ac:dyDescent="0.45">
      <c r="R2494" s="2">
        <v>41.7</v>
      </c>
      <c r="S2494" s="2">
        <v>1.0321E-3</v>
      </c>
      <c r="T2494" s="2">
        <v>8.3140000000000004E-4</v>
      </c>
    </row>
    <row r="2495" spans="18:20" x14ac:dyDescent="0.45">
      <c r="R2495" s="2">
        <v>41.71</v>
      </c>
      <c r="S2495" s="2">
        <v>1.03293E-3</v>
      </c>
      <c r="T2495" s="2">
        <v>8.3212E-4</v>
      </c>
    </row>
    <row r="2496" spans="18:20" x14ac:dyDescent="0.45">
      <c r="R2496" s="2">
        <v>41.72</v>
      </c>
      <c r="S2496" s="2">
        <v>1.0337600000000001E-3</v>
      </c>
      <c r="T2496" s="2">
        <v>8.3283999999999995E-4</v>
      </c>
    </row>
    <row r="2497" spans="18:20" x14ac:dyDescent="0.45">
      <c r="R2497" s="2">
        <v>41.73</v>
      </c>
      <c r="S2497" s="2">
        <v>1.0345899999999999E-3</v>
      </c>
      <c r="T2497" s="2">
        <v>8.3356000000000001E-4</v>
      </c>
    </row>
    <row r="2498" spans="18:20" x14ac:dyDescent="0.45">
      <c r="R2498" s="2">
        <v>41.74</v>
      </c>
      <c r="S2498" s="2">
        <v>1.03542E-3</v>
      </c>
      <c r="T2498" s="2">
        <v>8.3427999999999996E-4</v>
      </c>
    </row>
    <row r="2499" spans="18:20" x14ac:dyDescent="0.45">
      <c r="R2499" s="2">
        <v>41.75</v>
      </c>
      <c r="S2499" s="2">
        <v>1.0362500000000001E-3</v>
      </c>
      <c r="T2499" s="2">
        <v>8.3500000000000002E-4</v>
      </c>
    </row>
    <row r="2500" spans="18:20" x14ac:dyDescent="0.45">
      <c r="R2500" s="2">
        <v>41.76</v>
      </c>
      <c r="S2500" s="2">
        <v>1.0370799999999999E-3</v>
      </c>
      <c r="T2500" s="2">
        <v>8.3571999999999997E-4</v>
      </c>
    </row>
    <row r="2501" spans="18:20" x14ac:dyDescent="0.45">
      <c r="R2501" s="2">
        <v>41.77</v>
      </c>
      <c r="S2501" s="2">
        <v>1.03791E-3</v>
      </c>
      <c r="T2501" s="2">
        <v>8.3644000000000004E-4</v>
      </c>
    </row>
    <row r="2502" spans="18:20" x14ac:dyDescent="0.45">
      <c r="R2502" s="2">
        <v>41.78</v>
      </c>
      <c r="S2502" s="2">
        <v>1.03874E-3</v>
      </c>
      <c r="T2502" s="2">
        <v>8.3715999999999999E-4</v>
      </c>
    </row>
    <row r="2503" spans="18:20" x14ac:dyDescent="0.45">
      <c r="R2503" s="2">
        <v>41.79</v>
      </c>
      <c r="S2503" s="2">
        <v>1.0395700000000001E-3</v>
      </c>
      <c r="T2503" s="2">
        <v>8.3788000000000005E-4</v>
      </c>
    </row>
    <row r="2504" spans="18:20" x14ac:dyDescent="0.45">
      <c r="R2504" s="2">
        <v>41.8</v>
      </c>
      <c r="S2504" s="2">
        <v>1.0403999999999999E-3</v>
      </c>
      <c r="T2504" s="2">
        <v>8.386E-4</v>
      </c>
    </row>
    <row r="2505" spans="18:20" x14ac:dyDescent="0.45">
      <c r="R2505" s="2">
        <v>41.81</v>
      </c>
      <c r="S2505" s="2">
        <v>1.04123E-3</v>
      </c>
      <c r="T2505" s="2">
        <v>8.3931999999999995E-4</v>
      </c>
    </row>
    <row r="2506" spans="18:20" x14ac:dyDescent="0.45">
      <c r="R2506" s="2">
        <v>41.82</v>
      </c>
      <c r="S2506" s="2">
        <v>1.04206E-3</v>
      </c>
      <c r="T2506" s="2">
        <v>8.4004000000000001E-4</v>
      </c>
    </row>
    <row r="2507" spans="18:20" x14ac:dyDescent="0.45">
      <c r="R2507" s="2">
        <v>41.83</v>
      </c>
      <c r="S2507" s="2">
        <v>1.0428900000000001E-3</v>
      </c>
      <c r="T2507" s="2">
        <v>8.4075999999999997E-4</v>
      </c>
    </row>
    <row r="2508" spans="18:20" x14ac:dyDescent="0.45">
      <c r="R2508" s="2">
        <v>41.84</v>
      </c>
      <c r="S2508" s="2">
        <v>1.0437199999999999E-3</v>
      </c>
      <c r="T2508" s="2">
        <v>8.4148000000000003E-4</v>
      </c>
    </row>
    <row r="2509" spans="18:20" x14ac:dyDescent="0.45">
      <c r="R2509" s="2">
        <v>41.85</v>
      </c>
      <c r="S2509" s="2">
        <v>1.04455E-3</v>
      </c>
      <c r="T2509" s="2">
        <v>8.4219999999999998E-4</v>
      </c>
    </row>
    <row r="2510" spans="18:20" x14ac:dyDescent="0.45">
      <c r="R2510" s="2">
        <v>41.86</v>
      </c>
      <c r="S2510" s="2">
        <v>1.0453800000000001E-3</v>
      </c>
      <c r="T2510" s="2">
        <v>8.4292000000000004E-4</v>
      </c>
    </row>
    <row r="2511" spans="18:20" x14ac:dyDescent="0.45">
      <c r="R2511" s="2">
        <v>41.87</v>
      </c>
      <c r="S2511" s="2">
        <v>1.0462099999999999E-3</v>
      </c>
      <c r="T2511" s="2">
        <v>8.4363999999999999E-4</v>
      </c>
    </row>
    <row r="2512" spans="18:20" x14ac:dyDescent="0.45">
      <c r="R2512" s="2">
        <v>41.88</v>
      </c>
      <c r="S2512" s="2">
        <v>1.0470399999999999E-3</v>
      </c>
      <c r="T2512" s="2">
        <v>8.4436000000000005E-4</v>
      </c>
    </row>
    <row r="2513" spans="18:20" x14ac:dyDescent="0.45">
      <c r="R2513" s="2">
        <v>41.89</v>
      </c>
      <c r="S2513" s="2">
        <v>1.04787E-3</v>
      </c>
      <c r="T2513" s="2">
        <v>8.4508000000000001E-4</v>
      </c>
    </row>
    <row r="2514" spans="18:20" x14ac:dyDescent="0.45">
      <c r="R2514" s="2">
        <v>41.9</v>
      </c>
      <c r="S2514" s="2">
        <v>1.0487000000000001E-3</v>
      </c>
      <c r="T2514" s="2">
        <v>8.4579999999999996E-4</v>
      </c>
    </row>
    <row r="2515" spans="18:20" x14ac:dyDescent="0.45">
      <c r="R2515" s="2">
        <v>41.91</v>
      </c>
      <c r="S2515" s="2">
        <v>1.0495299999999999E-3</v>
      </c>
      <c r="T2515" s="2">
        <v>8.4652000000000002E-4</v>
      </c>
    </row>
    <row r="2516" spans="18:20" x14ac:dyDescent="0.45">
      <c r="R2516" s="2">
        <v>41.92</v>
      </c>
      <c r="S2516" s="2">
        <v>1.05036E-3</v>
      </c>
      <c r="T2516" s="2">
        <v>8.4723999999999997E-4</v>
      </c>
    </row>
    <row r="2517" spans="18:20" x14ac:dyDescent="0.45">
      <c r="R2517" s="2">
        <v>41.93</v>
      </c>
      <c r="S2517" s="2">
        <v>1.05119E-3</v>
      </c>
      <c r="T2517" s="2">
        <v>8.4796000000000003E-4</v>
      </c>
    </row>
    <row r="2518" spans="18:20" x14ac:dyDescent="0.45">
      <c r="R2518" s="2">
        <v>41.94</v>
      </c>
      <c r="S2518" s="2">
        <v>1.0520200000000001E-3</v>
      </c>
      <c r="T2518" s="2">
        <v>8.4867999999999999E-4</v>
      </c>
    </row>
    <row r="2519" spans="18:20" x14ac:dyDescent="0.45">
      <c r="R2519" s="2">
        <v>41.95</v>
      </c>
      <c r="S2519" s="2">
        <v>1.0528499999999999E-3</v>
      </c>
      <c r="T2519" s="2">
        <v>8.4940000000000005E-4</v>
      </c>
    </row>
    <row r="2520" spans="18:20" x14ac:dyDescent="0.45">
      <c r="R2520" s="2">
        <v>41.96</v>
      </c>
      <c r="S2520" s="2">
        <v>1.05368E-3</v>
      </c>
      <c r="T2520" s="2">
        <v>8.5012E-4</v>
      </c>
    </row>
    <row r="2521" spans="18:20" x14ac:dyDescent="0.45">
      <c r="R2521" s="2">
        <v>41.97</v>
      </c>
      <c r="S2521" s="2">
        <v>1.05451E-3</v>
      </c>
      <c r="T2521" s="2">
        <v>8.5083999999999995E-4</v>
      </c>
    </row>
    <row r="2522" spans="18:20" x14ac:dyDescent="0.45">
      <c r="R2522" s="2">
        <v>41.98</v>
      </c>
      <c r="S2522" s="2">
        <v>1.0553400000000001E-3</v>
      </c>
      <c r="T2522" s="2">
        <v>8.5156000000000001E-4</v>
      </c>
    </row>
    <row r="2523" spans="18:20" x14ac:dyDescent="0.45">
      <c r="R2523" s="2">
        <v>41.99</v>
      </c>
      <c r="S2523" s="2">
        <v>1.0561699999999999E-3</v>
      </c>
      <c r="T2523" s="2">
        <v>8.5227999999999996E-4</v>
      </c>
    </row>
    <row r="2524" spans="18:20" x14ac:dyDescent="0.45">
      <c r="R2524" s="2">
        <v>42</v>
      </c>
      <c r="S2524" s="2">
        <v>1.057E-3</v>
      </c>
      <c r="T2524" s="2">
        <v>8.5300000000000003E-4</v>
      </c>
    </row>
    <row r="2525" spans="18:20" x14ac:dyDescent="0.45">
      <c r="R2525" s="2">
        <v>42.01</v>
      </c>
      <c r="S2525" s="2">
        <v>1.0579700000000001E-3</v>
      </c>
      <c r="T2525" s="2">
        <v>8.5380999999999999E-4</v>
      </c>
    </row>
    <row r="2526" spans="18:20" x14ac:dyDescent="0.45">
      <c r="R2526" s="2">
        <v>42.02</v>
      </c>
      <c r="S2526" s="2">
        <v>1.05894E-3</v>
      </c>
      <c r="T2526" s="2">
        <v>8.5462000000000005E-4</v>
      </c>
    </row>
    <row r="2527" spans="18:20" x14ac:dyDescent="0.45">
      <c r="R2527" s="2">
        <v>42.03</v>
      </c>
      <c r="S2527" s="2">
        <v>1.0599100000000001E-3</v>
      </c>
      <c r="T2527" s="2">
        <v>8.5543000000000001E-4</v>
      </c>
    </row>
    <row r="2528" spans="18:20" x14ac:dyDescent="0.45">
      <c r="R2528" s="2">
        <v>42.04</v>
      </c>
      <c r="S2528" s="2">
        <v>1.0608799999999999E-3</v>
      </c>
      <c r="T2528" s="2">
        <v>8.5623999999999997E-4</v>
      </c>
    </row>
    <row r="2529" spans="18:20" x14ac:dyDescent="0.45">
      <c r="R2529" s="2">
        <v>42.05</v>
      </c>
      <c r="S2529" s="2">
        <v>1.06185E-3</v>
      </c>
      <c r="T2529" s="2">
        <v>8.5705000000000004E-4</v>
      </c>
    </row>
    <row r="2530" spans="18:20" x14ac:dyDescent="0.45">
      <c r="R2530" s="2">
        <v>42.06</v>
      </c>
      <c r="S2530" s="2">
        <v>1.0628199999999999E-3</v>
      </c>
      <c r="T2530" s="2">
        <v>8.5786E-4</v>
      </c>
    </row>
    <row r="2531" spans="18:20" x14ac:dyDescent="0.45">
      <c r="R2531" s="2">
        <v>42.07</v>
      </c>
      <c r="S2531" s="2">
        <v>1.06379E-3</v>
      </c>
      <c r="T2531" s="2">
        <v>8.5866999999999996E-4</v>
      </c>
    </row>
    <row r="2532" spans="18:20" x14ac:dyDescent="0.45">
      <c r="R2532" s="2">
        <v>42.08</v>
      </c>
      <c r="S2532" s="2">
        <v>1.0647600000000001E-3</v>
      </c>
      <c r="T2532" s="2">
        <v>8.5948000000000003E-4</v>
      </c>
    </row>
    <row r="2533" spans="18:20" x14ac:dyDescent="0.45">
      <c r="R2533" s="2">
        <v>42.09</v>
      </c>
      <c r="S2533" s="2">
        <v>1.06573E-3</v>
      </c>
      <c r="T2533" s="2">
        <v>8.6028999999999999E-4</v>
      </c>
    </row>
    <row r="2534" spans="18:20" x14ac:dyDescent="0.45">
      <c r="R2534" s="2">
        <v>42.1</v>
      </c>
      <c r="S2534" s="2">
        <v>1.0667000000000001E-3</v>
      </c>
      <c r="T2534" s="2">
        <v>8.6109999999999995E-4</v>
      </c>
    </row>
    <row r="2535" spans="18:20" x14ac:dyDescent="0.45">
      <c r="R2535" s="2">
        <v>42.11</v>
      </c>
      <c r="S2535" s="2">
        <v>1.0676699999999999E-3</v>
      </c>
      <c r="T2535" s="2">
        <v>8.6191000000000002E-4</v>
      </c>
    </row>
    <row r="2536" spans="18:20" x14ac:dyDescent="0.45">
      <c r="R2536" s="2">
        <v>42.12</v>
      </c>
      <c r="S2536" s="2">
        <v>1.06864E-3</v>
      </c>
      <c r="T2536" s="2">
        <v>8.6271999999999998E-4</v>
      </c>
    </row>
    <row r="2537" spans="18:20" x14ac:dyDescent="0.45">
      <c r="R2537" s="2">
        <v>42.13</v>
      </c>
      <c r="S2537" s="2">
        <v>1.0696099999999999E-3</v>
      </c>
      <c r="T2537" s="2">
        <v>8.6353000000000005E-4</v>
      </c>
    </row>
    <row r="2538" spans="18:20" x14ac:dyDescent="0.45">
      <c r="R2538" s="2">
        <v>42.14</v>
      </c>
      <c r="S2538" s="2">
        <v>1.07058E-3</v>
      </c>
      <c r="T2538" s="2">
        <v>8.6434000000000001E-4</v>
      </c>
    </row>
    <row r="2539" spans="18:20" x14ac:dyDescent="0.45">
      <c r="R2539" s="2">
        <v>42.15</v>
      </c>
      <c r="S2539" s="2">
        <v>1.0715500000000001E-3</v>
      </c>
      <c r="T2539" s="2">
        <v>8.6514999999999997E-4</v>
      </c>
    </row>
    <row r="2540" spans="18:20" x14ac:dyDescent="0.45">
      <c r="R2540" s="2">
        <v>42.16</v>
      </c>
      <c r="S2540" s="2">
        <v>1.07252E-3</v>
      </c>
      <c r="T2540" s="2">
        <v>8.6596000000000004E-4</v>
      </c>
    </row>
    <row r="2541" spans="18:20" x14ac:dyDescent="0.45">
      <c r="R2541" s="2">
        <v>42.17</v>
      </c>
      <c r="S2541" s="2">
        <v>1.0734900000000001E-3</v>
      </c>
      <c r="T2541" s="2">
        <v>8.6677E-4</v>
      </c>
    </row>
    <row r="2542" spans="18:20" x14ac:dyDescent="0.45">
      <c r="R2542" s="2">
        <v>42.18</v>
      </c>
      <c r="S2542" s="2">
        <v>1.07446E-3</v>
      </c>
      <c r="T2542" s="2">
        <v>8.6757999999999996E-4</v>
      </c>
    </row>
    <row r="2543" spans="18:20" x14ac:dyDescent="0.45">
      <c r="R2543" s="2">
        <v>42.19</v>
      </c>
      <c r="S2543" s="2">
        <v>1.07543E-3</v>
      </c>
      <c r="T2543" s="2">
        <v>8.6839000000000003E-4</v>
      </c>
    </row>
    <row r="2544" spans="18:20" x14ac:dyDescent="0.45">
      <c r="R2544" s="2">
        <v>42.2</v>
      </c>
      <c r="S2544" s="2">
        <v>1.0763999999999999E-3</v>
      </c>
      <c r="T2544" s="2">
        <v>8.6919999999999999E-4</v>
      </c>
    </row>
    <row r="2545" spans="18:20" x14ac:dyDescent="0.45">
      <c r="R2545" s="2">
        <v>42.21</v>
      </c>
      <c r="S2545" s="2">
        <v>1.07737E-3</v>
      </c>
      <c r="T2545" s="2">
        <v>8.7001000000000005E-4</v>
      </c>
    </row>
    <row r="2546" spans="18:20" x14ac:dyDescent="0.45">
      <c r="R2546" s="2">
        <v>42.22</v>
      </c>
      <c r="S2546" s="2">
        <v>1.0783399999999999E-3</v>
      </c>
      <c r="T2546" s="2">
        <v>8.7082000000000001E-4</v>
      </c>
    </row>
    <row r="2547" spans="18:20" x14ac:dyDescent="0.45">
      <c r="R2547" s="2">
        <v>42.23</v>
      </c>
      <c r="S2547" s="2">
        <v>1.07931E-3</v>
      </c>
      <c r="T2547" s="2">
        <v>8.7162999999999997E-4</v>
      </c>
    </row>
    <row r="2548" spans="18:20" x14ac:dyDescent="0.45">
      <c r="R2548" s="2">
        <v>42.24</v>
      </c>
      <c r="S2548" s="2">
        <v>1.0802800000000001E-3</v>
      </c>
      <c r="T2548" s="2">
        <v>8.7244000000000004E-4</v>
      </c>
    </row>
    <row r="2549" spans="18:20" x14ac:dyDescent="0.45">
      <c r="R2549" s="2">
        <v>42.25</v>
      </c>
      <c r="S2549" s="2">
        <v>1.08125E-3</v>
      </c>
      <c r="T2549" s="2">
        <v>8.7325E-4</v>
      </c>
    </row>
    <row r="2550" spans="18:20" x14ac:dyDescent="0.45">
      <c r="R2550" s="2">
        <v>42.26</v>
      </c>
      <c r="S2550" s="2">
        <v>1.0822200000000001E-3</v>
      </c>
      <c r="T2550" s="2">
        <v>8.7405999999999996E-4</v>
      </c>
    </row>
    <row r="2551" spans="18:20" x14ac:dyDescent="0.45">
      <c r="R2551" s="2">
        <v>42.27</v>
      </c>
      <c r="S2551" s="2">
        <v>1.0831899999999999E-3</v>
      </c>
      <c r="T2551" s="2">
        <v>8.7487000000000003E-4</v>
      </c>
    </row>
    <row r="2552" spans="18:20" x14ac:dyDescent="0.45">
      <c r="R2552" s="2">
        <v>42.28</v>
      </c>
      <c r="S2552" s="2">
        <v>1.08416E-3</v>
      </c>
      <c r="T2552" s="2">
        <v>8.7567999999999999E-4</v>
      </c>
    </row>
    <row r="2553" spans="18:20" x14ac:dyDescent="0.45">
      <c r="R2553" s="2">
        <v>42.29</v>
      </c>
      <c r="S2553" s="2">
        <v>1.0851299999999999E-3</v>
      </c>
      <c r="T2553" s="2">
        <v>8.7648999999999995E-4</v>
      </c>
    </row>
    <row r="2554" spans="18:20" x14ac:dyDescent="0.45">
      <c r="R2554" s="2">
        <v>42.3</v>
      </c>
      <c r="S2554" s="2">
        <v>1.0861E-3</v>
      </c>
      <c r="T2554" s="2">
        <v>8.7730000000000002E-4</v>
      </c>
    </row>
    <row r="2555" spans="18:20" x14ac:dyDescent="0.45">
      <c r="R2555" s="2">
        <v>42.31</v>
      </c>
      <c r="S2555" s="2">
        <v>1.0870700000000001E-3</v>
      </c>
      <c r="T2555" s="2">
        <v>8.7810999999999998E-4</v>
      </c>
    </row>
    <row r="2556" spans="18:20" x14ac:dyDescent="0.45">
      <c r="R2556" s="2">
        <v>42.32</v>
      </c>
      <c r="S2556" s="2">
        <v>1.08804E-3</v>
      </c>
      <c r="T2556" s="2">
        <v>8.7892000000000005E-4</v>
      </c>
    </row>
    <row r="2557" spans="18:20" x14ac:dyDescent="0.45">
      <c r="R2557" s="2">
        <v>42.33</v>
      </c>
      <c r="S2557" s="2">
        <v>1.0890100000000001E-3</v>
      </c>
      <c r="T2557" s="2">
        <v>8.7973000000000001E-4</v>
      </c>
    </row>
    <row r="2558" spans="18:20" x14ac:dyDescent="0.45">
      <c r="R2558" s="2">
        <v>42.34</v>
      </c>
      <c r="S2558" s="2">
        <v>1.0899799999999999E-3</v>
      </c>
      <c r="T2558" s="2">
        <v>8.8053999999999997E-4</v>
      </c>
    </row>
    <row r="2559" spans="18:20" x14ac:dyDescent="0.45">
      <c r="R2559" s="2">
        <v>42.35</v>
      </c>
      <c r="S2559" s="2">
        <v>1.09095E-3</v>
      </c>
      <c r="T2559" s="2">
        <v>8.8135000000000004E-4</v>
      </c>
    </row>
    <row r="2560" spans="18:20" x14ac:dyDescent="0.45">
      <c r="R2560" s="2">
        <v>42.36</v>
      </c>
      <c r="S2560" s="2">
        <v>1.0919199999999999E-3</v>
      </c>
      <c r="T2560" s="2">
        <v>8.8216E-4</v>
      </c>
    </row>
    <row r="2561" spans="18:20" x14ac:dyDescent="0.45">
      <c r="R2561" s="2">
        <v>42.37</v>
      </c>
      <c r="S2561" s="2">
        <v>1.09289E-3</v>
      </c>
      <c r="T2561" s="2">
        <v>8.8296999999999996E-4</v>
      </c>
    </row>
    <row r="2562" spans="18:20" x14ac:dyDescent="0.45">
      <c r="R2562" s="2">
        <v>42.38</v>
      </c>
      <c r="S2562" s="2">
        <v>1.0938600000000001E-3</v>
      </c>
      <c r="T2562" s="2">
        <v>8.8378000000000003E-4</v>
      </c>
    </row>
    <row r="2563" spans="18:20" x14ac:dyDescent="0.45">
      <c r="R2563" s="2">
        <v>42.39</v>
      </c>
      <c r="S2563" s="2">
        <v>1.09483E-3</v>
      </c>
      <c r="T2563" s="2">
        <v>8.8458999999999999E-4</v>
      </c>
    </row>
    <row r="2564" spans="18:20" x14ac:dyDescent="0.45">
      <c r="R2564" s="2">
        <v>42.4</v>
      </c>
      <c r="S2564" s="2">
        <v>1.0958000000000001E-3</v>
      </c>
      <c r="T2564" s="2">
        <v>8.8540000000000005E-4</v>
      </c>
    </row>
    <row r="2565" spans="18:20" x14ac:dyDescent="0.45">
      <c r="R2565" s="2">
        <v>42.41</v>
      </c>
      <c r="S2565" s="2">
        <v>1.0967699999999999E-3</v>
      </c>
      <c r="T2565" s="2">
        <v>8.8621000000000001E-4</v>
      </c>
    </row>
    <row r="2566" spans="18:20" x14ac:dyDescent="0.45">
      <c r="R2566" s="2">
        <v>42.42</v>
      </c>
      <c r="S2566" s="2">
        <v>1.09774E-3</v>
      </c>
      <c r="T2566" s="2">
        <v>8.8701999999999997E-4</v>
      </c>
    </row>
    <row r="2567" spans="18:20" x14ac:dyDescent="0.45">
      <c r="R2567" s="2">
        <v>42.43</v>
      </c>
      <c r="S2567" s="2">
        <v>1.0987099999999999E-3</v>
      </c>
      <c r="T2567" s="2">
        <v>8.8783000000000004E-4</v>
      </c>
    </row>
    <row r="2568" spans="18:20" x14ac:dyDescent="0.45">
      <c r="R2568" s="2">
        <v>42.44</v>
      </c>
      <c r="S2568" s="2">
        <v>1.09968E-3</v>
      </c>
      <c r="T2568" s="2">
        <v>8.8864E-4</v>
      </c>
    </row>
    <row r="2569" spans="18:20" x14ac:dyDescent="0.45">
      <c r="R2569" s="2">
        <v>42.45</v>
      </c>
      <c r="S2569" s="2">
        <v>1.1006499999999999E-3</v>
      </c>
      <c r="T2569" s="2">
        <v>8.8944999999999996E-4</v>
      </c>
    </row>
    <row r="2570" spans="18:20" x14ac:dyDescent="0.45">
      <c r="R2570" s="2">
        <v>42.46</v>
      </c>
      <c r="S2570" s="2">
        <v>1.10162E-3</v>
      </c>
      <c r="T2570" s="2">
        <v>8.9026000000000003E-4</v>
      </c>
    </row>
    <row r="2571" spans="18:20" x14ac:dyDescent="0.45">
      <c r="R2571" s="2">
        <v>42.47</v>
      </c>
      <c r="S2571" s="2">
        <v>1.1025900000000001E-3</v>
      </c>
      <c r="T2571" s="2">
        <v>8.9106999999999999E-4</v>
      </c>
    </row>
    <row r="2572" spans="18:20" x14ac:dyDescent="0.45">
      <c r="R2572" s="2">
        <v>42.48</v>
      </c>
      <c r="S2572" s="2">
        <v>1.10356E-3</v>
      </c>
      <c r="T2572" s="2">
        <v>8.9187999999999995E-4</v>
      </c>
    </row>
    <row r="2573" spans="18:20" x14ac:dyDescent="0.45">
      <c r="R2573" s="2">
        <v>42.49</v>
      </c>
      <c r="S2573" s="2">
        <v>1.1045300000000001E-3</v>
      </c>
      <c r="T2573" s="2">
        <v>8.9269000000000002E-4</v>
      </c>
    </row>
    <row r="2574" spans="18:20" x14ac:dyDescent="0.45">
      <c r="R2574" s="2">
        <v>42.5</v>
      </c>
      <c r="S2574" s="2">
        <v>1.1054999999999999E-3</v>
      </c>
      <c r="T2574" s="2">
        <v>8.9349999999999998E-4</v>
      </c>
    </row>
    <row r="2575" spans="18:20" x14ac:dyDescent="0.45">
      <c r="R2575" s="2">
        <v>42.51</v>
      </c>
      <c r="S2575" s="2">
        <v>1.10647E-3</v>
      </c>
      <c r="T2575" s="2">
        <v>8.9431000000000005E-4</v>
      </c>
    </row>
    <row r="2576" spans="18:20" x14ac:dyDescent="0.45">
      <c r="R2576" s="2">
        <v>42.52</v>
      </c>
      <c r="S2576" s="2">
        <v>1.1074399999999999E-3</v>
      </c>
      <c r="T2576" s="2">
        <v>8.9512000000000001E-4</v>
      </c>
    </row>
    <row r="2577" spans="18:20" x14ac:dyDescent="0.45">
      <c r="R2577" s="2">
        <v>42.53</v>
      </c>
      <c r="S2577" s="2">
        <v>1.10841E-3</v>
      </c>
      <c r="T2577" s="2">
        <v>8.9592999999999997E-4</v>
      </c>
    </row>
    <row r="2578" spans="18:20" x14ac:dyDescent="0.45">
      <c r="R2578" s="2">
        <v>42.54</v>
      </c>
      <c r="S2578" s="2">
        <v>1.1093800000000001E-3</v>
      </c>
      <c r="T2578" s="2">
        <v>8.9674000000000004E-4</v>
      </c>
    </row>
    <row r="2579" spans="18:20" x14ac:dyDescent="0.45">
      <c r="R2579" s="2">
        <v>42.55</v>
      </c>
      <c r="S2579" s="2">
        <v>1.11035E-3</v>
      </c>
      <c r="T2579" s="2">
        <v>8.9755E-4</v>
      </c>
    </row>
    <row r="2580" spans="18:20" x14ac:dyDescent="0.45">
      <c r="R2580" s="2">
        <v>42.56</v>
      </c>
      <c r="S2580" s="2">
        <v>1.1113200000000001E-3</v>
      </c>
      <c r="T2580" s="2">
        <v>8.9835999999999996E-4</v>
      </c>
    </row>
    <row r="2581" spans="18:20" x14ac:dyDescent="0.45">
      <c r="R2581" s="2">
        <v>42.57</v>
      </c>
      <c r="S2581" s="2">
        <v>1.1122899999999999E-3</v>
      </c>
      <c r="T2581" s="2">
        <v>8.9917000000000003E-4</v>
      </c>
    </row>
    <row r="2582" spans="18:20" x14ac:dyDescent="0.45">
      <c r="R2582" s="2">
        <v>42.58</v>
      </c>
      <c r="S2582" s="2">
        <v>1.11326E-3</v>
      </c>
      <c r="T2582" s="2">
        <v>8.9997999999999999E-4</v>
      </c>
    </row>
    <row r="2583" spans="18:20" x14ac:dyDescent="0.45">
      <c r="R2583" s="2">
        <v>42.59</v>
      </c>
      <c r="S2583" s="2">
        <v>1.1142299999999999E-3</v>
      </c>
      <c r="T2583" s="2">
        <v>9.0079000000000005E-4</v>
      </c>
    </row>
    <row r="2584" spans="18:20" x14ac:dyDescent="0.45">
      <c r="R2584" s="2">
        <v>42.6</v>
      </c>
      <c r="S2584" s="2">
        <v>1.1152E-3</v>
      </c>
      <c r="T2584" s="2">
        <v>9.0160000000000001E-4</v>
      </c>
    </row>
    <row r="2585" spans="18:20" x14ac:dyDescent="0.45">
      <c r="R2585" s="2">
        <v>42.61</v>
      </c>
      <c r="S2585" s="2">
        <v>1.1161700000000001E-3</v>
      </c>
      <c r="T2585" s="2">
        <v>9.0240999999999997E-4</v>
      </c>
    </row>
    <row r="2586" spans="18:20" x14ac:dyDescent="0.45">
      <c r="R2586" s="2">
        <v>42.62</v>
      </c>
      <c r="S2586" s="2">
        <v>1.11714E-3</v>
      </c>
      <c r="T2586" s="2">
        <v>9.0322000000000004E-4</v>
      </c>
    </row>
    <row r="2587" spans="18:20" x14ac:dyDescent="0.45">
      <c r="R2587" s="2">
        <v>42.63</v>
      </c>
      <c r="S2587" s="2">
        <v>1.1181100000000001E-3</v>
      </c>
      <c r="T2587" s="2">
        <v>9.0403E-4</v>
      </c>
    </row>
    <row r="2588" spans="18:20" x14ac:dyDescent="0.45">
      <c r="R2588" s="2">
        <v>42.64</v>
      </c>
      <c r="S2588" s="2">
        <v>1.1190799999999999E-3</v>
      </c>
      <c r="T2588" s="2">
        <v>9.0483999999999996E-4</v>
      </c>
    </row>
    <row r="2589" spans="18:20" x14ac:dyDescent="0.45">
      <c r="R2589" s="2">
        <v>42.65</v>
      </c>
      <c r="S2589" s="2">
        <v>1.12005E-3</v>
      </c>
      <c r="T2589" s="2">
        <v>9.0565000000000003E-4</v>
      </c>
    </row>
    <row r="2590" spans="18:20" x14ac:dyDescent="0.45">
      <c r="R2590" s="2">
        <v>42.66</v>
      </c>
      <c r="S2590" s="2">
        <v>1.1210199999999999E-3</v>
      </c>
      <c r="T2590" s="2">
        <v>9.0645999999999999E-4</v>
      </c>
    </row>
    <row r="2591" spans="18:20" x14ac:dyDescent="0.45">
      <c r="R2591" s="2">
        <v>42.67</v>
      </c>
      <c r="S2591" s="2">
        <v>1.12199E-3</v>
      </c>
      <c r="T2591" s="2">
        <v>9.0726999999999995E-4</v>
      </c>
    </row>
    <row r="2592" spans="18:20" x14ac:dyDescent="0.45">
      <c r="R2592" s="2">
        <v>42.68</v>
      </c>
      <c r="S2592" s="2">
        <v>1.1229600000000001E-3</v>
      </c>
      <c r="T2592" s="2">
        <v>9.0808000000000002E-4</v>
      </c>
    </row>
    <row r="2593" spans="18:20" x14ac:dyDescent="0.45">
      <c r="R2593" s="2">
        <v>42.69</v>
      </c>
      <c r="S2593" s="2">
        <v>1.12393E-3</v>
      </c>
      <c r="T2593" s="2">
        <v>9.0888999999999998E-4</v>
      </c>
    </row>
    <row r="2594" spans="18:20" x14ac:dyDescent="0.45">
      <c r="R2594" s="2">
        <v>42.7</v>
      </c>
      <c r="S2594" s="2">
        <v>1.1249000000000001E-3</v>
      </c>
      <c r="T2594" s="2">
        <v>9.0970000000000005E-4</v>
      </c>
    </row>
    <row r="2595" spans="18:20" x14ac:dyDescent="0.45">
      <c r="R2595" s="2">
        <v>42.71</v>
      </c>
      <c r="S2595" s="2">
        <v>1.12587E-3</v>
      </c>
      <c r="T2595" s="2">
        <v>9.1051000000000001E-4</v>
      </c>
    </row>
    <row r="2596" spans="18:20" x14ac:dyDescent="0.45">
      <c r="R2596" s="2">
        <v>42.72</v>
      </c>
      <c r="S2596" s="2">
        <v>1.12684E-3</v>
      </c>
      <c r="T2596" s="2">
        <v>9.1131999999999997E-4</v>
      </c>
    </row>
    <row r="2597" spans="18:20" x14ac:dyDescent="0.45">
      <c r="R2597" s="2">
        <v>42.73</v>
      </c>
      <c r="S2597" s="2">
        <v>1.1278099999999999E-3</v>
      </c>
      <c r="T2597" s="2">
        <v>9.1213000000000004E-4</v>
      </c>
    </row>
    <row r="2598" spans="18:20" x14ac:dyDescent="0.45">
      <c r="R2598" s="2">
        <v>42.74</v>
      </c>
      <c r="S2598" s="2">
        <v>1.12878E-3</v>
      </c>
      <c r="T2598" s="2">
        <v>9.1294E-4</v>
      </c>
    </row>
    <row r="2599" spans="18:20" x14ac:dyDescent="0.45">
      <c r="R2599" s="2">
        <v>42.75</v>
      </c>
      <c r="S2599" s="2">
        <v>1.1297499999999999E-3</v>
      </c>
      <c r="T2599" s="2">
        <v>9.1374999999999996E-4</v>
      </c>
    </row>
    <row r="2600" spans="18:20" x14ac:dyDescent="0.45">
      <c r="R2600" s="2">
        <v>42.76</v>
      </c>
      <c r="S2600" s="2">
        <v>1.13072E-3</v>
      </c>
      <c r="T2600" s="2">
        <v>9.1456000000000003E-4</v>
      </c>
    </row>
    <row r="2601" spans="18:20" x14ac:dyDescent="0.45">
      <c r="R2601" s="2">
        <v>42.77</v>
      </c>
      <c r="S2601" s="2">
        <v>1.1316900000000001E-3</v>
      </c>
      <c r="T2601" s="2">
        <v>9.1536999999999999E-4</v>
      </c>
    </row>
    <row r="2602" spans="18:20" x14ac:dyDescent="0.45">
      <c r="R2602" s="2">
        <v>42.78</v>
      </c>
      <c r="S2602" s="2">
        <v>1.13266E-3</v>
      </c>
      <c r="T2602" s="2">
        <v>9.1617999999999995E-4</v>
      </c>
    </row>
    <row r="2603" spans="18:20" x14ac:dyDescent="0.45">
      <c r="R2603" s="2">
        <v>42.79</v>
      </c>
      <c r="S2603" s="2">
        <v>1.1336300000000001E-3</v>
      </c>
      <c r="T2603" s="2">
        <v>9.1699000000000001E-4</v>
      </c>
    </row>
    <row r="2604" spans="18:20" x14ac:dyDescent="0.45">
      <c r="R2604" s="2">
        <v>42.8</v>
      </c>
      <c r="S2604" s="2">
        <v>1.1345999999999999E-3</v>
      </c>
      <c r="T2604" s="2">
        <v>9.1779999999999997E-4</v>
      </c>
    </row>
    <row r="2605" spans="18:20" x14ac:dyDescent="0.45">
      <c r="R2605" s="2">
        <v>42.81</v>
      </c>
      <c r="S2605" s="2">
        <v>1.13557E-3</v>
      </c>
      <c r="T2605" s="2">
        <v>9.1861000000000004E-4</v>
      </c>
    </row>
    <row r="2606" spans="18:20" x14ac:dyDescent="0.45">
      <c r="R2606" s="2">
        <v>42.82</v>
      </c>
      <c r="S2606" s="2">
        <v>1.1365399999999999E-3</v>
      </c>
      <c r="T2606" s="2">
        <v>9.1942E-4</v>
      </c>
    </row>
    <row r="2607" spans="18:20" x14ac:dyDescent="0.45">
      <c r="R2607" s="2">
        <v>42.83</v>
      </c>
      <c r="S2607" s="2">
        <v>1.13751E-3</v>
      </c>
      <c r="T2607" s="2">
        <v>9.2022999999999996E-4</v>
      </c>
    </row>
    <row r="2608" spans="18:20" x14ac:dyDescent="0.45">
      <c r="R2608" s="2">
        <v>42.84</v>
      </c>
      <c r="S2608" s="2">
        <v>1.1384800000000001E-3</v>
      </c>
      <c r="T2608" s="2">
        <v>9.2104000000000003E-4</v>
      </c>
    </row>
    <row r="2609" spans="18:20" x14ac:dyDescent="0.45">
      <c r="R2609" s="2">
        <v>42.85</v>
      </c>
      <c r="S2609" s="2">
        <v>1.13945E-3</v>
      </c>
      <c r="T2609" s="2">
        <v>9.2184999999999999E-4</v>
      </c>
    </row>
    <row r="2610" spans="18:20" x14ac:dyDescent="0.45">
      <c r="R2610" s="2">
        <v>42.86</v>
      </c>
      <c r="S2610" s="2">
        <v>1.1404200000000001E-3</v>
      </c>
      <c r="T2610" s="2">
        <v>9.2265999999999995E-4</v>
      </c>
    </row>
    <row r="2611" spans="18:20" x14ac:dyDescent="0.45">
      <c r="R2611" s="2">
        <v>42.87</v>
      </c>
      <c r="S2611" s="2">
        <v>1.1413899999999999E-3</v>
      </c>
      <c r="T2611" s="2">
        <v>9.2347000000000002E-4</v>
      </c>
    </row>
    <row r="2612" spans="18:20" x14ac:dyDescent="0.45">
      <c r="R2612" s="2">
        <v>42.88</v>
      </c>
      <c r="S2612" s="2">
        <v>1.14236E-3</v>
      </c>
      <c r="T2612" s="2">
        <v>9.2427999999999998E-4</v>
      </c>
    </row>
    <row r="2613" spans="18:20" x14ac:dyDescent="0.45">
      <c r="R2613" s="2">
        <v>42.89</v>
      </c>
      <c r="S2613" s="2">
        <v>1.1433299999999999E-3</v>
      </c>
      <c r="T2613" s="2">
        <v>9.2509000000000005E-4</v>
      </c>
    </row>
    <row r="2614" spans="18:20" x14ac:dyDescent="0.45">
      <c r="R2614" s="2">
        <v>42.9</v>
      </c>
      <c r="S2614" s="2">
        <v>1.1443E-3</v>
      </c>
      <c r="T2614" s="2">
        <v>9.2590000000000001E-4</v>
      </c>
    </row>
    <row r="2615" spans="18:20" x14ac:dyDescent="0.45">
      <c r="R2615" s="2">
        <v>42.91</v>
      </c>
      <c r="S2615" s="2">
        <v>1.1452700000000001E-3</v>
      </c>
      <c r="T2615" s="2">
        <v>9.2670999999999997E-4</v>
      </c>
    </row>
    <row r="2616" spans="18:20" x14ac:dyDescent="0.45">
      <c r="R2616" s="2">
        <v>42.92</v>
      </c>
      <c r="S2616" s="2">
        <v>1.14624E-3</v>
      </c>
      <c r="T2616" s="2">
        <v>9.2752000000000004E-4</v>
      </c>
    </row>
    <row r="2617" spans="18:20" x14ac:dyDescent="0.45">
      <c r="R2617" s="2">
        <v>42.93</v>
      </c>
      <c r="S2617" s="2">
        <v>1.1472100000000001E-3</v>
      </c>
      <c r="T2617" s="2">
        <v>9.2833E-4</v>
      </c>
    </row>
    <row r="2618" spans="18:20" x14ac:dyDescent="0.45">
      <c r="R2618" s="2">
        <v>42.94</v>
      </c>
      <c r="S2618" s="2">
        <v>1.1481799999999999E-3</v>
      </c>
      <c r="T2618" s="2">
        <v>9.2913999999999996E-4</v>
      </c>
    </row>
    <row r="2619" spans="18:20" x14ac:dyDescent="0.45">
      <c r="R2619" s="2">
        <v>42.95</v>
      </c>
      <c r="S2619" s="2">
        <v>1.14915E-3</v>
      </c>
      <c r="T2619" s="2">
        <v>9.2995000000000003E-4</v>
      </c>
    </row>
    <row r="2620" spans="18:20" x14ac:dyDescent="0.45">
      <c r="R2620" s="2">
        <v>42.96</v>
      </c>
      <c r="S2620" s="2">
        <v>1.1501199999999999E-3</v>
      </c>
      <c r="T2620" s="2">
        <v>9.3075999999999999E-4</v>
      </c>
    </row>
    <row r="2621" spans="18:20" x14ac:dyDescent="0.45">
      <c r="R2621" s="2">
        <v>42.97</v>
      </c>
      <c r="S2621" s="2">
        <v>1.15109E-3</v>
      </c>
      <c r="T2621" s="2">
        <v>9.3156999999999995E-4</v>
      </c>
    </row>
    <row r="2622" spans="18:20" x14ac:dyDescent="0.45">
      <c r="R2622" s="2">
        <v>42.98</v>
      </c>
      <c r="S2622" s="2">
        <v>1.1520600000000001E-3</v>
      </c>
      <c r="T2622" s="2">
        <v>9.3238000000000001E-4</v>
      </c>
    </row>
    <row r="2623" spans="18:20" x14ac:dyDescent="0.45">
      <c r="R2623" s="2">
        <v>42.99</v>
      </c>
      <c r="S2623" s="2">
        <v>1.15303E-3</v>
      </c>
      <c r="T2623" s="2">
        <v>9.3318999999999997E-4</v>
      </c>
    </row>
    <row r="2624" spans="18:20" x14ac:dyDescent="0.45">
      <c r="R2624" s="2">
        <v>43</v>
      </c>
      <c r="S2624" s="2">
        <v>1.1540000000000001E-3</v>
      </c>
      <c r="T2624" s="2">
        <v>9.3400000000000004E-4</v>
      </c>
    </row>
    <row r="2625" spans="18:20" x14ac:dyDescent="0.45">
      <c r="R2625" s="2">
        <v>43.01</v>
      </c>
      <c r="S2625" s="2">
        <v>1.15511E-3</v>
      </c>
      <c r="T2625" s="2">
        <v>9.3488000000000002E-4</v>
      </c>
    </row>
    <row r="2626" spans="18:20" x14ac:dyDescent="0.45">
      <c r="R2626" s="2">
        <v>43.02</v>
      </c>
      <c r="S2626" s="2">
        <v>1.1562199999999999E-3</v>
      </c>
      <c r="T2626" s="2">
        <v>9.3576E-4</v>
      </c>
    </row>
    <row r="2627" spans="18:20" x14ac:dyDescent="0.45">
      <c r="R2627" s="2">
        <v>43.03</v>
      </c>
      <c r="S2627" s="2">
        <v>1.15733E-3</v>
      </c>
      <c r="T2627" s="2">
        <v>9.3663999999999998E-4</v>
      </c>
    </row>
    <row r="2628" spans="18:20" x14ac:dyDescent="0.45">
      <c r="R2628" s="2">
        <v>43.04</v>
      </c>
      <c r="S2628" s="2">
        <v>1.1584399999999999E-3</v>
      </c>
      <c r="T2628" s="2">
        <v>9.3751999999999995E-4</v>
      </c>
    </row>
    <row r="2629" spans="18:20" x14ac:dyDescent="0.45">
      <c r="R2629" s="2">
        <v>43.05</v>
      </c>
      <c r="S2629" s="2">
        <v>1.1595500000000001E-3</v>
      </c>
      <c r="T2629" s="2">
        <v>9.3840000000000004E-4</v>
      </c>
    </row>
    <row r="2630" spans="18:20" x14ac:dyDescent="0.45">
      <c r="R2630" s="2">
        <v>43.06</v>
      </c>
      <c r="S2630" s="2">
        <v>1.16066E-3</v>
      </c>
      <c r="T2630" s="2">
        <v>9.3928000000000002E-4</v>
      </c>
    </row>
    <row r="2631" spans="18:20" x14ac:dyDescent="0.45">
      <c r="R2631" s="2">
        <v>43.07</v>
      </c>
      <c r="S2631" s="2">
        <v>1.1617699999999999E-3</v>
      </c>
      <c r="T2631" s="2">
        <v>9.4016E-4</v>
      </c>
    </row>
    <row r="2632" spans="18:20" x14ac:dyDescent="0.45">
      <c r="R2632" s="2">
        <v>43.08</v>
      </c>
      <c r="S2632" s="2">
        <v>1.16288E-3</v>
      </c>
      <c r="T2632" s="2">
        <v>9.4103999999999998E-4</v>
      </c>
    </row>
    <row r="2633" spans="18:20" x14ac:dyDescent="0.45">
      <c r="R2633" s="2">
        <v>43.09</v>
      </c>
      <c r="S2633" s="2">
        <v>1.1639899999999999E-3</v>
      </c>
      <c r="T2633" s="2">
        <v>9.4191999999999995E-4</v>
      </c>
    </row>
    <row r="2634" spans="18:20" x14ac:dyDescent="0.45">
      <c r="R2634" s="2">
        <v>43.1</v>
      </c>
      <c r="S2634" s="2">
        <v>1.1651000000000001E-3</v>
      </c>
      <c r="T2634" s="2">
        <v>9.4280000000000004E-4</v>
      </c>
    </row>
    <row r="2635" spans="18:20" x14ac:dyDescent="0.45">
      <c r="R2635" s="2">
        <v>43.11</v>
      </c>
      <c r="S2635" s="2">
        <v>1.16621E-3</v>
      </c>
      <c r="T2635" s="2">
        <v>9.4368000000000002E-4</v>
      </c>
    </row>
    <row r="2636" spans="18:20" x14ac:dyDescent="0.45">
      <c r="R2636" s="2">
        <v>43.12</v>
      </c>
      <c r="S2636" s="2">
        <v>1.1673199999999999E-3</v>
      </c>
      <c r="T2636" s="2">
        <v>9.4456E-4</v>
      </c>
    </row>
    <row r="2637" spans="18:20" x14ac:dyDescent="0.45">
      <c r="R2637" s="2">
        <v>43.13</v>
      </c>
      <c r="S2637" s="2">
        <v>1.16843E-3</v>
      </c>
      <c r="T2637" s="2">
        <v>9.4543999999999997E-4</v>
      </c>
    </row>
    <row r="2638" spans="18:20" x14ac:dyDescent="0.45">
      <c r="R2638" s="2">
        <v>43.14</v>
      </c>
      <c r="S2638" s="2">
        <v>1.1695399999999999E-3</v>
      </c>
      <c r="T2638" s="2">
        <v>9.4631999999999995E-4</v>
      </c>
    </row>
    <row r="2639" spans="18:20" x14ac:dyDescent="0.45">
      <c r="R2639" s="2">
        <v>43.15</v>
      </c>
      <c r="S2639" s="2">
        <v>1.1706500000000001E-3</v>
      </c>
      <c r="T2639" s="2">
        <v>9.4720000000000004E-4</v>
      </c>
    </row>
    <row r="2640" spans="18:20" x14ac:dyDescent="0.45">
      <c r="R2640" s="2">
        <v>43.16</v>
      </c>
      <c r="S2640" s="2">
        <v>1.17176E-3</v>
      </c>
      <c r="T2640" s="2">
        <v>9.4808000000000002E-4</v>
      </c>
    </row>
    <row r="2641" spans="18:20" x14ac:dyDescent="0.45">
      <c r="R2641" s="2">
        <v>43.17</v>
      </c>
      <c r="S2641" s="2">
        <v>1.1728699999999999E-3</v>
      </c>
      <c r="T2641" s="2">
        <v>9.4895999999999999E-4</v>
      </c>
    </row>
    <row r="2642" spans="18:20" x14ac:dyDescent="0.45">
      <c r="R2642" s="2">
        <v>43.18</v>
      </c>
      <c r="S2642" s="2">
        <v>1.17398E-3</v>
      </c>
      <c r="T2642" s="2">
        <v>9.4983999999999997E-4</v>
      </c>
    </row>
    <row r="2643" spans="18:20" x14ac:dyDescent="0.45">
      <c r="R2643" s="2">
        <v>43.19</v>
      </c>
      <c r="S2643" s="2">
        <v>1.1750899999999999E-3</v>
      </c>
      <c r="T2643" s="2">
        <v>9.5071999999999995E-4</v>
      </c>
    </row>
    <row r="2644" spans="18:20" x14ac:dyDescent="0.45">
      <c r="R2644" s="2">
        <v>43.2</v>
      </c>
      <c r="S2644" s="2">
        <v>1.1762000000000001E-3</v>
      </c>
      <c r="T2644" s="2">
        <v>9.5160000000000004E-4</v>
      </c>
    </row>
    <row r="2645" spans="18:20" x14ac:dyDescent="0.45">
      <c r="R2645" s="2">
        <v>43.21</v>
      </c>
      <c r="S2645" s="2">
        <v>1.17731E-3</v>
      </c>
      <c r="T2645" s="2">
        <v>9.5248000000000002E-4</v>
      </c>
    </row>
    <row r="2646" spans="18:20" x14ac:dyDescent="0.45">
      <c r="R2646" s="2">
        <v>43.22</v>
      </c>
      <c r="S2646" s="2">
        <v>1.1784199999999999E-3</v>
      </c>
      <c r="T2646" s="2">
        <v>9.5335999999999999E-4</v>
      </c>
    </row>
    <row r="2647" spans="18:20" x14ac:dyDescent="0.45">
      <c r="R2647" s="2">
        <v>43.23</v>
      </c>
      <c r="S2647" s="2">
        <v>1.17953E-3</v>
      </c>
      <c r="T2647" s="2">
        <v>9.5423999999999997E-4</v>
      </c>
    </row>
    <row r="2648" spans="18:20" x14ac:dyDescent="0.45">
      <c r="R2648" s="2">
        <v>43.24</v>
      </c>
      <c r="S2648" s="2">
        <v>1.1806399999999999E-3</v>
      </c>
      <c r="T2648" s="2">
        <v>9.5511999999999995E-4</v>
      </c>
    </row>
    <row r="2649" spans="18:20" x14ac:dyDescent="0.45">
      <c r="R2649" s="2">
        <v>43.25</v>
      </c>
      <c r="S2649" s="2">
        <v>1.1817500000000001E-3</v>
      </c>
      <c r="T2649" s="2">
        <v>9.5600000000000004E-4</v>
      </c>
    </row>
    <row r="2650" spans="18:20" x14ac:dyDescent="0.45">
      <c r="R2650" s="2">
        <v>43.26</v>
      </c>
      <c r="S2650" s="2">
        <v>1.18286E-3</v>
      </c>
      <c r="T2650" s="2">
        <v>9.5688000000000001E-4</v>
      </c>
    </row>
    <row r="2651" spans="18:20" x14ac:dyDescent="0.45">
      <c r="R2651" s="2">
        <v>43.27</v>
      </c>
      <c r="S2651" s="2">
        <v>1.1839699999999999E-3</v>
      </c>
      <c r="T2651" s="2">
        <v>9.5775999999999999E-4</v>
      </c>
    </row>
    <row r="2652" spans="18:20" x14ac:dyDescent="0.45">
      <c r="R2652" s="2">
        <v>43.28</v>
      </c>
      <c r="S2652" s="2">
        <v>1.18508E-3</v>
      </c>
      <c r="T2652" s="2">
        <v>9.5863999999999997E-4</v>
      </c>
    </row>
    <row r="2653" spans="18:20" x14ac:dyDescent="0.45">
      <c r="R2653" s="2">
        <v>43.29</v>
      </c>
      <c r="S2653" s="2">
        <v>1.1861899999999999E-3</v>
      </c>
      <c r="T2653" s="2">
        <v>9.5951999999999995E-4</v>
      </c>
    </row>
    <row r="2654" spans="18:20" x14ac:dyDescent="0.45">
      <c r="R2654" s="2">
        <v>43.3</v>
      </c>
      <c r="S2654" s="2">
        <v>1.1873000000000001E-3</v>
      </c>
      <c r="T2654" s="2">
        <v>9.6040000000000003E-4</v>
      </c>
    </row>
    <row r="2655" spans="18:20" x14ac:dyDescent="0.45">
      <c r="R2655" s="2">
        <v>43.31</v>
      </c>
      <c r="S2655" s="2">
        <v>1.18841E-3</v>
      </c>
      <c r="T2655" s="2">
        <v>9.6128000000000001E-4</v>
      </c>
    </row>
    <row r="2656" spans="18:20" x14ac:dyDescent="0.45">
      <c r="R2656" s="2">
        <v>43.32</v>
      </c>
      <c r="S2656" s="2">
        <v>1.1895199999999999E-3</v>
      </c>
      <c r="T2656" s="2">
        <v>9.6215999999999999E-4</v>
      </c>
    </row>
    <row r="2657" spans="18:20" x14ac:dyDescent="0.45">
      <c r="R2657" s="2">
        <v>43.33</v>
      </c>
      <c r="S2657" s="2">
        <v>1.19063E-3</v>
      </c>
      <c r="T2657" s="2">
        <v>9.6303999999999997E-4</v>
      </c>
    </row>
    <row r="2658" spans="18:20" x14ac:dyDescent="0.45">
      <c r="R2658" s="2">
        <v>43.34</v>
      </c>
      <c r="S2658" s="2">
        <v>1.1917399999999999E-3</v>
      </c>
      <c r="T2658" s="2">
        <v>9.6391999999999995E-4</v>
      </c>
    </row>
    <row r="2659" spans="18:20" x14ac:dyDescent="0.45">
      <c r="R2659" s="2">
        <v>43.35</v>
      </c>
      <c r="S2659" s="2">
        <v>1.1928500000000001E-3</v>
      </c>
      <c r="T2659" s="2">
        <v>9.6480000000000003E-4</v>
      </c>
    </row>
    <row r="2660" spans="18:20" x14ac:dyDescent="0.45">
      <c r="R2660" s="2">
        <v>43.36</v>
      </c>
      <c r="S2660" s="2">
        <v>1.19396E-3</v>
      </c>
      <c r="T2660" s="2">
        <v>9.6568000000000001E-4</v>
      </c>
    </row>
    <row r="2661" spans="18:20" x14ac:dyDescent="0.45">
      <c r="R2661" s="2">
        <v>43.37</v>
      </c>
      <c r="S2661" s="2">
        <v>1.1950699999999999E-3</v>
      </c>
      <c r="T2661" s="2">
        <v>9.6655999999999999E-4</v>
      </c>
    </row>
    <row r="2662" spans="18:20" x14ac:dyDescent="0.45">
      <c r="R2662" s="2">
        <v>43.38</v>
      </c>
      <c r="S2662" s="2">
        <v>1.19618E-3</v>
      </c>
      <c r="T2662" s="2">
        <v>9.6743999999999997E-4</v>
      </c>
    </row>
    <row r="2663" spans="18:20" x14ac:dyDescent="0.45">
      <c r="R2663" s="2">
        <v>43.39</v>
      </c>
      <c r="S2663" s="2">
        <v>1.1972899999999999E-3</v>
      </c>
      <c r="T2663" s="2">
        <v>9.6832000000000005E-4</v>
      </c>
    </row>
    <row r="2664" spans="18:20" x14ac:dyDescent="0.45">
      <c r="R2664" s="2">
        <v>43.4</v>
      </c>
      <c r="S2664" s="2">
        <v>1.1984000000000001E-3</v>
      </c>
      <c r="T2664" s="2">
        <v>9.6920000000000003E-4</v>
      </c>
    </row>
    <row r="2665" spans="18:20" x14ac:dyDescent="0.45">
      <c r="R2665" s="2">
        <v>43.41</v>
      </c>
      <c r="S2665" s="2">
        <v>1.19951E-3</v>
      </c>
      <c r="T2665" s="2">
        <v>9.7008000000000001E-4</v>
      </c>
    </row>
    <row r="2666" spans="18:20" x14ac:dyDescent="0.45">
      <c r="R2666" s="2">
        <v>43.42</v>
      </c>
      <c r="S2666" s="2">
        <v>1.2006199999999999E-3</v>
      </c>
      <c r="T2666" s="2">
        <v>9.7095999999999999E-4</v>
      </c>
    </row>
    <row r="2667" spans="18:20" x14ac:dyDescent="0.45">
      <c r="R2667" s="2">
        <v>43.43</v>
      </c>
      <c r="S2667" s="2">
        <v>1.20173E-3</v>
      </c>
      <c r="T2667" s="2">
        <v>9.7183999999999997E-4</v>
      </c>
    </row>
    <row r="2668" spans="18:20" x14ac:dyDescent="0.45">
      <c r="R2668" s="2">
        <v>43.44</v>
      </c>
      <c r="S2668" s="2">
        <v>1.2028399999999999E-3</v>
      </c>
      <c r="T2668" s="2">
        <v>9.7272000000000005E-4</v>
      </c>
    </row>
    <row r="2669" spans="18:20" x14ac:dyDescent="0.45">
      <c r="R2669" s="2">
        <v>43.45</v>
      </c>
      <c r="S2669" s="2">
        <v>1.2039500000000001E-3</v>
      </c>
      <c r="T2669" s="2">
        <v>9.7360000000000003E-4</v>
      </c>
    </row>
    <row r="2670" spans="18:20" x14ac:dyDescent="0.45">
      <c r="R2670" s="2">
        <v>43.46</v>
      </c>
      <c r="S2670" s="2">
        <v>1.20506E-3</v>
      </c>
      <c r="T2670" s="2">
        <v>9.7448000000000001E-4</v>
      </c>
    </row>
    <row r="2671" spans="18:20" x14ac:dyDescent="0.45">
      <c r="R2671" s="2">
        <v>43.47</v>
      </c>
      <c r="S2671" s="2">
        <v>1.2061699999999999E-3</v>
      </c>
      <c r="T2671" s="2">
        <v>9.7535999999999999E-4</v>
      </c>
    </row>
    <row r="2672" spans="18:20" x14ac:dyDescent="0.45">
      <c r="R2672" s="2">
        <v>43.48</v>
      </c>
      <c r="S2672" s="2">
        <v>1.20728E-3</v>
      </c>
      <c r="T2672" s="2">
        <v>9.7623999999999996E-4</v>
      </c>
    </row>
    <row r="2673" spans="18:20" x14ac:dyDescent="0.45">
      <c r="R2673" s="2">
        <v>43.49</v>
      </c>
      <c r="S2673" s="2">
        <v>1.2083899999999999E-3</v>
      </c>
      <c r="T2673" s="2">
        <v>9.7711999999999994E-4</v>
      </c>
    </row>
    <row r="2674" spans="18:20" x14ac:dyDescent="0.45">
      <c r="R2674" s="2">
        <v>43.5</v>
      </c>
      <c r="S2674" s="2">
        <v>1.2095000000000001E-3</v>
      </c>
      <c r="T2674" s="2">
        <v>9.7799999999999992E-4</v>
      </c>
    </row>
    <row r="2675" spans="18:20" x14ac:dyDescent="0.45">
      <c r="R2675" s="2">
        <v>43.51</v>
      </c>
      <c r="S2675" s="2">
        <v>1.21061E-3</v>
      </c>
      <c r="T2675" s="2">
        <v>9.788799999999999E-4</v>
      </c>
    </row>
    <row r="2676" spans="18:20" x14ac:dyDescent="0.45">
      <c r="R2676" s="2">
        <v>43.52</v>
      </c>
      <c r="S2676" s="2">
        <v>1.2117199999999999E-3</v>
      </c>
      <c r="T2676" s="2">
        <v>9.7976000000000009E-4</v>
      </c>
    </row>
    <row r="2677" spans="18:20" x14ac:dyDescent="0.45">
      <c r="R2677" s="2">
        <v>43.53</v>
      </c>
      <c r="S2677" s="2">
        <v>1.21283E-3</v>
      </c>
      <c r="T2677" s="2">
        <v>9.8064000000000007E-4</v>
      </c>
    </row>
    <row r="2678" spans="18:20" x14ac:dyDescent="0.45">
      <c r="R2678" s="2">
        <v>43.54</v>
      </c>
      <c r="S2678" s="2">
        <v>1.2139399999999999E-3</v>
      </c>
      <c r="T2678" s="2">
        <v>9.8152000000000005E-4</v>
      </c>
    </row>
    <row r="2679" spans="18:20" x14ac:dyDescent="0.45">
      <c r="R2679" s="2">
        <v>43.55</v>
      </c>
      <c r="S2679" s="2">
        <v>1.2150500000000001E-3</v>
      </c>
      <c r="T2679" s="2">
        <v>9.8240000000000003E-4</v>
      </c>
    </row>
    <row r="2680" spans="18:20" x14ac:dyDescent="0.45">
      <c r="R2680" s="2">
        <v>43.56</v>
      </c>
      <c r="S2680" s="2">
        <v>1.21616E-3</v>
      </c>
      <c r="T2680" s="2">
        <v>9.8328E-4</v>
      </c>
    </row>
    <row r="2681" spans="18:20" x14ac:dyDescent="0.45">
      <c r="R2681" s="2">
        <v>43.57</v>
      </c>
      <c r="S2681" s="2">
        <v>1.2172699999999999E-3</v>
      </c>
      <c r="T2681" s="2">
        <v>9.8415999999999998E-4</v>
      </c>
    </row>
    <row r="2682" spans="18:20" x14ac:dyDescent="0.45">
      <c r="R2682" s="2">
        <v>43.58</v>
      </c>
      <c r="S2682" s="2">
        <v>1.21838E-3</v>
      </c>
      <c r="T2682" s="2">
        <v>9.8503999999999996E-4</v>
      </c>
    </row>
    <row r="2683" spans="18:20" x14ac:dyDescent="0.45">
      <c r="R2683" s="2">
        <v>43.59</v>
      </c>
      <c r="S2683" s="2">
        <v>1.2194899999999999E-3</v>
      </c>
      <c r="T2683" s="2">
        <v>9.8591999999999994E-4</v>
      </c>
    </row>
    <row r="2684" spans="18:20" x14ac:dyDescent="0.45">
      <c r="R2684" s="2">
        <v>43.6</v>
      </c>
      <c r="S2684" s="2">
        <v>1.2206000000000001E-3</v>
      </c>
      <c r="T2684" s="2">
        <v>9.8679999999999992E-4</v>
      </c>
    </row>
    <row r="2685" spans="18:20" x14ac:dyDescent="0.45">
      <c r="R2685" s="2">
        <v>43.61</v>
      </c>
      <c r="S2685" s="2">
        <v>1.22171E-3</v>
      </c>
      <c r="T2685" s="2">
        <v>9.8767999999999989E-4</v>
      </c>
    </row>
    <row r="2686" spans="18:20" x14ac:dyDescent="0.45">
      <c r="R2686" s="2">
        <v>43.62</v>
      </c>
      <c r="S2686" s="2">
        <v>1.2228199999999999E-3</v>
      </c>
      <c r="T2686" s="2">
        <v>9.8856000000000009E-4</v>
      </c>
    </row>
    <row r="2687" spans="18:20" x14ac:dyDescent="0.45">
      <c r="R2687" s="2">
        <v>43.63</v>
      </c>
      <c r="S2687" s="2">
        <v>1.22393E-3</v>
      </c>
      <c r="T2687" s="2">
        <v>9.8944000000000007E-4</v>
      </c>
    </row>
    <row r="2688" spans="18:20" x14ac:dyDescent="0.45">
      <c r="R2688" s="2">
        <v>43.64</v>
      </c>
      <c r="S2688" s="2">
        <v>1.2250399999999999E-3</v>
      </c>
      <c r="T2688" s="2">
        <v>9.9032000000000005E-4</v>
      </c>
    </row>
    <row r="2689" spans="18:20" x14ac:dyDescent="0.45">
      <c r="R2689" s="2">
        <v>43.65</v>
      </c>
      <c r="S2689" s="2">
        <v>1.2261500000000001E-3</v>
      </c>
      <c r="T2689" s="2">
        <v>9.9120000000000002E-4</v>
      </c>
    </row>
    <row r="2690" spans="18:20" x14ac:dyDescent="0.45">
      <c r="R2690" s="2">
        <v>43.66</v>
      </c>
      <c r="S2690" s="2">
        <v>1.22726E-3</v>
      </c>
      <c r="T2690" s="2">
        <v>9.9208E-4</v>
      </c>
    </row>
    <row r="2691" spans="18:20" x14ac:dyDescent="0.45">
      <c r="R2691" s="2">
        <v>43.67</v>
      </c>
      <c r="S2691" s="2">
        <v>1.2283699999999999E-3</v>
      </c>
      <c r="T2691" s="2">
        <v>9.9295999999999998E-4</v>
      </c>
    </row>
    <row r="2692" spans="18:20" x14ac:dyDescent="0.45">
      <c r="R2692" s="2">
        <v>43.68</v>
      </c>
      <c r="S2692" s="2">
        <v>1.22948E-3</v>
      </c>
      <c r="T2692" s="2">
        <v>9.9383999999999996E-4</v>
      </c>
    </row>
    <row r="2693" spans="18:20" x14ac:dyDescent="0.45">
      <c r="R2693" s="2">
        <v>43.69</v>
      </c>
      <c r="S2693" s="2">
        <v>1.2305899999999999E-3</v>
      </c>
      <c r="T2693" s="2">
        <v>9.9471999999999994E-4</v>
      </c>
    </row>
    <row r="2694" spans="18:20" x14ac:dyDescent="0.45">
      <c r="R2694" s="2">
        <v>43.7</v>
      </c>
      <c r="S2694" s="2">
        <v>1.2317000000000001E-3</v>
      </c>
      <c r="T2694" s="2">
        <v>9.9559999999999991E-4</v>
      </c>
    </row>
    <row r="2695" spans="18:20" x14ac:dyDescent="0.45">
      <c r="R2695" s="2">
        <v>43.71</v>
      </c>
      <c r="S2695" s="2">
        <v>1.23281E-3</v>
      </c>
      <c r="T2695" s="2">
        <v>9.9647999999999989E-4</v>
      </c>
    </row>
    <row r="2696" spans="18:20" x14ac:dyDescent="0.45">
      <c r="R2696" s="2">
        <v>43.72</v>
      </c>
      <c r="S2696" s="2">
        <v>1.2339199999999999E-3</v>
      </c>
      <c r="T2696" s="2">
        <v>9.9736000000000009E-4</v>
      </c>
    </row>
    <row r="2697" spans="18:20" x14ac:dyDescent="0.45">
      <c r="R2697" s="2">
        <v>43.73</v>
      </c>
      <c r="S2697" s="2">
        <v>1.23503E-3</v>
      </c>
      <c r="T2697" s="2">
        <v>9.9824000000000006E-4</v>
      </c>
    </row>
    <row r="2698" spans="18:20" x14ac:dyDescent="0.45">
      <c r="R2698" s="2">
        <v>43.74</v>
      </c>
      <c r="S2698" s="2">
        <v>1.2361399999999999E-3</v>
      </c>
      <c r="T2698" s="2">
        <v>9.9912000000000004E-4</v>
      </c>
    </row>
    <row r="2699" spans="18:20" x14ac:dyDescent="0.45">
      <c r="R2699" s="2">
        <v>43.75</v>
      </c>
      <c r="S2699" s="2">
        <v>1.2372500000000001E-3</v>
      </c>
      <c r="T2699" s="2">
        <v>1E-3</v>
      </c>
    </row>
    <row r="2700" spans="18:20" x14ac:dyDescent="0.45">
      <c r="R2700" s="2">
        <v>43.76</v>
      </c>
      <c r="S2700" s="2">
        <v>1.23836E-3</v>
      </c>
      <c r="T2700" s="2">
        <v>1.00088E-3</v>
      </c>
    </row>
    <row r="2701" spans="18:20" x14ac:dyDescent="0.45">
      <c r="R2701" s="2">
        <v>43.77</v>
      </c>
      <c r="S2701" s="2">
        <v>1.2394699999999999E-3</v>
      </c>
      <c r="T2701" s="2">
        <v>1.00176E-3</v>
      </c>
    </row>
    <row r="2702" spans="18:20" x14ac:dyDescent="0.45">
      <c r="R2702" s="2">
        <v>43.78</v>
      </c>
      <c r="S2702" s="2">
        <v>1.24058E-3</v>
      </c>
      <c r="T2702" s="2">
        <v>1.00264E-3</v>
      </c>
    </row>
    <row r="2703" spans="18:20" x14ac:dyDescent="0.45">
      <c r="R2703" s="2">
        <v>43.79</v>
      </c>
      <c r="S2703" s="2">
        <v>1.2416899999999999E-3</v>
      </c>
      <c r="T2703" s="2">
        <v>1.0035199999999999E-3</v>
      </c>
    </row>
    <row r="2704" spans="18:20" x14ac:dyDescent="0.45">
      <c r="R2704" s="2">
        <v>43.8</v>
      </c>
      <c r="S2704" s="2">
        <v>1.2428000000000001E-3</v>
      </c>
      <c r="T2704" s="2">
        <v>1.0043999999999999E-3</v>
      </c>
    </row>
    <row r="2705" spans="18:20" x14ac:dyDescent="0.45">
      <c r="R2705" s="2">
        <v>43.81</v>
      </c>
      <c r="S2705" s="2">
        <v>1.24391E-3</v>
      </c>
      <c r="T2705" s="2">
        <v>1.0052800000000001E-3</v>
      </c>
    </row>
    <row r="2706" spans="18:20" x14ac:dyDescent="0.45">
      <c r="R2706" s="2">
        <v>43.82</v>
      </c>
      <c r="S2706" s="2">
        <v>1.2450199999999999E-3</v>
      </c>
      <c r="T2706" s="2">
        <v>1.0061600000000001E-3</v>
      </c>
    </row>
    <row r="2707" spans="18:20" x14ac:dyDescent="0.45">
      <c r="R2707" s="2">
        <v>43.83</v>
      </c>
      <c r="S2707" s="2">
        <v>1.24613E-3</v>
      </c>
      <c r="T2707" s="2">
        <v>1.0070400000000001E-3</v>
      </c>
    </row>
    <row r="2708" spans="18:20" x14ac:dyDescent="0.45">
      <c r="R2708" s="2">
        <v>43.84</v>
      </c>
      <c r="S2708" s="2">
        <v>1.2472399999999999E-3</v>
      </c>
      <c r="T2708" s="2">
        <v>1.00792E-3</v>
      </c>
    </row>
    <row r="2709" spans="18:20" x14ac:dyDescent="0.45">
      <c r="R2709" s="2">
        <v>43.85</v>
      </c>
      <c r="S2709" s="2">
        <v>1.2483500000000001E-3</v>
      </c>
      <c r="T2709" s="2">
        <v>1.0088E-3</v>
      </c>
    </row>
    <row r="2710" spans="18:20" x14ac:dyDescent="0.45">
      <c r="R2710" s="2">
        <v>43.86</v>
      </c>
      <c r="S2710" s="2">
        <v>1.24946E-3</v>
      </c>
      <c r="T2710" s="2">
        <v>1.00968E-3</v>
      </c>
    </row>
    <row r="2711" spans="18:20" x14ac:dyDescent="0.45">
      <c r="R2711" s="2">
        <v>43.87</v>
      </c>
      <c r="S2711" s="2">
        <v>1.2505699999999999E-3</v>
      </c>
      <c r="T2711" s="2">
        <v>1.01056E-3</v>
      </c>
    </row>
    <row r="2712" spans="18:20" x14ac:dyDescent="0.45">
      <c r="R2712" s="2">
        <v>43.88</v>
      </c>
      <c r="S2712" s="2">
        <v>1.25168E-3</v>
      </c>
      <c r="T2712" s="2">
        <v>1.01144E-3</v>
      </c>
    </row>
    <row r="2713" spans="18:20" x14ac:dyDescent="0.45">
      <c r="R2713" s="2">
        <v>43.89</v>
      </c>
      <c r="S2713" s="2">
        <v>1.2527899999999999E-3</v>
      </c>
      <c r="T2713" s="2">
        <v>1.0123199999999999E-3</v>
      </c>
    </row>
    <row r="2714" spans="18:20" x14ac:dyDescent="0.45">
      <c r="R2714" s="2">
        <v>43.9</v>
      </c>
      <c r="S2714" s="2">
        <v>1.2539000000000001E-3</v>
      </c>
      <c r="T2714" s="2">
        <v>1.0131999999999999E-3</v>
      </c>
    </row>
    <row r="2715" spans="18:20" x14ac:dyDescent="0.45">
      <c r="R2715" s="2">
        <v>43.91</v>
      </c>
      <c r="S2715" s="2">
        <v>1.25501E-3</v>
      </c>
      <c r="T2715" s="2">
        <v>1.0140800000000001E-3</v>
      </c>
    </row>
    <row r="2716" spans="18:20" x14ac:dyDescent="0.45">
      <c r="R2716" s="2">
        <v>43.92</v>
      </c>
      <c r="S2716" s="2">
        <v>1.2561199999999999E-3</v>
      </c>
      <c r="T2716" s="2">
        <v>1.0149600000000001E-3</v>
      </c>
    </row>
    <row r="2717" spans="18:20" x14ac:dyDescent="0.45">
      <c r="R2717" s="2">
        <v>43.93</v>
      </c>
      <c r="S2717" s="2">
        <v>1.25723E-3</v>
      </c>
      <c r="T2717" s="2">
        <v>1.0158400000000001E-3</v>
      </c>
    </row>
    <row r="2718" spans="18:20" x14ac:dyDescent="0.45">
      <c r="R2718" s="2">
        <v>43.94</v>
      </c>
      <c r="S2718" s="2">
        <v>1.2583399999999999E-3</v>
      </c>
      <c r="T2718" s="2">
        <v>1.01672E-3</v>
      </c>
    </row>
    <row r="2719" spans="18:20" x14ac:dyDescent="0.45">
      <c r="R2719" s="2">
        <v>43.95</v>
      </c>
      <c r="S2719" s="2">
        <v>1.2594500000000001E-3</v>
      </c>
      <c r="T2719" s="2">
        <v>1.0176E-3</v>
      </c>
    </row>
    <row r="2720" spans="18:20" x14ac:dyDescent="0.45">
      <c r="R2720" s="2">
        <v>43.96</v>
      </c>
      <c r="S2720" s="2">
        <v>1.26056E-3</v>
      </c>
      <c r="T2720" s="2">
        <v>1.01848E-3</v>
      </c>
    </row>
    <row r="2721" spans="18:20" x14ac:dyDescent="0.45">
      <c r="R2721" s="2">
        <v>43.97</v>
      </c>
      <c r="S2721" s="2">
        <v>1.2616699999999999E-3</v>
      </c>
      <c r="T2721" s="2">
        <v>1.01936E-3</v>
      </c>
    </row>
    <row r="2722" spans="18:20" x14ac:dyDescent="0.45">
      <c r="R2722" s="2">
        <v>43.98</v>
      </c>
      <c r="S2722" s="2">
        <v>1.26278E-3</v>
      </c>
      <c r="T2722" s="2">
        <v>1.0202399999999999E-3</v>
      </c>
    </row>
    <row r="2723" spans="18:20" x14ac:dyDescent="0.45">
      <c r="R2723" s="2">
        <v>43.99</v>
      </c>
      <c r="S2723" s="2">
        <v>1.2638899999999999E-3</v>
      </c>
      <c r="T2723" s="2">
        <v>1.0211199999999999E-3</v>
      </c>
    </row>
    <row r="2724" spans="18:20" x14ac:dyDescent="0.45">
      <c r="R2724" s="2">
        <v>44</v>
      </c>
      <c r="S2724" s="2">
        <v>1.2650000000000001E-3</v>
      </c>
      <c r="T2724" s="2">
        <v>1.0219999999999999E-3</v>
      </c>
    </row>
    <row r="2725" spans="18:20" x14ac:dyDescent="0.45">
      <c r="R2725" s="2">
        <v>44.01</v>
      </c>
      <c r="S2725" s="2">
        <v>1.26629E-3</v>
      </c>
      <c r="T2725" s="2">
        <v>1.0229900000000001E-3</v>
      </c>
    </row>
    <row r="2726" spans="18:20" x14ac:dyDescent="0.45">
      <c r="R2726" s="2">
        <v>44.02</v>
      </c>
      <c r="S2726" s="2">
        <v>1.2675799999999999E-3</v>
      </c>
      <c r="T2726" s="2">
        <v>1.0239800000000001E-3</v>
      </c>
    </row>
    <row r="2727" spans="18:20" x14ac:dyDescent="0.45">
      <c r="R2727" s="2">
        <v>44.03</v>
      </c>
      <c r="S2727" s="2">
        <v>1.2688700000000001E-3</v>
      </c>
      <c r="T2727" s="2">
        <v>1.02497E-3</v>
      </c>
    </row>
    <row r="2728" spans="18:20" x14ac:dyDescent="0.45">
      <c r="R2728" s="2">
        <v>44.04</v>
      </c>
      <c r="S2728" s="2">
        <v>1.27016E-3</v>
      </c>
      <c r="T2728" s="2">
        <v>1.02596E-3</v>
      </c>
    </row>
    <row r="2729" spans="18:20" x14ac:dyDescent="0.45">
      <c r="R2729" s="2">
        <v>44.05</v>
      </c>
      <c r="S2729" s="2">
        <v>1.2714499999999999E-3</v>
      </c>
      <c r="T2729" s="2">
        <v>1.02695E-3</v>
      </c>
    </row>
    <row r="2730" spans="18:20" x14ac:dyDescent="0.45">
      <c r="R2730" s="2">
        <v>44.06</v>
      </c>
      <c r="S2730" s="2">
        <v>1.2727400000000001E-3</v>
      </c>
      <c r="T2730" s="2">
        <v>1.02794E-3</v>
      </c>
    </row>
    <row r="2731" spans="18:20" x14ac:dyDescent="0.45">
      <c r="R2731" s="2">
        <v>44.07</v>
      </c>
      <c r="S2731" s="2">
        <v>1.27403E-3</v>
      </c>
      <c r="T2731" s="2">
        <v>1.0289299999999999E-3</v>
      </c>
    </row>
    <row r="2732" spans="18:20" x14ac:dyDescent="0.45">
      <c r="R2732" s="2">
        <v>44.08</v>
      </c>
      <c r="S2732" s="2">
        <v>1.2753199999999999E-3</v>
      </c>
      <c r="T2732" s="2">
        <v>1.0299199999999999E-3</v>
      </c>
    </row>
    <row r="2733" spans="18:20" x14ac:dyDescent="0.45">
      <c r="R2733" s="2">
        <v>44.09</v>
      </c>
      <c r="S2733" s="2">
        <v>1.2766100000000001E-3</v>
      </c>
      <c r="T2733" s="2">
        <v>1.0309099999999999E-3</v>
      </c>
    </row>
    <row r="2734" spans="18:20" x14ac:dyDescent="0.45">
      <c r="R2734" s="2">
        <v>44.1</v>
      </c>
      <c r="S2734" s="2">
        <v>1.2779E-3</v>
      </c>
      <c r="T2734" s="2">
        <v>1.0319000000000001E-3</v>
      </c>
    </row>
    <row r="2735" spans="18:20" x14ac:dyDescent="0.45">
      <c r="R2735" s="2">
        <v>44.11</v>
      </c>
      <c r="S2735" s="2">
        <v>1.2791899999999999E-3</v>
      </c>
      <c r="T2735" s="2">
        <v>1.0328900000000001E-3</v>
      </c>
    </row>
    <row r="2736" spans="18:20" x14ac:dyDescent="0.45">
      <c r="R2736" s="2">
        <v>44.12</v>
      </c>
      <c r="S2736" s="2">
        <v>1.2804800000000001E-3</v>
      </c>
      <c r="T2736" s="2">
        <v>1.03388E-3</v>
      </c>
    </row>
    <row r="2737" spans="18:20" x14ac:dyDescent="0.45">
      <c r="R2737" s="2">
        <v>44.13</v>
      </c>
      <c r="S2737" s="2">
        <v>1.28177E-3</v>
      </c>
      <c r="T2737" s="2">
        <v>1.03487E-3</v>
      </c>
    </row>
    <row r="2738" spans="18:20" x14ac:dyDescent="0.45">
      <c r="R2738" s="2">
        <v>44.14</v>
      </c>
      <c r="S2738" s="2">
        <v>1.2830599999999999E-3</v>
      </c>
      <c r="T2738" s="2">
        <v>1.03586E-3</v>
      </c>
    </row>
    <row r="2739" spans="18:20" x14ac:dyDescent="0.45">
      <c r="R2739" s="2">
        <v>44.15</v>
      </c>
      <c r="S2739" s="2">
        <v>1.2843500000000001E-3</v>
      </c>
      <c r="T2739" s="2">
        <v>1.03685E-3</v>
      </c>
    </row>
    <row r="2740" spans="18:20" x14ac:dyDescent="0.45">
      <c r="R2740" s="2">
        <v>44.16</v>
      </c>
      <c r="S2740" s="2">
        <v>1.28564E-3</v>
      </c>
      <c r="T2740" s="2">
        <v>1.0378399999999999E-3</v>
      </c>
    </row>
    <row r="2741" spans="18:20" x14ac:dyDescent="0.45">
      <c r="R2741" s="2">
        <v>44.17</v>
      </c>
      <c r="S2741" s="2">
        <v>1.2869299999999999E-3</v>
      </c>
      <c r="T2741" s="2">
        <v>1.0388299999999999E-3</v>
      </c>
    </row>
    <row r="2742" spans="18:20" x14ac:dyDescent="0.45">
      <c r="R2742" s="2">
        <v>44.18</v>
      </c>
      <c r="S2742" s="2">
        <v>1.2882200000000001E-3</v>
      </c>
      <c r="T2742" s="2">
        <v>1.0398199999999999E-3</v>
      </c>
    </row>
    <row r="2743" spans="18:20" x14ac:dyDescent="0.45">
      <c r="R2743" s="2">
        <v>44.19</v>
      </c>
      <c r="S2743" s="2">
        <v>1.28951E-3</v>
      </c>
      <c r="T2743" s="2">
        <v>1.0408100000000001E-3</v>
      </c>
    </row>
    <row r="2744" spans="18:20" x14ac:dyDescent="0.45">
      <c r="R2744" s="2">
        <v>44.2</v>
      </c>
      <c r="S2744" s="2">
        <v>1.2907999999999999E-3</v>
      </c>
      <c r="T2744" s="2">
        <v>1.0418000000000001E-3</v>
      </c>
    </row>
    <row r="2745" spans="18:20" x14ac:dyDescent="0.45">
      <c r="R2745" s="2">
        <v>44.21</v>
      </c>
      <c r="S2745" s="2">
        <v>1.2920900000000001E-3</v>
      </c>
      <c r="T2745" s="2">
        <v>1.04279E-3</v>
      </c>
    </row>
    <row r="2746" spans="18:20" x14ac:dyDescent="0.45">
      <c r="R2746" s="2">
        <v>44.22</v>
      </c>
      <c r="S2746" s="2">
        <v>1.29338E-3</v>
      </c>
      <c r="T2746" s="2">
        <v>1.04378E-3</v>
      </c>
    </row>
    <row r="2747" spans="18:20" x14ac:dyDescent="0.45">
      <c r="R2747" s="2">
        <v>44.23</v>
      </c>
      <c r="S2747" s="2">
        <v>1.2946699999999999E-3</v>
      </c>
      <c r="T2747" s="2">
        <v>1.04477E-3</v>
      </c>
    </row>
    <row r="2748" spans="18:20" x14ac:dyDescent="0.45">
      <c r="R2748" s="2">
        <v>44.24</v>
      </c>
      <c r="S2748" s="2">
        <v>1.2959600000000001E-3</v>
      </c>
      <c r="T2748" s="2">
        <v>1.04576E-3</v>
      </c>
    </row>
    <row r="2749" spans="18:20" x14ac:dyDescent="0.45">
      <c r="R2749" s="2">
        <v>44.25</v>
      </c>
      <c r="S2749" s="2">
        <v>1.29725E-3</v>
      </c>
      <c r="T2749" s="2">
        <v>1.0467499999999999E-3</v>
      </c>
    </row>
    <row r="2750" spans="18:20" x14ac:dyDescent="0.45">
      <c r="R2750" s="2">
        <v>44.26</v>
      </c>
      <c r="S2750" s="2">
        <v>1.2985399999999999E-3</v>
      </c>
      <c r="T2750" s="2">
        <v>1.0477399999999999E-3</v>
      </c>
    </row>
    <row r="2751" spans="18:20" x14ac:dyDescent="0.45">
      <c r="R2751" s="2">
        <v>44.27</v>
      </c>
      <c r="S2751" s="2">
        <v>1.2998300000000001E-3</v>
      </c>
      <c r="T2751" s="2">
        <v>1.0487300000000001E-3</v>
      </c>
    </row>
    <row r="2752" spans="18:20" x14ac:dyDescent="0.45">
      <c r="R2752" s="2">
        <v>44.28</v>
      </c>
      <c r="S2752" s="2">
        <v>1.30112E-3</v>
      </c>
      <c r="T2752" s="2">
        <v>1.0497200000000001E-3</v>
      </c>
    </row>
    <row r="2753" spans="18:20" x14ac:dyDescent="0.45">
      <c r="R2753" s="2">
        <v>44.29</v>
      </c>
      <c r="S2753" s="2">
        <v>1.3024099999999999E-3</v>
      </c>
      <c r="T2753" s="2">
        <v>1.0507100000000001E-3</v>
      </c>
    </row>
    <row r="2754" spans="18:20" x14ac:dyDescent="0.45">
      <c r="R2754" s="2">
        <v>44.3</v>
      </c>
      <c r="S2754" s="2">
        <v>1.3037000000000001E-3</v>
      </c>
      <c r="T2754" s="2">
        <v>1.0517E-3</v>
      </c>
    </row>
    <row r="2755" spans="18:20" x14ac:dyDescent="0.45">
      <c r="R2755" s="2">
        <v>44.31</v>
      </c>
      <c r="S2755" s="2">
        <v>1.30499E-3</v>
      </c>
      <c r="T2755" s="2">
        <v>1.05269E-3</v>
      </c>
    </row>
    <row r="2756" spans="18:20" x14ac:dyDescent="0.45">
      <c r="R2756" s="2">
        <v>44.32</v>
      </c>
      <c r="S2756" s="2">
        <v>1.3062799999999999E-3</v>
      </c>
      <c r="T2756" s="2">
        <v>1.05368E-3</v>
      </c>
    </row>
    <row r="2757" spans="18:20" x14ac:dyDescent="0.45">
      <c r="R2757" s="2">
        <v>44.33</v>
      </c>
      <c r="S2757" s="2">
        <v>1.3075700000000001E-3</v>
      </c>
      <c r="T2757" s="2">
        <v>1.05467E-3</v>
      </c>
    </row>
    <row r="2758" spans="18:20" x14ac:dyDescent="0.45">
      <c r="R2758" s="2">
        <v>44.34</v>
      </c>
      <c r="S2758" s="2">
        <v>1.30886E-3</v>
      </c>
      <c r="T2758" s="2">
        <v>1.0556599999999999E-3</v>
      </c>
    </row>
    <row r="2759" spans="18:20" x14ac:dyDescent="0.45">
      <c r="R2759" s="2">
        <v>44.35</v>
      </c>
      <c r="S2759" s="2">
        <v>1.3101499999999999E-3</v>
      </c>
      <c r="T2759" s="2">
        <v>1.0566499999999999E-3</v>
      </c>
    </row>
    <row r="2760" spans="18:20" x14ac:dyDescent="0.45">
      <c r="R2760" s="2">
        <v>44.36</v>
      </c>
      <c r="S2760" s="2">
        <v>1.3114400000000001E-3</v>
      </c>
      <c r="T2760" s="2">
        <v>1.0576400000000001E-3</v>
      </c>
    </row>
    <row r="2761" spans="18:20" x14ac:dyDescent="0.45">
      <c r="R2761" s="2">
        <v>44.37</v>
      </c>
      <c r="S2761" s="2">
        <v>1.31273E-3</v>
      </c>
      <c r="T2761" s="2">
        <v>1.0586300000000001E-3</v>
      </c>
    </row>
    <row r="2762" spans="18:20" x14ac:dyDescent="0.45">
      <c r="R2762" s="2">
        <v>44.38</v>
      </c>
      <c r="S2762" s="2">
        <v>1.3140199999999999E-3</v>
      </c>
      <c r="T2762" s="2">
        <v>1.05962E-3</v>
      </c>
    </row>
    <row r="2763" spans="18:20" x14ac:dyDescent="0.45">
      <c r="R2763" s="2">
        <v>44.39</v>
      </c>
      <c r="S2763" s="2">
        <v>1.3153100000000001E-3</v>
      </c>
      <c r="T2763" s="2">
        <v>1.06061E-3</v>
      </c>
    </row>
    <row r="2764" spans="18:20" x14ac:dyDescent="0.45">
      <c r="R2764" s="2">
        <v>44.4</v>
      </c>
      <c r="S2764" s="2">
        <v>1.3166E-3</v>
      </c>
      <c r="T2764" s="2">
        <v>1.0616E-3</v>
      </c>
    </row>
    <row r="2765" spans="18:20" x14ac:dyDescent="0.45">
      <c r="R2765" s="2">
        <v>44.41</v>
      </c>
      <c r="S2765" s="2">
        <v>1.3178899999999999E-3</v>
      </c>
      <c r="T2765" s="2">
        <v>1.06259E-3</v>
      </c>
    </row>
    <row r="2766" spans="18:20" x14ac:dyDescent="0.45">
      <c r="R2766" s="2">
        <v>44.42</v>
      </c>
      <c r="S2766" s="2">
        <v>1.3191800000000001E-3</v>
      </c>
      <c r="T2766" s="2">
        <v>1.06358E-3</v>
      </c>
    </row>
    <row r="2767" spans="18:20" x14ac:dyDescent="0.45">
      <c r="R2767" s="2">
        <v>44.43</v>
      </c>
      <c r="S2767" s="2">
        <v>1.32047E-3</v>
      </c>
      <c r="T2767" s="2">
        <v>1.0645699999999999E-3</v>
      </c>
    </row>
    <row r="2768" spans="18:20" x14ac:dyDescent="0.45">
      <c r="R2768" s="2">
        <v>44.44</v>
      </c>
      <c r="S2768" s="2">
        <v>1.3217599999999999E-3</v>
      </c>
      <c r="T2768" s="2">
        <v>1.0655599999999999E-3</v>
      </c>
    </row>
    <row r="2769" spans="18:20" x14ac:dyDescent="0.45">
      <c r="R2769" s="2">
        <v>44.45</v>
      </c>
      <c r="S2769" s="2">
        <v>1.3230500000000001E-3</v>
      </c>
      <c r="T2769" s="2">
        <v>1.0665500000000001E-3</v>
      </c>
    </row>
    <row r="2770" spans="18:20" x14ac:dyDescent="0.45">
      <c r="R2770" s="2">
        <v>44.46</v>
      </c>
      <c r="S2770" s="2">
        <v>1.32434E-3</v>
      </c>
      <c r="T2770" s="2">
        <v>1.0675400000000001E-3</v>
      </c>
    </row>
    <row r="2771" spans="18:20" x14ac:dyDescent="0.45">
      <c r="R2771" s="2">
        <v>44.47</v>
      </c>
      <c r="S2771" s="2">
        <v>1.32563E-3</v>
      </c>
      <c r="T2771" s="2">
        <v>1.06853E-3</v>
      </c>
    </row>
    <row r="2772" spans="18:20" x14ac:dyDescent="0.45">
      <c r="R2772" s="2">
        <v>44.48</v>
      </c>
      <c r="S2772" s="2">
        <v>1.3269200000000001E-3</v>
      </c>
      <c r="T2772" s="2">
        <v>1.06952E-3</v>
      </c>
    </row>
    <row r="2773" spans="18:20" x14ac:dyDescent="0.45">
      <c r="R2773" s="2">
        <v>44.49</v>
      </c>
      <c r="S2773" s="2">
        <v>1.32821E-3</v>
      </c>
      <c r="T2773" s="2">
        <v>1.07051E-3</v>
      </c>
    </row>
    <row r="2774" spans="18:20" x14ac:dyDescent="0.45">
      <c r="R2774" s="2">
        <v>44.5</v>
      </c>
      <c r="S2774" s="2">
        <v>1.3295E-3</v>
      </c>
      <c r="T2774" s="2">
        <v>1.0715E-3</v>
      </c>
    </row>
    <row r="2775" spans="18:20" x14ac:dyDescent="0.45">
      <c r="R2775" s="2">
        <v>44.51</v>
      </c>
      <c r="S2775" s="2">
        <v>1.3307900000000001E-3</v>
      </c>
      <c r="T2775" s="2">
        <v>1.0724899999999999E-3</v>
      </c>
    </row>
    <row r="2776" spans="18:20" x14ac:dyDescent="0.45">
      <c r="R2776" s="2">
        <v>44.52</v>
      </c>
      <c r="S2776" s="2">
        <v>1.33208E-3</v>
      </c>
      <c r="T2776" s="2">
        <v>1.0734799999999999E-3</v>
      </c>
    </row>
    <row r="2777" spans="18:20" x14ac:dyDescent="0.45">
      <c r="R2777" s="2">
        <v>44.53</v>
      </c>
      <c r="S2777" s="2">
        <v>1.33337E-3</v>
      </c>
      <c r="T2777" s="2">
        <v>1.0744699999999999E-3</v>
      </c>
    </row>
    <row r="2778" spans="18:20" x14ac:dyDescent="0.45">
      <c r="R2778" s="2">
        <v>44.54</v>
      </c>
      <c r="S2778" s="2">
        <v>1.3346600000000001E-3</v>
      </c>
      <c r="T2778" s="2">
        <v>1.0754600000000001E-3</v>
      </c>
    </row>
    <row r="2779" spans="18:20" x14ac:dyDescent="0.45">
      <c r="R2779" s="2">
        <v>44.55</v>
      </c>
      <c r="S2779" s="2">
        <v>1.33595E-3</v>
      </c>
      <c r="T2779" s="2">
        <v>1.0764500000000001E-3</v>
      </c>
    </row>
    <row r="2780" spans="18:20" x14ac:dyDescent="0.45">
      <c r="R2780" s="2">
        <v>44.56</v>
      </c>
      <c r="S2780" s="2">
        <v>1.33724E-3</v>
      </c>
      <c r="T2780" s="2">
        <v>1.07744E-3</v>
      </c>
    </row>
    <row r="2781" spans="18:20" x14ac:dyDescent="0.45">
      <c r="R2781" s="2">
        <v>44.57</v>
      </c>
      <c r="S2781" s="2">
        <v>1.3385300000000001E-3</v>
      </c>
      <c r="T2781" s="2">
        <v>1.07843E-3</v>
      </c>
    </row>
    <row r="2782" spans="18:20" x14ac:dyDescent="0.45">
      <c r="R2782" s="2">
        <v>44.58</v>
      </c>
      <c r="S2782" s="2">
        <v>1.33982E-3</v>
      </c>
      <c r="T2782" s="2">
        <v>1.07942E-3</v>
      </c>
    </row>
    <row r="2783" spans="18:20" x14ac:dyDescent="0.45">
      <c r="R2783" s="2">
        <v>44.59</v>
      </c>
      <c r="S2783" s="2">
        <v>1.34111E-3</v>
      </c>
      <c r="T2783" s="2">
        <v>1.08041E-3</v>
      </c>
    </row>
    <row r="2784" spans="18:20" x14ac:dyDescent="0.45">
      <c r="R2784" s="2">
        <v>44.6</v>
      </c>
      <c r="S2784" s="2">
        <v>1.3424000000000001E-3</v>
      </c>
      <c r="T2784" s="2">
        <v>1.0813999999999999E-3</v>
      </c>
    </row>
    <row r="2785" spans="18:20" x14ac:dyDescent="0.45">
      <c r="R2785" s="2">
        <v>44.61</v>
      </c>
      <c r="S2785" s="2">
        <v>1.34369E-3</v>
      </c>
      <c r="T2785" s="2">
        <v>1.0823899999999999E-3</v>
      </c>
    </row>
    <row r="2786" spans="18:20" x14ac:dyDescent="0.45">
      <c r="R2786" s="2">
        <v>44.62</v>
      </c>
      <c r="S2786" s="2">
        <v>1.34498E-3</v>
      </c>
      <c r="T2786" s="2">
        <v>1.0833800000000001E-3</v>
      </c>
    </row>
    <row r="2787" spans="18:20" x14ac:dyDescent="0.45">
      <c r="R2787" s="2">
        <v>44.63</v>
      </c>
      <c r="S2787" s="2">
        <v>1.3462700000000001E-3</v>
      </c>
      <c r="T2787" s="2">
        <v>1.0843700000000001E-3</v>
      </c>
    </row>
    <row r="2788" spans="18:20" x14ac:dyDescent="0.45">
      <c r="R2788" s="2">
        <v>44.64</v>
      </c>
      <c r="S2788" s="2">
        <v>1.34756E-3</v>
      </c>
      <c r="T2788" s="2">
        <v>1.0853600000000001E-3</v>
      </c>
    </row>
    <row r="2789" spans="18:20" x14ac:dyDescent="0.45">
      <c r="R2789" s="2">
        <v>44.65</v>
      </c>
      <c r="S2789" s="2">
        <v>1.34885E-3</v>
      </c>
      <c r="T2789" s="2">
        <v>1.08635E-3</v>
      </c>
    </row>
    <row r="2790" spans="18:20" x14ac:dyDescent="0.45">
      <c r="R2790" s="2">
        <v>44.66</v>
      </c>
      <c r="S2790" s="2">
        <v>1.3501400000000001E-3</v>
      </c>
      <c r="T2790" s="2">
        <v>1.08734E-3</v>
      </c>
    </row>
    <row r="2791" spans="18:20" x14ac:dyDescent="0.45">
      <c r="R2791" s="2">
        <v>44.67</v>
      </c>
      <c r="S2791" s="2">
        <v>1.35143E-3</v>
      </c>
      <c r="T2791" s="2">
        <v>1.08833E-3</v>
      </c>
    </row>
    <row r="2792" spans="18:20" x14ac:dyDescent="0.45">
      <c r="R2792" s="2">
        <v>44.68</v>
      </c>
      <c r="S2792" s="2">
        <v>1.35272E-3</v>
      </c>
      <c r="T2792" s="2">
        <v>1.08932E-3</v>
      </c>
    </row>
    <row r="2793" spans="18:20" x14ac:dyDescent="0.45">
      <c r="R2793" s="2">
        <v>44.69</v>
      </c>
      <c r="S2793" s="2">
        <v>1.3540099999999999E-3</v>
      </c>
      <c r="T2793" s="2">
        <v>1.0903099999999999E-3</v>
      </c>
    </row>
    <row r="2794" spans="18:20" x14ac:dyDescent="0.45">
      <c r="R2794" s="2">
        <v>44.7</v>
      </c>
      <c r="S2794" s="2">
        <v>1.3553E-3</v>
      </c>
      <c r="T2794" s="2">
        <v>1.0912999999999999E-3</v>
      </c>
    </row>
    <row r="2795" spans="18:20" x14ac:dyDescent="0.45">
      <c r="R2795" s="2">
        <v>44.71</v>
      </c>
      <c r="S2795" s="2">
        <v>1.35659E-3</v>
      </c>
      <c r="T2795" s="2">
        <v>1.0922900000000001E-3</v>
      </c>
    </row>
    <row r="2796" spans="18:20" x14ac:dyDescent="0.45">
      <c r="R2796" s="2">
        <v>44.72</v>
      </c>
      <c r="S2796" s="2">
        <v>1.3578799999999999E-3</v>
      </c>
      <c r="T2796" s="2">
        <v>1.0932800000000001E-3</v>
      </c>
    </row>
    <row r="2797" spans="18:20" x14ac:dyDescent="0.45">
      <c r="R2797" s="2">
        <v>44.73</v>
      </c>
      <c r="S2797" s="2">
        <v>1.35917E-3</v>
      </c>
      <c r="T2797" s="2">
        <v>1.0942700000000001E-3</v>
      </c>
    </row>
    <row r="2798" spans="18:20" x14ac:dyDescent="0.45">
      <c r="R2798" s="2">
        <v>44.74</v>
      </c>
      <c r="S2798" s="2">
        <v>1.36046E-3</v>
      </c>
      <c r="T2798" s="2">
        <v>1.09526E-3</v>
      </c>
    </row>
    <row r="2799" spans="18:20" x14ac:dyDescent="0.45">
      <c r="R2799" s="2">
        <v>44.75</v>
      </c>
      <c r="S2799" s="2">
        <v>1.3617499999999999E-3</v>
      </c>
      <c r="T2799" s="2">
        <v>1.09625E-3</v>
      </c>
    </row>
    <row r="2800" spans="18:20" x14ac:dyDescent="0.45">
      <c r="R2800" s="2">
        <v>44.76</v>
      </c>
      <c r="S2800" s="2">
        <v>1.36304E-3</v>
      </c>
      <c r="T2800" s="2">
        <v>1.09724E-3</v>
      </c>
    </row>
    <row r="2801" spans="18:20" x14ac:dyDescent="0.45">
      <c r="R2801" s="2">
        <v>44.77</v>
      </c>
      <c r="S2801" s="2">
        <v>1.36433E-3</v>
      </c>
      <c r="T2801" s="2">
        <v>1.09823E-3</v>
      </c>
    </row>
    <row r="2802" spans="18:20" x14ac:dyDescent="0.45">
      <c r="R2802" s="2">
        <v>44.78</v>
      </c>
      <c r="S2802" s="2">
        <v>1.3656199999999999E-3</v>
      </c>
      <c r="T2802" s="2">
        <v>1.0992199999999999E-3</v>
      </c>
    </row>
    <row r="2803" spans="18:20" x14ac:dyDescent="0.45">
      <c r="R2803" s="2">
        <v>44.79</v>
      </c>
      <c r="S2803" s="2">
        <v>1.36691E-3</v>
      </c>
      <c r="T2803" s="2">
        <v>1.1002099999999999E-3</v>
      </c>
    </row>
    <row r="2804" spans="18:20" x14ac:dyDescent="0.45">
      <c r="R2804" s="2">
        <v>44.8</v>
      </c>
      <c r="S2804" s="2">
        <v>1.3682E-3</v>
      </c>
      <c r="T2804" s="2">
        <v>1.1012000000000001E-3</v>
      </c>
    </row>
    <row r="2805" spans="18:20" x14ac:dyDescent="0.45">
      <c r="R2805" s="2">
        <v>44.81</v>
      </c>
      <c r="S2805" s="2">
        <v>1.3694899999999999E-3</v>
      </c>
      <c r="T2805" s="2">
        <v>1.1021900000000001E-3</v>
      </c>
    </row>
    <row r="2806" spans="18:20" x14ac:dyDescent="0.45">
      <c r="R2806" s="2">
        <v>44.82</v>
      </c>
      <c r="S2806" s="2">
        <v>1.37078E-3</v>
      </c>
      <c r="T2806" s="2">
        <v>1.10318E-3</v>
      </c>
    </row>
    <row r="2807" spans="18:20" x14ac:dyDescent="0.45">
      <c r="R2807" s="2">
        <v>44.83</v>
      </c>
      <c r="S2807" s="2">
        <v>1.37207E-3</v>
      </c>
      <c r="T2807" s="2">
        <v>1.10417E-3</v>
      </c>
    </row>
    <row r="2808" spans="18:20" x14ac:dyDescent="0.45">
      <c r="R2808" s="2">
        <v>44.84</v>
      </c>
      <c r="S2808" s="2">
        <v>1.3733599999999999E-3</v>
      </c>
      <c r="T2808" s="2">
        <v>1.10516E-3</v>
      </c>
    </row>
    <row r="2809" spans="18:20" x14ac:dyDescent="0.45">
      <c r="R2809" s="2">
        <v>44.85</v>
      </c>
      <c r="S2809" s="2">
        <v>1.37465E-3</v>
      </c>
      <c r="T2809" s="2">
        <v>1.10615E-3</v>
      </c>
    </row>
    <row r="2810" spans="18:20" x14ac:dyDescent="0.45">
      <c r="R2810" s="2">
        <v>44.86</v>
      </c>
      <c r="S2810" s="2">
        <v>1.37594E-3</v>
      </c>
      <c r="T2810" s="2">
        <v>1.1071399999999999E-3</v>
      </c>
    </row>
    <row r="2811" spans="18:20" x14ac:dyDescent="0.45">
      <c r="R2811" s="2">
        <v>44.87</v>
      </c>
      <c r="S2811" s="2">
        <v>1.3772299999999999E-3</v>
      </c>
      <c r="T2811" s="2">
        <v>1.1081299999999999E-3</v>
      </c>
    </row>
    <row r="2812" spans="18:20" x14ac:dyDescent="0.45">
      <c r="R2812" s="2">
        <v>44.88</v>
      </c>
      <c r="S2812" s="2">
        <v>1.37852E-3</v>
      </c>
      <c r="T2812" s="2">
        <v>1.1091199999999999E-3</v>
      </c>
    </row>
    <row r="2813" spans="18:20" x14ac:dyDescent="0.45">
      <c r="R2813" s="2">
        <v>44.89</v>
      </c>
      <c r="S2813" s="2">
        <v>1.37981E-3</v>
      </c>
      <c r="T2813" s="2">
        <v>1.1101100000000001E-3</v>
      </c>
    </row>
    <row r="2814" spans="18:20" x14ac:dyDescent="0.45">
      <c r="R2814" s="2">
        <v>44.9</v>
      </c>
      <c r="S2814" s="2">
        <v>1.3810999999999999E-3</v>
      </c>
      <c r="T2814" s="2">
        <v>1.1111000000000001E-3</v>
      </c>
    </row>
    <row r="2815" spans="18:20" x14ac:dyDescent="0.45">
      <c r="R2815" s="2">
        <v>44.91</v>
      </c>
      <c r="S2815" s="2">
        <v>1.3823900000000001E-3</v>
      </c>
      <c r="T2815" s="2">
        <v>1.11209E-3</v>
      </c>
    </row>
    <row r="2816" spans="18:20" x14ac:dyDescent="0.45">
      <c r="R2816" s="2">
        <v>44.92</v>
      </c>
      <c r="S2816" s="2">
        <v>1.38368E-3</v>
      </c>
      <c r="T2816" s="2">
        <v>1.11308E-3</v>
      </c>
    </row>
    <row r="2817" spans="18:20" x14ac:dyDescent="0.45">
      <c r="R2817" s="2">
        <v>44.93</v>
      </c>
      <c r="S2817" s="2">
        <v>1.3849699999999999E-3</v>
      </c>
      <c r="T2817" s="2">
        <v>1.11407E-3</v>
      </c>
    </row>
    <row r="2818" spans="18:20" x14ac:dyDescent="0.45">
      <c r="R2818" s="2">
        <v>44.94</v>
      </c>
      <c r="S2818" s="2">
        <v>1.3862600000000001E-3</v>
      </c>
      <c r="T2818" s="2">
        <v>1.11506E-3</v>
      </c>
    </row>
    <row r="2819" spans="18:20" x14ac:dyDescent="0.45">
      <c r="R2819" s="2">
        <v>44.95</v>
      </c>
      <c r="S2819" s="2">
        <v>1.38755E-3</v>
      </c>
      <c r="T2819" s="2">
        <v>1.1160499999999999E-3</v>
      </c>
    </row>
    <row r="2820" spans="18:20" x14ac:dyDescent="0.45">
      <c r="R2820" s="2">
        <v>44.96</v>
      </c>
      <c r="S2820" s="2">
        <v>1.3888399999999999E-3</v>
      </c>
      <c r="T2820" s="2">
        <v>1.1170399999999999E-3</v>
      </c>
    </row>
    <row r="2821" spans="18:20" x14ac:dyDescent="0.45">
      <c r="R2821" s="2">
        <v>44.97</v>
      </c>
      <c r="S2821" s="2">
        <v>1.3901300000000001E-3</v>
      </c>
      <c r="T2821" s="2">
        <v>1.1180299999999999E-3</v>
      </c>
    </row>
    <row r="2822" spans="18:20" x14ac:dyDescent="0.45">
      <c r="R2822" s="2">
        <v>44.98</v>
      </c>
      <c r="S2822" s="2">
        <v>1.39142E-3</v>
      </c>
      <c r="T2822" s="2">
        <v>1.1190200000000001E-3</v>
      </c>
    </row>
    <row r="2823" spans="18:20" x14ac:dyDescent="0.45">
      <c r="R2823" s="2">
        <v>44.99</v>
      </c>
      <c r="S2823" s="2">
        <v>1.3927099999999999E-3</v>
      </c>
      <c r="T2823" s="2">
        <v>1.1200100000000001E-3</v>
      </c>
    </row>
    <row r="2824" spans="18:20" x14ac:dyDescent="0.45">
      <c r="R2824" s="2">
        <v>45</v>
      </c>
      <c r="S2824" s="2">
        <v>1.3940000000000001E-3</v>
      </c>
      <c r="T2824" s="2">
        <v>1.121E-3</v>
      </c>
    </row>
    <row r="2825" spans="18:20" x14ac:dyDescent="0.45">
      <c r="R2825" s="2">
        <v>45.01</v>
      </c>
      <c r="S2825" s="2">
        <v>1.39547E-3</v>
      </c>
      <c r="T2825" s="2">
        <v>1.1220900000000001E-3</v>
      </c>
    </row>
    <row r="2826" spans="18:20" x14ac:dyDescent="0.45">
      <c r="R2826" s="2">
        <v>45.02</v>
      </c>
      <c r="S2826" s="2">
        <v>1.3969399999999999E-3</v>
      </c>
      <c r="T2826" s="2">
        <v>1.1231800000000001E-3</v>
      </c>
    </row>
    <row r="2827" spans="18:20" x14ac:dyDescent="0.45">
      <c r="R2827" s="2">
        <v>45.03</v>
      </c>
      <c r="S2827" s="2">
        <v>1.3984100000000001E-3</v>
      </c>
      <c r="T2827" s="2">
        <v>1.1242699999999999E-3</v>
      </c>
    </row>
    <row r="2828" spans="18:20" x14ac:dyDescent="0.45">
      <c r="R2828" s="2">
        <v>45.04</v>
      </c>
      <c r="S2828" s="2">
        <v>1.39988E-3</v>
      </c>
      <c r="T2828" s="2">
        <v>1.1253599999999999E-3</v>
      </c>
    </row>
    <row r="2829" spans="18:20" x14ac:dyDescent="0.45">
      <c r="R2829" s="2">
        <v>45.05</v>
      </c>
      <c r="S2829" s="2">
        <v>1.40135E-3</v>
      </c>
      <c r="T2829" s="2">
        <v>1.12645E-3</v>
      </c>
    </row>
    <row r="2830" spans="18:20" x14ac:dyDescent="0.45">
      <c r="R2830" s="2">
        <v>45.06</v>
      </c>
      <c r="S2830" s="2">
        <v>1.4028199999999999E-3</v>
      </c>
      <c r="T2830" s="2">
        <v>1.12754E-3</v>
      </c>
    </row>
    <row r="2831" spans="18:20" x14ac:dyDescent="0.45">
      <c r="R2831" s="2">
        <v>45.07</v>
      </c>
      <c r="S2831" s="2">
        <v>1.4042900000000001E-3</v>
      </c>
      <c r="T2831" s="2">
        <v>1.12863E-3</v>
      </c>
    </row>
    <row r="2832" spans="18:20" x14ac:dyDescent="0.45">
      <c r="R2832" s="2">
        <v>45.08</v>
      </c>
      <c r="S2832" s="2">
        <v>1.40576E-3</v>
      </c>
      <c r="T2832" s="2">
        <v>1.1297200000000001E-3</v>
      </c>
    </row>
    <row r="2833" spans="18:20" x14ac:dyDescent="0.45">
      <c r="R2833" s="2">
        <v>45.09</v>
      </c>
      <c r="S2833" s="2">
        <v>1.40723E-3</v>
      </c>
      <c r="T2833" s="2">
        <v>1.1308100000000001E-3</v>
      </c>
    </row>
    <row r="2834" spans="18:20" x14ac:dyDescent="0.45">
      <c r="R2834" s="2">
        <v>45.1</v>
      </c>
      <c r="S2834" s="2">
        <v>1.4086999999999999E-3</v>
      </c>
      <c r="T2834" s="2">
        <v>1.1318999999999999E-3</v>
      </c>
    </row>
    <row r="2835" spans="18:20" x14ac:dyDescent="0.45">
      <c r="R2835" s="2">
        <v>45.11</v>
      </c>
      <c r="S2835" s="2">
        <v>1.4101700000000001E-3</v>
      </c>
      <c r="T2835" s="2">
        <v>1.13299E-3</v>
      </c>
    </row>
    <row r="2836" spans="18:20" x14ac:dyDescent="0.45">
      <c r="R2836" s="2">
        <v>45.12</v>
      </c>
      <c r="S2836" s="2">
        <v>1.41164E-3</v>
      </c>
      <c r="T2836" s="2">
        <v>1.13408E-3</v>
      </c>
    </row>
    <row r="2837" spans="18:20" x14ac:dyDescent="0.45">
      <c r="R2837" s="2">
        <v>45.13</v>
      </c>
      <c r="S2837" s="2">
        <v>1.41311E-3</v>
      </c>
      <c r="T2837" s="2">
        <v>1.13517E-3</v>
      </c>
    </row>
    <row r="2838" spans="18:20" x14ac:dyDescent="0.45">
      <c r="R2838" s="2">
        <v>45.14</v>
      </c>
      <c r="S2838" s="2">
        <v>1.4145799999999999E-3</v>
      </c>
      <c r="T2838" s="2">
        <v>1.13626E-3</v>
      </c>
    </row>
    <row r="2839" spans="18:20" x14ac:dyDescent="0.45">
      <c r="R2839" s="2">
        <v>45.15</v>
      </c>
      <c r="S2839" s="2">
        <v>1.4160500000000001E-3</v>
      </c>
      <c r="T2839" s="2">
        <v>1.1373500000000001E-3</v>
      </c>
    </row>
    <row r="2840" spans="18:20" x14ac:dyDescent="0.45">
      <c r="R2840" s="2">
        <v>45.16</v>
      </c>
      <c r="S2840" s="2">
        <v>1.41752E-3</v>
      </c>
      <c r="T2840" s="2">
        <v>1.1384399999999999E-3</v>
      </c>
    </row>
    <row r="2841" spans="18:20" x14ac:dyDescent="0.45">
      <c r="R2841" s="2">
        <v>45.17</v>
      </c>
      <c r="S2841" s="2">
        <v>1.41899E-3</v>
      </c>
      <c r="T2841" s="2">
        <v>1.1395299999999999E-3</v>
      </c>
    </row>
    <row r="2842" spans="18:20" x14ac:dyDescent="0.45">
      <c r="R2842" s="2">
        <v>45.18</v>
      </c>
      <c r="S2842" s="2">
        <v>1.4204599999999999E-3</v>
      </c>
      <c r="T2842" s="2">
        <v>1.14062E-3</v>
      </c>
    </row>
    <row r="2843" spans="18:20" x14ac:dyDescent="0.45">
      <c r="R2843" s="2">
        <v>45.19</v>
      </c>
      <c r="S2843" s="2">
        <v>1.4219300000000001E-3</v>
      </c>
      <c r="T2843" s="2">
        <v>1.14171E-3</v>
      </c>
    </row>
    <row r="2844" spans="18:20" x14ac:dyDescent="0.45">
      <c r="R2844" s="2">
        <v>45.2</v>
      </c>
      <c r="S2844" s="2">
        <v>1.4234E-3</v>
      </c>
      <c r="T2844" s="2">
        <v>1.1428E-3</v>
      </c>
    </row>
    <row r="2845" spans="18:20" x14ac:dyDescent="0.45">
      <c r="R2845" s="2">
        <v>45.21</v>
      </c>
      <c r="S2845" s="2">
        <v>1.42487E-3</v>
      </c>
      <c r="T2845" s="2">
        <v>1.1438900000000001E-3</v>
      </c>
    </row>
    <row r="2846" spans="18:20" x14ac:dyDescent="0.45">
      <c r="R2846" s="2">
        <v>45.22</v>
      </c>
      <c r="S2846" s="2">
        <v>1.4263399999999999E-3</v>
      </c>
      <c r="T2846" s="2">
        <v>1.1449800000000001E-3</v>
      </c>
    </row>
    <row r="2847" spans="18:20" x14ac:dyDescent="0.45">
      <c r="R2847" s="2">
        <v>45.23</v>
      </c>
      <c r="S2847" s="2">
        <v>1.4278100000000001E-3</v>
      </c>
      <c r="T2847" s="2">
        <v>1.1460699999999999E-3</v>
      </c>
    </row>
    <row r="2848" spans="18:20" x14ac:dyDescent="0.45">
      <c r="R2848" s="2">
        <v>45.24</v>
      </c>
      <c r="S2848" s="2">
        <v>1.42928E-3</v>
      </c>
      <c r="T2848" s="2">
        <v>1.1471599999999999E-3</v>
      </c>
    </row>
    <row r="2849" spans="18:20" x14ac:dyDescent="0.45">
      <c r="R2849" s="2">
        <v>45.25</v>
      </c>
      <c r="S2849" s="2">
        <v>1.4307499999999999E-3</v>
      </c>
      <c r="T2849" s="2">
        <v>1.14825E-3</v>
      </c>
    </row>
    <row r="2850" spans="18:20" x14ac:dyDescent="0.45">
      <c r="R2850" s="2">
        <v>45.26</v>
      </c>
      <c r="S2850" s="2">
        <v>1.4322200000000001E-3</v>
      </c>
      <c r="T2850" s="2">
        <v>1.14934E-3</v>
      </c>
    </row>
    <row r="2851" spans="18:20" x14ac:dyDescent="0.45">
      <c r="R2851" s="2">
        <v>45.27</v>
      </c>
      <c r="S2851" s="2">
        <v>1.4336900000000001E-3</v>
      </c>
      <c r="T2851" s="2">
        <v>1.15043E-3</v>
      </c>
    </row>
    <row r="2852" spans="18:20" x14ac:dyDescent="0.45">
      <c r="R2852" s="2">
        <v>45.28</v>
      </c>
      <c r="S2852" s="2">
        <v>1.43516E-3</v>
      </c>
      <c r="T2852" s="2">
        <v>1.1515200000000001E-3</v>
      </c>
    </row>
    <row r="2853" spans="18:20" x14ac:dyDescent="0.45">
      <c r="R2853" s="2">
        <v>45.29</v>
      </c>
      <c r="S2853" s="2">
        <v>1.4366299999999999E-3</v>
      </c>
      <c r="T2853" s="2">
        <v>1.1526100000000001E-3</v>
      </c>
    </row>
    <row r="2854" spans="18:20" x14ac:dyDescent="0.45">
      <c r="R2854" s="2">
        <v>45.3</v>
      </c>
      <c r="S2854" s="2">
        <v>1.4381000000000001E-3</v>
      </c>
      <c r="T2854" s="2">
        <v>1.1536999999999999E-3</v>
      </c>
    </row>
    <row r="2855" spans="18:20" x14ac:dyDescent="0.45">
      <c r="R2855" s="2">
        <v>45.31</v>
      </c>
      <c r="S2855" s="2">
        <v>1.43957E-3</v>
      </c>
      <c r="T2855" s="2">
        <v>1.1547899999999999E-3</v>
      </c>
    </row>
    <row r="2856" spans="18:20" x14ac:dyDescent="0.45">
      <c r="R2856" s="2">
        <v>45.32</v>
      </c>
      <c r="S2856" s="2">
        <v>1.44104E-3</v>
      </c>
      <c r="T2856" s="2">
        <v>1.15588E-3</v>
      </c>
    </row>
    <row r="2857" spans="18:20" x14ac:dyDescent="0.45">
      <c r="R2857" s="2">
        <v>45.33</v>
      </c>
      <c r="S2857" s="2">
        <v>1.4425099999999999E-3</v>
      </c>
      <c r="T2857" s="2">
        <v>1.15697E-3</v>
      </c>
    </row>
    <row r="2858" spans="18:20" x14ac:dyDescent="0.45">
      <c r="R2858" s="2">
        <v>45.34</v>
      </c>
      <c r="S2858" s="2">
        <v>1.4439800000000001E-3</v>
      </c>
      <c r="T2858" s="2">
        <v>1.15806E-3</v>
      </c>
    </row>
    <row r="2859" spans="18:20" x14ac:dyDescent="0.45">
      <c r="R2859" s="2">
        <v>45.35</v>
      </c>
      <c r="S2859" s="2">
        <v>1.44545E-3</v>
      </c>
      <c r="T2859" s="2">
        <v>1.1591500000000001E-3</v>
      </c>
    </row>
    <row r="2860" spans="18:20" x14ac:dyDescent="0.45">
      <c r="R2860" s="2">
        <v>45.36</v>
      </c>
      <c r="S2860" s="2">
        <v>1.44692E-3</v>
      </c>
      <c r="T2860" s="2">
        <v>1.1602400000000001E-3</v>
      </c>
    </row>
    <row r="2861" spans="18:20" x14ac:dyDescent="0.45">
      <c r="R2861" s="2">
        <v>45.37</v>
      </c>
      <c r="S2861" s="2">
        <v>1.4483899999999999E-3</v>
      </c>
      <c r="T2861" s="2">
        <v>1.1613299999999999E-3</v>
      </c>
    </row>
    <row r="2862" spans="18:20" x14ac:dyDescent="0.45">
      <c r="R2862" s="2">
        <v>45.38</v>
      </c>
      <c r="S2862" s="2">
        <v>1.4498600000000001E-3</v>
      </c>
      <c r="T2862" s="2">
        <v>1.1624199999999999E-3</v>
      </c>
    </row>
    <row r="2863" spans="18:20" x14ac:dyDescent="0.45">
      <c r="R2863" s="2">
        <v>45.39</v>
      </c>
      <c r="S2863" s="2">
        <v>1.45133E-3</v>
      </c>
      <c r="T2863" s="2">
        <v>1.16351E-3</v>
      </c>
    </row>
    <row r="2864" spans="18:20" x14ac:dyDescent="0.45">
      <c r="R2864" s="2">
        <v>45.4</v>
      </c>
      <c r="S2864" s="2">
        <v>1.4528E-3</v>
      </c>
      <c r="T2864" s="2">
        <v>1.1646E-3</v>
      </c>
    </row>
    <row r="2865" spans="18:20" x14ac:dyDescent="0.45">
      <c r="R2865" s="2">
        <v>45.41</v>
      </c>
      <c r="S2865" s="2">
        <v>1.4542699999999999E-3</v>
      </c>
      <c r="T2865" s="2">
        <v>1.16569E-3</v>
      </c>
    </row>
    <row r="2866" spans="18:20" x14ac:dyDescent="0.45">
      <c r="R2866" s="2">
        <v>45.42</v>
      </c>
      <c r="S2866" s="2">
        <v>1.4557400000000001E-3</v>
      </c>
      <c r="T2866" s="2">
        <v>1.1667800000000001E-3</v>
      </c>
    </row>
    <row r="2867" spans="18:20" x14ac:dyDescent="0.45">
      <c r="R2867" s="2">
        <v>45.43</v>
      </c>
      <c r="S2867" s="2">
        <v>1.45721E-3</v>
      </c>
      <c r="T2867" s="2">
        <v>1.1678700000000001E-3</v>
      </c>
    </row>
    <row r="2868" spans="18:20" x14ac:dyDescent="0.45">
      <c r="R2868" s="2">
        <v>45.44</v>
      </c>
      <c r="S2868" s="2">
        <v>1.45868E-3</v>
      </c>
      <c r="T2868" s="2">
        <v>1.1689599999999999E-3</v>
      </c>
    </row>
    <row r="2869" spans="18:20" x14ac:dyDescent="0.45">
      <c r="R2869" s="2">
        <v>45.45</v>
      </c>
      <c r="S2869" s="2">
        <v>1.4601499999999999E-3</v>
      </c>
      <c r="T2869" s="2">
        <v>1.17005E-3</v>
      </c>
    </row>
    <row r="2870" spans="18:20" x14ac:dyDescent="0.45">
      <c r="R2870" s="2">
        <v>45.46</v>
      </c>
      <c r="S2870" s="2">
        <v>1.4616200000000001E-3</v>
      </c>
      <c r="T2870" s="2">
        <v>1.17114E-3</v>
      </c>
    </row>
    <row r="2871" spans="18:20" x14ac:dyDescent="0.45">
      <c r="R2871" s="2">
        <v>45.47</v>
      </c>
      <c r="S2871" s="2">
        <v>1.46309E-3</v>
      </c>
      <c r="T2871" s="2">
        <v>1.17223E-3</v>
      </c>
    </row>
    <row r="2872" spans="18:20" x14ac:dyDescent="0.45">
      <c r="R2872" s="2">
        <v>45.48</v>
      </c>
      <c r="S2872" s="2">
        <v>1.46456E-3</v>
      </c>
      <c r="T2872" s="2">
        <v>1.17332E-3</v>
      </c>
    </row>
    <row r="2873" spans="18:20" x14ac:dyDescent="0.45">
      <c r="R2873" s="2">
        <v>45.49</v>
      </c>
      <c r="S2873" s="2">
        <v>1.4660299999999999E-3</v>
      </c>
      <c r="T2873" s="2">
        <v>1.1744100000000001E-3</v>
      </c>
    </row>
    <row r="2874" spans="18:20" x14ac:dyDescent="0.45">
      <c r="R2874" s="2">
        <v>45.5</v>
      </c>
      <c r="S2874" s="2">
        <v>1.4675000000000001E-3</v>
      </c>
      <c r="T2874" s="2">
        <v>1.1754999999999999E-3</v>
      </c>
    </row>
    <row r="2875" spans="18:20" x14ac:dyDescent="0.45">
      <c r="R2875" s="2">
        <v>45.51</v>
      </c>
      <c r="S2875" s="2">
        <v>1.46897E-3</v>
      </c>
      <c r="T2875" s="2">
        <v>1.1765899999999999E-3</v>
      </c>
    </row>
    <row r="2876" spans="18:20" x14ac:dyDescent="0.45">
      <c r="R2876" s="2">
        <v>45.52</v>
      </c>
      <c r="S2876" s="2">
        <v>1.4704399999999999E-3</v>
      </c>
      <c r="T2876" s="2">
        <v>1.17768E-3</v>
      </c>
    </row>
    <row r="2877" spans="18:20" x14ac:dyDescent="0.45">
      <c r="R2877" s="2">
        <v>45.53</v>
      </c>
      <c r="S2877" s="2">
        <v>1.4719100000000001E-3</v>
      </c>
      <c r="T2877" s="2">
        <v>1.17877E-3</v>
      </c>
    </row>
    <row r="2878" spans="18:20" x14ac:dyDescent="0.45">
      <c r="R2878" s="2">
        <v>45.54</v>
      </c>
      <c r="S2878" s="2">
        <v>1.47338E-3</v>
      </c>
      <c r="T2878" s="2">
        <v>1.17986E-3</v>
      </c>
    </row>
    <row r="2879" spans="18:20" x14ac:dyDescent="0.45">
      <c r="R2879" s="2">
        <v>45.55</v>
      </c>
      <c r="S2879" s="2">
        <v>1.47485E-3</v>
      </c>
      <c r="T2879" s="2">
        <v>1.1809500000000001E-3</v>
      </c>
    </row>
    <row r="2880" spans="18:20" x14ac:dyDescent="0.45">
      <c r="R2880" s="2">
        <v>45.56</v>
      </c>
      <c r="S2880" s="2">
        <v>1.4763199999999999E-3</v>
      </c>
      <c r="T2880" s="2">
        <v>1.1820400000000001E-3</v>
      </c>
    </row>
    <row r="2881" spans="18:20" x14ac:dyDescent="0.45">
      <c r="R2881" s="2">
        <v>45.57</v>
      </c>
      <c r="S2881" s="2">
        <v>1.4777900000000001E-3</v>
      </c>
      <c r="T2881" s="2">
        <v>1.1831299999999999E-3</v>
      </c>
    </row>
    <row r="2882" spans="18:20" x14ac:dyDescent="0.45">
      <c r="R2882" s="2">
        <v>45.58</v>
      </c>
      <c r="S2882" s="2">
        <v>1.47926E-3</v>
      </c>
      <c r="T2882" s="2">
        <v>1.1842199999999999E-3</v>
      </c>
    </row>
    <row r="2883" spans="18:20" x14ac:dyDescent="0.45">
      <c r="R2883" s="2">
        <v>45.59</v>
      </c>
      <c r="S2883" s="2">
        <v>1.48073E-3</v>
      </c>
      <c r="T2883" s="2">
        <v>1.18531E-3</v>
      </c>
    </row>
    <row r="2884" spans="18:20" x14ac:dyDescent="0.45">
      <c r="R2884" s="2">
        <v>45.6</v>
      </c>
      <c r="S2884" s="2">
        <v>1.4821999999999999E-3</v>
      </c>
      <c r="T2884" s="2">
        <v>1.1864E-3</v>
      </c>
    </row>
    <row r="2885" spans="18:20" x14ac:dyDescent="0.45">
      <c r="R2885" s="2">
        <v>45.61</v>
      </c>
      <c r="S2885" s="2">
        <v>1.4836700000000001E-3</v>
      </c>
      <c r="T2885" s="2">
        <v>1.18749E-3</v>
      </c>
    </row>
    <row r="2886" spans="18:20" x14ac:dyDescent="0.45">
      <c r="R2886" s="2">
        <v>45.62</v>
      </c>
      <c r="S2886" s="2">
        <v>1.48514E-3</v>
      </c>
      <c r="T2886" s="2">
        <v>1.1885800000000001E-3</v>
      </c>
    </row>
    <row r="2887" spans="18:20" x14ac:dyDescent="0.45">
      <c r="R2887" s="2">
        <v>45.63</v>
      </c>
      <c r="S2887" s="2">
        <v>1.48661E-3</v>
      </c>
      <c r="T2887" s="2">
        <v>1.1896700000000001E-3</v>
      </c>
    </row>
    <row r="2888" spans="18:20" x14ac:dyDescent="0.45">
      <c r="R2888" s="2">
        <v>45.64</v>
      </c>
      <c r="S2888" s="2">
        <v>1.4880799999999999E-3</v>
      </c>
      <c r="T2888" s="2">
        <v>1.1907599999999999E-3</v>
      </c>
    </row>
    <row r="2889" spans="18:20" x14ac:dyDescent="0.45">
      <c r="R2889" s="2">
        <v>45.65</v>
      </c>
      <c r="S2889" s="2">
        <v>1.4895500000000001E-3</v>
      </c>
      <c r="T2889" s="2">
        <v>1.1918499999999999E-3</v>
      </c>
    </row>
    <row r="2890" spans="18:20" x14ac:dyDescent="0.45">
      <c r="R2890" s="2">
        <v>45.66</v>
      </c>
      <c r="S2890" s="2">
        <v>1.49102E-3</v>
      </c>
      <c r="T2890" s="2">
        <v>1.19294E-3</v>
      </c>
    </row>
    <row r="2891" spans="18:20" x14ac:dyDescent="0.45">
      <c r="R2891" s="2">
        <v>45.67</v>
      </c>
      <c r="S2891" s="2">
        <v>1.49249E-3</v>
      </c>
      <c r="T2891" s="2">
        <v>1.19403E-3</v>
      </c>
    </row>
    <row r="2892" spans="18:20" x14ac:dyDescent="0.45">
      <c r="R2892" s="2">
        <v>45.68</v>
      </c>
      <c r="S2892" s="2">
        <v>1.4939599999999999E-3</v>
      </c>
      <c r="T2892" s="2">
        <v>1.19512E-3</v>
      </c>
    </row>
    <row r="2893" spans="18:20" x14ac:dyDescent="0.45">
      <c r="R2893" s="2">
        <v>45.69</v>
      </c>
      <c r="S2893" s="2">
        <v>1.4954300000000001E-3</v>
      </c>
      <c r="T2893" s="2">
        <v>1.1962100000000001E-3</v>
      </c>
    </row>
    <row r="2894" spans="18:20" x14ac:dyDescent="0.45">
      <c r="R2894" s="2">
        <v>45.7</v>
      </c>
      <c r="S2894" s="2">
        <v>1.4969E-3</v>
      </c>
      <c r="T2894" s="2">
        <v>1.1973000000000001E-3</v>
      </c>
    </row>
    <row r="2895" spans="18:20" x14ac:dyDescent="0.45">
      <c r="R2895" s="2">
        <v>45.71</v>
      </c>
      <c r="S2895" s="2">
        <v>1.49837E-3</v>
      </c>
      <c r="T2895" s="2">
        <v>1.1983899999999999E-3</v>
      </c>
    </row>
    <row r="2896" spans="18:20" x14ac:dyDescent="0.45">
      <c r="R2896" s="2">
        <v>45.72</v>
      </c>
      <c r="S2896" s="2">
        <v>1.4998399999999999E-3</v>
      </c>
      <c r="T2896" s="2">
        <v>1.1994799999999999E-3</v>
      </c>
    </row>
    <row r="2897" spans="18:20" x14ac:dyDescent="0.45">
      <c r="R2897" s="2">
        <v>45.73</v>
      </c>
      <c r="S2897" s="2">
        <v>1.5013100000000001E-3</v>
      </c>
      <c r="T2897" s="2">
        <v>1.20057E-3</v>
      </c>
    </row>
    <row r="2898" spans="18:20" x14ac:dyDescent="0.45">
      <c r="R2898" s="2">
        <v>45.74</v>
      </c>
      <c r="S2898" s="2">
        <v>1.50278E-3</v>
      </c>
      <c r="T2898" s="2">
        <v>1.20166E-3</v>
      </c>
    </row>
    <row r="2899" spans="18:20" x14ac:dyDescent="0.45">
      <c r="R2899" s="2">
        <v>45.75</v>
      </c>
      <c r="S2899" s="2">
        <v>1.5042499999999999E-3</v>
      </c>
      <c r="T2899" s="2">
        <v>1.20275E-3</v>
      </c>
    </row>
    <row r="2900" spans="18:20" x14ac:dyDescent="0.45">
      <c r="R2900" s="2">
        <v>45.76</v>
      </c>
      <c r="S2900" s="2">
        <v>1.5057200000000001E-3</v>
      </c>
      <c r="T2900" s="2">
        <v>1.2038400000000001E-3</v>
      </c>
    </row>
    <row r="2901" spans="18:20" x14ac:dyDescent="0.45">
      <c r="R2901" s="2">
        <v>45.77</v>
      </c>
      <c r="S2901" s="2">
        <v>1.50719E-3</v>
      </c>
      <c r="T2901" s="2">
        <v>1.2049300000000001E-3</v>
      </c>
    </row>
    <row r="2902" spans="18:20" x14ac:dyDescent="0.45">
      <c r="R2902" s="2">
        <v>45.78</v>
      </c>
      <c r="S2902" s="2">
        <v>1.50866E-3</v>
      </c>
      <c r="T2902" s="2">
        <v>1.2060199999999999E-3</v>
      </c>
    </row>
    <row r="2903" spans="18:20" x14ac:dyDescent="0.45">
      <c r="R2903" s="2">
        <v>45.79</v>
      </c>
      <c r="S2903" s="2">
        <v>1.5101299999999999E-3</v>
      </c>
      <c r="T2903" s="2">
        <v>1.20711E-3</v>
      </c>
    </row>
    <row r="2904" spans="18:20" x14ac:dyDescent="0.45">
      <c r="R2904" s="2">
        <v>45.8</v>
      </c>
      <c r="S2904" s="2">
        <v>1.5116000000000001E-3</v>
      </c>
      <c r="T2904" s="2">
        <v>1.2082E-3</v>
      </c>
    </row>
    <row r="2905" spans="18:20" x14ac:dyDescent="0.45">
      <c r="R2905" s="2">
        <v>45.81</v>
      </c>
      <c r="S2905" s="2">
        <v>1.51307E-3</v>
      </c>
      <c r="T2905" s="2">
        <v>1.20929E-3</v>
      </c>
    </row>
    <row r="2906" spans="18:20" x14ac:dyDescent="0.45">
      <c r="R2906" s="2">
        <v>45.82</v>
      </c>
      <c r="S2906" s="2">
        <v>1.51454E-3</v>
      </c>
      <c r="T2906" s="2">
        <v>1.21038E-3</v>
      </c>
    </row>
    <row r="2907" spans="18:20" x14ac:dyDescent="0.45">
      <c r="R2907" s="2">
        <v>45.83</v>
      </c>
      <c r="S2907" s="2">
        <v>1.5160099999999999E-3</v>
      </c>
      <c r="T2907" s="2">
        <v>1.2114700000000001E-3</v>
      </c>
    </row>
    <row r="2908" spans="18:20" x14ac:dyDescent="0.45">
      <c r="R2908" s="2">
        <v>45.84</v>
      </c>
      <c r="S2908" s="2">
        <v>1.5174800000000001E-3</v>
      </c>
      <c r="T2908" s="2">
        <v>1.2125599999999999E-3</v>
      </c>
    </row>
    <row r="2909" spans="18:20" x14ac:dyDescent="0.45">
      <c r="R2909" s="2">
        <v>45.85</v>
      </c>
      <c r="S2909" s="2">
        <v>1.51895E-3</v>
      </c>
      <c r="T2909" s="2">
        <v>1.2136499999999999E-3</v>
      </c>
    </row>
    <row r="2910" spans="18:20" x14ac:dyDescent="0.45">
      <c r="R2910" s="2">
        <v>45.86</v>
      </c>
      <c r="S2910" s="2">
        <v>1.52042E-3</v>
      </c>
      <c r="T2910" s="2">
        <v>1.21474E-3</v>
      </c>
    </row>
    <row r="2911" spans="18:20" x14ac:dyDescent="0.45">
      <c r="R2911" s="2">
        <v>45.87</v>
      </c>
      <c r="S2911" s="2">
        <v>1.5218899999999999E-3</v>
      </c>
      <c r="T2911" s="2">
        <v>1.21583E-3</v>
      </c>
    </row>
    <row r="2912" spans="18:20" x14ac:dyDescent="0.45">
      <c r="R2912" s="2">
        <v>45.88</v>
      </c>
      <c r="S2912" s="2">
        <v>1.5233600000000001E-3</v>
      </c>
      <c r="T2912" s="2">
        <v>1.21692E-3</v>
      </c>
    </row>
    <row r="2913" spans="18:20" x14ac:dyDescent="0.45">
      <c r="R2913" s="2">
        <v>45.89</v>
      </c>
      <c r="S2913" s="2">
        <v>1.52483E-3</v>
      </c>
      <c r="T2913" s="2">
        <v>1.2180100000000001E-3</v>
      </c>
    </row>
    <row r="2914" spans="18:20" x14ac:dyDescent="0.45">
      <c r="R2914" s="2">
        <v>45.9</v>
      </c>
      <c r="S2914" s="2">
        <v>1.5263E-3</v>
      </c>
      <c r="T2914" s="2">
        <v>1.2191000000000001E-3</v>
      </c>
    </row>
    <row r="2915" spans="18:20" x14ac:dyDescent="0.45">
      <c r="R2915" s="2">
        <v>45.91</v>
      </c>
      <c r="S2915" s="2">
        <v>1.5277699999999999E-3</v>
      </c>
      <c r="T2915" s="2">
        <v>1.2201899999999999E-3</v>
      </c>
    </row>
    <row r="2916" spans="18:20" x14ac:dyDescent="0.45">
      <c r="R2916" s="2">
        <v>45.92</v>
      </c>
      <c r="S2916" s="2">
        <v>1.5292400000000001E-3</v>
      </c>
      <c r="T2916" s="2">
        <v>1.2212799999999999E-3</v>
      </c>
    </row>
    <row r="2917" spans="18:20" x14ac:dyDescent="0.45">
      <c r="R2917" s="2">
        <v>45.93</v>
      </c>
      <c r="S2917" s="2">
        <v>1.53071E-3</v>
      </c>
      <c r="T2917" s="2">
        <v>1.22237E-3</v>
      </c>
    </row>
    <row r="2918" spans="18:20" x14ac:dyDescent="0.45">
      <c r="R2918" s="2">
        <v>45.94</v>
      </c>
      <c r="S2918" s="2">
        <v>1.53218E-3</v>
      </c>
      <c r="T2918" s="2">
        <v>1.22346E-3</v>
      </c>
    </row>
    <row r="2919" spans="18:20" x14ac:dyDescent="0.45">
      <c r="R2919" s="2">
        <v>45.95</v>
      </c>
      <c r="S2919" s="2">
        <v>1.5336499999999999E-3</v>
      </c>
      <c r="T2919" s="2">
        <v>1.22455E-3</v>
      </c>
    </row>
    <row r="2920" spans="18:20" x14ac:dyDescent="0.45">
      <c r="R2920" s="2">
        <v>45.96</v>
      </c>
      <c r="S2920" s="2">
        <v>1.5351200000000001E-3</v>
      </c>
      <c r="T2920" s="2">
        <v>1.2256400000000001E-3</v>
      </c>
    </row>
    <row r="2921" spans="18:20" x14ac:dyDescent="0.45">
      <c r="R2921" s="2">
        <v>45.97</v>
      </c>
      <c r="S2921" s="2">
        <v>1.53659E-3</v>
      </c>
      <c r="T2921" s="2">
        <v>1.2267300000000001E-3</v>
      </c>
    </row>
    <row r="2922" spans="18:20" x14ac:dyDescent="0.45">
      <c r="R2922" s="2">
        <v>45.98</v>
      </c>
      <c r="S2922" s="2">
        <v>1.5380599999999999E-3</v>
      </c>
      <c r="T2922" s="2">
        <v>1.2278199999999999E-3</v>
      </c>
    </row>
    <row r="2923" spans="18:20" x14ac:dyDescent="0.45">
      <c r="R2923" s="2">
        <v>45.99</v>
      </c>
      <c r="S2923" s="2">
        <v>1.5395299999999999E-3</v>
      </c>
      <c r="T2923" s="2">
        <v>1.2289099999999999E-3</v>
      </c>
    </row>
    <row r="2924" spans="18:20" x14ac:dyDescent="0.45">
      <c r="R2924" s="2">
        <v>46</v>
      </c>
      <c r="S2924" s="2">
        <v>1.5410000000000001E-3</v>
      </c>
      <c r="T2924" s="2">
        <v>1.23E-3</v>
      </c>
    </row>
    <row r="2925" spans="18:20" x14ac:dyDescent="0.45">
      <c r="R2925" s="2">
        <v>46.01</v>
      </c>
      <c r="S2925" s="2">
        <v>1.54268E-3</v>
      </c>
      <c r="T2925" s="2">
        <v>1.2312099999999999E-3</v>
      </c>
    </row>
    <row r="2926" spans="18:20" x14ac:dyDescent="0.45">
      <c r="R2926" s="2">
        <v>46.02</v>
      </c>
      <c r="S2926" s="2">
        <v>1.54436E-3</v>
      </c>
      <c r="T2926" s="2">
        <v>1.2324199999999999E-3</v>
      </c>
    </row>
    <row r="2927" spans="18:20" x14ac:dyDescent="0.45">
      <c r="R2927" s="2">
        <v>46.03</v>
      </c>
      <c r="S2927" s="2">
        <v>1.54604E-3</v>
      </c>
      <c r="T2927" s="2">
        <v>1.2336300000000001E-3</v>
      </c>
    </row>
    <row r="2928" spans="18:20" x14ac:dyDescent="0.45">
      <c r="R2928" s="2">
        <v>46.04</v>
      </c>
      <c r="S2928" s="2">
        <v>1.54772E-3</v>
      </c>
      <c r="T2928" s="2">
        <v>1.2348400000000001E-3</v>
      </c>
    </row>
    <row r="2929" spans="18:20" x14ac:dyDescent="0.45">
      <c r="R2929" s="2">
        <v>46.05</v>
      </c>
      <c r="S2929" s="2">
        <v>1.5494E-3</v>
      </c>
      <c r="T2929" s="2">
        <v>1.23605E-3</v>
      </c>
    </row>
    <row r="2930" spans="18:20" x14ac:dyDescent="0.45">
      <c r="R2930" s="2">
        <v>46.06</v>
      </c>
      <c r="S2930" s="2">
        <v>1.55108E-3</v>
      </c>
      <c r="T2930" s="2">
        <v>1.23726E-3</v>
      </c>
    </row>
    <row r="2931" spans="18:20" x14ac:dyDescent="0.45">
      <c r="R2931" s="2">
        <v>46.07</v>
      </c>
      <c r="S2931" s="2">
        <v>1.55276E-3</v>
      </c>
      <c r="T2931" s="2">
        <v>1.23847E-3</v>
      </c>
    </row>
    <row r="2932" spans="18:20" x14ac:dyDescent="0.45">
      <c r="R2932" s="2">
        <v>46.08</v>
      </c>
      <c r="S2932" s="2">
        <v>1.55444E-3</v>
      </c>
      <c r="T2932" s="2">
        <v>1.2396799999999999E-3</v>
      </c>
    </row>
    <row r="2933" spans="18:20" x14ac:dyDescent="0.45">
      <c r="R2933" s="2">
        <v>46.09</v>
      </c>
      <c r="S2933" s="2">
        <v>1.55612E-3</v>
      </c>
      <c r="T2933" s="2">
        <v>1.2408899999999999E-3</v>
      </c>
    </row>
    <row r="2934" spans="18:20" x14ac:dyDescent="0.45">
      <c r="R2934" s="2">
        <v>46.1</v>
      </c>
      <c r="S2934" s="2">
        <v>1.5578E-3</v>
      </c>
      <c r="T2934" s="2">
        <v>1.2421000000000001E-3</v>
      </c>
    </row>
    <row r="2935" spans="18:20" x14ac:dyDescent="0.45">
      <c r="R2935" s="2">
        <v>46.11</v>
      </c>
      <c r="S2935" s="2">
        <v>1.55948E-3</v>
      </c>
      <c r="T2935" s="2">
        <v>1.2433100000000001E-3</v>
      </c>
    </row>
    <row r="2936" spans="18:20" x14ac:dyDescent="0.45">
      <c r="R2936" s="2">
        <v>46.12</v>
      </c>
      <c r="S2936" s="2">
        <v>1.56116E-3</v>
      </c>
      <c r="T2936" s="2">
        <v>1.24452E-3</v>
      </c>
    </row>
    <row r="2937" spans="18:20" x14ac:dyDescent="0.45">
      <c r="R2937" s="2">
        <v>46.13</v>
      </c>
      <c r="S2937" s="2">
        <v>1.56284E-3</v>
      </c>
      <c r="T2937" s="2">
        <v>1.24573E-3</v>
      </c>
    </row>
    <row r="2938" spans="18:20" x14ac:dyDescent="0.45">
      <c r="R2938" s="2">
        <v>46.14</v>
      </c>
      <c r="S2938" s="2">
        <v>1.56452E-3</v>
      </c>
      <c r="T2938" s="2">
        <v>1.24694E-3</v>
      </c>
    </row>
    <row r="2939" spans="18:20" x14ac:dyDescent="0.45">
      <c r="R2939" s="2">
        <v>46.15</v>
      </c>
      <c r="S2939" s="2">
        <v>1.5662E-3</v>
      </c>
      <c r="T2939" s="2">
        <v>1.24815E-3</v>
      </c>
    </row>
    <row r="2940" spans="18:20" x14ac:dyDescent="0.45">
      <c r="R2940" s="2">
        <v>46.16</v>
      </c>
      <c r="S2940" s="2">
        <v>1.56788E-3</v>
      </c>
      <c r="T2940" s="2">
        <v>1.2493599999999999E-3</v>
      </c>
    </row>
    <row r="2941" spans="18:20" x14ac:dyDescent="0.45">
      <c r="R2941" s="2">
        <v>46.17</v>
      </c>
      <c r="S2941" s="2">
        <v>1.56956E-3</v>
      </c>
      <c r="T2941" s="2">
        <v>1.2505699999999999E-3</v>
      </c>
    </row>
    <row r="2942" spans="18:20" x14ac:dyDescent="0.45">
      <c r="R2942" s="2">
        <v>46.18</v>
      </c>
      <c r="S2942" s="2">
        <v>1.57124E-3</v>
      </c>
      <c r="T2942" s="2">
        <v>1.2517800000000001E-3</v>
      </c>
    </row>
    <row r="2943" spans="18:20" x14ac:dyDescent="0.45">
      <c r="R2943" s="2">
        <v>46.19</v>
      </c>
      <c r="S2943" s="2">
        <v>1.57292E-3</v>
      </c>
      <c r="T2943" s="2">
        <v>1.25299E-3</v>
      </c>
    </row>
    <row r="2944" spans="18:20" x14ac:dyDescent="0.45">
      <c r="R2944" s="2">
        <v>46.2</v>
      </c>
      <c r="S2944" s="2">
        <v>1.5746E-3</v>
      </c>
      <c r="T2944" s="2">
        <v>1.2542E-3</v>
      </c>
    </row>
    <row r="2945" spans="18:20" x14ac:dyDescent="0.45">
      <c r="R2945" s="2">
        <v>46.21</v>
      </c>
      <c r="S2945" s="2">
        <v>1.57628E-3</v>
      </c>
      <c r="T2945" s="2">
        <v>1.25541E-3</v>
      </c>
    </row>
    <row r="2946" spans="18:20" x14ac:dyDescent="0.45">
      <c r="R2946" s="2">
        <v>46.22</v>
      </c>
      <c r="S2946" s="2">
        <v>1.57796E-3</v>
      </c>
      <c r="T2946" s="2">
        <v>1.25662E-3</v>
      </c>
    </row>
    <row r="2947" spans="18:20" x14ac:dyDescent="0.45">
      <c r="R2947" s="2">
        <v>46.23</v>
      </c>
      <c r="S2947" s="2">
        <v>1.57964E-3</v>
      </c>
      <c r="T2947" s="2">
        <v>1.2578299999999999E-3</v>
      </c>
    </row>
    <row r="2948" spans="18:20" x14ac:dyDescent="0.45">
      <c r="R2948" s="2">
        <v>46.24</v>
      </c>
      <c r="S2948" s="2">
        <v>1.58132E-3</v>
      </c>
      <c r="T2948" s="2">
        <v>1.2590399999999999E-3</v>
      </c>
    </row>
    <row r="2949" spans="18:20" x14ac:dyDescent="0.45">
      <c r="R2949" s="2">
        <v>46.25</v>
      </c>
      <c r="S2949" s="2">
        <v>1.583E-3</v>
      </c>
      <c r="T2949" s="2">
        <v>1.2602500000000001E-3</v>
      </c>
    </row>
    <row r="2950" spans="18:20" x14ac:dyDescent="0.45">
      <c r="R2950" s="2">
        <v>46.26</v>
      </c>
      <c r="S2950" s="2">
        <v>1.58468E-3</v>
      </c>
      <c r="T2950" s="2">
        <v>1.2614600000000001E-3</v>
      </c>
    </row>
    <row r="2951" spans="18:20" x14ac:dyDescent="0.45">
      <c r="R2951" s="2">
        <v>46.27</v>
      </c>
      <c r="S2951" s="2">
        <v>1.58636E-3</v>
      </c>
      <c r="T2951" s="2">
        <v>1.26267E-3</v>
      </c>
    </row>
    <row r="2952" spans="18:20" x14ac:dyDescent="0.45">
      <c r="R2952" s="2">
        <v>46.28</v>
      </c>
      <c r="S2952" s="2">
        <v>1.58804E-3</v>
      </c>
      <c r="T2952" s="2">
        <v>1.26388E-3</v>
      </c>
    </row>
    <row r="2953" spans="18:20" x14ac:dyDescent="0.45">
      <c r="R2953" s="2">
        <v>46.29</v>
      </c>
      <c r="S2953" s="2">
        <v>1.58972E-3</v>
      </c>
      <c r="T2953" s="2">
        <v>1.26509E-3</v>
      </c>
    </row>
    <row r="2954" spans="18:20" x14ac:dyDescent="0.45">
      <c r="R2954" s="2">
        <v>46.3</v>
      </c>
      <c r="S2954" s="2">
        <v>1.5914E-3</v>
      </c>
      <c r="T2954" s="2">
        <v>1.2662999999999999E-3</v>
      </c>
    </row>
    <row r="2955" spans="18:20" x14ac:dyDescent="0.45">
      <c r="R2955" s="2">
        <v>46.31</v>
      </c>
      <c r="S2955" s="2">
        <v>1.59308E-3</v>
      </c>
      <c r="T2955" s="2">
        <v>1.2675099999999999E-3</v>
      </c>
    </row>
    <row r="2956" spans="18:20" x14ac:dyDescent="0.45">
      <c r="R2956" s="2">
        <v>46.32</v>
      </c>
      <c r="S2956" s="2">
        <v>1.59476E-3</v>
      </c>
      <c r="T2956" s="2">
        <v>1.2687200000000001E-3</v>
      </c>
    </row>
    <row r="2957" spans="18:20" x14ac:dyDescent="0.45">
      <c r="R2957" s="2">
        <v>46.33</v>
      </c>
      <c r="S2957" s="2">
        <v>1.59644E-3</v>
      </c>
      <c r="T2957" s="2">
        <v>1.2699300000000001E-3</v>
      </c>
    </row>
    <row r="2958" spans="18:20" x14ac:dyDescent="0.45">
      <c r="R2958" s="2">
        <v>46.34</v>
      </c>
      <c r="S2958" s="2">
        <v>1.59812E-3</v>
      </c>
      <c r="T2958" s="2">
        <v>1.27114E-3</v>
      </c>
    </row>
    <row r="2959" spans="18:20" x14ac:dyDescent="0.45">
      <c r="R2959" s="2">
        <v>46.35</v>
      </c>
      <c r="S2959" s="2">
        <v>1.5998E-3</v>
      </c>
      <c r="T2959" s="2">
        <v>1.27235E-3</v>
      </c>
    </row>
    <row r="2960" spans="18:20" x14ac:dyDescent="0.45">
      <c r="R2960" s="2">
        <v>46.36</v>
      </c>
      <c r="S2960" s="2">
        <v>1.60148E-3</v>
      </c>
      <c r="T2960" s="2">
        <v>1.27356E-3</v>
      </c>
    </row>
    <row r="2961" spans="18:20" x14ac:dyDescent="0.45">
      <c r="R2961" s="2">
        <v>46.37</v>
      </c>
      <c r="S2961" s="2">
        <v>1.60316E-3</v>
      </c>
      <c r="T2961" s="2">
        <v>1.2747699999999999E-3</v>
      </c>
    </row>
    <row r="2962" spans="18:20" x14ac:dyDescent="0.45">
      <c r="R2962" s="2">
        <v>46.38</v>
      </c>
      <c r="S2962" s="2">
        <v>1.60484E-3</v>
      </c>
      <c r="T2962" s="2">
        <v>1.2759799999999999E-3</v>
      </c>
    </row>
    <row r="2963" spans="18:20" x14ac:dyDescent="0.45">
      <c r="R2963" s="2">
        <v>46.39</v>
      </c>
      <c r="S2963" s="2">
        <v>1.60652E-3</v>
      </c>
      <c r="T2963" s="2">
        <v>1.2771900000000001E-3</v>
      </c>
    </row>
    <row r="2964" spans="18:20" x14ac:dyDescent="0.45">
      <c r="R2964" s="2">
        <v>46.4</v>
      </c>
      <c r="S2964" s="2">
        <v>1.6082E-3</v>
      </c>
      <c r="T2964" s="2">
        <v>1.2784000000000001E-3</v>
      </c>
    </row>
    <row r="2965" spans="18:20" x14ac:dyDescent="0.45">
      <c r="R2965" s="2">
        <v>46.41</v>
      </c>
      <c r="S2965" s="2">
        <v>1.6098799999999999E-3</v>
      </c>
      <c r="T2965" s="2">
        <v>1.27961E-3</v>
      </c>
    </row>
    <row r="2966" spans="18:20" x14ac:dyDescent="0.45">
      <c r="R2966" s="2">
        <v>46.42</v>
      </c>
      <c r="S2966" s="2">
        <v>1.6115599999999999E-3</v>
      </c>
      <c r="T2966" s="2">
        <v>1.28082E-3</v>
      </c>
    </row>
    <row r="2967" spans="18:20" x14ac:dyDescent="0.45">
      <c r="R2967" s="2">
        <v>46.43</v>
      </c>
      <c r="S2967" s="2">
        <v>1.6132399999999999E-3</v>
      </c>
      <c r="T2967" s="2">
        <v>1.28203E-3</v>
      </c>
    </row>
    <row r="2968" spans="18:20" x14ac:dyDescent="0.45">
      <c r="R2968" s="2">
        <v>46.44</v>
      </c>
      <c r="S2968" s="2">
        <v>1.6149199999999999E-3</v>
      </c>
      <c r="T2968" s="2">
        <v>1.2832399999999999E-3</v>
      </c>
    </row>
    <row r="2969" spans="18:20" x14ac:dyDescent="0.45">
      <c r="R2969" s="2">
        <v>46.45</v>
      </c>
      <c r="S2969" s="2">
        <v>1.6165999999999999E-3</v>
      </c>
      <c r="T2969" s="2">
        <v>1.2844499999999999E-3</v>
      </c>
    </row>
    <row r="2970" spans="18:20" x14ac:dyDescent="0.45">
      <c r="R2970" s="2">
        <v>46.46</v>
      </c>
      <c r="S2970" s="2">
        <v>1.6182799999999999E-3</v>
      </c>
      <c r="T2970" s="2">
        <v>1.2856600000000001E-3</v>
      </c>
    </row>
    <row r="2971" spans="18:20" x14ac:dyDescent="0.45">
      <c r="R2971" s="2">
        <v>46.47</v>
      </c>
      <c r="S2971" s="2">
        <v>1.6199599999999999E-3</v>
      </c>
      <c r="T2971" s="2">
        <v>1.2868700000000001E-3</v>
      </c>
    </row>
    <row r="2972" spans="18:20" x14ac:dyDescent="0.45">
      <c r="R2972" s="2">
        <v>46.48</v>
      </c>
      <c r="S2972" s="2">
        <v>1.6216399999999999E-3</v>
      </c>
      <c r="T2972" s="2">
        <v>1.28808E-3</v>
      </c>
    </row>
    <row r="2973" spans="18:20" x14ac:dyDescent="0.45">
      <c r="R2973" s="2">
        <v>46.49</v>
      </c>
      <c r="S2973" s="2">
        <v>1.6233199999999999E-3</v>
      </c>
      <c r="T2973" s="2">
        <v>1.28929E-3</v>
      </c>
    </row>
    <row r="2974" spans="18:20" x14ac:dyDescent="0.45">
      <c r="R2974" s="2">
        <v>46.5</v>
      </c>
      <c r="S2974" s="2">
        <v>1.6249999999999999E-3</v>
      </c>
      <c r="T2974" s="2">
        <v>1.2905E-3</v>
      </c>
    </row>
    <row r="2975" spans="18:20" x14ac:dyDescent="0.45">
      <c r="R2975" s="2">
        <v>46.51</v>
      </c>
      <c r="S2975" s="2">
        <v>1.6266799999999999E-3</v>
      </c>
      <c r="T2975" s="2">
        <v>1.29171E-3</v>
      </c>
    </row>
    <row r="2976" spans="18:20" x14ac:dyDescent="0.45">
      <c r="R2976" s="2">
        <v>46.52</v>
      </c>
      <c r="S2976" s="2">
        <v>1.6283599999999999E-3</v>
      </c>
      <c r="T2976" s="2">
        <v>1.2929199999999999E-3</v>
      </c>
    </row>
    <row r="2977" spans="18:20" x14ac:dyDescent="0.45">
      <c r="R2977" s="2">
        <v>46.53</v>
      </c>
      <c r="S2977" s="2">
        <v>1.6300399999999999E-3</v>
      </c>
      <c r="T2977" s="2">
        <v>1.2941300000000001E-3</v>
      </c>
    </row>
    <row r="2978" spans="18:20" x14ac:dyDescent="0.45">
      <c r="R2978" s="2">
        <v>46.54</v>
      </c>
      <c r="S2978" s="2">
        <v>1.6317199999999999E-3</v>
      </c>
      <c r="T2978" s="2">
        <v>1.2953400000000001E-3</v>
      </c>
    </row>
    <row r="2979" spans="18:20" x14ac:dyDescent="0.45">
      <c r="R2979" s="2">
        <v>46.55</v>
      </c>
      <c r="S2979" s="2">
        <v>1.6333999999999999E-3</v>
      </c>
      <c r="T2979" s="2">
        <v>1.29655E-3</v>
      </c>
    </row>
    <row r="2980" spans="18:20" x14ac:dyDescent="0.45">
      <c r="R2980" s="2">
        <v>46.56</v>
      </c>
      <c r="S2980" s="2">
        <v>1.6350799999999999E-3</v>
      </c>
      <c r="T2980" s="2">
        <v>1.29776E-3</v>
      </c>
    </row>
    <row r="2981" spans="18:20" x14ac:dyDescent="0.45">
      <c r="R2981" s="2">
        <v>46.57</v>
      </c>
      <c r="S2981" s="2">
        <v>1.6367599999999999E-3</v>
      </c>
      <c r="T2981" s="2">
        <v>1.29897E-3</v>
      </c>
    </row>
    <row r="2982" spans="18:20" x14ac:dyDescent="0.45">
      <c r="R2982" s="2">
        <v>46.58</v>
      </c>
      <c r="S2982" s="2">
        <v>1.6384399999999999E-3</v>
      </c>
      <c r="T2982" s="2">
        <v>1.30018E-3</v>
      </c>
    </row>
    <row r="2983" spans="18:20" x14ac:dyDescent="0.45">
      <c r="R2983" s="2">
        <v>46.59</v>
      </c>
      <c r="S2983" s="2">
        <v>1.6401199999999999E-3</v>
      </c>
      <c r="T2983" s="2">
        <v>1.3013899999999999E-3</v>
      </c>
    </row>
    <row r="2984" spans="18:20" x14ac:dyDescent="0.45">
      <c r="R2984" s="2">
        <v>46.6</v>
      </c>
      <c r="S2984" s="2">
        <v>1.6417999999999999E-3</v>
      </c>
      <c r="T2984" s="2">
        <v>1.3025999999999999E-3</v>
      </c>
    </row>
    <row r="2985" spans="18:20" x14ac:dyDescent="0.45">
      <c r="R2985" s="2">
        <v>46.61</v>
      </c>
      <c r="S2985" s="2">
        <v>1.6434799999999999E-3</v>
      </c>
      <c r="T2985" s="2">
        <v>1.3038100000000001E-3</v>
      </c>
    </row>
    <row r="2986" spans="18:20" x14ac:dyDescent="0.45">
      <c r="R2986" s="2">
        <v>46.62</v>
      </c>
      <c r="S2986" s="2">
        <v>1.6451599999999999E-3</v>
      </c>
      <c r="T2986" s="2">
        <v>1.3050200000000001E-3</v>
      </c>
    </row>
    <row r="2987" spans="18:20" x14ac:dyDescent="0.45">
      <c r="R2987" s="2">
        <v>46.63</v>
      </c>
      <c r="S2987" s="2">
        <v>1.6468399999999999E-3</v>
      </c>
      <c r="T2987" s="2">
        <v>1.30623E-3</v>
      </c>
    </row>
    <row r="2988" spans="18:20" x14ac:dyDescent="0.45">
      <c r="R2988" s="2">
        <v>46.64</v>
      </c>
      <c r="S2988" s="2">
        <v>1.6485200000000001E-3</v>
      </c>
      <c r="T2988" s="2">
        <v>1.30744E-3</v>
      </c>
    </row>
    <row r="2989" spans="18:20" x14ac:dyDescent="0.45">
      <c r="R2989" s="2">
        <v>46.65</v>
      </c>
      <c r="S2989" s="2">
        <v>1.6502000000000001E-3</v>
      </c>
      <c r="T2989" s="2">
        <v>1.30865E-3</v>
      </c>
    </row>
    <row r="2990" spans="18:20" x14ac:dyDescent="0.45">
      <c r="R2990" s="2">
        <v>46.66</v>
      </c>
      <c r="S2990" s="2">
        <v>1.6518800000000001E-3</v>
      </c>
      <c r="T2990" s="2">
        <v>1.3098599999999999E-3</v>
      </c>
    </row>
    <row r="2991" spans="18:20" x14ac:dyDescent="0.45">
      <c r="R2991" s="2">
        <v>46.67</v>
      </c>
      <c r="S2991" s="2">
        <v>1.6535600000000001E-3</v>
      </c>
      <c r="T2991" s="2">
        <v>1.3110699999999999E-3</v>
      </c>
    </row>
    <row r="2992" spans="18:20" x14ac:dyDescent="0.45">
      <c r="R2992" s="2">
        <v>46.68</v>
      </c>
      <c r="S2992" s="2">
        <v>1.6552400000000001E-3</v>
      </c>
      <c r="T2992" s="2">
        <v>1.3122800000000001E-3</v>
      </c>
    </row>
    <row r="2993" spans="18:20" x14ac:dyDescent="0.45">
      <c r="R2993" s="2">
        <v>46.69</v>
      </c>
      <c r="S2993" s="2">
        <v>1.6569200000000001E-3</v>
      </c>
      <c r="T2993" s="2">
        <v>1.3134900000000001E-3</v>
      </c>
    </row>
    <row r="2994" spans="18:20" x14ac:dyDescent="0.45">
      <c r="R2994" s="2">
        <v>46.7</v>
      </c>
      <c r="S2994" s="2">
        <v>1.6586000000000001E-3</v>
      </c>
      <c r="T2994" s="2">
        <v>1.3147E-3</v>
      </c>
    </row>
    <row r="2995" spans="18:20" x14ac:dyDescent="0.45">
      <c r="R2995" s="2">
        <v>46.71</v>
      </c>
      <c r="S2995" s="2">
        <v>1.6602800000000001E-3</v>
      </c>
      <c r="T2995" s="2">
        <v>1.31591E-3</v>
      </c>
    </row>
    <row r="2996" spans="18:20" x14ac:dyDescent="0.45">
      <c r="R2996" s="2">
        <v>46.72</v>
      </c>
      <c r="S2996" s="2">
        <v>1.6619600000000001E-3</v>
      </c>
      <c r="T2996" s="2">
        <v>1.31712E-3</v>
      </c>
    </row>
    <row r="2997" spans="18:20" x14ac:dyDescent="0.45">
      <c r="R2997" s="2">
        <v>46.73</v>
      </c>
      <c r="S2997" s="2">
        <v>1.6636400000000001E-3</v>
      </c>
      <c r="T2997" s="2">
        <v>1.3183299999999999E-3</v>
      </c>
    </row>
    <row r="2998" spans="18:20" x14ac:dyDescent="0.45">
      <c r="R2998" s="2">
        <v>46.74</v>
      </c>
      <c r="S2998" s="2">
        <v>1.6653200000000001E-3</v>
      </c>
      <c r="T2998" s="2">
        <v>1.3195399999999999E-3</v>
      </c>
    </row>
    <row r="2999" spans="18:20" x14ac:dyDescent="0.45">
      <c r="R2999" s="2">
        <v>46.75</v>
      </c>
      <c r="S2999" s="2">
        <v>1.6670000000000001E-3</v>
      </c>
      <c r="T2999" s="2">
        <v>1.3207500000000001E-3</v>
      </c>
    </row>
    <row r="3000" spans="18:20" x14ac:dyDescent="0.45">
      <c r="R3000" s="2">
        <v>46.76</v>
      </c>
      <c r="S3000" s="2">
        <v>1.6686800000000001E-3</v>
      </c>
      <c r="T3000" s="2">
        <v>1.3219600000000001E-3</v>
      </c>
    </row>
    <row r="3001" spans="18:20" x14ac:dyDescent="0.45">
      <c r="R3001" s="2">
        <v>46.77</v>
      </c>
      <c r="S3001" s="2">
        <v>1.6703600000000001E-3</v>
      </c>
      <c r="T3001" s="2">
        <v>1.32317E-3</v>
      </c>
    </row>
    <row r="3002" spans="18:20" x14ac:dyDescent="0.45">
      <c r="R3002" s="2">
        <v>46.78</v>
      </c>
      <c r="S3002" s="2">
        <v>1.6720400000000001E-3</v>
      </c>
      <c r="T3002" s="2">
        <v>1.32438E-3</v>
      </c>
    </row>
    <row r="3003" spans="18:20" x14ac:dyDescent="0.45">
      <c r="R3003" s="2">
        <v>46.79</v>
      </c>
      <c r="S3003" s="2">
        <v>1.6737200000000001E-3</v>
      </c>
      <c r="T3003" s="2">
        <v>1.32559E-3</v>
      </c>
    </row>
    <row r="3004" spans="18:20" x14ac:dyDescent="0.45">
      <c r="R3004" s="2">
        <v>46.8</v>
      </c>
      <c r="S3004" s="2">
        <v>1.6754000000000001E-3</v>
      </c>
      <c r="T3004" s="2">
        <v>1.3267999999999999E-3</v>
      </c>
    </row>
    <row r="3005" spans="18:20" x14ac:dyDescent="0.45">
      <c r="R3005" s="2">
        <v>46.81</v>
      </c>
      <c r="S3005" s="2">
        <v>1.6770800000000001E-3</v>
      </c>
      <c r="T3005" s="2">
        <v>1.3280099999999999E-3</v>
      </c>
    </row>
    <row r="3006" spans="18:20" x14ac:dyDescent="0.45">
      <c r="R3006" s="2">
        <v>46.82</v>
      </c>
      <c r="S3006" s="2">
        <v>1.6787600000000001E-3</v>
      </c>
      <c r="T3006" s="2">
        <v>1.3292200000000001E-3</v>
      </c>
    </row>
    <row r="3007" spans="18:20" x14ac:dyDescent="0.45">
      <c r="R3007" s="2">
        <v>46.83</v>
      </c>
      <c r="S3007" s="2">
        <v>1.6804400000000001E-3</v>
      </c>
      <c r="T3007" s="2">
        <v>1.3304300000000001E-3</v>
      </c>
    </row>
    <row r="3008" spans="18:20" x14ac:dyDescent="0.45">
      <c r="R3008" s="2">
        <v>46.84</v>
      </c>
      <c r="S3008" s="2">
        <v>1.6821200000000001E-3</v>
      </c>
      <c r="T3008" s="2">
        <v>1.33164E-3</v>
      </c>
    </row>
    <row r="3009" spans="18:20" x14ac:dyDescent="0.45">
      <c r="R3009" s="2">
        <v>46.85</v>
      </c>
      <c r="S3009" s="2">
        <v>1.6838000000000001E-3</v>
      </c>
      <c r="T3009" s="2">
        <v>1.33285E-3</v>
      </c>
    </row>
    <row r="3010" spans="18:20" x14ac:dyDescent="0.45">
      <c r="R3010" s="2">
        <v>46.86</v>
      </c>
      <c r="S3010" s="2">
        <v>1.6854800000000001E-3</v>
      </c>
      <c r="T3010" s="2">
        <v>1.33406E-3</v>
      </c>
    </row>
    <row r="3011" spans="18:20" x14ac:dyDescent="0.45">
      <c r="R3011" s="2">
        <v>46.87</v>
      </c>
      <c r="S3011" s="2">
        <v>1.68716E-3</v>
      </c>
      <c r="T3011" s="2">
        <v>1.3352699999999999E-3</v>
      </c>
    </row>
    <row r="3012" spans="18:20" x14ac:dyDescent="0.45">
      <c r="R3012" s="2">
        <v>46.88</v>
      </c>
      <c r="S3012" s="2">
        <v>1.68884E-3</v>
      </c>
      <c r="T3012" s="2">
        <v>1.3364799999999999E-3</v>
      </c>
    </row>
    <row r="3013" spans="18:20" x14ac:dyDescent="0.45">
      <c r="R3013" s="2">
        <v>46.89</v>
      </c>
      <c r="S3013" s="2">
        <v>1.69052E-3</v>
      </c>
      <c r="T3013" s="2">
        <v>1.3376900000000001E-3</v>
      </c>
    </row>
    <row r="3014" spans="18:20" x14ac:dyDescent="0.45">
      <c r="R3014" s="2">
        <v>46.9</v>
      </c>
      <c r="S3014" s="2">
        <v>1.6922E-3</v>
      </c>
      <c r="T3014" s="2">
        <v>1.3389000000000001E-3</v>
      </c>
    </row>
    <row r="3015" spans="18:20" x14ac:dyDescent="0.45">
      <c r="R3015" s="2">
        <v>46.91</v>
      </c>
      <c r="S3015" s="2">
        <v>1.69388E-3</v>
      </c>
      <c r="T3015" s="2">
        <v>1.34011E-3</v>
      </c>
    </row>
    <row r="3016" spans="18:20" x14ac:dyDescent="0.45">
      <c r="R3016" s="2">
        <v>46.92</v>
      </c>
      <c r="S3016" s="2">
        <v>1.69556E-3</v>
      </c>
      <c r="T3016" s="2">
        <v>1.34132E-3</v>
      </c>
    </row>
    <row r="3017" spans="18:20" x14ac:dyDescent="0.45">
      <c r="R3017" s="2">
        <v>46.93</v>
      </c>
      <c r="S3017" s="2">
        <v>1.69724E-3</v>
      </c>
      <c r="T3017" s="2">
        <v>1.34253E-3</v>
      </c>
    </row>
    <row r="3018" spans="18:20" x14ac:dyDescent="0.45">
      <c r="R3018" s="2">
        <v>46.94</v>
      </c>
      <c r="S3018" s="2">
        <v>1.69892E-3</v>
      </c>
      <c r="T3018" s="2">
        <v>1.34374E-3</v>
      </c>
    </row>
    <row r="3019" spans="18:20" x14ac:dyDescent="0.45">
      <c r="R3019" s="2">
        <v>46.95</v>
      </c>
      <c r="S3019" s="2">
        <v>1.7006E-3</v>
      </c>
      <c r="T3019" s="2">
        <v>1.3449499999999999E-3</v>
      </c>
    </row>
    <row r="3020" spans="18:20" x14ac:dyDescent="0.45">
      <c r="R3020" s="2">
        <v>46.96</v>
      </c>
      <c r="S3020" s="2">
        <v>1.70228E-3</v>
      </c>
      <c r="T3020" s="2">
        <v>1.3461600000000001E-3</v>
      </c>
    </row>
    <row r="3021" spans="18:20" x14ac:dyDescent="0.45">
      <c r="R3021" s="2">
        <v>46.97</v>
      </c>
      <c r="S3021" s="2">
        <v>1.70396E-3</v>
      </c>
      <c r="T3021" s="2">
        <v>1.3473700000000001E-3</v>
      </c>
    </row>
    <row r="3022" spans="18:20" x14ac:dyDescent="0.45">
      <c r="R3022" s="2">
        <v>46.98</v>
      </c>
      <c r="S3022" s="2">
        <v>1.70564E-3</v>
      </c>
      <c r="T3022" s="2">
        <v>1.34858E-3</v>
      </c>
    </row>
    <row r="3023" spans="18:20" x14ac:dyDescent="0.45">
      <c r="R3023" s="2">
        <v>46.99</v>
      </c>
      <c r="S3023" s="2">
        <v>1.70732E-3</v>
      </c>
      <c r="T3023" s="2">
        <v>1.34979E-3</v>
      </c>
    </row>
    <row r="3024" spans="18:20" x14ac:dyDescent="0.45">
      <c r="R3024" s="2">
        <v>47</v>
      </c>
      <c r="S3024" s="2">
        <v>1.709E-3</v>
      </c>
      <c r="T3024" s="2">
        <v>1.351E-3</v>
      </c>
    </row>
    <row r="3025" spans="18:20" x14ac:dyDescent="0.45">
      <c r="R3025" s="2">
        <v>47.01</v>
      </c>
      <c r="S3025" s="2">
        <v>1.71093E-3</v>
      </c>
      <c r="T3025" s="2">
        <v>1.3523400000000001E-3</v>
      </c>
    </row>
    <row r="3026" spans="18:20" x14ac:dyDescent="0.45">
      <c r="R3026" s="2">
        <v>47.02</v>
      </c>
      <c r="S3026" s="2">
        <v>1.7128600000000001E-3</v>
      </c>
      <c r="T3026" s="2">
        <v>1.3536799999999999E-3</v>
      </c>
    </row>
    <row r="3027" spans="18:20" x14ac:dyDescent="0.45">
      <c r="R3027" s="2">
        <v>47.03</v>
      </c>
      <c r="S3027" s="2">
        <v>1.7147900000000001E-3</v>
      </c>
      <c r="T3027" s="2">
        <v>1.35502E-3</v>
      </c>
    </row>
    <row r="3028" spans="18:20" x14ac:dyDescent="0.45">
      <c r="R3028" s="2">
        <v>47.04</v>
      </c>
      <c r="S3028" s="2">
        <v>1.7167199999999999E-3</v>
      </c>
      <c r="T3028" s="2">
        <v>1.35636E-3</v>
      </c>
    </row>
    <row r="3029" spans="18:20" x14ac:dyDescent="0.45">
      <c r="R3029" s="2">
        <v>47.05</v>
      </c>
      <c r="S3029" s="2">
        <v>1.71865E-3</v>
      </c>
      <c r="T3029" s="2">
        <v>1.3577000000000001E-3</v>
      </c>
    </row>
    <row r="3030" spans="18:20" x14ac:dyDescent="0.45">
      <c r="R3030" s="2">
        <v>47.06</v>
      </c>
      <c r="S3030" s="2">
        <v>1.72058E-3</v>
      </c>
      <c r="T3030" s="2">
        <v>1.3590399999999999E-3</v>
      </c>
    </row>
    <row r="3031" spans="18:20" x14ac:dyDescent="0.45">
      <c r="R3031" s="2">
        <v>47.07</v>
      </c>
      <c r="S3031" s="2">
        <v>1.72251E-3</v>
      </c>
      <c r="T3031" s="2">
        <v>1.36038E-3</v>
      </c>
    </row>
    <row r="3032" spans="18:20" x14ac:dyDescent="0.45">
      <c r="R3032" s="2">
        <v>47.08</v>
      </c>
      <c r="S3032" s="2">
        <v>1.72444E-3</v>
      </c>
      <c r="T3032" s="2">
        <v>1.3617200000000001E-3</v>
      </c>
    </row>
    <row r="3033" spans="18:20" x14ac:dyDescent="0.45">
      <c r="R3033" s="2">
        <v>47.09</v>
      </c>
      <c r="S3033" s="2">
        <v>1.7263700000000001E-3</v>
      </c>
      <c r="T3033" s="2">
        <v>1.3630599999999999E-3</v>
      </c>
    </row>
    <row r="3034" spans="18:20" x14ac:dyDescent="0.45">
      <c r="R3034" s="2">
        <v>47.1</v>
      </c>
      <c r="S3034" s="2">
        <v>1.7283000000000001E-3</v>
      </c>
      <c r="T3034" s="2">
        <v>1.3644E-3</v>
      </c>
    </row>
    <row r="3035" spans="18:20" x14ac:dyDescent="0.45">
      <c r="R3035" s="2">
        <v>47.11</v>
      </c>
      <c r="S3035" s="2">
        <v>1.7302299999999999E-3</v>
      </c>
      <c r="T3035" s="2">
        <v>1.3657400000000001E-3</v>
      </c>
    </row>
    <row r="3036" spans="18:20" x14ac:dyDescent="0.45">
      <c r="R3036" s="2">
        <v>47.12</v>
      </c>
      <c r="S3036" s="2">
        <v>1.7321599999999999E-3</v>
      </c>
      <c r="T3036" s="2">
        <v>1.3670799999999999E-3</v>
      </c>
    </row>
    <row r="3037" spans="18:20" x14ac:dyDescent="0.45">
      <c r="R3037" s="2">
        <v>47.13</v>
      </c>
      <c r="S3037" s="2">
        <v>1.73409E-3</v>
      </c>
      <c r="T3037" s="2">
        <v>1.36842E-3</v>
      </c>
    </row>
    <row r="3038" spans="18:20" x14ac:dyDescent="0.45">
      <c r="R3038" s="2">
        <v>47.14</v>
      </c>
      <c r="S3038" s="2">
        <v>1.73602E-3</v>
      </c>
      <c r="T3038" s="2">
        <v>1.36976E-3</v>
      </c>
    </row>
    <row r="3039" spans="18:20" x14ac:dyDescent="0.45">
      <c r="R3039" s="2">
        <v>47.15</v>
      </c>
      <c r="S3039" s="2">
        <v>1.73795E-3</v>
      </c>
      <c r="T3039" s="2">
        <v>1.3711000000000001E-3</v>
      </c>
    </row>
    <row r="3040" spans="18:20" x14ac:dyDescent="0.45">
      <c r="R3040" s="2">
        <v>47.16</v>
      </c>
      <c r="S3040" s="2">
        <v>1.7398800000000001E-3</v>
      </c>
      <c r="T3040" s="2">
        <v>1.3724399999999999E-3</v>
      </c>
    </row>
    <row r="3041" spans="18:20" x14ac:dyDescent="0.45">
      <c r="R3041" s="2">
        <v>47.17</v>
      </c>
      <c r="S3041" s="2">
        <v>1.7418100000000001E-3</v>
      </c>
      <c r="T3041" s="2">
        <v>1.37378E-3</v>
      </c>
    </row>
    <row r="3042" spans="18:20" x14ac:dyDescent="0.45">
      <c r="R3042" s="2">
        <v>47.18</v>
      </c>
      <c r="S3042" s="2">
        <v>1.7437399999999999E-3</v>
      </c>
      <c r="T3042" s="2">
        <v>1.3751200000000001E-3</v>
      </c>
    </row>
    <row r="3043" spans="18:20" x14ac:dyDescent="0.45">
      <c r="R3043" s="2">
        <v>47.19</v>
      </c>
      <c r="S3043" s="2">
        <v>1.7456699999999999E-3</v>
      </c>
      <c r="T3043" s="2">
        <v>1.3764599999999999E-3</v>
      </c>
    </row>
    <row r="3044" spans="18:20" x14ac:dyDescent="0.45">
      <c r="R3044" s="2">
        <v>47.2</v>
      </c>
      <c r="S3044" s="2">
        <v>1.7476E-3</v>
      </c>
      <c r="T3044" s="2">
        <v>1.3778E-3</v>
      </c>
    </row>
    <row r="3045" spans="18:20" x14ac:dyDescent="0.45">
      <c r="R3045" s="2">
        <v>47.21</v>
      </c>
      <c r="S3045" s="2">
        <v>1.74953E-3</v>
      </c>
      <c r="T3045" s="2">
        <v>1.3791400000000001E-3</v>
      </c>
    </row>
    <row r="3046" spans="18:20" x14ac:dyDescent="0.45">
      <c r="R3046" s="2">
        <v>47.22</v>
      </c>
      <c r="S3046" s="2">
        <v>1.75146E-3</v>
      </c>
      <c r="T3046" s="2">
        <v>1.3804799999999999E-3</v>
      </c>
    </row>
    <row r="3047" spans="18:20" x14ac:dyDescent="0.45">
      <c r="R3047" s="2">
        <v>47.23</v>
      </c>
      <c r="S3047" s="2">
        <v>1.7533900000000001E-3</v>
      </c>
      <c r="T3047" s="2">
        <v>1.38182E-3</v>
      </c>
    </row>
    <row r="3048" spans="18:20" x14ac:dyDescent="0.45">
      <c r="R3048" s="2">
        <v>47.24</v>
      </c>
      <c r="S3048" s="2">
        <v>1.7553200000000001E-3</v>
      </c>
      <c r="T3048" s="2">
        <v>1.38316E-3</v>
      </c>
    </row>
    <row r="3049" spans="18:20" x14ac:dyDescent="0.45">
      <c r="R3049" s="2">
        <v>47.25</v>
      </c>
      <c r="S3049" s="2">
        <v>1.7572499999999999E-3</v>
      </c>
      <c r="T3049" s="2">
        <v>1.3845000000000001E-3</v>
      </c>
    </row>
    <row r="3050" spans="18:20" x14ac:dyDescent="0.45">
      <c r="R3050" s="2">
        <v>47.26</v>
      </c>
      <c r="S3050" s="2">
        <v>1.7591799999999999E-3</v>
      </c>
      <c r="T3050" s="2">
        <v>1.3858399999999999E-3</v>
      </c>
    </row>
    <row r="3051" spans="18:20" x14ac:dyDescent="0.45">
      <c r="R3051" s="2">
        <v>47.27</v>
      </c>
      <c r="S3051" s="2">
        <v>1.76111E-3</v>
      </c>
      <c r="T3051" s="2">
        <v>1.38718E-3</v>
      </c>
    </row>
    <row r="3052" spans="18:20" x14ac:dyDescent="0.45">
      <c r="R3052" s="2">
        <v>47.28</v>
      </c>
      <c r="S3052" s="2">
        <v>1.76304E-3</v>
      </c>
      <c r="T3052" s="2">
        <v>1.3885200000000001E-3</v>
      </c>
    </row>
    <row r="3053" spans="18:20" x14ac:dyDescent="0.45">
      <c r="R3053" s="2">
        <v>47.29</v>
      </c>
      <c r="S3053" s="2">
        <v>1.76497E-3</v>
      </c>
      <c r="T3053" s="2">
        <v>1.3898599999999999E-3</v>
      </c>
    </row>
    <row r="3054" spans="18:20" x14ac:dyDescent="0.45">
      <c r="R3054" s="2">
        <v>47.3</v>
      </c>
      <c r="S3054" s="2">
        <v>1.7669000000000001E-3</v>
      </c>
      <c r="T3054" s="2">
        <v>1.3912E-3</v>
      </c>
    </row>
    <row r="3055" spans="18:20" x14ac:dyDescent="0.45">
      <c r="R3055" s="2">
        <v>47.31</v>
      </c>
      <c r="S3055" s="2">
        <v>1.7688300000000001E-3</v>
      </c>
      <c r="T3055" s="2">
        <v>1.3925400000000001E-3</v>
      </c>
    </row>
    <row r="3056" spans="18:20" x14ac:dyDescent="0.45">
      <c r="R3056" s="2">
        <v>47.32</v>
      </c>
      <c r="S3056" s="2">
        <v>1.7707599999999999E-3</v>
      </c>
      <c r="T3056" s="2">
        <v>1.3938799999999999E-3</v>
      </c>
    </row>
    <row r="3057" spans="18:20" x14ac:dyDescent="0.45">
      <c r="R3057" s="2">
        <v>47.33</v>
      </c>
      <c r="S3057" s="2">
        <v>1.7726899999999999E-3</v>
      </c>
      <c r="T3057" s="2">
        <v>1.39522E-3</v>
      </c>
    </row>
    <row r="3058" spans="18:20" x14ac:dyDescent="0.45">
      <c r="R3058" s="2">
        <v>47.34</v>
      </c>
      <c r="S3058" s="2">
        <v>1.77462E-3</v>
      </c>
      <c r="T3058" s="2">
        <v>1.39656E-3</v>
      </c>
    </row>
    <row r="3059" spans="18:20" x14ac:dyDescent="0.45">
      <c r="R3059" s="2">
        <v>47.35</v>
      </c>
      <c r="S3059" s="2">
        <v>1.77655E-3</v>
      </c>
      <c r="T3059" s="2">
        <v>1.3979000000000001E-3</v>
      </c>
    </row>
    <row r="3060" spans="18:20" x14ac:dyDescent="0.45">
      <c r="R3060" s="2">
        <v>47.36</v>
      </c>
      <c r="S3060" s="2">
        <v>1.77848E-3</v>
      </c>
      <c r="T3060" s="2">
        <v>1.3992399999999999E-3</v>
      </c>
    </row>
    <row r="3061" spans="18:20" x14ac:dyDescent="0.45">
      <c r="R3061" s="2">
        <v>47.37</v>
      </c>
      <c r="S3061" s="2">
        <v>1.7804100000000001E-3</v>
      </c>
      <c r="T3061" s="2">
        <v>1.40058E-3</v>
      </c>
    </row>
    <row r="3062" spans="18:20" x14ac:dyDescent="0.45">
      <c r="R3062" s="2">
        <v>47.38</v>
      </c>
      <c r="S3062" s="2">
        <v>1.7823400000000001E-3</v>
      </c>
      <c r="T3062" s="2">
        <v>1.4019200000000001E-3</v>
      </c>
    </row>
    <row r="3063" spans="18:20" x14ac:dyDescent="0.45">
      <c r="R3063" s="2">
        <v>47.39</v>
      </c>
      <c r="S3063" s="2">
        <v>1.7842699999999999E-3</v>
      </c>
      <c r="T3063" s="2">
        <v>1.4032599999999999E-3</v>
      </c>
    </row>
    <row r="3064" spans="18:20" x14ac:dyDescent="0.45">
      <c r="R3064" s="2">
        <v>47.4</v>
      </c>
      <c r="S3064" s="2">
        <v>1.7861999999999999E-3</v>
      </c>
      <c r="T3064" s="2">
        <v>1.4046E-3</v>
      </c>
    </row>
    <row r="3065" spans="18:20" x14ac:dyDescent="0.45">
      <c r="R3065" s="2">
        <v>47.41</v>
      </c>
      <c r="S3065" s="2">
        <v>1.78813E-3</v>
      </c>
      <c r="T3065" s="2">
        <v>1.4059400000000001E-3</v>
      </c>
    </row>
    <row r="3066" spans="18:20" x14ac:dyDescent="0.45">
      <c r="R3066" s="2">
        <v>47.42</v>
      </c>
      <c r="S3066" s="2">
        <v>1.79006E-3</v>
      </c>
      <c r="T3066" s="2">
        <v>1.4072799999999999E-3</v>
      </c>
    </row>
    <row r="3067" spans="18:20" x14ac:dyDescent="0.45">
      <c r="R3067" s="2">
        <v>47.43</v>
      </c>
      <c r="S3067" s="2">
        <v>1.79199E-3</v>
      </c>
      <c r="T3067" s="2">
        <v>1.40862E-3</v>
      </c>
    </row>
    <row r="3068" spans="18:20" x14ac:dyDescent="0.45">
      <c r="R3068" s="2">
        <v>47.44</v>
      </c>
      <c r="S3068" s="2">
        <v>1.7939200000000001E-3</v>
      </c>
      <c r="T3068" s="2">
        <v>1.40996E-3</v>
      </c>
    </row>
    <row r="3069" spans="18:20" x14ac:dyDescent="0.45">
      <c r="R3069" s="2">
        <v>47.45</v>
      </c>
      <c r="S3069" s="2">
        <v>1.7958500000000001E-3</v>
      </c>
      <c r="T3069" s="2">
        <v>1.4113000000000001E-3</v>
      </c>
    </row>
    <row r="3070" spans="18:20" x14ac:dyDescent="0.45">
      <c r="R3070" s="2">
        <v>47.46</v>
      </c>
      <c r="S3070" s="2">
        <v>1.7977799999999999E-3</v>
      </c>
      <c r="T3070" s="2">
        <v>1.4126399999999999E-3</v>
      </c>
    </row>
    <row r="3071" spans="18:20" x14ac:dyDescent="0.45">
      <c r="R3071" s="2">
        <v>47.47</v>
      </c>
      <c r="S3071" s="2">
        <v>1.7997099999999999E-3</v>
      </c>
      <c r="T3071" s="2">
        <v>1.41398E-3</v>
      </c>
    </row>
    <row r="3072" spans="18:20" x14ac:dyDescent="0.45">
      <c r="R3072" s="2">
        <v>47.48</v>
      </c>
      <c r="S3072" s="2">
        <v>1.80164E-3</v>
      </c>
      <c r="T3072" s="2">
        <v>1.4153200000000001E-3</v>
      </c>
    </row>
    <row r="3073" spans="18:20" x14ac:dyDescent="0.45">
      <c r="R3073" s="2">
        <v>47.49</v>
      </c>
      <c r="S3073" s="2">
        <v>1.80357E-3</v>
      </c>
      <c r="T3073" s="2">
        <v>1.4166599999999999E-3</v>
      </c>
    </row>
    <row r="3074" spans="18:20" x14ac:dyDescent="0.45">
      <c r="R3074" s="2">
        <v>47.5</v>
      </c>
      <c r="S3074" s="2">
        <v>1.8055E-3</v>
      </c>
      <c r="T3074" s="2">
        <v>1.418E-3</v>
      </c>
    </row>
    <row r="3075" spans="18:20" x14ac:dyDescent="0.45">
      <c r="R3075" s="2">
        <v>47.51</v>
      </c>
      <c r="S3075" s="2">
        <v>1.8074300000000001E-3</v>
      </c>
      <c r="T3075" s="2">
        <v>1.4193400000000001E-3</v>
      </c>
    </row>
    <row r="3076" spans="18:20" x14ac:dyDescent="0.45">
      <c r="R3076" s="2">
        <v>47.52</v>
      </c>
      <c r="S3076" s="2">
        <v>1.8093600000000001E-3</v>
      </c>
      <c r="T3076" s="2">
        <v>1.4206799999999999E-3</v>
      </c>
    </row>
    <row r="3077" spans="18:20" x14ac:dyDescent="0.45">
      <c r="R3077" s="2">
        <v>47.53</v>
      </c>
      <c r="S3077" s="2">
        <v>1.8112899999999999E-3</v>
      </c>
      <c r="T3077" s="2">
        <v>1.42202E-3</v>
      </c>
    </row>
    <row r="3078" spans="18:20" x14ac:dyDescent="0.45">
      <c r="R3078" s="2">
        <v>47.54</v>
      </c>
      <c r="S3078" s="2">
        <v>1.8132199999999999E-3</v>
      </c>
      <c r="T3078" s="2">
        <v>1.42336E-3</v>
      </c>
    </row>
    <row r="3079" spans="18:20" x14ac:dyDescent="0.45">
      <c r="R3079" s="2">
        <v>47.55</v>
      </c>
      <c r="S3079" s="2">
        <v>1.81515E-3</v>
      </c>
      <c r="T3079" s="2">
        <v>1.4247000000000001E-3</v>
      </c>
    </row>
    <row r="3080" spans="18:20" x14ac:dyDescent="0.45">
      <c r="R3080" s="2">
        <v>47.56</v>
      </c>
      <c r="S3080" s="2">
        <v>1.81708E-3</v>
      </c>
      <c r="T3080" s="2">
        <v>1.4260399999999999E-3</v>
      </c>
    </row>
    <row r="3081" spans="18:20" x14ac:dyDescent="0.45">
      <c r="R3081" s="2">
        <v>47.57</v>
      </c>
      <c r="S3081" s="2">
        <v>1.81901E-3</v>
      </c>
      <c r="T3081" s="2">
        <v>1.42738E-3</v>
      </c>
    </row>
    <row r="3082" spans="18:20" x14ac:dyDescent="0.45">
      <c r="R3082" s="2">
        <v>47.58</v>
      </c>
      <c r="S3082" s="2">
        <v>1.8209400000000001E-3</v>
      </c>
      <c r="T3082" s="2">
        <v>1.4287200000000001E-3</v>
      </c>
    </row>
    <row r="3083" spans="18:20" x14ac:dyDescent="0.45">
      <c r="R3083" s="2">
        <v>47.59</v>
      </c>
      <c r="S3083" s="2">
        <v>1.8228700000000001E-3</v>
      </c>
      <c r="T3083" s="2">
        <v>1.4300599999999999E-3</v>
      </c>
    </row>
    <row r="3084" spans="18:20" x14ac:dyDescent="0.45">
      <c r="R3084" s="2">
        <v>47.6</v>
      </c>
      <c r="S3084" s="2">
        <v>1.8247999999999999E-3</v>
      </c>
      <c r="T3084" s="2">
        <v>1.4314E-3</v>
      </c>
    </row>
    <row r="3085" spans="18:20" x14ac:dyDescent="0.45">
      <c r="R3085" s="2">
        <v>47.61</v>
      </c>
      <c r="S3085" s="2">
        <v>1.8267299999999999E-3</v>
      </c>
      <c r="T3085" s="2">
        <v>1.4327400000000001E-3</v>
      </c>
    </row>
    <row r="3086" spans="18:20" x14ac:dyDescent="0.45">
      <c r="R3086" s="2">
        <v>47.62</v>
      </c>
      <c r="S3086" s="2">
        <v>1.82866E-3</v>
      </c>
      <c r="T3086" s="2">
        <v>1.4340799999999999E-3</v>
      </c>
    </row>
    <row r="3087" spans="18:20" x14ac:dyDescent="0.45">
      <c r="R3087" s="2">
        <v>47.63</v>
      </c>
      <c r="S3087" s="2">
        <v>1.83059E-3</v>
      </c>
      <c r="T3087" s="2">
        <v>1.43542E-3</v>
      </c>
    </row>
    <row r="3088" spans="18:20" x14ac:dyDescent="0.45">
      <c r="R3088" s="2">
        <v>47.64</v>
      </c>
      <c r="S3088" s="2">
        <v>1.83252E-3</v>
      </c>
      <c r="T3088" s="2">
        <v>1.43676E-3</v>
      </c>
    </row>
    <row r="3089" spans="18:20" x14ac:dyDescent="0.45">
      <c r="R3089" s="2">
        <v>47.65</v>
      </c>
      <c r="S3089" s="2">
        <v>1.8344500000000001E-3</v>
      </c>
      <c r="T3089" s="2">
        <v>1.4381000000000001E-3</v>
      </c>
    </row>
    <row r="3090" spans="18:20" x14ac:dyDescent="0.45">
      <c r="R3090" s="2">
        <v>47.66</v>
      </c>
      <c r="S3090" s="2">
        <v>1.8363800000000001E-3</v>
      </c>
      <c r="T3090" s="2">
        <v>1.4394399999999999E-3</v>
      </c>
    </row>
    <row r="3091" spans="18:20" x14ac:dyDescent="0.45">
      <c r="R3091" s="2">
        <v>47.67</v>
      </c>
      <c r="S3091" s="2">
        <v>1.8383099999999999E-3</v>
      </c>
      <c r="T3091" s="2">
        <v>1.44078E-3</v>
      </c>
    </row>
    <row r="3092" spans="18:20" x14ac:dyDescent="0.45">
      <c r="R3092" s="2">
        <v>47.68</v>
      </c>
      <c r="S3092" s="2">
        <v>1.8402399999999999E-3</v>
      </c>
      <c r="T3092" s="2">
        <v>1.4421200000000001E-3</v>
      </c>
    </row>
    <row r="3093" spans="18:20" x14ac:dyDescent="0.45">
      <c r="R3093" s="2">
        <v>47.69</v>
      </c>
      <c r="S3093" s="2">
        <v>1.84217E-3</v>
      </c>
      <c r="T3093" s="2">
        <v>1.4434599999999999E-3</v>
      </c>
    </row>
    <row r="3094" spans="18:20" x14ac:dyDescent="0.45">
      <c r="R3094" s="2">
        <v>47.7</v>
      </c>
      <c r="S3094" s="2">
        <v>1.8441E-3</v>
      </c>
      <c r="T3094" s="2">
        <v>1.4448E-3</v>
      </c>
    </row>
    <row r="3095" spans="18:20" x14ac:dyDescent="0.45">
      <c r="R3095" s="2">
        <v>47.71</v>
      </c>
      <c r="S3095" s="2">
        <v>1.84603E-3</v>
      </c>
      <c r="T3095" s="2">
        <v>1.4461400000000001E-3</v>
      </c>
    </row>
    <row r="3096" spans="18:20" x14ac:dyDescent="0.45">
      <c r="R3096" s="2">
        <v>47.72</v>
      </c>
      <c r="S3096" s="2">
        <v>1.8479600000000001E-3</v>
      </c>
      <c r="T3096" s="2">
        <v>1.4474799999999999E-3</v>
      </c>
    </row>
    <row r="3097" spans="18:20" x14ac:dyDescent="0.45">
      <c r="R3097" s="2">
        <v>47.73</v>
      </c>
      <c r="S3097" s="2">
        <v>1.8498900000000001E-3</v>
      </c>
      <c r="T3097" s="2">
        <v>1.44882E-3</v>
      </c>
    </row>
    <row r="3098" spans="18:20" x14ac:dyDescent="0.45">
      <c r="R3098" s="2">
        <v>47.74</v>
      </c>
      <c r="S3098" s="2">
        <v>1.8518199999999999E-3</v>
      </c>
      <c r="T3098" s="2">
        <v>1.45016E-3</v>
      </c>
    </row>
    <row r="3099" spans="18:20" x14ac:dyDescent="0.45">
      <c r="R3099" s="2">
        <v>47.75</v>
      </c>
      <c r="S3099" s="2">
        <v>1.8537499999999999E-3</v>
      </c>
      <c r="T3099" s="2">
        <v>1.4515000000000001E-3</v>
      </c>
    </row>
    <row r="3100" spans="18:20" x14ac:dyDescent="0.45">
      <c r="R3100" s="2">
        <v>47.76</v>
      </c>
      <c r="S3100" s="2">
        <v>1.85568E-3</v>
      </c>
      <c r="T3100" s="2">
        <v>1.4528399999999999E-3</v>
      </c>
    </row>
    <row r="3101" spans="18:20" x14ac:dyDescent="0.45">
      <c r="R3101" s="2">
        <v>47.77</v>
      </c>
      <c r="S3101" s="2">
        <v>1.85761E-3</v>
      </c>
      <c r="T3101" s="2">
        <v>1.45418E-3</v>
      </c>
    </row>
    <row r="3102" spans="18:20" x14ac:dyDescent="0.45">
      <c r="R3102" s="2">
        <v>47.78</v>
      </c>
      <c r="S3102" s="2">
        <v>1.85954E-3</v>
      </c>
      <c r="T3102" s="2">
        <v>1.4555200000000001E-3</v>
      </c>
    </row>
    <row r="3103" spans="18:20" x14ac:dyDescent="0.45">
      <c r="R3103" s="2">
        <v>47.79</v>
      </c>
      <c r="S3103" s="2">
        <v>1.8614700000000001E-3</v>
      </c>
      <c r="T3103" s="2">
        <v>1.4568599999999999E-3</v>
      </c>
    </row>
    <row r="3104" spans="18:20" x14ac:dyDescent="0.45">
      <c r="R3104" s="2">
        <v>47.8</v>
      </c>
      <c r="S3104" s="2">
        <v>1.8634000000000001E-3</v>
      </c>
      <c r="T3104" s="2">
        <v>1.4582E-3</v>
      </c>
    </row>
    <row r="3105" spans="18:20" x14ac:dyDescent="0.45">
      <c r="R3105" s="2">
        <v>47.81</v>
      </c>
      <c r="S3105" s="2">
        <v>1.8653299999999999E-3</v>
      </c>
      <c r="T3105" s="2">
        <v>1.4595400000000001E-3</v>
      </c>
    </row>
    <row r="3106" spans="18:20" x14ac:dyDescent="0.45">
      <c r="R3106" s="2">
        <v>47.82</v>
      </c>
      <c r="S3106" s="2">
        <v>1.8672599999999999E-3</v>
      </c>
      <c r="T3106" s="2">
        <v>1.4608799999999999E-3</v>
      </c>
    </row>
    <row r="3107" spans="18:20" x14ac:dyDescent="0.45">
      <c r="R3107" s="2">
        <v>47.83</v>
      </c>
      <c r="S3107" s="2">
        <v>1.86919E-3</v>
      </c>
      <c r="T3107" s="2">
        <v>1.46222E-3</v>
      </c>
    </row>
    <row r="3108" spans="18:20" x14ac:dyDescent="0.45">
      <c r="R3108" s="2">
        <v>47.84</v>
      </c>
      <c r="S3108" s="2">
        <v>1.87112E-3</v>
      </c>
      <c r="T3108" s="2">
        <v>1.46356E-3</v>
      </c>
    </row>
    <row r="3109" spans="18:20" x14ac:dyDescent="0.45">
      <c r="R3109" s="2">
        <v>47.85</v>
      </c>
      <c r="S3109" s="2">
        <v>1.87305E-3</v>
      </c>
      <c r="T3109" s="2">
        <v>1.4649000000000001E-3</v>
      </c>
    </row>
    <row r="3110" spans="18:20" x14ac:dyDescent="0.45">
      <c r="R3110" s="2">
        <v>47.86</v>
      </c>
      <c r="S3110" s="2">
        <v>1.87498E-3</v>
      </c>
      <c r="T3110" s="2">
        <v>1.4662399999999999E-3</v>
      </c>
    </row>
    <row r="3111" spans="18:20" x14ac:dyDescent="0.45">
      <c r="R3111" s="2">
        <v>47.87</v>
      </c>
      <c r="S3111" s="2">
        <v>1.8769100000000001E-3</v>
      </c>
      <c r="T3111" s="2">
        <v>1.46758E-3</v>
      </c>
    </row>
    <row r="3112" spans="18:20" x14ac:dyDescent="0.45">
      <c r="R3112" s="2">
        <v>47.88</v>
      </c>
      <c r="S3112" s="2">
        <v>1.8788399999999999E-3</v>
      </c>
      <c r="T3112" s="2">
        <v>1.4689200000000001E-3</v>
      </c>
    </row>
    <row r="3113" spans="18:20" x14ac:dyDescent="0.45">
      <c r="R3113" s="2">
        <v>47.89</v>
      </c>
      <c r="S3113" s="2">
        <v>1.8807699999999999E-3</v>
      </c>
      <c r="T3113" s="2">
        <v>1.4702599999999999E-3</v>
      </c>
    </row>
    <row r="3114" spans="18:20" x14ac:dyDescent="0.45">
      <c r="R3114" s="2">
        <v>47.9</v>
      </c>
      <c r="S3114" s="2">
        <v>1.8827E-3</v>
      </c>
      <c r="T3114" s="2">
        <v>1.4716E-3</v>
      </c>
    </row>
    <row r="3115" spans="18:20" x14ac:dyDescent="0.45">
      <c r="R3115" s="2">
        <v>47.91</v>
      </c>
      <c r="S3115" s="2">
        <v>1.88463E-3</v>
      </c>
      <c r="T3115" s="2">
        <v>1.4729400000000001E-3</v>
      </c>
    </row>
    <row r="3116" spans="18:20" x14ac:dyDescent="0.45">
      <c r="R3116" s="2">
        <v>47.92</v>
      </c>
      <c r="S3116" s="2">
        <v>1.88656E-3</v>
      </c>
      <c r="T3116" s="2">
        <v>1.4742799999999999E-3</v>
      </c>
    </row>
    <row r="3117" spans="18:20" x14ac:dyDescent="0.45">
      <c r="R3117" s="2">
        <v>47.93</v>
      </c>
      <c r="S3117" s="2">
        <v>1.88849E-3</v>
      </c>
      <c r="T3117" s="2">
        <v>1.47562E-3</v>
      </c>
    </row>
    <row r="3118" spans="18:20" x14ac:dyDescent="0.45">
      <c r="R3118" s="2">
        <v>47.94</v>
      </c>
      <c r="S3118" s="2">
        <v>1.8904200000000001E-3</v>
      </c>
      <c r="T3118" s="2">
        <v>1.47696E-3</v>
      </c>
    </row>
    <row r="3119" spans="18:20" x14ac:dyDescent="0.45">
      <c r="R3119" s="2">
        <v>47.95</v>
      </c>
      <c r="S3119" s="2">
        <v>1.8923500000000001E-3</v>
      </c>
      <c r="T3119" s="2">
        <v>1.4783000000000001E-3</v>
      </c>
    </row>
    <row r="3120" spans="18:20" x14ac:dyDescent="0.45">
      <c r="R3120" s="2">
        <v>47.96</v>
      </c>
      <c r="S3120" s="2">
        <v>1.8942799999999999E-3</v>
      </c>
      <c r="T3120" s="2">
        <v>1.4796399999999999E-3</v>
      </c>
    </row>
    <row r="3121" spans="18:20" x14ac:dyDescent="0.45">
      <c r="R3121" s="2">
        <v>47.97</v>
      </c>
      <c r="S3121" s="2">
        <v>1.89621E-3</v>
      </c>
      <c r="T3121" s="2">
        <v>1.48098E-3</v>
      </c>
    </row>
    <row r="3122" spans="18:20" x14ac:dyDescent="0.45">
      <c r="R3122" s="2">
        <v>47.98</v>
      </c>
      <c r="S3122" s="2">
        <v>1.89814E-3</v>
      </c>
      <c r="T3122" s="2">
        <v>1.4823200000000001E-3</v>
      </c>
    </row>
    <row r="3123" spans="18:20" x14ac:dyDescent="0.45">
      <c r="R3123" s="2">
        <v>47.99</v>
      </c>
      <c r="S3123" s="2">
        <v>1.90007E-3</v>
      </c>
      <c r="T3123" s="2">
        <v>1.4836599999999999E-3</v>
      </c>
    </row>
    <row r="3124" spans="18:20" x14ac:dyDescent="0.45">
      <c r="R3124" s="2">
        <v>48</v>
      </c>
      <c r="S3124" s="2">
        <v>1.902E-3</v>
      </c>
      <c r="T3124" s="2">
        <v>1.485E-3</v>
      </c>
    </row>
    <row r="3125" spans="18:20" x14ac:dyDescent="0.45">
      <c r="R3125" s="2">
        <v>48.01</v>
      </c>
      <c r="S3125" s="2">
        <v>1.9042E-3</v>
      </c>
      <c r="T3125" s="2">
        <v>1.4864800000000001E-3</v>
      </c>
    </row>
    <row r="3126" spans="18:20" x14ac:dyDescent="0.45">
      <c r="R3126" s="2">
        <v>48.02</v>
      </c>
      <c r="S3126" s="2">
        <v>1.9063999999999999E-3</v>
      </c>
      <c r="T3126" s="2">
        <v>1.48796E-3</v>
      </c>
    </row>
    <row r="3127" spans="18:20" x14ac:dyDescent="0.45">
      <c r="R3127" s="2">
        <v>48.03</v>
      </c>
      <c r="S3127" s="2">
        <v>1.9086000000000001E-3</v>
      </c>
      <c r="T3127" s="2">
        <v>1.4894400000000001E-3</v>
      </c>
    </row>
    <row r="3128" spans="18:20" x14ac:dyDescent="0.45">
      <c r="R3128" s="2">
        <v>48.04</v>
      </c>
      <c r="S3128" s="2">
        <v>1.9108E-3</v>
      </c>
      <c r="T3128" s="2">
        <v>1.49092E-3</v>
      </c>
    </row>
    <row r="3129" spans="18:20" x14ac:dyDescent="0.45">
      <c r="R3129" s="2">
        <v>48.05</v>
      </c>
      <c r="S3129" s="2">
        <v>1.913E-3</v>
      </c>
      <c r="T3129" s="2">
        <v>1.4924000000000001E-3</v>
      </c>
    </row>
    <row r="3130" spans="18:20" x14ac:dyDescent="0.45">
      <c r="R3130" s="2">
        <v>48.06</v>
      </c>
      <c r="S3130" s="2">
        <v>1.9151999999999999E-3</v>
      </c>
      <c r="T3130" s="2">
        <v>1.4938799999999999E-3</v>
      </c>
    </row>
    <row r="3131" spans="18:20" x14ac:dyDescent="0.45">
      <c r="R3131" s="2">
        <v>48.07</v>
      </c>
      <c r="S3131" s="2">
        <v>1.9174000000000001E-3</v>
      </c>
      <c r="T3131" s="2">
        <v>1.49536E-3</v>
      </c>
    </row>
    <row r="3132" spans="18:20" x14ac:dyDescent="0.45">
      <c r="R3132" s="2">
        <v>48.08</v>
      </c>
      <c r="S3132" s="2">
        <v>1.9196E-3</v>
      </c>
      <c r="T3132" s="2">
        <v>1.4968399999999999E-3</v>
      </c>
    </row>
    <row r="3133" spans="18:20" x14ac:dyDescent="0.45">
      <c r="R3133" s="2">
        <v>48.09</v>
      </c>
      <c r="S3133" s="2">
        <v>1.9218E-3</v>
      </c>
      <c r="T3133" s="2">
        <v>1.49832E-3</v>
      </c>
    </row>
    <row r="3134" spans="18:20" x14ac:dyDescent="0.45">
      <c r="R3134" s="2">
        <v>48.1</v>
      </c>
      <c r="S3134" s="2">
        <v>1.9239999999999999E-3</v>
      </c>
      <c r="T3134" s="2">
        <v>1.4997999999999999E-3</v>
      </c>
    </row>
    <row r="3135" spans="18:20" x14ac:dyDescent="0.45">
      <c r="R3135" s="2">
        <v>48.11</v>
      </c>
      <c r="S3135" s="2">
        <v>1.9262000000000001E-3</v>
      </c>
      <c r="T3135" s="2">
        <v>1.50128E-3</v>
      </c>
    </row>
    <row r="3136" spans="18:20" x14ac:dyDescent="0.45">
      <c r="R3136" s="2">
        <v>48.12</v>
      </c>
      <c r="S3136" s="2">
        <v>1.9284E-3</v>
      </c>
      <c r="T3136" s="2">
        <v>1.5027599999999999E-3</v>
      </c>
    </row>
    <row r="3137" spans="18:20" x14ac:dyDescent="0.45">
      <c r="R3137" s="2">
        <v>48.13</v>
      </c>
      <c r="S3137" s="2">
        <v>1.9306E-3</v>
      </c>
      <c r="T3137" s="2">
        <v>1.50424E-3</v>
      </c>
    </row>
    <row r="3138" spans="18:20" x14ac:dyDescent="0.45">
      <c r="R3138" s="2">
        <v>48.14</v>
      </c>
      <c r="S3138" s="2">
        <v>1.9327999999999999E-3</v>
      </c>
      <c r="T3138" s="2">
        <v>1.5057200000000001E-3</v>
      </c>
    </row>
    <row r="3139" spans="18:20" x14ac:dyDescent="0.45">
      <c r="R3139" s="2">
        <v>48.15</v>
      </c>
      <c r="S3139" s="2">
        <v>1.9350000000000001E-3</v>
      </c>
      <c r="T3139" s="2">
        <v>1.5072E-3</v>
      </c>
    </row>
    <row r="3140" spans="18:20" x14ac:dyDescent="0.45">
      <c r="R3140" s="2">
        <v>48.16</v>
      </c>
      <c r="S3140" s="2">
        <v>1.9372E-3</v>
      </c>
      <c r="T3140" s="2">
        <v>1.5086800000000001E-3</v>
      </c>
    </row>
    <row r="3141" spans="18:20" x14ac:dyDescent="0.45">
      <c r="R3141" s="2">
        <v>48.17</v>
      </c>
      <c r="S3141" s="2">
        <v>1.9394E-3</v>
      </c>
      <c r="T3141" s="2">
        <v>1.51016E-3</v>
      </c>
    </row>
    <row r="3142" spans="18:20" x14ac:dyDescent="0.45">
      <c r="R3142" s="2">
        <v>48.18</v>
      </c>
      <c r="S3142" s="2">
        <v>1.9415999999999999E-3</v>
      </c>
      <c r="T3142" s="2">
        <v>1.5116400000000001E-3</v>
      </c>
    </row>
    <row r="3143" spans="18:20" x14ac:dyDescent="0.45">
      <c r="R3143" s="2">
        <v>48.19</v>
      </c>
      <c r="S3143" s="2">
        <v>1.9438000000000001E-3</v>
      </c>
      <c r="T3143" s="2">
        <v>1.51312E-3</v>
      </c>
    </row>
    <row r="3144" spans="18:20" x14ac:dyDescent="0.45">
      <c r="R3144" s="2">
        <v>48.2</v>
      </c>
      <c r="S3144" s="2">
        <v>1.946E-3</v>
      </c>
      <c r="T3144" s="2">
        <v>1.5146000000000001E-3</v>
      </c>
    </row>
    <row r="3145" spans="18:20" x14ac:dyDescent="0.45">
      <c r="R3145" s="2">
        <v>48.21</v>
      </c>
      <c r="S3145" s="2">
        <v>1.9482E-3</v>
      </c>
      <c r="T3145" s="2">
        <v>1.5160799999999999E-3</v>
      </c>
    </row>
    <row r="3146" spans="18:20" x14ac:dyDescent="0.45">
      <c r="R3146" s="2">
        <v>48.22</v>
      </c>
      <c r="S3146" s="2">
        <v>1.9503999999999999E-3</v>
      </c>
      <c r="T3146" s="2">
        <v>1.51756E-3</v>
      </c>
    </row>
    <row r="3147" spans="18:20" x14ac:dyDescent="0.45">
      <c r="R3147" s="2">
        <v>48.23</v>
      </c>
      <c r="S3147" s="2">
        <v>1.9526000000000001E-3</v>
      </c>
      <c r="T3147" s="2">
        <v>1.5190399999999999E-3</v>
      </c>
    </row>
    <row r="3148" spans="18:20" x14ac:dyDescent="0.45">
      <c r="R3148" s="2">
        <v>48.24</v>
      </c>
      <c r="S3148" s="2">
        <v>1.9548E-3</v>
      </c>
      <c r="T3148" s="2">
        <v>1.52052E-3</v>
      </c>
    </row>
    <row r="3149" spans="18:20" x14ac:dyDescent="0.45">
      <c r="R3149" s="2">
        <v>48.25</v>
      </c>
      <c r="S3149" s="2">
        <v>1.957E-3</v>
      </c>
      <c r="T3149" s="2">
        <v>1.5219999999999999E-3</v>
      </c>
    </row>
    <row r="3150" spans="18:20" x14ac:dyDescent="0.45">
      <c r="R3150" s="2">
        <v>48.26</v>
      </c>
      <c r="S3150" s="2">
        <v>1.9591999999999999E-3</v>
      </c>
      <c r="T3150" s="2">
        <v>1.52348E-3</v>
      </c>
    </row>
    <row r="3151" spans="18:20" x14ac:dyDescent="0.45">
      <c r="R3151" s="2">
        <v>48.27</v>
      </c>
      <c r="S3151" s="2">
        <v>1.9613999999999999E-3</v>
      </c>
      <c r="T3151" s="2">
        <v>1.5249599999999999E-3</v>
      </c>
    </row>
    <row r="3152" spans="18:20" x14ac:dyDescent="0.45">
      <c r="R3152" s="2">
        <v>48.28</v>
      </c>
      <c r="S3152" s="2">
        <v>1.9635999999999998E-3</v>
      </c>
      <c r="T3152" s="2">
        <v>1.52644E-3</v>
      </c>
    </row>
    <row r="3153" spans="18:20" x14ac:dyDescent="0.45">
      <c r="R3153" s="2">
        <v>48.29</v>
      </c>
      <c r="S3153" s="2">
        <v>1.9658000000000002E-3</v>
      </c>
      <c r="T3153" s="2">
        <v>1.5279200000000001E-3</v>
      </c>
    </row>
    <row r="3154" spans="18:20" x14ac:dyDescent="0.45">
      <c r="R3154" s="2">
        <v>48.3</v>
      </c>
      <c r="S3154" s="2">
        <v>1.9680000000000001E-3</v>
      </c>
      <c r="T3154" s="2">
        <v>1.5294E-3</v>
      </c>
    </row>
    <row r="3155" spans="18:20" x14ac:dyDescent="0.45">
      <c r="R3155" s="2">
        <v>48.31</v>
      </c>
      <c r="S3155" s="2">
        <v>1.9702000000000001E-3</v>
      </c>
      <c r="T3155" s="2">
        <v>1.5308800000000001E-3</v>
      </c>
    </row>
    <row r="3156" spans="18:20" x14ac:dyDescent="0.45">
      <c r="R3156" s="2">
        <v>48.32</v>
      </c>
      <c r="S3156" s="2">
        <v>1.9724E-3</v>
      </c>
      <c r="T3156" s="2">
        <v>1.53236E-3</v>
      </c>
    </row>
    <row r="3157" spans="18:20" x14ac:dyDescent="0.45">
      <c r="R3157" s="2">
        <v>48.33</v>
      </c>
      <c r="S3157" s="2">
        <v>1.9746E-3</v>
      </c>
      <c r="T3157" s="2">
        <v>1.5338400000000001E-3</v>
      </c>
    </row>
    <row r="3158" spans="18:20" x14ac:dyDescent="0.45">
      <c r="R3158" s="2">
        <v>48.34</v>
      </c>
      <c r="S3158" s="2">
        <v>1.9767999999999999E-3</v>
      </c>
      <c r="T3158" s="2">
        <v>1.53532E-3</v>
      </c>
    </row>
    <row r="3159" spans="18:20" x14ac:dyDescent="0.45">
      <c r="R3159" s="2">
        <v>48.35</v>
      </c>
      <c r="S3159" s="2">
        <v>1.9789999999999999E-3</v>
      </c>
      <c r="T3159" s="2">
        <v>1.5368000000000001E-3</v>
      </c>
    </row>
    <row r="3160" spans="18:20" x14ac:dyDescent="0.45">
      <c r="R3160" s="2">
        <v>48.36</v>
      </c>
      <c r="S3160" s="2">
        <v>1.9811999999999998E-3</v>
      </c>
      <c r="T3160" s="2">
        <v>1.5382799999999999E-3</v>
      </c>
    </row>
    <row r="3161" spans="18:20" x14ac:dyDescent="0.45">
      <c r="R3161" s="2">
        <v>48.37</v>
      </c>
      <c r="S3161" s="2">
        <v>1.9834000000000002E-3</v>
      </c>
      <c r="T3161" s="2">
        <v>1.53976E-3</v>
      </c>
    </row>
    <row r="3162" spans="18:20" x14ac:dyDescent="0.45">
      <c r="R3162" s="2">
        <v>48.38</v>
      </c>
      <c r="S3162" s="2">
        <v>1.9856000000000001E-3</v>
      </c>
      <c r="T3162" s="2">
        <v>1.5412399999999999E-3</v>
      </c>
    </row>
    <row r="3163" spans="18:20" x14ac:dyDescent="0.45">
      <c r="R3163" s="2">
        <v>48.39</v>
      </c>
      <c r="S3163" s="2">
        <v>1.9878000000000001E-3</v>
      </c>
      <c r="T3163" s="2">
        <v>1.54272E-3</v>
      </c>
    </row>
    <row r="3164" spans="18:20" x14ac:dyDescent="0.45">
      <c r="R3164" s="2">
        <v>48.4</v>
      </c>
      <c r="S3164" s="2">
        <v>1.99E-3</v>
      </c>
      <c r="T3164" s="2">
        <v>1.5441999999999999E-3</v>
      </c>
    </row>
    <row r="3165" spans="18:20" x14ac:dyDescent="0.45">
      <c r="R3165" s="2">
        <v>48.41</v>
      </c>
      <c r="S3165" s="2">
        <v>1.9922E-3</v>
      </c>
      <c r="T3165" s="2">
        <v>1.54568E-3</v>
      </c>
    </row>
    <row r="3166" spans="18:20" x14ac:dyDescent="0.45">
      <c r="R3166" s="2">
        <v>48.42</v>
      </c>
      <c r="S3166" s="2">
        <v>1.9943999999999999E-3</v>
      </c>
      <c r="T3166" s="2">
        <v>1.5471599999999999E-3</v>
      </c>
    </row>
    <row r="3167" spans="18:20" x14ac:dyDescent="0.45">
      <c r="R3167" s="2">
        <v>48.43</v>
      </c>
      <c r="S3167" s="2">
        <v>1.9965999999999999E-3</v>
      </c>
      <c r="T3167" s="2">
        <v>1.54864E-3</v>
      </c>
    </row>
    <row r="3168" spans="18:20" x14ac:dyDescent="0.45">
      <c r="R3168" s="2">
        <v>48.44</v>
      </c>
      <c r="S3168" s="2">
        <v>1.9987999999999998E-3</v>
      </c>
      <c r="T3168" s="2">
        <v>1.5501200000000001E-3</v>
      </c>
    </row>
    <row r="3169" spans="18:20" x14ac:dyDescent="0.45">
      <c r="R3169" s="2">
        <v>48.45</v>
      </c>
      <c r="S3169" s="2">
        <v>2.0010000000000002E-3</v>
      </c>
      <c r="T3169" s="2">
        <v>1.5516E-3</v>
      </c>
    </row>
    <row r="3170" spans="18:20" x14ac:dyDescent="0.45">
      <c r="R3170" s="2">
        <v>48.46</v>
      </c>
      <c r="S3170" s="2">
        <v>2.0032000000000001E-3</v>
      </c>
      <c r="T3170" s="2">
        <v>1.5530800000000001E-3</v>
      </c>
    </row>
    <row r="3171" spans="18:20" x14ac:dyDescent="0.45">
      <c r="R3171" s="2">
        <v>48.47</v>
      </c>
      <c r="S3171" s="2">
        <v>2.0054000000000001E-3</v>
      </c>
      <c r="T3171" s="2">
        <v>1.55456E-3</v>
      </c>
    </row>
    <row r="3172" spans="18:20" x14ac:dyDescent="0.45">
      <c r="R3172" s="2">
        <v>48.48</v>
      </c>
      <c r="S3172" s="2">
        <v>2.0076E-3</v>
      </c>
      <c r="T3172" s="2">
        <v>1.5560400000000001E-3</v>
      </c>
    </row>
    <row r="3173" spans="18:20" x14ac:dyDescent="0.45">
      <c r="R3173" s="2">
        <v>48.49</v>
      </c>
      <c r="S3173" s="2">
        <v>2.0098E-3</v>
      </c>
      <c r="T3173" s="2">
        <v>1.55752E-3</v>
      </c>
    </row>
    <row r="3174" spans="18:20" x14ac:dyDescent="0.45">
      <c r="R3174" s="2">
        <v>48.5</v>
      </c>
      <c r="S3174" s="2">
        <v>2.0119999999999999E-3</v>
      </c>
      <c r="T3174" s="2">
        <v>1.5590000000000001E-3</v>
      </c>
    </row>
    <row r="3175" spans="18:20" x14ac:dyDescent="0.45">
      <c r="R3175" s="2">
        <v>48.51</v>
      </c>
      <c r="S3175" s="2">
        <v>2.0141999999999998E-3</v>
      </c>
      <c r="T3175" s="2">
        <v>1.5604799999999999E-3</v>
      </c>
    </row>
    <row r="3176" spans="18:20" x14ac:dyDescent="0.45">
      <c r="R3176" s="2">
        <v>48.52</v>
      </c>
      <c r="S3176" s="2">
        <v>2.0163999999999998E-3</v>
      </c>
      <c r="T3176" s="2">
        <v>1.56196E-3</v>
      </c>
    </row>
    <row r="3177" spans="18:20" x14ac:dyDescent="0.45">
      <c r="R3177" s="2">
        <v>48.53</v>
      </c>
      <c r="S3177" s="2">
        <v>2.0186000000000002E-3</v>
      </c>
      <c r="T3177" s="2">
        <v>1.5634399999999999E-3</v>
      </c>
    </row>
    <row r="3178" spans="18:20" x14ac:dyDescent="0.45">
      <c r="R3178" s="2">
        <v>48.54</v>
      </c>
      <c r="S3178" s="2">
        <v>2.0208000000000001E-3</v>
      </c>
      <c r="T3178" s="2">
        <v>1.56492E-3</v>
      </c>
    </row>
    <row r="3179" spans="18:20" x14ac:dyDescent="0.45">
      <c r="R3179" s="2">
        <v>48.55</v>
      </c>
      <c r="S3179" s="2">
        <v>2.0230000000000001E-3</v>
      </c>
      <c r="T3179" s="2">
        <v>1.5663999999999999E-3</v>
      </c>
    </row>
    <row r="3180" spans="18:20" x14ac:dyDescent="0.45">
      <c r="R3180" s="2">
        <v>48.56</v>
      </c>
      <c r="S3180" s="2">
        <v>2.0252E-3</v>
      </c>
      <c r="T3180" s="2">
        <v>1.56788E-3</v>
      </c>
    </row>
    <row r="3181" spans="18:20" x14ac:dyDescent="0.45">
      <c r="R3181" s="2">
        <v>48.57</v>
      </c>
      <c r="S3181" s="2">
        <v>2.0273999999999999E-3</v>
      </c>
      <c r="T3181" s="2">
        <v>1.5693599999999999E-3</v>
      </c>
    </row>
    <row r="3182" spans="18:20" x14ac:dyDescent="0.45">
      <c r="R3182" s="2">
        <v>48.58</v>
      </c>
      <c r="S3182" s="2">
        <v>2.0295999999999999E-3</v>
      </c>
      <c r="T3182" s="2">
        <v>1.57084E-3</v>
      </c>
    </row>
    <row r="3183" spans="18:20" x14ac:dyDescent="0.45">
      <c r="R3183" s="2">
        <v>48.59</v>
      </c>
      <c r="S3183" s="2">
        <v>2.0317999999999998E-3</v>
      </c>
      <c r="T3183" s="2">
        <v>1.5723200000000001E-3</v>
      </c>
    </row>
    <row r="3184" spans="18:20" x14ac:dyDescent="0.45">
      <c r="R3184" s="2">
        <v>48.6</v>
      </c>
      <c r="S3184" s="2">
        <v>2.0339999999999998E-3</v>
      </c>
      <c r="T3184" s="2">
        <v>1.5738E-3</v>
      </c>
    </row>
    <row r="3185" spans="18:20" x14ac:dyDescent="0.45">
      <c r="R3185" s="2">
        <v>48.61</v>
      </c>
      <c r="S3185" s="2">
        <v>2.0362000000000002E-3</v>
      </c>
      <c r="T3185" s="2">
        <v>1.5752800000000001E-3</v>
      </c>
    </row>
    <row r="3186" spans="18:20" x14ac:dyDescent="0.45">
      <c r="R3186" s="2">
        <v>48.62</v>
      </c>
      <c r="S3186" s="2">
        <v>2.0384000000000001E-3</v>
      </c>
      <c r="T3186" s="2">
        <v>1.57676E-3</v>
      </c>
    </row>
    <row r="3187" spans="18:20" x14ac:dyDescent="0.45">
      <c r="R3187" s="2">
        <v>48.63</v>
      </c>
      <c r="S3187" s="2">
        <v>2.0406000000000001E-3</v>
      </c>
      <c r="T3187" s="2">
        <v>1.5782400000000001E-3</v>
      </c>
    </row>
    <row r="3188" spans="18:20" x14ac:dyDescent="0.45">
      <c r="R3188" s="2">
        <v>48.64</v>
      </c>
      <c r="S3188" s="2">
        <v>2.0428E-3</v>
      </c>
      <c r="T3188" s="2">
        <v>1.57972E-3</v>
      </c>
    </row>
    <row r="3189" spans="18:20" x14ac:dyDescent="0.45">
      <c r="R3189" s="2">
        <v>48.65</v>
      </c>
      <c r="S3189" s="2">
        <v>2.0449999999999999E-3</v>
      </c>
      <c r="T3189" s="2">
        <v>1.5812000000000001E-3</v>
      </c>
    </row>
    <row r="3190" spans="18:20" x14ac:dyDescent="0.45">
      <c r="R3190" s="2">
        <v>48.66</v>
      </c>
      <c r="S3190" s="2">
        <v>2.0471999999999999E-3</v>
      </c>
      <c r="T3190" s="2">
        <v>1.5826799999999999E-3</v>
      </c>
    </row>
    <row r="3191" spans="18:20" x14ac:dyDescent="0.45">
      <c r="R3191" s="2">
        <v>48.67</v>
      </c>
      <c r="S3191" s="2">
        <v>2.0493999999999998E-3</v>
      </c>
      <c r="T3191" s="2">
        <v>1.58416E-3</v>
      </c>
    </row>
    <row r="3192" spans="18:20" x14ac:dyDescent="0.45">
      <c r="R3192" s="2">
        <v>48.68</v>
      </c>
      <c r="S3192" s="2">
        <v>2.0516000000000002E-3</v>
      </c>
      <c r="T3192" s="2">
        <v>1.5856399999999999E-3</v>
      </c>
    </row>
    <row r="3193" spans="18:20" x14ac:dyDescent="0.45">
      <c r="R3193" s="2">
        <v>48.69</v>
      </c>
      <c r="S3193" s="2">
        <v>2.0538000000000002E-3</v>
      </c>
      <c r="T3193" s="2">
        <v>1.58712E-3</v>
      </c>
    </row>
    <row r="3194" spans="18:20" x14ac:dyDescent="0.45">
      <c r="R3194" s="2">
        <v>48.7</v>
      </c>
      <c r="S3194" s="2">
        <v>2.0560000000000001E-3</v>
      </c>
      <c r="T3194" s="2">
        <v>1.5885999999999999E-3</v>
      </c>
    </row>
    <row r="3195" spans="18:20" x14ac:dyDescent="0.45">
      <c r="R3195" s="2">
        <v>48.71</v>
      </c>
      <c r="S3195" s="2">
        <v>2.0582E-3</v>
      </c>
      <c r="T3195" s="2">
        <v>1.59008E-3</v>
      </c>
    </row>
    <row r="3196" spans="18:20" x14ac:dyDescent="0.45">
      <c r="R3196" s="2">
        <v>48.72</v>
      </c>
      <c r="S3196" s="2">
        <v>2.0604E-3</v>
      </c>
      <c r="T3196" s="2">
        <v>1.5915599999999999E-3</v>
      </c>
    </row>
    <row r="3197" spans="18:20" x14ac:dyDescent="0.45">
      <c r="R3197" s="2">
        <v>48.73</v>
      </c>
      <c r="S3197" s="2">
        <v>2.0625999999999999E-3</v>
      </c>
      <c r="T3197" s="2">
        <v>1.59304E-3</v>
      </c>
    </row>
    <row r="3198" spans="18:20" x14ac:dyDescent="0.45">
      <c r="R3198" s="2">
        <v>48.74</v>
      </c>
      <c r="S3198" s="2">
        <v>2.0647999999999999E-3</v>
      </c>
      <c r="T3198" s="2">
        <v>1.5945200000000001E-3</v>
      </c>
    </row>
    <row r="3199" spans="18:20" x14ac:dyDescent="0.45">
      <c r="R3199" s="2">
        <v>48.75</v>
      </c>
      <c r="S3199" s="2">
        <v>2.0669999999999998E-3</v>
      </c>
      <c r="T3199" s="2">
        <v>1.596E-3</v>
      </c>
    </row>
    <row r="3200" spans="18:20" x14ac:dyDescent="0.45">
      <c r="R3200" s="2">
        <v>48.76</v>
      </c>
      <c r="S3200" s="2">
        <v>2.0692000000000002E-3</v>
      </c>
      <c r="T3200" s="2">
        <v>1.5974800000000001E-3</v>
      </c>
    </row>
    <row r="3201" spans="18:20" x14ac:dyDescent="0.45">
      <c r="R3201" s="2">
        <v>48.77</v>
      </c>
      <c r="S3201" s="2">
        <v>2.0714000000000002E-3</v>
      </c>
      <c r="T3201" s="2">
        <v>1.59896E-3</v>
      </c>
    </row>
    <row r="3202" spans="18:20" x14ac:dyDescent="0.45">
      <c r="R3202" s="2">
        <v>48.78</v>
      </c>
      <c r="S3202" s="2">
        <v>2.0736000000000001E-3</v>
      </c>
      <c r="T3202" s="2">
        <v>1.6004400000000001E-3</v>
      </c>
    </row>
    <row r="3203" spans="18:20" x14ac:dyDescent="0.45">
      <c r="R3203" s="2">
        <v>48.79</v>
      </c>
      <c r="S3203" s="2">
        <v>2.0758E-3</v>
      </c>
      <c r="T3203" s="2">
        <v>1.6019199999999999E-3</v>
      </c>
    </row>
    <row r="3204" spans="18:20" x14ac:dyDescent="0.45">
      <c r="R3204" s="2">
        <v>48.8</v>
      </c>
      <c r="S3204" s="2">
        <v>2.078E-3</v>
      </c>
      <c r="T3204" s="2">
        <v>1.6034000000000001E-3</v>
      </c>
    </row>
    <row r="3205" spans="18:20" x14ac:dyDescent="0.45">
      <c r="R3205" s="2">
        <v>48.81</v>
      </c>
      <c r="S3205" s="2">
        <v>2.0801999999999999E-3</v>
      </c>
      <c r="T3205" s="2">
        <v>1.6048799999999999E-3</v>
      </c>
    </row>
    <row r="3206" spans="18:20" x14ac:dyDescent="0.45">
      <c r="R3206" s="2">
        <v>48.82</v>
      </c>
      <c r="S3206" s="2">
        <v>2.0823999999999999E-3</v>
      </c>
      <c r="T3206" s="2">
        <v>1.60636E-3</v>
      </c>
    </row>
    <row r="3207" spans="18:20" x14ac:dyDescent="0.45">
      <c r="R3207" s="2">
        <v>48.83</v>
      </c>
      <c r="S3207" s="2">
        <v>2.0845999999999998E-3</v>
      </c>
      <c r="T3207" s="2">
        <v>1.6078399999999999E-3</v>
      </c>
    </row>
    <row r="3208" spans="18:20" x14ac:dyDescent="0.45">
      <c r="R3208" s="2">
        <v>48.84</v>
      </c>
      <c r="S3208" s="2">
        <v>2.0868000000000002E-3</v>
      </c>
      <c r="T3208" s="2">
        <v>1.60932E-3</v>
      </c>
    </row>
    <row r="3209" spans="18:20" x14ac:dyDescent="0.45">
      <c r="R3209" s="2">
        <v>48.85</v>
      </c>
      <c r="S3209" s="2">
        <v>2.0890000000000001E-3</v>
      </c>
      <c r="T3209" s="2">
        <v>1.6107999999999999E-3</v>
      </c>
    </row>
    <row r="3210" spans="18:20" x14ac:dyDescent="0.45">
      <c r="R3210" s="2">
        <v>48.86</v>
      </c>
      <c r="S3210" s="2">
        <v>2.0912000000000001E-3</v>
      </c>
      <c r="T3210" s="2">
        <v>1.61228E-3</v>
      </c>
    </row>
    <row r="3211" spans="18:20" x14ac:dyDescent="0.45">
      <c r="R3211" s="2">
        <v>48.87</v>
      </c>
      <c r="S3211" s="2">
        <v>2.0934E-3</v>
      </c>
      <c r="T3211" s="2">
        <v>1.6137600000000001E-3</v>
      </c>
    </row>
    <row r="3212" spans="18:20" x14ac:dyDescent="0.45">
      <c r="R3212" s="2">
        <v>48.88</v>
      </c>
      <c r="S3212" s="2">
        <v>2.0956E-3</v>
      </c>
      <c r="T3212" s="2">
        <v>1.61524E-3</v>
      </c>
    </row>
    <row r="3213" spans="18:20" x14ac:dyDescent="0.45">
      <c r="R3213" s="2">
        <v>48.89</v>
      </c>
      <c r="S3213" s="2">
        <v>2.0977999999999999E-3</v>
      </c>
      <c r="T3213" s="2">
        <v>1.6167200000000001E-3</v>
      </c>
    </row>
    <row r="3214" spans="18:20" x14ac:dyDescent="0.45">
      <c r="R3214" s="2">
        <v>48.9</v>
      </c>
      <c r="S3214" s="2">
        <v>2.0999999999999999E-3</v>
      </c>
      <c r="T3214" s="2">
        <v>1.6182E-3</v>
      </c>
    </row>
    <row r="3215" spans="18:20" x14ac:dyDescent="0.45">
      <c r="R3215" s="2">
        <v>48.91</v>
      </c>
      <c r="S3215" s="2">
        <v>2.1021999999999998E-3</v>
      </c>
      <c r="T3215" s="2">
        <v>1.6196800000000001E-3</v>
      </c>
    </row>
    <row r="3216" spans="18:20" x14ac:dyDescent="0.45">
      <c r="R3216" s="2">
        <v>48.92</v>
      </c>
      <c r="S3216" s="2">
        <v>2.1044000000000002E-3</v>
      </c>
      <c r="T3216" s="2">
        <v>1.62116E-3</v>
      </c>
    </row>
    <row r="3217" spans="18:20" x14ac:dyDescent="0.45">
      <c r="R3217" s="2">
        <v>48.93</v>
      </c>
      <c r="S3217" s="2">
        <v>2.1066000000000001E-3</v>
      </c>
      <c r="T3217" s="2">
        <v>1.6226400000000001E-3</v>
      </c>
    </row>
    <row r="3218" spans="18:20" x14ac:dyDescent="0.45">
      <c r="R3218" s="2">
        <v>48.94</v>
      </c>
      <c r="S3218" s="2">
        <v>2.1088000000000001E-3</v>
      </c>
      <c r="T3218" s="2">
        <v>1.6241199999999999E-3</v>
      </c>
    </row>
    <row r="3219" spans="18:20" x14ac:dyDescent="0.45">
      <c r="R3219" s="2">
        <v>48.95</v>
      </c>
      <c r="S3219" s="2">
        <v>2.111E-3</v>
      </c>
      <c r="T3219" s="2">
        <v>1.6256E-3</v>
      </c>
    </row>
    <row r="3220" spans="18:20" x14ac:dyDescent="0.45">
      <c r="R3220" s="2">
        <v>48.96</v>
      </c>
      <c r="S3220" s="2">
        <v>2.1132E-3</v>
      </c>
      <c r="T3220" s="2">
        <v>1.6270799999999999E-3</v>
      </c>
    </row>
    <row r="3221" spans="18:20" x14ac:dyDescent="0.45">
      <c r="R3221" s="2">
        <v>48.97</v>
      </c>
      <c r="S3221" s="2">
        <v>2.1153999999999999E-3</v>
      </c>
      <c r="T3221" s="2">
        <v>1.62856E-3</v>
      </c>
    </row>
    <row r="3222" spans="18:20" x14ac:dyDescent="0.45">
      <c r="R3222" s="2">
        <v>48.98</v>
      </c>
      <c r="S3222" s="2">
        <v>2.1175999999999999E-3</v>
      </c>
      <c r="T3222" s="2">
        <v>1.6300399999999999E-3</v>
      </c>
    </row>
    <row r="3223" spans="18:20" x14ac:dyDescent="0.45">
      <c r="R3223" s="2">
        <v>48.99</v>
      </c>
      <c r="S3223" s="2">
        <v>2.1197999999999998E-3</v>
      </c>
      <c r="T3223" s="2">
        <v>1.63152E-3</v>
      </c>
    </row>
    <row r="3224" spans="18:20" x14ac:dyDescent="0.45">
      <c r="R3224" s="2">
        <v>49</v>
      </c>
      <c r="S3224" s="2">
        <v>2.1220000000000002E-3</v>
      </c>
      <c r="T3224" s="2">
        <v>1.6329999999999999E-3</v>
      </c>
    </row>
    <row r="3225" spans="18:20" x14ac:dyDescent="0.45">
      <c r="R3225" s="2">
        <v>49.01</v>
      </c>
      <c r="S3225" s="2">
        <v>2.1245000000000001E-3</v>
      </c>
      <c r="T3225" s="2">
        <v>1.6346500000000001E-3</v>
      </c>
    </row>
    <row r="3226" spans="18:20" x14ac:dyDescent="0.45">
      <c r="R3226" s="2">
        <v>49.02</v>
      </c>
      <c r="S3226" s="2">
        <v>2.127E-3</v>
      </c>
      <c r="T3226" s="2">
        <v>1.6363E-3</v>
      </c>
    </row>
    <row r="3227" spans="18:20" x14ac:dyDescent="0.45">
      <c r="R3227" s="2">
        <v>49.03</v>
      </c>
      <c r="S3227" s="2">
        <v>2.1294999999999999E-3</v>
      </c>
      <c r="T3227" s="2">
        <v>1.63795E-3</v>
      </c>
    </row>
    <row r="3228" spans="18:20" x14ac:dyDescent="0.45">
      <c r="R3228" s="2">
        <v>49.04</v>
      </c>
      <c r="S3228" s="2">
        <v>2.1320000000000002E-3</v>
      </c>
      <c r="T3228" s="2">
        <v>1.6396E-3</v>
      </c>
    </row>
    <row r="3229" spans="18:20" x14ac:dyDescent="0.45">
      <c r="R3229" s="2">
        <v>49.05</v>
      </c>
      <c r="S3229" s="2">
        <v>2.1345000000000001E-3</v>
      </c>
      <c r="T3229" s="2">
        <v>1.6412499999999999E-3</v>
      </c>
    </row>
    <row r="3230" spans="18:20" x14ac:dyDescent="0.45">
      <c r="R3230" s="2">
        <v>49.06</v>
      </c>
      <c r="S3230" s="2">
        <v>2.137E-3</v>
      </c>
      <c r="T3230" s="2">
        <v>1.6429000000000001E-3</v>
      </c>
    </row>
    <row r="3231" spans="18:20" x14ac:dyDescent="0.45">
      <c r="R3231" s="2">
        <v>49.07</v>
      </c>
      <c r="S3231" s="2">
        <v>2.1394999999999999E-3</v>
      </c>
      <c r="T3231" s="2">
        <v>1.64455E-3</v>
      </c>
    </row>
    <row r="3232" spans="18:20" x14ac:dyDescent="0.45">
      <c r="R3232" s="2">
        <v>49.08</v>
      </c>
      <c r="S3232" s="2">
        <v>2.1419999999999998E-3</v>
      </c>
      <c r="T3232" s="2">
        <v>1.6462E-3</v>
      </c>
    </row>
    <row r="3233" spans="18:20" x14ac:dyDescent="0.45">
      <c r="R3233" s="2">
        <v>49.09</v>
      </c>
      <c r="S3233" s="2">
        <v>2.1445000000000001E-3</v>
      </c>
      <c r="T3233" s="2">
        <v>1.64785E-3</v>
      </c>
    </row>
    <row r="3234" spans="18:20" x14ac:dyDescent="0.45">
      <c r="R3234" s="2">
        <v>49.1</v>
      </c>
      <c r="S3234" s="2">
        <v>2.147E-3</v>
      </c>
      <c r="T3234" s="2">
        <v>1.6494999999999999E-3</v>
      </c>
    </row>
    <row r="3235" spans="18:20" x14ac:dyDescent="0.45">
      <c r="R3235" s="2">
        <v>49.11</v>
      </c>
      <c r="S3235" s="2">
        <v>2.1494999999999999E-3</v>
      </c>
      <c r="T3235" s="2">
        <v>1.6511500000000001E-3</v>
      </c>
    </row>
    <row r="3236" spans="18:20" x14ac:dyDescent="0.45">
      <c r="R3236" s="2">
        <v>49.12</v>
      </c>
      <c r="S3236" s="2">
        <v>2.1519999999999998E-3</v>
      </c>
      <c r="T3236" s="2">
        <v>1.6528000000000001E-3</v>
      </c>
    </row>
    <row r="3237" spans="18:20" x14ac:dyDescent="0.45">
      <c r="R3237" s="2">
        <v>49.13</v>
      </c>
      <c r="S3237" s="2">
        <v>2.1545000000000002E-3</v>
      </c>
      <c r="T3237" s="2">
        <v>1.65445E-3</v>
      </c>
    </row>
    <row r="3238" spans="18:20" x14ac:dyDescent="0.45">
      <c r="R3238" s="2">
        <v>49.14</v>
      </c>
      <c r="S3238" s="2">
        <v>2.1570000000000001E-3</v>
      </c>
      <c r="T3238" s="2">
        <v>1.6561E-3</v>
      </c>
    </row>
    <row r="3239" spans="18:20" x14ac:dyDescent="0.45">
      <c r="R3239" s="2">
        <v>49.15</v>
      </c>
      <c r="S3239" s="2">
        <v>2.1595E-3</v>
      </c>
      <c r="T3239" s="2">
        <v>1.6577499999999999E-3</v>
      </c>
    </row>
    <row r="3240" spans="18:20" x14ac:dyDescent="0.45">
      <c r="R3240" s="2">
        <v>49.16</v>
      </c>
      <c r="S3240" s="2">
        <v>2.1619999999999999E-3</v>
      </c>
      <c r="T3240" s="2">
        <v>1.6593999999999999E-3</v>
      </c>
    </row>
    <row r="3241" spans="18:20" x14ac:dyDescent="0.45">
      <c r="R3241" s="2">
        <v>49.17</v>
      </c>
      <c r="S3241" s="2">
        <v>2.1645000000000002E-3</v>
      </c>
      <c r="T3241" s="2">
        <v>1.6610500000000001E-3</v>
      </c>
    </row>
    <row r="3242" spans="18:20" x14ac:dyDescent="0.45">
      <c r="R3242" s="2">
        <v>49.18</v>
      </c>
      <c r="S3242" s="2">
        <v>2.1670000000000001E-3</v>
      </c>
      <c r="T3242" s="2">
        <v>1.6627E-3</v>
      </c>
    </row>
    <row r="3243" spans="18:20" x14ac:dyDescent="0.45">
      <c r="R3243" s="2">
        <v>49.19</v>
      </c>
      <c r="S3243" s="2">
        <v>2.1695E-3</v>
      </c>
      <c r="T3243" s="2">
        <v>1.66435E-3</v>
      </c>
    </row>
    <row r="3244" spans="18:20" x14ac:dyDescent="0.45">
      <c r="R3244" s="2">
        <v>49.2</v>
      </c>
      <c r="S3244" s="2">
        <v>2.1719999999999999E-3</v>
      </c>
      <c r="T3244" s="2">
        <v>1.6659999999999999E-3</v>
      </c>
    </row>
    <row r="3245" spans="18:20" x14ac:dyDescent="0.45">
      <c r="R3245" s="2">
        <v>49.21</v>
      </c>
      <c r="S3245" s="2">
        <v>2.1744999999999998E-3</v>
      </c>
      <c r="T3245" s="2">
        <v>1.6676499999999999E-3</v>
      </c>
    </row>
    <row r="3246" spans="18:20" x14ac:dyDescent="0.45">
      <c r="R3246" s="2">
        <v>49.22</v>
      </c>
      <c r="S3246" s="2">
        <v>2.1770000000000001E-3</v>
      </c>
      <c r="T3246" s="2">
        <v>1.6693000000000001E-3</v>
      </c>
    </row>
    <row r="3247" spans="18:20" x14ac:dyDescent="0.45">
      <c r="R3247" s="2">
        <v>49.23</v>
      </c>
      <c r="S3247" s="2">
        <v>2.1795E-3</v>
      </c>
      <c r="T3247" s="2">
        <v>1.67095E-3</v>
      </c>
    </row>
    <row r="3248" spans="18:20" x14ac:dyDescent="0.45">
      <c r="R3248" s="2">
        <v>49.24</v>
      </c>
      <c r="S3248" s="2">
        <v>2.1819999999999999E-3</v>
      </c>
      <c r="T3248" s="2">
        <v>1.6726E-3</v>
      </c>
    </row>
    <row r="3249" spans="18:20" x14ac:dyDescent="0.45">
      <c r="R3249" s="2">
        <v>49.25</v>
      </c>
      <c r="S3249" s="2">
        <v>2.1844999999999998E-3</v>
      </c>
      <c r="T3249" s="2">
        <v>1.67425E-3</v>
      </c>
    </row>
    <row r="3250" spans="18:20" x14ac:dyDescent="0.45">
      <c r="R3250" s="2">
        <v>49.26</v>
      </c>
      <c r="S3250" s="2">
        <v>2.1870000000000001E-3</v>
      </c>
      <c r="T3250" s="2">
        <v>1.6758999999999999E-3</v>
      </c>
    </row>
    <row r="3251" spans="18:20" x14ac:dyDescent="0.45">
      <c r="R3251" s="2">
        <v>49.27</v>
      </c>
      <c r="S3251" s="2">
        <v>2.1895E-3</v>
      </c>
      <c r="T3251" s="2">
        <v>1.6775500000000001E-3</v>
      </c>
    </row>
    <row r="3252" spans="18:20" x14ac:dyDescent="0.45">
      <c r="R3252" s="2">
        <v>49.28</v>
      </c>
      <c r="S3252" s="2">
        <v>2.1919999999999999E-3</v>
      </c>
      <c r="T3252" s="2">
        <v>1.6792000000000001E-3</v>
      </c>
    </row>
    <row r="3253" spans="18:20" x14ac:dyDescent="0.45">
      <c r="R3253" s="2">
        <v>49.29</v>
      </c>
      <c r="S3253" s="2">
        <v>2.1944999999999998E-3</v>
      </c>
      <c r="T3253" s="2">
        <v>1.68085E-3</v>
      </c>
    </row>
    <row r="3254" spans="18:20" x14ac:dyDescent="0.45">
      <c r="R3254" s="2">
        <v>49.3</v>
      </c>
      <c r="S3254" s="2">
        <v>2.1970000000000002E-3</v>
      </c>
      <c r="T3254" s="2">
        <v>1.6825E-3</v>
      </c>
    </row>
    <row r="3255" spans="18:20" x14ac:dyDescent="0.45">
      <c r="R3255" s="2">
        <v>49.31</v>
      </c>
      <c r="S3255" s="2">
        <v>2.1995000000000001E-3</v>
      </c>
      <c r="T3255" s="2">
        <v>1.6841499999999999E-3</v>
      </c>
    </row>
    <row r="3256" spans="18:20" x14ac:dyDescent="0.45">
      <c r="R3256" s="2">
        <v>49.32</v>
      </c>
      <c r="S3256" s="2">
        <v>2.202E-3</v>
      </c>
      <c r="T3256" s="2">
        <v>1.6858000000000001E-3</v>
      </c>
    </row>
    <row r="3257" spans="18:20" x14ac:dyDescent="0.45">
      <c r="R3257" s="2">
        <v>49.33</v>
      </c>
      <c r="S3257" s="2">
        <v>2.2044999999999999E-3</v>
      </c>
      <c r="T3257" s="2">
        <v>1.6874500000000001E-3</v>
      </c>
    </row>
    <row r="3258" spans="18:20" x14ac:dyDescent="0.45">
      <c r="R3258" s="2">
        <v>49.34</v>
      </c>
      <c r="S3258" s="2">
        <v>2.2070000000000002E-3</v>
      </c>
      <c r="T3258" s="2">
        <v>1.6891E-3</v>
      </c>
    </row>
    <row r="3259" spans="18:20" x14ac:dyDescent="0.45">
      <c r="R3259" s="2">
        <v>49.35</v>
      </c>
      <c r="S3259" s="2">
        <v>2.2095000000000001E-3</v>
      </c>
      <c r="T3259" s="2">
        <v>1.69075E-3</v>
      </c>
    </row>
    <row r="3260" spans="18:20" x14ac:dyDescent="0.45">
      <c r="R3260" s="2">
        <v>49.36</v>
      </c>
      <c r="S3260" s="2">
        <v>2.212E-3</v>
      </c>
      <c r="T3260" s="2">
        <v>1.6923999999999999E-3</v>
      </c>
    </row>
    <row r="3261" spans="18:20" x14ac:dyDescent="0.45">
      <c r="R3261" s="2">
        <v>49.37</v>
      </c>
      <c r="S3261" s="2">
        <v>2.2144999999999999E-3</v>
      </c>
      <c r="T3261" s="2">
        <v>1.6940499999999999E-3</v>
      </c>
    </row>
    <row r="3262" spans="18:20" x14ac:dyDescent="0.45">
      <c r="R3262" s="2">
        <v>49.38</v>
      </c>
      <c r="S3262" s="2">
        <v>2.2169999999999998E-3</v>
      </c>
      <c r="T3262" s="2">
        <v>1.6957000000000001E-3</v>
      </c>
    </row>
    <row r="3263" spans="18:20" x14ac:dyDescent="0.45">
      <c r="R3263" s="2">
        <v>49.39</v>
      </c>
      <c r="S3263" s="2">
        <v>2.2195000000000001E-3</v>
      </c>
      <c r="T3263" s="2">
        <v>1.69735E-3</v>
      </c>
    </row>
    <row r="3264" spans="18:20" x14ac:dyDescent="0.45">
      <c r="R3264" s="2">
        <v>49.4</v>
      </c>
      <c r="S3264" s="2">
        <v>2.222E-3</v>
      </c>
      <c r="T3264" s="2">
        <v>1.699E-3</v>
      </c>
    </row>
    <row r="3265" spans="18:20" x14ac:dyDescent="0.45">
      <c r="R3265" s="2">
        <v>49.41</v>
      </c>
      <c r="S3265" s="2">
        <v>2.2244999999999999E-3</v>
      </c>
      <c r="T3265" s="2">
        <v>1.7006499999999999E-3</v>
      </c>
    </row>
    <row r="3266" spans="18:20" x14ac:dyDescent="0.45">
      <c r="R3266" s="2">
        <v>49.42</v>
      </c>
      <c r="S3266" s="2">
        <v>2.2269999999999998E-3</v>
      </c>
      <c r="T3266" s="2">
        <v>1.7022999999999999E-3</v>
      </c>
    </row>
    <row r="3267" spans="18:20" x14ac:dyDescent="0.45">
      <c r="R3267" s="2">
        <v>49.43</v>
      </c>
      <c r="S3267" s="2">
        <v>2.2295000000000001E-3</v>
      </c>
      <c r="T3267" s="2">
        <v>1.7039500000000001E-3</v>
      </c>
    </row>
    <row r="3268" spans="18:20" x14ac:dyDescent="0.45">
      <c r="R3268" s="2">
        <v>49.44</v>
      </c>
      <c r="S3268" s="2">
        <v>2.232E-3</v>
      </c>
      <c r="T3268" s="2">
        <v>1.7056E-3</v>
      </c>
    </row>
    <row r="3269" spans="18:20" x14ac:dyDescent="0.45">
      <c r="R3269" s="2">
        <v>49.45</v>
      </c>
      <c r="S3269" s="2">
        <v>2.2344999999999999E-3</v>
      </c>
      <c r="T3269" s="2">
        <v>1.70725E-3</v>
      </c>
    </row>
    <row r="3270" spans="18:20" x14ac:dyDescent="0.45">
      <c r="R3270" s="2">
        <v>49.46</v>
      </c>
      <c r="S3270" s="2">
        <v>2.2369999999999998E-3</v>
      </c>
      <c r="T3270" s="2">
        <v>1.7089E-3</v>
      </c>
    </row>
    <row r="3271" spans="18:20" x14ac:dyDescent="0.45">
      <c r="R3271" s="2">
        <v>49.47</v>
      </c>
      <c r="S3271" s="2">
        <v>2.2395000000000002E-3</v>
      </c>
      <c r="T3271" s="2">
        <v>1.7105499999999999E-3</v>
      </c>
    </row>
    <row r="3272" spans="18:20" x14ac:dyDescent="0.45">
      <c r="R3272" s="2">
        <v>49.48</v>
      </c>
      <c r="S3272" s="2">
        <v>2.2420000000000001E-3</v>
      </c>
      <c r="T3272" s="2">
        <v>1.7122000000000001E-3</v>
      </c>
    </row>
    <row r="3273" spans="18:20" x14ac:dyDescent="0.45">
      <c r="R3273" s="2">
        <v>49.49</v>
      </c>
      <c r="S3273" s="2">
        <v>2.2445E-3</v>
      </c>
      <c r="T3273" s="2">
        <v>1.7138500000000001E-3</v>
      </c>
    </row>
    <row r="3274" spans="18:20" x14ac:dyDescent="0.45">
      <c r="R3274" s="2">
        <v>49.5</v>
      </c>
      <c r="S3274" s="2">
        <v>2.2469999999999999E-3</v>
      </c>
      <c r="T3274" s="2">
        <v>1.7155E-3</v>
      </c>
    </row>
    <row r="3275" spans="18:20" x14ac:dyDescent="0.45">
      <c r="R3275" s="2">
        <v>49.51</v>
      </c>
      <c r="S3275" s="2">
        <v>2.2495000000000002E-3</v>
      </c>
      <c r="T3275" s="2">
        <v>1.71715E-3</v>
      </c>
    </row>
    <row r="3276" spans="18:20" x14ac:dyDescent="0.45">
      <c r="R3276" s="2">
        <v>49.52</v>
      </c>
      <c r="S3276" s="2">
        <v>2.2520000000000001E-3</v>
      </c>
      <c r="T3276" s="2">
        <v>1.7187999999999999E-3</v>
      </c>
    </row>
    <row r="3277" spans="18:20" x14ac:dyDescent="0.45">
      <c r="R3277" s="2">
        <v>49.53</v>
      </c>
      <c r="S3277" s="2">
        <v>2.2545E-3</v>
      </c>
      <c r="T3277" s="2">
        <v>1.7204500000000001E-3</v>
      </c>
    </row>
    <row r="3278" spans="18:20" x14ac:dyDescent="0.45">
      <c r="R3278" s="2">
        <v>49.54</v>
      </c>
      <c r="S3278" s="2">
        <v>2.2569999999999999E-3</v>
      </c>
      <c r="T3278" s="2">
        <v>1.7221000000000001E-3</v>
      </c>
    </row>
    <row r="3279" spans="18:20" x14ac:dyDescent="0.45">
      <c r="R3279" s="2">
        <v>49.55</v>
      </c>
      <c r="S3279" s="2">
        <v>2.2594999999999998E-3</v>
      </c>
      <c r="T3279" s="2">
        <v>1.72375E-3</v>
      </c>
    </row>
    <row r="3280" spans="18:20" x14ac:dyDescent="0.45">
      <c r="R3280" s="2">
        <v>49.56</v>
      </c>
      <c r="S3280" s="2">
        <v>2.2620000000000001E-3</v>
      </c>
      <c r="T3280" s="2">
        <v>1.7254E-3</v>
      </c>
    </row>
    <row r="3281" spans="18:20" x14ac:dyDescent="0.45">
      <c r="R3281" s="2">
        <v>49.57</v>
      </c>
      <c r="S3281" s="2">
        <v>2.2645E-3</v>
      </c>
      <c r="T3281" s="2">
        <v>1.7270499999999999E-3</v>
      </c>
    </row>
    <row r="3282" spans="18:20" x14ac:dyDescent="0.45">
      <c r="R3282" s="2">
        <v>49.58</v>
      </c>
      <c r="S3282" s="2">
        <v>2.2669999999999999E-3</v>
      </c>
      <c r="T3282" s="2">
        <v>1.7286999999999999E-3</v>
      </c>
    </row>
    <row r="3283" spans="18:20" x14ac:dyDescent="0.45">
      <c r="R3283" s="2">
        <v>49.59</v>
      </c>
      <c r="S3283" s="2">
        <v>2.2694999999999998E-3</v>
      </c>
      <c r="T3283" s="2">
        <v>1.7303500000000001E-3</v>
      </c>
    </row>
    <row r="3284" spans="18:20" x14ac:dyDescent="0.45">
      <c r="R3284" s="2">
        <v>49.6</v>
      </c>
      <c r="S3284" s="2">
        <v>2.2720000000000001E-3</v>
      </c>
      <c r="T3284" s="2">
        <v>1.732E-3</v>
      </c>
    </row>
    <row r="3285" spans="18:20" x14ac:dyDescent="0.45">
      <c r="R3285" s="2">
        <v>49.61</v>
      </c>
      <c r="S3285" s="2">
        <v>2.2745E-3</v>
      </c>
      <c r="T3285" s="2">
        <v>1.73365E-3</v>
      </c>
    </row>
    <row r="3286" spans="18:20" x14ac:dyDescent="0.45">
      <c r="R3286" s="2">
        <v>49.62</v>
      </c>
      <c r="S3286" s="2">
        <v>2.2769999999999999E-3</v>
      </c>
      <c r="T3286" s="2">
        <v>1.7353E-3</v>
      </c>
    </row>
    <row r="3287" spans="18:20" x14ac:dyDescent="0.45">
      <c r="R3287" s="2">
        <v>49.63</v>
      </c>
      <c r="S3287" s="2">
        <v>2.2794999999999998E-3</v>
      </c>
      <c r="T3287" s="2">
        <v>1.7369499999999999E-3</v>
      </c>
    </row>
    <row r="3288" spans="18:20" x14ac:dyDescent="0.45">
      <c r="R3288" s="2">
        <v>49.64</v>
      </c>
      <c r="S3288" s="2">
        <v>2.2820000000000002E-3</v>
      </c>
      <c r="T3288" s="2">
        <v>1.7386000000000001E-3</v>
      </c>
    </row>
    <row r="3289" spans="18:20" x14ac:dyDescent="0.45">
      <c r="R3289" s="2">
        <v>49.65</v>
      </c>
      <c r="S3289" s="2">
        <v>2.2845000000000001E-3</v>
      </c>
      <c r="T3289" s="2">
        <v>1.74025E-3</v>
      </c>
    </row>
    <row r="3290" spans="18:20" x14ac:dyDescent="0.45">
      <c r="R3290" s="2">
        <v>49.66</v>
      </c>
      <c r="S3290" s="2">
        <v>2.287E-3</v>
      </c>
      <c r="T3290" s="2">
        <v>1.7419E-3</v>
      </c>
    </row>
    <row r="3291" spans="18:20" x14ac:dyDescent="0.45">
      <c r="R3291" s="2">
        <v>49.67</v>
      </c>
      <c r="S3291" s="2">
        <v>2.2894999999999999E-3</v>
      </c>
      <c r="T3291" s="2">
        <v>1.74355E-3</v>
      </c>
    </row>
    <row r="3292" spans="18:20" x14ac:dyDescent="0.45">
      <c r="R3292" s="2">
        <v>49.68</v>
      </c>
      <c r="S3292" s="2">
        <v>2.2920000000000002E-3</v>
      </c>
      <c r="T3292" s="2">
        <v>1.7451999999999999E-3</v>
      </c>
    </row>
    <row r="3293" spans="18:20" x14ac:dyDescent="0.45">
      <c r="R3293" s="2">
        <v>49.69</v>
      </c>
      <c r="S3293" s="2">
        <v>2.2945000000000001E-3</v>
      </c>
      <c r="T3293" s="2">
        <v>1.7468500000000001E-3</v>
      </c>
    </row>
    <row r="3294" spans="18:20" x14ac:dyDescent="0.45">
      <c r="R3294" s="2">
        <v>49.7</v>
      </c>
      <c r="S3294" s="2">
        <v>2.297E-3</v>
      </c>
      <c r="T3294" s="2">
        <v>1.7485000000000001E-3</v>
      </c>
    </row>
    <row r="3295" spans="18:20" x14ac:dyDescent="0.45">
      <c r="R3295" s="2">
        <v>49.71</v>
      </c>
      <c r="S3295" s="2">
        <v>2.2994999999999999E-3</v>
      </c>
      <c r="T3295" s="2">
        <v>1.75015E-3</v>
      </c>
    </row>
    <row r="3296" spans="18:20" x14ac:dyDescent="0.45">
      <c r="R3296" s="2">
        <v>49.72</v>
      </c>
      <c r="S3296" s="2">
        <v>2.3019999999999998E-3</v>
      </c>
      <c r="T3296" s="2">
        <v>1.7518E-3</v>
      </c>
    </row>
    <row r="3297" spans="18:20" x14ac:dyDescent="0.45">
      <c r="R3297" s="2">
        <v>49.73</v>
      </c>
      <c r="S3297" s="2">
        <v>2.3045000000000001E-3</v>
      </c>
      <c r="T3297" s="2">
        <v>1.7534499999999999E-3</v>
      </c>
    </row>
    <row r="3298" spans="18:20" x14ac:dyDescent="0.45">
      <c r="R3298" s="2">
        <v>49.74</v>
      </c>
      <c r="S3298" s="2">
        <v>2.307E-3</v>
      </c>
      <c r="T3298" s="2">
        <v>1.7551000000000001E-3</v>
      </c>
    </row>
    <row r="3299" spans="18:20" x14ac:dyDescent="0.45">
      <c r="R3299" s="2">
        <v>49.75</v>
      </c>
      <c r="S3299" s="2">
        <v>2.3094999999999999E-3</v>
      </c>
      <c r="T3299" s="2">
        <v>1.7567500000000001E-3</v>
      </c>
    </row>
    <row r="3300" spans="18:20" x14ac:dyDescent="0.45">
      <c r="R3300" s="2">
        <v>49.76</v>
      </c>
      <c r="S3300" s="2">
        <v>2.3119999999999998E-3</v>
      </c>
      <c r="T3300" s="2">
        <v>1.7584E-3</v>
      </c>
    </row>
    <row r="3301" spans="18:20" x14ac:dyDescent="0.45">
      <c r="R3301" s="2">
        <v>49.77</v>
      </c>
      <c r="S3301" s="2">
        <v>2.3145000000000002E-3</v>
      </c>
      <c r="T3301" s="2">
        <v>1.76005E-3</v>
      </c>
    </row>
    <row r="3302" spans="18:20" x14ac:dyDescent="0.45">
      <c r="R3302" s="2">
        <v>49.78</v>
      </c>
      <c r="S3302" s="2">
        <v>2.317E-3</v>
      </c>
      <c r="T3302" s="2">
        <v>1.7616999999999999E-3</v>
      </c>
    </row>
    <row r="3303" spans="18:20" x14ac:dyDescent="0.45">
      <c r="R3303" s="2">
        <v>49.79</v>
      </c>
      <c r="S3303" s="2">
        <v>2.3194999999999999E-3</v>
      </c>
      <c r="T3303" s="2">
        <v>1.7633499999999999E-3</v>
      </c>
    </row>
    <row r="3304" spans="18:20" x14ac:dyDescent="0.45">
      <c r="R3304" s="2">
        <v>49.8</v>
      </c>
      <c r="S3304" s="2">
        <v>2.3219999999999998E-3</v>
      </c>
      <c r="T3304" s="2">
        <v>1.7650000000000001E-3</v>
      </c>
    </row>
    <row r="3305" spans="18:20" x14ac:dyDescent="0.45">
      <c r="R3305" s="2">
        <v>49.81</v>
      </c>
      <c r="S3305" s="2">
        <v>2.3245000000000002E-3</v>
      </c>
      <c r="T3305" s="2">
        <v>1.76665E-3</v>
      </c>
    </row>
    <row r="3306" spans="18:20" x14ac:dyDescent="0.45">
      <c r="R3306" s="2">
        <v>49.82</v>
      </c>
      <c r="S3306" s="2">
        <v>2.3270000000000001E-3</v>
      </c>
      <c r="T3306" s="2">
        <v>1.7683E-3</v>
      </c>
    </row>
    <row r="3307" spans="18:20" x14ac:dyDescent="0.45">
      <c r="R3307" s="2">
        <v>49.83</v>
      </c>
      <c r="S3307" s="2">
        <v>2.3295E-3</v>
      </c>
      <c r="T3307" s="2">
        <v>1.76995E-3</v>
      </c>
    </row>
    <row r="3308" spans="18:20" x14ac:dyDescent="0.45">
      <c r="R3308" s="2">
        <v>49.84</v>
      </c>
      <c r="S3308" s="2">
        <v>2.3319999999999999E-3</v>
      </c>
      <c r="T3308" s="2">
        <v>1.7715999999999999E-3</v>
      </c>
    </row>
    <row r="3309" spans="18:20" x14ac:dyDescent="0.45">
      <c r="R3309" s="2">
        <v>49.85</v>
      </c>
      <c r="S3309" s="2">
        <v>2.3345000000000002E-3</v>
      </c>
      <c r="T3309" s="2">
        <v>1.7732500000000001E-3</v>
      </c>
    </row>
    <row r="3310" spans="18:20" x14ac:dyDescent="0.45">
      <c r="R3310" s="2">
        <v>49.86</v>
      </c>
      <c r="S3310" s="2">
        <v>2.3370000000000001E-3</v>
      </c>
      <c r="T3310" s="2">
        <v>1.7749E-3</v>
      </c>
    </row>
    <row r="3311" spans="18:20" x14ac:dyDescent="0.45">
      <c r="R3311" s="2">
        <v>49.87</v>
      </c>
      <c r="S3311" s="2">
        <v>2.3395E-3</v>
      </c>
      <c r="T3311" s="2">
        <v>1.77655E-3</v>
      </c>
    </row>
    <row r="3312" spans="18:20" x14ac:dyDescent="0.45">
      <c r="R3312" s="2">
        <v>49.88</v>
      </c>
      <c r="S3312" s="2">
        <v>2.3419999999999999E-3</v>
      </c>
      <c r="T3312" s="2">
        <v>1.7782E-3</v>
      </c>
    </row>
    <row r="3313" spans="18:20" x14ac:dyDescent="0.45">
      <c r="R3313" s="2">
        <v>49.89</v>
      </c>
      <c r="S3313" s="2">
        <v>2.3444999999999998E-3</v>
      </c>
      <c r="T3313" s="2">
        <v>1.7798499999999999E-3</v>
      </c>
    </row>
    <row r="3314" spans="18:20" x14ac:dyDescent="0.45">
      <c r="R3314" s="2">
        <v>49.9</v>
      </c>
      <c r="S3314" s="2">
        <v>2.3470000000000001E-3</v>
      </c>
      <c r="T3314" s="2">
        <v>1.7815000000000001E-3</v>
      </c>
    </row>
    <row r="3315" spans="18:20" x14ac:dyDescent="0.45">
      <c r="R3315" s="2">
        <v>49.91</v>
      </c>
      <c r="S3315" s="2">
        <v>2.3495E-3</v>
      </c>
      <c r="T3315" s="2">
        <v>1.7831500000000001E-3</v>
      </c>
    </row>
    <row r="3316" spans="18:20" x14ac:dyDescent="0.45">
      <c r="R3316" s="2">
        <v>49.92</v>
      </c>
      <c r="S3316" s="2">
        <v>2.3519999999999999E-3</v>
      </c>
      <c r="T3316" s="2">
        <v>1.7848E-3</v>
      </c>
    </row>
    <row r="3317" spans="18:20" x14ac:dyDescent="0.45">
      <c r="R3317" s="2">
        <v>49.93</v>
      </c>
      <c r="S3317" s="2">
        <v>2.3544999999999998E-3</v>
      </c>
      <c r="T3317" s="2">
        <v>1.78645E-3</v>
      </c>
    </row>
    <row r="3318" spans="18:20" x14ac:dyDescent="0.45">
      <c r="R3318" s="2">
        <v>49.94</v>
      </c>
      <c r="S3318" s="2">
        <v>2.3570000000000002E-3</v>
      </c>
      <c r="T3318" s="2">
        <v>1.7880999999999999E-3</v>
      </c>
    </row>
    <row r="3319" spans="18:20" x14ac:dyDescent="0.45">
      <c r="R3319" s="2">
        <v>49.95</v>
      </c>
      <c r="S3319" s="2">
        <v>2.3595000000000001E-3</v>
      </c>
      <c r="T3319" s="2">
        <v>1.7897500000000001E-3</v>
      </c>
    </row>
    <row r="3320" spans="18:20" x14ac:dyDescent="0.45">
      <c r="R3320" s="2">
        <v>49.96</v>
      </c>
      <c r="S3320" s="2">
        <v>2.362E-3</v>
      </c>
      <c r="T3320" s="2">
        <v>1.7914000000000001E-3</v>
      </c>
    </row>
    <row r="3321" spans="18:20" x14ac:dyDescent="0.45">
      <c r="R3321" s="2">
        <v>49.97</v>
      </c>
      <c r="S3321" s="2">
        <v>2.3644999999999998E-3</v>
      </c>
      <c r="T3321" s="2">
        <v>1.79305E-3</v>
      </c>
    </row>
    <row r="3322" spans="18:20" x14ac:dyDescent="0.45">
      <c r="R3322" s="2">
        <v>49.98</v>
      </c>
      <c r="S3322" s="2">
        <v>2.3670000000000002E-3</v>
      </c>
      <c r="T3322" s="2">
        <v>1.7947E-3</v>
      </c>
    </row>
    <row r="3323" spans="18:20" x14ac:dyDescent="0.45">
      <c r="R3323" s="2">
        <v>49.99</v>
      </c>
      <c r="S3323" s="2">
        <v>2.3695000000000001E-3</v>
      </c>
      <c r="T3323" s="2">
        <v>1.7963499999999999E-3</v>
      </c>
    </row>
    <row r="3324" spans="18:20" x14ac:dyDescent="0.45">
      <c r="R3324" s="2">
        <v>50</v>
      </c>
      <c r="S3324" s="2">
        <v>2.372E-3</v>
      </c>
      <c r="T3324" s="2">
        <v>1.7979999999999999E-3</v>
      </c>
    </row>
    <row r="3325" spans="18:20" x14ac:dyDescent="0.45">
      <c r="R3325" s="2">
        <v>50.01</v>
      </c>
      <c r="S3325" s="2">
        <v>2.37484E-3</v>
      </c>
      <c r="T3325" s="2">
        <v>1.7998199999999999E-3</v>
      </c>
    </row>
    <row r="3326" spans="18:20" x14ac:dyDescent="0.45">
      <c r="R3326" s="2">
        <v>50.02</v>
      </c>
      <c r="S3326" s="2">
        <v>2.3776800000000001E-3</v>
      </c>
      <c r="T3326" s="2">
        <v>1.80164E-3</v>
      </c>
    </row>
    <row r="3327" spans="18:20" x14ac:dyDescent="0.45">
      <c r="R3327" s="2">
        <v>50.03</v>
      </c>
      <c r="S3327" s="2">
        <v>2.3805200000000001E-3</v>
      </c>
      <c r="T3327" s="2">
        <v>1.80346E-3</v>
      </c>
    </row>
    <row r="3328" spans="18:20" x14ac:dyDescent="0.45">
      <c r="R3328" s="2">
        <v>50.04</v>
      </c>
      <c r="S3328" s="2">
        <v>2.3833600000000002E-3</v>
      </c>
      <c r="T3328" s="2">
        <v>1.80528E-3</v>
      </c>
    </row>
    <row r="3329" spans="18:20" x14ac:dyDescent="0.45">
      <c r="R3329" s="2">
        <v>50.05</v>
      </c>
      <c r="S3329" s="2">
        <v>2.3862000000000002E-3</v>
      </c>
      <c r="T3329" s="2">
        <v>1.8071000000000001E-3</v>
      </c>
    </row>
    <row r="3330" spans="18:20" x14ac:dyDescent="0.45">
      <c r="R3330" s="2">
        <v>50.06</v>
      </c>
      <c r="S3330" s="2">
        <v>2.3890399999999998E-3</v>
      </c>
      <c r="T3330" s="2">
        <v>1.8089200000000001E-3</v>
      </c>
    </row>
    <row r="3331" spans="18:20" x14ac:dyDescent="0.45">
      <c r="R3331" s="2">
        <v>50.07</v>
      </c>
      <c r="S3331" s="2">
        <v>2.3918799999999999E-3</v>
      </c>
      <c r="T3331" s="2">
        <v>1.8107399999999999E-3</v>
      </c>
    </row>
    <row r="3332" spans="18:20" x14ac:dyDescent="0.45">
      <c r="R3332" s="2">
        <v>50.08</v>
      </c>
      <c r="S3332" s="2">
        <v>2.3947199999999999E-3</v>
      </c>
      <c r="T3332" s="2">
        <v>1.81256E-3</v>
      </c>
    </row>
    <row r="3333" spans="18:20" x14ac:dyDescent="0.45">
      <c r="R3333" s="2">
        <v>50.09</v>
      </c>
      <c r="S3333" s="2">
        <v>2.39756E-3</v>
      </c>
      <c r="T3333" s="2">
        <v>1.81438E-3</v>
      </c>
    </row>
    <row r="3334" spans="18:20" x14ac:dyDescent="0.45">
      <c r="R3334" s="2">
        <v>50.1</v>
      </c>
      <c r="S3334" s="2">
        <v>2.4004E-3</v>
      </c>
      <c r="T3334" s="2">
        <v>1.8162E-3</v>
      </c>
    </row>
    <row r="3335" spans="18:20" x14ac:dyDescent="0.45">
      <c r="R3335" s="2">
        <v>50.11</v>
      </c>
      <c r="S3335" s="2">
        <v>2.4032400000000001E-3</v>
      </c>
      <c r="T3335" s="2">
        <v>1.8180200000000001E-3</v>
      </c>
    </row>
    <row r="3336" spans="18:20" x14ac:dyDescent="0.45">
      <c r="R3336" s="2">
        <v>50.12</v>
      </c>
      <c r="S3336" s="2">
        <v>2.4060800000000001E-3</v>
      </c>
      <c r="T3336" s="2">
        <v>1.8198400000000001E-3</v>
      </c>
    </row>
    <row r="3337" spans="18:20" x14ac:dyDescent="0.45">
      <c r="R3337" s="2">
        <v>50.13</v>
      </c>
      <c r="S3337" s="2">
        <v>2.4089200000000002E-3</v>
      </c>
      <c r="T3337" s="2">
        <v>1.8216599999999999E-3</v>
      </c>
    </row>
    <row r="3338" spans="18:20" x14ac:dyDescent="0.45">
      <c r="R3338" s="2">
        <v>50.14</v>
      </c>
      <c r="S3338" s="2">
        <v>2.4117600000000002E-3</v>
      </c>
      <c r="T3338" s="2">
        <v>1.8234799999999999E-3</v>
      </c>
    </row>
    <row r="3339" spans="18:20" x14ac:dyDescent="0.45">
      <c r="R3339" s="2">
        <v>50.15</v>
      </c>
      <c r="S3339" s="2">
        <v>2.4145999999999998E-3</v>
      </c>
      <c r="T3339" s="2">
        <v>1.8253E-3</v>
      </c>
    </row>
    <row r="3340" spans="18:20" x14ac:dyDescent="0.45">
      <c r="R3340" s="2">
        <v>50.16</v>
      </c>
      <c r="S3340" s="2">
        <v>2.4174399999999999E-3</v>
      </c>
      <c r="T3340" s="2">
        <v>1.82712E-3</v>
      </c>
    </row>
    <row r="3341" spans="18:20" x14ac:dyDescent="0.45">
      <c r="R3341" s="2">
        <v>50.17</v>
      </c>
      <c r="S3341" s="2">
        <v>2.4202799999999999E-3</v>
      </c>
      <c r="T3341" s="2">
        <v>1.82894E-3</v>
      </c>
    </row>
    <row r="3342" spans="18:20" x14ac:dyDescent="0.45">
      <c r="R3342" s="2">
        <v>50.18</v>
      </c>
      <c r="S3342" s="2">
        <v>2.42312E-3</v>
      </c>
      <c r="T3342" s="2">
        <v>1.8307600000000001E-3</v>
      </c>
    </row>
    <row r="3343" spans="18:20" x14ac:dyDescent="0.45">
      <c r="R3343" s="2">
        <v>50.19</v>
      </c>
      <c r="S3343" s="2">
        <v>2.42596E-3</v>
      </c>
      <c r="T3343" s="2">
        <v>1.8325800000000001E-3</v>
      </c>
    </row>
    <row r="3344" spans="18:20" x14ac:dyDescent="0.45">
      <c r="R3344" s="2">
        <v>50.2</v>
      </c>
      <c r="S3344" s="2">
        <v>2.4288000000000001E-3</v>
      </c>
      <c r="T3344" s="2">
        <v>1.8343999999999999E-3</v>
      </c>
    </row>
    <row r="3345" spans="18:20" x14ac:dyDescent="0.45">
      <c r="R3345" s="2">
        <v>50.21</v>
      </c>
      <c r="S3345" s="2">
        <v>2.4316400000000001E-3</v>
      </c>
      <c r="T3345" s="2">
        <v>1.83622E-3</v>
      </c>
    </row>
    <row r="3346" spans="18:20" x14ac:dyDescent="0.45">
      <c r="R3346" s="2">
        <v>50.22</v>
      </c>
      <c r="S3346" s="2">
        <v>2.4344800000000002E-3</v>
      </c>
      <c r="T3346" s="2">
        <v>1.83804E-3</v>
      </c>
    </row>
    <row r="3347" spans="18:20" x14ac:dyDescent="0.45">
      <c r="R3347" s="2">
        <v>50.23</v>
      </c>
      <c r="S3347" s="2">
        <v>2.4373200000000002E-3</v>
      </c>
      <c r="T3347" s="2">
        <v>1.83986E-3</v>
      </c>
    </row>
    <row r="3348" spans="18:20" x14ac:dyDescent="0.45">
      <c r="R3348" s="2">
        <v>50.24</v>
      </c>
      <c r="S3348" s="2">
        <v>2.4401599999999998E-3</v>
      </c>
      <c r="T3348" s="2">
        <v>1.8416800000000001E-3</v>
      </c>
    </row>
    <row r="3349" spans="18:20" x14ac:dyDescent="0.45">
      <c r="R3349" s="2">
        <v>50.25</v>
      </c>
      <c r="S3349" s="2">
        <v>2.4429999999999999E-3</v>
      </c>
      <c r="T3349" s="2">
        <v>1.8435000000000001E-3</v>
      </c>
    </row>
    <row r="3350" spans="18:20" x14ac:dyDescent="0.45">
      <c r="R3350" s="2">
        <v>50.26</v>
      </c>
      <c r="S3350" s="2">
        <v>2.4458399999999999E-3</v>
      </c>
      <c r="T3350" s="2">
        <v>1.8453199999999999E-3</v>
      </c>
    </row>
    <row r="3351" spans="18:20" x14ac:dyDescent="0.45">
      <c r="R3351" s="2">
        <v>50.27</v>
      </c>
      <c r="S3351" s="2">
        <v>2.44868E-3</v>
      </c>
      <c r="T3351" s="2">
        <v>1.8471399999999999E-3</v>
      </c>
    </row>
    <row r="3352" spans="18:20" x14ac:dyDescent="0.45">
      <c r="R3352" s="2">
        <v>50.28</v>
      </c>
      <c r="S3352" s="2">
        <v>2.45152E-3</v>
      </c>
      <c r="T3352" s="2">
        <v>1.84896E-3</v>
      </c>
    </row>
    <row r="3353" spans="18:20" x14ac:dyDescent="0.45">
      <c r="R3353" s="2">
        <v>50.29</v>
      </c>
      <c r="S3353" s="2">
        <v>2.45436E-3</v>
      </c>
      <c r="T3353" s="2">
        <v>1.85078E-3</v>
      </c>
    </row>
    <row r="3354" spans="18:20" x14ac:dyDescent="0.45">
      <c r="R3354" s="2">
        <v>50.3</v>
      </c>
      <c r="S3354" s="2">
        <v>2.4572000000000001E-3</v>
      </c>
      <c r="T3354" s="2">
        <v>1.8526E-3</v>
      </c>
    </row>
    <row r="3355" spans="18:20" x14ac:dyDescent="0.45">
      <c r="R3355" s="2">
        <v>50.31</v>
      </c>
      <c r="S3355" s="2">
        <v>2.4600400000000001E-3</v>
      </c>
      <c r="T3355" s="2">
        <v>1.8544200000000001E-3</v>
      </c>
    </row>
    <row r="3356" spans="18:20" x14ac:dyDescent="0.45">
      <c r="R3356" s="2">
        <v>50.32</v>
      </c>
      <c r="S3356" s="2">
        <v>2.4628800000000002E-3</v>
      </c>
      <c r="T3356" s="2">
        <v>1.8562400000000001E-3</v>
      </c>
    </row>
    <row r="3357" spans="18:20" x14ac:dyDescent="0.45">
      <c r="R3357" s="2">
        <v>50.33</v>
      </c>
      <c r="S3357" s="2">
        <v>2.4657199999999998E-3</v>
      </c>
      <c r="T3357" s="2">
        <v>1.8580599999999999E-3</v>
      </c>
    </row>
    <row r="3358" spans="18:20" x14ac:dyDescent="0.45">
      <c r="R3358" s="2">
        <v>50.34</v>
      </c>
      <c r="S3358" s="2">
        <v>2.4685599999999999E-3</v>
      </c>
      <c r="T3358" s="2">
        <v>1.85988E-3</v>
      </c>
    </row>
    <row r="3359" spans="18:20" x14ac:dyDescent="0.45">
      <c r="R3359" s="2">
        <v>50.35</v>
      </c>
      <c r="S3359" s="2">
        <v>2.4713999999999999E-3</v>
      </c>
      <c r="T3359" s="2">
        <v>1.8617E-3</v>
      </c>
    </row>
    <row r="3360" spans="18:20" x14ac:dyDescent="0.45">
      <c r="R3360" s="2">
        <v>50.36</v>
      </c>
      <c r="S3360" s="2">
        <v>2.4742399999999999E-3</v>
      </c>
      <c r="T3360" s="2">
        <v>1.86352E-3</v>
      </c>
    </row>
    <row r="3361" spans="18:20" x14ac:dyDescent="0.45">
      <c r="R3361" s="2">
        <v>50.37</v>
      </c>
      <c r="S3361" s="2">
        <v>2.47708E-3</v>
      </c>
      <c r="T3361" s="2">
        <v>1.8653400000000001E-3</v>
      </c>
    </row>
    <row r="3362" spans="18:20" x14ac:dyDescent="0.45">
      <c r="R3362" s="2">
        <v>50.38</v>
      </c>
      <c r="S3362" s="2">
        <v>2.47992E-3</v>
      </c>
      <c r="T3362" s="2">
        <v>1.8671600000000001E-3</v>
      </c>
    </row>
    <row r="3363" spans="18:20" x14ac:dyDescent="0.45">
      <c r="R3363" s="2">
        <v>50.39</v>
      </c>
      <c r="S3363" s="2">
        <v>2.4827600000000001E-3</v>
      </c>
      <c r="T3363" s="2">
        <v>1.8689799999999999E-3</v>
      </c>
    </row>
    <row r="3364" spans="18:20" x14ac:dyDescent="0.45">
      <c r="R3364" s="2">
        <v>50.4</v>
      </c>
      <c r="S3364" s="2">
        <v>2.4856000000000001E-3</v>
      </c>
      <c r="T3364" s="2">
        <v>1.8707999999999999E-3</v>
      </c>
    </row>
    <row r="3365" spans="18:20" x14ac:dyDescent="0.45">
      <c r="R3365" s="2">
        <v>50.41</v>
      </c>
      <c r="S3365" s="2">
        <v>2.4884400000000002E-3</v>
      </c>
      <c r="T3365" s="2">
        <v>1.87262E-3</v>
      </c>
    </row>
    <row r="3366" spans="18:20" x14ac:dyDescent="0.45">
      <c r="R3366" s="2">
        <v>50.42</v>
      </c>
      <c r="S3366" s="2">
        <v>2.4912799999999998E-3</v>
      </c>
      <c r="T3366" s="2">
        <v>1.87444E-3</v>
      </c>
    </row>
    <row r="3367" spans="18:20" x14ac:dyDescent="0.45">
      <c r="R3367" s="2">
        <v>50.43</v>
      </c>
      <c r="S3367" s="2">
        <v>2.4941199999999998E-3</v>
      </c>
      <c r="T3367" s="2">
        <v>1.87626E-3</v>
      </c>
    </row>
    <row r="3368" spans="18:20" x14ac:dyDescent="0.45">
      <c r="R3368" s="2">
        <v>50.44</v>
      </c>
      <c r="S3368" s="2">
        <v>2.4969599999999999E-3</v>
      </c>
      <c r="T3368" s="2">
        <v>1.8780800000000001E-3</v>
      </c>
    </row>
    <row r="3369" spans="18:20" x14ac:dyDescent="0.45">
      <c r="R3369" s="2">
        <v>50.45</v>
      </c>
      <c r="S3369" s="2">
        <v>2.4997999999999999E-3</v>
      </c>
      <c r="T3369" s="2">
        <v>1.8799000000000001E-3</v>
      </c>
    </row>
    <row r="3370" spans="18:20" x14ac:dyDescent="0.45">
      <c r="R3370" s="2">
        <v>50.46</v>
      </c>
      <c r="S3370" s="2">
        <v>2.50264E-3</v>
      </c>
      <c r="T3370" s="2">
        <v>1.8817199999999999E-3</v>
      </c>
    </row>
    <row r="3371" spans="18:20" x14ac:dyDescent="0.45">
      <c r="R3371" s="2">
        <v>50.47</v>
      </c>
      <c r="S3371" s="2">
        <v>2.50548E-3</v>
      </c>
      <c r="T3371" s="2">
        <v>1.88354E-3</v>
      </c>
    </row>
    <row r="3372" spans="18:20" x14ac:dyDescent="0.45">
      <c r="R3372" s="2">
        <v>50.48</v>
      </c>
      <c r="S3372" s="2">
        <v>2.5083200000000001E-3</v>
      </c>
      <c r="T3372" s="2">
        <v>1.88536E-3</v>
      </c>
    </row>
    <row r="3373" spans="18:20" x14ac:dyDescent="0.45">
      <c r="R3373" s="2">
        <v>50.49</v>
      </c>
      <c r="S3373" s="2">
        <v>2.5111600000000001E-3</v>
      </c>
      <c r="T3373" s="2">
        <v>1.88718E-3</v>
      </c>
    </row>
    <row r="3374" spans="18:20" x14ac:dyDescent="0.45">
      <c r="R3374" s="2">
        <v>50.5</v>
      </c>
      <c r="S3374" s="2">
        <v>2.5140000000000002E-3</v>
      </c>
      <c r="T3374" s="2">
        <v>1.8890000000000001E-3</v>
      </c>
    </row>
    <row r="3375" spans="18:20" x14ac:dyDescent="0.45">
      <c r="R3375" s="2">
        <v>50.51</v>
      </c>
      <c r="S3375" s="2">
        <v>2.5168399999999998E-3</v>
      </c>
      <c r="T3375" s="2">
        <v>1.8908200000000001E-3</v>
      </c>
    </row>
    <row r="3376" spans="18:20" x14ac:dyDescent="0.45">
      <c r="R3376" s="2">
        <v>50.52</v>
      </c>
      <c r="S3376" s="2">
        <v>2.5196799999999998E-3</v>
      </c>
      <c r="T3376" s="2">
        <v>1.8926399999999999E-3</v>
      </c>
    </row>
    <row r="3377" spans="18:20" x14ac:dyDescent="0.45">
      <c r="R3377" s="2">
        <v>50.53</v>
      </c>
      <c r="S3377" s="2">
        <v>2.5225199999999999E-3</v>
      </c>
      <c r="T3377" s="2">
        <v>1.8944599999999999E-3</v>
      </c>
    </row>
    <row r="3378" spans="18:20" x14ac:dyDescent="0.45">
      <c r="R3378" s="2">
        <v>50.54</v>
      </c>
      <c r="S3378" s="2">
        <v>2.5253599999999999E-3</v>
      </c>
      <c r="T3378" s="2">
        <v>1.89628E-3</v>
      </c>
    </row>
    <row r="3379" spans="18:20" x14ac:dyDescent="0.45">
      <c r="R3379" s="2">
        <v>50.55</v>
      </c>
      <c r="S3379" s="2">
        <v>2.5282E-3</v>
      </c>
      <c r="T3379" s="2">
        <v>1.8981E-3</v>
      </c>
    </row>
    <row r="3380" spans="18:20" x14ac:dyDescent="0.45">
      <c r="R3380" s="2">
        <v>50.56</v>
      </c>
      <c r="S3380" s="2">
        <v>2.53104E-3</v>
      </c>
      <c r="T3380" s="2">
        <v>1.89992E-3</v>
      </c>
    </row>
    <row r="3381" spans="18:20" x14ac:dyDescent="0.45">
      <c r="R3381" s="2">
        <v>50.57</v>
      </c>
      <c r="S3381" s="2">
        <v>2.5338800000000001E-3</v>
      </c>
      <c r="T3381" s="2">
        <v>1.9017400000000001E-3</v>
      </c>
    </row>
    <row r="3382" spans="18:20" x14ac:dyDescent="0.45">
      <c r="R3382" s="2">
        <v>50.58</v>
      </c>
      <c r="S3382" s="2">
        <v>2.5367200000000001E-3</v>
      </c>
      <c r="T3382" s="2">
        <v>1.9035600000000001E-3</v>
      </c>
    </row>
    <row r="3383" spans="18:20" x14ac:dyDescent="0.45">
      <c r="R3383" s="2">
        <v>50.59</v>
      </c>
      <c r="S3383" s="2">
        <v>2.5395600000000002E-3</v>
      </c>
      <c r="T3383" s="2">
        <v>1.9053799999999999E-3</v>
      </c>
    </row>
    <row r="3384" spans="18:20" x14ac:dyDescent="0.45">
      <c r="R3384" s="2">
        <v>50.6</v>
      </c>
      <c r="S3384" s="2">
        <v>2.5424000000000002E-3</v>
      </c>
      <c r="T3384" s="2">
        <v>1.9072E-3</v>
      </c>
    </row>
    <row r="3385" spans="18:20" x14ac:dyDescent="0.45">
      <c r="R3385" s="2">
        <v>50.61</v>
      </c>
      <c r="S3385" s="2">
        <v>2.5452399999999998E-3</v>
      </c>
      <c r="T3385" s="2">
        <v>1.90902E-3</v>
      </c>
    </row>
    <row r="3386" spans="18:20" x14ac:dyDescent="0.45">
      <c r="R3386" s="2">
        <v>50.62</v>
      </c>
      <c r="S3386" s="2">
        <v>2.5480799999999999E-3</v>
      </c>
      <c r="T3386" s="2">
        <v>1.91084E-3</v>
      </c>
    </row>
    <row r="3387" spans="18:20" x14ac:dyDescent="0.45">
      <c r="R3387" s="2">
        <v>50.63</v>
      </c>
      <c r="S3387" s="2">
        <v>2.5509199999999999E-3</v>
      </c>
      <c r="T3387" s="2">
        <v>1.9126600000000001E-3</v>
      </c>
    </row>
    <row r="3388" spans="18:20" x14ac:dyDescent="0.45">
      <c r="R3388" s="2">
        <v>50.64</v>
      </c>
      <c r="S3388" s="2">
        <v>2.55376E-3</v>
      </c>
      <c r="T3388" s="2">
        <v>1.9144800000000001E-3</v>
      </c>
    </row>
    <row r="3389" spans="18:20" x14ac:dyDescent="0.45">
      <c r="R3389" s="2">
        <v>50.65</v>
      </c>
      <c r="S3389" s="2">
        <v>2.5566E-3</v>
      </c>
      <c r="T3389" s="2">
        <v>1.9162999999999999E-3</v>
      </c>
    </row>
    <row r="3390" spans="18:20" x14ac:dyDescent="0.45">
      <c r="R3390" s="2">
        <v>50.66</v>
      </c>
      <c r="S3390" s="2">
        <v>2.5594400000000001E-3</v>
      </c>
      <c r="T3390" s="2">
        <v>1.9181199999999999E-3</v>
      </c>
    </row>
    <row r="3391" spans="18:20" x14ac:dyDescent="0.45">
      <c r="R3391" s="2">
        <v>50.67</v>
      </c>
      <c r="S3391" s="2">
        <v>2.5622800000000001E-3</v>
      </c>
      <c r="T3391" s="2">
        <v>1.91994E-3</v>
      </c>
    </row>
    <row r="3392" spans="18:20" x14ac:dyDescent="0.45">
      <c r="R3392" s="2">
        <v>50.68</v>
      </c>
      <c r="S3392" s="2">
        <v>2.5651200000000002E-3</v>
      </c>
      <c r="T3392" s="2">
        <v>1.92176E-3</v>
      </c>
    </row>
    <row r="3393" spans="18:20" x14ac:dyDescent="0.45">
      <c r="R3393" s="2">
        <v>50.69</v>
      </c>
      <c r="S3393" s="2">
        <v>2.5679600000000002E-3</v>
      </c>
      <c r="T3393" s="2">
        <v>1.92358E-3</v>
      </c>
    </row>
    <row r="3394" spans="18:20" x14ac:dyDescent="0.45">
      <c r="R3394" s="2">
        <v>50.7</v>
      </c>
      <c r="S3394" s="2">
        <v>2.5707999999999998E-3</v>
      </c>
      <c r="T3394" s="2">
        <v>1.9254000000000001E-3</v>
      </c>
    </row>
    <row r="3395" spans="18:20" x14ac:dyDescent="0.45">
      <c r="R3395" s="2">
        <v>50.71</v>
      </c>
      <c r="S3395" s="2">
        <v>2.5736399999999999E-3</v>
      </c>
      <c r="T3395" s="2">
        <v>1.9272200000000001E-3</v>
      </c>
    </row>
    <row r="3396" spans="18:20" x14ac:dyDescent="0.45">
      <c r="R3396" s="2">
        <v>50.72</v>
      </c>
      <c r="S3396" s="2">
        <v>2.5764799999999999E-3</v>
      </c>
      <c r="T3396" s="2">
        <v>1.9290399999999999E-3</v>
      </c>
    </row>
    <row r="3397" spans="18:20" x14ac:dyDescent="0.45">
      <c r="R3397" s="2">
        <v>50.73</v>
      </c>
      <c r="S3397" s="2">
        <v>2.57932E-3</v>
      </c>
      <c r="T3397" s="2">
        <v>1.93086E-3</v>
      </c>
    </row>
    <row r="3398" spans="18:20" x14ac:dyDescent="0.45">
      <c r="R3398" s="2">
        <v>50.74</v>
      </c>
      <c r="S3398" s="2">
        <v>2.58216E-3</v>
      </c>
      <c r="T3398" s="2">
        <v>1.93268E-3</v>
      </c>
    </row>
    <row r="3399" spans="18:20" x14ac:dyDescent="0.45">
      <c r="R3399" s="2">
        <v>50.75</v>
      </c>
      <c r="S3399" s="2">
        <v>2.5850000000000001E-3</v>
      </c>
      <c r="T3399" s="2">
        <v>1.9345E-3</v>
      </c>
    </row>
    <row r="3400" spans="18:20" x14ac:dyDescent="0.45">
      <c r="R3400" s="2">
        <v>50.76</v>
      </c>
      <c r="S3400" s="2">
        <v>2.5878400000000001E-3</v>
      </c>
      <c r="T3400" s="2">
        <v>1.9363200000000001E-3</v>
      </c>
    </row>
    <row r="3401" spans="18:20" x14ac:dyDescent="0.45">
      <c r="R3401" s="2">
        <v>50.77</v>
      </c>
      <c r="S3401" s="2">
        <v>2.5906800000000002E-3</v>
      </c>
      <c r="T3401" s="2">
        <v>1.9381400000000001E-3</v>
      </c>
    </row>
    <row r="3402" spans="18:20" x14ac:dyDescent="0.45">
      <c r="R3402" s="2">
        <v>50.78</v>
      </c>
      <c r="S3402" s="2">
        <v>2.5935200000000002E-3</v>
      </c>
      <c r="T3402" s="2">
        <v>1.9399599999999999E-3</v>
      </c>
    </row>
    <row r="3403" spans="18:20" x14ac:dyDescent="0.45">
      <c r="R3403" s="2">
        <v>50.79</v>
      </c>
      <c r="S3403" s="2">
        <v>2.5963599999999998E-3</v>
      </c>
      <c r="T3403" s="2">
        <v>1.9417799999999999E-3</v>
      </c>
    </row>
    <row r="3404" spans="18:20" x14ac:dyDescent="0.45">
      <c r="R3404" s="2">
        <v>50.8</v>
      </c>
      <c r="S3404" s="2">
        <v>2.5991999999999999E-3</v>
      </c>
      <c r="T3404" s="2">
        <v>1.9436E-3</v>
      </c>
    </row>
    <row r="3405" spans="18:20" x14ac:dyDescent="0.45">
      <c r="R3405" s="2">
        <v>50.81</v>
      </c>
      <c r="S3405" s="2">
        <v>2.6020399999999999E-3</v>
      </c>
      <c r="T3405" s="2">
        <v>1.94542E-3</v>
      </c>
    </row>
    <row r="3406" spans="18:20" x14ac:dyDescent="0.45">
      <c r="R3406" s="2">
        <v>50.82</v>
      </c>
      <c r="S3406" s="2">
        <v>2.60488E-3</v>
      </c>
      <c r="T3406" s="2">
        <v>1.94724E-3</v>
      </c>
    </row>
    <row r="3407" spans="18:20" x14ac:dyDescent="0.45">
      <c r="R3407" s="2">
        <v>50.83</v>
      </c>
      <c r="S3407" s="2">
        <v>2.60772E-3</v>
      </c>
      <c r="T3407" s="2">
        <v>1.9490600000000001E-3</v>
      </c>
    </row>
    <row r="3408" spans="18:20" x14ac:dyDescent="0.45">
      <c r="R3408" s="2">
        <v>50.84</v>
      </c>
      <c r="S3408" s="2">
        <v>2.6105600000000001E-3</v>
      </c>
      <c r="T3408" s="2">
        <v>1.9508800000000001E-3</v>
      </c>
    </row>
    <row r="3409" spans="18:20" x14ac:dyDescent="0.45">
      <c r="R3409" s="2">
        <v>50.85</v>
      </c>
      <c r="S3409" s="2">
        <v>2.6134000000000001E-3</v>
      </c>
      <c r="T3409" s="2">
        <v>1.9526999999999999E-3</v>
      </c>
    </row>
    <row r="3410" spans="18:20" x14ac:dyDescent="0.45">
      <c r="R3410" s="2">
        <v>50.86</v>
      </c>
      <c r="S3410" s="2">
        <v>2.6162400000000001E-3</v>
      </c>
      <c r="T3410" s="2">
        <v>1.95452E-3</v>
      </c>
    </row>
    <row r="3411" spans="18:20" x14ac:dyDescent="0.45">
      <c r="R3411" s="2">
        <v>50.87</v>
      </c>
      <c r="S3411" s="2">
        <v>2.6190800000000002E-3</v>
      </c>
      <c r="T3411" s="2">
        <v>1.95634E-3</v>
      </c>
    </row>
    <row r="3412" spans="18:20" x14ac:dyDescent="0.45">
      <c r="R3412" s="2">
        <v>50.88</v>
      </c>
      <c r="S3412" s="2">
        <v>2.6219199999999998E-3</v>
      </c>
      <c r="T3412" s="2">
        <v>1.95816E-3</v>
      </c>
    </row>
    <row r="3413" spans="18:20" x14ac:dyDescent="0.45">
      <c r="R3413" s="2">
        <v>50.89</v>
      </c>
      <c r="S3413" s="2">
        <v>2.6247599999999999E-3</v>
      </c>
      <c r="T3413" s="2">
        <v>1.9599800000000001E-3</v>
      </c>
    </row>
    <row r="3414" spans="18:20" x14ac:dyDescent="0.45">
      <c r="R3414" s="2">
        <v>50.9</v>
      </c>
      <c r="S3414" s="2">
        <v>2.6275999999999999E-3</v>
      </c>
      <c r="T3414" s="2">
        <v>1.9618000000000001E-3</v>
      </c>
    </row>
    <row r="3415" spans="18:20" x14ac:dyDescent="0.45">
      <c r="R3415" s="2">
        <v>50.91</v>
      </c>
      <c r="S3415" s="2">
        <v>2.6304399999999999E-3</v>
      </c>
      <c r="T3415" s="2">
        <v>1.9636200000000001E-3</v>
      </c>
    </row>
    <row r="3416" spans="18:20" x14ac:dyDescent="0.45">
      <c r="R3416" s="2">
        <v>50.92</v>
      </c>
      <c r="S3416" s="2">
        <v>2.63328E-3</v>
      </c>
      <c r="T3416" s="2">
        <v>1.9654400000000002E-3</v>
      </c>
    </row>
    <row r="3417" spans="18:20" x14ac:dyDescent="0.45">
      <c r="R3417" s="2">
        <v>50.93</v>
      </c>
      <c r="S3417" s="2">
        <v>2.63612E-3</v>
      </c>
      <c r="T3417" s="2">
        <v>1.9672600000000002E-3</v>
      </c>
    </row>
    <row r="3418" spans="18:20" x14ac:dyDescent="0.45">
      <c r="R3418" s="2">
        <v>50.94</v>
      </c>
      <c r="S3418" s="2">
        <v>2.6389600000000001E-3</v>
      </c>
      <c r="T3418" s="2">
        <v>1.9690799999999998E-3</v>
      </c>
    </row>
    <row r="3419" spans="18:20" x14ac:dyDescent="0.45">
      <c r="R3419" s="2">
        <v>50.95</v>
      </c>
      <c r="S3419" s="2">
        <v>2.6418000000000001E-3</v>
      </c>
      <c r="T3419" s="2">
        <v>1.9708999999999998E-3</v>
      </c>
    </row>
    <row r="3420" spans="18:20" x14ac:dyDescent="0.45">
      <c r="R3420" s="2">
        <v>50.96</v>
      </c>
      <c r="S3420" s="2">
        <v>2.6446400000000002E-3</v>
      </c>
      <c r="T3420" s="2">
        <v>1.9727199999999999E-3</v>
      </c>
    </row>
    <row r="3421" spans="18:20" x14ac:dyDescent="0.45">
      <c r="R3421" s="2">
        <v>50.97</v>
      </c>
      <c r="S3421" s="2">
        <v>2.6474799999999998E-3</v>
      </c>
      <c r="T3421" s="2">
        <v>1.9745399999999999E-3</v>
      </c>
    </row>
    <row r="3422" spans="18:20" x14ac:dyDescent="0.45">
      <c r="R3422" s="2">
        <v>50.98</v>
      </c>
      <c r="S3422" s="2">
        <v>2.6503199999999998E-3</v>
      </c>
      <c r="T3422" s="2">
        <v>1.9763599999999999E-3</v>
      </c>
    </row>
    <row r="3423" spans="18:20" x14ac:dyDescent="0.45">
      <c r="R3423" s="2">
        <v>50.99</v>
      </c>
      <c r="S3423" s="2">
        <v>2.6531599999999999E-3</v>
      </c>
      <c r="T3423" s="2">
        <v>1.97818E-3</v>
      </c>
    </row>
    <row r="3424" spans="18:20" x14ac:dyDescent="0.45">
      <c r="R3424" s="2">
        <v>51</v>
      </c>
      <c r="S3424" s="2">
        <v>2.6559999999999999E-3</v>
      </c>
      <c r="T3424" s="2">
        <v>1.98E-3</v>
      </c>
    </row>
    <row r="3425" spans="18:20" x14ac:dyDescent="0.45">
      <c r="R3425" s="2">
        <v>51.01</v>
      </c>
      <c r="S3425" s="2">
        <v>2.6592199999999999E-3</v>
      </c>
      <c r="T3425" s="2">
        <v>1.9820200000000001E-3</v>
      </c>
    </row>
    <row r="3426" spans="18:20" x14ac:dyDescent="0.45">
      <c r="R3426" s="2">
        <v>51.02</v>
      </c>
      <c r="S3426" s="2">
        <v>2.6624399999999999E-3</v>
      </c>
      <c r="T3426" s="2">
        <v>1.9840399999999998E-3</v>
      </c>
    </row>
    <row r="3427" spans="18:20" x14ac:dyDescent="0.45">
      <c r="R3427" s="2">
        <v>51.03</v>
      </c>
      <c r="S3427" s="2">
        <v>2.6656599999999998E-3</v>
      </c>
      <c r="T3427" s="2">
        <v>1.98606E-3</v>
      </c>
    </row>
    <row r="3428" spans="18:20" x14ac:dyDescent="0.45">
      <c r="R3428" s="2">
        <v>51.04</v>
      </c>
      <c r="S3428" s="2">
        <v>2.6688800000000002E-3</v>
      </c>
      <c r="T3428" s="2">
        <v>1.9880800000000001E-3</v>
      </c>
    </row>
    <row r="3429" spans="18:20" x14ac:dyDescent="0.45">
      <c r="R3429" s="2">
        <v>51.05</v>
      </c>
      <c r="S3429" s="2">
        <v>2.6721000000000002E-3</v>
      </c>
      <c r="T3429" s="2">
        <v>1.9900999999999999E-3</v>
      </c>
    </row>
    <row r="3430" spans="18:20" x14ac:dyDescent="0.45">
      <c r="R3430" s="2">
        <v>51.06</v>
      </c>
      <c r="S3430" s="2">
        <v>2.6753200000000001E-3</v>
      </c>
      <c r="T3430" s="2">
        <v>1.99212E-3</v>
      </c>
    </row>
    <row r="3431" spans="18:20" x14ac:dyDescent="0.45">
      <c r="R3431" s="2">
        <v>51.07</v>
      </c>
      <c r="S3431" s="2">
        <v>2.6785400000000001E-3</v>
      </c>
      <c r="T3431" s="2">
        <v>1.9941400000000001E-3</v>
      </c>
    </row>
    <row r="3432" spans="18:20" x14ac:dyDescent="0.45">
      <c r="R3432" s="2">
        <v>51.08</v>
      </c>
      <c r="S3432" s="2">
        <v>2.68176E-3</v>
      </c>
      <c r="T3432" s="2">
        <v>1.9961599999999999E-3</v>
      </c>
    </row>
    <row r="3433" spans="18:20" x14ac:dyDescent="0.45">
      <c r="R3433" s="2">
        <v>51.09</v>
      </c>
      <c r="S3433" s="2">
        <v>2.68498E-3</v>
      </c>
      <c r="T3433" s="2">
        <v>1.99818E-3</v>
      </c>
    </row>
    <row r="3434" spans="18:20" x14ac:dyDescent="0.45">
      <c r="R3434" s="2">
        <v>51.1</v>
      </c>
      <c r="S3434" s="2">
        <v>2.6882E-3</v>
      </c>
      <c r="T3434" s="2">
        <v>2.0002000000000002E-3</v>
      </c>
    </row>
    <row r="3435" spans="18:20" x14ac:dyDescent="0.45">
      <c r="R3435" s="2">
        <v>51.11</v>
      </c>
      <c r="S3435" s="2">
        <v>2.6914199999999999E-3</v>
      </c>
      <c r="T3435" s="2">
        <v>2.0022199999999999E-3</v>
      </c>
    </row>
    <row r="3436" spans="18:20" x14ac:dyDescent="0.45">
      <c r="R3436" s="2">
        <v>51.12</v>
      </c>
      <c r="S3436" s="2">
        <v>2.6946399999999999E-3</v>
      </c>
      <c r="T3436" s="2">
        <v>2.00424E-3</v>
      </c>
    </row>
    <row r="3437" spans="18:20" x14ac:dyDescent="0.45">
      <c r="R3437" s="2">
        <v>51.13</v>
      </c>
      <c r="S3437" s="2">
        <v>2.6978599999999998E-3</v>
      </c>
      <c r="T3437" s="2">
        <v>2.0062600000000002E-3</v>
      </c>
    </row>
    <row r="3438" spans="18:20" x14ac:dyDescent="0.45">
      <c r="R3438" s="2">
        <v>51.14</v>
      </c>
      <c r="S3438" s="2">
        <v>2.7010799999999998E-3</v>
      </c>
      <c r="T3438" s="2">
        <v>2.0082799999999999E-3</v>
      </c>
    </row>
    <row r="3439" spans="18:20" x14ac:dyDescent="0.45">
      <c r="R3439" s="2">
        <v>51.15</v>
      </c>
      <c r="S3439" s="2">
        <v>2.7043000000000002E-3</v>
      </c>
      <c r="T3439" s="2">
        <v>2.0103E-3</v>
      </c>
    </row>
    <row r="3440" spans="18:20" x14ac:dyDescent="0.45">
      <c r="R3440" s="2">
        <v>51.16</v>
      </c>
      <c r="S3440" s="2">
        <v>2.7075200000000002E-3</v>
      </c>
      <c r="T3440" s="2">
        <v>2.0123200000000002E-3</v>
      </c>
    </row>
    <row r="3441" spans="18:20" x14ac:dyDescent="0.45">
      <c r="R3441" s="2">
        <v>51.17</v>
      </c>
      <c r="S3441" s="2">
        <v>2.7107400000000001E-3</v>
      </c>
      <c r="T3441" s="2">
        <v>2.0143399999999999E-3</v>
      </c>
    </row>
    <row r="3442" spans="18:20" x14ac:dyDescent="0.45">
      <c r="R3442" s="2">
        <v>51.18</v>
      </c>
      <c r="S3442" s="2">
        <v>2.7139600000000001E-3</v>
      </c>
      <c r="T3442" s="2">
        <v>2.01636E-3</v>
      </c>
    </row>
    <row r="3443" spans="18:20" x14ac:dyDescent="0.45">
      <c r="R3443" s="2">
        <v>51.19</v>
      </c>
      <c r="S3443" s="2">
        <v>2.71718E-3</v>
      </c>
      <c r="T3443" s="2">
        <v>2.0183800000000002E-3</v>
      </c>
    </row>
    <row r="3444" spans="18:20" x14ac:dyDescent="0.45">
      <c r="R3444" s="2">
        <v>51.2</v>
      </c>
      <c r="S3444" s="2">
        <v>2.7204E-3</v>
      </c>
      <c r="T3444" s="2">
        <v>2.0203999999999999E-3</v>
      </c>
    </row>
    <row r="3445" spans="18:20" x14ac:dyDescent="0.45">
      <c r="R3445" s="2">
        <v>51.21</v>
      </c>
      <c r="S3445" s="2">
        <v>2.7236199999999999E-3</v>
      </c>
      <c r="T3445" s="2">
        <v>2.02242E-3</v>
      </c>
    </row>
    <row r="3446" spans="18:20" x14ac:dyDescent="0.45">
      <c r="R3446" s="2">
        <v>51.22</v>
      </c>
      <c r="S3446" s="2">
        <v>2.7268399999999999E-3</v>
      </c>
      <c r="T3446" s="2">
        <v>2.0244400000000002E-3</v>
      </c>
    </row>
    <row r="3447" spans="18:20" x14ac:dyDescent="0.45">
      <c r="R3447" s="2">
        <v>51.23</v>
      </c>
      <c r="S3447" s="2">
        <v>2.7300599999999999E-3</v>
      </c>
      <c r="T3447" s="2">
        <v>2.0264599999999999E-3</v>
      </c>
    </row>
    <row r="3448" spans="18:20" x14ac:dyDescent="0.45">
      <c r="R3448" s="2">
        <v>51.24</v>
      </c>
      <c r="S3448" s="2">
        <v>2.7332799999999998E-3</v>
      </c>
      <c r="T3448" s="2">
        <v>2.02848E-3</v>
      </c>
    </row>
    <row r="3449" spans="18:20" x14ac:dyDescent="0.45">
      <c r="R3449" s="2">
        <v>51.25</v>
      </c>
      <c r="S3449" s="2">
        <v>2.7364999999999998E-3</v>
      </c>
      <c r="T3449" s="2">
        <v>2.0305000000000002E-3</v>
      </c>
    </row>
    <row r="3450" spans="18:20" x14ac:dyDescent="0.45">
      <c r="R3450" s="2">
        <v>51.26</v>
      </c>
      <c r="S3450" s="2">
        <v>2.7397200000000002E-3</v>
      </c>
      <c r="T3450" s="2">
        <v>2.0325199999999999E-3</v>
      </c>
    </row>
    <row r="3451" spans="18:20" x14ac:dyDescent="0.45">
      <c r="R3451" s="2">
        <v>51.27</v>
      </c>
      <c r="S3451" s="2">
        <v>2.7429400000000001E-3</v>
      </c>
      <c r="T3451" s="2">
        <v>2.03454E-3</v>
      </c>
    </row>
    <row r="3452" spans="18:20" x14ac:dyDescent="0.45">
      <c r="R3452" s="2">
        <v>51.28</v>
      </c>
      <c r="S3452" s="2">
        <v>2.7461600000000001E-3</v>
      </c>
      <c r="T3452" s="2">
        <v>2.0365600000000002E-3</v>
      </c>
    </row>
    <row r="3453" spans="18:20" x14ac:dyDescent="0.45">
      <c r="R3453" s="2">
        <v>51.29</v>
      </c>
      <c r="S3453" s="2">
        <v>2.7493800000000001E-3</v>
      </c>
      <c r="T3453" s="2">
        <v>2.0385799999999999E-3</v>
      </c>
    </row>
    <row r="3454" spans="18:20" x14ac:dyDescent="0.45">
      <c r="R3454" s="2">
        <v>51.3</v>
      </c>
      <c r="S3454" s="2">
        <v>2.7526E-3</v>
      </c>
      <c r="T3454" s="2">
        <v>2.0406000000000001E-3</v>
      </c>
    </row>
    <row r="3455" spans="18:20" x14ac:dyDescent="0.45">
      <c r="R3455" s="2">
        <v>51.31</v>
      </c>
      <c r="S3455" s="2">
        <v>2.75582E-3</v>
      </c>
      <c r="T3455" s="2">
        <v>2.0426200000000002E-3</v>
      </c>
    </row>
    <row r="3456" spans="18:20" x14ac:dyDescent="0.45">
      <c r="R3456" s="2">
        <v>51.32</v>
      </c>
      <c r="S3456" s="2">
        <v>2.7590399999999999E-3</v>
      </c>
      <c r="T3456" s="2">
        <v>2.0446399999999999E-3</v>
      </c>
    </row>
    <row r="3457" spans="18:20" x14ac:dyDescent="0.45">
      <c r="R3457" s="2">
        <v>51.33</v>
      </c>
      <c r="S3457" s="2">
        <v>2.7622599999999999E-3</v>
      </c>
      <c r="T3457" s="2">
        <v>2.0466600000000001E-3</v>
      </c>
    </row>
    <row r="3458" spans="18:20" x14ac:dyDescent="0.45">
      <c r="R3458" s="2">
        <v>51.34</v>
      </c>
      <c r="S3458" s="2">
        <v>2.7654799999999998E-3</v>
      </c>
      <c r="T3458" s="2">
        <v>2.0486800000000002E-3</v>
      </c>
    </row>
    <row r="3459" spans="18:20" x14ac:dyDescent="0.45">
      <c r="R3459" s="2">
        <v>51.35</v>
      </c>
      <c r="S3459" s="2">
        <v>2.7686999999999998E-3</v>
      </c>
      <c r="T3459" s="2">
        <v>2.0506999999999999E-3</v>
      </c>
    </row>
    <row r="3460" spans="18:20" x14ac:dyDescent="0.45">
      <c r="R3460" s="2">
        <v>51.36</v>
      </c>
      <c r="S3460" s="2">
        <v>2.7719200000000002E-3</v>
      </c>
      <c r="T3460" s="2">
        <v>2.0527200000000001E-3</v>
      </c>
    </row>
    <row r="3461" spans="18:20" x14ac:dyDescent="0.45">
      <c r="R3461" s="2">
        <v>51.37</v>
      </c>
      <c r="S3461" s="2">
        <v>2.7751400000000002E-3</v>
      </c>
      <c r="T3461" s="2">
        <v>2.0547400000000002E-3</v>
      </c>
    </row>
    <row r="3462" spans="18:20" x14ac:dyDescent="0.45">
      <c r="R3462" s="2">
        <v>51.38</v>
      </c>
      <c r="S3462" s="2">
        <v>2.7783600000000001E-3</v>
      </c>
      <c r="T3462" s="2">
        <v>2.0567599999999999E-3</v>
      </c>
    </row>
    <row r="3463" spans="18:20" x14ac:dyDescent="0.45">
      <c r="R3463" s="2">
        <v>51.39</v>
      </c>
      <c r="S3463" s="2">
        <v>2.7815800000000001E-3</v>
      </c>
      <c r="T3463" s="2">
        <v>2.0587800000000001E-3</v>
      </c>
    </row>
    <row r="3464" spans="18:20" x14ac:dyDescent="0.45">
      <c r="R3464" s="2">
        <v>51.4</v>
      </c>
      <c r="S3464" s="2">
        <v>2.7848E-3</v>
      </c>
      <c r="T3464" s="2">
        <v>2.0607999999999998E-3</v>
      </c>
    </row>
    <row r="3465" spans="18:20" x14ac:dyDescent="0.45">
      <c r="R3465" s="2">
        <v>51.41</v>
      </c>
      <c r="S3465" s="2">
        <v>2.78802E-3</v>
      </c>
      <c r="T3465" s="2">
        <v>2.0628199999999999E-3</v>
      </c>
    </row>
    <row r="3466" spans="18:20" x14ac:dyDescent="0.45">
      <c r="R3466" s="2">
        <v>51.42</v>
      </c>
      <c r="S3466" s="2">
        <v>2.79124E-3</v>
      </c>
      <c r="T3466" s="2">
        <v>2.0648400000000001E-3</v>
      </c>
    </row>
    <row r="3467" spans="18:20" x14ac:dyDescent="0.45">
      <c r="R3467" s="2">
        <v>51.43</v>
      </c>
      <c r="S3467" s="2">
        <v>2.7944599999999999E-3</v>
      </c>
      <c r="T3467" s="2">
        <v>2.0668599999999998E-3</v>
      </c>
    </row>
    <row r="3468" spans="18:20" x14ac:dyDescent="0.45">
      <c r="R3468" s="2">
        <v>51.44</v>
      </c>
      <c r="S3468" s="2">
        <v>2.7976799999999999E-3</v>
      </c>
      <c r="T3468" s="2">
        <v>2.0688799999999999E-3</v>
      </c>
    </row>
    <row r="3469" spans="18:20" x14ac:dyDescent="0.45">
      <c r="R3469" s="2">
        <v>51.45</v>
      </c>
      <c r="S3469" s="2">
        <v>2.8008999999999998E-3</v>
      </c>
      <c r="T3469" s="2">
        <v>2.0709000000000001E-3</v>
      </c>
    </row>
    <row r="3470" spans="18:20" x14ac:dyDescent="0.45">
      <c r="R3470" s="2">
        <v>51.46</v>
      </c>
      <c r="S3470" s="2">
        <v>2.8041199999999998E-3</v>
      </c>
      <c r="T3470" s="2">
        <v>2.0729199999999998E-3</v>
      </c>
    </row>
    <row r="3471" spans="18:20" x14ac:dyDescent="0.45">
      <c r="R3471" s="2">
        <v>51.47</v>
      </c>
      <c r="S3471" s="2">
        <v>2.8073400000000002E-3</v>
      </c>
      <c r="T3471" s="2">
        <v>2.0749399999999999E-3</v>
      </c>
    </row>
    <row r="3472" spans="18:20" x14ac:dyDescent="0.45">
      <c r="R3472" s="2">
        <v>51.48</v>
      </c>
      <c r="S3472" s="2">
        <v>2.8105600000000001E-3</v>
      </c>
      <c r="T3472" s="2">
        <v>2.0769600000000001E-3</v>
      </c>
    </row>
    <row r="3473" spans="18:20" x14ac:dyDescent="0.45">
      <c r="R3473" s="2">
        <v>51.49</v>
      </c>
      <c r="S3473" s="2">
        <v>2.8137800000000001E-3</v>
      </c>
      <c r="T3473" s="2">
        <v>2.0789799999999998E-3</v>
      </c>
    </row>
    <row r="3474" spans="18:20" x14ac:dyDescent="0.45">
      <c r="R3474" s="2">
        <v>51.5</v>
      </c>
      <c r="S3474" s="2">
        <v>2.8170000000000001E-3</v>
      </c>
      <c r="T3474" s="2">
        <v>2.081E-3</v>
      </c>
    </row>
    <row r="3475" spans="18:20" x14ac:dyDescent="0.45">
      <c r="R3475" s="2">
        <v>51.51</v>
      </c>
      <c r="S3475" s="2">
        <v>2.82022E-3</v>
      </c>
      <c r="T3475" s="2">
        <v>2.0830200000000001E-3</v>
      </c>
    </row>
    <row r="3476" spans="18:20" x14ac:dyDescent="0.45">
      <c r="R3476" s="2">
        <v>51.52</v>
      </c>
      <c r="S3476" s="2">
        <v>2.82344E-3</v>
      </c>
      <c r="T3476" s="2">
        <v>2.0850399999999998E-3</v>
      </c>
    </row>
    <row r="3477" spans="18:20" x14ac:dyDescent="0.45">
      <c r="R3477" s="2">
        <v>51.53</v>
      </c>
      <c r="S3477" s="2">
        <v>2.8266599999999999E-3</v>
      </c>
      <c r="T3477" s="2">
        <v>2.08706E-3</v>
      </c>
    </row>
    <row r="3478" spans="18:20" x14ac:dyDescent="0.45">
      <c r="R3478" s="2">
        <v>51.54</v>
      </c>
      <c r="S3478" s="2">
        <v>2.8298799999999999E-3</v>
      </c>
      <c r="T3478" s="2">
        <v>2.0890800000000001E-3</v>
      </c>
    </row>
    <row r="3479" spans="18:20" x14ac:dyDescent="0.45">
      <c r="R3479" s="2">
        <v>51.55</v>
      </c>
      <c r="S3479" s="2">
        <v>2.8330999999999999E-3</v>
      </c>
      <c r="T3479" s="2">
        <v>2.0910999999999998E-3</v>
      </c>
    </row>
    <row r="3480" spans="18:20" x14ac:dyDescent="0.45">
      <c r="R3480" s="2">
        <v>51.56</v>
      </c>
      <c r="S3480" s="2">
        <v>2.8363199999999998E-3</v>
      </c>
      <c r="T3480" s="2">
        <v>2.09312E-3</v>
      </c>
    </row>
    <row r="3481" spans="18:20" x14ac:dyDescent="0.45">
      <c r="R3481" s="2">
        <v>51.57</v>
      </c>
      <c r="S3481" s="2">
        <v>2.8395400000000002E-3</v>
      </c>
      <c r="T3481" s="2">
        <v>2.0951400000000001E-3</v>
      </c>
    </row>
    <row r="3482" spans="18:20" x14ac:dyDescent="0.45">
      <c r="R3482" s="2">
        <v>51.58</v>
      </c>
      <c r="S3482" s="2">
        <v>2.8427600000000002E-3</v>
      </c>
      <c r="T3482" s="2">
        <v>2.0971599999999998E-3</v>
      </c>
    </row>
    <row r="3483" spans="18:20" x14ac:dyDescent="0.45">
      <c r="R3483" s="2">
        <v>51.59</v>
      </c>
      <c r="S3483" s="2">
        <v>2.8459800000000001E-3</v>
      </c>
      <c r="T3483" s="2">
        <v>2.09918E-3</v>
      </c>
    </row>
    <row r="3484" spans="18:20" x14ac:dyDescent="0.45">
      <c r="R3484" s="2">
        <v>51.6</v>
      </c>
      <c r="S3484" s="2">
        <v>2.8492000000000001E-3</v>
      </c>
      <c r="T3484" s="2">
        <v>2.1012000000000001E-3</v>
      </c>
    </row>
    <row r="3485" spans="18:20" x14ac:dyDescent="0.45">
      <c r="R3485" s="2">
        <v>51.61</v>
      </c>
      <c r="S3485" s="2">
        <v>2.85242E-3</v>
      </c>
      <c r="T3485" s="2">
        <v>2.1032199999999998E-3</v>
      </c>
    </row>
    <row r="3486" spans="18:20" x14ac:dyDescent="0.45">
      <c r="R3486" s="2">
        <v>51.62</v>
      </c>
      <c r="S3486" s="2">
        <v>2.85564E-3</v>
      </c>
      <c r="T3486" s="2">
        <v>2.10524E-3</v>
      </c>
    </row>
    <row r="3487" spans="18:20" x14ac:dyDescent="0.45">
      <c r="R3487" s="2">
        <v>51.63</v>
      </c>
      <c r="S3487" s="2">
        <v>2.85886E-3</v>
      </c>
      <c r="T3487" s="2">
        <v>2.1072600000000001E-3</v>
      </c>
    </row>
    <row r="3488" spans="18:20" x14ac:dyDescent="0.45">
      <c r="R3488" s="2">
        <v>51.64</v>
      </c>
      <c r="S3488" s="2">
        <v>2.8620799999999999E-3</v>
      </c>
      <c r="T3488" s="2">
        <v>2.1092799999999998E-3</v>
      </c>
    </row>
    <row r="3489" spans="18:20" x14ac:dyDescent="0.45">
      <c r="R3489" s="2">
        <v>51.65</v>
      </c>
      <c r="S3489" s="2">
        <v>2.8652999999999999E-3</v>
      </c>
      <c r="T3489" s="2">
        <v>2.1113E-3</v>
      </c>
    </row>
    <row r="3490" spans="18:20" x14ac:dyDescent="0.45">
      <c r="R3490" s="2">
        <v>51.66</v>
      </c>
      <c r="S3490" s="2">
        <v>2.8685199999999998E-3</v>
      </c>
      <c r="T3490" s="2">
        <v>2.1133200000000001E-3</v>
      </c>
    </row>
    <row r="3491" spans="18:20" x14ac:dyDescent="0.45">
      <c r="R3491" s="2">
        <v>51.67</v>
      </c>
      <c r="S3491" s="2">
        <v>2.8717399999999998E-3</v>
      </c>
      <c r="T3491" s="2">
        <v>2.1153399999999998E-3</v>
      </c>
    </row>
    <row r="3492" spans="18:20" x14ac:dyDescent="0.45">
      <c r="R3492" s="2">
        <v>51.68</v>
      </c>
      <c r="S3492" s="2">
        <v>2.8749600000000002E-3</v>
      </c>
      <c r="T3492" s="2">
        <v>2.11736E-3</v>
      </c>
    </row>
    <row r="3493" spans="18:20" x14ac:dyDescent="0.45">
      <c r="R3493" s="2">
        <v>51.69</v>
      </c>
      <c r="S3493" s="2">
        <v>2.8781800000000001E-3</v>
      </c>
      <c r="T3493" s="2">
        <v>2.1193800000000001E-3</v>
      </c>
    </row>
    <row r="3494" spans="18:20" x14ac:dyDescent="0.45">
      <c r="R3494" s="2">
        <v>51.7</v>
      </c>
      <c r="S3494" s="2">
        <v>2.8814000000000001E-3</v>
      </c>
      <c r="T3494" s="2">
        <v>2.1213999999999998E-3</v>
      </c>
    </row>
    <row r="3495" spans="18:20" x14ac:dyDescent="0.45">
      <c r="R3495" s="2">
        <v>51.71</v>
      </c>
      <c r="S3495" s="2">
        <v>2.8846200000000001E-3</v>
      </c>
      <c r="T3495" s="2">
        <v>2.12342E-3</v>
      </c>
    </row>
    <row r="3496" spans="18:20" x14ac:dyDescent="0.45">
      <c r="R3496" s="2">
        <v>51.72</v>
      </c>
      <c r="S3496" s="2">
        <v>2.88784E-3</v>
      </c>
      <c r="T3496" s="2">
        <v>2.1254400000000001E-3</v>
      </c>
    </row>
    <row r="3497" spans="18:20" x14ac:dyDescent="0.45">
      <c r="R3497" s="2">
        <v>51.73</v>
      </c>
      <c r="S3497" s="2">
        <v>2.89106E-3</v>
      </c>
      <c r="T3497" s="2">
        <v>2.1274599999999999E-3</v>
      </c>
    </row>
    <row r="3498" spans="18:20" x14ac:dyDescent="0.45">
      <c r="R3498" s="2">
        <v>51.74</v>
      </c>
      <c r="S3498" s="2">
        <v>2.8942799999999999E-3</v>
      </c>
      <c r="T3498" s="2">
        <v>2.12948E-3</v>
      </c>
    </row>
    <row r="3499" spans="18:20" x14ac:dyDescent="0.45">
      <c r="R3499" s="2">
        <v>51.75</v>
      </c>
      <c r="S3499" s="2">
        <v>2.8974999999999999E-3</v>
      </c>
      <c r="T3499" s="2">
        <v>2.1315000000000001E-3</v>
      </c>
    </row>
    <row r="3500" spans="18:20" x14ac:dyDescent="0.45">
      <c r="R3500" s="2">
        <v>51.76</v>
      </c>
      <c r="S3500" s="2">
        <v>2.9007199999999999E-3</v>
      </c>
      <c r="T3500" s="2">
        <v>2.1335199999999999E-3</v>
      </c>
    </row>
    <row r="3501" spans="18:20" x14ac:dyDescent="0.45">
      <c r="R3501" s="2">
        <v>51.77</v>
      </c>
      <c r="S3501" s="2">
        <v>2.9039399999999998E-3</v>
      </c>
      <c r="T3501" s="2">
        <v>2.13554E-3</v>
      </c>
    </row>
    <row r="3502" spans="18:20" x14ac:dyDescent="0.45">
      <c r="R3502" s="2">
        <v>51.78</v>
      </c>
      <c r="S3502" s="2">
        <v>2.9071600000000002E-3</v>
      </c>
      <c r="T3502" s="2">
        <v>2.1375600000000002E-3</v>
      </c>
    </row>
    <row r="3503" spans="18:20" x14ac:dyDescent="0.45">
      <c r="R3503" s="2">
        <v>51.79</v>
      </c>
      <c r="S3503" s="2">
        <v>2.9103800000000002E-3</v>
      </c>
      <c r="T3503" s="2">
        <v>2.1395799999999999E-3</v>
      </c>
    </row>
    <row r="3504" spans="18:20" x14ac:dyDescent="0.45">
      <c r="R3504" s="2">
        <v>51.8</v>
      </c>
      <c r="S3504" s="2">
        <v>2.9136000000000001E-3</v>
      </c>
      <c r="T3504" s="2">
        <v>2.1416E-3</v>
      </c>
    </row>
    <row r="3505" spans="18:20" x14ac:dyDescent="0.45">
      <c r="R3505" s="2">
        <v>51.81</v>
      </c>
      <c r="S3505" s="2">
        <v>2.9168200000000001E-3</v>
      </c>
      <c r="T3505" s="2">
        <v>2.1436200000000002E-3</v>
      </c>
    </row>
    <row r="3506" spans="18:20" x14ac:dyDescent="0.45">
      <c r="R3506" s="2">
        <v>51.82</v>
      </c>
      <c r="S3506" s="2">
        <v>2.92004E-3</v>
      </c>
      <c r="T3506" s="2">
        <v>2.1456399999999999E-3</v>
      </c>
    </row>
    <row r="3507" spans="18:20" x14ac:dyDescent="0.45">
      <c r="R3507" s="2">
        <v>51.83</v>
      </c>
      <c r="S3507" s="2">
        <v>2.92326E-3</v>
      </c>
      <c r="T3507" s="2">
        <v>2.14766E-3</v>
      </c>
    </row>
    <row r="3508" spans="18:20" x14ac:dyDescent="0.45">
      <c r="R3508" s="2">
        <v>51.84</v>
      </c>
      <c r="S3508" s="2">
        <v>2.92648E-3</v>
      </c>
      <c r="T3508" s="2">
        <v>2.1496800000000002E-3</v>
      </c>
    </row>
    <row r="3509" spans="18:20" x14ac:dyDescent="0.45">
      <c r="R3509" s="2">
        <v>51.85</v>
      </c>
      <c r="S3509" s="2">
        <v>2.9296999999999999E-3</v>
      </c>
      <c r="T3509" s="2">
        <v>2.1516999999999999E-3</v>
      </c>
    </row>
    <row r="3510" spans="18:20" x14ac:dyDescent="0.45">
      <c r="R3510" s="2">
        <v>51.86</v>
      </c>
      <c r="S3510" s="2">
        <v>2.9329199999999999E-3</v>
      </c>
      <c r="T3510" s="2">
        <v>2.15372E-3</v>
      </c>
    </row>
    <row r="3511" spans="18:20" x14ac:dyDescent="0.45">
      <c r="R3511" s="2">
        <v>51.87</v>
      </c>
      <c r="S3511" s="2">
        <v>2.9361399999999998E-3</v>
      </c>
      <c r="T3511" s="2">
        <v>2.1557400000000002E-3</v>
      </c>
    </row>
    <row r="3512" spans="18:20" x14ac:dyDescent="0.45">
      <c r="R3512" s="2">
        <v>51.88</v>
      </c>
      <c r="S3512" s="2">
        <v>2.9393599999999998E-3</v>
      </c>
      <c r="T3512" s="2">
        <v>2.1577599999999999E-3</v>
      </c>
    </row>
    <row r="3513" spans="18:20" x14ac:dyDescent="0.45">
      <c r="R3513" s="2">
        <v>51.89</v>
      </c>
      <c r="S3513" s="2">
        <v>2.9425800000000002E-3</v>
      </c>
      <c r="T3513" s="2">
        <v>2.15978E-3</v>
      </c>
    </row>
    <row r="3514" spans="18:20" x14ac:dyDescent="0.45">
      <c r="R3514" s="2">
        <v>51.9</v>
      </c>
      <c r="S3514" s="2">
        <v>2.9458000000000002E-3</v>
      </c>
      <c r="T3514" s="2">
        <v>2.1618000000000002E-3</v>
      </c>
    </row>
    <row r="3515" spans="18:20" x14ac:dyDescent="0.45">
      <c r="R3515" s="2">
        <v>51.91</v>
      </c>
      <c r="S3515" s="2">
        <v>2.9490200000000001E-3</v>
      </c>
      <c r="T3515" s="2">
        <v>2.1638199999999999E-3</v>
      </c>
    </row>
    <row r="3516" spans="18:20" x14ac:dyDescent="0.45">
      <c r="R3516" s="2">
        <v>51.92</v>
      </c>
      <c r="S3516" s="2">
        <v>2.9522400000000001E-3</v>
      </c>
      <c r="T3516" s="2">
        <v>2.16584E-3</v>
      </c>
    </row>
    <row r="3517" spans="18:20" x14ac:dyDescent="0.45">
      <c r="R3517" s="2">
        <v>51.93</v>
      </c>
      <c r="S3517" s="2">
        <v>2.95546E-3</v>
      </c>
      <c r="T3517" s="2">
        <v>2.1678600000000002E-3</v>
      </c>
    </row>
    <row r="3518" spans="18:20" x14ac:dyDescent="0.45">
      <c r="R3518" s="2">
        <v>51.94</v>
      </c>
      <c r="S3518" s="2">
        <v>2.95868E-3</v>
      </c>
      <c r="T3518" s="2">
        <v>2.1698799999999999E-3</v>
      </c>
    </row>
    <row r="3519" spans="18:20" x14ac:dyDescent="0.45">
      <c r="R3519" s="2">
        <v>51.95</v>
      </c>
      <c r="S3519" s="2">
        <v>2.9618999999999999E-3</v>
      </c>
      <c r="T3519" s="2">
        <v>2.1719E-3</v>
      </c>
    </row>
    <row r="3520" spans="18:20" x14ac:dyDescent="0.45">
      <c r="R3520" s="2">
        <v>51.96</v>
      </c>
      <c r="S3520" s="2">
        <v>2.9651199999999999E-3</v>
      </c>
      <c r="T3520" s="2">
        <v>2.1739200000000002E-3</v>
      </c>
    </row>
    <row r="3521" spans="18:20" x14ac:dyDescent="0.45">
      <c r="R3521" s="2">
        <v>51.97</v>
      </c>
      <c r="S3521" s="2">
        <v>2.9683399999999999E-3</v>
      </c>
      <c r="T3521" s="2">
        <v>2.1759399999999999E-3</v>
      </c>
    </row>
    <row r="3522" spans="18:20" x14ac:dyDescent="0.45">
      <c r="R3522" s="2">
        <v>51.98</v>
      </c>
      <c r="S3522" s="2">
        <v>2.9715599999999998E-3</v>
      </c>
      <c r="T3522" s="2">
        <v>2.1779600000000001E-3</v>
      </c>
    </row>
    <row r="3523" spans="18:20" x14ac:dyDescent="0.45">
      <c r="R3523" s="2">
        <v>51.99</v>
      </c>
      <c r="S3523" s="2">
        <v>2.9747799999999998E-3</v>
      </c>
      <c r="T3523" s="2">
        <v>2.1799800000000002E-3</v>
      </c>
    </row>
    <row r="3524" spans="18:20" x14ac:dyDescent="0.45">
      <c r="R3524" s="2">
        <v>52</v>
      </c>
      <c r="S3524" s="2">
        <v>2.9780000000000002E-3</v>
      </c>
      <c r="T3524" s="2">
        <v>2.1819999999999999E-3</v>
      </c>
    </row>
    <row r="3525" spans="18:20" x14ac:dyDescent="0.45">
      <c r="R3525" s="2">
        <v>52.01</v>
      </c>
      <c r="S3525" s="2">
        <v>2.9816500000000002E-3</v>
      </c>
      <c r="T3525" s="2">
        <v>2.1842400000000001E-3</v>
      </c>
    </row>
    <row r="3526" spans="18:20" x14ac:dyDescent="0.45">
      <c r="R3526" s="2">
        <v>52.02</v>
      </c>
      <c r="S3526" s="2">
        <v>2.9853000000000002E-3</v>
      </c>
      <c r="T3526" s="2">
        <v>2.1864800000000002E-3</v>
      </c>
    </row>
    <row r="3527" spans="18:20" x14ac:dyDescent="0.45">
      <c r="R3527" s="2">
        <v>52.03</v>
      </c>
      <c r="S3527" s="2">
        <v>2.9889500000000002E-3</v>
      </c>
      <c r="T3527" s="2">
        <v>2.1887199999999999E-3</v>
      </c>
    </row>
    <row r="3528" spans="18:20" x14ac:dyDescent="0.45">
      <c r="R3528" s="2">
        <v>52.04</v>
      </c>
      <c r="S3528" s="2">
        <v>2.9926000000000002E-3</v>
      </c>
      <c r="T3528" s="2">
        <v>2.19096E-3</v>
      </c>
    </row>
    <row r="3529" spans="18:20" x14ac:dyDescent="0.45">
      <c r="R3529" s="2">
        <v>52.05</v>
      </c>
      <c r="S3529" s="2">
        <v>2.9962500000000002E-3</v>
      </c>
      <c r="T3529" s="2">
        <v>2.1932000000000002E-3</v>
      </c>
    </row>
    <row r="3530" spans="18:20" x14ac:dyDescent="0.45">
      <c r="R3530" s="2">
        <v>52.06</v>
      </c>
      <c r="S3530" s="2">
        <v>2.9998999999999998E-3</v>
      </c>
      <c r="T3530" s="2">
        <v>2.1954399999999999E-3</v>
      </c>
    </row>
    <row r="3531" spans="18:20" x14ac:dyDescent="0.45">
      <c r="R3531" s="2">
        <v>52.07</v>
      </c>
      <c r="S3531" s="2">
        <v>3.0035499999999998E-3</v>
      </c>
      <c r="T3531" s="2">
        <v>2.19768E-3</v>
      </c>
    </row>
    <row r="3532" spans="18:20" x14ac:dyDescent="0.45">
      <c r="R3532" s="2">
        <v>52.08</v>
      </c>
      <c r="S3532" s="2">
        <v>3.0071999999999998E-3</v>
      </c>
      <c r="T3532" s="2">
        <v>2.1999200000000002E-3</v>
      </c>
    </row>
    <row r="3533" spans="18:20" x14ac:dyDescent="0.45">
      <c r="R3533" s="2">
        <v>52.09</v>
      </c>
      <c r="S3533" s="2">
        <v>3.0108499999999998E-3</v>
      </c>
      <c r="T3533" s="2">
        <v>2.2021599999999999E-3</v>
      </c>
    </row>
    <row r="3534" spans="18:20" x14ac:dyDescent="0.45">
      <c r="R3534" s="2">
        <v>52.1</v>
      </c>
      <c r="S3534" s="2">
        <v>3.0144999999999998E-3</v>
      </c>
      <c r="T3534" s="2">
        <v>2.2044E-3</v>
      </c>
    </row>
    <row r="3535" spans="18:20" x14ac:dyDescent="0.45">
      <c r="R3535" s="2">
        <v>52.11</v>
      </c>
      <c r="S3535" s="2">
        <v>3.0181499999999998E-3</v>
      </c>
      <c r="T3535" s="2">
        <v>2.2066400000000002E-3</v>
      </c>
    </row>
    <row r="3536" spans="18:20" x14ac:dyDescent="0.45">
      <c r="R3536" s="2">
        <v>52.12</v>
      </c>
      <c r="S3536" s="2">
        <v>3.0217999999999998E-3</v>
      </c>
      <c r="T3536" s="2">
        <v>2.2088799999999999E-3</v>
      </c>
    </row>
    <row r="3537" spans="18:20" x14ac:dyDescent="0.45">
      <c r="R3537" s="2">
        <v>52.13</v>
      </c>
      <c r="S3537" s="2">
        <v>3.0254499999999998E-3</v>
      </c>
      <c r="T3537" s="2">
        <v>2.21112E-3</v>
      </c>
    </row>
    <row r="3538" spans="18:20" x14ac:dyDescent="0.45">
      <c r="R3538" s="2">
        <v>52.14</v>
      </c>
      <c r="S3538" s="2">
        <v>3.0290999999999998E-3</v>
      </c>
      <c r="T3538" s="2">
        <v>2.2133600000000002E-3</v>
      </c>
    </row>
    <row r="3539" spans="18:20" x14ac:dyDescent="0.45">
      <c r="R3539" s="2">
        <v>52.15</v>
      </c>
      <c r="S3539" s="2">
        <v>3.0327499999999999E-3</v>
      </c>
      <c r="T3539" s="2">
        <v>2.2155999999999999E-3</v>
      </c>
    </row>
    <row r="3540" spans="18:20" x14ac:dyDescent="0.45">
      <c r="R3540" s="2">
        <v>52.16</v>
      </c>
      <c r="S3540" s="2">
        <v>3.0363999999999999E-3</v>
      </c>
      <c r="T3540" s="2">
        <v>2.21784E-3</v>
      </c>
    </row>
    <row r="3541" spans="18:20" x14ac:dyDescent="0.45">
      <c r="R3541" s="2">
        <v>52.17</v>
      </c>
      <c r="S3541" s="2">
        <v>3.0400499999999999E-3</v>
      </c>
      <c r="T3541" s="2">
        <v>2.2200800000000001E-3</v>
      </c>
    </row>
    <row r="3542" spans="18:20" x14ac:dyDescent="0.45">
      <c r="R3542" s="2">
        <v>52.18</v>
      </c>
      <c r="S3542" s="2">
        <v>3.0436999999999999E-3</v>
      </c>
      <c r="T3542" s="2">
        <v>2.2223199999999999E-3</v>
      </c>
    </row>
    <row r="3543" spans="18:20" x14ac:dyDescent="0.45">
      <c r="R3543" s="2">
        <v>52.19</v>
      </c>
      <c r="S3543" s="2">
        <v>3.0473499999999999E-3</v>
      </c>
      <c r="T3543" s="2">
        <v>2.22456E-3</v>
      </c>
    </row>
    <row r="3544" spans="18:20" x14ac:dyDescent="0.45">
      <c r="R3544" s="2">
        <v>52.2</v>
      </c>
      <c r="S3544" s="2">
        <v>3.0509999999999999E-3</v>
      </c>
      <c r="T3544" s="2">
        <v>2.2268000000000001E-3</v>
      </c>
    </row>
    <row r="3545" spans="18:20" x14ac:dyDescent="0.45">
      <c r="R3545" s="2">
        <v>52.21</v>
      </c>
      <c r="S3545" s="2">
        <v>3.0546499999999999E-3</v>
      </c>
      <c r="T3545" s="2">
        <v>2.2290399999999998E-3</v>
      </c>
    </row>
    <row r="3546" spans="18:20" x14ac:dyDescent="0.45">
      <c r="R3546" s="2">
        <v>52.22</v>
      </c>
      <c r="S3546" s="2">
        <v>3.0582999999999999E-3</v>
      </c>
      <c r="T3546" s="2">
        <v>2.23128E-3</v>
      </c>
    </row>
    <row r="3547" spans="18:20" x14ac:dyDescent="0.45">
      <c r="R3547" s="2">
        <v>52.23</v>
      </c>
      <c r="S3547" s="2">
        <v>3.0619499999999999E-3</v>
      </c>
      <c r="T3547" s="2">
        <v>2.2335200000000001E-3</v>
      </c>
    </row>
    <row r="3548" spans="18:20" x14ac:dyDescent="0.45">
      <c r="R3548" s="2">
        <v>52.24</v>
      </c>
      <c r="S3548" s="2">
        <v>3.0655999999999999E-3</v>
      </c>
      <c r="T3548" s="2">
        <v>2.2357599999999998E-3</v>
      </c>
    </row>
    <row r="3549" spans="18:20" x14ac:dyDescent="0.45">
      <c r="R3549" s="2">
        <v>52.25</v>
      </c>
      <c r="S3549" s="2">
        <v>3.0692499999999999E-3</v>
      </c>
      <c r="T3549" s="2">
        <v>2.238E-3</v>
      </c>
    </row>
    <row r="3550" spans="18:20" x14ac:dyDescent="0.45">
      <c r="R3550" s="2">
        <v>52.26</v>
      </c>
      <c r="S3550" s="2">
        <v>3.0728999999999999E-3</v>
      </c>
      <c r="T3550" s="2">
        <v>2.2402400000000001E-3</v>
      </c>
    </row>
    <row r="3551" spans="18:20" x14ac:dyDescent="0.45">
      <c r="R3551" s="2">
        <v>52.27</v>
      </c>
      <c r="S3551" s="2">
        <v>3.0765499999999999E-3</v>
      </c>
      <c r="T3551" s="2">
        <v>2.2424799999999998E-3</v>
      </c>
    </row>
    <row r="3552" spans="18:20" x14ac:dyDescent="0.45">
      <c r="R3552" s="2">
        <v>52.28</v>
      </c>
      <c r="S3552" s="2">
        <v>3.0802E-3</v>
      </c>
      <c r="T3552" s="2">
        <v>2.24472E-3</v>
      </c>
    </row>
    <row r="3553" spans="18:20" x14ac:dyDescent="0.45">
      <c r="R3553" s="2">
        <v>52.29</v>
      </c>
      <c r="S3553" s="2">
        <v>3.08385E-3</v>
      </c>
      <c r="T3553" s="2">
        <v>2.2469600000000001E-3</v>
      </c>
    </row>
    <row r="3554" spans="18:20" x14ac:dyDescent="0.45">
      <c r="R3554" s="2">
        <v>52.3</v>
      </c>
      <c r="S3554" s="2">
        <v>3.0875E-3</v>
      </c>
      <c r="T3554" s="2">
        <v>2.2491999999999998E-3</v>
      </c>
    </row>
    <row r="3555" spans="18:20" x14ac:dyDescent="0.45">
      <c r="R3555" s="2">
        <v>52.31</v>
      </c>
      <c r="S3555" s="2">
        <v>3.09115E-3</v>
      </c>
      <c r="T3555" s="2">
        <v>2.25144E-3</v>
      </c>
    </row>
    <row r="3556" spans="18:20" x14ac:dyDescent="0.45">
      <c r="R3556" s="2">
        <v>52.32</v>
      </c>
      <c r="S3556" s="2">
        <v>3.0948E-3</v>
      </c>
      <c r="T3556" s="2">
        <v>2.2536800000000001E-3</v>
      </c>
    </row>
    <row r="3557" spans="18:20" x14ac:dyDescent="0.45">
      <c r="R3557" s="2">
        <v>52.33</v>
      </c>
      <c r="S3557" s="2">
        <v>3.09845E-3</v>
      </c>
      <c r="T3557" s="2">
        <v>2.2559199999999998E-3</v>
      </c>
    </row>
    <row r="3558" spans="18:20" x14ac:dyDescent="0.45">
      <c r="R3558" s="2">
        <v>52.34</v>
      </c>
      <c r="S3558" s="2">
        <v>3.1021E-3</v>
      </c>
      <c r="T3558" s="2">
        <v>2.2581599999999999E-3</v>
      </c>
    </row>
    <row r="3559" spans="18:20" x14ac:dyDescent="0.45">
      <c r="R3559" s="2">
        <v>52.35</v>
      </c>
      <c r="S3559" s="2">
        <v>3.10575E-3</v>
      </c>
      <c r="T3559" s="2">
        <v>2.2604000000000001E-3</v>
      </c>
    </row>
    <row r="3560" spans="18:20" x14ac:dyDescent="0.45">
      <c r="R3560" s="2">
        <v>52.36</v>
      </c>
      <c r="S3560" s="2">
        <v>3.1094E-3</v>
      </c>
      <c r="T3560" s="2">
        <v>2.2626399999999998E-3</v>
      </c>
    </row>
    <row r="3561" spans="18:20" x14ac:dyDescent="0.45">
      <c r="R3561" s="2">
        <v>52.37</v>
      </c>
      <c r="S3561" s="2">
        <v>3.11305E-3</v>
      </c>
      <c r="T3561" s="2">
        <v>2.2648799999999999E-3</v>
      </c>
    </row>
    <row r="3562" spans="18:20" x14ac:dyDescent="0.45">
      <c r="R3562" s="2">
        <v>52.38</v>
      </c>
      <c r="S3562" s="2">
        <v>3.1167E-3</v>
      </c>
      <c r="T3562" s="2">
        <v>2.2671200000000001E-3</v>
      </c>
    </row>
    <row r="3563" spans="18:20" x14ac:dyDescent="0.45">
      <c r="R3563" s="2">
        <v>52.39</v>
      </c>
      <c r="S3563" s="2">
        <v>3.12035E-3</v>
      </c>
      <c r="T3563" s="2">
        <v>2.2693600000000002E-3</v>
      </c>
    </row>
    <row r="3564" spans="18:20" x14ac:dyDescent="0.45">
      <c r="R3564" s="2">
        <v>52.4</v>
      </c>
      <c r="S3564" s="2">
        <v>3.124E-3</v>
      </c>
      <c r="T3564" s="2">
        <v>2.2715999999999999E-3</v>
      </c>
    </row>
    <row r="3565" spans="18:20" x14ac:dyDescent="0.45">
      <c r="R3565" s="2">
        <v>52.41</v>
      </c>
      <c r="S3565" s="2">
        <v>3.12765E-3</v>
      </c>
      <c r="T3565" s="2">
        <v>2.2738400000000001E-3</v>
      </c>
    </row>
    <row r="3566" spans="18:20" x14ac:dyDescent="0.45">
      <c r="R3566" s="2">
        <v>52.42</v>
      </c>
      <c r="S3566" s="2">
        <v>3.1313000000000001E-3</v>
      </c>
      <c r="T3566" s="2">
        <v>2.2760800000000002E-3</v>
      </c>
    </row>
    <row r="3567" spans="18:20" x14ac:dyDescent="0.45">
      <c r="R3567" s="2">
        <v>52.43</v>
      </c>
      <c r="S3567" s="2">
        <v>3.1349500000000001E-3</v>
      </c>
      <c r="T3567" s="2">
        <v>2.2783199999999999E-3</v>
      </c>
    </row>
    <row r="3568" spans="18:20" x14ac:dyDescent="0.45">
      <c r="R3568" s="2">
        <v>52.44</v>
      </c>
      <c r="S3568" s="2">
        <v>3.1386000000000001E-3</v>
      </c>
      <c r="T3568" s="2">
        <v>2.2805600000000001E-3</v>
      </c>
    </row>
    <row r="3569" spans="18:20" x14ac:dyDescent="0.45">
      <c r="R3569" s="2">
        <v>52.45</v>
      </c>
      <c r="S3569" s="2">
        <v>3.1422500000000001E-3</v>
      </c>
      <c r="T3569" s="2">
        <v>2.2828000000000002E-3</v>
      </c>
    </row>
    <row r="3570" spans="18:20" x14ac:dyDescent="0.45">
      <c r="R3570" s="2">
        <v>52.46</v>
      </c>
      <c r="S3570" s="2">
        <v>3.1459000000000001E-3</v>
      </c>
      <c r="T3570" s="2">
        <v>2.2850399999999999E-3</v>
      </c>
    </row>
    <row r="3571" spans="18:20" x14ac:dyDescent="0.45">
      <c r="R3571" s="2">
        <v>52.47</v>
      </c>
      <c r="S3571" s="2">
        <v>3.1495500000000001E-3</v>
      </c>
      <c r="T3571" s="2">
        <v>2.28728E-3</v>
      </c>
    </row>
    <row r="3572" spans="18:20" x14ac:dyDescent="0.45">
      <c r="R3572" s="2">
        <v>52.48</v>
      </c>
      <c r="S3572" s="2">
        <v>3.1532000000000001E-3</v>
      </c>
      <c r="T3572" s="2">
        <v>2.2895200000000002E-3</v>
      </c>
    </row>
    <row r="3573" spans="18:20" x14ac:dyDescent="0.45">
      <c r="R3573" s="2">
        <v>52.49</v>
      </c>
      <c r="S3573" s="2">
        <v>3.1568500000000001E-3</v>
      </c>
      <c r="T3573" s="2">
        <v>2.2917599999999999E-3</v>
      </c>
    </row>
    <row r="3574" spans="18:20" x14ac:dyDescent="0.45">
      <c r="R3574" s="2">
        <v>52.5</v>
      </c>
      <c r="S3574" s="2">
        <v>3.1605000000000001E-3</v>
      </c>
      <c r="T3574" s="2">
        <v>2.294E-3</v>
      </c>
    </row>
    <row r="3575" spans="18:20" x14ac:dyDescent="0.45">
      <c r="R3575" s="2">
        <v>52.51</v>
      </c>
      <c r="S3575" s="2">
        <v>3.1641500000000001E-3</v>
      </c>
      <c r="T3575" s="2">
        <v>2.2962400000000002E-3</v>
      </c>
    </row>
    <row r="3576" spans="18:20" x14ac:dyDescent="0.45">
      <c r="R3576" s="2">
        <v>52.52</v>
      </c>
      <c r="S3576" s="2">
        <v>3.1678000000000001E-3</v>
      </c>
      <c r="T3576" s="2">
        <v>2.2984799999999999E-3</v>
      </c>
    </row>
    <row r="3577" spans="18:20" x14ac:dyDescent="0.45">
      <c r="R3577" s="2">
        <v>52.53</v>
      </c>
      <c r="S3577" s="2">
        <v>3.1714500000000001E-3</v>
      </c>
      <c r="T3577" s="2">
        <v>2.30072E-3</v>
      </c>
    </row>
    <row r="3578" spans="18:20" x14ac:dyDescent="0.45">
      <c r="R3578" s="2">
        <v>52.54</v>
      </c>
      <c r="S3578" s="2">
        <v>3.1751000000000001E-3</v>
      </c>
      <c r="T3578" s="2">
        <v>2.3029600000000002E-3</v>
      </c>
    </row>
    <row r="3579" spans="18:20" x14ac:dyDescent="0.45">
      <c r="R3579" s="2">
        <v>52.55</v>
      </c>
      <c r="S3579" s="2">
        <v>3.1787500000000002E-3</v>
      </c>
      <c r="T3579" s="2">
        <v>2.3051999999999999E-3</v>
      </c>
    </row>
    <row r="3580" spans="18:20" x14ac:dyDescent="0.45">
      <c r="R3580" s="2">
        <v>52.56</v>
      </c>
      <c r="S3580" s="2">
        <v>3.1824000000000002E-3</v>
      </c>
      <c r="T3580" s="2">
        <v>2.30744E-3</v>
      </c>
    </row>
    <row r="3581" spans="18:20" x14ac:dyDescent="0.45">
      <c r="R3581" s="2">
        <v>52.57</v>
      </c>
      <c r="S3581" s="2">
        <v>3.1860500000000002E-3</v>
      </c>
      <c r="T3581" s="2">
        <v>2.3096800000000002E-3</v>
      </c>
    </row>
    <row r="3582" spans="18:20" x14ac:dyDescent="0.45">
      <c r="R3582" s="2">
        <v>52.58</v>
      </c>
      <c r="S3582" s="2">
        <v>3.1897000000000002E-3</v>
      </c>
      <c r="T3582" s="2">
        <v>2.3119199999999999E-3</v>
      </c>
    </row>
    <row r="3583" spans="18:20" x14ac:dyDescent="0.45">
      <c r="R3583" s="2">
        <v>52.59</v>
      </c>
      <c r="S3583" s="2">
        <v>3.1933500000000002E-3</v>
      </c>
      <c r="T3583" s="2">
        <v>2.31416E-3</v>
      </c>
    </row>
    <row r="3584" spans="18:20" x14ac:dyDescent="0.45">
      <c r="R3584" s="2">
        <v>52.6</v>
      </c>
      <c r="S3584" s="2">
        <v>3.1970000000000002E-3</v>
      </c>
      <c r="T3584" s="2">
        <v>2.3164000000000001E-3</v>
      </c>
    </row>
    <row r="3585" spans="18:20" x14ac:dyDescent="0.45">
      <c r="R3585" s="2">
        <v>52.61</v>
      </c>
      <c r="S3585" s="2">
        <v>3.2006500000000002E-3</v>
      </c>
      <c r="T3585" s="2">
        <v>2.3186399999999999E-3</v>
      </c>
    </row>
    <row r="3586" spans="18:20" x14ac:dyDescent="0.45">
      <c r="R3586" s="2">
        <v>52.62</v>
      </c>
      <c r="S3586" s="2">
        <v>3.2043000000000002E-3</v>
      </c>
      <c r="T3586" s="2">
        <v>2.32088E-3</v>
      </c>
    </row>
    <row r="3587" spans="18:20" x14ac:dyDescent="0.45">
      <c r="R3587" s="2">
        <v>52.63</v>
      </c>
      <c r="S3587" s="2">
        <v>3.2079500000000002E-3</v>
      </c>
      <c r="T3587" s="2">
        <v>2.3231200000000001E-3</v>
      </c>
    </row>
    <row r="3588" spans="18:20" x14ac:dyDescent="0.45">
      <c r="R3588" s="2">
        <v>52.64</v>
      </c>
      <c r="S3588" s="2">
        <v>3.2115999999999998E-3</v>
      </c>
      <c r="T3588" s="2">
        <v>2.3253599999999998E-3</v>
      </c>
    </row>
    <row r="3589" spans="18:20" x14ac:dyDescent="0.45">
      <c r="R3589" s="2">
        <v>52.65</v>
      </c>
      <c r="S3589" s="2">
        <v>3.2152499999999998E-3</v>
      </c>
      <c r="T3589" s="2">
        <v>2.3276E-3</v>
      </c>
    </row>
    <row r="3590" spans="18:20" x14ac:dyDescent="0.45">
      <c r="R3590" s="2">
        <v>52.66</v>
      </c>
      <c r="S3590" s="2">
        <v>3.2188999999999998E-3</v>
      </c>
      <c r="T3590" s="2">
        <v>2.3298400000000001E-3</v>
      </c>
    </row>
    <row r="3591" spans="18:20" x14ac:dyDescent="0.45">
      <c r="R3591" s="2">
        <v>52.67</v>
      </c>
      <c r="S3591" s="2">
        <v>3.2225499999999998E-3</v>
      </c>
      <c r="T3591" s="2">
        <v>2.3320799999999998E-3</v>
      </c>
    </row>
    <row r="3592" spans="18:20" x14ac:dyDescent="0.45">
      <c r="R3592" s="2">
        <v>52.68</v>
      </c>
      <c r="S3592" s="2">
        <v>3.2261999999999998E-3</v>
      </c>
      <c r="T3592" s="2">
        <v>2.33432E-3</v>
      </c>
    </row>
    <row r="3593" spans="18:20" x14ac:dyDescent="0.45">
      <c r="R3593" s="2">
        <v>52.69</v>
      </c>
      <c r="S3593" s="2">
        <v>3.2298499999999998E-3</v>
      </c>
      <c r="T3593" s="2">
        <v>2.3365600000000001E-3</v>
      </c>
    </row>
    <row r="3594" spans="18:20" x14ac:dyDescent="0.45">
      <c r="R3594" s="2">
        <v>52.7</v>
      </c>
      <c r="S3594" s="2">
        <v>3.2334999999999998E-3</v>
      </c>
      <c r="T3594" s="2">
        <v>2.3387999999999998E-3</v>
      </c>
    </row>
    <row r="3595" spans="18:20" x14ac:dyDescent="0.45">
      <c r="R3595" s="2">
        <v>52.71</v>
      </c>
      <c r="S3595" s="2">
        <v>3.2371499999999998E-3</v>
      </c>
      <c r="T3595" s="2">
        <v>2.34104E-3</v>
      </c>
    </row>
    <row r="3596" spans="18:20" x14ac:dyDescent="0.45">
      <c r="R3596" s="2">
        <v>52.72</v>
      </c>
      <c r="S3596" s="2">
        <v>3.2407999999999998E-3</v>
      </c>
      <c r="T3596" s="2">
        <v>2.3432800000000001E-3</v>
      </c>
    </row>
    <row r="3597" spans="18:20" x14ac:dyDescent="0.45">
      <c r="R3597" s="2">
        <v>52.73</v>
      </c>
      <c r="S3597" s="2">
        <v>3.2444499999999999E-3</v>
      </c>
      <c r="T3597" s="2">
        <v>2.3455199999999998E-3</v>
      </c>
    </row>
    <row r="3598" spans="18:20" x14ac:dyDescent="0.45">
      <c r="R3598" s="2">
        <v>52.74</v>
      </c>
      <c r="S3598" s="2">
        <v>3.2480999999999999E-3</v>
      </c>
      <c r="T3598" s="2">
        <v>2.34776E-3</v>
      </c>
    </row>
    <row r="3599" spans="18:20" x14ac:dyDescent="0.45">
      <c r="R3599" s="2">
        <v>52.75</v>
      </c>
      <c r="S3599" s="2">
        <v>3.2517499999999999E-3</v>
      </c>
      <c r="T3599" s="2">
        <v>2.3500000000000001E-3</v>
      </c>
    </row>
    <row r="3600" spans="18:20" x14ac:dyDescent="0.45">
      <c r="R3600" s="2">
        <v>52.76</v>
      </c>
      <c r="S3600" s="2">
        <v>3.2553999999999999E-3</v>
      </c>
      <c r="T3600" s="2">
        <v>2.3522399999999998E-3</v>
      </c>
    </row>
    <row r="3601" spans="18:20" x14ac:dyDescent="0.45">
      <c r="R3601" s="2">
        <v>52.77</v>
      </c>
      <c r="S3601" s="2">
        <v>3.2590499999999999E-3</v>
      </c>
      <c r="T3601" s="2">
        <v>2.3544799999999999E-3</v>
      </c>
    </row>
    <row r="3602" spans="18:20" x14ac:dyDescent="0.45">
      <c r="R3602" s="2">
        <v>52.78</v>
      </c>
      <c r="S3602" s="2">
        <v>3.2626999999999999E-3</v>
      </c>
      <c r="T3602" s="2">
        <v>2.3567200000000001E-3</v>
      </c>
    </row>
    <row r="3603" spans="18:20" x14ac:dyDescent="0.45">
      <c r="R3603" s="2">
        <v>52.79</v>
      </c>
      <c r="S3603" s="2">
        <v>3.2663499999999999E-3</v>
      </c>
      <c r="T3603" s="2">
        <v>2.3589599999999998E-3</v>
      </c>
    </row>
    <row r="3604" spans="18:20" x14ac:dyDescent="0.45">
      <c r="R3604" s="2">
        <v>52.8</v>
      </c>
      <c r="S3604" s="2">
        <v>3.2699999999999999E-3</v>
      </c>
      <c r="T3604" s="2">
        <v>2.3611999999999999E-3</v>
      </c>
    </row>
    <row r="3605" spans="18:20" x14ac:dyDescent="0.45">
      <c r="R3605" s="2">
        <v>52.81</v>
      </c>
      <c r="S3605" s="2">
        <v>3.2736499999999999E-3</v>
      </c>
      <c r="T3605" s="2">
        <v>2.3634400000000001E-3</v>
      </c>
    </row>
    <row r="3606" spans="18:20" x14ac:dyDescent="0.45">
      <c r="R3606" s="2">
        <v>52.82</v>
      </c>
      <c r="S3606" s="2">
        <v>3.2772999999999999E-3</v>
      </c>
      <c r="T3606" s="2">
        <v>2.3656800000000002E-3</v>
      </c>
    </row>
    <row r="3607" spans="18:20" x14ac:dyDescent="0.45">
      <c r="R3607" s="2">
        <v>52.83</v>
      </c>
      <c r="S3607" s="2">
        <v>3.2809499999999999E-3</v>
      </c>
      <c r="T3607" s="2">
        <v>2.3679199999999999E-3</v>
      </c>
    </row>
    <row r="3608" spans="18:20" x14ac:dyDescent="0.45">
      <c r="R3608" s="2">
        <v>52.84</v>
      </c>
      <c r="S3608" s="2">
        <v>3.2845999999999999E-3</v>
      </c>
      <c r="T3608" s="2">
        <v>2.3701600000000001E-3</v>
      </c>
    </row>
    <row r="3609" spans="18:20" x14ac:dyDescent="0.45">
      <c r="R3609" s="2">
        <v>52.85</v>
      </c>
      <c r="S3609" s="2">
        <v>3.2882499999999999E-3</v>
      </c>
      <c r="T3609" s="2">
        <v>2.3724000000000002E-3</v>
      </c>
    </row>
    <row r="3610" spans="18:20" x14ac:dyDescent="0.45">
      <c r="R3610" s="2">
        <v>52.86</v>
      </c>
      <c r="S3610" s="2">
        <v>3.2918999999999999E-3</v>
      </c>
      <c r="T3610" s="2">
        <v>2.3746399999999999E-3</v>
      </c>
    </row>
    <row r="3611" spans="18:20" x14ac:dyDescent="0.45">
      <c r="R3611" s="2">
        <v>52.87</v>
      </c>
      <c r="S3611" s="2">
        <v>3.29555E-3</v>
      </c>
      <c r="T3611" s="2">
        <v>2.3768800000000001E-3</v>
      </c>
    </row>
    <row r="3612" spans="18:20" x14ac:dyDescent="0.45">
      <c r="R3612" s="2">
        <v>52.88</v>
      </c>
      <c r="S3612" s="2">
        <v>3.2992E-3</v>
      </c>
      <c r="T3612" s="2">
        <v>2.3791200000000002E-3</v>
      </c>
    </row>
    <row r="3613" spans="18:20" x14ac:dyDescent="0.45">
      <c r="R3613" s="2">
        <v>52.89</v>
      </c>
      <c r="S3613" s="2">
        <v>3.30285E-3</v>
      </c>
      <c r="T3613" s="2">
        <v>2.3813599999999999E-3</v>
      </c>
    </row>
    <row r="3614" spans="18:20" x14ac:dyDescent="0.45">
      <c r="R3614" s="2">
        <v>52.9</v>
      </c>
      <c r="S3614" s="2">
        <v>3.3065E-3</v>
      </c>
      <c r="T3614" s="2">
        <v>2.3836E-3</v>
      </c>
    </row>
    <row r="3615" spans="18:20" x14ac:dyDescent="0.45">
      <c r="R3615" s="2">
        <v>52.91</v>
      </c>
      <c r="S3615" s="2">
        <v>3.31015E-3</v>
      </c>
      <c r="T3615" s="2">
        <v>2.3858400000000002E-3</v>
      </c>
    </row>
    <row r="3616" spans="18:20" x14ac:dyDescent="0.45">
      <c r="R3616" s="2">
        <v>52.92</v>
      </c>
      <c r="S3616" s="2">
        <v>3.3138E-3</v>
      </c>
      <c r="T3616" s="2">
        <v>2.3880799999999999E-3</v>
      </c>
    </row>
    <row r="3617" spans="18:20" x14ac:dyDescent="0.45">
      <c r="R3617" s="2">
        <v>52.93</v>
      </c>
      <c r="S3617" s="2">
        <v>3.31745E-3</v>
      </c>
      <c r="T3617" s="2">
        <v>2.39032E-3</v>
      </c>
    </row>
    <row r="3618" spans="18:20" x14ac:dyDescent="0.45">
      <c r="R3618" s="2">
        <v>52.94</v>
      </c>
      <c r="S3618" s="2">
        <v>3.3211E-3</v>
      </c>
      <c r="T3618" s="2">
        <v>2.3925600000000002E-3</v>
      </c>
    </row>
    <row r="3619" spans="18:20" x14ac:dyDescent="0.45">
      <c r="R3619" s="2">
        <v>52.95</v>
      </c>
      <c r="S3619" s="2">
        <v>3.32475E-3</v>
      </c>
      <c r="T3619" s="2">
        <v>2.3947999999999999E-3</v>
      </c>
    </row>
    <row r="3620" spans="18:20" x14ac:dyDescent="0.45">
      <c r="R3620" s="2">
        <v>52.96</v>
      </c>
      <c r="S3620" s="2">
        <v>3.3284E-3</v>
      </c>
      <c r="T3620" s="2">
        <v>2.39704E-3</v>
      </c>
    </row>
    <row r="3621" spans="18:20" x14ac:dyDescent="0.45">
      <c r="R3621" s="2">
        <v>52.97</v>
      </c>
      <c r="S3621" s="2">
        <v>3.33205E-3</v>
      </c>
      <c r="T3621" s="2">
        <v>2.3992800000000002E-3</v>
      </c>
    </row>
    <row r="3622" spans="18:20" x14ac:dyDescent="0.45">
      <c r="R3622" s="2">
        <v>52.98</v>
      </c>
      <c r="S3622" s="2">
        <v>3.3357E-3</v>
      </c>
      <c r="T3622" s="2">
        <v>2.4015199999999999E-3</v>
      </c>
    </row>
    <row r="3623" spans="18:20" x14ac:dyDescent="0.45">
      <c r="R3623" s="2">
        <v>52.99</v>
      </c>
      <c r="S3623" s="2">
        <v>3.33935E-3</v>
      </c>
      <c r="T3623" s="2">
        <v>2.40376E-3</v>
      </c>
    </row>
    <row r="3624" spans="18:20" x14ac:dyDescent="0.45">
      <c r="R3624" s="2">
        <v>53</v>
      </c>
      <c r="S3624" s="2">
        <v>3.3430000000000001E-3</v>
      </c>
      <c r="T3624" s="2">
        <v>2.4060000000000002E-3</v>
      </c>
    </row>
    <row r="3625" spans="18:20" x14ac:dyDescent="0.45">
      <c r="R3625" s="2">
        <v>53.01</v>
      </c>
      <c r="S3625" s="2">
        <v>3.3471299999999998E-3</v>
      </c>
      <c r="T3625" s="2">
        <v>2.4084900000000001E-3</v>
      </c>
    </row>
    <row r="3626" spans="18:20" x14ac:dyDescent="0.45">
      <c r="R3626" s="2">
        <v>53.02</v>
      </c>
      <c r="S3626" s="2">
        <v>3.35126E-3</v>
      </c>
      <c r="T3626" s="2">
        <v>2.4109800000000001E-3</v>
      </c>
    </row>
    <row r="3627" spans="18:20" x14ac:dyDescent="0.45">
      <c r="R3627" s="2">
        <v>53.03</v>
      </c>
      <c r="S3627" s="2">
        <v>3.3553900000000002E-3</v>
      </c>
      <c r="T3627" s="2">
        <v>2.41347E-3</v>
      </c>
    </row>
    <row r="3628" spans="18:20" x14ac:dyDescent="0.45">
      <c r="R3628" s="2">
        <v>53.04</v>
      </c>
      <c r="S3628" s="2">
        <v>3.35952E-3</v>
      </c>
      <c r="T3628" s="2">
        <v>2.41596E-3</v>
      </c>
    </row>
    <row r="3629" spans="18:20" x14ac:dyDescent="0.45">
      <c r="R3629" s="2">
        <v>53.05</v>
      </c>
      <c r="S3629" s="2">
        <v>3.3636500000000001E-3</v>
      </c>
      <c r="T3629" s="2">
        <v>2.4184499999999999E-3</v>
      </c>
    </row>
    <row r="3630" spans="18:20" x14ac:dyDescent="0.45">
      <c r="R3630" s="2">
        <v>53.06</v>
      </c>
      <c r="S3630" s="2">
        <v>3.3677799999999999E-3</v>
      </c>
      <c r="T3630" s="2">
        <v>2.4209399999999999E-3</v>
      </c>
    </row>
    <row r="3631" spans="18:20" x14ac:dyDescent="0.45">
      <c r="R3631" s="2">
        <v>53.07</v>
      </c>
      <c r="S3631" s="2">
        <v>3.3719100000000001E-3</v>
      </c>
      <c r="T3631" s="2">
        <v>2.4234299999999999E-3</v>
      </c>
    </row>
    <row r="3632" spans="18:20" x14ac:dyDescent="0.45">
      <c r="R3632" s="2">
        <v>53.08</v>
      </c>
      <c r="S3632" s="2">
        <v>3.3760399999999999E-3</v>
      </c>
      <c r="T3632" s="2">
        <v>2.4259199999999998E-3</v>
      </c>
    </row>
    <row r="3633" spans="18:20" x14ac:dyDescent="0.45">
      <c r="R3633" s="2">
        <v>53.09</v>
      </c>
      <c r="S3633" s="2">
        <v>3.38017E-3</v>
      </c>
      <c r="T3633" s="2">
        <v>2.4284100000000002E-3</v>
      </c>
    </row>
    <row r="3634" spans="18:20" x14ac:dyDescent="0.45">
      <c r="R3634" s="2">
        <v>53.1</v>
      </c>
      <c r="S3634" s="2">
        <v>3.3842999999999998E-3</v>
      </c>
      <c r="T3634" s="2">
        <v>2.4309000000000002E-3</v>
      </c>
    </row>
    <row r="3635" spans="18:20" x14ac:dyDescent="0.45">
      <c r="R3635" s="2">
        <v>53.11</v>
      </c>
      <c r="S3635" s="2">
        <v>3.38843E-3</v>
      </c>
      <c r="T3635" s="2">
        <v>2.4333900000000001E-3</v>
      </c>
    </row>
    <row r="3636" spans="18:20" x14ac:dyDescent="0.45">
      <c r="R3636" s="2">
        <v>53.12</v>
      </c>
      <c r="S3636" s="2">
        <v>3.3925600000000002E-3</v>
      </c>
      <c r="T3636" s="2">
        <v>2.4358800000000001E-3</v>
      </c>
    </row>
    <row r="3637" spans="18:20" x14ac:dyDescent="0.45">
      <c r="R3637" s="2">
        <v>53.13</v>
      </c>
      <c r="S3637" s="2">
        <v>3.39669E-3</v>
      </c>
      <c r="T3637" s="2">
        <v>2.43837E-3</v>
      </c>
    </row>
    <row r="3638" spans="18:20" x14ac:dyDescent="0.45">
      <c r="R3638" s="2">
        <v>53.14</v>
      </c>
      <c r="S3638" s="2">
        <v>3.4008200000000001E-3</v>
      </c>
      <c r="T3638" s="2">
        <v>2.44086E-3</v>
      </c>
    </row>
    <row r="3639" spans="18:20" x14ac:dyDescent="0.45">
      <c r="R3639" s="2">
        <v>53.15</v>
      </c>
      <c r="S3639" s="2">
        <v>3.4049499999999999E-3</v>
      </c>
      <c r="T3639" s="2">
        <v>2.4433499999999999E-3</v>
      </c>
    </row>
    <row r="3640" spans="18:20" x14ac:dyDescent="0.45">
      <c r="R3640" s="2">
        <v>53.16</v>
      </c>
      <c r="S3640" s="2">
        <v>3.4090800000000001E-3</v>
      </c>
      <c r="T3640" s="2">
        <v>2.4458399999999999E-3</v>
      </c>
    </row>
    <row r="3641" spans="18:20" x14ac:dyDescent="0.45">
      <c r="R3641" s="2">
        <v>53.17</v>
      </c>
      <c r="S3641" s="2">
        <v>3.4132099999999999E-3</v>
      </c>
      <c r="T3641" s="2">
        <v>2.4483299999999999E-3</v>
      </c>
    </row>
    <row r="3642" spans="18:20" x14ac:dyDescent="0.45">
      <c r="R3642" s="2">
        <v>53.18</v>
      </c>
      <c r="S3642" s="2">
        <v>3.41734E-3</v>
      </c>
      <c r="T3642" s="2">
        <v>2.4508199999999998E-3</v>
      </c>
    </row>
    <row r="3643" spans="18:20" x14ac:dyDescent="0.45">
      <c r="R3643" s="2">
        <v>53.19</v>
      </c>
      <c r="S3643" s="2">
        <v>3.4214699999999998E-3</v>
      </c>
      <c r="T3643" s="2">
        <v>2.4533100000000002E-3</v>
      </c>
    </row>
    <row r="3644" spans="18:20" x14ac:dyDescent="0.45">
      <c r="R3644" s="2">
        <v>53.2</v>
      </c>
      <c r="S3644" s="2">
        <v>3.4256E-3</v>
      </c>
      <c r="T3644" s="2">
        <v>2.4558000000000002E-3</v>
      </c>
    </row>
    <row r="3645" spans="18:20" x14ac:dyDescent="0.45">
      <c r="R3645" s="2">
        <v>53.21</v>
      </c>
      <c r="S3645" s="2">
        <v>3.4297300000000002E-3</v>
      </c>
      <c r="T3645" s="2">
        <v>2.4582900000000001E-3</v>
      </c>
    </row>
    <row r="3646" spans="18:20" x14ac:dyDescent="0.45">
      <c r="R3646" s="2">
        <v>53.22</v>
      </c>
      <c r="S3646" s="2">
        <v>3.43386E-3</v>
      </c>
      <c r="T3646" s="2">
        <v>2.4607800000000001E-3</v>
      </c>
    </row>
    <row r="3647" spans="18:20" x14ac:dyDescent="0.45">
      <c r="R3647" s="2">
        <v>53.23</v>
      </c>
      <c r="S3647" s="2">
        <v>3.4379900000000001E-3</v>
      </c>
      <c r="T3647" s="2">
        <v>2.46327E-3</v>
      </c>
    </row>
    <row r="3648" spans="18:20" x14ac:dyDescent="0.45">
      <c r="R3648" s="2">
        <v>53.24</v>
      </c>
      <c r="S3648" s="2">
        <v>3.4421199999999999E-3</v>
      </c>
      <c r="T3648" s="2">
        <v>2.46576E-3</v>
      </c>
    </row>
    <row r="3649" spans="18:20" x14ac:dyDescent="0.45">
      <c r="R3649" s="2">
        <v>53.25</v>
      </c>
      <c r="S3649" s="2">
        <v>3.4462500000000001E-3</v>
      </c>
      <c r="T3649" s="2">
        <v>2.46825E-3</v>
      </c>
    </row>
    <row r="3650" spans="18:20" x14ac:dyDescent="0.45">
      <c r="R3650" s="2">
        <v>53.26</v>
      </c>
      <c r="S3650" s="2">
        <v>3.4503799999999999E-3</v>
      </c>
      <c r="T3650" s="2">
        <v>2.4707399999999999E-3</v>
      </c>
    </row>
    <row r="3651" spans="18:20" x14ac:dyDescent="0.45">
      <c r="R3651" s="2">
        <v>53.27</v>
      </c>
      <c r="S3651" s="2">
        <v>3.45451E-3</v>
      </c>
      <c r="T3651" s="2">
        <v>2.4732299999999999E-3</v>
      </c>
    </row>
    <row r="3652" spans="18:20" x14ac:dyDescent="0.45">
      <c r="R3652" s="2">
        <v>53.28</v>
      </c>
      <c r="S3652" s="2">
        <v>3.4586399999999998E-3</v>
      </c>
      <c r="T3652" s="2">
        <v>2.4757199999999998E-3</v>
      </c>
    </row>
    <row r="3653" spans="18:20" x14ac:dyDescent="0.45">
      <c r="R3653" s="2">
        <v>53.29</v>
      </c>
      <c r="S3653" s="2">
        <v>3.46277E-3</v>
      </c>
      <c r="T3653" s="2">
        <v>2.4782099999999998E-3</v>
      </c>
    </row>
    <row r="3654" spans="18:20" x14ac:dyDescent="0.45">
      <c r="R3654" s="2">
        <v>53.3</v>
      </c>
      <c r="S3654" s="2">
        <v>3.4669000000000002E-3</v>
      </c>
      <c r="T3654" s="2">
        <v>2.4807000000000002E-3</v>
      </c>
    </row>
    <row r="3655" spans="18:20" x14ac:dyDescent="0.45">
      <c r="R3655" s="2">
        <v>53.31</v>
      </c>
      <c r="S3655" s="2">
        <v>3.4710299999999999E-3</v>
      </c>
      <c r="T3655" s="2">
        <v>2.4831900000000001E-3</v>
      </c>
    </row>
    <row r="3656" spans="18:20" x14ac:dyDescent="0.45">
      <c r="R3656" s="2">
        <v>53.32</v>
      </c>
      <c r="S3656" s="2">
        <v>3.4751600000000001E-3</v>
      </c>
      <c r="T3656" s="2">
        <v>2.4856800000000001E-3</v>
      </c>
    </row>
    <row r="3657" spans="18:20" x14ac:dyDescent="0.45">
      <c r="R3657" s="2">
        <v>53.33</v>
      </c>
      <c r="S3657" s="2">
        <v>3.4792899999999999E-3</v>
      </c>
      <c r="T3657" s="2">
        <v>2.4881700000000001E-3</v>
      </c>
    </row>
    <row r="3658" spans="18:20" x14ac:dyDescent="0.45">
      <c r="R3658" s="2">
        <v>53.34</v>
      </c>
      <c r="S3658" s="2">
        <v>3.4834200000000001E-3</v>
      </c>
      <c r="T3658" s="2">
        <v>2.49066E-3</v>
      </c>
    </row>
    <row r="3659" spans="18:20" x14ac:dyDescent="0.45">
      <c r="R3659" s="2">
        <v>53.35</v>
      </c>
      <c r="S3659" s="2">
        <v>3.4875499999999999E-3</v>
      </c>
      <c r="T3659" s="2">
        <v>2.49315E-3</v>
      </c>
    </row>
    <row r="3660" spans="18:20" x14ac:dyDescent="0.45">
      <c r="R3660" s="2">
        <v>53.36</v>
      </c>
      <c r="S3660" s="2">
        <v>3.49168E-3</v>
      </c>
      <c r="T3660" s="2">
        <v>2.4956399999999999E-3</v>
      </c>
    </row>
    <row r="3661" spans="18:20" x14ac:dyDescent="0.45">
      <c r="R3661" s="2">
        <v>53.37</v>
      </c>
      <c r="S3661" s="2">
        <v>3.4958099999999998E-3</v>
      </c>
      <c r="T3661" s="2">
        <v>2.4981299999999999E-3</v>
      </c>
    </row>
    <row r="3662" spans="18:20" x14ac:dyDescent="0.45">
      <c r="R3662" s="2">
        <v>53.38</v>
      </c>
      <c r="S3662" s="2">
        <v>3.49994E-3</v>
      </c>
      <c r="T3662" s="2">
        <v>2.5006199999999998E-3</v>
      </c>
    </row>
    <row r="3663" spans="18:20" x14ac:dyDescent="0.45">
      <c r="R3663" s="2">
        <v>53.39</v>
      </c>
      <c r="S3663" s="2">
        <v>3.5040700000000002E-3</v>
      </c>
      <c r="T3663" s="2">
        <v>2.5031099999999998E-3</v>
      </c>
    </row>
    <row r="3664" spans="18:20" x14ac:dyDescent="0.45">
      <c r="R3664" s="2">
        <v>53.4</v>
      </c>
      <c r="S3664" s="2">
        <v>3.5081999999999999E-3</v>
      </c>
      <c r="T3664" s="2">
        <v>2.5056000000000002E-3</v>
      </c>
    </row>
    <row r="3665" spans="18:20" x14ac:dyDescent="0.45">
      <c r="R3665" s="2">
        <v>53.41</v>
      </c>
      <c r="S3665" s="2">
        <v>3.5123300000000001E-3</v>
      </c>
      <c r="T3665" s="2">
        <v>2.5080900000000001E-3</v>
      </c>
    </row>
    <row r="3666" spans="18:20" x14ac:dyDescent="0.45">
      <c r="R3666" s="2">
        <v>53.42</v>
      </c>
      <c r="S3666" s="2">
        <v>3.5164599999999999E-3</v>
      </c>
      <c r="T3666" s="2">
        <v>2.5105800000000001E-3</v>
      </c>
    </row>
    <row r="3667" spans="18:20" x14ac:dyDescent="0.45">
      <c r="R3667" s="2">
        <v>53.43</v>
      </c>
      <c r="S3667" s="2">
        <v>3.5205900000000001E-3</v>
      </c>
      <c r="T3667" s="2">
        <v>2.5130700000000001E-3</v>
      </c>
    </row>
    <row r="3668" spans="18:20" x14ac:dyDescent="0.45">
      <c r="R3668" s="2">
        <v>53.44</v>
      </c>
      <c r="S3668" s="2">
        <v>3.5247199999999998E-3</v>
      </c>
      <c r="T3668" s="2">
        <v>2.51556E-3</v>
      </c>
    </row>
    <row r="3669" spans="18:20" x14ac:dyDescent="0.45">
      <c r="R3669" s="2">
        <v>53.45</v>
      </c>
      <c r="S3669" s="2">
        <v>3.52885E-3</v>
      </c>
      <c r="T3669" s="2">
        <v>2.51805E-3</v>
      </c>
    </row>
    <row r="3670" spans="18:20" x14ac:dyDescent="0.45">
      <c r="R3670" s="2">
        <v>53.46</v>
      </c>
      <c r="S3670" s="2">
        <v>3.5329799999999998E-3</v>
      </c>
      <c r="T3670" s="2">
        <v>2.5205399999999999E-3</v>
      </c>
    </row>
    <row r="3671" spans="18:20" x14ac:dyDescent="0.45">
      <c r="R3671" s="2">
        <v>53.47</v>
      </c>
      <c r="S3671" s="2">
        <v>3.53711E-3</v>
      </c>
      <c r="T3671" s="2">
        <v>2.5230299999999999E-3</v>
      </c>
    </row>
    <row r="3672" spans="18:20" x14ac:dyDescent="0.45">
      <c r="R3672" s="2">
        <v>53.48</v>
      </c>
      <c r="S3672" s="2">
        <v>3.5412400000000002E-3</v>
      </c>
      <c r="T3672" s="2">
        <v>2.5255199999999998E-3</v>
      </c>
    </row>
    <row r="3673" spans="18:20" x14ac:dyDescent="0.45">
      <c r="R3673" s="2">
        <v>53.49</v>
      </c>
      <c r="S3673" s="2">
        <v>3.5453699999999999E-3</v>
      </c>
      <c r="T3673" s="2">
        <v>2.5280099999999998E-3</v>
      </c>
    </row>
    <row r="3674" spans="18:20" x14ac:dyDescent="0.45">
      <c r="R3674" s="2">
        <v>53.5</v>
      </c>
      <c r="S3674" s="2">
        <v>3.5495000000000001E-3</v>
      </c>
      <c r="T3674" s="2">
        <v>2.5305000000000002E-3</v>
      </c>
    </row>
    <row r="3675" spans="18:20" x14ac:dyDescent="0.45">
      <c r="R3675" s="2">
        <v>53.51</v>
      </c>
      <c r="S3675" s="2">
        <v>3.5536299999999999E-3</v>
      </c>
      <c r="T3675" s="2">
        <v>2.5329900000000002E-3</v>
      </c>
    </row>
    <row r="3676" spans="18:20" x14ac:dyDescent="0.45">
      <c r="R3676" s="2">
        <v>53.52</v>
      </c>
      <c r="S3676" s="2">
        <v>3.5577600000000001E-3</v>
      </c>
      <c r="T3676" s="2">
        <v>2.5354800000000001E-3</v>
      </c>
    </row>
    <row r="3677" spans="18:20" x14ac:dyDescent="0.45">
      <c r="R3677" s="2">
        <v>53.53</v>
      </c>
      <c r="S3677" s="2">
        <v>3.5618899999999998E-3</v>
      </c>
      <c r="T3677" s="2">
        <v>2.5379700000000001E-3</v>
      </c>
    </row>
    <row r="3678" spans="18:20" x14ac:dyDescent="0.45">
      <c r="R3678" s="2">
        <v>53.54</v>
      </c>
      <c r="S3678" s="2">
        <v>3.56602E-3</v>
      </c>
      <c r="T3678" s="2">
        <v>2.54046E-3</v>
      </c>
    </row>
    <row r="3679" spans="18:20" x14ac:dyDescent="0.45">
      <c r="R3679" s="2">
        <v>53.55</v>
      </c>
      <c r="S3679" s="2">
        <v>3.5701499999999998E-3</v>
      </c>
      <c r="T3679" s="2">
        <v>2.54295E-3</v>
      </c>
    </row>
    <row r="3680" spans="18:20" x14ac:dyDescent="0.45">
      <c r="R3680" s="2">
        <v>53.56</v>
      </c>
      <c r="S3680" s="2">
        <v>3.57428E-3</v>
      </c>
      <c r="T3680" s="2">
        <v>2.5454399999999999E-3</v>
      </c>
    </row>
    <row r="3681" spans="18:20" x14ac:dyDescent="0.45">
      <c r="R3681" s="2">
        <v>53.57</v>
      </c>
      <c r="S3681" s="2">
        <v>3.5784100000000002E-3</v>
      </c>
      <c r="T3681" s="2">
        <v>2.5479299999999999E-3</v>
      </c>
    </row>
    <row r="3682" spans="18:20" x14ac:dyDescent="0.45">
      <c r="R3682" s="2">
        <v>53.58</v>
      </c>
      <c r="S3682" s="2">
        <v>3.5825399999999999E-3</v>
      </c>
      <c r="T3682" s="2">
        <v>2.5504199999999999E-3</v>
      </c>
    </row>
    <row r="3683" spans="18:20" x14ac:dyDescent="0.45">
      <c r="R3683" s="2">
        <v>53.59</v>
      </c>
      <c r="S3683" s="2">
        <v>3.5866700000000001E-3</v>
      </c>
      <c r="T3683" s="2">
        <v>2.5529099999999998E-3</v>
      </c>
    </row>
    <row r="3684" spans="18:20" x14ac:dyDescent="0.45">
      <c r="R3684" s="2">
        <v>53.6</v>
      </c>
      <c r="S3684" s="2">
        <v>3.5907999999999999E-3</v>
      </c>
      <c r="T3684" s="2">
        <v>2.5554000000000002E-3</v>
      </c>
    </row>
    <row r="3685" spans="18:20" x14ac:dyDescent="0.45">
      <c r="R3685" s="2">
        <v>53.61</v>
      </c>
      <c r="S3685" s="2">
        <v>3.5949300000000001E-3</v>
      </c>
      <c r="T3685" s="2">
        <v>2.5578900000000002E-3</v>
      </c>
    </row>
    <row r="3686" spans="18:20" x14ac:dyDescent="0.45">
      <c r="R3686" s="2">
        <v>53.62</v>
      </c>
      <c r="S3686" s="2">
        <v>3.5990599999999998E-3</v>
      </c>
      <c r="T3686" s="2">
        <v>2.5603800000000001E-3</v>
      </c>
    </row>
    <row r="3687" spans="18:20" x14ac:dyDescent="0.45">
      <c r="R3687" s="2">
        <v>53.63</v>
      </c>
      <c r="S3687" s="2">
        <v>3.60319E-3</v>
      </c>
      <c r="T3687" s="2">
        <v>2.5628700000000001E-3</v>
      </c>
    </row>
    <row r="3688" spans="18:20" x14ac:dyDescent="0.45">
      <c r="R3688" s="2">
        <v>53.64</v>
      </c>
      <c r="S3688" s="2">
        <v>3.6073199999999998E-3</v>
      </c>
      <c r="T3688" s="2">
        <v>2.56536E-3</v>
      </c>
    </row>
    <row r="3689" spans="18:20" x14ac:dyDescent="0.45">
      <c r="R3689" s="2">
        <v>53.65</v>
      </c>
      <c r="S3689" s="2">
        <v>3.61145E-3</v>
      </c>
      <c r="T3689" s="2">
        <v>2.56785E-3</v>
      </c>
    </row>
    <row r="3690" spans="18:20" x14ac:dyDescent="0.45">
      <c r="R3690" s="2">
        <v>53.66</v>
      </c>
      <c r="S3690" s="2">
        <v>3.6155800000000002E-3</v>
      </c>
      <c r="T3690" s="2">
        <v>2.57034E-3</v>
      </c>
    </row>
    <row r="3691" spans="18:20" x14ac:dyDescent="0.45">
      <c r="R3691" s="2">
        <v>53.67</v>
      </c>
      <c r="S3691" s="2">
        <v>3.6197099999999999E-3</v>
      </c>
      <c r="T3691" s="2">
        <v>2.5728299999999999E-3</v>
      </c>
    </row>
    <row r="3692" spans="18:20" x14ac:dyDescent="0.45">
      <c r="R3692" s="2">
        <v>53.68</v>
      </c>
      <c r="S3692" s="2">
        <v>3.6238400000000001E-3</v>
      </c>
      <c r="T3692" s="2">
        <v>2.5753199999999999E-3</v>
      </c>
    </row>
    <row r="3693" spans="18:20" x14ac:dyDescent="0.45">
      <c r="R3693" s="2">
        <v>53.69</v>
      </c>
      <c r="S3693" s="2">
        <v>3.6279699999999999E-3</v>
      </c>
      <c r="T3693" s="2">
        <v>2.5778099999999998E-3</v>
      </c>
    </row>
    <row r="3694" spans="18:20" x14ac:dyDescent="0.45">
      <c r="R3694" s="2">
        <v>53.7</v>
      </c>
      <c r="S3694" s="2">
        <v>3.6321000000000001E-3</v>
      </c>
      <c r="T3694" s="2">
        <v>2.5803000000000002E-3</v>
      </c>
    </row>
    <row r="3695" spans="18:20" x14ac:dyDescent="0.45">
      <c r="R3695" s="2">
        <v>53.71</v>
      </c>
      <c r="S3695" s="2">
        <v>3.6362299999999998E-3</v>
      </c>
      <c r="T3695" s="2">
        <v>2.5827900000000002E-3</v>
      </c>
    </row>
    <row r="3696" spans="18:20" x14ac:dyDescent="0.45">
      <c r="R3696" s="2">
        <v>53.72</v>
      </c>
      <c r="S3696" s="2">
        <v>3.64036E-3</v>
      </c>
      <c r="T3696" s="2">
        <v>2.5852800000000001E-3</v>
      </c>
    </row>
    <row r="3697" spans="18:20" x14ac:dyDescent="0.45">
      <c r="R3697" s="2">
        <v>53.73</v>
      </c>
      <c r="S3697" s="2">
        <v>3.6444899999999998E-3</v>
      </c>
      <c r="T3697" s="2">
        <v>2.5877700000000001E-3</v>
      </c>
    </row>
    <row r="3698" spans="18:20" x14ac:dyDescent="0.45">
      <c r="R3698" s="2">
        <v>53.74</v>
      </c>
      <c r="S3698" s="2">
        <v>3.64862E-3</v>
      </c>
      <c r="T3698" s="2">
        <v>2.59026E-3</v>
      </c>
    </row>
    <row r="3699" spans="18:20" x14ac:dyDescent="0.45">
      <c r="R3699" s="2">
        <v>53.75</v>
      </c>
      <c r="S3699" s="2">
        <v>3.6527500000000002E-3</v>
      </c>
      <c r="T3699" s="2">
        <v>2.59275E-3</v>
      </c>
    </row>
    <row r="3700" spans="18:20" x14ac:dyDescent="0.45">
      <c r="R3700" s="2">
        <v>53.76</v>
      </c>
      <c r="S3700" s="2">
        <v>3.6568799999999999E-3</v>
      </c>
      <c r="T3700" s="2">
        <v>2.59524E-3</v>
      </c>
    </row>
    <row r="3701" spans="18:20" x14ac:dyDescent="0.45">
      <c r="R3701" s="2">
        <v>53.77</v>
      </c>
      <c r="S3701" s="2">
        <v>3.6610100000000001E-3</v>
      </c>
      <c r="T3701" s="2">
        <v>2.5977299999999999E-3</v>
      </c>
    </row>
    <row r="3702" spans="18:20" x14ac:dyDescent="0.45">
      <c r="R3702" s="2">
        <v>53.78</v>
      </c>
      <c r="S3702" s="2">
        <v>3.6651399999999999E-3</v>
      </c>
      <c r="T3702" s="2">
        <v>2.6002199999999999E-3</v>
      </c>
    </row>
    <row r="3703" spans="18:20" x14ac:dyDescent="0.45">
      <c r="R3703" s="2">
        <v>53.79</v>
      </c>
      <c r="S3703" s="2">
        <v>3.6692700000000001E-3</v>
      </c>
      <c r="T3703" s="2">
        <v>2.6027099999999998E-3</v>
      </c>
    </row>
    <row r="3704" spans="18:20" x14ac:dyDescent="0.45">
      <c r="R3704" s="2">
        <v>53.8</v>
      </c>
      <c r="S3704" s="2">
        <v>3.6733999999999998E-3</v>
      </c>
      <c r="T3704" s="2">
        <v>2.6051999999999998E-3</v>
      </c>
    </row>
    <row r="3705" spans="18:20" x14ac:dyDescent="0.45">
      <c r="R3705" s="2">
        <v>53.81</v>
      </c>
      <c r="S3705" s="2">
        <v>3.67753E-3</v>
      </c>
      <c r="T3705" s="2">
        <v>2.6076900000000002E-3</v>
      </c>
    </row>
    <row r="3706" spans="18:20" x14ac:dyDescent="0.45">
      <c r="R3706" s="2">
        <v>53.82</v>
      </c>
      <c r="S3706" s="2">
        <v>3.6816599999999998E-3</v>
      </c>
      <c r="T3706" s="2">
        <v>2.6101800000000001E-3</v>
      </c>
    </row>
    <row r="3707" spans="18:20" x14ac:dyDescent="0.45">
      <c r="R3707" s="2">
        <v>53.83</v>
      </c>
      <c r="S3707" s="2">
        <v>3.68579E-3</v>
      </c>
      <c r="T3707" s="2">
        <v>2.6126700000000001E-3</v>
      </c>
    </row>
    <row r="3708" spans="18:20" x14ac:dyDescent="0.45">
      <c r="R3708" s="2">
        <v>53.84</v>
      </c>
      <c r="S3708" s="2">
        <v>3.6899200000000002E-3</v>
      </c>
      <c r="T3708" s="2">
        <v>2.6151600000000001E-3</v>
      </c>
    </row>
    <row r="3709" spans="18:20" x14ac:dyDescent="0.45">
      <c r="R3709" s="2">
        <v>53.85</v>
      </c>
      <c r="S3709" s="2">
        <v>3.6940499999999999E-3</v>
      </c>
      <c r="T3709" s="2">
        <v>2.61765E-3</v>
      </c>
    </row>
    <row r="3710" spans="18:20" x14ac:dyDescent="0.45">
      <c r="R3710" s="2">
        <v>53.86</v>
      </c>
      <c r="S3710" s="2">
        <v>3.6981800000000001E-3</v>
      </c>
      <c r="T3710" s="2">
        <v>2.62014E-3</v>
      </c>
    </row>
    <row r="3711" spans="18:20" x14ac:dyDescent="0.45">
      <c r="R3711" s="2">
        <v>53.87</v>
      </c>
      <c r="S3711" s="2">
        <v>3.7023099999999999E-3</v>
      </c>
      <c r="T3711" s="2">
        <v>2.6226299999999999E-3</v>
      </c>
    </row>
    <row r="3712" spans="18:20" x14ac:dyDescent="0.45">
      <c r="R3712" s="2">
        <v>53.88</v>
      </c>
      <c r="S3712" s="2">
        <v>3.7064400000000001E-3</v>
      </c>
      <c r="T3712" s="2">
        <v>2.6251199999999999E-3</v>
      </c>
    </row>
    <row r="3713" spans="18:20" x14ac:dyDescent="0.45">
      <c r="R3713" s="2">
        <v>53.89</v>
      </c>
      <c r="S3713" s="2">
        <v>3.7105699999999998E-3</v>
      </c>
      <c r="T3713" s="2">
        <v>2.6276099999999998E-3</v>
      </c>
    </row>
    <row r="3714" spans="18:20" x14ac:dyDescent="0.45">
      <c r="R3714" s="2">
        <v>53.9</v>
      </c>
      <c r="S3714" s="2">
        <v>3.7147E-3</v>
      </c>
      <c r="T3714" s="2">
        <v>2.6300999999999998E-3</v>
      </c>
    </row>
    <row r="3715" spans="18:20" x14ac:dyDescent="0.45">
      <c r="R3715" s="2">
        <v>53.91</v>
      </c>
      <c r="S3715" s="2">
        <v>3.7188299999999998E-3</v>
      </c>
      <c r="T3715" s="2">
        <v>2.6325900000000002E-3</v>
      </c>
    </row>
    <row r="3716" spans="18:20" x14ac:dyDescent="0.45">
      <c r="R3716" s="2">
        <v>53.92</v>
      </c>
      <c r="S3716" s="2">
        <v>3.72296E-3</v>
      </c>
      <c r="T3716" s="2">
        <v>2.6350800000000001E-3</v>
      </c>
    </row>
    <row r="3717" spans="18:20" x14ac:dyDescent="0.45">
      <c r="R3717" s="2">
        <v>53.93</v>
      </c>
      <c r="S3717" s="2">
        <v>3.7270900000000002E-3</v>
      </c>
      <c r="T3717" s="2">
        <v>2.6375700000000001E-3</v>
      </c>
    </row>
    <row r="3718" spans="18:20" x14ac:dyDescent="0.45">
      <c r="R3718" s="2">
        <v>53.94</v>
      </c>
      <c r="S3718" s="2">
        <v>3.7312199999999999E-3</v>
      </c>
      <c r="T3718" s="2">
        <v>2.6400600000000001E-3</v>
      </c>
    </row>
    <row r="3719" spans="18:20" x14ac:dyDescent="0.45">
      <c r="R3719" s="2">
        <v>53.95</v>
      </c>
      <c r="S3719" s="2">
        <v>3.7353500000000001E-3</v>
      </c>
      <c r="T3719" s="2">
        <v>2.64255E-3</v>
      </c>
    </row>
    <row r="3720" spans="18:20" x14ac:dyDescent="0.45">
      <c r="R3720" s="2">
        <v>53.96</v>
      </c>
      <c r="S3720" s="2">
        <v>3.7394799999999999E-3</v>
      </c>
      <c r="T3720" s="2">
        <v>2.64504E-3</v>
      </c>
    </row>
    <row r="3721" spans="18:20" x14ac:dyDescent="0.45">
      <c r="R3721" s="2">
        <v>53.97</v>
      </c>
      <c r="S3721" s="2">
        <v>3.7436100000000001E-3</v>
      </c>
      <c r="T3721" s="2">
        <v>2.6475299999999999E-3</v>
      </c>
    </row>
    <row r="3722" spans="18:20" x14ac:dyDescent="0.45">
      <c r="R3722" s="2">
        <v>53.98</v>
      </c>
      <c r="S3722" s="2">
        <v>3.7477399999999998E-3</v>
      </c>
      <c r="T3722" s="2">
        <v>2.6500199999999999E-3</v>
      </c>
    </row>
    <row r="3723" spans="18:20" x14ac:dyDescent="0.45">
      <c r="R3723" s="2">
        <v>53.99</v>
      </c>
      <c r="S3723" s="2">
        <v>3.75187E-3</v>
      </c>
      <c r="T3723" s="2">
        <v>2.6525099999999999E-3</v>
      </c>
    </row>
    <row r="3724" spans="18:20" x14ac:dyDescent="0.45">
      <c r="R3724" s="2">
        <v>54</v>
      </c>
      <c r="S3724" s="2">
        <v>3.7559999999999998E-3</v>
      </c>
      <c r="T3724" s="2">
        <v>2.6549999999999998E-3</v>
      </c>
    </row>
    <row r="3725" spans="18:20" x14ac:dyDescent="0.45">
      <c r="R3725" s="2">
        <v>54.01</v>
      </c>
      <c r="S3725" s="2">
        <v>3.7606499999999999E-3</v>
      </c>
      <c r="T3725" s="2">
        <v>2.65775E-3</v>
      </c>
    </row>
    <row r="3726" spans="18:20" x14ac:dyDescent="0.45">
      <c r="R3726" s="2">
        <v>54.02</v>
      </c>
      <c r="S3726" s="2">
        <v>3.7653000000000001E-3</v>
      </c>
      <c r="T3726" s="2">
        <v>2.6605000000000001E-3</v>
      </c>
    </row>
    <row r="3727" spans="18:20" x14ac:dyDescent="0.45">
      <c r="R3727" s="2">
        <v>54.03</v>
      </c>
      <c r="S3727" s="2">
        <v>3.7699500000000002E-3</v>
      </c>
      <c r="T3727" s="2">
        <v>2.6632499999999998E-3</v>
      </c>
    </row>
    <row r="3728" spans="18:20" x14ac:dyDescent="0.45">
      <c r="R3728" s="2">
        <v>54.04</v>
      </c>
      <c r="S3728" s="2">
        <v>3.7745999999999999E-3</v>
      </c>
      <c r="T3728" s="2">
        <v>2.666E-3</v>
      </c>
    </row>
    <row r="3729" spans="18:20" x14ac:dyDescent="0.45">
      <c r="R3729" s="2">
        <v>54.05</v>
      </c>
      <c r="S3729" s="2">
        <v>3.7792500000000001E-3</v>
      </c>
      <c r="T3729" s="2">
        <v>2.6687500000000001E-3</v>
      </c>
    </row>
    <row r="3730" spans="18:20" x14ac:dyDescent="0.45">
      <c r="R3730" s="2">
        <v>54.06</v>
      </c>
      <c r="S3730" s="2">
        <v>3.7839000000000002E-3</v>
      </c>
      <c r="T3730" s="2">
        <v>2.6714999999999998E-3</v>
      </c>
    </row>
    <row r="3731" spans="18:20" x14ac:dyDescent="0.45">
      <c r="R3731" s="2">
        <v>54.07</v>
      </c>
      <c r="S3731" s="2">
        <v>3.7885499999999999E-3</v>
      </c>
      <c r="T3731" s="2">
        <v>2.67425E-3</v>
      </c>
    </row>
    <row r="3732" spans="18:20" x14ac:dyDescent="0.45">
      <c r="R3732" s="2">
        <v>54.08</v>
      </c>
      <c r="S3732" s="2">
        <v>3.7932E-3</v>
      </c>
      <c r="T3732" s="2">
        <v>2.6770000000000001E-3</v>
      </c>
    </row>
    <row r="3733" spans="18:20" x14ac:dyDescent="0.45">
      <c r="R3733" s="2">
        <v>54.09</v>
      </c>
      <c r="S3733" s="2">
        <v>3.7978500000000002E-3</v>
      </c>
      <c r="T3733" s="2">
        <v>2.6797499999999998E-3</v>
      </c>
    </row>
    <row r="3734" spans="18:20" x14ac:dyDescent="0.45">
      <c r="R3734" s="2">
        <v>54.1</v>
      </c>
      <c r="S3734" s="2">
        <v>3.8024999999999999E-3</v>
      </c>
      <c r="T3734" s="2">
        <v>2.6825E-3</v>
      </c>
    </row>
    <row r="3735" spans="18:20" x14ac:dyDescent="0.45">
      <c r="R3735" s="2">
        <v>54.11</v>
      </c>
      <c r="S3735" s="2">
        <v>3.80715E-3</v>
      </c>
      <c r="T3735" s="2">
        <v>2.6852500000000001E-3</v>
      </c>
    </row>
    <row r="3736" spans="18:20" x14ac:dyDescent="0.45">
      <c r="R3736" s="2">
        <v>54.12</v>
      </c>
      <c r="S3736" s="2">
        <v>3.8118000000000002E-3</v>
      </c>
      <c r="T3736" s="2">
        <v>2.6879999999999999E-3</v>
      </c>
    </row>
    <row r="3737" spans="18:20" x14ac:dyDescent="0.45">
      <c r="R3737" s="2">
        <v>54.13</v>
      </c>
      <c r="S3737" s="2">
        <v>3.8164499999999999E-3</v>
      </c>
      <c r="T3737" s="2">
        <v>2.69075E-3</v>
      </c>
    </row>
    <row r="3738" spans="18:20" x14ac:dyDescent="0.45">
      <c r="R3738" s="2">
        <v>54.14</v>
      </c>
      <c r="S3738" s="2">
        <v>3.8211E-3</v>
      </c>
      <c r="T3738" s="2">
        <v>2.6935000000000001E-3</v>
      </c>
    </row>
    <row r="3739" spans="18:20" x14ac:dyDescent="0.45">
      <c r="R3739" s="2">
        <v>54.15</v>
      </c>
      <c r="S3739" s="2">
        <v>3.8257500000000002E-3</v>
      </c>
      <c r="T3739" s="2">
        <v>2.6962499999999999E-3</v>
      </c>
    </row>
    <row r="3740" spans="18:20" x14ac:dyDescent="0.45">
      <c r="R3740" s="2">
        <v>54.16</v>
      </c>
      <c r="S3740" s="2">
        <v>3.8303999999999999E-3</v>
      </c>
      <c r="T3740" s="2">
        <v>2.699E-3</v>
      </c>
    </row>
    <row r="3741" spans="18:20" x14ac:dyDescent="0.45">
      <c r="R3741" s="2">
        <v>54.17</v>
      </c>
      <c r="S3741" s="2">
        <v>3.83505E-3</v>
      </c>
      <c r="T3741" s="2">
        <v>2.7017500000000002E-3</v>
      </c>
    </row>
    <row r="3742" spans="18:20" x14ac:dyDescent="0.45">
      <c r="R3742" s="2">
        <v>54.18</v>
      </c>
      <c r="S3742" s="2">
        <v>3.8397000000000001E-3</v>
      </c>
      <c r="T3742" s="2">
        <v>2.7044999999999999E-3</v>
      </c>
    </row>
    <row r="3743" spans="18:20" x14ac:dyDescent="0.45">
      <c r="R3743" s="2">
        <v>54.19</v>
      </c>
      <c r="S3743" s="2">
        <v>3.8443499999999999E-3</v>
      </c>
      <c r="T3743" s="2">
        <v>2.70725E-3</v>
      </c>
    </row>
    <row r="3744" spans="18:20" x14ac:dyDescent="0.45">
      <c r="R3744" s="2">
        <v>54.2</v>
      </c>
      <c r="S3744" s="2">
        <v>3.849E-3</v>
      </c>
      <c r="T3744" s="2">
        <v>2.7100000000000002E-3</v>
      </c>
    </row>
    <row r="3745" spans="18:20" x14ac:dyDescent="0.45">
      <c r="R3745" s="2">
        <v>54.21</v>
      </c>
      <c r="S3745" s="2">
        <v>3.8536500000000001E-3</v>
      </c>
      <c r="T3745" s="2">
        <v>2.7127499999999999E-3</v>
      </c>
    </row>
    <row r="3746" spans="18:20" x14ac:dyDescent="0.45">
      <c r="R3746" s="2">
        <v>54.22</v>
      </c>
      <c r="S3746" s="2">
        <v>3.8582999999999998E-3</v>
      </c>
      <c r="T3746" s="2">
        <v>2.7155E-3</v>
      </c>
    </row>
    <row r="3747" spans="18:20" x14ac:dyDescent="0.45">
      <c r="R3747" s="2">
        <v>54.23</v>
      </c>
      <c r="S3747" s="2">
        <v>3.86295E-3</v>
      </c>
      <c r="T3747" s="2">
        <v>2.7182500000000002E-3</v>
      </c>
    </row>
    <row r="3748" spans="18:20" x14ac:dyDescent="0.45">
      <c r="R3748" s="2">
        <v>54.24</v>
      </c>
      <c r="S3748" s="2">
        <v>3.8676000000000001E-3</v>
      </c>
      <c r="T3748" s="2">
        <v>2.7209999999999999E-3</v>
      </c>
    </row>
    <row r="3749" spans="18:20" x14ac:dyDescent="0.45">
      <c r="R3749" s="2">
        <v>54.25</v>
      </c>
      <c r="S3749" s="2">
        <v>3.8722499999999998E-3</v>
      </c>
      <c r="T3749" s="2">
        <v>2.72375E-3</v>
      </c>
    </row>
    <row r="3750" spans="18:20" x14ac:dyDescent="0.45">
      <c r="R3750" s="2">
        <v>54.26</v>
      </c>
      <c r="S3750" s="2">
        <v>3.8769E-3</v>
      </c>
      <c r="T3750" s="2">
        <v>2.7265000000000002E-3</v>
      </c>
    </row>
    <row r="3751" spans="18:20" x14ac:dyDescent="0.45">
      <c r="R3751" s="2">
        <v>54.27</v>
      </c>
      <c r="S3751" s="2">
        <v>3.8815500000000001E-3</v>
      </c>
      <c r="T3751" s="2">
        <v>2.7292499999999999E-3</v>
      </c>
    </row>
    <row r="3752" spans="18:20" x14ac:dyDescent="0.45">
      <c r="R3752" s="2">
        <v>54.28</v>
      </c>
      <c r="S3752" s="2">
        <v>3.8861999999999998E-3</v>
      </c>
      <c r="T3752" s="2">
        <v>2.7320000000000001E-3</v>
      </c>
    </row>
    <row r="3753" spans="18:20" x14ac:dyDescent="0.45">
      <c r="R3753" s="2">
        <v>54.29</v>
      </c>
      <c r="S3753" s="2">
        <v>3.89085E-3</v>
      </c>
      <c r="T3753" s="2">
        <v>2.7347500000000002E-3</v>
      </c>
    </row>
    <row r="3754" spans="18:20" x14ac:dyDescent="0.45">
      <c r="R3754" s="2">
        <v>54.3</v>
      </c>
      <c r="S3754" s="2">
        <v>3.8955000000000001E-3</v>
      </c>
      <c r="T3754" s="2">
        <v>2.7374999999999999E-3</v>
      </c>
    </row>
    <row r="3755" spans="18:20" x14ac:dyDescent="0.45">
      <c r="R3755" s="2">
        <v>54.31</v>
      </c>
      <c r="S3755" s="2">
        <v>3.9001499999999998E-3</v>
      </c>
      <c r="T3755" s="2">
        <v>2.7402500000000001E-3</v>
      </c>
    </row>
    <row r="3756" spans="18:20" x14ac:dyDescent="0.45">
      <c r="R3756" s="2">
        <v>54.32</v>
      </c>
      <c r="S3756" s="2">
        <v>3.9047999999999999E-3</v>
      </c>
      <c r="T3756" s="2">
        <v>2.7430000000000002E-3</v>
      </c>
    </row>
    <row r="3757" spans="18:20" x14ac:dyDescent="0.45">
      <c r="R3757" s="2">
        <v>54.33</v>
      </c>
      <c r="S3757" s="2">
        <v>3.9094500000000001E-3</v>
      </c>
      <c r="T3757" s="2">
        <v>2.7457499999999999E-3</v>
      </c>
    </row>
    <row r="3758" spans="18:20" x14ac:dyDescent="0.45">
      <c r="R3758" s="2">
        <v>54.34</v>
      </c>
      <c r="S3758" s="2">
        <v>3.9141000000000002E-3</v>
      </c>
      <c r="T3758" s="2">
        <v>2.7485000000000001E-3</v>
      </c>
    </row>
    <row r="3759" spans="18:20" x14ac:dyDescent="0.45">
      <c r="R3759" s="2">
        <v>54.35</v>
      </c>
      <c r="S3759" s="2">
        <v>3.9187500000000004E-3</v>
      </c>
      <c r="T3759" s="2">
        <v>2.7512499999999998E-3</v>
      </c>
    </row>
    <row r="3760" spans="18:20" x14ac:dyDescent="0.45">
      <c r="R3760" s="2">
        <v>54.36</v>
      </c>
      <c r="S3760" s="2">
        <v>3.9233999999999996E-3</v>
      </c>
      <c r="T3760" s="2">
        <v>2.7539999999999999E-3</v>
      </c>
    </row>
    <row r="3761" spans="18:20" x14ac:dyDescent="0.45">
      <c r="R3761" s="2">
        <v>54.37</v>
      </c>
      <c r="S3761" s="2">
        <v>3.9280499999999998E-3</v>
      </c>
      <c r="T3761" s="2">
        <v>2.7567500000000001E-3</v>
      </c>
    </row>
    <row r="3762" spans="18:20" x14ac:dyDescent="0.45">
      <c r="R3762" s="2">
        <v>54.38</v>
      </c>
      <c r="S3762" s="2">
        <v>3.9326999999999999E-3</v>
      </c>
      <c r="T3762" s="2">
        <v>2.7594999999999998E-3</v>
      </c>
    </row>
    <row r="3763" spans="18:20" x14ac:dyDescent="0.45">
      <c r="R3763" s="2">
        <v>54.39</v>
      </c>
      <c r="S3763" s="2">
        <v>3.9373500000000001E-3</v>
      </c>
      <c r="T3763" s="2">
        <v>2.7622499999999999E-3</v>
      </c>
    </row>
    <row r="3764" spans="18:20" x14ac:dyDescent="0.45">
      <c r="R3764" s="2">
        <v>54.4</v>
      </c>
      <c r="S3764" s="2">
        <v>3.9420000000000002E-3</v>
      </c>
      <c r="T3764" s="2">
        <v>2.7650000000000001E-3</v>
      </c>
    </row>
    <row r="3765" spans="18:20" x14ac:dyDescent="0.45">
      <c r="R3765" s="2">
        <v>54.41</v>
      </c>
      <c r="S3765" s="2">
        <v>3.9466500000000003E-3</v>
      </c>
      <c r="T3765" s="2">
        <v>2.7677499999999998E-3</v>
      </c>
    </row>
    <row r="3766" spans="18:20" x14ac:dyDescent="0.45">
      <c r="R3766" s="2">
        <v>54.42</v>
      </c>
      <c r="S3766" s="2">
        <v>3.9512999999999996E-3</v>
      </c>
      <c r="T3766" s="2">
        <v>2.7705E-3</v>
      </c>
    </row>
    <row r="3767" spans="18:20" x14ac:dyDescent="0.45">
      <c r="R3767" s="2">
        <v>54.43</v>
      </c>
      <c r="S3767" s="2">
        <v>3.9559499999999997E-3</v>
      </c>
      <c r="T3767" s="2">
        <v>2.7732500000000001E-3</v>
      </c>
    </row>
    <row r="3768" spans="18:20" x14ac:dyDescent="0.45">
      <c r="R3768" s="2">
        <v>54.44</v>
      </c>
      <c r="S3768" s="2">
        <v>3.9605999999999999E-3</v>
      </c>
      <c r="T3768" s="2">
        <v>2.7759999999999998E-3</v>
      </c>
    </row>
    <row r="3769" spans="18:20" x14ac:dyDescent="0.45">
      <c r="R3769" s="2">
        <v>54.45</v>
      </c>
      <c r="S3769" s="2">
        <v>3.96525E-3</v>
      </c>
      <c r="T3769" s="2">
        <v>2.77875E-3</v>
      </c>
    </row>
    <row r="3770" spans="18:20" x14ac:dyDescent="0.45">
      <c r="R3770" s="2">
        <v>54.46</v>
      </c>
      <c r="S3770" s="2">
        <v>3.9699000000000002E-3</v>
      </c>
      <c r="T3770" s="2">
        <v>2.7815000000000001E-3</v>
      </c>
    </row>
    <row r="3771" spans="18:20" x14ac:dyDescent="0.45">
      <c r="R3771" s="2">
        <v>54.47</v>
      </c>
      <c r="S3771" s="2">
        <v>3.9745500000000003E-3</v>
      </c>
      <c r="T3771" s="2">
        <v>2.7842499999999998E-3</v>
      </c>
    </row>
    <row r="3772" spans="18:20" x14ac:dyDescent="0.45">
      <c r="R3772" s="2">
        <v>54.48</v>
      </c>
      <c r="S3772" s="2">
        <v>3.9791999999999996E-3</v>
      </c>
      <c r="T3772" s="2">
        <v>2.787E-3</v>
      </c>
    </row>
    <row r="3773" spans="18:20" x14ac:dyDescent="0.45">
      <c r="R3773" s="2">
        <v>54.49</v>
      </c>
      <c r="S3773" s="2">
        <v>3.9838499999999997E-3</v>
      </c>
      <c r="T3773" s="2">
        <v>2.7897500000000001E-3</v>
      </c>
    </row>
    <row r="3774" spans="18:20" x14ac:dyDescent="0.45">
      <c r="R3774" s="2">
        <v>54.5</v>
      </c>
      <c r="S3774" s="2">
        <v>3.9884999999999999E-3</v>
      </c>
      <c r="T3774" s="2">
        <v>2.7924999999999998E-3</v>
      </c>
    </row>
    <row r="3775" spans="18:20" x14ac:dyDescent="0.45">
      <c r="R3775" s="2">
        <v>54.51</v>
      </c>
      <c r="S3775" s="2">
        <v>3.99315E-3</v>
      </c>
      <c r="T3775" s="2">
        <v>2.79525E-3</v>
      </c>
    </row>
    <row r="3776" spans="18:20" x14ac:dyDescent="0.45">
      <c r="R3776" s="2">
        <v>54.52</v>
      </c>
      <c r="S3776" s="2">
        <v>3.9978000000000001E-3</v>
      </c>
      <c r="T3776" s="2">
        <v>2.7980000000000001E-3</v>
      </c>
    </row>
    <row r="3777" spans="18:20" x14ac:dyDescent="0.45">
      <c r="R3777" s="2">
        <v>54.53</v>
      </c>
      <c r="S3777" s="2">
        <v>4.0024500000000003E-3</v>
      </c>
      <c r="T3777" s="2">
        <v>2.8007499999999999E-3</v>
      </c>
    </row>
    <row r="3778" spans="18:20" x14ac:dyDescent="0.45">
      <c r="R3778" s="2">
        <v>54.54</v>
      </c>
      <c r="S3778" s="2">
        <v>4.0071000000000004E-3</v>
      </c>
      <c r="T3778" s="2">
        <v>2.8035E-3</v>
      </c>
    </row>
    <row r="3779" spans="18:20" x14ac:dyDescent="0.45">
      <c r="R3779" s="2">
        <v>54.55</v>
      </c>
      <c r="S3779" s="2">
        <v>4.0117499999999997E-3</v>
      </c>
      <c r="T3779" s="2">
        <v>2.8062500000000002E-3</v>
      </c>
    </row>
    <row r="3780" spans="18:20" x14ac:dyDescent="0.45">
      <c r="R3780" s="2">
        <v>54.56</v>
      </c>
      <c r="S3780" s="2">
        <v>4.0163999999999998E-3</v>
      </c>
      <c r="T3780" s="2">
        <v>2.8089999999999999E-3</v>
      </c>
    </row>
    <row r="3781" spans="18:20" x14ac:dyDescent="0.45">
      <c r="R3781" s="2">
        <v>54.57</v>
      </c>
      <c r="S3781" s="2">
        <v>4.02105E-3</v>
      </c>
      <c r="T3781" s="2">
        <v>2.81175E-3</v>
      </c>
    </row>
    <row r="3782" spans="18:20" x14ac:dyDescent="0.45">
      <c r="R3782" s="2">
        <v>54.58</v>
      </c>
      <c r="S3782" s="2">
        <v>4.0257000000000001E-3</v>
      </c>
      <c r="T3782" s="2">
        <v>2.8145000000000002E-3</v>
      </c>
    </row>
    <row r="3783" spans="18:20" x14ac:dyDescent="0.45">
      <c r="R3783" s="2">
        <v>54.59</v>
      </c>
      <c r="S3783" s="2">
        <v>4.0303500000000003E-3</v>
      </c>
      <c r="T3783" s="2">
        <v>2.8172499999999999E-3</v>
      </c>
    </row>
    <row r="3784" spans="18:20" x14ac:dyDescent="0.45">
      <c r="R3784" s="2">
        <v>54.6</v>
      </c>
      <c r="S3784" s="2">
        <v>4.0350000000000004E-3</v>
      </c>
      <c r="T3784" s="2">
        <v>2.82E-3</v>
      </c>
    </row>
    <row r="3785" spans="18:20" x14ac:dyDescent="0.45">
      <c r="R3785" s="2">
        <v>54.61</v>
      </c>
      <c r="S3785" s="2">
        <v>4.0396499999999997E-3</v>
      </c>
      <c r="T3785" s="2">
        <v>2.8227500000000002E-3</v>
      </c>
    </row>
    <row r="3786" spans="18:20" x14ac:dyDescent="0.45">
      <c r="R3786" s="2">
        <v>54.62</v>
      </c>
      <c r="S3786" s="2">
        <v>4.0442999999999998E-3</v>
      </c>
      <c r="T3786" s="2">
        <v>2.8254999999999999E-3</v>
      </c>
    </row>
    <row r="3787" spans="18:20" x14ac:dyDescent="0.45">
      <c r="R3787" s="2">
        <v>54.63</v>
      </c>
      <c r="S3787" s="2">
        <v>4.0489499999999999E-3</v>
      </c>
      <c r="T3787" s="2">
        <v>2.82825E-3</v>
      </c>
    </row>
    <row r="3788" spans="18:20" x14ac:dyDescent="0.45">
      <c r="R3788" s="2">
        <v>54.64</v>
      </c>
      <c r="S3788" s="2">
        <v>4.0536000000000001E-3</v>
      </c>
      <c r="T3788" s="2">
        <v>2.8310000000000002E-3</v>
      </c>
    </row>
    <row r="3789" spans="18:20" x14ac:dyDescent="0.45">
      <c r="R3789" s="2">
        <v>54.65</v>
      </c>
      <c r="S3789" s="2">
        <v>4.0582500000000002E-3</v>
      </c>
      <c r="T3789" s="2">
        <v>2.8337499999999999E-3</v>
      </c>
    </row>
    <row r="3790" spans="18:20" x14ac:dyDescent="0.45">
      <c r="R3790" s="2">
        <v>54.66</v>
      </c>
      <c r="S3790" s="2">
        <v>4.0629000000000004E-3</v>
      </c>
      <c r="T3790" s="2">
        <v>2.8365E-3</v>
      </c>
    </row>
    <row r="3791" spans="18:20" x14ac:dyDescent="0.45">
      <c r="R3791" s="2">
        <v>54.67</v>
      </c>
      <c r="S3791" s="2">
        <v>4.0675499999999996E-3</v>
      </c>
      <c r="T3791" s="2">
        <v>2.8392500000000002E-3</v>
      </c>
    </row>
    <row r="3792" spans="18:20" x14ac:dyDescent="0.45">
      <c r="R3792" s="2">
        <v>54.68</v>
      </c>
      <c r="S3792" s="2">
        <v>4.0721999999999998E-3</v>
      </c>
      <c r="T3792" s="2">
        <v>2.8419999999999999E-3</v>
      </c>
    </row>
    <row r="3793" spans="18:20" x14ac:dyDescent="0.45">
      <c r="R3793" s="2">
        <v>54.69</v>
      </c>
      <c r="S3793" s="2">
        <v>4.0768499999999999E-3</v>
      </c>
      <c r="T3793" s="2">
        <v>2.8447500000000001E-3</v>
      </c>
    </row>
    <row r="3794" spans="18:20" x14ac:dyDescent="0.45">
      <c r="R3794" s="2">
        <v>54.7</v>
      </c>
      <c r="S3794" s="2">
        <v>4.0815000000000001E-3</v>
      </c>
      <c r="T3794" s="2">
        <v>2.8475000000000002E-3</v>
      </c>
    </row>
    <row r="3795" spans="18:20" x14ac:dyDescent="0.45">
      <c r="R3795" s="2">
        <v>54.71</v>
      </c>
      <c r="S3795" s="2">
        <v>4.0861500000000002E-3</v>
      </c>
      <c r="T3795" s="2">
        <v>2.8502499999999999E-3</v>
      </c>
    </row>
    <row r="3796" spans="18:20" x14ac:dyDescent="0.45">
      <c r="R3796" s="2">
        <v>54.72</v>
      </c>
      <c r="S3796" s="2">
        <v>4.0908000000000003E-3</v>
      </c>
      <c r="T3796" s="2">
        <v>2.8530000000000001E-3</v>
      </c>
    </row>
    <row r="3797" spans="18:20" x14ac:dyDescent="0.45">
      <c r="R3797" s="2">
        <v>54.73</v>
      </c>
      <c r="S3797" s="2">
        <v>4.0954499999999996E-3</v>
      </c>
      <c r="T3797" s="2">
        <v>2.8557500000000002E-3</v>
      </c>
    </row>
    <row r="3798" spans="18:20" x14ac:dyDescent="0.45">
      <c r="R3798" s="2">
        <v>54.74</v>
      </c>
      <c r="S3798" s="2">
        <v>4.1000999999999998E-3</v>
      </c>
      <c r="T3798" s="2">
        <v>2.8584999999999999E-3</v>
      </c>
    </row>
    <row r="3799" spans="18:20" x14ac:dyDescent="0.45">
      <c r="R3799" s="2">
        <v>54.75</v>
      </c>
      <c r="S3799" s="2">
        <v>4.1047499999999999E-3</v>
      </c>
      <c r="T3799" s="2">
        <v>2.8612500000000001E-3</v>
      </c>
    </row>
    <row r="3800" spans="18:20" x14ac:dyDescent="0.45">
      <c r="R3800" s="2">
        <v>54.76</v>
      </c>
      <c r="S3800" s="2">
        <v>4.1094E-3</v>
      </c>
      <c r="T3800" s="2">
        <v>2.8639999999999998E-3</v>
      </c>
    </row>
    <row r="3801" spans="18:20" x14ac:dyDescent="0.45">
      <c r="R3801" s="2">
        <v>54.77</v>
      </c>
      <c r="S3801" s="2">
        <v>4.1140500000000002E-3</v>
      </c>
      <c r="T3801" s="2">
        <v>2.8667499999999999E-3</v>
      </c>
    </row>
    <row r="3802" spans="18:20" x14ac:dyDescent="0.45">
      <c r="R3802" s="2">
        <v>54.78</v>
      </c>
      <c r="S3802" s="2">
        <v>4.1187000000000003E-3</v>
      </c>
      <c r="T3802" s="2">
        <v>2.8695000000000001E-3</v>
      </c>
    </row>
    <row r="3803" spans="18:20" x14ac:dyDescent="0.45">
      <c r="R3803" s="2">
        <v>54.79</v>
      </c>
      <c r="S3803" s="2">
        <v>4.1233499999999996E-3</v>
      </c>
      <c r="T3803" s="2">
        <v>2.8722499999999998E-3</v>
      </c>
    </row>
    <row r="3804" spans="18:20" x14ac:dyDescent="0.45">
      <c r="R3804" s="2">
        <v>54.8</v>
      </c>
      <c r="S3804" s="2">
        <v>4.1279999999999997E-3</v>
      </c>
      <c r="T3804" s="2">
        <v>2.875E-3</v>
      </c>
    </row>
    <row r="3805" spans="18:20" x14ac:dyDescent="0.45">
      <c r="R3805" s="2">
        <v>54.81</v>
      </c>
      <c r="S3805" s="2">
        <v>4.1326499999999999E-3</v>
      </c>
      <c r="T3805" s="2">
        <v>2.8777500000000001E-3</v>
      </c>
    </row>
    <row r="3806" spans="18:20" x14ac:dyDescent="0.45">
      <c r="R3806" s="2">
        <v>54.82</v>
      </c>
      <c r="S3806" s="2">
        <v>4.1373E-3</v>
      </c>
      <c r="T3806" s="2">
        <v>2.8804999999999998E-3</v>
      </c>
    </row>
    <row r="3807" spans="18:20" x14ac:dyDescent="0.45">
      <c r="R3807" s="2">
        <v>54.83</v>
      </c>
      <c r="S3807" s="2">
        <v>4.1419500000000001E-3</v>
      </c>
      <c r="T3807" s="2">
        <v>2.88325E-3</v>
      </c>
    </row>
    <row r="3808" spans="18:20" x14ac:dyDescent="0.45">
      <c r="R3808" s="2">
        <v>54.84</v>
      </c>
      <c r="S3808" s="2">
        <v>4.1466000000000003E-3</v>
      </c>
      <c r="T3808" s="2">
        <v>2.8860000000000001E-3</v>
      </c>
    </row>
    <row r="3809" spans="18:20" x14ac:dyDescent="0.45">
      <c r="R3809" s="2">
        <v>54.85</v>
      </c>
      <c r="S3809" s="2">
        <v>4.1512500000000004E-3</v>
      </c>
      <c r="T3809" s="2">
        <v>2.8887499999999998E-3</v>
      </c>
    </row>
    <row r="3810" spans="18:20" x14ac:dyDescent="0.45">
      <c r="R3810" s="2">
        <v>54.86</v>
      </c>
      <c r="S3810" s="2">
        <v>4.1558999999999997E-3</v>
      </c>
      <c r="T3810" s="2">
        <v>2.8915E-3</v>
      </c>
    </row>
    <row r="3811" spans="18:20" x14ac:dyDescent="0.45">
      <c r="R3811" s="2">
        <v>54.87</v>
      </c>
      <c r="S3811" s="2">
        <v>4.1605499999999998E-3</v>
      </c>
      <c r="T3811" s="2">
        <v>2.8942500000000001E-3</v>
      </c>
    </row>
    <row r="3812" spans="18:20" x14ac:dyDescent="0.45">
      <c r="R3812" s="2">
        <v>54.88</v>
      </c>
      <c r="S3812" s="2">
        <v>4.1652E-3</v>
      </c>
      <c r="T3812" s="2">
        <v>2.8969999999999998E-3</v>
      </c>
    </row>
    <row r="3813" spans="18:20" x14ac:dyDescent="0.45">
      <c r="R3813" s="2">
        <v>54.89</v>
      </c>
      <c r="S3813" s="2">
        <v>4.1698500000000001E-3</v>
      </c>
      <c r="T3813" s="2">
        <v>2.89975E-3</v>
      </c>
    </row>
    <row r="3814" spans="18:20" x14ac:dyDescent="0.45">
      <c r="R3814" s="2">
        <v>54.9</v>
      </c>
      <c r="S3814" s="2">
        <v>4.1745000000000003E-3</v>
      </c>
      <c r="T3814" s="2">
        <v>2.9025000000000001E-3</v>
      </c>
    </row>
    <row r="3815" spans="18:20" x14ac:dyDescent="0.45">
      <c r="R3815" s="2">
        <v>54.91</v>
      </c>
      <c r="S3815" s="2">
        <v>4.1791500000000004E-3</v>
      </c>
      <c r="T3815" s="2">
        <v>2.9052499999999998E-3</v>
      </c>
    </row>
    <row r="3816" spans="18:20" x14ac:dyDescent="0.45">
      <c r="R3816" s="2">
        <v>54.92</v>
      </c>
      <c r="S3816" s="2">
        <v>4.1837999999999997E-3</v>
      </c>
      <c r="T3816" s="2">
        <v>2.908E-3</v>
      </c>
    </row>
    <row r="3817" spans="18:20" x14ac:dyDescent="0.45">
      <c r="R3817" s="2">
        <v>54.93</v>
      </c>
      <c r="S3817" s="2">
        <v>4.1884499999999998E-3</v>
      </c>
      <c r="T3817" s="2">
        <v>2.9107500000000001E-3</v>
      </c>
    </row>
    <row r="3818" spans="18:20" x14ac:dyDescent="0.45">
      <c r="R3818" s="2">
        <v>54.94</v>
      </c>
      <c r="S3818" s="2">
        <v>4.1931E-3</v>
      </c>
      <c r="T3818" s="2">
        <v>2.9134999999999999E-3</v>
      </c>
    </row>
    <row r="3819" spans="18:20" x14ac:dyDescent="0.45">
      <c r="R3819" s="2">
        <v>54.95</v>
      </c>
      <c r="S3819" s="2">
        <v>4.1977500000000001E-3</v>
      </c>
      <c r="T3819" s="2">
        <v>2.91625E-3</v>
      </c>
    </row>
    <row r="3820" spans="18:20" x14ac:dyDescent="0.45">
      <c r="R3820" s="2">
        <v>54.96</v>
      </c>
      <c r="S3820" s="2">
        <v>4.2024000000000002E-3</v>
      </c>
      <c r="T3820" s="2">
        <v>2.9190000000000002E-3</v>
      </c>
    </row>
    <row r="3821" spans="18:20" x14ac:dyDescent="0.45">
      <c r="R3821" s="2">
        <v>54.97</v>
      </c>
      <c r="S3821" s="2">
        <v>4.2070500000000004E-3</v>
      </c>
      <c r="T3821" s="2">
        <v>2.9217499999999999E-3</v>
      </c>
    </row>
    <row r="3822" spans="18:20" x14ac:dyDescent="0.45">
      <c r="R3822" s="2">
        <v>54.98</v>
      </c>
      <c r="S3822" s="2">
        <v>4.2116999999999996E-3</v>
      </c>
      <c r="T3822" s="2">
        <v>2.9245E-3</v>
      </c>
    </row>
    <row r="3823" spans="18:20" x14ac:dyDescent="0.45">
      <c r="R3823" s="2">
        <v>54.99</v>
      </c>
      <c r="S3823" s="2">
        <v>4.2163499999999998E-3</v>
      </c>
      <c r="T3823" s="2">
        <v>2.9272500000000002E-3</v>
      </c>
    </row>
    <row r="3824" spans="18:20" x14ac:dyDescent="0.45">
      <c r="R3824" s="2">
        <v>55</v>
      </c>
      <c r="S3824" s="2">
        <v>4.2209999999999999E-3</v>
      </c>
      <c r="T3824" s="2">
        <v>2.9299999999999999E-3</v>
      </c>
    </row>
    <row r="3825" spans="18:20" x14ac:dyDescent="0.45">
      <c r="R3825" s="2">
        <v>55.01</v>
      </c>
      <c r="S3825" s="2">
        <v>4.2262599999999999E-3</v>
      </c>
      <c r="T3825" s="2">
        <v>2.93305E-3</v>
      </c>
    </row>
    <row r="3826" spans="18:20" x14ac:dyDescent="0.45">
      <c r="R3826" s="2">
        <v>55.02</v>
      </c>
      <c r="S3826" s="2">
        <v>4.2315199999999999E-3</v>
      </c>
      <c r="T3826" s="2">
        <v>2.9361000000000001E-3</v>
      </c>
    </row>
    <row r="3827" spans="18:20" x14ac:dyDescent="0.45">
      <c r="R3827" s="2">
        <v>55.03</v>
      </c>
      <c r="S3827" s="2">
        <v>4.2367799999999999E-3</v>
      </c>
      <c r="T3827" s="2">
        <v>2.9391500000000002E-3</v>
      </c>
    </row>
    <row r="3828" spans="18:20" x14ac:dyDescent="0.45">
      <c r="R3828" s="2">
        <v>55.04</v>
      </c>
      <c r="S3828" s="2">
        <v>4.2420399999999999E-3</v>
      </c>
      <c r="T3828" s="2">
        <v>2.9421999999999999E-3</v>
      </c>
    </row>
    <row r="3829" spans="18:20" x14ac:dyDescent="0.45">
      <c r="R3829" s="2">
        <v>55.05</v>
      </c>
      <c r="S3829" s="2">
        <v>4.2472999999999999E-3</v>
      </c>
      <c r="T3829" s="2">
        <v>2.94525E-3</v>
      </c>
    </row>
    <row r="3830" spans="18:20" x14ac:dyDescent="0.45">
      <c r="R3830" s="2">
        <v>55.06</v>
      </c>
      <c r="S3830" s="2">
        <v>4.2525599999999998E-3</v>
      </c>
      <c r="T3830" s="2">
        <v>2.9483000000000001E-3</v>
      </c>
    </row>
    <row r="3831" spans="18:20" x14ac:dyDescent="0.45">
      <c r="R3831" s="2">
        <v>55.07</v>
      </c>
      <c r="S3831" s="2">
        <v>4.2578199999999998E-3</v>
      </c>
      <c r="T3831" s="2">
        <v>2.9513500000000002E-3</v>
      </c>
    </row>
    <row r="3832" spans="18:20" x14ac:dyDescent="0.45">
      <c r="R3832" s="2">
        <v>55.08</v>
      </c>
      <c r="S3832" s="2">
        <v>4.2630799999999998E-3</v>
      </c>
      <c r="T3832" s="2">
        <v>2.9543999999999998E-3</v>
      </c>
    </row>
    <row r="3833" spans="18:20" x14ac:dyDescent="0.45">
      <c r="R3833" s="2">
        <v>55.09</v>
      </c>
      <c r="S3833" s="2">
        <v>4.2683399999999998E-3</v>
      </c>
      <c r="T3833" s="2">
        <v>2.9574499999999999E-3</v>
      </c>
    </row>
    <row r="3834" spans="18:20" x14ac:dyDescent="0.45">
      <c r="R3834" s="2">
        <v>55.1</v>
      </c>
      <c r="S3834" s="2">
        <v>4.2735999999999998E-3</v>
      </c>
      <c r="T3834" s="2">
        <v>2.9605E-3</v>
      </c>
    </row>
    <row r="3835" spans="18:20" x14ac:dyDescent="0.45">
      <c r="R3835" s="2">
        <v>55.11</v>
      </c>
      <c r="S3835" s="2">
        <v>4.2788599999999998E-3</v>
      </c>
      <c r="T3835" s="2">
        <v>2.9635500000000001E-3</v>
      </c>
    </row>
    <row r="3836" spans="18:20" x14ac:dyDescent="0.45">
      <c r="R3836" s="2">
        <v>55.12</v>
      </c>
      <c r="S3836" s="2">
        <v>4.2841199999999998E-3</v>
      </c>
      <c r="T3836" s="2">
        <v>2.9665999999999998E-3</v>
      </c>
    </row>
    <row r="3837" spans="18:20" x14ac:dyDescent="0.45">
      <c r="R3837" s="2">
        <v>55.13</v>
      </c>
      <c r="S3837" s="2">
        <v>4.2893799999999998E-3</v>
      </c>
      <c r="T3837" s="2">
        <v>2.9696499999999999E-3</v>
      </c>
    </row>
    <row r="3838" spans="18:20" x14ac:dyDescent="0.45">
      <c r="R3838" s="2">
        <v>55.14</v>
      </c>
      <c r="S3838" s="2">
        <v>4.2946399999999997E-3</v>
      </c>
      <c r="T3838" s="2">
        <v>2.9727E-3</v>
      </c>
    </row>
    <row r="3839" spans="18:20" x14ac:dyDescent="0.45">
      <c r="R3839" s="2">
        <v>55.15</v>
      </c>
      <c r="S3839" s="2">
        <v>4.2998999999999997E-3</v>
      </c>
      <c r="T3839" s="2">
        <v>2.9757500000000001E-3</v>
      </c>
    </row>
    <row r="3840" spans="18:20" x14ac:dyDescent="0.45">
      <c r="R3840" s="2">
        <v>55.16</v>
      </c>
      <c r="S3840" s="2">
        <v>4.3051599999999997E-3</v>
      </c>
      <c r="T3840" s="2">
        <v>2.9788000000000002E-3</v>
      </c>
    </row>
    <row r="3841" spans="18:20" x14ac:dyDescent="0.45">
      <c r="R3841" s="2">
        <v>55.17</v>
      </c>
      <c r="S3841" s="2">
        <v>4.3104199999999997E-3</v>
      </c>
      <c r="T3841" s="2">
        <v>2.9818499999999999E-3</v>
      </c>
    </row>
    <row r="3842" spans="18:20" x14ac:dyDescent="0.45">
      <c r="R3842" s="2">
        <v>55.18</v>
      </c>
      <c r="S3842" s="2">
        <v>4.3156799999999997E-3</v>
      </c>
      <c r="T3842" s="2">
        <v>2.9849E-3</v>
      </c>
    </row>
    <row r="3843" spans="18:20" x14ac:dyDescent="0.45">
      <c r="R3843" s="2">
        <v>55.19</v>
      </c>
      <c r="S3843" s="2">
        <v>4.3209399999999997E-3</v>
      </c>
      <c r="T3843" s="2">
        <v>2.9879500000000001E-3</v>
      </c>
    </row>
    <row r="3844" spans="18:20" x14ac:dyDescent="0.45">
      <c r="R3844" s="2">
        <v>55.2</v>
      </c>
      <c r="S3844" s="2">
        <v>4.3261999999999997E-3</v>
      </c>
      <c r="T3844" s="2">
        <v>2.9910000000000002E-3</v>
      </c>
    </row>
    <row r="3845" spans="18:20" x14ac:dyDescent="0.45">
      <c r="R3845" s="2">
        <v>55.21</v>
      </c>
      <c r="S3845" s="2">
        <v>4.3314599999999997E-3</v>
      </c>
      <c r="T3845" s="2">
        <v>2.9940499999999998E-3</v>
      </c>
    </row>
    <row r="3846" spans="18:20" x14ac:dyDescent="0.45">
      <c r="R3846" s="2">
        <v>55.22</v>
      </c>
      <c r="S3846" s="2">
        <v>4.3367199999999996E-3</v>
      </c>
      <c r="T3846" s="2">
        <v>2.9970999999999999E-3</v>
      </c>
    </row>
    <row r="3847" spans="18:20" x14ac:dyDescent="0.45">
      <c r="R3847" s="2">
        <v>55.23</v>
      </c>
      <c r="S3847" s="2">
        <v>4.3419799999999996E-3</v>
      </c>
      <c r="T3847" s="2">
        <v>3.00015E-3</v>
      </c>
    </row>
    <row r="3848" spans="18:20" x14ac:dyDescent="0.45">
      <c r="R3848" s="2">
        <v>55.24</v>
      </c>
      <c r="S3848" s="2">
        <v>4.3472399999999996E-3</v>
      </c>
      <c r="T3848" s="2">
        <v>3.0032000000000001E-3</v>
      </c>
    </row>
    <row r="3849" spans="18:20" x14ac:dyDescent="0.45">
      <c r="R3849" s="2">
        <v>55.25</v>
      </c>
      <c r="S3849" s="2">
        <v>4.3524999999999996E-3</v>
      </c>
      <c r="T3849" s="2">
        <v>3.0062499999999998E-3</v>
      </c>
    </row>
    <row r="3850" spans="18:20" x14ac:dyDescent="0.45">
      <c r="R3850" s="2">
        <v>55.26</v>
      </c>
      <c r="S3850" s="2">
        <v>4.3577599999999996E-3</v>
      </c>
      <c r="T3850" s="2">
        <v>3.0092999999999999E-3</v>
      </c>
    </row>
    <row r="3851" spans="18:20" x14ac:dyDescent="0.45">
      <c r="R3851" s="2">
        <v>55.27</v>
      </c>
      <c r="S3851" s="2">
        <v>4.3630199999999996E-3</v>
      </c>
      <c r="T3851" s="2">
        <v>3.01235E-3</v>
      </c>
    </row>
    <row r="3852" spans="18:20" x14ac:dyDescent="0.45">
      <c r="R3852" s="2">
        <v>55.28</v>
      </c>
      <c r="S3852" s="2">
        <v>4.3682800000000004E-3</v>
      </c>
      <c r="T3852" s="2">
        <v>3.0154000000000001E-3</v>
      </c>
    </row>
    <row r="3853" spans="18:20" x14ac:dyDescent="0.45">
      <c r="R3853" s="2">
        <v>55.29</v>
      </c>
      <c r="S3853" s="2">
        <v>4.3735400000000004E-3</v>
      </c>
      <c r="T3853" s="2">
        <v>3.0184500000000002E-3</v>
      </c>
    </row>
    <row r="3854" spans="18:20" x14ac:dyDescent="0.45">
      <c r="R3854" s="2">
        <v>55.3</v>
      </c>
      <c r="S3854" s="2">
        <v>4.3788000000000004E-3</v>
      </c>
      <c r="T3854" s="2">
        <v>3.0214999999999999E-3</v>
      </c>
    </row>
    <row r="3855" spans="18:20" x14ac:dyDescent="0.45">
      <c r="R3855" s="2">
        <v>55.31</v>
      </c>
      <c r="S3855" s="2">
        <v>4.3840600000000004E-3</v>
      </c>
      <c r="T3855" s="2">
        <v>3.02455E-3</v>
      </c>
    </row>
    <row r="3856" spans="18:20" x14ac:dyDescent="0.45">
      <c r="R3856" s="2">
        <v>55.32</v>
      </c>
      <c r="S3856" s="2">
        <v>4.3893200000000004E-3</v>
      </c>
      <c r="T3856" s="2">
        <v>3.0276000000000001E-3</v>
      </c>
    </row>
    <row r="3857" spans="18:20" x14ac:dyDescent="0.45">
      <c r="R3857" s="2">
        <v>55.33</v>
      </c>
      <c r="S3857" s="2">
        <v>4.3945800000000004E-3</v>
      </c>
      <c r="T3857" s="2">
        <v>3.0306500000000002E-3</v>
      </c>
    </row>
    <row r="3858" spans="18:20" x14ac:dyDescent="0.45">
      <c r="R3858" s="2">
        <v>55.34</v>
      </c>
      <c r="S3858" s="2">
        <v>4.3998400000000003E-3</v>
      </c>
      <c r="T3858" s="2">
        <v>3.0336999999999999E-3</v>
      </c>
    </row>
    <row r="3859" spans="18:20" x14ac:dyDescent="0.45">
      <c r="R3859" s="2">
        <v>55.35</v>
      </c>
      <c r="S3859" s="2">
        <v>4.4051000000000003E-3</v>
      </c>
      <c r="T3859" s="2">
        <v>3.03675E-3</v>
      </c>
    </row>
    <row r="3860" spans="18:20" x14ac:dyDescent="0.45">
      <c r="R3860" s="2">
        <v>55.36</v>
      </c>
      <c r="S3860" s="2">
        <v>4.4103600000000003E-3</v>
      </c>
      <c r="T3860" s="2">
        <v>3.0398000000000001E-3</v>
      </c>
    </row>
    <row r="3861" spans="18:20" x14ac:dyDescent="0.45">
      <c r="R3861" s="2">
        <v>55.37</v>
      </c>
      <c r="S3861" s="2">
        <v>4.4156200000000003E-3</v>
      </c>
      <c r="T3861" s="2">
        <v>3.0428500000000002E-3</v>
      </c>
    </row>
    <row r="3862" spans="18:20" x14ac:dyDescent="0.45">
      <c r="R3862" s="2">
        <v>55.38</v>
      </c>
      <c r="S3862" s="2">
        <v>4.4208800000000003E-3</v>
      </c>
      <c r="T3862" s="2">
        <v>3.0458999999999998E-3</v>
      </c>
    </row>
    <row r="3863" spans="18:20" x14ac:dyDescent="0.45">
      <c r="R3863" s="2">
        <v>55.39</v>
      </c>
      <c r="S3863" s="2">
        <v>4.4261400000000003E-3</v>
      </c>
      <c r="T3863" s="2">
        <v>3.0489499999999999E-3</v>
      </c>
    </row>
    <row r="3864" spans="18:20" x14ac:dyDescent="0.45">
      <c r="R3864" s="2">
        <v>55.4</v>
      </c>
      <c r="S3864" s="2">
        <v>4.4314000000000003E-3</v>
      </c>
      <c r="T3864" s="2">
        <v>3.052E-3</v>
      </c>
    </row>
    <row r="3865" spans="18:20" x14ac:dyDescent="0.45">
      <c r="R3865" s="2">
        <v>55.41</v>
      </c>
      <c r="S3865" s="2">
        <v>4.4366600000000003E-3</v>
      </c>
      <c r="T3865" s="2">
        <v>3.0550500000000001E-3</v>
      </c>
    </row>
    <row r="3866" spans="18:20" x14ac:dyDescent="0.45">
      <c r="R3866" s="2">
        <v>55.42</v>
      </c>
      <c r="S3866" s="2">
        <v>4.4419200000000002E-3</v>
      </c>
      <c r="T3866" s="2">
        <v>3.0580999999999998E-3</v>
      </c>
    </row>
    <row r="3867" spans="18:20" x14ac:dyDescent="0.45">
      <c r="R3867" s="2">
        <v>55.43</v>
      </c>
      <c r="S3867" s="2">
        <v>4.4471800000000002E-3</v>
      </c>
      <c r="T3867" s="2">
        <v>3.0611499999999999E-3</v>
      </c>
    </row>
    <row r="3868" spans="18:20" x14ac:dyDescent="0.45">
      <c r="R3868" s="2">
        <v>55.44</v>
      </c>
      <c r="S3868" s="2">
        <v>4.4524400000000002E-3</v>
      </c>
      <c r="T3868" s="2">
        <v>3.0642E-3</v>
      </c>
    </row>
    <row r="3869" spans="18:20" x14ac:dyDescent="0.45">
      <c r="R3869" s="2">
        <v>55.45</v>
      </c>
      <c r="S3869" s="2">
        <v>4.4577000000000002E-3</v>
      </c>
      <c r="T3869" s="2">
        <v>3.0672500000000001E-3</v>
      </c>
    </row>
    <row r="3870" spans="18:20" x14ac:dyDescent="0.45">
      <c r="R3870" s="2">
        <v>55.46</v>
      </c>
      <c r="S3870" s="2">
        <v>4.4629600000000002E-3</v>
      </c>
      <c r="T3870" s="2">
        <v>3.0703000000000002E-3</v>
      </c>
    </row>
    <row r="3871" spans="18:20" x14ac:dyDescent="0.45">
      <c r="R3871" s="2">
        <v>55.47</v>
      </c>
      <c r="S3871" s="2">
        <v>4.4682200000000002E-3</v>
      </c>
      <c r="T3871" s="2">
        <v>3.0733499999999999E-3</v>
      </c>
    </row>
    <row r="3872" spans="18:20" x14ac:dyDescent="0.45">
      <c r="R3872" s="2">
        <v>55.48</v>
      </c>
      <c r="S3872" s="2">
        <v>4.4734800000000002E-3</v>
      </c>
      <c r="T3872" s="2">
        <v>3.0764E-3</v>
      </c>
    </row>
    <row r="3873" spans="18:20" x14ac:dyDescent="0.45">
      <c r="R3873" s="2">
        <v>55.49</v>
      </c>
      <c r="S3873" s="2">
        <v>4.4787400000000002E-3</v>
      </c>
      <c r="T3873" s="2">
        <v>3.0794500000000001E-3</v>
      </c>
    </row>
    <row r="3874" spans="18:20" x14ac:dyDescent="0.45">
      <c r="R3874" s="2">
        <v>55.5</v>
      </c>
      <c r="S3874" s="2">
        <v>4.4840000000000001E-3</v>
      </c>
      <c r="T3874" s="2">
        <v>3.0825000000000002E-3</v>
      </c>
    </row>
    <row r="3875" spans="18:20" x14ac:dyDescent="0.45">
      <c r="R3875" s="2">
        <v>55.51</v>
      </c>
      <c r="S3875" s="2">
        <v>4.4892600000000001E-3</v>
      </c>
      <c r="T3875" s="2">
        <v>3.0855499999999998E-3</v>
      </c>
    </row>
    <row r="3876" spans="18:20" x14ac:dyDescent="0.45">
      <c r="R3876" s="2">
        <v>55.52</v>
      </c>
      <c r="S3876" s="2">
        <v>4.4945200000000001E-3</v>
      </c>
      <c r="T3876" s="2">
        <v>3.0885999999999999E-3</v>
      </c>
    </row>
    <row r="3877" spans="18:20" x14ac:dyDescent="0.45">
      <c r="R3877" s="2">
        <v>55.53</v>
      </c>
      <c r="S3877" s="2">
        <v>4.4997800000000001E-3</v>
      </c>
      <c r="T3877" s="2">
        <v>3.09165E-3</v>
      </c>
    </row>
    <row r="3878" spans="18:20" x14ac:dyDescent="0.45">
      <c r="R3878" s="2">
        <v>55.54</v>
      </c>
      <c r="S3878" s="2">
        <v>4.5050400000000001E-3</v>
      </c>
      <c r="T3878" s="2">
        <v>3.0947000000000001E-3</v>
      </c>
    </row>
    <row r="3879" spans="18:20" x14ac:dyDescent="0.45">
      <c r="R3879" s="2">
        <v>55.55</v>
      </c>
      <c r="S3879" s="2">
        <v>4.5103000000000001E-3</v>
      </c>
      <c r="T3879" s="2">
        <v>3.0977499999999998E-3</v>
      </c>
    </row>
    <row r="3880" spans="18:20" x14ac:dyDescent="0.45">
      <c r="R3880" s="2">
        <v>55.56</v>
      </c>
      <c r="S3880" s="2">
        <v>4.5155600000000001E-3</v>
      </c>
      <c r="T3880" s="2">
        <v>3.1007999999999999E-3</v>
      </c>
    </row>
    <row r="3881" spans="18:20" x14ac:dyDescent="0.45">
      <c r="R3881" s="2">
        <v>55.57</v>
      </c>
      <c r="S3881" s="2">
        <v>4.52082E-3</v>
      </c>
      <c r="T3881" s="2">
        <v>3.10385E-3</v>
      </c>
    </row>
    <row r="3882" spans="18:20" x14ac:dyDescent="0.45">
      <c r="R3882" s="2">
        <v>55.58</v>
      </c>
      <c r="S3882" s="2">
        <v>4.52608E-3</v>
      </c>
      <c r="T3882" s="2">
        <v>3.1069000000000001E-3</v>
      </c>
    </row>
    <row r="3883" spans="18:20" x14ac:dyDescent="0.45">
      <c r="R3883" s="2">
        <v>55.59</v>
      </c>
      <c r="S3883" s="2">
        <v>4.53134E-3</v>
      </c>
      <c r="T3883" s="2">
        <v>3.1099500000000002E-3</v>
      </c>
    </row>
    <row r="3884" spans="18:20" x14ac:dyDescent="0.45">
      <c r="R3884" s="2">
        <v>55.6</v>
      </c>
      <c r="S3884" s="2">
        <v>4.5366E-3</v>
      </c>
      <c r="T3884" s="2">
        <v>3.1129999999999999E-3</v>
      </c>
    </row>
    <row r="3885" spans="18:20" x14ac:dyDescent="0.45">
      <c r="R3885" s="2">
        <v>55.61</v>
      </c>
      <c r="S3885" s="2">
        <v>4.54186E-3</v>
      </c>
      <c r="T3885" s="2">
        <v>3.11605E-3</v>
      </c>
    </row>
    <row r="3886" spans="18:20" x14ac:dyDescent="0.45">
      <c r="R3886" s="2">
        <v>55.62</v>
      </c>
      <c r="S3886" s="2">
        <v>4.54712E-3</v>
      </c>
      <c r="T3886" s="2">
        <v>3.1191000000000001E-3</v>
      </c>
    </row>
    <row r="3887" spans="18:20" x14ac:dyDescent="0.45">
      <c r="R3887" s="2">
        <v>55.63</v>
      </c>
      <c r="S3887" s="2">
        <v>4.55238E-3</v>
      </c>
      <c r="T3887" s="2">
        <v>3.1221500000000002E-3</v>
      </c>
    </row>
    <row r="3888" spans="18:20" x14ac:dyDescent="0.45">
      <c r="R3888" s="2">
        <v>55.64</v>
      </c>
      <c r="S3888" s="2">
        <v>4.55764E-3</v>
      </c>
      <c r="T3888" s="2">
        <v>3.1251999999999999E-3</v>
      </c>
    </row>
    <row r="3889" spans="18:20" x14ac:dyDescent="0.45">
      <c r="R3889" s="2">
        <v>55.65</v>
      </c>
      <c r="S3889" s="2">
        <v>4.5628999999999999E-3</v>
      </c>
      <c r="T3889" s="2">
        <v>3.12825E-3</v>
      </c>
    </row>
    <row r="3890" spans="18:20" x14ac:dyDescent="0.45">
      <c r="R3890" s="2">
        <v>55.66</v>
      </c>
      <c r="S3890" s="2">
        <v>4.5681599999999999E-3</v>
      </c>
      <c r="T3890" s="2">
        <v>3.1313000000000001E-3</v>
      </c>
    </row>
    <row r="3891" spans="18:20" x14ac:dyDescent="0.45">
      <c r="R3891" s="2">
        <v>55.67</v>
      </c>
      <c r="S3891" s="2">
        <v>4.5734199999999999E-3</v>
      </c>
      <c r="T3891" s="2">
        <v>3.1343500000000002E-3</v>
      </c>
    </row>
    <row r="3892" spans="18:20" x14ac:dyDescent="0.45">
      <c r="R3892" s="2">
        <v>55.68</v>
      </c>
      <c r="S3892" s="2">
        <v>4.5786799999999999E-3</v>
      </c>
      <c r="T3892" s="2">
        <v>3.1373999999999998E-3</v>
      </c>
    </row>
    <row r="3893" spans="18:20" x14ac:dyDescent="0.45">
      <c r="R3893" s="2">
        <v>55.69</v>
      </c>
      <c r="S3893" s="2">
        <v>4.5839399999999999E-3</v>
      </c>
      <c r="T3893" s="2">
        <v>3.1404499999999999E-3</v>
      </c>
    </row>
    <row r="3894" spans="18:20" x14ac:dyDescent="0.45">
      <c r="R3894" s="2">
        <v>55.7</v>
      </c>
      <c r="S3894" s="2">
        <v>4.5891999999999999E-3</v>
      </c>
      <c r="T3894" s="2">
        <v>3.1435E-3</v>
      </c>
    </row>
    <row r="3895" spans="18:20" x14ac:dyDescent="0.45">
      <c r="R3895" s="2">
        <v>55.71</v>
      </c>
      <c r="S3895" s="2">
        <v>4.5944599999999999E-3</v>
      </c>
      <c r="T3895" s="2">
        <v>3.1465500000000001E-3</v>
      </c>
    </row>
    <row r="3896" spans="18:20" x14ac:dyDescent="0.45">
      <c r="R3896" s="2">
        <v>55.72</v>
      </c>
      <c r="S3896" s="2">
        <v>4.5997199999999999E-3</v>
      </c>
      <c r="T3896" s="2">
        <v>3.1495999999999998E-3</v>
      </c>
    </row>
    <row r="3897" spans="18:20" x14ac:dyDescent="0.45">
      <c r="R3897" s="2">
        <v>55.73</v>
      </c>
      <c r="S3897" s="2">
        <v>4.6049799999999998E-3</v>
      </c>
      <c r="T3897" s="2">
        <v>3.1526499999999999E-3</v>
      </c>
    </row>
    <row r="3898" spans="18:20" x14ac:dyDescent="0.45">
      <c r="R3898" s="2">
        <v>55.74</v>
      </c>
      <c r="S3898" s="2">
        <v>4.6102399999999998E-3</v>
      </c>
      <c r="T3898" s="2">
        <v>3.1557E-3</v>
      </c>
    </row>
    <row r="3899" spans="18:20" x14ac:dyDescent="0.45">
      <c r="R3899" s="2">
        <v>55.75</v>
      </c>
      <c r="S3899" s="2">
        <v>4.6154999999999998E-3</v>
      </c>
      <c r="T3899" s="2">
        <v>3.1587500000000001E-3</v>
      </c>
    </row>
    <row r="3900" spans="18:20" x14ac:dyDescent="0.45">
      <c r="R3900" s="2">
        <v>55.76</v>
      </c>
      <c r="S3900" s="2">
        <v>4.6207599999999998E-3</v>
      </c>
      <c r="T3900" s="2">
        <v>3.1618000000000002E-3</v>
      </c>
    </row>
    <row r="3901" spans="18:20" x14ac:dyDescent="0.45">
      <c r="R3901" s="2">
        <v>55.77</v>
      </c>
      <c r="S3901" s="2">
        <v>4.6260199999999998E-3</v>
      </c>
      <c r="T3901" s="2">
        <v>3.1648499999999999E-3</v>
      </c>
    </row>
    <row r="3902" spans="18:20" x14ac:dyDescent="0.45">
      <c r="R3902" s="2">
        <v>55.78</v>
      </c>
      <c r="S3902" s="2">
        <v>4.6312799999999998E-3</v>
      </c>
      <c r="T3902" s="2">
        <v>3.1679E-3</v>
      </c>
    </row>
    <row r="3903" spans="18:20" x14ac:dyDescent="0.45">
      <c r="R3903" s="2">
        <v>55.79</v>
      </c>
      <c r="S3903" s="2">
        <v>4.6365399999999998E-3</v>
      </c>
      <c r="T3903" s="2">
        <v>3.1709500000000001E-3</v>
      </c>
    </row>
    <row r="3904" spans="18:20" x14ac:dyDescent="0.45">
      <c r="R3904" s="2">
        <v>55.8</v>
      </c>
      <c r="S3904" s="2">
        <v>4.6417999999999997E-3</v>
      </c>
      <c r="T3904" s="2">
        <v>3.1740000000000002E-3</v>
      </c>
    </row>
    <row r="3905" spans="18:20" x14ac:dyDescent="0.45">
      <c r="R3905" s="2">
        <v>55.81</v>
      </c>
      <c r="S3905" s="2">
        <v>4.6470599999999997E-3</v>
      </c>
      <c r="T3905" s="2">
        <v>3.1770499999999998E-3</v>
      </c>
    </row>
    <row r="3906" spans="18:20" x14ac:dyDescent="0.45">
      <c r="R3906" s="2">
        <v>55.82</v>
      </c>
      <c r="S3906" s="2">
        <v>4.6523199999999997E-3</v>
      </c>
      <c r="T3906" s="2">
        <v>3.1800999999999999E-3</v>
      </c>
    </row>
    <row r="3907" spans="18:20" x14ac:dyDescent="0.45">
      <c r="R3907" s="2">
        <v>55.83</v>
      </c>
      <c r="S3907" s="2">
        <v>4.6575799999999997E-3</v>
      </c>
      <c r="T3907" s="2">
        <v>3.18315E-3</v>
      </c>
    </row>
    <row r="3908" spans="18:20" x14ac:dyDescent="0.45">
      <c r="R3908" s="2">
        <v>55.84</v>
      </c>
      <c r="S3908" s="2">
        <v>4.6628399999999997E-3</v>
      </c>
      <c r="T3908" s="2">
        <v>3.1862000000000001E-3</v>
      </c>
    </row>
    <row r="3909" spans="18:20" x14ac:dyDescent="0.45">
      <c r="R3909" s="2">
        <v>55.85</v>
      </c>
      <c r="S3909" s="2">
        <v>4.6680999999999997E-3</v>
      </c>
      <c r="T3909" s="2">
        <v>3.1892499999999998E-3</v>
      </c>
    </row>
    <row r="3910" spans="18:20" x14ac:dyDescent="0.45">
      <c r="R3910" s="2">
        <v>55.86</v>
      </c>
      <c r="S3910" s="2">
        <v>4.6733599999999997E-3</v>
      </c>
      <c r="T3910" s="2">
        <v>3.1922999999999999E-3</v>
      </c>
    </row>
    <row r="3911" spans="18:20" x14ac:dyDescent="0.45">
      <c r="R3911" s="2">
        <v>55.87</v>
      </c>
      <c r="S3911" s="2">
        <v>4.6786199999999997E-3</v>
      </c>
      <c r="T3911" s="2">
        <v>3.19535E-3</v>
      </c>
    </row>
    <row r="3912" spans="18:20" x14ac:dyDescent="0.45">
      <c r="R3912" s="2">
        <v>55.88</v>
      </c>
      <c r="S3912" s="2">
        <v>4.6838799999999996E-3</v>
      </c>
      <c r="T3912" s="2">
        <v>3.1984000000000001E-3</v>
      </c>
    </row>
    <row r="3913" spans="18:20" x14ac:dyDescent="0.45">
      <c r="R3913" s="2">
        <v>55.89</v>
      </c>
      <c r="S3913" s="2">
        <v>4.6891399999999996E-3</v>
      </c>
      <c r="T3913" s="2">
        <v>3.2014500000000002E-3</v>
      </c>
    </row>
    <row r="3914" spans="18:20" x14ac:dyDescent="0.45">
      <c r="R3914" s="2">
        <v>55.9</v>
      </c>
      <c r="S3914" s="2">
        <v>4.6943999999999996E-3</v>
      </c>
      <c r="T3914" s="2">
        <v>3.2044999999999999E-3</v>
      </c>
    </row>
    <row r="3915" spans="18:20" x14ac:dyDescent="0.45">
      <c r="R3915" s="2">
        <v>55.91</v>
      </c>
      <c r="S3915" s="2">
        <v>4.6996599999999996E-3</v>
      </c>
      <c r="T3915" s="2">
        <v>3.20755E-3</v>
      </c>
    </row>
    <row r="3916" spans="18:20" x14ac:dyDescent="0.45">
      <c r="R3916" s="2">
        <v>55.92</v>
      </c>
      <c r="S3916" s="2">
        <v>4.7049199999999996E-3</v>
      </c>
      <c r="T3916" s="2">
        <v>3.2106000000000001E-3</v>
      </c>
    </row>
    <row r="3917" spans="18:20" x14ac:dyDescent="0.45">
      <c r="R3917" s="2">
        <v>55.93</v>
      </c>
      <c r="S3917" s="2">
        <v>4.7101799999999996E-3</v>
      </c>
      <c r="T3917" s="2">
        <v>3.2136500000000002E-3</v>
      </c>
    </row>
    <row r="3918" spans="18:20" x14ac:dyDescent="0.45">
      <c r="R3918" s="2">
        <v>55.94</v>
      </c>
      <c r="S3918" s="2">
        <v>4.7154400000000004E-3</v>
      </c>
      <c r="T3918" s="2">
        <v>3.2166999999999999E-3</v>
      </c>
    </row>
    <row r="3919" spans="18:20" x14ac:dyDescent="0.45">
      <c r="R3919" s="2">
        <v>55.95</v>
      </c>
      <c r="S3919" s="2">
        <v>4.7207000000000004E-3</v>
      </c>
      <c r="T3919" s="2">
        <v>3.21975E-3</v>
      </c>
    </row>
    <row r="3920" spans="18:20" x14ac:dyDescent="0.45">
      <c r="R3920" s="2">
        <v>55.96</v>
      </c>
      <c r="S3920" s="2">
        <v>4.7259600000000004E-3</v>
      </c>
      <c r="T3920" s="2">
        <v>3.2228000000000001E-3</v>
      </c>
    </row>
    <row r="3921" spans="18:20" x14ac:dyDescent="0.45">
      <c r="R3921" s="2">
        <v>55.97</v>
      </c>
      <c r="S3921" s="2">
        <v>4.7312200000000004E-3</v>
      </c>
      <c r="T3921" s="2">
        <v>3.2258500000000002E-3</v>
      </c>
    </row>
    <row r="3922" spans="18:20" x14ac:dyDescent="0.45">
      <c r="R3922" s="2">
        <v>55.98</v>
      </c>
      <c r="S3922" s="2">
        <v>4.7364800000000004E-3</v>
      </c>
      <c r="T3922" s="2">
        <v>3.2288999999999998E-3</v>
      </c>
    </row>
    <row r="3923" spans="18:20" x14ac:dyDescent="0.45">
      <c r="R3923" s="2">
        <v>55.99</v>
      </c>
      <c r="S3923" s="2">
        <v>4.7417400000000004E-3</v>
      </c>
      <c r="T3923" s="2">
        <v>3.2319499999999999E-3</v>
      </c>
    </row>
    <row r="3924" spans="18:20" x14ac:dyDescent="0.45">
      <c r="R3924" s="2">
        <v>56</v>
      </c>
      <c r="S3924" s="2">
        <v>4.7470000000000004E-3</v>
      </c>
      <c r="T3924" s="2">
        <v>3.235E-3</v>
      </c>
    </row>
    <row r="3925" spans="18:20" x14ac:dyDescent="0.45">
      <c r="R3925" s="2">
        <v>56.01</v>
      </c>
      <c r="S3925" s="2">
        <v>4.7529299999999998E-3</v>
      </c>
      <c r="T3925" s="2">
        <v>3.23837E-3</v>
      </c>
    </row>
    <row r="3926" spans="18:20" x14ac:dyDescent="0.45">
      <c r="R3926" s="2">
        <v>56.02</v>
      </c>
      <c r="S3926" s="2">
        <v>4.7588600000000002E-3</v>
      </c>
      <c r="T3926" s="2">
        <v>3.2417399999999999E-3</v>
      </c>
    </row>
    <row r="3927" spans="18:20" x14ac:dyDescent="0.45">
      <c r="R3927" s="2">
        <v>56.03</v>
      </c>
      <c r="S3927" s="2">
        <v>4.7647899999999997E-3</v>
      </c>
      <c r="T3927" s="2">
        <v>3.2451099999999998E-3</v>
      </c>
    </row>
    <row r="3928" spans="18:20" x14ac:dyDescent="0.45">
      <c r="R3928" s="2">
        <v>56.04</v>
      </c>
      <c r="S3928" s="2">
        <v>4.77072E-3</v>
      </c>
      <c r="T3928" s="2">
        <v>3.2484800000000002E-3</v>
      </c>
    </row>
    <row r="3929" spans="18:20" x14ac:dyDescent="0.45">
      <c r="R3929" s="2">
        <v>56.05</v>
      </c>
      <c r="S3929" s="2">
        <v>4.7766500000000003E-3</v>
      </c>
      <c r="T3929" s="2">
        <v>3.2518500000000001E-3</v>
      </c>
    </row>
    <row r="3930" spans="18:20" x14ac:dyDescent="0.45">
      <c r="R3930" s="2">
        <v>56.06</v>
      </c>
      <c r="S3930" s="2">
        <v>4.7825799999999998E-3</v>
      </c>
      <c r="T3930" s="2">
        <v>3.2552200000000001E-3</v>
      </c>
    </row>
    <row r="3931" spans="18:20" x14ac:dyDescent="0.45">
      <c r="R3931" s="2">
        <v>56.07</v>
      </c>
      <c r="S3931" s="2">
        <v>4.7885100000000002E-3</v>
      </c>
      <c r="T3931" s="2">
        <v>3.25859E-3</v>
      </c>
    </row>
    <row r="3932" spans="18:20" x14ac:dyDescent="0.45">
      <c r="R3932" s="2">
        <v>56.08</v>
      </c>
      <c r="S3932" s="2">
        <v>4.7944399999999996E-3</v>
      </c>
      <c r="T3932" s="2">
        <v>3.2619599999999999E-3</v>
      </c>
    </row>
    <row r="3933" spans="18:20" x14ac:dyDescent="0.45">
      <c r="R3933" s="2">
        <v>56.09</v>
      </c>
      <c r="S3933" s="2">
        <v>4.80037E-3</v>
      </c>
      <c r="T3933" s="2">
        <v>3.2653299999999999E-3</v>
      </c>
    </row>
    <row r="3934" spans="18:20" x14ac:dyDescent="0.45">
      <c r="R3934" s="2">
        <v>56.1</v>
      </c>
      <c r="S3934" s="2">
        <v>4.8063000000000003E-3</v>
      </c>
      <c r="T3934" s="2">
        <v>3.2686999999999998E-3</v>
      </c>
    </row>
    <row r="3935" spans="18:20" x14ac:dyDescent="0.45">
      <c r="R3935" s="2">
        <v>56.11</v>
      </c>
      <c r="S3935" s="2">
        <v>4.8122299999999998E-3</v>
      </c>
      <c r="T3935" s="2">
        <v>3.2720700000000002E-3</v>
      </c>
    </row>
    <row r="3936" spans="18:20" x14ac:dyDescent="0.45">
      <c r="R3936" s="2">
        <v>56.12</v>
      </c>
      <c r="S3936" s="2">
        <v>4.8181600000000002E-3</v>
      </c>
      <c r="T3936" s="2">
        <v>3.2754400000000001E-3</v>
      </c>
    </row>
    <row r="3937" spans="18:20" x14ac:dyDescent="0.45">
      <c r="R3937" s="2">
        <v>56.13</v>
      </c>
      <c r="S3937" s="2">
        <v>4.8240899999999996E-3</v>
      </c>
      <c r="T3937" s="2">
        <v>3.2788100000000001E-3</v>
      </c>
    </row>
    <row r="3938" spans="18:20" x14ac:dyDescent="0.45">
      <c r="R3938" s="2">
        <v>56.14</v>
      </c>
      <c r="S3938" s="2">
        <v>4.83002E-3</v>
      </c>
      <c r="T3938" s="2">
        <v>3.28218E-3</v>
      </c>
    </row>
    <row r="3939" spans="18:20" x14ac:dyDescent="0.45">
      <c r="R3939" s="2">
        <v>56.15</v>
      </c>
      <c r="S3939" s="2">
        <v>4.8359500000000003E-3</v>
      </c>
      <c r="T3939" s="2">
        <v>3.2855499999999999E-3</v>
      </c>
    </row>
    <row r="3940" spans="18:20" x14ac:dyDescent="0.45">
      <c r="R3940" s="2">
        <v>56.16</v>
      </c>
      <c r="S3940" s="2">
        <v>4.8418799999999998E-3</v>
      </c>
      <c r="T3940" s="2">
        <v>3.2889199999999999E-3</v>
      </c>
    </row>
    <row r="3941" spans="18:20" x14ac:dyDescent="0.45">
      <c r="R3941" s="2">
        <v>56.17</v>
      </c>
      <c r="S3941" s="2">
        <v>4.8478100000000001E-3</v>
      </c>
      <c r="T3941" s="2">
        <v>3.2922899999999998E-3</v>
      </c>
    </row>
    <row r="3942" spans="18:20" x14ac:dyDescent="0.45">
      <c r="R3942" s="2">
        <v>56.18</v>
      </c>
      <c r="S3942" s="2">
        <v>4.8537399999999996E-3</v>
      </c>
      <c r="T3942" s="2">
        <v>3.2956600000000002E-3</v>
      </c>
    </row>
    <row r="3943" spans="18:20" x14ac:dyDescent="0.45">
      <c r="R3943" s="2">
        <v>56.19</v>
      </c>
      <c r="S3943" s="2">
        <v>4.85967E-3</v>
      </c>
      <c r="T3943" s="2">
        <v>3.2990300000000001E-3</v>
      </c>
    </row>
    <row r="3944" spans="18:20" x14ac:dyDescent="0.45">
      <c r="R3944" s="2">
        <v>56.2</v>
      </c>
      <c r="S3944" s="2">
        <v>4.8656000000000003E-3</v>
      </c>
      <c r="T3944" s="2">
        <v>3.3024E-3</v>
      </c>
    </row>
    <row r="3945" spans="18:20" x14ac:dyDescent="0.45">
      <c r="R3945" s="2">
        <v>56.21</v>
      </c>
      <c r="S3945" s="2">
        <v>4.8715299999999998E-3</v>
      </c>
      <c r="T3945" s="2">
        <v>3.30577E-3</v>
      </c>
    </row>
    <row r="3946" spans="18:20" x14ac:dyDescent="0.45">
      <c r="R3946" s="2">
        <v>56.22</v>
      </c>
      <c r="S3946" s="2">
        <v>4.8774600000000001E-3</v>
      </c>
      <c r="T3946" s="2">
        <v>3.3091399999999999E-3</v>
      </c>
    </row>
    <row r="3947" spans="18:20" x14ac:dyDescent="0.45">
      <c r="R3947" s="2">
        <v>56.23</v>
      </c>
      <c r="S3947" s="2">
        <v>4.8833899999999996E-3</v>
      </c>
      <c r="T3947" s="2">
        <v>3.3125099999999998E-3</v>
      </c>
    </row>
    <row r="3948" spans="18:20" x14ac:dyDescent="0.45">
      <c r="R3948" s="2">
        <v>56.24</v>
      </c>
      <c r="S3948" s="2">
        <v>4.88932E-3</v>
      </c>
      <c r="T3948" s="2">
        <v>3.3158800000000002E-3</v>
      </c>
    </row>
    <row r="3949" spans="18:20" x14ac:dyDescent="0.45">
      <c r="R3949" s="2">
        <v>56.25</v>
      </c>
      <c r="S3949" s="2">
        <v>4.8952500000000003E-3</v>
      </c>
      <c r="T3949" s="2">
        <v>3.3192500000000002E-3</v>
      </c>
    </row>
    <row r="3950" spans="18:20" x14ac:dyDescent="0.45">
      <c r="R3950" s="2">
        <v>56.26</v>
      </c>
      <c r="S3950" s="2">
        <v>4.9011799999999998E-3</v>
      </c>
      <c r="T3950" s="2">
        <v>3.3226200000000001E-3</v>
      </c>
    </row>
    <row r="3951" spans="18:20" x14ac:dyDescent="0.45">
      <c r="R3951" s="2">
        <v>56.27</v>
      </c>
      <c r="S3951" s="2">
        <v>4.9071100000000001E-3</v>
      </c>
      <c r="T3951" s="2">
        <v>3.32599E-3</v>
      </c>
    </row>
    <row r="3952" spans="18:20" x14ac:dyDescent="0.45">
      <c r="R3952" s="2">
        <v>56.28</v>
      </c>
      <c r="S3952" s="2">
        <v>4.9130399999999996E-3</v>
      </c>
      <c r="T3952" s="2">
        <v>3.32936E-3</v>
      </c>
    </row>
    <row r="3953" spans="18:20" x14ac:dyDescent="0.45">
      <c r="R3953" s="2">
        <v>56.29</v>
      </c>
      <c r="S3953" s="2">
        <v>4.9189699999999999E-3</v>
      </c>
      <c r="T3953" s="2">
        <v>3.3327299999999999E-3</v>
      </c>
    </row>
    <row r="3954" spans="18:20" x14ac:dyDescent="0.45">
      <c r="R3954" s="2">
        <v>56.3</v>
      </c>
      <c r="S3954" s="2">
        <v>4.9249000000000003E-3</v>
      </c>
      <c r="T3954" s="2">
        <v>3.3360999999999998E-3</v>
      </c>
    </row>
    <row r="3955" spans="18:20" x14ac:dyDescent="0.45">
      <c r="R3955" s="2">
        <v>56.31</v>
      </c>
      <c r="S3955" s="2">
        <v>4.9308299999999998E-3</v>
      </c>
      <c r="T3955" s="2">
        <v>3.3394700000000002E-3</v>
      </c>
    </row>
    <row r="3956" spans="18:20" x14ac:dyDescent="0.45">
      <c r="R3956" s="2">
        <v>56.32</v>
      </c>
      <c r="S3956" s="2">
        <v>4.9367600000000001E-3</v>
      </c>
      <c r="T3956" s="2">
        <v>3.3428400000000001E-3</v>
      </c>
    </row>
    <row r="3957" spans="18:20" x14ac:dyDescent="0.45">
      <c r="R3957" s="2">
        <v>56.33</v>
      </c>
      <c r="S3957" s="2">
        <v>4.9426899999999996E-3</v>
      </c>
      <c r="T3957" s="2">
        <v>3.3462100000000001E-3</v>
      </c>
    </row>
    <row r="3958" spans="18:20" x14ac:dyDescent="0.45">
      <c r="R3958" s="2">
        <v>56.34</v>
      </c>
      <c r="S3958" s="2">
        <v>4.9486199999999999E-3</v>
      </c>
      <c r="T3958" s="2">
        <v>3.34958E-3</v>
      </c>
    </row>
    <row r="3959" spans="18:20" x14ac:dyDescent="0.45">
      <c r="R3959" s="2">
        <v>56.35</v>
      </c>
      <c r="S3959" s="2">
        <v>4.9545500000000003E-3</v>
      </c>
      <c r="T3959" s="2">
        <v>3.3529499999999999E-3</v>
      </c>
    </row>
    <row r="3960" spans="18:20" x14ac:dyDescent="0.45">
      <c r="R3960" s="2">
        <v>56.36</v>
      </c>
      <c r="S3960" s="2">
        <v>4.9604799999999998E-3</v>
      </c>
      <c r="T3960" s="2">
        <v>3.3563199999999999E-3</v>
      </c>
    </row>
    <row r="3961" spans="18:20" x14ac:dyDescent="0.45">
      <c r="R3961" s="2">
        <v>56.37</v>
      </c>
      <c r="S3961" s="2">
        <v>4.9664100000000001E-3</v>
      </c>
      <c r="T3961" s="2">
        <v>3.3596899999999998E-3</v>
      </c>
    </row>
    <row r="3962" spans="18:20" x14ac:dyDescent="0.45">
      <c r="R3962" s="2">
        <v>56.38</v>
      </c>
      <c r="S3962" s="2">
        <v>4.9723399999999996E-3</v>
      </c>
      <c r="T3962" s="2">
        <v>3.3630600000000002E-3</v>
      </c>
    </row>
    <row r="3963" spans="18:20" x14ac:dyDescent="0.45">
      <c r="R3963" s="2">
        <v>56.39</v>
      </c>
      <c r="S3963" s="2">
        <v>4.9782699999999999E-3</v>
      </c>
      <c r="T3963" s="2">
        <v>3.3664300000000001E-3</v>
      </c>
    </row>
    <row r="3964" spans="18:20" x14ac:dyDescent="0.45">
      <c r="R3964" s="2">
        <v>56.4</v>
      </c>
      <c r="S3964" s="2">
        <v>4.9842000000000003E-3</v>
      </c>
      <c r="T3964" s="2">
        <v>3.3698000000000001E-3</v>
      </c>
    </row>
    <row r="3965" spans="18:20" x14ac:dyDescent="0.45">
      <c r="R3965" s="2">
        <v>56.41</v>
      </c>
      <c r="S3965" s="2">
        <v>4.9901299999999997E-3</v>
      </c>
      <c r="T3965" s="2">
        <v>3.37317E-3</v>
      </c>
    </row>
    <row r="3966" spans="18:20" x14ac:dyDescent="0.45">
      <c r="R3966" s="2">
        <v>56.42</v>
      </c>
      <c r="S3966" s="2">
        <v>4.9960600000000001E-3</v>
      </c>
      <c r="T3966" s="2">
        <v>3.3765399999999999E-3</v>
      </c>
    </row>
    <row r="3967" spans="18:20" x14ac:dyDescent="0.45">
      <c r="R3967" s="2">
        <v>56.43</v>
      </c>
      <c r="S3967" s="2">
        <v>5.0019900000000004E-3</v>
      </c>
      <c r="T3967" s="2">
        <v>3.3799099999999999E-3</v>
      </c>
    </row>
    <row r="3968" spans="18:20" x14ac:dyDescent="0.45">
      <c r="R3968" s="2">
        <v>56.44</v>
      </c>
      <c r="S3968" s="2">
        <v>5.0079199999999999E-3</v>
      </c>
      <c r="T3968" s="2">
        <v>3.3832799999999998E-3</v>
      </c>
    </row>
    <row r="3969" spans="18:20" x14ac:dyDescent="0.45">
      <c r="R3969" s="2">
        <v>56.45</v>
      </c>
      <c r="S3969" s="2">
        <v>5.0138500000000003E-3</v>
      </c>
      <c r="T3969" s="2">
        <v>3.3866500000000002E-3</v>
      </c>
    </row>
    <row r="3970" spans="18:20" x14ac:dyDescent="0.45">
      <c r="R3970" s="2">
        <v>56.46</v>
      </c>
      <c r="S3970" s="2">
        <v>5.0197799999999997E-3</v>
      </c>
      <c r="T3970" s="2">
        <v>3.3900200000000001E-3</v>
      </c>
    </row>
    <row r="3971" spans="18:20" x14ac:dyDescent="0.45">
      <c r="R3971" s="2">
        <v>56.47</v>
      </c>
      <c r="S3971" s="2">
        <v>5.0257100000000001E-3</v>
      </c>
      <c r="T3971" s="2">
        <v>3.39339E-3</v>
      </c>
    </row>
    <row r="3972" spans="18:20" x14ac:dyDescent="0.45">
      <c r="R3972" s="2">
        <v>56.48</v>
      </c>
      <c r="S3972" s="2">
        <v>5.0316400000000004E-3</v>
      </c>
      <c r="T3972" s="2">
        <v>3.39676E-3</v>
      </c>
    </row>
    <row r="3973" spans="18:20" x14ac:dyDescent="0.45">
      <c r="R3973" s="2">
        <v>56.49</v>
      </c>
      <c r="S3973" s="2">
        <v>5.0375699999999999E-3</v>
      </c>
      <c r="T3973" s="2">
        <v>3.4001299999999999E-3</v>
      </c>
    </row>
    <row r="3974" spans="18:20" x14ac:dyDescent="0.45">
      <c r="R3974" s="2">
        <v>56.5</v>
      </c>
      <c r="S3974" s="2">
        <v>5.0435000000000002E-3</v>
      </c>
      <c r="T3974" s="2">
        <v>3.4034999999999998E-3</v>
      </c>
    </row>
    <row r="3975" spans="18:20" x14ac:dyDescent="0.45">
      <c r="R3975" s="2">
        <v>56.51</v>
      </c>
      <c r="S3975" s="2">
        <v>5.0494299999999997E-3</v>
      </c>
      <c r="T3975" s="2">
        <v>3.4068700000000002E-3</v>
      </c>
    </row>
    <row r="3976" spans="18:20" x14ac:dyDescent="0.45">
      <c r="R3976" s="2">
        <v>56.52</v>
      </c>
      <c r="S3976" s="2">
        <v>5.0553600000000001E-3</v>
      </c>
      <c r="T3976" s="2">
        <v>3.4102400000000001E-3</v>
      </c>
    </row>
    <row r="3977" spans="18:20" x14ac:dyDescent="0.45">
      <c r="R3977" s="2">
        <v>56.53</v>
      </c>
      <c r="S3977" s="2">
        <v>5.0612900000000004E-3</v>
      </c>
      <c r="T3977" s="2">
        <v>3.4136100000000001E-3</v>
      </c>
    </row>
    <row r="3978" spans="18:20" x14ac:dyDescent="0.45">
      <c r="R3978" s="2">
        <v>56.54</v>
      </c>
      <c r="S3978" s="2">
        <v>5.0672199999999999E-3</v>
      </c>
      <c r="T3978" s="2">
        <v>3.41698E-3</v>
      </c>
    </row>
    <row r="3979" spans="18:20" x14ac:dyDescent="0.45">
      <c r="R3979" s="2">
        <v>56.55</v>
      </c>
      <c r="S3979" s="2">
        <v>5.0731500000000002E-3</v>
      </c>
      <c r="T3979" s="2">
        <v>3.42035E-3</v>
      </c>
    </row>
    <row r="3980" spans="18:20" x14ac:dyDescent="0.45">
      <c r="R3980" s="2">
        <v>56.56</v>
      </c>
      <c r="S3980" s="2">
        <v>5.0790799999999997E-3</v>
      </c>
      <c r="T3980" s="2">
        <v>3.4237199999999999E-3</v>
      </c>
    </row>
    <row r="3981" spans="18:20" x14ac:dyDescent="0.45">
      <c r="R3981" s="2">
        <v>56.57</v>
      </c>
      <c r="S3981" s="2">
        <v>5.0850100000000001E-3</v>
      </c>
      <c r="T3981" s="2">
        <v>3.4270899999999998E-3</v>
      </c>
    </row>
    <row r="3982" spans="18:20" x14ac:dyDescent="0.45">
      <c r="R3982" s="2">
        <v>56.58</v>
      </c>
      <c r="S3982" s="2">
        <v>5.0909400000000004E-3</v>
      </c>
      <c r="T3982" s="2">
        <v>3.4304600000000002E-3</v>
      </c>
    </row>
    <row r="3983" spans="18:20" x14ac:dyDescent="0.45">
      <c r="R3983" s="2">
        <v>56.59</v>
      </c>
      <c r="S3983" s="2">
        <v>5.0968699999999999E-3</v>
      </c>
      <c r="T3983" s="2">
        <v>3.4338300000000001E-3</v>
      </c>
    </row>
    <row r="3984" spans="18:20" x14ac:dyDescent="0.45">
      <c r="R3984" s="2">
        <v>56.6</v>
      </c>
      <c r="S3984" s="2">
        <v>5.1028000000000002E-3</v>
      </c>
      <c r="T3984" s="2">
        <v>3.4372000000000001E-3</v>
      </c>
    </row>
    <row r="3985" spans="18:20" x14ac:dyDescent="0.45">
      <c r="R3985" s="2">
        <v>56.61</v>
      </c>
      <c r="S3985" s="2">
        <v>5.1087299999999997E-3</v>
      </c>
      <c r="T3985" s="2">
        <v>3.44057E-3</v>
      </c>
    </row>
    <row r="3986" spans="18:20" x14ac:dyDescent="0.45">
      <c r="R3986" s="2">
        <v>56.62</v>
      </c>
      <c r="S3986" s="2">
        <v>5.11466E-3</v>
      </c>
      <c r="T3986" s="2">
        <v>3.4439399999999999E-3</v>
      </c>
    </row>
    <row r="3987" spans="18:20" x14ac:dyDescent="0.45">
      <c r="R3987" s="2">
        <v>56.63</v>
      </c>
      <c r="S3987" s="2">
        <v>5.1205900000000004E-3</v>
      </c>
      <c r="T3987" s="2">
        <v>3.4473099999999999E-3</v>
      </c>
    </row>
    <row r="3988" spans="18:20" x14ac:dyDescent="0.45">
      <c r="R3988" s="2">
        <v>56.64</v>
      </c>
      <c r="S3988" s="2">
        <v>5.1265199999999999E-3</v>
      </c>
      <c r="T3988" s="2">
        <v>3.4506799999999998E-3</v>
      </c>
    </row>
    <row r="3989" spans="18:20" x14ac:dyDescent="0.45">
      <c r="R3989" s="2">
        <v>56.65</v>
      </c>
      <c r="S3989" s="2">
        <v>5.1324500000000002E-3</v>
      </c>
      <c r="T3989" s="2">
        <v>3.4540500000000002E-3</v>
      </c>
    </row>
    <row r="3990" spans="18:20" x14ac:dyDescent="0.45">
      <c r="R3990" s="2">
        <v>56.66</v>
      </c>
      <c r="S3990" s="2">
        <v>5.1383799999999997E-3</v>
      </c>
      <c r="T3990" s="2">
        <v>3.4574200000000001E-3</v>
      </c>
    </row>
    <row r="3991" spans="18:20" x14ac:dyDescent="0.45">
      <c r="R3991" s="2">
        <v>56.67</v>
      </c>
      <c r="S3991" s="2">
        <v>5.14431E-3</v>
      </c>
      <c r="T3991" s="2">
        <v>3.46079E-3</v>
      </c>
    </row>
    <row r="3992" spans="18:20" x14ac:dyDescent="0.45">
      <c r="R3992" s="2">
        <v>56.68</v>
      </c>
      <c r="S3992" s="2">
        <v>5.1502400000000004E-3</v>
      </c>
      <c r="T3992" s="2">
        <v>3.46416E-3</v>
      </c>
    </row>
    <row r="3993" spans="18:20" x14ac:dyDescent="0.45">
      <c r="R3993" s="2">
        <v>56.69</v>
      </c>
      <c r="S3993" s="2">
        <v>5.1561699999999999E-3</v>
      </c>
      <c r="T3993" s="2">
        <v>3.4675299999999999E-3</v>
      </c>
    </row>
    <row r="3994" spans="18:20" x14ac:dyDescent="0.45">
      <c r="R3994" s="2">
        <v>56.7</v>
      </c>
      <c r="S3994" s="2">
        <v>5.1621000000000002E-3</v>
      </c>
      <c r="T3994" s="2">
        <v>3.4708999999999999E-3</v>
      </c>
    </row>
    <row r="3995" spans="18:20" x14ac:dyDescent="0.45">
      <c r="R3995" s="2">
        <v>56.71</v>
      </c>
      <c r="S3995" s="2">
        <v>5.1680299999999997E-3</v>
      </c>
      <c r="T3995" s="2">
        <v>3.4742699999999998E-3</v>
      </c>
    </row>
    <row r="3996" spans="18:20" x14ac:dyDescent="0.45">
      <c r="R3996" s="2">
        <v>56.72</v>
      </c>
      <c r="S3996" s="2">
        <v>5.17396E-3</v>
      </c>
      <c r="T3996" s="2">
        <v>3.4776400000000002E-3</v>
      </c>
    </row>
    <row r="3997" spans="18:20" x14ac:dyDescent="0.45">
      <c r="R3997" s="2">
        <v>56.73</v>
      </c>
      <c r="S3997" s="2">
        <v>5.1798900000000004E-3</v>
      </c>
      <c r="T3997" s="2">
        <v>3.4810100000000001E-3</v>
      </c>
    </row>
    <row r="3998" spans="18:20" x14ac:dyDescent="0.45">
      <c r="R3998" s="2">
        <v>56.74</v>
      </c>
      <c r="S3998" s="2">
        <v>5.1858199999999998E-3</v>
      </c>
      <c r="T3998" s="2">
        <v>3.48438E-3</v>
      </c>
    </row>
    <row r="3999" spans="18:20" x14ac:dyDescent="0.45">
      <c r="R3999" s="2">
        <v>56.75</v>
      </c>
      <c r="S3999" s="2">
        <v>5.1917500000000002E-3</v>
      </c>
      <c r="T3999" s="2">
        <v>3.48775E-3</v>
      </c>
    </row>
    <row r="4000" spans="18:20" x14ac:dyDescent="0.45">
      <c r="R4000" s="2">
        <v>56.76</v>
      </c>
      <c r="S4000" s="2">
        <v>5.1976799999999997E-3</v>
      </c>
      <c r="T4000" s="2">
        <v>3.4911199999999999E-3</v>
      </c>
    </row>
    <row r="4001" spans="18:20" x14ac:dyDescent="0.45">
      <c r="R4001" s="2">
        <v>56.77</v>
      </c>
      <c r="S4001" s="2">
        <v>5.20361E-3</v>
      </c>
      <c r="T4001" s="2">
        <v>3.4944899999999998E-3</v>
      </c>
    </row>
    <row r="4002" spans="18:20" x14ac:dyDescent="0.45">
      <c r="R4002" s="2">
        <v>56.78</v>
      </c>
      <c r="S4002" s="2">
        <v>5.2095400000000004E-3</v>
      </c>
      <c r="T4002" s="2">
        <v>3.4978600000000002E-3</v>
      </c>
    </row>
    <row r="4003" spans="18:20" x14ac:dyDescent="0.45">
      <c r="R4003" s="2">
        <v>56.79</v>
      </c>
      <c r="S4003" s="2">
        <v>5.2154699999999998E-3</v>
      </c>
      <c r="T4003" s="2">
        <v>3.5012300000000001E-3</v>
      </c>
    </row>
    <row r="4004" spans="18:20" x14ac:dyDescent="0.45">
      <c r="R4004" s="2">
        <v>56.8</v>
      </c>
      <c r="S4004" s="2">
        <v>5.2214000000000002E-3</v>
      </c>
      <c r="T4004" s="2">
        <v>3.5046000000000001E-3</v>
      </c>
    </row>
    <row r="4005" spans="18:20" x14ac:dyDescent="0.45">
      <c r="R4005" s="2">
        <v>56.81</v>
      </c>
      <c r="S4005" s="2">
        <v>5.2273299999999997E-3</v>
      </c>
      <c r="T4005" s="2">
        <v>3.50797E-3</v>
      </c>
    </row>
    <row r="4006" spans="18:20" x14ac:dyDescent="0.45">
      <c r="R4006" s="2">
        <v>56.82</v>
      </c>
      <c r="S4006" s="2">
        <v>5.23326E-3</v>
      </c>
      <c r="T4006" s="2">
        <v>3.5113399999999999E-3</v>
      </c>
    </row>
    <row r="4007" spans="18:20" x14ac:dyDescent="0.45">
      <c r="R4007" s="2">
        <v>56.83</v>
      </c>
      <c r="S4007" s="2">
        <v>5.2391900000000003E-3</v>
      </c>
      <c r="T4007" s="2">
        <v>3.5147099999999999E-3</v>
      </c>
    </row>
    <row r="4008" spans="18:20" x14ac:dyDescent="0.45">
      <c r="R4008" s="2">
        <v>56.84</v>
      </c>
      <c r="S4008" s="2">
        <v>5.2451199999999998E-3</v>
      </c>
      <c r="T4008" s="2">
        <v>3.5180799999999998E-3</v>
      </c>
    </row>
    <row r="4009" spans="18:20" x14ac:dyDescent="0.45">
      <c r="R4009" s="2">
        <v>56.85</v>
      </c>
      <c r="S4009" s="2">
        <v>5.2510500000000002E-3</v>
      </c>
      <c r="T4009" s="2">
        <v>3.5214500000000002E-3</v>
      </c>
    </row>
    <row r="4010" spans="18:20" x14ac:dyDescent="0.45">
      <c r="R4010" s="2">
        <v>56.86</v>
      </c>
      <c r="S4010" s="2">
        <v>5.2569799999999996E-3</v>
      </c>
      <c r="T4010" s="2">
        <v>3.5248200000000001E-3</v>
      </c>
    </row>
    <row r="4011" spans="18:20" x14ac:dyDescent="0.45">
      <c r="R4011" s="2">
        <v>56.87</v>
      </c>
      <c r="S4011" s="2">
        <v>5.26291E-3</v>
      </c>
      <c r="T4011" s="2">
        <v>3.5281900000000001E-3</v>
      </c>
    </row>
    <row r="4012" spans="18:20" x14ac:dyDescent="0.45">
      <c r="R4012" s="2">
        <v>56.88</v>
      </c>
      <c r="S4012" s="2">
        <v>5.2688400000000003E-3</v>
      </c>
      <c r="T4012" s="2">
        <v>3.53156E-3</v>
      </c>
    </row>
    <row r="4013" spans="18:20" x14ac:dyDescent="0.45">
      <c r="R4013" s="2">
        <v>56.89</v>
      </c>
      <c r="S4013" s="2">
        <v>5.2747699999999998E-3</v>
      </c>
      <c r="T4013" s="2">
        <v>3.5349299999999999E-3</v>
      </c>
    </row>
    <row r="4014" spans="18:20" x14ac:dyDescent="0.45">
      <c r="R4014" s="2">
        <v>56.9</v>
      </c>
      <c r="S4014" s="2">
        <v>5.2807000000000002E-3</v>
      </c>
      <c r="T4014" s="2">
        <v>3.5382999999999999E-3</v>
      </c>
    </row>
    <row r="4015" spans="18:20" x14ac:dyDescent="0.45">
      <c r="R4015" s="2">
        <v>56.91</v>
      </c>
      <c r="S4015" s="2">
        <v>5.2866299999999996E-3</v>
      </c>
      <c r="T4015" s="2">
        <v>3.5416699999999998E-3</v>
      </c>
    </row>
    <row r="4016" spans="18:20" x14ac:dyDescent="0.45">
      <c r="R4016" s="2">
        <v>56.92</v>
      </c>
      <c r="S4016" s="2">
        <v>5.29256E-3</v>
      </c>
      <c r="T4016" s="2">
        <v>3.5450400000000002E-3</v>
      </c>
    </row>
    <row r="4017" spans="18:20" x14ac:dyDescent="0.45">
      <c r="R4017" s="2">
        <v>56.93</v>
      </c>
      <c r="S4017" s="2">
        <v>5.2984900000000003E-3</v>
      </c>
      <c r="T4017" s="2">
        <v>3.5484100000000001E-3</v>
      </c>
    </row>
    <row r="4018" spans="18:20" x14ac:dyDescent="0.45">
      <c r="R4018" s="2">
        <v>56.94</v>
      </c>
      <c r="S4018" s="2">
        <v>5.3044199999999998E-3</v>
      </c>
      <c r="T4018" s="2">
        <v>3.55178E-3</v>
      </c>
    </row>
    <row r="4019" spans="18:20" x14ac:dyDescent="0.45">
      <c r="R4019" s="2">
        <v>56.95</v>
      </c>
      <c r="S4019" s="2">
        <v>5.3103500000000001E-3</v>
      </c>
      <c r="T4019" s="2">
        <v>3.55515E-3</v>
      </c>
    </row>
    <row r="4020" spans="18:20" x14ac:dyDescent="0.45">
      <c r="R4020" s="2">
        <v>56.96</v>
      </c>
      <c r="S4020" s="2">
        <v>5.3162799999999996E-3</v>
      </c>
      <c r="T4020" s="2">
        <v>3.5585199999999999E-3</v>
      </c>
    </row>
    <row r="4021" spans="18:20" x14ac:dyDescent="0.45">
      <c r="R4021" s="2">
        <v>56.97</v>
      </c>
      <c r="S4021" s="2">
        <v>5.32221E-3</v>
      </c>
      <c r="T4021" s="2">
        <v>3.5618899999999998E-3</v>
      </c>
    </row>
    <row r="4022" spans="18:20" x14ac:dyDescent="0.45">
      <c r="R4022" s="2">
        <v>56.98</v>
      </c>
      <c r="S4022" s="2">
        <v>5.3281400000000003E-3</v>
      </c>
      <c r="T4022" s="2">
        <v>3.5652599999999998E-3</v>
      </c>
    </row>
    <row r="4023" spans="18:20" x14ac:dyDescent="0.45">
      <c r="R4023" s="2">
        <v>56.99</v>
      </c>
      <c r="S4023" s="2">
        <v>5.3340699999999998E-3</v>
      </c>
      <c r="T4023" s="2">
        <v>3.5686300000000002E-3</v>
      </c>
    </row>
    <row r="4024" spans="18:20" x14ac:dyDescent="0.45">
      <c r="R4024" s="2">
        <v>57</v>
      </c>
      <c r="S4024" s="2">
        <v>5.3400000000000001E-3</v>
      </c>
      <c r="T4024" s="2">
        <v>3.5720000000000001E-3</v>
      </c>
    </row>
    <row r="4025" spans="18:20" x14ac:dyDescent="0.45">
      <c r="R4025" s="2">
        <v>57.01</v>
      </c>
      <c r="S4025" s="2">
        <v>5.3466499999999997E-3</v>
      </c>
      <c r="T4025" s="2">
        <v>3.5757499999999999E-3</v>
      </c>
    </row>
    <row r="4026" spans="18:20" x14ac:dyDescent="0.45">
      <c r="R4026" s="2">
        <v>57.02</v>
      </c>
      <c r="S4026" s="2">
        <v>5.3533000000000001E-3</v>
      </c>
      <c r="T4026" s="2">
        <v>3.5795000000000002E-3</v>
      </c>
    </row>
    <row r="4027" spans="18:20" x14ac:dyDescent="0.45">
      <c r="R4027" s="2">
        <v>57.03</v>
      </c>
      <c r="S4027" s="2">
        <v>5.3599499999999996E-3</v>
      </c>
      <c r="T4027" s="2">
        <v>3.5832500000000001E-3</v>
      </c>
    </row>
    <row r="4028" spans="18:20" x14ac:dyDescent="0.45">
      <c r="R4028" s="2">
        <v>57.04</v>
      </c>
      <c r="S4028" s="2">
        <v>5.3666E-3</v>
      </c>
      <c r="T4028" s="2">
        <v>3.5869999999999999E-3</v>
      </c>
    </row>
    <row r="4029" spans="18:20" x14ac:dyDescent="0.45">
      <c r="R4029" s="2">
        <v>57.05</v>
      </c>
      <c r="S4029" s="2">
        <v>5.3732500000000004E-3</v>
      </c>
      <c r="T4029" s="2">
        <v>3.5907500000000002E-3</v>
      </c>
    </row>
    <row r="4030" spans="18:20" x14ac:dyDescent="0.45">
      <c r="R4030" s="2">
        <v>57.06</v>
      </c>
      <c r="S4030" s="2">
        <v>5.3799E-3</v>
      </c>
      <c r="T4030" s="2">
        <v>3.5945E-3</v>
      </c>
    </row>
    <row r="4031" spans="18:20" x14ac:dyDescent="0.45">
      <c r="R4031" s="2">
        <v>57.07</v>
      </c>
      <c r="S4031" s="2">
        <v>5.3865500000000004E-3</v>
      </c>
      <c r="T4031" s="2">
        <v>3.5982499999999999E-3</v>
      </c>
    </row>
    <row r="4032" spans="18:20" x14ac:dyDescent="0.45">
      <c r="R4032" s="2">
        <v>57.08</v>
      </c>
      <c r="S4032" s="2">
        <v>5.3931999999999999E-3</v>
      </c>
      <c r="T4032" s="2">
        <v>3.6020000000000002E-3</v>
      </c>
    </row>
    <row r="4033" spans="18:20" x14ac:dyDescent="0.45">
      <c r="R4033" s="2">
        <v>57.09</v>
      </c>
      <c r="S4033" s="2">
        <v>5.3998500000000003E-3</v>
      </c>
      <c r="T4033" s="2">
        <v>3.60575E-3</v>
      </c>
    </row>
    <row r="4034" spans="18:20" x14ac:dyDescent="0.45">
      <c r="R4034" s="2">
        <v>57.1</v>
      </c>
      <c r="S4034" s="2">
        <v>5.4064999999999998E-3</v>
      </c>
      <c r="T4034" s="2">
        <v>3.6094999999999999E-3</v>
      </c>
    </row>
    <row r="4035" spans="18:20" x14ac:dyDescent="0.45">
      <c r="R4035" s="2">
        <v>57.11</v>
      </c>
      <c r="S4035" s="2">
        <v>5.4131500000000003E-3</v>
      </c>
      <c r="T4035" s="2">
        <v>3.6132500000000001E-3</v>
      </c>
    </row>
    <row r="4036" spans="18:20" x14ac:dyDescent="0.45">
      <c r="R4036" s="2">
        <v>57.12</v>
      </c>
      <c r="S4036" s="2">
        <v>5.4197999999999998E-3</v>
      </c>
      <c r="T4036" s="2">
        <v>3.617E-3</v>
      </c>
    </row>
    <row r="4037" spans="18:20" x14ac:dyDescent="0.45">
      <c r="R4037" s="2">
        <v>57.13</v>
      </c>
      <c r="S4037" s="2">
        <v>5.4264500000000002E-3</v>
      </c>
      <c r="T4037" s="2">
        <v>3.6207499999999998E-3</v>
      </c>
    </row>
    <row r="4038" spans="18:20" x14ac:dyDescent="0.45">
      <c r="R4038" s="2">
        <v>57.14</v>
      </c>
      <c r="S4038" s="2">
        <v>5.4330999999999997E-3</v>
      </c>
      <c r="T4038" s="2">
        <v>3.6245000000000001E-3</v>
      </c>
    </row>
    <row r="4039" spans="18:20" x14ac:dyDescent="0.45">
      <c r="R4039" s="2">
        <v>57.15</v>
      </c>
      <c r="S4039" s="2">
        <v>5.4397500000000001E-3</v>
      </c>
      <c r="T4039" s="2">
        <v>3.62825E-3</v>
      </c>
    </row>
    <row r="4040" spans="18:20" x14ac:dyDescent="0.45">
      <c r="R4040" s="2">
        <v>57.16</v>
      </c>
      <c r="S4040" s="2">
        <v>5.4463999999999997E-3</v>
      </c>
      <c r="T4040" s="2">
        <v>3.6319999999999998E-3</v>
      </c>
    </row>
    <row r="4041" spans="18:20" x14ac:dyDescent="0.45">
      <c r="R4041" s="2">
        <v>57.17</v>
      </c>
      <c r="S4041" s="2">
        <v>5.4530500000000001E-3</v>
      </c>
      <c r="T4041" s="2">
        <v>3.6357500000000001E-3</v>
      </c>
    </row>
    <row r="4042" spans="18:20" x14ac:dyDescent="0.45">
      <c r="R4042" s="2">
        <v>57.18</v>
      </c>
      <c r="S4042" s="2">
        <v>5.4596999999999996E-3</v>
      </c>
      <c r="T4042" s="2">
        <v>3.6394999999999999E-3</v>
      </c>
    </row>
    <row r="4043" spans="18:20" x14ac:dyDescent="0.45">
      <c r="R4043" s="2">
        <v>57.19</v>
      </c>
      <c r="S4043" s="2">
        <v>5.46635E-3</v>
      </c>
      <c r="T4043" s="2">
        <v>3.6432499999999998E-3</v>
      </c>
    </row>
    <row r="4044" spans="18:20" x14ac:dyDescent="0.45">
      <c r="R4044" s="2">
        <v>57.2</v>
      </c>
      <c r="S4044" s="2">
        <v>5.4730000000000004E-3</v>
      </c>
      <c r="T4044" s="2">
        <v>3.6470000000000001E-3</v>
      </c>
    </row>
    <row r="4045" spans="18:20" x14ac:dyDescent="0.45">
      <c r="R4045" s="2">
        <v>57.21</v>
      </c>
      <c r="S4045" s="2">
        <v>5.47965E-3</v>
      </c>
      <c r="T4045" s="2">
        <v>3.6507499999999999E-3</v>
      </c>
    </row>
    <row r="4046" spans="18:20" x14ac:dyDescent="0.45">
      <c r="R4046" s="2">
        <v>57.22</v>
      </c>
      <c r="S4046" s="2">
        <v>5.4863000000000004E-3</v>
      </c>
      <c r="T4046" s="2">
        <v>3.6545000000000002E-3</v>
      </c>
    </row>
    <row r="4047" spans="18:20" x14ac:dyDescent="0.45">
      <c r="R4047" s="2">
        <v>57.23</v>
      </c>
      <c r="S4047" s="2">
        <v>5.4929499999999999E-3</v>
      </c>
      <c r="T4047" s="2">
        <v>3.65825E-3</v>
      </c>
    </row>
    <row r="4048" spans="18:20" x14ac:dyDescent="0.45">
      <c r="R4048" s="2">
        <v>57.24</v>
      </c>
      <c r="S4048" s="2">
        <v>5.4996000000000003E-3</v>
      </c>
      <c r="T4048" s="2">
        <v>3.6619999999999999E-3</v>
      </c>
    </row>
    <row r="4049" spans="18:20" x14ac:dyDescent="0.45">
      <c r="R4049" s="2">
        <v>57.25</v>
      </c>
      <c r="S4049" s="2">
        <v>5.5062499999999999E-3</v>
      </c>
      <c r="T4049" s="2">
        <v>3.6657500000000002E-3</v>
      </c>
    </row>
    <row r="4050" spans="18:20" x14ac:dyDescent="0.45">
      <c r="R4050" s="2">
        <v>57.26</v>
      </c>
      <c r="S4050" s="2">
        <v>5.5129000000000003E-3</v>
      </c>
      <c r="T4050" s="2">
        <v>3.6695E-3</v>
      </c>
    </row>
    <row r="4051" spans="18:20" x14ac:dyDescent="0.45">
      <c r="R4051" s="2">
        <v>57.27</v>
      </c>
      <c r="S4051" s="2">
        <v>5.5195499999999998E-3</v>
      </c>
      <c r="T4051" s="2">
        <v>3.6732499999999999E-3</v>
      </c>
    </row>
    <row r="4052" spans="18:20" x14ac:dyDescent="0.45">
      <c r="R4052" s="2">
        <v>57.28</v>
      </c>
      <c r="S4052" s="2">
        <v>5.5262000000000002E-3</v>
      </c>
      <c r="T4052" s="2">
        <v>3.6770000000000001E-3</v>
      </c>
    </row>
    <row r="4053" spans="18:20" x14ac:dyDescent="0.45">
      <c r="R4053" s="2">
        <v>57.29</v>
      </c>
      <c r="S4053" s="2">
        <v>5.5328499999999997E-3</v>
      </c>
      <c r="T4053" s="2">
        <v>3.68075E-3</v>
      </c>
    </row>
    <row r="4054" spans="18:20" x14ac:dyDescent="0.45">
      <c r="R4054" s="2">
        <v>57.3</v>
      </c>
      <c r="S4054" s="2">
        <v>5.5395000000000002E-3</v>
      </c>
      <c r="T4054" s="2">
        <v>3.6844999999999998E-3</v>
      </c>
    </row>
    <row r="4055" spans="18:20" x14ac:dyDescent="0.45">
      <c r="R4055" s="2">
        <v>57.31</v>
      </c>
      <c r="S4055" s="2">
        <v>5.5461499999999997E-3</v>
      </c>
      <c r="T4055" s="2">
        <v>3.6882500000000001E-3</v>
      </c>
    </row>
    <row r="4056" spans="18:20" x14ac:dyDescent="0.45">
      <c r="R4056" s="2">
        <v>57.32</v>
      </c>
      <c r="S4056" s="2">
        <v>5.5528000000000001E-3</v>
      </c>
      <c r="T4056" s="2">
        <v>3.692E-3</v>
      </c>
    </row>
    <row r="4057" spans="18:20" x14ac:dyDescent="0.45">
      <c r="R4057" s="2">
        <v>57.33</v>
      </c>
      <c r="S4057" s="2">
        <v>5.5594499999999996E-3</v>
      </c>
      <c r="T4057" s="2">
        <v>3.6957499999999998E-3</v>
      </c>
    </row>
    <row r="4058" spans="18:20" x14ac:dyDescent="0.45">
      <c r="R4058" s="2">
        <v>57.34</v>
      </c>
      <c r="S4058" s="2">
        <v>5.5661E-3</v>
      </c>
      <c r="T4058" s="2">
        <v>3.6995000000000001E-3</v>
      </c>
    </row>
    <row r="4059" spans="18:20" x14ac:dyDescent="0.45">
      <c r="R4059" s="2">
        <v>57.35</v>
      </c>
      <c r="S4059" s="2">
        <v>5.5727499999999996E-3</v>
      </c>
      <c r="T4059" s="2">
        <v>3.7032499999999999E-3</v>
      </c>
    </row>
    <row r="4060" spans="18:20" x14ac:dyDescent="0.45">
      <c r="R4060" s="2">
        <v>57.36</v>
      </c>
      <c r="S4060" s="2">
        <v>5.5794E-3</v>
      </c>
      <c r="T4060" s="2">
        <v>3.7069999999999998E-3</v>
      </c>
    </row>
    <row r="4061" spans="18:20" x14ac:dyDescent="0.45">
      <c r="R4061" s="2">
        <v>57.37</v>
      </c>
      <c r="S4061" s="2">
        <v>5.5860500000000004E-3</v>
      </c>
      <c r="T4061" s="2">
        <v>3.7107500000000001E-3</v>
      </c>
    </row>
    <row r="4062" spans="18:20" x14ac:dyDescent="0.45">
      <c r="R4062" s="2">
        <v>57.38</v>
      </c>
      <c r="S4062" s="2">
        <v>5.5926999999999999E-3</v>
      </c>
      <c r="T4062" s="2">
        <v>3.7144999999999999E-3</v>
      </c>
    </row>
    <row r="4063" spans="18:20" x14ac:dyDescent="0.45">
      <c r="R4063" s="2">
        <v>57.39</v>
      </c>
      <c r="S4063" s="2">
        <v>5.5993500000000003E-3</v>
      </c>
      <c r="T4063" s="2">
        <v>3.7182500000000002E-3</v>
      </c>
    </row>
    <row r="4064" spans="18:20" x14ac:dyDescent="0.45">
      <c r="R4064" s="2">
        <v>57.4</v>
      </c>
      <c r="S4064" s="2">
        <v>5.6059999999999999E-3</v>
      </c>
      <c r="T4064" s="2">
        <v>3.722E-3</v>
      </c>
    </row>
    <row r="4065" spans="18:20" x14ac:dyDescent="0.45">
      <c r="R4065" s="2">
        <v>57.41</v>
      </c>
      <c r="S4065" s="2">
        <v>5.6126500000000003E-3</v>
      </c>
      <c r="T4065" s="2">
        <v>3.7257499999999999E-3</v>
      </c>
    </row>
    <row r="4066" spans="18:20" x14ac:dyDescent="0.45">
      <c r="R4066" s="2">
        <v>57.42</v>
      </c>
      <c r="S4066" s="2">
        <v>5.6192999999999998E-3</v>
      </c>
      <c r="T4066" s="2">
        <v>3.7295000000000002E-3</v>
      </c>
    </row>
    <row r="4067" spans="18:20" x14ac:dyDescent="0.45">
      <c r="R4067" s="2">
        <v>57.43</v>
      </c>
      <c r="S4067" s="2">
        <v>5.6259500000000002E-3</v>
      </c>
      <c r="T4067" s="2">
        <v>3.73325E-3</v>
      </c>
    </row>
    <row r="4068" spans="18:20" x14ac:dyDescent="0.45">
      <c r="R4068" s="2">
        <v>57.44</v>
      </c>
      <c r="S4068" s="2">
        <v>5.6325999999999998E-3</v>
      </c>
      <c r="T4068" s="2">
        <v>3.7369999999999999E-3</v>
      </c>
    </row>
    <row r="4069" spans="18:20" x14ac:dyDescent="0.45">
      <c r="R4069" s="2">
        <v>57.45</v>
      </c>
      <c r="S4069" s="2">
        <v>5.6392500000000002E-3</v>
      </c>
      <c r="T4069" s="2">
        <v>3.7407500000000002E-3</v>
      </c>
    </row>
    <row r="4070" spans="18:20" x14ac:dyDescent="0.45">
      <c r="R4070" s="2">
        <v>57.46</v>
      </c>
      <c r="S4070" s="2">
        <v>5.6458999999999997E-3</v>
      </c>
      <c r="T4070" s="2">
        <v>3.7445E-3</v>
      </c>
    </row>
    <row r="4071" spans="18:20" x14ac:dyDescent="0.45">
      <c r="R4071" s="2">
        <v>57.47</v>
      </c>
      <c r="S4071" s="2">
        <v>5.6525500000000001E-3</v>
      </c>
      <c r="T4071" s="2">
        <v>3.7482499999999998E-3</v>
      </c>
    </row>
    <row r="4072" spans="18:20" x14ac:dyDescent="0.45">
      <c r="R4072" s="2">
        <v>57.48</v>
      </c>
      <c r="S4072" s="2">
        <v>5.6591999999999996E-3</v>
      </c>
      <c r="T4072" s="2">
        <v>3.7520000000000001E-3</v>
      </c>
    </row>
    <row r="4073" spans="18:20" x14ac:dyDescent="0.45">
      <c r="R4073" s="2">
        <v>57.49</v>
      </c>
      <c r="S4073" s="2">
        <v>5.6658500000000001E-3</v>
      </c>
      <c r="T4073" s="2">
        <v>3.75575E-3</v>
      </c>
    </row>
    <row r="4074" spans="18:20" x14ac:dyDescent="0.45">
      <c r="R4074" s="2">
        <v>57.5</v>
      </c>
      <c r="S4074" s="2">
        <v>5.6724999999999996E-3</v>
      </c>
      <c r="T4074" s="2">
        <v>3.7594999999999998E-3</v>
      </c>
    </row>
    <row r="4075" spans="18:20" x14ac:dyDescent="0.45">
      <c r="R4075" s="2">
        <v>57.51</v>
      </c>
      <c r="S4075" s="2">
        <v>5.67915E-3</v>
      </c>
      <c r="T4075" s="2">
        <v>3.7632500000000001E-3</v>
      </c>
    </row>
    <row r="4076" spans="18:20" x14ac:dyDescent="0.45">
      <c r="R4076" s="2">
        <v>57.52</v>
      </c>
      <c r="S4076" s="2">
        <v>5.6858000000000004E-3</v>
      </c>
      <c r="T4076" s="2">
        <v>3.7669999999999999E-3</v>
      </c>
    </row>
    <row r="4077" spans="18:20" x14ac:dyDescent="0.45">
      <c r="R4077" s="2">
        <v>57.53</v>
      </c>
      <c r="S4077" s="2">
        <v>5.6924499999999999E-3</v>
      </c>
      <c r="T4077" s="2">
        <v>3.7707499999999998E-3</v>
      </c>
    </row>
    <row r="4078" spans="18:20" x14ac:dyDescent="0.45">
      <c r="R4078" s="2">
        <v>57.54</v>
      </c>
      <c r="S4078" s="2">
        <v>5.6991000000000003E-3</v>
      </c>
      <c r="T4078" s="2">
        <v>3.7745000000000001E-3</v>
      </c>
    </row>
    <row r="4079" spans="18:20" x14ac:dyDescent="0.45">
      <c r="R4079" s="2">
        <v>57.55</v>
      </c>
      <c r="S4079" s="2">
        <v>5.7057499999999999E-3</v>
      </c>
      <c r="T4079" s="2">
        <v>3.7782499999999999E-3</v>
      </c>
    </row>
    <row r="4080" spans="18:20" x14ac:dyDescent="0.45">
      <c r="R4080" s="2">
        <v>57.56</v>
      </c>
      <c r="S4080" s="2">
        <v>5.7124000000000003E-3</v>
      </c>
      <c r="T4080" s="2">
        <v>3.7820000000000002E-3</v>
      </c>
    </row>
    <row r="4081" spans="18:20" x14ac:dyDescent="0.45">
      <c r="R4081" s="2">
        <v>57.57</v>
      </c>
      <c r="S4081" s="2">
        <v>5.7190499999999998E-3</v>
      </c>
      <c r="T4081" s="2">
        <v>3.7857500000000001E-3</v>
      </c>
    </row>
    <row r="4082" spans="18:20" x14ac:dyDescent="0.45">
      <c r="R4082" s="2">
        <v>57.58</v>
      </c>
      <c r="S4082" s="2">
        <v>5.7257000000000002E-3</v>
      </c>
      <c r="T4082" s="2">
        <v>3.7894999999999999E-3</v>
      </c>
    </row>
    <row r="4083" spans="18:20" x14ac:dyDescent="0.45">
      <c r="R4083" s="2">
        <v>57.59</v>
      </c>
      <c r="S4083" s="2">
        <v>5.7323499999999998E-3</v>
      </c>
      <c r="T4083" s="2">
        <v>3.7932500000000002E-3</v>
      </c>
    </row>
    <row r="4084" spans="18:20" x14ac:dyDescent="0.45">
      <c r="R4084" s="2">
        <v>57.6</v>
      </c>
      <c r="S4084" s="2">
        <v>5.7390000000000002E-3</v>
      </c>
      <c r="T4084" s="2">
        <v>3.797E-3</v>
      </c>
    </row>
    <row r="4085" spans="18:20" x14ac:dyDescent="0.45">
      <c r="R4085" s="2">
        <v>57.61</v>
      </c>
      <c r="S4085" s="2">
        <v>5.7456499999999997E-3</v>
      </c>
      <c r="T4085" s="2">
        <v>3.8007499999999999E-3</v>
      </c>
    </row>
    <row r="4086" spans="18:20" x14ac:dyDescent="0.45">
      <c r="R4086" s="2">
        <v>57.62</v>
      </c>
      <c r="S4086" s="2">
        <v>5.7523000000000001E-3</v>
      </c>
      <c r="T4086" s="2">
        <v>3.8045000000000002E-3</v>
      </c>
    </row>
    <row r="4087" spans="18:20" x14ac:dyDescent="0.45">
      <c r="R4087" s="2">
        <v>57.63</v>
      </c>
      <c r="S4087" s="2">
        <v>5.7589499999999997E-3</v>
      </c>
      <c r="T4087" s="2">
        <v>3.80825E-3</v>
      </c>
    </row>
    <row r="4088" spans="18:20" x14ac:dyDescent="0.45">
      <c r="R4088" s="2">
        <v>57.64</v>
      </c>
      <c r="S4088" s="2">
        <v>5.7656000000000001E-3</v>
      </c>
      <c r="T4088" s="2">
        <v>3.8119999999999999E-3</v>
      </c>
    </row>
    <row r="4089" spans="18:20" x14ac:dyDescent="0.45">
      <c r="R4089" s="2">
        <v>57.65</v>
      </c>
      <c r="S4089" s="2">
        <v>5.7722499999999996E-3</v>
      </c>
      <c r="T4089" s="2">
        <v>3.8157500000000001E-3</v>
      </c>
    </row>
    <row r="4090" spans="18:20" x14ac:dyDescent="0.45">
      <c r="R4090" s="2">
        <v>57.66</v>
      </c>
      <c r="S4090" s="2">
        <v>5.7789E-3</v>
      </c>
      <c r="T4090" s="2">
        <v>3.8195E-3</v>
      </c>
    </row>
    <row r="4091" spans="18:20" x14ac:dyDescent="0.45">
      <c r="R4091" s="2">
        <v>57.67</v>
      </c>
      <c r="S4091" s="2">
        <v>5.7855500000000004E-3</v>
      </c>
      <c r="T4091" s="2">
        <v>3.8232499999999998E-3</v>
      </c>
    </row>
    <row r="4092" spans="18:20" x14ac:dyDescent="0.45">
      <c r="R4092" s="2">
        <v>57.68</v>
      </c>
      <c r="S4092" s="2">
        <v>5.7922E-3</v>
      </c>
      <c r="T4092" s="2">
        <v>3.8270000000000001E-3</v>
      </c>
    </row>
    <row r="4093" spans="18:20" x14ac:dyDescent="0.45">
      <c r="R4093" s="2">
        <v>57.69</v>
      </c>
      <c r="S4093" s="2">
        <v>5.7988500000000004E-3</v>
      </c>
      <c r="T4093" s="2">
        <v>3.83075E-3</v>
      </c>
    </row>
    <row r="4094" spans="18:20" x14ac:dyDescent="0.45">
      <c r="R4094" s="2">
        <v>57.7</v>
      </c>
      <c r="S4094" s="2">
        <v>5.8054999999999999E-3</v>
      </c>
      <c r="T4094" s="2">
        <v>3.8344999999999998E-3</v>
      </c>
    </row>
    <row r="4095" spans="18:20" x14ac:dyDescent="0.45">
      <c r="R4095" s="2">
        <v>57.71</v>
      </c>
      <c r="S4095" s="2">
        <v>5.8121500000000003E-3</v>
      </c>
      <c r="T4095" s="2">
        <v>3.8382500000000001E-3</v>
      </c>
    </row>
    <row r="4096" spans="18:20" x14ac:dyDescent="0.45">
      <c r="R4096" s="2">
        <v>57.72</v>
      </c>
      <c r="S4096" s="2">
        <v>5.8187999999999998E-3</v>
      </c>
      <c r="T4096" s="2">
        <v>3.8419999999999999E-3</v>
      </c>
    </row>
    <row r="4097" spans="18:20" x14ac:dyDescent="0.45">
      <c r="R4097" s="2">
        <v>57.73</v>
      </c>
      <c r="S4097" s="2">
        <v>5.8254500000000002E-3</v>
      </c>
      <c r="T4097" s="2">
        <v>3.8457500000000002E-3</v>
      </c>
    </row>
    <row r="4098" spans="18:20" x14ac:dyDescent="0.45">
      <c r="R4098" s="2">
        <v>57.74</v>
      </c>
      <c r="S4098" s="2">
        <v>5.8320999999999998E-3</v>
      </c>
      <c r="T4098" s="2">
        <v>3.8495000000000001E-3</v>
      </c>
    </row>
    <row r="4099" spans="18:20" x14ac:dyDescent="0.45">
      <c r="R4099" s="2">
        <v>57.75</v>
      </c>
      <c r="S4099" s="2">
        <v>5.8387500000000002E-3</v>
      </c>
      <c r="T4099" s="2">
        <v>3.8532499999999999E-3</v>
      </c>
    </row>
    <row r="4100" spans="18:20" x14ac:dyDescent="0.45">
      <c r="R4100" s="2">
        <v>57.76</v>
      </c>
      <c r="S4100" s="2">
        <v>5.8453999999999997E-3</v>
      </c>
      <c r="T4100" s="2">
        <v>3.8570000000000002E-3</v>
      </c>
    </row>
    <row r="4101" spans="18:20" x14ac:dyDescent="0.45">
      <c r="R4101" s="2">
        <v>57.77</v>
      </c>
      <c r="S4101" s="2">
        <v>5.8520500000000001E-3</v>
      </c>
      <c r="T4101" s="2">
        <v>3.86075E-3</v>
      </c>
    </row>
    <row r="4102" spans="18:20" x14ac:dyDescent="0.45">
      <c r="R4102" s="2">
        <v>57.78</v>
      </c>
      <c r="S4102" s="2">
        <v>5.8586999999999997E-3</v>
      </c>
      <c r="T4102" s="2">
        <v>3.8644999999999999E-3</v>
      </c>
    </row>
    <row r="4103" spans="18:20" x14ac:dyDescent="0.45">
      <c r="R4103" s="2">
        <v>57.79</v>
      </c>
      <c r="S4103" s="2">
        <v>5.8653500000000001E-3</v>
      </c>
      <c r="T4103" s="2">
        <v>3.8682500000000002E-3</v>
      </c>
    </row>
    <row r="4104" spans="18:20" x14ac:dyDescent="0.45">
      <c r="R4104" s="2">
        <v>57.8</v>
      </c>
      <c r="S4104" s="2">
        <v>5.8719999999999996E-3</v>
      </c>
      <c r="T4104" s="2">
        <v>3.872E-3</v>
      </c>
    </row>
    <row r="4105" spans="18:20" x14ac:dyDescent="0.45">
      <c r="R4105" s="2">
        <v>57.81</v>
      </c>
      <c r="S4105" s="2">
        <v>5.87865E-3</v>
      </c>
      <c r="T4105" s="2">
        <v>3.8757499999999999E-3</v>
      </c>
    </row>
    <row r="4106" spans="18:20" x14ac:dyDescent="0.45">
      <c r="R4106" s="2">
        <v>57.82</v>
      </c>
      <c r="S4106" s="2">
        <v>5.8853000000000004E-3</v>
      </c>
      <c r="T4106" s="2">
        <v>3.8795000000000001E-3</v>
      </c>
    </row>
    <row r="4107" spans="18:20" x14ac:dyDescent="0.45">
      <c r="R4107" s="2">
        <v>57.83</v>
      </c>
      <c r="S4107" s="2">
        <v>5.89195E-3</v>
      </c>
      <c r="T4107" s="2">
        <v>3.88325E-3</v>
      </c>
    </row>
    <row r="4108" spans="18:20" x14ac:dyDescent="0.45">
      <c r="R4108" s="2">
        <v>57.84</v>
      </c>
      <c r="S4108" s="2">
        <v>5.8986000000000004E-3</v>
      </c>
      <c r="T4108" s="2">
        <v>3.8869999999999998E-3</v>
      </c>
    </row>
    <row r="4109" spans="18:20" x14ac:dyDescent="0.45">
      <c r="R4109" s="2">
        <v>57.85</v>
      </c>
      <c r="S4109" s="2">
        <v>5.9052499999999999E-3</v>
      </c>
      <c r="T4109" s="2">
        <v>3.8907500000000001E-3</v>
      </c>
    </row>
    <row r="4110" spans="18:20" x14ac:dyDescent="0.45">
      <c r="R4110" s="2">
        <v>57.86</v>
      </c>
      <c r="S4110" s="2">
        <v>5.9119000000000003E-3</v>
      </c>
      <c r="T4110" s="2">
        <v>3.8945E-3</v>
      </c>
    </row>
    <row r="4111" spans="18:20" x14ac:dyDescent="0.45">
      <c r="R4111" s="2">
        <v>57.87</v>
      </c>
      <c r="S4111" s="2">
        <v>5.9185499999999999E-3</v>
      </c>
      <c r="T4111" s="2">
        <v>3.8982499999999998E-3</v>
      </c>
    </row>
    <row r="4112" spans="18:20" x14ac:dyDescent="0.45">
      <c r="R4112" s="2">
        <v>57.88</v>
      </c>
      <c r="S4112" s="2">
        <v>5.9252000000000003E-3</v>
      </c>
      <c r="T4112" s="2">
        <v>3.9020000000000001E-3</v>
      </c>
    </row>
    <row r="4113" spans="18:20" x14ac:dyDescent="0.45">
      <c r="R4113" s="2">
        <v>57.89</v>
      </c>
      <c r="S4113" s="2">
        <v>5.9318499999999998E-3</v>
      </c>
      <c r="T4113" s="2">
        <v>3.9057499999999999E-3</v>
      </c>
    </row>
    <row r="4114" spans="18:20" x14ac:dyDescent="0.45">
      <c r="R4114" s="2">
        <v>57.9</v>
      </c>
      <c r="S4114" s="2">
        <v>5.9385000000000002E-3</v>
      </c>
      <c r="T4114" s="2">
        <v>3.9094999999999998E-3</v>
      </c>
    </row>
    <row r="4115" spans="18:20" x14ac:dyDescent="0.45">
      <c r="R4115" s="2">
        <v>57.91</v>
      </c>
      <c r="S4115" s="2">
        <v>5.9451499999999997E-3</v>
      </c>
      <c r="T4115" s="2">
        <v>3.9132500000000001E-3</v>
      </c>
    </row>
    <row r="4116" spans="18:20" x14ac:dyDescent="0.45">
      <c r="R4116" s="2">
        <v>57.92</v>
      </c>
      <c r="S4116" s="2">
        <v>5.9518000000000001E-3</v>
      </c>
      <c r="T4116" s="2">
        <v>3.9170000000000003E-3</v>
      </c>
    </row>
    <row r="4117" spans="18:20" x14ac:dyDescent="0.45">
      <c r="R4117" s="2">
        <v>57.93</v>
      </c>
      <c r="S4117" s="2">
        <v>5.9584499999999997E-3</v>
      </c>
      <c r="T4117" s="2">
        <v>3.9207499999999998E-3</v>
      </c>
    </row>
    <row r="4118" spans="18:20" x14ac:dyDescent="0.45">
      <c r="R4118" s="2">
        <v>57.94</v>
      </c>
      <c r="S4118" s="2">
        <v>5.9651000000000001E-3</v>
      </c>
      <c r="T4118" s="2">
        <v>3.9245E-3</v>
      </c>
    </row>
    <row r="4119" spans="18:20" x14ac:dyDescent="0.45">
      <c r="R4119" s="2">
        <v>57.95</v>
      </c>
      <c r="S4119" s="2">
        <v>5.9717499999999996E-3</v>
      </c>
      <c r="T4119" s="2">
        <v>3.9282500000000003E-3</v>
      </c>
    </row>
    <row r="4120" spans="18:20" x14ac:dyDescent="0.45">
      <c r="R4120" s="2">
        <v>57.96</v>
      </c>
      <c r="S4120" s="2">
        <v>5.9784E-3</v>
      </c>
      <c r="T4120" s="2">
        <v>3.9319999999999997E-3</v>
      </c>
    </row>
    <row r="4121" spans="18:20" x14ac:dyDescent="0.45">
      <c r="R4121" s="2">
        <v>57.97</v>
      </c>
      <c r="S4121" s="2">
        <v>5.9850499999999996E-3</v>
      </c>
      <c r="T4121" s="2">
        <v>3.93575E-3</v>
      </c>
    </row>
    <row r="4122" spans="18:20" x14ac:dyDescent="0.45">
      <c r="R4122" s="2">
        <v>57.98</v>
      </c>
      <c r="S4122" s="2">
        <v>5.9917E-3</v>
      </c>
      <c r="T4122" s="2">
        <v>3.9395000000000003E-3</v>
      </c>
    </row>
    <row r="4123" spans="18:20" x14ac:dyDescent="0.45">
      <c r="R4123" s="2">
        <v>57.99</v>
      </c>
      <c r="S4123" s="2">
        <v>5.9983500000000004E-3</v>
      </c>
      <c r="T4123" s="2">
        <v>3.9432499999999997E-3</v>
      </c>
    </row>
    <row r="4124" spans="18:20" x14ac:dyDescent="0.45">
      <c r="R4124" s="2">
        <v>58</v>
      </c>
      <c r="S4124" s="2">
        <v>6.0049999999999999E-3</v>
      </c>
      <c r="T4124" s="2">
        <v>3.947E-3</v>
      </c>
    </row>
    <row r="4125" spans="18:20" x14ac:dyDescent="0.45">
      <c r="R4125" s="2">
        <v>58.01</v>
      </c>
      <c r="S4125" s="2">
        <v>6.0124899999999997E-3</v>
      </c>
      <c r="T4125" s="2">
        <v>3.9511499999999996E-3</v>
      </c>
    </row>
    <row r="4126" spans="18:20" x14ac:dyDescent="0.45">
      <c r="R4126" s="2">
        <v>58.02</v>
      </c>
      <c r="S4126" s="2">
        <v>6.0199800000000003E-3</v>
      </c>
      <c r="T4126" s="2">
        <v>3.9553000000000001E-3</v>
      </c>
    </row>
    <row r="4127" spans="18:20" x14ac:dyDescent="0.45">
      <c r="R4127" s="2">
        <v>58.03</v>
      </c>
      <c r="S4127" s="2">
        <v>6.02747E-3</v>
      </c>
      <c r="T4127" s="2">
        <v>3.9594499999999998E-3</v>
      </c>
    </row>
    <row r="4128" spans="18:20" x14ac:dyDescent="0.45">
      <c r="R4128" s="2">
        <v>58.04</v>
      </c>
      <c r="S4128" s="2">
        <v>6.0349599999999998E-3</v>
      </c>
      <c r="T4128" s="2">
        <v>3.9636000000000003E-3</v>
      </c>
    </row>
    <row r="4129" spans="18:20" x14ac:dyDescent="0.45">
      <c r="R4129" s="2">
        <v>58.05</v>
      </c>
      <c r="S4129" s="2">
        <v>6.0424500000000004E-3</v>
      </c>
      <c r="T4129" s="2">
        <v>3.9677499999999999E-3</v>
      </c>
    </row>
    <row r="4130" spans="18:20" x14ac:dyDescent="0.45">
      <c r="R4130" s="2">
        <v>58.06</v>
      </c>
      <c r="S4130" s="2">
        <v>6.0499400000000002E-3</v>
      </c>
      <c r="T4130" s="2">
        <v>3.9719000000000004E-3</v>
      </c>
    </row>
    <row r="4131" spans="18:20" x14ac:dyDescent="0.45">
      <c r="R4131" s="2">
        <v>58.07</v>
      </c>
      <c r="S4131" s="2">
        <v>6.0574299999999999E-3</v>
      </c>
      <c r="T4131" s="2">
        <v>3.9760500000000001E-3</v>
      </c>
    </row>
    <row r="4132" spans="18:20" x14ac:dyDescent="0.45">
      <c r="R4132" s="2">
        <v>58.08</v>
      </c>
      <c r="S4132" s="2">
        <v>6.0649199999999997E-3</v>
      </c>
      <c r="T4132" s="2">
        <v>3.9801999999999997E-3</v>
      </c>
    </row>
    <row r="4133" spans="18:20" x14ac:dyDescent="0.45">
      <c r="R4133" s="2">
        <v>58.09</v>
      </c>
      <c r="S4133" s="2">
        <v>6.0724100000000003E-3</v>
      </c>
      <c r="T4133" s="2">
        <v>3.9843500000000002E-3</v>
      </c>
    </row>
    <row r="4134" spans="18:20" x14ac:dyDescent="0.45">
      <c r="R4134" s="2">
        <v>58.1</v>
      </c>
      <c r="S4134" s="2">
        <v>6.0799000000000001E-3</v>
      </c>
      <c r="T4134" s="2">
        <v>3.9884999999999999E-3</v>
      </c>
    </row>
    <row r="4135" spans="18:20" x14ac:dyDescent="0.45">
      <c r="R4135" s="2">
        <v>58.11</v>
      </c>
      <c r="S4135" s="2">
        <v>6.0873899999999998E-3</v>
      </c>
      <c r="T4135" s="2">
        <v>3.9926500000000004E-3</v>
      </c>
    </row>
    <row r="4136" spans="18:20" x14ac:dyDescent="0.45">
      <c r="R4136" s="2">
        <v>58.12</v>
      </c>
      <c r="S4136" s="2">
        <v>6.0948799999999996E-3</v>
      </c>
      <c r="T4136" s="2">
        <v>3.9968E-3</v>
      </c>
    </row>
    <row r="4137" spans="18:20" x14ac:dyDescent="0.45">
      <c r="R4137" s="2">
        <v>58.13</v>
      </c>
      <c r="S4137" s="2">
        <v>6.1023700000000002E-3</v>
      </c>
      <c r="T4137" s="2">
        <v>4.0009499999999996E-3</v>
      </c>
    </row>
    <row r="4138" spans="18:20" x14ac:dyDescent="0.45">
      <c r="R4138" s="2">
        <v>58.14</v>
      </c>
      <c r="S4138" s="2">
        <v>6.1098599999999999E-3</v>
      </c>
      <c r="T4138" s="2">
        <v>4.0051000000000002E-3</v>
      </c>
    </row>
    <row r="4139" spans="18:20" x14ac:dyDescent="0.45">
      <c r="R4139" s="2">
        <v>58.15</v>
      </c>
      <c r="S4139" s="2">
        <v>6.1173499999999997E-3</v>
      </c>
      <c r="T4139" s="2">
        <v>4.0092499999999998E-3</v>
      </c>
    </row>
    <row r="4140" spans="18:20" x14ac:dyDescent="0.45">
      <c r="R4140" s="2">
        <v>58.16</v>
      </c>
      <c r="S4140" s="2">
        <v>6.1248400000000003E-3</v>
      </c>
      <c r="T4140" s="2">
        <v>4.0134000000000003E-3</v>
      </c>
    </row>
    <row r="4141" spans="18:20" x14ac:dyDescent="0.45">
      <c r="R4141" s="2">
        <v>58.17</v>
      </c>
      <c r="S4141" s="2">
        <v>6.1323300000000001E-3</v>
      </c>
      <c r="T4141" s="2">
        <v>4.0175499999999999E-3</v>
      </c>
    </row>
    <row r="4142" spans="18:20" x14ac:dyDescent="0.45">
      <c r="R4142" s="2">
        <v>58.18</v>
      </c>
      <c r="S4142" s="2">
        <v>6.1398199999999998E-3</v>
      </c>
      <c r="T4142" s="2">
        <v>4.0216999999999996E-3</v>
      </c>
    </row>
    <row r="4143" spans="18:20" x14ac:dyDescent="0.45">
      <c r="R4143" s="2">
        <v>58.19</v>
      </c>
      <c r="S4143" s="2">
        <v>6.1473099999999996E-3</v>
      </c>
      <c r="T4143" s="2">
        <v>4.0258500000000001E-3</v>
      </c>
    </row>
    <row r="4144" spans="18:20" x14ac:dyDescent="0.45">
      <c r="R4144" s="2">
        <v>58.2</v>
      </c>
      <c r="S4144" s="2">
        <v>6.1548000000000002E-3</v>
      </c>
      <c r="T4144" s="2">
        <v>4.0299999999999997E-3</v>
      </c>
    </row>
    <row r="4145" spans="18:20" x14ac:dyDescent="0.45">
      <c r="R4145" s="2">
        <v>58.21</v>
      </c>
      <c r="S4145" s="2">
        <v>6.16229E-3</v>
      </c>
      <c r="T4145" s="2">
        <v>4.0341500000000002E-3</v>
      </c>
    </row>
    <row r="4146" spans="18:20" x14ac:dyDescent="0.45">
      <c r="R4146" s="2">
        <v>58.22</v>
      </c>
      <c r="S4146" s="2">
        <v>6.1697799999999997E-3</v>
      </c>
      <c r="T4146" s="2">
        <v>4.0382999999999999E-3</v>
      </c>
    </row>
    <row r="4147" spans="18:20" x14ac:dyDescent="0.45">
      <c r="R4147" s="2">
        <v>58.23</v>
      </c>
      <c r="S4147" s="2">
        <v>6.1772700000000003E-3</v>
      </c>
      <c r="T4147" s="2">
        <v>4.0424500000000004E-3</v>
      </c>
    </row>
    <row r="4148" spans="18:20" x14ac:dyDescent="0.45">
      <c r="R4148" s="2">
        <v>58.24</v>
      </c>
      <c r="S4148" s="2">
        <v>6.1847600000000001E-3</v>
      </c>
      <c r="T4148" s="2">
        <v>4.0466E-3</v>
      </c>
    </row>
    <row r="4149" spans="18:20" x14ac:dyDescent="0.45">
      <c r="R4149" s="2">
        <v>58.25</v>
      </c>
      <c r="S4149" s="2">
        <v>6.1922499999999998E-3</v>
      </c>
      <c r="T4149" s="2">
        <v>4.0507499999999997E-3</v>
      </c>
    </row>
    <row r="4150" spans="18:20" x14ac:dyDescent="0.45">
      <c r="R4150" s="2">
        <v>58.26</v>
      </c>
      <c r="S4150" s="2">
        <v>6.1997399999999996E-3</v>
      </c>
      <c r="T4150" s="2">
        <v>4.0549000000000002E-3</v>
      </c>
    </row>
    <row r="4151" spans="18:20" x14ac:dyDescent="0.45">
      <c r="R4151" s="2">
        <v>58.27</v>
      </c>
      <c r="S4151" s="2">
        <v>6.2072300000000002E-3</v>
      </c>
      <c r="T4151" s="2">
        <v>4.0590499999999998E-3</v>
      </c>
    </row>
    <row r="4152" spans="18:20" x14ac:dyDescent="0.45">
      <c r="R4152" s="2">
        <v>58.28</v>
      </c>
      <c r="S4152" s="2">
        <v>6.21472E-3</v>
      </c>
      <c r="T4152" s="2">
        <v>4.0632000000000003E-3</v>
      </c>
    </row>
    <row r="4153" spans="18:20" x14ac:dyDescent="0.45">
      <c r="R4153" s="2">
        <v>58.29</v>
      </c>
      <c r="S4153" s="2">
        <v>6.2222099999999997E-3</v>
      </c>
      <c r="T4153" s="2">
        <v>4.06735E-3</v>
      </c>
    </row>
    <row r="4154" spans="18:20" x14ac:dyDescent="0.45">
      <c r="R4154" s="2">
        <v>58.3</v>
      </c>
      <c r="S4154" s="2">
        <v>6.2297000000000003E-3</v>
      </c>
      <c r="T4154" s="2">
        <v>4.0714999999999996E-3</v>
      </c>
    </row>
    <row r="4155" spans="18:20" x14ac:dyDescent="0.45">
      <c r="R4155" s="2">
        <v>58.31</v>
      </c>
      <c r="S4155" s="2">
        <v>6.2371900000000001E-3</v>
      </c>
      <c r="T4155" s="2">
        <v>4.0756500000000001E-3</v>
      </c>
    </row>
    <row r="4156" spans="18:20" x14ac:dyDescent="0.45">
      <c r="R4156" s="2">
        <v>58.32</v>
      </c>
      <c r="S4156" s="2">
        <v>6.2446799999999998E-3</v>
      </c>
      <c r="T4156" s="2">
        <v>4.0797999999999997E-3</v>
      </c>
    </row>
    <row r="4157" spans="18:20" x14ac:dyDescent="0.45">
      <c r="R4157" s="2">
        <v>58.33</v>
      </c>
      <c r="S4157" s="2">
        <v>6.2521699999999996E-3</v>
      </c>
      <c r="T4157" s="2">
        <v>4.0839500000000003E-3</v>
      </c>
    </row>
    <row r="4158" spans="18:20" x14ac:dyDescent="0.45">
      <c r="R4158" s="2">
        <v>58.34</v>
      </c>
      <c r="S4158" s="2">
        <v>6.2596600000000002E-3</v>
      </c>
      <c r="T4158" s="2">
        <v>4.0880999999999999E-3</v>
      </c>
    </row>
    <row r="4159" spans="18:20" x14ac:dyDescent="0.45">
      <c r="R4159" s="2">
        <v>58.35</v>
      </c>
      <c r="S4159" s="2">
        <v>6.26715E-3</v>
      </c>
      <c r="T4159" s="2">
        <v>4.0922500000000004E-3</v>
      </c>
    </row>
    <row r="4160" spans="18:20" x14ac:dyDescent="0.45">
      <c r="R4160" s="2">
        <v>58.36</v>
      </c>
      <c r="S4160" s="2">
        <v>6.2746399999999997E-3</v>
      </c>
      <c r="T4160" s="2">
        <v>4.0964E-3</v>
      </c>
    </row>
    <row r="4161" spans="18:20" x14ac:dyDescent="0.45">
      <c r="R4161" s="2">
        <v>58.37</v>
      </c>
      <c r="S4161" s="2">
        <v>6.2821300000000004E-3</v>
      </c>
      <c r="T4161" s="2">
        <v>4.1005499999999997E-3</v>
      </c>
    </row>
    <row r="4162" spans="18:20" x14ac:dyDescent="0.45">
      <c r="R4162" s="2">
        <v>58.38</v>
      </c>
      <c r="S4162" s="2">
        <v>6.2896200000000001E-3</v>
      </c>
      <c r="T4162" s="2">
        <v>4.1047000000000002E-3</v>
      </c>
    </row>
    <row r="4163" spans="18:20" x14ac:dyDescent="0.45">
      <c r="R4163" s="2">
        <v>58.39</v>
      </c>
      <c r="S4163" s="2">
        <v>6.2971099999999999E-3</v>
      </c>
      <c r="T4163" s="2">
        <v>4.1088499999999998E-3</v>
      </c>
    </row>
    <row r="4164" spans="18:20" x14ac:dyDescent="0.45">
      <c r="R4164" s="2">
        <v>58.4</v>
      </c>
      <c r="S4164" s="2">
        <v>6.3045999999999996E-3</v>
      </c>
      <c r="T4164" s="2">
        <v>4.1130000000000003E-3</v>
      </c>
    </row>
    <row r="4165" spans="18:20" x14ac:dyDescent="0.45">
      <c r="R4165" s="2">
        <v>58.41</v>
      </c>
      <c r="S4165" s="2">
        <v>6.3120900000000002E-3</v>
      </c>
      <c r="T4165" s="2">
        <v>4.11715E-3</v>
      </c>
    </row>
    <row r="4166" spans="18:20" x14ac:dyDescent="0.45">
      <c r="R4166" s="2">
        <v>58.42</v>
      </c>
      <c r="S4166" s="2">
        <v>6.31958E-3</v>
      </c>
      <c r="T4166" s="2">
        <v>4.1212999999999996E-3</v>
      </c>
    </row>
    <row r="4167" spans="18:20" x14ac:dyDescent="0.45">
      <c r="R4167" s="2">
        <v>58.43</v>
      </c>
      <c r="S4167" s="2">
        <v>6.3270699999999997E-3</v>
      </c>
      <c r="T4167" s="2">
        <v>4.1254500000000001E-3</v>
      </c>
    </row>
    <row r="4168" spans="18:20" x14ac:dyDescent="0.45">
      <c r="R4168" s="2">
        <v>58.44</v>
      </c>
      <c r="S4168" s="2">
        <v>6.3345600000000004E-3</v>
      </c>
      <c r="T4168" s="2">
        <v>4.1295999999999998E-3</v>
      </c>
    </row>
    <row r="4169" spans="18:20" x14ac:dyDescent="0.45">
      <c r="R4169" s="2">
        <v>58.45</v>
      </c>
      <c r="S4169" s="2">
        <v>6.3420500000000001E-3</v>
      </c>
      <c r="T4169" s="2">
        <v>4.1337500000000003E-3</v>
      </c>
    </row>
    <row r="4170" spans="18:20" x14ac:dyDescent="0.45">
      <c r="R4170" s="2">
        <v>58.46</v>
      </c>
      <c r="S4170" s="2">
        <v>6.3495399999999999E-3</v>
      </c>
      <c r="T4170" s="2">
        <v>4.1378999999999999E-3</v>
      </c>
    </row>
    <row r="4171" spans="18:20" x14ac:dyDescent="0.45">
      <c r="R4171" s="2">
        <v>58.47</v>
      </c>
      <c r="S4171" s="2">
        <v>6.3570299999999996E-3</v>
      </c>
      <c r="T4171" s="2">
        <v>4.1420500000000004E-3</v>
      </c>
    </row>
    <row r="4172" spans="18:20" x14ac:dyDescent="0.45">
      <c r="R4172" s="2">
        <v>58.48</v>
      </c>
      <c r="S4172" s="2">
        <v>6.3645200000000002E-3</v>
      </c>
      <c r="T4172" s="2">
        <v>4.1462000000000001E-3</v>
      </c>
    </row>
    <row r="4173" spans="18:20" x14ac:dyDescent="0.45">
      <c r="R4173" s="2">
        <v>58.49</v>
      </c>
      <c r="S4173" s="2">
        <v>6.37201E-3</v>
      </c>
      <c r="T4173" s="2">
        <v>4.1503499999999997E-3</v>
      </c>
    </row>
    <row r="4174" spans="18:20" x14ac:dyDescent="0.45">
      <c r="R4174" s="2">
        <v>58.5</v>
      </c>
      <c r="S4174" s="2">
        <v>6.3794999999999998E-3</v>
      </c>
      <c r="T4174" s="2">
        <v>4.1545000000000002E-3</v>
      </c>
    </row>
    <row r="4175" spans="18:20" x14ac:dyDescent="0.45">
      <c r="R4175" s="2">
        <v>58.51</v>
      </c>
      <c r="S4175" s="2">
        <v>6.3869900000000004E-3</v>
      </c>
      <c r="T4175" s="2">
        <v>4.1586499999999998E-3</v>
      </c>
    </row>
    <row r="4176" spans="18:20" x14ac:dyDescent="0.45">
      <c r="R4176" s="2">
        <v>58.52</v>
      </c>
      <c r="S4176" s="2">
        <v>6.3944800000000001E-3</v>
      </c>
      <c r="T4176" s="2">
        <v>4.1628000000000004E-3</v>
      </c>
    </row>
    <row r="4177" spans="18:20" x14ac:dyDescent="0.45">
      <c r="R4177" s="2">
        <v>58.53</v>
      </c>
      <c r="S4177" s="2">
        <v>6.4019699999999999E-3</v>
      </c>
      <c r="T4177" s="2">
        <v>4.16695E-3</v>
      </c>
    </row>
    <row r="4178" spans="18:20" x14ac:dyDescent="0.45">
      <c r="R4178" s="2">
        <v>58.54</v>
      </c>
      <c r="S4178" s="2">
        <v>6.4094599999999996E-3</v>
      </c>
      <c r="T4178" s="2">
        <v>4.1710999999999996E-3</v>
      </c>
    </row>
    <row r="4179" spans="18:20" x14ac:dyDescent="0.45">
      <c r="R4179" s="2">
        <v>58.55</v>
      </c>
      <c r="S4179" s="2">
        <v>6.4169500000000003E-3</v>
      </c>
      <c r="T4179" s="2">
        <v>4.1752500000000001E-3</v>
      </c>
    </row>
    <row r="4180" spans="18:20" x14ac:dyDescent="0.45">
      <c r="R4180" s="2">
        <v>58.56</v>
      </c>
      <c r="S4180" s="2">
        <v>6.42444E-3</v>
      </c>
      <c r="T4180" s="2">
        <v>4.1793999999999998E-3</v>
      </c>
    </row>
    <row r="4181" spans="18:20" x14ac:dyDescent="0.45">
      <c r="R4181" s="2">
        <v>58.57</v>
      </c>
      <c r="S4181" s="2">
        <v>6.4319299999999998E-3</v>
      </c>
      <c r="T4181" s="2">
        <v>4.1835500000000003E-3</v>
      </c>
    </row>
    <row r="4182" spans="18:20" x14ac:dyDescent="0.45">
      <c r="R4182" s="2">
        <v>58.58</v>
      </c>
      <c r="S4182" s="2">
        <v>6.4394200000000004E-3</v>
      </c>
      <c r="T4182" s="2">
        <v>4.1876999999999999E-3</v>
      </c>
    </row>
    <row r="4183" spans="18:20" x14ac:dyDescent="0.45">
      <c r="R4183" s="2">
        <v>58.59</v>
      </c>
      <c r="S4183" s="2">
        <v>6.4469100000000001E-3</v>
      </c>
      <c r="T4183" s="2">
        <v>4.1918499999999996E-3</v>
      </c>
    </row>
    <row r="4184" spans="18:20" x14ac:dyDescent="0.45">
      <c r="R4184" s="2">
        <v>58.6</v>
      </c>
      <c r="S4184" s="2">
        <v>6.4543999999999999E-3</v>
      </c>
      <c r="T4184" s="2">
        <v>4.1960000000000001E-3</v>
      </c>
    </row>
    <row r="4185" spans="18:20" x14ac:dyDescent="0.45">
      <c r="R4185" s="2">
        <v>58.61</v>
      </c>
      <c r="S4185" s="2">
        <v>6.4618899999999996E-3</v>
      </c>
      <c r="T4185" s="2">
        <v>4.2001499999999997E-3</v>
      </c>
    </row>
    <row r="4186" spans="18:20" x14ac:dyDescent="0.45">
      <c r="R4186" s="2">
        <v>58.62</v>
      </c>
      <c r="S4186" s="2">
        <v>6.4693800000000003E-3</v>
      </c>
      <c r="T4186" s="2">
        <v>4.2043000000000002E-3</v>
      </c>
    </row>
    <row r="4187" spans="18:20" x14ac:dyDescent="0.45">
      <c r="R4187" s="2">
        <v>58.63</v>
      </c>
      <c r="S4187" s="2">
        <v>6.47687E-3</v>
      </c>
      <c r="T4187" s="2">
        <v>4.2084499999999999E-3</v>
      </c>
    </row>
    <row r="4188" spans="18:20" x14ac:dyDescent="0.45">
      <c r="R4188" s="2">
        <v>58.64</v>
      </c>
      <c r="S4188" s="2">
        <v>6.4843599999999998E-3</v>
      </c>
      <c r="T4188" s="2">
        <v>4.2126000000000004E-3</v>
      </c>
    </row>
    <row r="4189" spans="18:20" x14ac:dyDescent="0.45">
      <c r="R4189" s="2">
        <v>58.65</v>
      </c>
      <c r="S4189" s="2">
        <v>6.4918500000000004E-3</v>
      </c>
      <c r="T4189" s="2">
        <v>4.21675E-3</v>
      </c>
    </row>
    <row r="4190" spans="18:20" x14ac:dyDescent="0.45">
      <c r="R4190" s="2">
        <v>58.66</v>
      </c>
      <c r="S4190" s="2">
        <v>6.4993400000000002E-3</v>
      </c>
      <c r="T4190" s="2">
        <v>4.2208999999999997E-3</v>
      </c>
    </row>
    <row r="4191" spans="18:20" x14ac:dyDescent="0.45">
      <c r="R4191" s="2">
        <v>58.67</v>
      </c>
      <c r="S4191" s="2">
        <v>6.5068299999999999E-3</v>
      </c>
      <c r="T4191" s="2">
        <v>4.2250500000000002E-3</v>
      </c>
    </row>
    <row r="4192" spans="18:20" x14ac:dyDescent="0.45">
      <c r="R4192" s="2">
        <v>58.68</v>
      </c>
      <c r="S4192" s="2">
        <v>6.5143199999999997E-3</v>
      </c>
      <c r="T4192" s="2">
        <v>4.2291999999999998E-3</v>
      </c>
    </row>
    <row r="4193" spans="18:20" x14ac:dyDescent="0.45">
      <c r="R4193" s="2">
        <v>58.69</v>
      </c>
      <c r="S4193" s="2">
        <v>6.5218100000000003E-3</v>
      </c>
      <c r="T4193" s="2">
        <v>4.2333500000000003E-3</v>
      </c>
    </row>
    <row r="4194" spans="18:20" x14ac:dyDescent="0.45">
      <c r="R4194" s="2">
        <v>58.7</v>
      </c>
      <c r="S4194" s="2">
        <v>6.5293E-3</v>
      </c>
      <c r="T4194" s="2">
        <v>4.2374999999999999E-3</v>
      </c>
    </row>
    <row r="4195" spans="18:20" x14ac:dyDescent="0.45">
      <c r="R4195" s="2">
        <v>58.71</v>
      </c>
      <c r="S4195" s="2">
        <v>6.5367899999999998E-3</v>
      </c>
      <c r="T4195" s="2">
        <v>4.2416499999999996E-3</v>
      </c>
    </row>
    <row r="4196" spans="18:20" x14ac:dyDescent="0.45">
      <c r="R4196" s="2">
        <v>58.72</v>
      </c>
      <c r="S4196" s="2">
        <v>6.5442800000000004E-3</v>
      </c>
      <c r="T4196" s="2">
        <v>4.2458000000000001E-3</v>
      </c>
    </row>
    <row r="4197" spans="18:20" x14ac:dyDescent="0.45">
      <c r="R4197" s="2">
        <v>58.73</v>
      </c>
      <c r="S4197" s="2">
        <v>6.5517700000000002E-3</v>
      </c>
      <c r="T4197" s="2">
        <v>4.2499499999999997E-3</v>
      </c>
    </row>
    <row r="4198" spans="18:20" x14ac:dyDescent="0.45">
      <c r="R4198" s="2">
        <v>58.74</v>
      </c>
      <c r="S4198" s="2">
        <v>6.5592599999999999E-3</v>
      </c>
      <c r="T4198" s="2">
        <v>4.2541000000000002E-3</v>
      </c>
    </row>
    <row r="4199" spans="18:20" x14ac:dyDescent="0.45">
      <c r="R4199" s="2">
        <v>58.75</v>
      </c>
      <c r="S4199" s="2">
        <v>6.5667499999999997E-3</v>
      </c>
      <c r="T4199" s="2">
        <v>4.2582499999999999E-3</v>
      </c>
    </row>
    <row r="4200" spans="18:20" x14ac:dyDescent="0.45">
      <c r="R4200" s="2">
        <v>58.76</v>
      </c>
      <c r="S4200" s="2">
        <v>6.5742400000000003E-3</v>
      </c>
      <c r="T4200" s="2">
        <v>4.2624000000000004E-3</v>
      </c>
    </row>
    <row r="4201" spans="18:20" x14ac:dyDescent="0.45">
      <c r="R4201" s="2">
        <v>58.77</v>
      </c>
      <c r="S4201" s="2">
        <v>6.58173E-3</v>
      </c>
      <c r="T4201" s="2">
        <v>4.26655E-3</v>
      </c>
    </row>
    <row r="4202" spans="18:20" x14ac:dyDescent="0.45">
      <c r="R4202" s="2">
        <v>58.78</v>
      </c>
      <c r="S4202" s="2">
        <v>6.5892199999999998E-3</v>
      </c>
      <c r="T4202" s="2">
        <v>4.2706999999999997E-3</v>
      </c>
    </row>
    <row r="4203" spans="18:20" x14ac:dyDescent="0.45">
      <c r="R4203" s="2">
        <v>58.79</v>
      </c>
      <c r="S4203" s="2">
        <v>6.5967100000000004E-3</v>
      </c>
      <c r="T4203" s="2">
        <v>4.2748500000000002E-3</v>
      </c>
    </row>
    <row r="4204" spans="18:20" x14ac:dyDescent="0.45">
      <c r="R4204" s="2">
        <v>58.8</v>
      </c>
      <c r="S4204" s="2">
        <v>6.6042000000000002E-3</v>
      </c>
      <c r="T4204" s="2">
        <v>4.2789999999999998E-3</v>
      </c>
    </row>
    <row r="4205" spans="18:20" x14ac:dyDescent="0.45">
      <c r="R4205" s="2">
        <v>58.81</v>
      </c>
      <c r="S4205" s="2">
        <v>6.6116899999999999E-3</v>
      </c>
      <c r="T4205" s="2">
        <v>4.2831500000000003E-3</v>
      </c>
    </row>
    <row r="4206" spans="18:20" x14ac:dyDescent="0.45">
      <c r="R4206" s="2">
        <v>58.82</v>
      </c>
      <c r="S4206" s="2">
        <v>6.6191799999999997E-3</v>
      </c>
      <c r="T4206" s="2">
        <v>4.2873E-3</v>
      </c>
    </row>
    <row r="4207" spans="18:20" x14ac:dyDescent="0.45">
      <c r="R4207" s="2">
        <v>58.83</v>
      </c>
      <c r="S4207" s="2">
        <v>6.6266700000000003E-3</v>
      </c>
      <c r="T4207" s="2">
        <v>4.2914499999999996E-3</v>
      </c>
    </row>
    <row r="4208" spans="18:20" x14ac:dyDescent="0.45">
      <c r="R4208" s="2">
        <v>58.84</v>
      </c>
      <c r="S4208" s="2">
        <v>6.6341600000000001E-3</v>
      </c>
      <c r="T4208" s="2">
        <v>4.2956000000000001E-3</v>
      </c>
    </row>
    <row r="4209" spans="18:20" x14ac:dyDescent="0.45">
      <c r="R4209" s="2">
        <v>58.85</v>
      </c>
      <c r="S4209" s="2">
        <v>6.6416499999999998E-3</v>
      </c>
      <c r="T4209" s="2">
        <v>4.2997499999999998E-3</v>
      </c>
    </row>
    <row r="4210" spans="18:20" x14ac:dyDescent="0.45">
      <c r="R4210" s="2">
        <v>58.86</v>
      </c>
      <c r="S4210" s="2">
        <v>6.6491400000000004E-3</v>
      </c>
      <c r="T4210" s="2">
        <v>4.3039000000000003E-3</v>
      </c>
    </row>
    <row r="4211" spans="18:20" x14ac:dyDescent="0.45">
      <c r="R4211" s="2">
        <v>58.87</v>
      </c>
      <c r="S4211" s="2">
        <v>6.6566300000000002E-3</v>
      </c>
      <c r="T4211" s="2">
        <v>4.3080499999999999E-3</v>
      </c>
    </row>
    <row r="4212" spans="18:20" x14ac:dyDescent="0.45">
      <c r="R4212" s="2">
        <v>58.88</v>
      </c>
      <c r="S4212" s="2">
        <v>6.6641199999999999E-3</v>
      </c>
      <c r="T4212" s="2">
        <v>4.3122000000000004E-3</v>
      </c>
    </row>
    <row r="4213" spans="18:20" x14ac:dyDescent="0.45">
      <c r="R4213" s="2">
        <v>58.89</v>
      </c>
      <c r="S4213" s="2">
        <v>6.6716099999999997E-3</v>
      </c>
      <c r="T4213" s="2">
        <v>4.31635E-3</v>
      </c>
    </row>
    <row r="4214" spans="18:20" x14ac:dyDescent="0.45">
      <c r="R4214" s="2">
        <v>58.9</v>
      </c>
      <c r="S4214" s="2">
        <v>6.6791000000000003E-3</v>
      </c>
      <c r="T4214" s="2">
        <v>4.3204999999999997E-3</v>
      </c>
    </row>
    <row r="4215" spans="18:20" x14ac:dyDescent="0.45">
      <c r="R4215" s="2">
        <v>58.91</v>
      </c>
      <c r="S4215" s="2">
        <v>6.6865900000000001E-3</v>
      </c>
      <c r="T4215" s="2">
        <v>4.3246500000000002E-3</v>
      </c>
    </row>
    <row r="4216" spans="18:20" x14ac:dyDescent="0.45">
      <c r="R4216" s="2">
        <v>58.92</v>
      </c>
      <c r="S4216" s="2">
        <v>6.6940799999999998E-3</v>
      </c>
      <c r="T4216" s="2">
        <v>4.3287999999999998E-3</v>
      </c>
    </row>
    <row r="4217" spans="18:20" x14ac:dyDescent="0.45">
      <c r="R4217" s="2">
        <v>58.93</v>
      </c>
      <c r="S4217" s="2">
        <v>6.7015699999999996E-3</v>
      </c>
      <c r="T4217" s="2">
        <v>4.3329500000000003E-3</v>
      </c>
    </row>
    <row r="4218" spans="18:20" x14ac:dyDescent="0.45">
      <c r="R4218" s="2">
        <v>58.94</v>
      </c>
      <c r="S4218" s="2">
        <v>6.7090600000000002E-3</v>
      </c>
      <c r="T4218" s="2">
        <v>4.3371E-3</v>
      </c>
    </row>
    <row r="4219" spans="18:20" x14ac:dyDescent="0.45">
      <c r="R4219" s="2">
        <v>58.95</v>
      </c>
      <c r="S4219" s="2">
        <v>6.71655E-3</v>
      </c>
      <c r="T4219" s="2">
        <v>4.3412499999999996E-3</v>
      </c>
    </row>
    <row r="4220" spans="18:20" x14ac:dyDescent="0.45">
      <c r="R4220" s="2">
        <v>58.96</v>
      </c>
      <c r="S4220" s="2">
        <v>6.7240399999999997E-3</v>
      </c>
      <c r="T4220" s="2">
        <v>4.3454000000000001E-3</v>
      </c>
    </row>
    <row r="4221" spans="18:20" x14ac:dyDescent="0.45">
      <c r="R4221" s="2">
        <v>58.97</v>
      </c>
      <c r="S4221" s="2">
        <v>6.7315300000000003E-3</v>
      </c>
      <c r="T4221" s="2">
        <v>4.3495499999999998E-3</v>
      </c>
    </row>
    <row r="4222" spans="18:20" x14ac:dyDescent="0.45">
      <c r="R4222" s="2">
        <v>58.98</v>
      </c>
      <c r="S4222" s="2">
        <v>6.7390200000000001E-3</v>
      </c>
      <c r="T4222" s="2">
        <v>4.3537000000000003E-3</v>
      </c>
    </row>
    <row r="4223" spans="18:20" x14ac:dyDescent="0.45">
      <c r="R4223" s="2">
        <v>58.99</v>
      </c>
      <c r="S4223" s="2">
        <v>6.7465099999999998E-3</v>
      </c>
      <c r="T4223" s="2">
        <v>4.3578499999999999E-3</v>
      </c>
    </row>
    <row r="4224" spans="18:20" x14ac:dyDescent="0.45">
      <c r="R4224" s="2">
        <v>59</v>
      </c>
      <c r="S4224" s="2">
        <v>6.7539999999999996E-3</v>
      </c>
      <c r="T4224" s="2">
        <v>4.3620000000000004E-3</v>
      </c>
    </row>
    <row r="4225" spans="18:20" x14ac:dyDescent="0.45">
      <c r="R4225" s="2">
        <v>59.01</v>
      </c>
      <c r="S4225" s="2">
        <v>6.7623900000000001E-3</v>
      </c>
      <c r="T4225" s="2">
        <v>4.3665900000000001E-3</v>
      </c>
    </row>
    <row r="4226" spans="18:20" x14ac:dyDescent="0.45">
      <c r="R4226" s="2">
        <v>59.02</v>
      </c>
      <c r="S4226" s="2">
        <v>6.7707799999999997E-3</v>
      </c>
      <c r="T4226" s="2">
        <v>4.3711799999999997E-3</v>
      </c>
    </row>
    <row r="4227" spans="18:20" x14ac:dyDescent="0.45">
      <c r="R4227" s="2">
        <v>59.03</v>
      </c>
      <c r="S4227" s="2">
        <v>6.7791700000000002E-3</v>
      </c>
      <c r="T4227" s="2">
        <v>4.3757700000000002E-3</v>
      </c>
    </row>
    <row r="4228" spans="18:20" x14ac:dyDescent="0.45">
      <c r="R4228" s="2">
        <v>59.04</v>
      </c>
      <c r="S4228" s="2">
        <v>6.7875599999999998E-3</v>
      </c>
      <c r="T4228" s="2">
        <v>4.3803599999999998E-3</v>
      </c>
    </row>
    <row r="4229" spans="18:20" x14ac:dyDescent="0.45">
      <c r="R4229" s="2">
        <v>59.05</v>
      </c>
      <c r="S4229" s="2">
        <v>6.7959500000000003E-3</v>
      </c>
      <c r="T4229" s="2">
        <v>4.3849500000000003E-3</v>
      </c>
    </row>
    <row r="4230" spans="18:20" x14ac:dyDescent="0.45">
      <c r="R4230" s="2">
        <v>59.06</v>
      </c>
      <c r="S4230" s="2">
        <v>6.8043399999999999E-3</v>
      </c>
      <c r="T4230" s="2">
        <v>4.3895399999999999E-3</v>
      </c>
    </row>
    <row r="4231" spans="18:20" x14ac:dyDescent="0.45">
      <c r="R4231" s="2">
        <v>59.07</v>
      </c>
      <c r="S4231" s="2">
        <v>6.8127300000000003E-3</v>
      </c>
      <c r="T4231" s="2">
        <v>4.3941300000000004E-3</v>
      </c>
    </row>
    <row r="4232" spans="18:20" x14ac:dyDescent="0.45">
      <c r="R4232" s="2">
        <v>59.08</v>
      </c>
      <c r="S4232" s="2">
        <v>6.82112E-3</v>
      </c>
      <c r="T4232" s="2">
        <v>4.3987200000000001E-3</v>
      </c>
    </row>
    <row r="4233" spans="18:20" x14ac:dyDescent="0.45">
      <c r="R4233" s="2">
        <v>59.09</v>
      </c>
      <c r="S4233" s="2">
        <v>6.8295099999999996E-3</v>
      </c>
      <c r="T4233" s="2">
        <v>4.4033099999999997E-3</v>
      </c>
    </row>
    <row r="4234" spans="18:20" x14ac:dyDescent="0.45">
      <c r="R4234" s="2">
        <v>59.1</v>
      </c>
      <c r="S4234" s="2">
        <v>6.8379000000000001E-3</v>
      </c>
      <c r="T4234" s="2">
        <v>4.4079000000000002E-3</v>
      </c>
    </row>
    <row r="4235" spans="18:20" x14ac:dyDescent="0.45">
      <c r="R4235" s="2">
        <v>59.11</v>
      </c>
      <c r="S4235" s="2">
        <v>6.8462899999999997E-3</v>
      </c>
      <c r="T4235" s="2">
        <v>4.4124899999999998E-3</v>
      </c>
    </row>
    <row r="4236" spans="18:20" x14ac:dyDescent="0.45">
      <c r="R4236" s="2">
        <v>59.12</v>
      </c>
      <c r="S4236" s="2">
        <v>6.8546800000000001E-3</v>
      </c>
      <c r="T4236" s="2">
        <v>4.4170800000000003E-3</v>
      </c>
    </row>
    <row r="4237" spans="18:20" x14ac:dyDescent="0.45">
      <c r="R4237" s="2">
        <v>59.13</v>
      </c>
      <c r="S4237" s="2">
        <v>6.8630699999999998E-3</v>
      </c>
      <c r="T4237" s="2">
        <v>4.4216699999999999E-3</v>
      </c>
    </row>
    <row r="4238" spans="18:20" x14ac:dyDescent="0.45">
      <c r="R4238" s="2">
        <v>59.14</v>
      </c>
      <c r="S4238" s="2">
        <v>6.8714600000000002E-3</v>
      </c>
      <c r="T4238" s="2">
        <v>4.4262599999999996E-3</v>
      </c>
    </row>
    <row r="4239" spans="18:20" x14ac:dyDescent="0.45">
      <c r="R4239" s="2">
        <v>59.15</v>
      </c>
      <c r="S4239" s="2">
        <v>6.8798499999999999E-3</v>
      </c>
      <c r="T4239" s="2">
        <v>4.4308500000000001E-3</v>
      </c>
    </row>
    <row r="4240" spans="18:20" x14ac:dyDescent="0.45">
      <c r="R4240" s="2">
        <v>59.16</v>
      </c>
      <c r="S4240" s="2">
        <v>6.8882400000000003E-3</v>
      </c>
      <c r="T4240" s="2">
        <v>4.4354399999999997E-3</v>
      </c>
    </row>
    <row r="4241" spans="18:20" x14ac:dyDescent="0.45">
      <c r="R4241" s="2">
        <v>59.17</v>
      </c>
      <c r="S4241" s="2">
        <v>6.8966299999999999E-3</v>
      </c>
      <c r="T4241" s="2">
        <v>4.4400300000000002E-3</v>
      </c>
    </row>
    <row r="4242" spans="18:20" x14ac:dyDescent="0.45">
      <c r="R4242" s="2">
        <v>59.18</v>
      </c>
      <c r="S4242" s="2">
        <v>6.9050200000000004E-3</v>
      </c>
      <c r="T4242" s="2">
        <v>4.4446199999999998E-3</v>
      </c>
    </row>
    <row r="4243" spans="18:20" x14ac:dyDescent="0.45">
      <c r="R4243" s="2">
        <v>59.19</v>
      </c>
      <c r="S4243" s="2">
        <v>6.91341E-3</v>
      </c>
      <c r="T4243" s="2">
        <v>4.4492100000000003E-3</v>
      </c>
    </row>
    <row r="4244" spans="18:20" x14ac:dyDescent="0.45">
      <c r="R4244" s="2">
        <v>59.2</v>
      </c>
      <c r="S4244" s="2">
        <v>6.9217999999999997E-3</v>
      </c>
      <c r="T4244" s="2">
        <v>4.4537999999999999E-3</v>
      </c>
    </row>
    <row r="4245" spans="18:20" x14ac:dyDescent="0.45">
      <c r="R4245" s="2">
        <v>59.21</v>
      </c>
      <c r="S4245" s="2">
        <v>6.9301900000000001E-3</v>
      </c>
      <c r="T4245" s="2">
        <v>4.4583899999999996E-3</v>
      </c>
    </row>
    <row r="4246" spans="18:20" x14ac:dyDescent="0.45">
      <c r="R4246" s="2">
        <v>59.22</v>
      </c>
      <c r="S4246" s="2">
        <v>6.9385799999999997E-3</v>
      </c>
      <c r="T4246" s="2">
        <v>4.4629800000000001E-3</v>
      </c>
    </row>
    <row r="4247" spans="18:20" x14ac:dyDescent="0.45">
      <c r="R4247" s="2">
        <v>59.23</v>
      </c>
      <c r="S4247" s="2">
        <v>6.9469700000000002E-3</v>
      </c>
      <c r="T4247" s="2">
        <v>4.4675699999999997E-3</v>
      </c>
    </row>
    <row r="4248" spans="18:20" x14ac:dyDescent="0.45">
      <c r="R4248" s="2">
        <v>59.24</v>
      </c>
      <c r="S4248" s="2">
        <v>6.9553599999999998E-3</v>
      </c>
      <c r="T4248" s="2">
        <v>4.4721600000000002E-3</v>
      </c>
    </row>
    <row r="4249" spans="18:20" x14ac:dyDescent="0.45">
      <c r="R4249" s="2">
        <v>59.25</v>
      </c>
      <c r="S4249" s="2">
        <v>6.9637500000000003E-3</v>
      </c>
      <c r="T4249" s="2">
        <v>4.4767499999999998E-3</v>
      </c>
    </row>
    <row r="4250" spans="18:20" x14ac:dyDescent="0.45">
      <c r="R4250" s="2">
        <v>59.26</v>
      </c>
      <c r="S4250" s="2">
        <v>6.9721399999999999E-3</v>
      </c>
      <c r="T4250" s="2">
        <v>4.4813400000000003E-3</v>
      </c>
    </row>
    <row r="4251" spans="18:20" x14ac:dyDescent="0.45">
      <c r="R4251" s="2">
        <v>59.27</v>
      </c>
      <c r="S4251" s="2">
        <v>6.9805300000000004E-3</v>
      </c>
      <c r="T4251" s="2">
        <v>4.48593E-3</v>
      </c>
    </row>
    <row r="4252" spans="18:20" x14ac:dyDescent="0.45">
      <c r="R4252" s="2">
        <v>59.28</v>
      </c>
      <c r="S4252" s="2">
        <v>6.98892E-3</v>
      </c>
      <c r="T4252" s="2">
        <v>4.4905199999999996E-3</v>
      </c>
    </row>
    <row r="4253" spans="18:20" x14ac:dyDescent="0.45">
      <c r="R4253" s="2">
        <v>59.29</v>
      </c>
      <c r="S4253" s="2">
        <v>6.9973099999999996E-3</v>
      </c>
      <c r="T4253" s="2">
        <v>4.4951100000000001E-3</v>
      </c>
    </row>
    <row r="4254" spans="18:20" x14ac:dyDescent="0.45">
      <c r="R4254" s="2">
        <v>59.3</v>
      </c>
      <c r="S4254" s="2">
        <v>7.0057000000000001E-3</v>
      </c>
      <c r="T4254" s="2">
        <v>4.4996999999999997E-3</v>
      </c>
    </row>
    <row r="4255" spans="18:20" x14ac:dyDescent="0.45">
      <c r="R4255" s="2">
        <v>59.31</v>
      </c>
      <c r="S4255" s="2">
        <v>7.0140899999999997E-3</v>
      </c>
      <c r="T4255" s="2">
        <v>4.5042900000000002E-3</v>
      </c>
    </row>
    <row r="4256" spans="18:20" x14ac:dyDescent="0.45">
      <c r="R4256" s="2">
        <v>59.32</v>
      </c>
      <c r="S4256" s="2">
        <v>7.0224800000000002E-3</v>
      </c>
      <c r="T4256" s="2">
        <v>4.5088799999999998E-3</v>
      </c>
    </row>
    <row r="4257" spans="18:20" x14ac:dyDescent="0.45">
      <c r="R4257" s="2">
        <v>59.33</v>
      </c>
      <c r="S4257" s="2">
        <v>7.0308699999999998E-3</v>
      </c>
      <c r="T4257" s="2">
        <v>4.5134700000000003E-3</v>
      </c>
    </row>
    <row r="4258" spans="18:20" x14ac:dyDescent="0.45">
      <c r="R4258" s="2">
        <v>59.34</v>
      </c>
      <c r="S4258" s="2">
        <v>7.0392600000000003E-3</v>
      </c>
      <c r="T4258" s="2">
        <v>4.51806E-3</v>
      </c>
    </row>
    <row r="4259" spans="18:20" x14ac:dyDescent="0.45">
      <c r="R4259" s="2">
        <v>59.35</v>
      </c>
      <c r="S4259" s="2">
        <v>7.0476499999999999E-3</v>
      </c>
      <c r="T4259" s="2">
        <v>4.5226499999999996E-3</v>
      </c>
    </row>
    <row r="4260" spans="18:20" x14ac:dyDescent="0.45">
      <c r="R4260" s="2">
        <v>59.36</v>
      </c>
      <c r="S4260" s="2">
        <v>7.0560400000000004E-3</v>
      </c>
      <c r="T4260" s="2">
        <v>4.5272400000000001E-3</v>
      </c>
    </row>
    <row r="4261" spans="18:20" x14ac:dyDescent="0.45">
      <c r="R4261" s="2">
        <v>59.37</v>
      </c>
      <c r="S4261" s="2">
        <v>7.06443E-3</v>
      </c>
      <c r="T4261" s="2">
        <v>4.5318299999999997E-3</v>
      </c>
    </row>
    <row r="4262" spans="18:20" x14ac:dyDescent="0.45">
      <c r="R4262" s="2">
        <v>59.38</v>
      </c>
      <c r="S4262" s="2">
        <v>7.0728199999999996E-3</v>
      </c>
      <c r="T4262" s="2">
        <v>4.5364200000000002E-3</v>
      </c>
    </row>
    <row r="4263" spans="18:20" x14ac:dyDescent="0.45">
      <c r="R4263" s="2">
        <v>59.39</v>
      </c>
      <c r="S4263" s="2">
        <v>7.0812100000000001E-3</v>
      </c>
      <c r="T4263" s="2">
        <v>4.5410099999999998E-3</v>
      </c>
    </row>
    <row r="4264" spans="18:20" x14ac:dyDescent="0.45">
      <c r="R4264" s="2">
        <v>59.4</v>
      </c>
      <c r="S4264" s="2">
        <v>7.0895999999999997E-3</v>
      </c>
      <c r="T4264" s="2">
        <v>4.5456000000000003E-3</v>
      </c>
    </row>
    <row r="4265" spans="18:20" x14ac:dyDescent="0.45">
      <c r="R4265" s="2">
        <v>59.41</v>
      </c>
      <c r="S4265" s="2">
        <v>7.0979900000000002E-3</v>
      </c>
      <c r="T4265" s="2">
        <v>4.55019E-3</v>
      </c>
    </row>
    <row r="4266" spans="18:20" x14ac:dyDescent="0.45">
      <c r="R4266" s="2">
        <v>59.42</v>
      </c>
      <c r="S4266" s="2">
        <v>7.1063799999999998E-3</v>
      </c>
      <c r="T4266" s="2">
        <v>4.5547799999999996E-3</v>
      </c>
    </row>
    <row r="4267" spans="18:20" x14ac:dyDescent="0.45">
      <c r="R4267" s="2">
        <v>59.43</v>
      </c>
      <c r="S4267" s="2">
        <v>7.1147700000000003E-3</v>
      </c>
      <c r="T4267" s="2">
        <v>4.5593700000000001E-3</v>
      </c>
    </row>
    <row r="4268" spans="18:20" x14ac:dyDescent="0.45">
      <c r="R4268" s="2">
        <v>59.44</v>
      </c>
      <c r="S4268" s="2">
        <v>7.1231599999999999E-3</v>
      </c>
      <c r="T4268" s="2">
        <v>4.5639599999999997E-3</v>
      </c>
    </row>
    <row r="4269" spans="18:20" x14ac:dyDescent="0.45">
      <c r="R4269" s="2">
        <v>59.45</v>
      </c>
      <c r="S4269" s="2">
        <v>7.1315500000000004E-3</v>
      </c>
      <c r="T4269" s="2">
        <v>4.5685500000000002E-3</v>
      </c>
    </row>
    <row r="4270" spans="18:20" x14ac:dyDescent="0.45">
      <c r="R4270" s="2">
        <v>59.46</v>
      </c>
      <c r="S4270" s="2">
        <v>7.13994E-3</v>
      </c>
      <c r="T4270" s="2">
        <v>4.5731399999999998E-3</v>
      </c>
    </row>
    <row r="4271" spans="18:20" x14ac:dyDescent="0.45">
      <c r="R4271" s="2">
        <v>59.47</v>
      </c>
      <c r="S4271" s="2">
        <v>7.1483299999999996E-3</v>
      </c>
      <c r="T4271" s="2">
        <v>4.5777300000000003E-3</v>
      </c>
    </row>
    <row r="4272" spans="18:20" x14ac:dyDescent="0.45">
      <c r="R4272" s="2">
        <v>59.48</v>
      </c>
      <c r="S4272" s="2">
        <v>7.1567200000000001E-3</v>
      </c>
      <c r="T4272" s="2">
        <v>4.58232E-3</v>
      </c>
    </row>
    <row r="4273" spans="18:20" x14ac:dyDescent="0.45">
      <c r="R4273" s="2">
        <v>59.49</v>
      </c>
      <c r="S4273" s="2">
        <v>7.1651099999999997E-3</v>
      </c>
      <c r="T4273" s="2">
        <v>4.5869099999999996E-3</v>
      </c>
    </row>
    <row r="4274" spans="18:20" x14ac:dyDescent="0.45">
      <c r="R4274" s="2">
        <v>59.5</v>
      </c>
      <c r="S4274" s="2">
        <v>7.1735000000000002E-3</v>
      </c>
      <c r="T4274" s="2">
        <v>4.5915000000000001E-3</v>
      </c>
    </row>
    <row r="4275" spans="18:20" x14ac:dyDescent="0.45">
      <c r="R4275" s="2">
        <v>59.51</v>
      </c>
      <c r="S4275" s="2">
        <v>7.1818899999999998E-3</v>
      </c>
      <c r="T4275" s="2">
        <v>4.5960899999999997E-3</v>
      </c>
    </row>
    <row r="4276" spans="18:20" x14ac:dyDescent="0.45">
      <c r="R4276" s="2">
        <v>59.52</v>
      </c>
      <c r="S4276" s="2">
        <v>7.1902800000000003E-3</v>
      </c>
      <c r="T4276" s="2">
        <v>4.6006800000000002E-3</v>
      </c>
    </row>
    <row r="4277" spans="18:20" x14ac:dyDescent="0.45">
      <c r="R4277" s="2">
        <v>59.53</v>
      </c>
      <c r="S4277" s="2">
        <v>7.1986699999999999E-3</v>
      </c>
      <c r="T4277" s="2">
        <v>4.6052699999999998E-3</v>
      </c>
    </row>
    <row r="4278" spans="18:20" x14ac:dyDescent="0.45">
      <c r="R4278" s="2">
        <v>59.54</v>
      </c>
      <c r="S4278" s="2">
        <v>7.2070600000000004E-3</v>
      </c>
      <c r="T4278" s="2">
        <v>4.6098600000000003E-3</v>
      </c>
    </row>
    <row r="4279" spans="18:20" x14ac:dyDescent="0.45">
      <c r="R4279" s="2">
        <v>59.55</v>
      </c>
      <c r="S4279" s="2">
        <v>7.21545E-3</v>
      </c>
      <c r="T4279" s="2">
        <v>4.61445E-3</v>
      </c>
    </row>
    <row r="4280" spans="18:20" x14ac:dyDescent="0.45">
      <c r="R4280" s="2">
        <v>59.56</v>
      </c>
      <c r="S4280" s="2">
        <v>7.2238399999999996E-3</v>
      </c>
      <c r="T4280" s="2">
        <v>4.6190399999999996E-3</v>
      </c>
    </row>
    <row r="4281" spans="18:20" x14ac:dyDescent="0.45">
      <c r="R4281" s="2">
        <v>59.57</v>
      </c>
      <c r="S4281" s="2">
        <v>7.2322300000000001E-3</v>
      </c>
      <c r="T4281" s="2">
        <v>4.6236300000000001E-3</v>
      </c>
    </row>
    <row r="4282" spans="18:20" x14ac:dyDescent="0.45">
      <c r="R4282" s="2">
        <v>59.58</v>
      </c>
      <c r="S4282" s="2">
        <v>7.2406199999999997E-3</v>
      </c>
      <c r="T4282" s="2">
        <v>4.6282199999999997E-3</v>
      </c>
    </row>
    <row r="4283" spans="18:20" x14ac:dyDescent="0.45">
      <c r="R4283" s="2">
        <v>59.59</v>
      </c>
      <c r="S4283" s="2">
        <v>7.2490100000000002E-3</v>
      </c>
      <c r="T4283" s="2">
        <v>4.6328100000000002E-3</v>
      </c>
    </row>
    <row r="4284" spans="18:20" x14ac:dyDescent="0.45">
      <c r="R4284" s="2">
        <v>59.6</v>
      </c>
      <c r="S4284" s="2">
        <v>7.2573999999999998E-3</v>
      </c>
      <c r="T4284" s="2">
        <v>4.6373999999999999E-3</v>
      </c>
    </row>
    <row r="4285" spans="18:20" x14ac:dyDescent="0.45">
      <c r="R4285" s="2">
        <v>59.61</v>
      </c>
      <c r="S4285" s="2">
        <v>7.2657900000000003E-3</v>
      </c>
      <c r="T4285" s="2">
        <v>4.6419900000000004E-3</v>
      </c>
    </row>
    <row r="4286" spans="18:20" x14ac:dyDescent="0.45">
      <c r="R4286" s="2">
        <v>59.62</v>
      </c>
      <c r="S4286" s="2">
        <v>7.2741799999999999E-3</v>
      </c>
      <c r="T4286" s="2">
        <v>4.64658E-3</v>
      </c>
    </row>
    <row r="4287" spans="18:20" x14ac:dyDescent="0.45">
      <c r="R4287" s="2">
        <v>59.63</v>
      </c>
      <c r="S4287" s="2">
        <v>7.2825700000000004E-3</v>
      </c>
      <c r="T4287" s="2">
        <v>4.6511699999999996E-3</v>
      </c>
    </row>
    <row r="4288" spans="18:20" x14ac:dyDescent="0.45">
      <c r="R4288" s="2">
        <v>59.64</v>
      </c>
      <c r="S4288" s="2">
        <v>7.29096E-3</v>
      </c>
      <c r="T4288" s="2">
        <v>4.6557600000000001E-3</v>
      </c>
    </row>
    <row r="4289" spans="18:20" x14ac:dyDescent="0.45">
      <c r="R4289" s="2">
        <v>59.65</v>
      </c>
      <c r="S4289" s="2">
        <v>7.2993499999999996E-3</v>
      </c>
      <c r="T4289" s="2">
        <v>4.6603499999999997E-3</v>
      </c>
    </row>
    <row r="4290" spans="18:20" x14ac:dyDescent="0.45">
      <c r="R4290" s="2">
        <v>59.66</v>
      </c>
      <c r="S4290" s="2">
        <v>7.3077400000000001E-3</v>
      </c>
      <c r="T4290" s="2">
        <v>4.6649400000000002E-3</v>
      </c>
    </row>
    <row r="4291" spans="18:20" x14ac:dyDescent="0.45">
      <c r="R4291" s="2">
        <v>59.67</v>
      </c>
      <c r="S4291" s="2">
        <v>7.3161299999999997E-3</v>
      </c>
      <c r="T4291" s="2">
        <v>4.6695299999999999E-3</v>
      </c>
    </row>
    <row r="4292" spans="18:20" x14ac:dyDescent="0.45">
      <c r="R4292" s="2">
        <v>59.68</v>
      </c>
      <c r="S4292" s="2">
        <v>7.3245200000000002E-3</v>
      </c>
      <c r="T4292" s="2">
        <v>4.6741200000000004E-3</v>
      </c>
    </row>
    <row r="4293" spans="18:20" x14ac:dyDescent="0.45">
      <c r="R4293" s="2">
        <v>59.69</v>
      </c>
      <c r="S4293" s="2">
        <v>7.3329099999999998E-3</v>
      </c>
      <c r="T4293" s="2">
        <v>4.67871E-3</v>
      </c>
    </row>
    <row r="4294" spans="18:20" x14ac:dyDescent="0.45">
      <c r="R4294" s="2">
        <v>59.7</v>
      </c>
      <c r="S4294" s="2">
        <v>7.3413000000000003E-3</v>
      </c>
      <c r="T4294" s="2">
        <v>4.6832999999999996E-3</v>
      </c>
    </row>
    <row r="4295" spans="18:20" x14ac:dyDescent="0.45">
      <c r="R4295" s="2">
        <v>59.71</v>
      </c>
      <c r="S4295" s="2">
        <v>7.3496899999999999E-3</v>
      </c>
      <c r="T4295" s="2">
        <v>4.6878900000000001E-3</v>
      </c>
    </row>
    <row r="4296" spans="18:20" x14ac:dyDescent="0.45">
      <c r="R4296" s="2">
        <v>59.72</v>
      </c>
      <c r="S4296" s="2">
        <v>7.3580800000000003E-3</v>
      </c>
      <c r="T4296" s="2">
        <v>4.6924799999999997E-3</v>
      </c>
    </row>
    <row r="4297" spans="18:20" x14ac:dyDescent="0.45">
      <c r="R4297" s="2">
        <v>59.73</v>
      </c>
      <c r="S4297" s="2">
        <v>7.36647E-3</v>
      </c>
      <c r="T4297" s="2">
        <v>4.6970700000000002E-3</v>
      </c>
    </row>
    <row r="4298" spans="18:20" x14ac:dyDescent="0.45">
      <c r="R4298" s="2">
        <v>59.74</v>
      </c>
      <c r="S4298" s="2">
        <v>7.3748599999999996E-3</v>
      </c>
      <c r="T4298" s="2">
        <v>4.7016599999999999E-3</v>
      </c>
    </row>
    <row r="4299" spans="18:20" x14ac:dyDescent="0.45">
      <c r="R4299" s="2">
        <v>59.75</v>
      </c>
      <c r="S4299" s="2">
        <v>7.3832500000000001E-3</v>
      </c>
      <c r="T4299" s="2">
        <v>4.7062500000000004E-3</v>
      </c>
    </row>
    <row r="4300" spans="18:20" x14ac:dyDescent="0.45">
      <c r="R4300" s="2">
        <v>59.76</v>
      </c>
      <c r="S4300" s="2">
        <v>7.3916399999999997E-3</v>
      </c>
      <c r="T4300" s="2">
        <v>4.71084E-3</v>
      </c>
    </row>
    <row r="4301" spans="18:20" x14ac:dyDescent="0.45">
      <c r="R4301" s="2">
        <v>59.77</v>
      </c>
      <c r="S4301" s="2">
        <v>7.4000300000000001E-3</v>
      </c>
      <c r="T4301" s="2">
        <v>4.7154299999999996E-3</v>
      </c>
    </row>
    <row r="4302" spans="18:20" x14ac:dyDescent="0.45">
      <c r="R4302" s="2">
        <v>59.78</v>
      </c>
      <c r="S4302" s="2">
        <v>7.4084199999999998E-3</v>
      </c>
      <c r="T4302" s="2">
        <v>4.7200200000000001E-3</v>
      </c>
    </row>
    <row r="4303" spans="18:20" x14ac:dyDescent="0.45">
      <c r="R4303" s="2">
        <v>59.79</v>
      </c>
      <c r="S4303" s="2">
        <v>7.4168100000000002E-3</v>
      </c>
      <c r="T4303" s="2">
        <v>4.7246099999999997E-3</v>
      </c>
    </row>
    <row r="4304" spans="18:20" x14ac:dyDescent="0.45">
      <c r="R4304" s="2">
        <v>59.8</v>
      </c>
      <c r="S4304" s="2">
        <v>7.4251999999999999E-3</v>
      </c>
      <c r="T4304" s="2">
        <v>4.7292000000000002E-3</v>
      </c>
    </row>
    <row r="4305" spans="18:20" x14ac:dyDescent="0.45">
      <c r="R4305" s="2">
        <v>59.81</v>
      </c>
      <c r="S4305" s="2">
        <v>7.4335900000000003E-3</v>
      </c>
      <c r="T4305" s="2">
        <v>4.7337899999999999E-3</v>
      </c>
    </row>
    <row r="4306" spans="18:20" x14ac:dyDescent="0.45">
      <c r="R4306" s="2">
        <v>59.82</v>
      </c>
      <c r="S4306" s="2">
        <v>7.4419799999999999E-3</v>
      </c>
      <c r="T4306" s="2">
        <v>4.7383800000000004E-3</v>
      </c>
    </row>
    <row r="4307" spans="18:20" x14ac:dyDescent="0.45">
      <c r="R4307" s="2">
        <v>59.83</v>
      </c>
      <c r="S4307" s="2">
        <v>7.4503700000000004E-3</v>
      </c>
      <c r="T4307" s="2">
        <v>4.74297E-3</v>
      </c>
    </row>
    <row r="4308" spans="18:20" x14ac:dyDescent="0.45">
      <c r="R4308" s="2">
        <v>59.84</v>
      </c>
      <c r="S4308" s="2">
        <v>7.45876E-3</v>
      </c>
      <c r="T4308" s="2">
        <v>4.7475599999999996E-3</v>
      </c>
    </row>
    <row r="4309" spans="18:20" x14ac:dyDescent="0.45">
      <c r="R4309" s="2">
        <v>59.85</v>
      </c>
      <c r="S4309" s="2">
        <v>7.4671499999999997E-3</v>
      </c>
      <c r="T4309" s="2">
        <v>4.7521500000000001E-3</v>
      </c>
    </row>
    <row r="4310" spans="18:20" x14ac:dyDescent="0.45">
      <c r="R4310" s="2">
        <v>59.86</v>
      </c>
      <c r="S4310" s="2">
        <v>7.4755400000000001E-3</v>
      </c>
      <c r="T4310" s="2">
        <v>4.7567399999999998E-3</v>
      </c>
    </row>
    <row r="4311" spans="18:20" x14ac:dyDescent="0.45">
      <c r="R4311" s="2">
        <v>59.87</v>
      </c>
      <c r="S4311" s="2">
        <v>7.4839299999999997E-3</v>
      </c>
      <c r="T4311" s="2">
        <v>4.7613300000000002E-3</v>
      </c>
    </row>
    <row r="4312" spans="18:20" x14ac:dyDescent="0.45">
      <c r="R4312" s="2">
        <v>59.88</v>
      </c>
      <c r="S4312" s="2">
        <v>7.4923200000000002E-3</v>
      </c>
      <c r="T4312" s="2">
        <v>4.7659199999999999E-3</v>
      </c>
    </row>
    <row r="4313" spans="18:20" x14ac:dyDescent="0.45">
      <c r="R4313" s="2">
        <v>59.89</v>
      </c>
      <c r="S4313" s="2">
        <v>7.5007099999999998E-3</v>
      </c>
      <c r="T4313" s="2">
        <v>4.7705100000000004E-3</v>
      </c>
    </row>
    <row r="4314" spans="18:20" x14ac:dyDescent="0.45">
      <c r="R4314" s="2">
        <v>59.9</v>
      </c>
      <c r="S4314" s="2">
        <v>7.5091000000000003E-3</v>
      </c>
      <c r="T4314" s="2">
        <v>4.7751E-3</v>
      </c>
    </row>
    <row r="4315" spans="18:20" x14ac:dyDescent="0.45">
      <c r="R4315" s="2">
        <v>59.91</v>
      </c>
      <c r="S4315" s="2">
        <v>7.5174899999999999E-3</v>
      </c>
      <c r="T4315" s="2">
        <v>4.7796899999999996E-3</v>
      </c>
    </row>
    <row r="4316" spans="18:20" x14ac:dyDescent="0.45">
      <c r="R4316" s="2">
        <v>59.92</v>
      </c>
      <c r="S4316" s="2">
        <v>7.5258800000000004E-3</v>
      </c>
      <c r="T4316" s="2">
        <v>4.7842800000000001E-3</v>
      </c>
    </row>
    <row r="4317" spans="18:20" x14ac:dyDescent="0.45">
      <c r="R4317" s="2">
        <v>59.93</v>
      </c>
      <c r="S4317" s="2">
        <v>7.53427E-3</v>
      </c>
      <c r="T4317" s="2">
        <v>4.7888699999999998E-3</v>
      </c>
    </row>
    <row r="4318" spans="18:20" x14ac:dyDescent="0.45">
      <c r="R4318" s="2">
        <v>59.94</v>
      </c>
      <c r="S4318" s="2">
        <v>7.5426599999999996E-3</v>
      </c>
      <c r="T4318" s="2">
        <v>4.7934600000000003E-3</v>
      </c>
    </row>
    <row r="4319" spans="18:20" x14ac:dyDescent="0.45">
      <c r="R4319" s="2">
        <v>59.95</v>
      </c>
      <c r="S4319" s="2">
        <v>7.5510500000000001E-3</v>
      </c>
      <c r="T4319" s="2">
        <v>4.7980499999999999E-3</v>
      </c>
    </row>
    <row r="4320" spans="18:20" x14ac:dyDescent="0.45">
      <c r="R4320" s="2">
        <v>59.96</v>
      </c>
      <c r="S4320" s="2">
        <v>7.5594399999999997E-3</v>
      </c>
      <c r="T4320" s="2">
        <v>4.8026400000000004E-3</v>
      </c>
    </row>
    <row r="4321" spans="18:20" x14ac:dyDescent="0.45">
      <c r="R4321" s="2">
        <v>59.97</v>
      </c>
      <c r="S4321" s="2">
        <v>7.5678300000000002E-3</v>
      </c>
      <c r="T4321" s="2">
        <v>4.80723E-3</v>
      </c>
    </row>
    <row r="4322" spans="18:20" x14ac:dyDescent="0.45">
      <c r="R4322" s="2">
        <v>59.98</v>
      </c>
      <c r="S4322" s="2">
        <v>7.5762199999999998E-3</v>
      </c>
      <c r="T4322" s="2">
        <v>4.8118199999999996E-3</v>
      </c>
    </row>
    <row r="4323" spans="18:20" x14ac:dyDescent="0.45">
      <c r="R4323" s="2">
        <v>59.99</v>
      </c>
      <c r="S4323" s="2">
        <v>7.5846100000000003E-3</v>
      </c>
      <c r="T4323" s="2">
        <v>4.8164100000000001E-3</v>
      </c>
    </row>
    <row r="4324" spans="18:20" x14ac:dyDescent="0.45">
      <c r="R4324" s="2">
        <v>60</v>
      </c>
      <c r="S4324" s="2">
        <v>7.5929999999999999E-3</v>
      </c>
      <c r="T4324" s="2">
        <v>4.8209999999999998E-3</v>
      </c>
    </row>
    <row r="4325" spans="18:20" x14ac:dyDescent="0.45">
      <c r="R4325" s="2">
        <v>60.01</v>
      </c>
      <c r="S4325" s="2">
        <v>7.6023999999999996E-3</v>
      </c>
      <c r="T4325" s="2">
        <v>4.8260899999999999E-3</v>
      </c>
    </row>
    <row r="4326" spans="18:20" x14ac:dyDescent="0.45">
      <c r="R4326" s="2">
        <v>60.02</v>
      </c>
      <c r="S4326" s="2">
        <v>7.6118000000000002E-3</v>
      </c>
      <c r="T4326" s="2">
        <v>4.83118E-3</v>
      </c>
    </row>
    <row r="4327" spans="18:20" x14ac:dyDescent="0.45">
      <c r="R4327" s="2">
        <v>60.03</v>
      </c>
      <c r="S4327" s="2">
        <v>7.6211999999999998E-3</v>
      </c>
      <c r="T4327" s="2">
        <v>4.8362700000000002E-3</v>
      </c>
    </row>
    <row r="4328" spans="18:20" x14ac:dyDescent="0.45">
      <c r="R4328" s="2">
        <v>60.04</v>
      </c>
      <c r="S4328" s="2">
        <v>7.6306000000000004E-3</v>
      </c>
      <c r="T4328" s="2">
        <v>4.8413600000000003E-3</v>
      </c>
    </row>
    <row r="4329" spans="18:20" x14ac:dyDescent="0.45">
      <c r="R4329" s="2">
        <v>60.05</v>
      </c>
      <c r="S4329" s="2">
        <v>7.6400000000000001E-3</v>
      </c>
      <c r="T4329" s="2">
        <v>4.8464500000000004E-3</v>
      </c>
    </row>
    <row r="4330" spans="18:20" x14ac:dyDescent="0.45">
      <c r="R4330" s="2">
        <v>60.06</v>
      </c>
      <c r="S4330" s="2">
        <v>7.6493999999999998E-3</v>
      </c>
      <c r="T4330" s="2">
        <v>4.8515399999999997E-3</v>
      </c>
    </row>
    <row r="4331" spans="18:20" x14ac:dyDescent="0.45">
      <c r="R4331" s="2">
        <v>60.07</v>
      </c>
      <c r="S4331" s="2">
        <v>7.6588000000000003E-3</v>
      </c>
      <c r="T4331" s="2">
        <v>4.8566299999999998E-3</v>
      </c>
    </row>
    <row r="4332" spans="18:20" x14ac:dyDescent="0.45">
      <c r="R4332" s="2">
        <v>60.08</v>
      </c>
      <c r="S4332" s="2">
        <v>7.6682E-3</v>
      </c>
      <c r="T4332" s="2">
        <v>4.8617199999999999E-3</v>
      </c>
    </row>
    <row r="4333" spans="18:20" x14ac:dyDescent="0.45">
      <c r="R4333" s="2">
        <v>60.09</v>
      </c>
      <c r="S4333" s="2">
        <v>7.6775999999999997E-3</v>
      </c>
      <c r="T4333" s="2">
        <v>4.8668100000000001E-3</v>
      </c>
    </row>
    <row r="4334" spans="18:20" x14ac:dyDescent="0.45">
      <c r="R4334" s="2">
        <v>60.1</v>
      </c>
      <c r="S4334" s="2">
        <v>7.6870000000000003E-3</v>
      </c>
      <c r="T4334" s="2">
        <v>4.8719000000000002E-3</v>
      </c>
    </row>
    <row r="4335" spans="18:20" x14ac:dyDescent="0.45">
      <c r="R4335" s="2">
        <v>60.11</v>
      </c>
      <c r="S4335" s="2">
        <v>7.6963999999999999E-3</v>
      </c>
      <c r="T4335" s="2">
        <v>4.8769900000000003E-3</v>
      </c>
    </row>
    <row r="4336" spans="18:20" x14ac:dyDescent="0.45">
      <c r="R4336" s="2">
        <v>60.12</v>
      </c>
      <c r="S4336" s="2">
        <v>7.7057999999999996E-3</v>
      </c>
      <c r="T4336" s="2">
        <v>4.8820799999999996E-3</v>
      </c>
    </row>
    <row r="4337" spans="18:20" x14ac:dyDescent="0.45">
      <c r="R4337" s="2">
        <v>60.13</v>
      </c>
      <c r="S4337" s="2">
        <v>7.7152000000000002E-3</v>
      </c>
      <c r="T4337" s="2">
        <v>4.8871699999999997E-3</v>
      </c>
    </row>
    <row r="4338" spans="18:20" x14ac:dyDescent="0.45">
      <c r="R4338" s="2">
        <v>60.14</v>
      </c>
      <c r="S4338" s="2">
        <v>7.7245999999999999E-3</v>
      </c>
      <c r="T4338" s="2">
        <v>4.8922599999999998E-3</v>
      </c>
    </row>
    <row r="4339" spans="18:20" x14ac:dyDescent="0.45">
      <c r="R4339" s="2">
        <v>60.15</v>
      </c>
      <c r="S4339" s="2">
        <v>7.7340000000000004E-3</v>
      </c>
      <c r="T4339" s="2">
        <v>4.89735E-3</v>
      </c>
    </row>
    <row r="4340" spans="18:20" x14ac:dyDescent="0.45">
      <c r="R4340" s="2">
        <v>60.16</v>
      </c>
      <c r="S4340" s="2">
        <v>7.7434000000000001E-3</v>
      </c>
      <c r="T4340" s="2">
        <v>4.9024400000000001E-3</v>
      </c>
    </row>
    <row r="4341" spans="18:20" x14ac:dyDescent="0.45">
      <c r="R4341" s="2">
        <v>60.17</v>
      </c>
      <c r="S4341" s="2">
        <v>7.7527999999999998E-3</v>
      </c>
      <c r="T4341" s="2">
        <v>4.9075300000000002E-3</v>
      </c>
    </row>
    <row r="4342" spans="18:20" x14ac:dyDescent="0.45">
      <c r="R4342" s="2">
        <v>60.18</v>
      </c>
      <c r="S4342" s="2">
        <v>7.7622000000000003E-3</v>
      </c>
      <c r="T4342" s="2">
        <v>4.9126200000000004E-3</v>
      </c>
    </row>
    <row r="4343" spans="18:20" x14ac:dyDescent="0.45">
      <c r="R4343" s="2">
        <v>60.19</v>
      </c>
      <c r="S4343" s="2">
        <v>7.7716E-3</v>
      </c>
      <c r="T4343" s="2">
        <v>4.9177099999999996E-3</v>
      </c>
    </row>
    <row r="4344" spans="18:20" x14ac:dyDescent="0.45">
      <c r="R4344" s="2">
        <v>60.2</v>
      </c>
      <c r="S4344" s="2">
        <v>7.7809999999999997E-3</v>
      </c>
      <c r="T4344" s="2">
        <v>4.9227999999999997E-3</v>
      </c>
    </row>
    <row r="4345" spans="18:20" x14ac:dyDescent="0.45">
      <c r="R4345" s="2">
        <v>60.21</v>
      </c>
      <c r="S4345" s="2">
        <v>7.7904000000000003E-3</v>
      </c>
      <c r="T4345" s="2">
        <v>4.9278899999999999E-3</v>
      </c>
    </row>
    <row r="4346" spans="18:20" x14ac:dyDescent="0.45">
      <c r="R4346" s="2">
        <v>60.22</v>
      </c>
      <c r="S4346" s="2">
        <v>7.7998E-3</v>
      </c>
      <c r="T4346" s="2">
        <v>4.93298E-3</v>
      </c>
    </row>
    <row r="4347" spans="18:20" x14ac:dyDescent="0.45">
      <c r="R4347" s="2">
        <v>60.23</v>
      </c>
      <c r="S4347" s="2">
        <v>7.8091999999999996E-3</v>
      </c>
      <c r="T4347" s="2">
        <v>4.9380700000000001E-3</v>
      </c>
    </row>
    <row r="4348" spans="18:20" x14ac:dyDescent="0.45">
      <c r="R4348" s="2">
        <v>60.24</v>
      </c>
      <c r="S4348" s="2">
        <v>7.8186000000000002E-3</v>
      </c>
      <c r="T4348" s="2">
        <v>4.9431600000000003E-3</v>
      </c>
    </row>
    <row r="4349" spans="18:20" x14ac:dyDescent="0.45">
      <c r="R4349" s="2">
        <v>60.25</v>
      </c>
      <c r="S4349" s="2">
        <v>7.8279999999999999E-3</v>
      </c>
      <c r="T4349" s="2">
        <v>4.9482500000000004E-3</v>
      </c>
    </row>
    <row r="4350" spans="18:20" x14ac:dyDescent="0.45">
      <c r="R4350" s="2">
        <v>60.26</v>
      </c>
      <c r="S4350" s="2">
        <v>7.8373999999999996E-3</v>
      </c>
      <c r="T4350" s="2">
        <v>4.9533399999999997E-3</v>
      </c>
    </row>
    <row r="4351" spans="18:20" x14ac:dyDescent="0.45">
      <c r="R4351" s="2">
        <v>60.27</v>
      </c>
      <c r="S4351" s="2">
        <v>7.8467999999999993E-3</v>
      </c>
      <c r="T4351" s="2">
        <v>4.9584299999999998E-3</v>
      </c>
    </row>
    <row r="4352" spans="18:20" x14ac:dyDescent="0.45">
      <c r="R4352" s="2">
        <v>60.28</v>
      </c>
      <c r="S4352" s="2">
        <v>7.8562000000000007E-3</v>
      </c>
      <c r="T4352" s="2">
        <v>4.9635199999999999E-3</v>
      </c>
    </row>
    <row r="4353" spans="18:20" x14ac:dyDescent="0.45">
      <c r="R4353" s="2">
        <v>60.29</v>
      </c>
      <c r="S4353" s="2">
        <v>7.8656000000000004E-3</v>
      </c>
      <c r="T4353" s="2">
        <v>4.96861E-3</v>
      </c>
    </row>
    <row r="4354" spans="18:20" x14ac:dyDescent="0.45">
      <c r="R4354" s="2">
        <v>60.3</v>
      </c>
      <c r="S4354" s="2">
        <v>7.8750000000000001E-3</v>
      </c>
      <c r="T4354" s="2">
        <v>4.9737000000000002E-3</v>
      </c>
    </row>
    <row r="4355" spans="18:20" x14ac:dyDescent="0.45">
      <c r="R4355" s="2">
        <v>60.31</v>
      </c>
      <c r="S4355" s="2">
        <v>7.8843999999999997E-3</v>
      </c>
      <c r="T4355" s="2">
        <v>4.9787900000000003E-3</v>
      </c>
    </row>
    <row r="4356" spans="18:20" x14ac:dyDescent="0.45">
      <c r="R4356" s="2">
        <v>60.32</v>
      </c>
      <c r="S4356" s="2">
        <v>7.8937999999999994E-3</v>
      </c>
      <c r="T4356" s="2">
        <v>4.9838800000000004E-3</v>
      </c>
    </row>
    <row r="4357" spans="18:20" x14ac:dyDescent="0.45">
      <c r="R4357" s="2">
        <v>60.33</v>
      </c>
      <c r="S4357" s="2">
        <v>7.9032000000000008E-3</v>
      </c>
      <c r="T4357" s="2">
        <v>4.9889699999999997E-3</v>
      </c>
    </row>
    <row r="4358" spans="18:20" x14ac:dyDescent="0.45">
      <c r="R4358" s="2">
        <v>60.34</v>
      </c>
      <c r="S4358" s="2">
        <v>7.9126000000000005E-3</v>
      </c>
      <c r="T4358" s="2">
        <v>4.9940599999999998E-3</v>
      </c>
    </row>
    <row r="4359" spans="18:20" x14ac:dyDescent="0.45">
      <c r="R4359" s="2">
        <v>60.35</v>
      </c>
      <c r="S4359" s="2">
        <v>7.9220000000000002E-3</v>
      </c>
      <c r="T4359" s="2">
        <v>4.9991499999999999E-3</v>
      </c>
    </row>
    <row r="4360" spans="18:20" x14ac:dyDescent="0.45">
      <c r="R4360" s="2">
        <v>60.36</v>
      </c>
      <c r="S4360" s="2">
        <v>7.9313999999999999E-3</v>
      </c>
      <c r="T4360" s="2">
        <v>5.0042400000000001E-3</v>
      </c>
    </row>
    <row r="4361" spans="18:20" x14ac:dyDescent="0.45">
      <c r="R4361" s="2">
        <v>60.37</v>
      </c>
      <c r="S4361" s="2">
        <v>7.9407999999999996E-3</v>
      </c>
      <c r="T4361" s="2">
        <v>5.0093300000000002E-3</v>
      </c>
    </row>
    <row r="4362" spans="18:20" x14ac:dyDescent="0.45">
      <c r="R4362" s="2">
        <v>60.38</v>
      </c>
      <c r="S4362" s="2">
        <v>7.9501999999999993E-3</v>
      </c>
      <c r="T4362" s="2">
        <v>5.0144200000000003E-3</v>
      </c>
    </row>
    <row r="4363" spans="18:20" x14ac:dyDescent="0.45">
      <c r="R4363" s="2">
        <v>60.39</v>
      </c>
      <c r="S4363" s="2">
        <v>7.9596000000000007E-3</v>
      </c>
      <c r="T4363" s="2">
        <v>5.0195099999999996E-3</v>
      </c>
    </row>
    <row r="4364" spans="18:20" x14ac:dyDescent="0.45">
      <c r="R4364" s="2">
        <v>60.4</v>
      </c>
      <c r="S4364" s="2">
        <v>7.9690000000000004E-3</v>
      </c>
      <c r="T4364" s="2">
        <v>5.0245999999999997E-3</v>
      </c>
    </row>
    <row r="4365" spans="18:20" x14ac:dyDescent="0.45">
      <c r="R4365" s="2">
        <v>60.41</v>
      </c>
      <c r="S4365" s="2">
        <v>7.9784000000000001E-3</v>
      </c>
      <c r="T4365" s="2">
        <v>5.0296899999999999E-3</v>
      </c>
    </row>
    <row r="4366" spans="18:20" x14ac:dyDescent="0.45">
      <c r="R4366" s="2">
        <v>60.42</v>
      </c>
      <c r="S4366" s="2">
        <v>7.9877999999999998E-3</v>
      </c>
      <c r="T4366" s="2">
        <v>5.03478E-3</v>
      </c>
    </row>
    <row r="4367" spans="18:20" x14ac:dyDescent="0.45">
      <c r="R4367" s="2">
        <v>60.43</v>
      </c>
      <c r="S4367" s="2">
        <v>7.9971999999999994E-3</v>
      </c>
      <c r="T4367" s="2">
        <v>5.0398700000000001E-3</v>
      </c>
    </row>
    <row r="4368" spans="18:20" x14ac:dyDescent="0.45">
      <c r="R4368" s="2">
        <v>60.44</v>
      </c>
      <c r="S4368" s="2">
        <v>8.0065999999999991E-3</v>
      </c>
      <c r="T4368" s="2">
        <v>5.0449600000000002E-3</v>
      </c>
    </row>
    <row r="4369" spans="18:20" x14ac:dyDescent="0.45">
      <c r="R4369" s="2">
        <v>60.45</v>
      </c>
      <c r="S4369" s="2">
        <v>8.0160000000000006E-3</v>
      </c>
      <c r="T4369" s="2">
        <v>5.0500500000000004E-3</v>
      </c>
    </row>
    <row r="4370" spans="18:20" x14ac:dyDescent="0.45">
      <c r="R4370" s="2">
        <v>60.46</v>
      </c>
      <c r="S4370" s="2">
        <v>8.0254000000000002E-3</v>
      </c>
      <c r="T4370" s="2">
        <v>5.0551399999999996E-3</v>
      </c>
    </row>
    <row r="4371" spans="18:20" x14ac:dyDescent="0.45">
      <c r="R4371" s="2">
        <v>60.47</v>
      </c>
      <c r="S4371" s="2">
        <v>8.0347999999999999E-3</v>
      </c>
      <c r="T4371" s="2">
        <v>5.0602299999999998E-3</v>
      </c>
    </row>
    <row r="4372" spans="18:20" x14ac:dyDescent="0.45">
      <c r="R4372" s="2">
        <v>60.48</v>
      </c>
      <c r="S4372" s="2">
        <v>8.0441999999999996E-3</v>
      </c>
      <c r="T4372" s="2">
        <v>5.0653199999999999E-3</v>
      </c>
    </row>
    <row r="4373" spans="18:20" x14ac:dyDescent="0.45">
      <c r="R4373" s="2">
        <v>60.49</v>
      </c>
      <c r="S4373" s="2">
        <v>8.0535999999999993E-3</v>
      </c>
      <c r="T4373" s="2">
        <v>5.07041E-3</v>
      </c>
    </row>
    <row r="4374" spans="18:20" x14ac:dyDescent="0.45">
      <c r="R4374" s="2">
        <v>60.5</v>
      </c>
      <c r="S4374" s="2">
        <v>8.0630000000000007E-3</v>
      </c>
      <c r="T4374" s="2">
        <v>5.0755000000000002E-3</v>
      </c>
    </row>
    <row r="4375" spans="18:20" x14ac:dyDescent="0.45">
      <c r="R4375" s="2">
        <v>60.51</v>
      </c>
      <c r="S4375" s="2">
        <v>8.0724000000000004E-3</v>
      </c>
      <c r="T4375" s="2">
        <v>5.0805900000000003E-3</v>
      </c>
    </row>
    <row r="4376" spans="18:20" x14ac:dyDescent="0.45">
      <c r="R4376" s="2">
        <v>60.52</v>
      </c>
      <c r="S4376" s="2">
        <v>8.0818000000000001E-3</v>
      </c>
      <c r="T4376" s="2">
        <v>5.0856800000000004E-3</v>
      </c>
    </row>
    <row r="4377" spans="18:20" x14ac:dyDescent="0.45">
      <c r="R4377" s="2">
        <v>60.53</v>
      </c>
      <c r="S4377" s="2">
        <v>8.0911999999999998E-3</v>
      </c>
      <c r="T4377" s="2">
        <v>5.0907699999999997E-3</v>
      </c>
    </row>
    <row r="4378" spans="18:20" x14ac:dyDescent="0.45">
      <c r="R4378" s="2">
        <v>60.54</v>
      </c>
      <c r="S4378" s="2">
        <v>8.1005999999999995E-3</v>
      </c>
      <c r="T4378" s="2">
        <v>5.0958599999999998E-3</v>
      </c>
    </row>
    <row r="4379" spans="18:20" x14ac:dyDescent="0.45">
      <c r="R4379" s="2">
        <v>60.55</v>
      </c>
      <c r="S4379" s="2">
        <v>8.1099999999999992E-3</v>
      </c>
      <c r="T4379" s="2">
        <v>5.1009499999999999E-3</v>
      </c>
    </row>
    <row r="4380" spans="18:20" x14ac:dyDescent="0.45">
      <c r="R4380" s="2">
        <v>60.56</v>
      </c>
      <c r="S4380" s="2">
        <v>8.1194000000000006E-3</v>
      </c>
      <c r="T4380" s="2">
        <v>5.1060400000000001E-3</v>
      </c>
    </row>
    <row r="4381" spans="18:20" x14ac:dyDescent="0.45">
      <c r="R4381" s="2">
        <v>60.57</v>
      </c>
      <c r="S4381" s="2">
        <v>8.1288000000000003E-3</v>
      </c>
      <c r="T4381" s="2">
        <v>5.1111300000000002E-3</v>
      </c>
    </row>
    <row r="4382" spans="18:20" x14ac:dyDescent="0.45">
      <c r="R4382" s="2">
        <v>60.58</v>
      </c>
      <c r="S4382" s="2">
        <v>8.1381999999999999E-3</v>
      </c>
      <c r="T4382" s="2">
        <v>5.1162200000000003E-3</v>
      </c>
    </row>
    <row r="4383" spans="18:20" x14ac:dyDescent="0.45">
      <c r="R4383" s="2">
        <v>60.59</v>
      </c>
      <c r="S4383" s="2">
        <v>8.1475999999999996E-3</v>
      </c>
      <c r="T4383" s="2">
        <v>5.1213099999999996E-3</v>
      </c>
    </row>
    <row r="4384" spans="18:20" x14ac:dyDescent="0.45">
      <c r="R4384" s="2">
        <v>60.6</v>
      </c>
      <c r="S4384" s="2">
        <v>8.1569999999999993E-3</v>
      </c>
      <c r="T4384" s="2">
        <v>5.1263999999999997E-3</v>
      </c>
    </row>
    <row r="4385" spans="18:20" x14ac:dyDescent="0.45">
      <c r="R4385" s="2">
        <v>60.61</v>
      </c>
      <c r="S4385" s="2">
        <v>8.1664000000000007E-3</v>
      </c>
      <c r="T4385" s="2">
        <v>5.1314899999999998E-3</v>
      </c>
    </row>
    <row r="4386" spans="18:20" x14ac:dyDescent="0.45">
      <c r="R4386" s="2">
        <v>60.62</v>
      </c>
      <c r="S4386" s="2">
        <v>8.1758000000000004E-3</v>
      </c>
      <c r="T4386" s="2">
        <v>5.13658E-3</v>
      </c>
    </row>
    <row r="4387" spans="18:20" x14ac:dyDescent="0.45">
      <c r="R4387" s="2">
        <v>60.63</v>
      </c>
      <c r="S4387" s="2">
        <v>8.1852000000000001E-3</v>
      </c>
      <c r="T4387" s="2">
        <v>5.1416700000000001E-3</v>
      </c>
    </row>
    <row r="4388" spans="18:20" x14ac:dyDescent="0.45">
      <c r="R4388" s="2">
        <v>60.64</v>
      </c>
      <c r="S4388" s="2">
        <v>8.1945999999999998E-3</v>
      </c>
      <c r="T4388" s="2">
        <v>5.1467600000000002E-3</v>
      </c>
    </row>
    <row r="4389" spans="18:20" x14ac:dyDescent="0.45">
      <c r="R4389" s="2">
        <v>60.65</v>
      </c>
      <c r="S4389" s="2">
        <v>8.2039999999999995E-3</v>
      </c>
      <c r="T4389" s="2">
        <v>5.1518500000000004E-3</v>
      </c>
    </row>
    <row r="4390" spans="18:20" x14ac:dyDescent="0.45">
      <c r="R4390" s="2">
        <v>60.66</v>
      </c>
      <c r="S4390" s="2">
        <v>8.2133999999999992E-3</v>
      </c>
      <c r="T4390" s="2">
        <v>5.1569399999999996E-3</v>
      </c>
    </row>
    <row r="4391" spans="18:20" x14ac:dyDescent="0.45">
      <c r="R4391" s="2">
        <v>60.67</v>
      </c>
      <c r="S4391" s="2">
        <v>8.2228000000000006E-3</v>
      </c>
      <c r="T4391" s="2">
        <v>5.1620299999999997E-3</v>
      </c>
    </row>
    <row r="4392" spans="18:20" x14ac:dyDescent="0.45">
      <c r="R4392" s="2">
        <v>60.68</v>
      </c>
      <c r="S4392" s="2">
        <v>8.2322000000000003E-3</v>
      </c>
      <c r="T4392" s="2">
        <v>5.1671199999999999E-3</v>
      </c>
    </row>
    <row r="4393" spans="18:20" x14ac:dyDescent="0.45">
      <c r="R4393" s="2">
        <v>60.69</v>
      </c>
      <c r="S4393" s="2">
        <v>8.2416E-3</v>
      </c>
      <c r="T4393" s="2">
        <v>5.17221E-3</v>
      </c>
    </row>
    <row r="4394" spans="18:20" x14ac:dyDescent="0.45">
      <c r="R4394" s="2">
        <v>60.7</v>
      </c>
      <c r="S4394" s="2">
        <v>8.2509999999999997E-3</v>
      </c>
      <c r="T4394" s="2">
        <v>5.1773000000000001E-3</v>
      </c>
    </row>
    <row r="4395" spans="18:20" x14ac:dyDescent="0.45">
      <c r="R4395" s="2">
        <v>60.71</v>
      </c>
      <c r="S4395" s="2">
        <v>8.2603999999999993E-3</v>
      </c>
      <c r="T4395" s="2">
        <v>5.1823900000000003E-3</v>
      </c>
    </row>
    <row r="4396" spans="18:20" x14ac:dyDescent="0.45">
      <c r="R4396" s="2">
        <v>60.72</v>
      </c>
      <c r="S4396" s="2">
        <v>8.2698000000000008E-3</v>
      </c>
      <c r="T4396" s="2">
        <v>5.1874800000000004E-3</v>
      </c>
    </row>
    <row r="4397" spans="18:20" x14ac:dyDescent="0.45">
      <c r="R4397" s="2">
        <v>60.73</v>
      </c>
      <c r="S4397" s="2">
        <v>8.2792000000000004E-3</v>
      </c>
      <c r="T4397" s="2">
        <v>5.1925699999999997E-3</v>
      </c>
    </row>
    <row r="4398" spans="18:20" x14ac:dyDescent="0.45">
      <c r="R4398" s="2">
        <v>60.74</v>
      </c>
      <c r="S4398" s="2">
        <v>8.2886000000000001E-3</v>
      </c>
      <c r="T4398" s="2">
        <v>5.1976599999999998E-3</v>
      </c>
    </row>
    <row r="4399" spans="18:20" x14ac:dyDescent="0.45">
      <c r="R4399" s="2">
        <v>60.75</v>
      </c>
      <c r="S4399" s="2">
        <v>8.2979999999999998E-3</v>
      </c>
      <c r="T4399" s="2">
        <v>5.2027499999999999E-3</v>
      </c>
    </row>
    <row r="4400" spans="18:20" x14ac:dyDescent="0.45">
      <c r="R4400" s="2">
        <v>60.76</v>
      </c>
      <c r="S4400" s="2">
        <v>8.3073999999999995E-3</v>
      </c>
      <c r="T4400" s="2">
        <v>5.20784E-3</v>
      </c>
    </row>
    <row r="4401" spans="18:20" x14ac:dyDescent="0.45">
      <c r="R4401" s="2">
        <v>60.77</v>
      </c>
      <c r="S4401" s="2">
        <v>8.3167999999999992E-3</v>
      </c>
      <c r="T4401" s="2">
        <v>5.2129300000000002E-3</v>
      </c>
    </row>
    <row r="4402" spans="18:20" x14ac:dyDescent="0.45">
      <c r="R4402" s="2">
        <v>60.78</v>
      </c>
      <c r="S4402" s="2">
        <v>8.3262000000000006E-3</v>
      </c>
      <c r="T4402" s="2">
        <v>5.2180200000000003E-3</v>
      </c>
    </row>
    <row r="4403" spans="18:20" x14ac:dyDescent="0.45">
      <c r="R4403" s="2">
        <v>60.79</v>
      </c>
      <c r="S4403" s="2">
        <v>8.3356000000000003E-3</v>
      </c>
      <c r="T4403" s="2">
        <v>5.2231100000000004E-3</v>
      </c>
    </row>
    <row r="4404" spans="18:20" x14ac:dyDescent="0.45">
      <c r="R4404" s="2">
        <v>60.8</v>
      </c>
      <c r="S4404" s="2">
        <v>8.345E-3</v>
      </c>
      <c r="T4404" s="2">
        <v>5.2281999999999997E-3</v>
      </c>
    </row>
    <row r="4405" spans="18:20" x14ac:dyDescent="0.45">
      <c r="R4405" s="2">
        <v>60.81</v>
      </c>
      <c r="S4405" s="2">
        <v>8.3543999999999997E-3</v>
      </c>
      <c r="T4405" s="2">
        <v>5.2332899999999998E-3</v>
      </c>
    </row>
    <row r="4406" spans="18:20" x14ac:dyDescent="0.45">
      <c r="R4406" s="2">
        <v>60.82</v>
      </c>
      <c r="S4406" s="2">
        <v>8.3637999999999994E-3</v>
      </c>
      <c r="T4406" s="2">
        <v>5.2383799999999999E-3</v>
      </c>
    </row>
    <row r="4407" spans="18:20" x14ac:dyDescent="0.45">
      <c r="R4407" s="2">
        <v>60.83</v>
      </c>
      <c r="S4407" s="2">
        <v>8.3732000000000008E-3</v>
      </c>
      <c r="T4407" s="2">
        <v>5.2434700000000001E-3</v>
      </c>
    </row>
    <row r="4408" spans="18:20" x14ac:dyDescent="0.45">
      <c r="R4408" s="2">
        <v>60.84</v>
      </c>
      <c r="S4408" s="2">
        <v>8.3826000000000005E-3</v>
      </c>
      <c r="T4408" s="2">
        <v>5.2485600000000002E-3</v>
      </c>
    </row>
    <row r="4409" spans="18:20" x14ac:dyDescent="0.45">
      <c r="R4409" s="2">
        <v>60.85</v>
      </c>
      <c r="S4409" s="2">
        <v>8.3920000000000002E-3</v>
      </c>
      <c r="T4409" s="2">
        <v>5.2536500000000003E-3</v>
      </c>
    </row>
    <row r="4410" spans="18:20" x14ac:dyDescent="0.45">
      <c r="R4410" s="2">
        <v>60.86</v>
      </c>
      <c r="S4410" s="2">
        <v>8.4013999999999998E-3</v>
      </c>
      <c r="T4410" s="2">
        <v>5.2587399999999996E-3</v>
      </c>
    </row>
    <row r="4411" spans="18:20" x14ac:dyDescent="0.45">
      <c r="R4411" s="2">
        <v>60.87</v>
      </c>
      <c r="S4411" s="2">
        <v>8.4107999999999995E-3</v>
      </c>
      <c r="T4411" s="2">
        <v>5.2638299999999997E-3</v>
      </c>
    </row>
    <row r="4412" spans="18:20" x14ac:dyDescent="0.45">
      <c r="R4412" s="2">
        <v>60.88</v>
      </c>
      <c r="S4412" s="2">
        <v>8.4201999999999992E-3</v>
      </c>
      <c r="T4412" s="2">
        <v>5.2689199999999999E-3</v>
      </c>
    </row>
    <row r="4413" spans="18:20" x14ac:dyDescent="0.45">
      <c r="R4413" s="2">
        <v>60.89</v>
      </c>
      <c r="S4413" s="2">
        <v>8.4296000000000006E-3</v>
      </c>
      <c r="T4413" s="2">
        <v>5.27401E-3</v>
      </c>
    </row>
    <row r="4414" spans="18:20" x14ac:dyDescent="0.45">
      <c r="R4414" s="2">
        <v>60.9</v>
      </c>
      <c r="S4414" s="2">
        <v>8.4390000000000003E-3</v>
      </c>
      <c r="T4414" s="2">
        <v>5.2791000000000001E-3</v>
      </c>
    </row>
    <row r="4415" spans="18:20" x14ac:dyDescent="0.45">
      <c r="R4415" s="2">
        <v>60.91</v>
      </c>
      <c r="S4415" s="2">
        <v>8.4484E-3</v>
      </c>
      <c r="T4415" s="2">
        <v>5.2841900000000002E-3</v>
      </c>
    </row>
    <row r="4416" spans="18:20" x14ac:dyDescent="0.45">
      <c r="R4416" s="2">
        <v>60.92</v>
      </c>
      <c r="S4416" s="2">
        <v>8.4577999999999997E-3</v>
      </c>
      <c r="T4416" s="2">
        <v>5.2892800000000004E-3</v>
      </c>
    </row>
    <row r="4417" spans="18:20" x14ac:dyDescent="0.45">
      <c r="R4417" s="2">
        <v>60.93</v>
      </c>
      <c r="S4417" s="2">
        <v>8.4671999999999994E-3</v>
      </c>
      <c r="T4417" s="2">
        <v>5.2943699999999996E-3</v>
      </c>
    </row>
    <row r="4418" spans="18:20" x14ac:dyDescent="0.45">
      <c r="R4418" s="2">
        <v>60.94</v>
      </c>
      <c r="S4418" s="2">
        <v>8.4766000000000008E-3</v>
      </c>
      <c r="T4418" s="2">
        <v>5.2994599999999998E-3</v>
      </c>
    </row>
    <row r="4419" spans="18:20" x14ac:dyDescent="0.45">
      <c r="R4419" s="2">
        <v>60.95</v>
      </c>
      <c r="S4419" s="2">
        <v>8.4860000000000005E-3</v>
      </c>
      <c r="T4419" s="2">
        <v>5.3045499999999999E-3</v>
      </c>
    </row>
    <row r="4420" spans="18:20" x14ac:dyDescent="0.45">
      <c r="R4420" s="2">
        <v>60.96</v>
      </c>
      <c r="S4420" s="2">
        <v>8.4954000000000002E-3</v>
      </c>
      <c r="T4420" s="2">
        <v>5.30964E-3</v>
      </c>
    </row>
    <row r="4421" spans="18:20" x14ac:dyDescent="0.45">
      <c r="R4421" s="2">
        <v>60.97</v>
      </c>
      <c r="S4421" s="2">
        <v>8.5047999999999999E-3</v>
      </c>
      <c r="T4421" s="2">
        <v>5.3147300000000001E-3</v>
      </c>
    </row>
    <row r="4422" spans="18:20" x14ac:dyDescent="0.45">
      <c r="R4422" s="2">
        <v>60.98</v>
      </c>
      <c r="S4422" s="2">
        <v>8.5141999999999995E-3</v>
      </c>
      <c r="T4422" s="2">
        <v>5.3198200000000003E-3</v>
      </c>
    </row>
    <row r="4423" spans="18:20" x14ac:dyDescent="0.45">
      <c r="R4423" s="2">
        <v>60.99</v>
      </c>
      <c r="S4423" s="2">
        <v>8.5235999999999992E-3</v>
      </c>
      <c r="T4423" s="2">
        <v>5.3249100000000004E-3</v>
      </c>
    </row>
    <row r="4424" spans="18:20" x14ac:dyDescent="0.45">
      <c r="R4424" s="2">
        <v>61</v>
      </c>
      <c r="S4424" s="2">
        <v>8.5330000000000007E-3</v>
      </c>
      <c r="T4424" s="2">
        <v>5.3299999999999997E-3</v>
      </c>
    </row>
    <row r="4425" spans="18:20" x14ac:dyDescent="0.45">
      <c r="R4425" s="2">
        <v>61.01</v>
      </c>
      <c r="S4425" s="2">
        <v>8.5435300000000006E-3</v>
      </c>
      <c r="T4425" s="2">
        <v>5.3356499999999999E-3</v>
      </c>
    </row>
    <row r="4426" spans="18:20" x14ac:dyDescent="0.45">
      <c r="R4426" s="2">
        <v>61.02</v>
      </c>
      <c r="S4426" s="2">
        <v>8.5540600000000005E-3</v>
      </c>
      <c r="T4426" s="2">
        <v>5.3413000000000002E-3</v>
      </c>
    </row>
    <row r="4427" spans="18:20" x14ac:dyDescent="0.45">
      <c r="R4427" s="2">
        <v>61.03</v>
      </c>
      <c r="S4427" s="2">
        <v>8.5645900000000004E-3</v>
      </c>
      <c r="T4427" s="2">
        <v>5.3469499999999996E-3</v>
      </c>
    </row>
    <row r="4428" spans="18:20" x14ac:dyDescent="0.45">
      <c r="R4428" s="2">
        <v>61.04</v>
      </c>
      <c r="S4428" s="2">
        <v>8.5751200000000003E-3</v>
      </c>
      <c r="T4428" s="2">
        <v>5.3525999999999999E-3</v>
      </c>
    </row>
    <row r="4429" spans="18:20" x14ac:dyDescent="0.45">
      <c r="R4429" s="2">
        <v>61.05</v>
      </c>
      <c r="S4429" s="2">
        <v>8.5856500000000002E-3</v>
      </c>
      <c r="T4429" s="2">
        <v>5.3582500000000002E-3</v>
      </c>
    </row>
    <row r="4430" spans="18:20" x14ac:dyDescent="0.45">
      <c r="R4430" s="2">
        <v>61.06</v>
      </c>
      <c r="S4430" s="2">
        <v>8.5961800000000001E-3</v>
      </c>
      <c r="T4430" s="2">
        <v>5.3638999999999996E-3</v>
      </c>
    </row>
    <row r="4431" spans="18:20" x14ac:dyDescent="0.45">
      <c r="R4431" s="2">
        <v>61.07</v>
      </c>
      <c r="S4431" s="2">
        <v>8.6067100000000001E-3</v>
      </c>
      <c r="T4431" s="2">
        <v>5.3695499999999998E-3</v>
      </c>
    </row>
    <row r="4432" spans="18:20" x14ac:dyDescent="0.45">
      <c r="R4432" s="2">
        <v>61.08</v>
      </c>
      <c r="S4432" s="2">
        <v>8.61724E-3</v>
      </c>
      <c r="T4432" s="2">
        <v>5.3752000000000001E-3</v>
      </c>
    </row>
    <row r="4433" spans="18:20" x14ac:dyDescent="0.45">
      <c r="R4433" s="2">
        <v>61.09</v>
      </c>
      <c r="S4433" s="2">
        <v>8.6277699999999999E-3</v>
      </c>
      <c r="T4433" s="2">
        <v>5.3808500000000004E-3</v>
      </c>
    </row>
    <row r="4434" spans="18:20" x14ac:dyDescent="0.45">
      <c r="R4434" s="2">
        <v>61.1</v>
      </c>
      <c r="S4434" s="2">
        <v>8.6382999999999998E-3</v>
      </c>
      <c r="T4434" s="2">
        <v>5.3864999999999998E-3</v>
      </c>
    </row>
    <row r="4435" spans="18:20" x14ac:dyDescent="0.45">
      <c r="R4435" s="2">
        <v>61.11</v>
      </c>
      <c r="S4435" s="2">
        <v>8.6488299999999997E-3</v>
      </c>
      <c r="T4435" s="2">
        <v>5.3921500000000001E-3</v>
      </c>
    </row>
    <row r="4436" spans="18:20" x14ac:dyDescent="0.45">
      <c r="R4436" s="2">
        <v>61.12</v>
      </c>
      <c r="S4436" s="2">
        <v>8.6593599999999996E-3</v>
      </c>
      <c r="T4436" s="2">
        <v>5.3978000000000003E-3</v>
      </c>
    </row>
    <row r="4437" spans="18:20" x14ac:dyDescent="0.45">
      <c r="R4437" s="2">
        <v>61.13</v>
      </c>
      <c r="S4437" s="2">
        <v>8.6698899999999995E-3</v>
      </c>
      <c r="T4437" s="2">
        <v>5.4034499999999997E-3</v>
      </c>
    </row>
    <row r="4438" spans="18:20" x14ac:dyDescent="0.45">
      <c r="R4438" s="2">
        <v>61.14</v>
      </c>
      <c r="S4438" s="2">
        <v>8.6804199999999995E-3</v>
      </c>
      <c r="T4438" s="2">
        <v>5.4091E-3</v>
      </c>
    </row>
    <row r="4439" spans="18:20" x14ac:dyDescent="0.45">
      <c r="R4439" s="2">
        <v>61.15</v>
      </c>
      <c r="S4439" s="2">
        <v>8.6909499999999994E-3</v>
      </c>
      <c r="T4439" s="2">
        <v>5.4147500000000003E-3</v>
      </c>
    </row>
    <row r="4440" spans="18:20" x14ac:dyDescent="0.45">
      <c r="R4440" s="2">
        <v>61.16</v>
      </c>
      <c r="S4440" s="2">
        <v>8.7014799999999993E-3</v>
      </c>
      <c r="T4440" s="2">
        <v>5.4203999999999997E-3</v>
      </c>
    </row>
    <row r="4441" spans="18:20" x14ac:dyDescent="0.45">
      <c r="R4441" s="2">
        <v>61.17</v>
      </c>
      <c r="S4441" s="2">
        <v>8.7120099999999992E-3</v>
      </c>
      <c r="T4441" s="2">
        <v>5.42605E-3</v>
      </c>
    </row>
    <row r="4442" spans="18:20" x14ac:dyDescent="0.45">
      <c r="R4442" s="2">
        <v>61.18</v>
      </c>
      <c r="S4442" s="2">
        <v>8.7225400000000008E-3</v>
      </c>
      <c r="T4442" s="2">
        <v>5.4317000000000002E-3</v>
      </c>
    </row>
    <row r="4443" spans="18:20" x14ac:dyDescent="0.45">
      <c r="R4443" s="2">
        <v>61.19</v>
      </c>
      <c r="S4443" s="2">
        <v>8.7330700000000008E-3</v>
      </c>
      <c r="T4443" s="2">
        <v>5.4373499999999996E-3</v>
      </c>
    </row>
    <row r="4444" spans="18:20" x14ac:dyDescent="0.45">
      <c r="R4444" s="2">
        <v>61.2</v>
      </c>
      <c r="S4444" s="2">
        <v>8.7436000000000007E-3</v>
      </c>
      <c r="T4444" s="2">
        <v>5.4429999999999999E-3</v>
      </c>
    </row>
    <row r="4445" spans="18:20" x14ac:dyDescent="0.45">
      <c r="R4445" s="2">
        <v>61.21</v>
      </c>
      <c r="S4445" s="2">
        <v>8.7541300000000006E-3</v>
      </c>
      <c r="T4445" s="2">
        <v>5.4486500000000002E-3</v>
      </c>
    </row>
    <row r="4446" spans="18:20" x14ac:dyDescent="0.45">
      <c r="R4446" s="2">
        <v>61.22</v>
      </c>
      <c r="S4446" s="2">
        <v>8.7646600000000005E-3</v>
      </c>
      <c r="T4446" s="2">
        <v>5.4542999999999996E-3</v>
      </c>
    </row>
    <row r="4447" spans="18:20" x14ac:dyDescent="0.45">
      <c r="R4447" s="2">
        <v>61.23</v>
      </c>
      <c r="S4447" s="2">
        <v>8.7751900000000004E-3</v>
      </c>
      <c r="T4447" s="2">
        <v>5.4599499999999999E-3</v>
      </c>
    </row>
    <row r="4448" spans="18:20" x14ac:dyDescent="0.45">
      <c r="R4448" s="2">
        <v>61.24</v>
      </c>
      <c r="S4448" s="2">
        <v>8.7857200000000003E-3</v>
      </c>
      <c r="T4448" s="2">
        <v>5.4656000000000001E-3</v>
      </c>
    </row>
    <row r="4449" spans="18:20" x14ac:dyDescent="0.45">
      <c r="R4449" s="2">
        <v>61.25</v>
      </c>
      <c r="S4449" s="2">
        <v>8.7962500000000002E-3</v>
      </c>
      <c r="T4449" s="2">
        <v>5.4712500000000004E-3</v>
      </c>
    </row>
    <row r="4450" spans="18:20" x14ac:dyDescent="0.45">
      <c r="R4450" s="2">
        <v>61.26</v>
      </c>
      <c r="S4450" s="2">
        <v>8.8067800000000002E-3</v>
      </c>
      <c r="T4450" s="2">
        <v>5.4768999999999998E-3</v>
      </c>
    </row>
    <row r="4451" spans="18:20" x14ac:dyDescent="0.45">
      <c r="R4451" s="2">
        <v>61.27</v>
      </c>
      <c r="S4451" s="2">
        <v>8.8173100000000001E-3</v>
      </c>
      <c r="T4451" s="2">
        <v>5.4825500000000001E-3</v>
      </c>
    </row>
    <row r="4452" spans="18:20" x14ac:dyDescent="0.45">
      <c r="R4452" s="2">
        <v>61.28</v>
      </c>
      <c r="S4452" s="2">
        <v>8.82784E-3</v>
      </c>
      <c r="T4452" s="2">
        <v>5.4882000000000004E-3</v>
      </c>
    </row>
    <row r="4453" spans="18:20" x14ac:dyDescent="0.45">
      <c r="R4453" s="2">
        <v>61.29</v>
      </c>
      <c r="S4453" s="2">
        <v>8.8383699999999999E-3</v>
      </c>
      <c r="T4453" s="2">
        <v>5.4938499999999998E-3</v>
      </c>
    </row>
    <row r="4454" spans="18:20" x14ac:dyDescent="0.45">
      <c r="R4454" s="2">
        <v>61.3</v>
      </c>
      <c r="S4454" s="2">
        <v>8.8488999999999998E-3</v>
      </c>
      <c r="T4454" s="2">
        <v>5.4995E-3</v>
      </c>
    </row>
    <row r="4455" spans="18:20" x14ac:dyDescent="0.45">
      <c r="R4455" s="2">
        <v>61.31</v>
      </c>
      <c r="S4455" s="2">
        <v>8.8594299999999997E-3</v>
      </c>
      <c r="T4455" s="2">
        <v>5.5051500000000003E-3</v>
      </c>
    </row>
    <row r="4456" spans="18:20" x14ac:dyDescent="0.45">
      <c r="R4456" s="2">
        <v>61.32</v>
      </c>
      <c r="S4456" s="2">
        <v>8.8699599999999997E-3</v>
      </c>
      <c r="T4456" s="2">
        <v>5.5107999999999997E-3</v>
      </c>
    </row>
    <row r="4457" spans="18:20" x14ac:dyDescent="0.45">
      <c r="R4457" s="2">
        <v>61.33</v>
      </c>
      <c r="S4457" s="2">
        <v>8.8804899999999996E-3</v>
      </c>
      <c r="T4457" s="2">
        <v>5.51645E-3</v>
      </c>
    </row>
    <row r="4458" spans="18:20" x14ac:dyDescent="0.45">
      <c r="R4458" s="2">
        <v>61.34</v>
      </c>
      <c r="S4458" s="2">
        <v>8.8910199999999995E-3</v>
      </c>
      <c r="T4458" s="2">
        <v>5.5221000000000003E-3</v>
      </c>
    </row>
    <row r="4459" spans="18:20" x14ac:dyDescent="0.45">
      <c r="R4459" s="2">
        <v>61.35</v>
      </c>
      <c r="S4459" s="2">
        <v>8.9015499999999994E-3</v>
      </c>
      <c r="T4459" s="2">
        <v>5.5277499999999997E-3</v>
      </c>
    </row>
    <row r="4460" spans="18:20" x14ac:dyDescent="0.45">
      <c r="R4460" s="2">
        <v>61.36</v>
      </c>
      <c r="S4460" s="2">
        <v>8.9120799999999993E-3</v>
      </c>
      <c r="T4460" s="2">
        <v>5.5334E-3</v>
      </c>
    </row>
    <row r="4461" spans="18:20" x14ac:dyDescent="0.45">
      <c r="R4461" s="2">
        <v>61.37</v>
      </c>
      <c r="S4461" s="2">
        <v>8.9226099999999992E-3</v>
      </c>
      <c r="T4461" s="2">
        <v>5.5390500000000002E-3</v>
      </c>
    </row>
    <row r="4462" spans="18:20" x14ac:dyDescent="0.45">
      <c r="R4462" s="2">
        <v>61.38</v>
      </c>
      <c r="S4462" s="2">
        <v>8.9331399999999991E-3</v>
      </c>
      <c r="T4462" s="2">
        <v>5.5446999999999996E-3</v>
      </c>
    </row>
    <row r="4463" spans="18:20" x14ac:dyDescent="0.45">
      <c r="R4463" s="2">
        <v>61.39</v>
      </c>
      <c r="S4463" s="2">
        <v>8.9436700000000008E-3</v>
      </c>
      <c r="T4463" s="2">
        <v>5.5503499999999999E-3</v>
      </c>
    </row>
    <row r="4464" spans="18:20" x14ac:dyDescent="0.45">
      <c r="R4464" s="2">
        <v>61.4</v>
      </c>
      <c r="S4464" s="2">
        <v>8.9542000000000007E-3</v>
      </c>
      <c r="T4464" s="2">
        <v>5.5560000000000002E-3</v>
      </c>
    </row>
    <row r="4465" spans="18:20" x14ac:dyDescent="0.45">
      <c r="R4465" s="2">
        <v>61.41</v>
      </c>
      <c r="S4465" s="2">
        <v>8.9647300000000006E-3</v>
      </c>
      <c r="T4465" s="2">
        <v>5.5616499999999996E-3</v>
      </c>
    </row>
    <row r="4466" spans="18:20" x14ac:dyDescent="0.45">
      <c r="R4466" s="2">
        <v>61.42</v>
      </c>
      <c r="S4466" s="2">
        <v>8.9752600000000005E-3</v>
      </c>
      <c r="T4466" s="2">
        <v>5.5672999999999999E-3</v>
      </c>
    </row>
    <row r="4467" spans="18:20" x14ac:dyDescent="0.45">
      <c r="R4467" s="2">
        <v>61.43</v>
      </c>
      <c r="S4467" s="2">
        <v>8.9857900000000004E-3</v>
      </c>
      <c r="T4467" s="2">
        <v>5.5729500000000001E-3</v>
      </c>
    </row>
    <row r="4468" spans="18:20" x14ac:dyDescent="0.45">
      <c r="R4468" s="2">
        <v>61.44</v>
      </c>
      <c r="S4468" s="2">
        <v>8.9963200000000004E-3</v>
      </c>
      <c r="T4468" s="2">
        <v>5.5786000000000004E-3</v>
      </c>
    </row>
    <row r="4469" spans="18:20" x14ac:dyDescent="0.45">
      <c r="R4469" s="2">
        <v>61.45</v>
      </c>
      <c r="S4469" s="2">
        <v>9.0068500000000003E-3</v>
      </c>
      <c r="T4469" s="2">
        <v>5.5842499999999998E-3</v>
      </c>
    </row>
    <row r="4470" spans="18:20" x14ac:dyDescent="0.45">
      <c r="R4470" s="2">
        <v>61.46</v>
      </c>
      <c r="S4470" s="2">
        <v>9.0173800000000002E-3</v>
      </c>
      <c r="T4470" s="2">
        <v>5.5899000000000001E-3</v>
      </c>
    </row>
    <row r="4471" spans="18:20" x14ac:dyDescent="0.45">
      <c r="R4471" s="2">
        <v>61.47</v>
      </c>
      <c r="S4471" s="2">
        <v>9.0279100000000001E-3</v>
      </c>
      <c r="T4471" s="2">
        <v>5.5955500000000003E-3</v>
      </c>
    </row>
    <row r="4472" spans="18:20" x14ac:dyDescent="0.45">
      <c r="R4472" s="2">
        <v>61.48</v>
      </c>
      <c r="S4472" s="2">
        <v>9.03844E-3</v>
      </c>
      <c r="T4472" s="2">
        <v>5.6011999999999998E-3</v>
      </c>
    </row>
    <row r="4473" spans="18:20" x14ac:dyDescent="0.45">
      <c r="R4473" s="2">
        <v>61.49</v>
      </c>
      <c r="S4473" s="2">
        <v>9.0489699999999999E-3</v>
      </c>
      <c r="T4473" s="2">
        <v>5.60685E-3</v>
      </c>
    </row>
    <row r="4474" spans="18:20" x14ac:dyDescent="0.45">
      <c r="R4474" s="2">
        <v>61.5</v>
      </c>
      <c r="S4474" s="2">
        <v>9.0594999999999998E-3</v>
      </c>
      <c r="T4474" s="2">
        <v>5.6125000000000003E-3</v>
      </c>
    </row>
    <row r="4475" spans="18:20" x14ac:dyDescent="0.45">
      <c r="R4475" s="2">
        <v>61.51</v>
      </c>
      <c r="S4475" s="2">
        <v>9.0700299999999998E-3</v>
      </c>
      <c r="T4475" s="2">
        <v>5.6181499999999997E-3</v>
      </c>
    </row>
    <row r="4476" spans="18:20" x14ac:dyDescent="0.45">
      <c r="R4476" s="2">
        <v>61.52</v>
      </c>
      <c r="S4476" s="2">
        <v>9.0805599999999997E-3</v>
      </c>
      <c r="T4476" s="2">
        <v>5.6238E-3</v>
      </c>
    </row>
    <row r="4477" spans="18:20" x14ac:dyDescent="0.45">
      <c r="R4477" s="2">
        <v>61.53</v>
      </c>
      <c r="S4477" s="2">
        <v>9.0910899999999996E-3</v>
      </c>
      <c r="T4477" s="2">
        <v>5.6294500000000003E-3</v>
      </c>
    </row>
    <row r="4478" spans="18:20" x14ac:dyDescent="0.45">
      <c r="R4478" s="2">
        <v>61.54</v>
      </c>
      <c r="S4478" s="2">
        <v>9.1016199999999995E-3</v>
      </c>
      <c r="T4478" s="2">
        <v>5.6350999999999997E-3</v>
      </c>
    </row>
    <row r="4479" spans="18:20" x14ac:dyDescent="0.45">
      <c r="R4479" s="2">
        <v>61.55</v>
      </c>
      <c r="S4479" s="2">
        <v>9.1121499999999994E-3</v>
      </c>
      <c r="T4479" s="2">
        <v>5.6407499999999999E-3</v>
      </c>
    </row>
    <row r="4480" spans="18:20" x14ac:dyDescent="0.45">
      <c r="R4480" s="2">
        <v>61.56</v>
      </c>
      <c r="S4480" s="2">
        <v>9.1226799999999993E-3</v>
      </c>
      <c r="T4480" s="2">
        <v>5.6464000000000002E-3</v>
      </c>
    </row>
    <row r="4481" spans="18:20" x14ac:dyDescent="0.45">
      <c r="R4481" s="2">
        <v>61.57</v>
      </c>
      <c r="S4481" s="2">
        <v>9.1332099999999992E-3</v>
      </c>
      <c r="T4481" s="2">
        <v>5.6520499999999996E-3</v>
      </c>
    </row>
    <row r="4482" spans="18:20" x14ac:dyDescent="0.45">
      <c r="R4482" s="2">
        <v>61.58</v>
      </c>
      <c r="S4482" s="2">
        <v>9.1437399999999992E-3</v>
      </c>
      <c r="T4482" s="2">
        <v>5.6576999999999999E-3</v>
      </c>
    </row>
    <row r="4483" spans="18:20" x14ac:dyDescent="0.45">
      <c r="R4483" s="2">
        <v>61.59</v>
      </c>
      <c r="S4483" s="2">
        <v>9.1542700000000008E-3</v>
      </c>
      <c r="T4483" s="2">
        <v>5.6633500000000002E-3</v>
      </c>
    </row>
    <row r="4484" spans="18:20" x14ac:dyDescent="0.45">
      <c r="R4484" s="2">
        <v>61.6</v>
      </c>
      <c r="S4484" s="2">
        <v>9.1648000000000007E-3</v>
      </c>
      <c r="T4484" s="2">
        <v>5.6690000000000004E-3</v>
      </c>
    </row>
    <row r="4485" spans="18:20" x14ac:dyDescent="0.45">
      <c r="R4485" s="2">
        <v>61.61</v>
      </c>
      <c r="S4485" s="2">
        <v>9.1753300000000006E-3</v>
      </c>
      <c r="T4485" s="2">
        <v>5.6746499999999998E-3</v>
      </c>
    </row>
    <row r="4486" spans="18:20" x14ac:dyDescent="0.45">
      <c r="R4486" s="2">
        <v>61.62</v>
      </c>
      <c r="S4486" s="2">
        <v>9.1858600000000006E-3</v>
      </c>
      <c r="T4486" s="2">
        <v>5.6803000000000001E-3</v>
      </c>
    </row>
    <row r="4487" spans="18:20" x14ac:dyDescent="0.45">
      <c r="R4487" s="2">
        <v>61.63</v>
      </c>
      <c r="S4487" s="2">
        <v>9.1963900000000005E-3</v>
      </c>
      <c r="T4487" s="2">
        <v>5.6859500000000004E-3</v>
      </c>
    </row>
    <row r="4488" spans="18:20" x14ac:dyDescent="0.45">
      <c r="R4488" s="2">
        <v>61.64</v>
      </c>
      <c r="S4488" s="2">
        <v>9.2069200000000004E-3</v>
      </c>
      <c r="T4488" s="2">
        <v>5.6915999999999998E-3</v>
      </c>
    </row>
    <row r="4489" spans="18:20" x14ac:dyDescent="0.45">
      <c r="R4489" s="2">
        <v>61.65</v>
      </c>
      <c r="S4489" s="2">
        <v>9.2174500000000003E-3</v>
      </c>
      <c r="T4489" s="2">
        <v>5.6972500000000001E-3</v>
      </c>
    </row>
    <row r="4490" spans="18:20" x14ac:dyDescent="0.45">
      <c r="R4490" s="2">
        <v>61.66</v>
      </c>
      <c r="S4490" s="2">
        <v>9.2279800000000002E-3</v>
      </c>
      <c r="T4490" s="2">
        <v>5.7029000000000003E-3</v>
      </c>
    </row>
    <row r="4491" spans="18:20" x14ac:dyDescent="0.45">
      <c r="R4491" s="2">
        <v>61.67</v>
      </c>
      <c r="S4491" s="2">
        <v>9.2385100000000001E-3</v>
      </c>
      <c r="T4491" s="2">
        <v>5.7085499999999997E-3</v>
      </c>
    </row>
    <row r="4492" spans="18:20" x14ac:dyDescent="0.45">
      <c r="R4492" s="2">
        <v>61.68</v>
      </c>
      <c r="S4492" s="2">
        <v>9.24904E-3</v>
      </c>
      <c r="T4492" s="2">
        <v>5.7142E-3</v>
      </c>
    </row>
    <row r="4493" spans="18:20" x14ac:dyDescent="0.45">
      <c r="R4493" s="2">
        <v>61.69</v>
      </c>
      <c r="S4493" s="2">
        <v>9.25957E-3</v>
      </c>
      <c r="T4493" s="2">
        <v>5.7198500000000003E-3</v>
      </c>
    </row>
    <row r="4494" spans="18:20" x14ac:dyDescent="0.45">
      <c r="R4494" s="2">
        <v>61.7</v>
      </c>
      <c r="S4494" s="2">
        <v>9.2700999999999999E-3</v>
      </c>
      <c r="T4494" s="2">
        <v>5.7254999999999997E-3</v>
      </c>
    </row>
    <row r="4495" spans="18:20" x14ac:dyDescent="0.45">
      <c r="R4495" s="2">
        <v>61.71</v>
      </c>
      <c r="S4495" s="2">
        <v>9.2806299999999998E-3</v>
      </c>
      <c r="T4495" s="2">
        <v>5.73115E-3</v>
      </c>
    </row>
    <row r="4496" spans="18:20" x14ac:dyDescent="0.45">
      <c r="R4496" s="2">
        <v>61.72</v>
      </c>
      <c r="S4496" s="2">
        <v>9.2911599999999997E-3</v>
      </c>
      <c r="T4496" s="2">
        <v>5.7368000000000002E-3</v>
      </c>
    </row>
    <row r="4497" spans="18:20" x14ac:dyDescent="0.45">
      <c r="R4497" s="2">
        <v>61.73</v>
      </c>
      <c r="S4497" s="2">
        <v>9.3016899999999996E-3</v>
      </c>
      <c r="T4497" s="2">
        <v>5.7424499999999996E-3</v>
      </c>
    </row>
    <row r="4498" spans="18:20" x14ac:dyDescent="0.45">
      <c r="R4498" s="2">
        <v>61.74</v>
      </c>
      <c r="S4498" s="2">
        <v>9.3122199999999995E-3</v>
      </c>
      <c r="T4498" s="2">
        <v>5.7480999999999999E-3</v>
      </c>
    </row>
    <row r="4499" spans="18:20" x14ac:dyDescent="0.45">
      <c r="R4499" s="2">
        <v>61.75</v>
      </c>
      <c r="S4499" s="2">
        <v>9.3227499999999994E-3</v>
      </c>
      <c r="T4499" s="2">
        <v>5.7537500000000002E-3</v>
      </c>
    </row>
    <row r="4500" spans="18:20" x14ac:dyDescent="0.45">
      <c r="R4500" s="2">
        <v>61.76</v>
      </c>
      <c r="S4500" s="2">
        <v>9.3332799999999994E-3</v>
      </c>
      <c r="T4500" s="2">
        <v>5.7593999999999996E-3</v>
      </c>
    </row>
    <row r="4501" spans="18:20" x14ac:dyDescent="0.45">
      <c r="R4501" s="2">
        <v>61.77</v>
      </c>
      <c r="S4501" s="2">
        <v>9.3438099999999993E-3</v>
      </c>
      <c r="T4501" s="2">
        <v>5.7650499999999999E-3</v>
      </c>
    </row>
    <row r="4502" spans="18:20" x14ac:dyDescent="0.45">
      <c r="R4502" s="2">
        <v>61.78</v>
      </c>
      <c r="S4502" s="2">
        <v>9.3543399999999992E-3</v>
      </c>
      <c r="T4502" s="2">
        <v>5.7707000000000001E-3</v>
      </c>
    </row>
    <row r="4503" spans="18:20" x14ac:dyDescent="0.45">
      <c r="R4503" s="2">
        <v>61.79</v>
      </c>
      <c r="S4503" s="2">
        <v>9.3648700000000008E-3</v>
      </c>
      <c r="T4503" s="2">
        <v>5.7763500000000004E-3</v>
      </c>
    </row>
    <row r="4504" spans="18:20" x14ac:dyDescent="0.45">
      <c r="R4504" s="2">
        <v>61.8</v>
      </c>
      <c r="S4504" s="2">
        <v>9.3754000000000007E-3</v>
      </c>
      <c r="T4504" s="2">
        <v>5.7819999999999998E-3</v>
      </c>
    </row>
    <row r="4505" spans="18:20" x14ac:dyDescent="0.45">
      <c r="R4505" s="2">
        <v>61.81</v>
      </c>
      <c r="S4505" s="2">
        <v>9.3859300000000007E-3</v>
      </c>
      <c r="T4505" s="2">
        <v>5.7876500000000001E-3</v>
      </c>
    </row>
    <row r="4506" spans="18:20" x14ac:dyDescent="0.45">
      <c r="R4506" s="2">
        <v>61.82</v>
      </c>
      <c r="S4506" s="2">
        <v>9.3964600000000006E-3</v>
      </c>
      <c r="T4506" s="2">
        <v>5.7933000000000004E-3</v>
      </c>
    </row>
    <row r="4507" spans="18:20" x14ac:dyDescent="0.45">
      <c r="R4507" s="2">
        <v>61.83</v>
      </c>
      <c r="S4507" s="2">
        <v>9.4069900000000005E-3</v>
      </c>
      <c r="T4507" s="2">
        <v>5.7989499999999998E-3</v>
      </c>
    </row>
    <row r="4508" spans="18:20" x14ac:dyDescent="0.45">
      <c r="R4508" s="2">
        <v>61.84</v>
      </c>
      <c r="S4508" s="2">
        <v>9.4175200000000004E-3</v>
      </c>
      <c r="T4508" s="2">
        <v>5.8046E-3</v>
      </c>
    </row>
    <row r="4509" spans="18:20" x14ac:dyDescent="0.45">
      <c r="R4509" s="2">
        <v>61.85</v>
      </c>
      <c r="S4509" s="2">
        <v>9.4280500000000003E-3</v>
      </c>
      <c r="T4509" s="2">
        <v>5.8102500000000003E-3</v>
      </c>
    </row>
    <row r="4510" spans="18:20" x14ac:dyDescent="0.45">
      <c r="R4510" s="2">
        <v>61.86</v>
      </c>
      <c r="S4510" s="2">
        <v>9.4385800000000002E-3</v>
      </c>
      <c r="T4510" s="2">
        <v>5.8158999999999997E-3</v>
      </c>
    </row>
    <row r="4511" spans="18:20" x14ac:dyDescent="0.45">
      <c r="R4511" s="2">
        <v>61.87</v>
      </c>
      <c r="S4511" s="2">
        <v>9.4491100000000001E-3</v>
      </c>
      <c r="T4511" s="2">
        <v>5.82155E-3</v>
      </c>
    </row>
    <row r="4512" spans="18:20" x14ac:dyDescent="0.45">
      <c r="R4512" s="2">
        <v>61.88</v>
      </c>
      <c r="S4512" s="2">
        <v>9.4596400000000001E-3</v>
      </c>
      <c r="T4512" s="2">
        <v>5.8272000000000003E-3</v>
      </c>
    </row>
    <row r="4513" spans="18:20" x14ac:dyDescent="0.45">
      <c r="R4513" s="2">
        <v>61.89</v>
      </c>
      <c r="S4513" s="2">
        <v>9.47017E-3</v>
      </c>
      <c r="T4513" s="2">
        <v>5.8328499999999997E-3</v>
      </c>
    </row>
    <row r="4514" spans="18:20" x14ac:dyDescent="0.45">
      <c r="R4514" s="2">
        <v>61.9</v>
      </c>
      <c r="S4514" s="2">
        <v>9.4806999999999999E-3</v>
      </c>
      <c r="T4514" s="2">
        <v>5.8384999999999999E-3</v>
      </c>
    </row>
    <row r="4515" spans="18:20" x14ac:dyDescent="0.45">
      <c r="R4515" s="2">
        <v>61.91</v>
      </c>
      <c r="S4515" s="2">
        <v>9.4912299999999998E-3</v>
      </c>
      <c r="T4515" s="2">
        <v>5.8441500000000002E-3</v>
      </c>
    </row>
    <row r="4516" spans="18:20" x14ac:dyDescent="0.45">
      <c r="R4516" s="2">
        <v>61.92</v>
      </c>
      <c r="S4516" s="2">
        <v>9.5017599999999997E-3</v>
      </c>
      <c r="T4516" s="2">
        <v>5.8497999999999996E-3</v>
      </c>
    </row>
    <row r="4517" spans="18:20" x14ac:dyDescent="0.45">
      <c r="R4517" s="2">
        <v>61.93</v>
      </c>
      <c r="S4517" s="2">
        <v>9.5122899999999996E-3</v>
      </c>
      <c r="T4517" s="2">
        <v>5.8554499999999999E-3</v>
      </c>
    </row>
    <row r="4518" spans="18:20" x14ac:dyDescent="0.45">
      <c r="R4518" s="2">
        <v>61.94</v>
      </c>
      <c r="S4518" s="2">
        <v>9.5228199999999995E-3</v>
      </c>
      <c r="T4518" s="2">
        <v>5.8611000000000002E-3</v>
      </c>
    </row>
    <row r="4519" spans="18:20" x14ac:dyDescent="0.45">
      <c r="R4519" s="2">
        <v>61.95</v>
      </c>
      <c r="S4519" s="2">
        <v>9.5333499999999995E-3</v>
      </c>
      <c r="T4519" s="2">
        <v>5.8667499999999996E-3</v>
      </c>
    </row>
    <row r="4520" spans="18:20" x14ac:dyDescent="0.45">
      <c r="R4520" s="2">
        <v>61.96</v>
      </c>
      <c r="S4520" s="2">
        <v>9.5438799999999994E-3</v>
      </c>
      <c r="T4520" s="2">
        <v>5.8723999999999998E-3</v>
      </c>
    </row>
    <row r="4521" spans="18:20" x14ac:dyDescent="0.45">
      <c r="R4521" s="2">
        <v>61.97</v>
      </c>
      <c r="S4521" s="2">
        <v>9.5544099999999993E-3</v>
      </c>
      <c r="T4521" s="2">
        <v>5.8780500000000001E-3</v>
      </c>
    </row>
    <row r="4522" spans="18:20" x14ac:dyDescent="0.45">
      <c r="R4522" s="2">
        <v>61.98</v>
      </c>
      <c r="S4522" s="2">
        <v>9.5649399999999992E-3</v>
      </c>
      <c r="T4522" s="2">
        <v>5.8837000000000004E-3</v>
      </c>
    </row>
    <row r="4523" spans="18:20" x14ac:dyDescent="0.45">
      <c r="R4523" s="2">
        <v>61.99</v>
      </c>
      <c r="S4523" s="2">
        <v>9.5754700000000009E-3</v>
      </c>
      <c r="T4523" s="2">
        <v>5.8893499999999998E-3</v>
      </c>
    </row>
    <row r="4524" spans="18:20" x14ac:dyDescent="0.45">
      <c r="R4524" s="2">
        <v>62</v>
      </c>
      <c r="S4524" s="2">
        <v>9.5860000000000008E-3</v>
      </c>
      <c r="T4524" s="2">
        <v>5.8950000000000001E-3</v>
      </c>
    </row>
    <row r="4525" spans="18:20" x14ac:dyDescent="0.45">
      <c r="R4525" s="2">
        <v>62.01</v>
      </c>
      <c r="S4525" s="2">
        <v>9.5977700000000003E-3</v>
      </c>
      <c r="T4525" s="2">
        <v>5.9012600000000002E-3</v>
      </c>
    </row>
    <row r="4526" spans="18:20" x14ac:dyDescent="0.45">
      <c r="R4526" s="2">
        <v>62.02</v>
      </c>
      <c r="S4526" s="2">
        <v>9.6095399999999997E-3</v>
      </c>
      <c r="T4526" s="2">
        <v>5.9075200000000003E-3</v>
      </c>
    </row>
    <row r="4527" spans="18:20" x14ac:dyDescent="0.45">
      <c r="R4527" s="2">
        <v>62.03</v>
      </c>
      <c r="S4527" s="2">
        <v>9.6213099999999992E-3</v>
      </c>
      <c r="T4527" s="2">
        <v>5.9137800000000004E-3</v>
      </c>
    </row>
    <row r="4528" spans="18:20" x14ac:dyDescent="0.45">
      <c r="R4528" s="2">
        <v>62.04</v>
      </c>
      <c r="S4528" s="2">
        <v>9.6330800000000005E-3</v>
      </c>
      <c r="T4528" s="2">
        <v>5.9200399999999997E-3</v>
      </c>
    </row>
    <row r="4529" spans="18:20" x14ac:dyDescent="0.45">
      <c r="R4529" s="2">
        <v>62.05</v>
      </c>
      <c r="S4529" s="2">
        <v>9.64485E-3</v>
      </c>
      <c r="T4529" s="2">
        <v>5.9262999999999998E-3</v>
      </c>
    </row>
    <row r="4530" spans="18:20" x14ac:dyDescent="0.45">
      <c r="R4530" s="2">
        <v>62.06</v>
      </c>
      <c r="S4530" s="2">
        <v>9.6566199999999994E-3</v>
      </c>
      <c r="T4530" s="2">
        <v>5.9325599999999999E-3</v>
      </c>
    </row>
    <row r="4531" spans="18:20" x14ac:dyDescent="0.45">
      <c r="R4531" s="2">
        <v>62.07</v>
      </c>
      <c r="S4531" s="2">
        <v>9.6683900000000007E-3</v>
      </c>
      <c r="T4531" s="2">
        <v>5.93882E-3</v>
      </c>
    </row>
    <row r="4532" spans="18:20" x14ac:dyDescent="0.45">
      <c r="R4532" s="2">
        <v>62.08</v>
      </c>
      <c r="S4532" s="2">
        <v>9.6801600000000002E-3</v>
      </c>
      <c r="T4532" s="2">
        <v>5.9450800000000002E-3</v>
      </c>
    </row>
    <row r="4533" spans="18:20" x14ac:dyDescent="0.45">
      <c r="R4533" s="2">
        <v>62.09</v>
      </c>
      <c r="S4533" s="2">
        <v>9.6919299999999996E-3</v>
      </c>
      <c r="T4533" s="2">
        <v>5.9513400000000003E-3</v>
      </c>
    </row>
    <row r="4534" spans="18:20" x14ac:dyDescent="0.45">
      <c r="R4534" s="2">
        <v>62.1</v>
      </c>
      <c r="S4534" s="2">
        <v>9.7037000000000009E-3</v>
      </c>
      <c r="T4534" s="2">
        <v>5.9576000000000004E-3</v>
      </c>
    </row>
    <row r="4535" spans="18:20" x14ac:dyDescent="0.45">
      <c r="R4535" s="2">
        <v>62.11</v>
      </c>
      <c r="S4535" s="2">
        <v>9.7154700000000004E-3</v>
      </c>
      <c r="T4535" s="2">
        <v>5.9638599999999996E-3</v>
      </c>
    </row>
    <row r="4536" spans="18:20" x14ac:dyDescent="0.45">
      <c r="R4536" s="2">
        <v>62.12</v>
      </c>
      <c r="S4536" s="2">
        <v>9.7272399999999998E-3</v>
      </c>
      <c r="T4536" s="2">
        <v>5.9701199999999998E-3</v>
      </c>
    </row>
    <row r="4537" spans="18:20" x14ac:dyDescent="0.45">
      <c r="R4537" s="2">
        <v>62.13</v>
      </c>
      <c r="S4537" s="2">
        <v>9.7390099999999993E-3</v>
      </c>
      <c r="T4537" s="2">
        <v>5.9763799999999999E-3</v>
      </c>
    </row>
    <row r="4538" spans="18:20" x14ac:dyDescent="0.45">
      <c r="R4538" s="2">
        <v>62.14</v>
      </c>
      <c r="S4538" s="2">
        <v>9.7507800000000006E-3</v>
      </c>
      <c r="T4538" s="2">
        <v>5.98264E-3</v>
      </c>
    </row>
    <row r="4539" spans="18:20" x14ac:dyDescent="0.45">
      <c r="R4539" s="2">
        <v>62.15</v>
      </c>
      <c r="S4539" s="2">
        <v>9.76255E-3</v>
      </c>
      <c r="T4539" s="2">
        <v>5.9889000000000001E-3</v>
      </c>
    </row>
    <row r="4540" spans="18:20" x14ac:dyDescent="0.45">
      <c r="R4540" s="2">
        <v>62.16</v>
      </c>
      <c r="S4540" s="2">
        <v>9.7743199999999995E-3</v>
      </c>
      <c r="T4540" s="2">
        <v>5.9951600000000002E-3</v>
      </c>
    </row>
    <row r="4541" spans="18:20" x14ac:dyDescent="0.45">
      <c r="R4541" s="2">
        <v>62.17</v>
      </c>
      <c r="S4541" s="2">
        <v>9.7860900000000008E-3</v>
      </c>
      <c r="T4541" s="2">
        <v>6.0014200000000004E-3</v>
      </c>
    </row>
    <row r="4542" spans="18:20" x14ac:dyDescent="0.45">
      <c r="R4542" s="2">
        <v>62.18</v>
      </c>
      <c r="S4542" s="2">
        <v>9.7978600000000002E-3</v>
      </c>
      <c r="T4542" s="2">
        <v>6.0076799999999996E-3</v>
      </c>
    </row>
    <row r="4543" spans="18:20" x14ac:dyDescent="0.45">
      <c r="R4543" s="2">
        <v>62.19</v>
      </c>
      <c r="S4543" s="2">
        <v>9.8096299999999997E-3</v>
      </c>
      <c r="T4543" s="2">
        <v>6.0139399999999997E-3</v>
      </c>
    </row>
    <row r="4544" spans="18:20" x14ac:dyDescent="0.45">
      <c r="R4544" s="2">
        <v>62.2</v>
      </c>
      <c r="S4544" s="2">
        <v>9.8213999999999992E-3</v>
      </c>
      <c r="T4544" s="2">
        <v>6.0201999999999999E-3</v>
      </c>
    </row>
    <row r="4545" spans="18:20" x14ac:dyDescent="0.45">
      <c r="R4545" s="2">
        <v>62.21</v>
      </c>
      <c r="S4545" s="2">
        <v>9.8331700000000005E-3</v>
      </c>
      <c r="T4545" s="2">
        <v>6.02646E-3</v>
      </c>
    </row>
    <row r="4546" spans="18:20" x14ac:dyDescent="0.45">
      <c r="R4546" s="2">
        <v>62.22</v>
      </c>
      <c r="S4546" s="2">
        <v>9.8449399999999999E-3</v>
      </c>
      <c r="T4546" s="2">
        <v>6.0327200000000001E-3</v>
      </c>
    </row>
    <row r="4547" spans="18:20" x14ac:dyDescent="0.45">
      <c r="R4547" s="2">
        <v>62.23</v>
      </c>
      <c r="S4547" s="2">
        <v>9.8567099999999994E-3</v>
      </c>
      <c r="T4547" s="2">
        <v>6.0389800000000002E-3</v>
      </c>
    </row>
    <row r="4548" spans="18:20" x14ac:dyDescent="0.45">
      <c r="R4548" s="2">
        <v>62.24</v>
      </c>
      <c r="S4548" s="2">
        <v>9.8684800000000007E-3</v>
      </c>
      <c r="T4548" s="2">
        <v>6.0452400000000003E-3</v>
      </c>
    </row>
    <row r="4549" spans="18:20" x14ac:dyDescent="0.45">
      <c r="R4549" s="2">
        <v>62.25</v>
      </c>
      <c r="S4549" s="2">
        <v>9.8802500000000001E-3</v>
      </c>
      <c r="T4549" s="2">
        <v>6.0514999999999996E-3</v>
      </c>
    </row>
    <row r="4550" spans="18:20" x14ac:dyDescent="0.45">
      <c r="R4550" s="2">
        <v>62.26</v>
      </c>
      <c r="S4550" s="2">
        <v>9.8920199999999996E-3</v>
      </c>
      <c r="T4550" s="2">
        <v>6.0577599999999997E-3</v>
      </c>
    </row>
    <row r="4551" spans="18:20" x14ac:dyDescent="0.45">
      <c r="R4551" s="2">
        <v>62.27</v>
      </c>
      <c r="S4551" s="2">
        <v>9.9037900000000009E-3</v>
      </c>
      <c r="T4551" s="2">
        <v>6.0640199999999998E-3</v>
      </c>
    </row>
    <row r="4552" spans="18:20" x14ac:dyDescent="0.45">
      <c r="R4552" s="2">
        <v>62.28</v>
      </c>
      <c r="S4552" s="2">
        <v>9.9155600000000003E-3</v>
      </c>
      <c r="T4552" s="2">
        <v>6.0702799999999999E-3</v>
      </c>
    </row>
    <row r="4553" spans="18:20" x14ac:dyDescent="0.45">
      <c r="R4553" s="2">
        <v>62.29</v>
      </c>
      <c r="S4553" s="2">
        <v>9.9273299999999998E-3</v>
      </c>
      <c r="T4553" s="2">
        <v>6.0765400000000001E-3</v>
      </c>
    </row>
    <row r="4554" spans="18:20" x14ac:dyDescent="0.45">
      <c r="R4554" s="2">
        <v>62.3</v>
      </c>
      <c r="S4554" s="2">
        <v>9.9390999999999993E-3</v>
      </c>
      <c r="T4554" s="2">
        <v>6.0828000000000002E-3</v>
      </c>
    </row>
    <row r="4555" spans="18:20" x14ac:dyDescent="0.45">
      <c r="R4555" s="2">
        <v>62.31</v>
      </c>
      <c r="S4555" s="2">
        <v>9.9508700000000005E-3</v>
      </c>
      <c r="T4555" s="2">
        <v>6.0890600000000003E-3</v>
      </c>
    </row>
    <row r="4556" spans="18:20" x14ac:dyDescent="0.45">
      <c r="R4556" s="2">
        <v>62.32</v>
      </c>
      <c r="S4556" s="2">
        <v>9.96264E-3</v>
      </c>
      <c r="T4556" s="2">
        <v>6.0953200000000004E-3</v>
      </c>
    </row>
    <row r="4557" spans="18:20" x14ac:dyDescent="0.45">
      <c r="R4557" s="2">
        <v>62.33</v>
      </c>
      <c r="S4557" s="2">
        <v>9.9744099999999995E-3</v>
      </c>
      <c r="T4557" s="2">
        <v>6.1015799999999997E-3</v>
      </c>
    </row>
    <row r="4558" spans="18:20" x14ac:dyDescent="0.45">
      <c r="R4558" s="2">
        <v>62.34</v>
      </c>
      <c r="S4558" s="2">
        <v>9.9861800000000008E-3</v>
      </c>
      <c r="T4558" s="2">
        <v>6.1078399999999998E-3</v>
      </c>
    </row>
    <row r="4559" spans="18:20" x14ac:dyDescent="0.45">
      <c r="R4559" s="2">
        <v>62.35</v>
      </c>
      <c r="S4559" s="2">
        <v>9.9979500000000002E-3</v>
      </c>
      <c r="T4559" s="2">
        <v>6.1140999999999999E-3</v>
      </c>
    </row>
    <row r="4560" spans="18:20" x14ac:dyDescent="0.45">
      <c r="R4560" s="2">
        <v>62.36</v>
      </c>
      <c r="S4560" s="2">
        <v>1.000972E-2</v>
      </c>
      <c r="T4560" s="2">
        <v>6.12036E-3</v>
      </c>
    </row>
    <row r="4561" spans="18:20" x14ac:dyDescent="0.45">
      <c r="R4561" s="2">
        <v>62.37</v>
      </c>
      <c r="S4561" s="2">
        <v>1.0021489999999999E-2</v>
      </c>
      <c r="T4561" s="2">
        <v>6.1266200000000002E-3</v>
      </c>
    </row>
    <row r="4562" spans="18:20" x14ac:dyDescent="0.45">
      <c r="R4562" s="2">
        <v>62.38</v>
      </c>
      <c r="S4562" s="2">
        <v>1.003326E-2</v>
      </c>
      <c r="T4562" s="2">
        <v>6.1328800000000003E-3</v>
      </c>
    </row>
    <row r="4563" spans="18:20" x14ac:dyDescent="0.45">
      <c r="R4563" s="2">
        <v>62.39</v>
      </c>
      <c r="S4563" s="2">
        <v>1.004503E-2</v>
      </c>
      <c r="T4563" s="2">
        <v>6.1391400000000004E-3</v>
      </c>
    </row>
    <row r="4564" spans="18:20" x14ac:dyDescent="0.45">
      <c r="R4564" s="2">
        <v>62.4</v>
      </c>
      <c r="S4564" s="2">
        <v>1.0056799999999999E-2</v>
      </c>
      <c r="T4564" s="2">
        <v>6.1453999999999996E-3</v>
      </c>
    </row>
    <row r="4565" spans="18:20" x14ac:dyDescent="0.45">
      <c r="R4565" s="2">
        <v>62.41</v>
      </c>
      <c r="S4565" s="2">
        <v>1.0068570000000001E-2</v>
      </c>
      <c r="T4565" s="2">
        <v>6.1516599999999998E-3</v>
      </c>
    </row>
    <row r="4566" spans="18:20" x14ac:dyDescent="0.45">
      <c r="R4566" s="2">
        <v>62.42</v>
      </c>
      <c r="S4566" s="2">
        <v>1.008034E-2</v>
      </c>
      <c r="T4566" s="2">
        <v>6.1579199999999999E-3</v>
      </c>
    </row>
    <row r="4567" spans="18:20" x14ac:dyDescent="0.45">
      <c r="R4567" s="2">
        <v>62.43</v>
      </c>
      <c r="S4567" s="2">
        <v>1.009211E-2</v>
      </c>
      <c r="T4567" s="2">
        <v>6.16418E-3</v>
      </c>
    </row>
    <row r="4568" spans="18:20" x14ac:dyDescent="0.45">
      <c r="R4568" s="2">
        <v>62.44</v>
      </c>
      <c r="S4568" s="2">
        <v>1.0103880000000001E-2</v>
      </c>
      <c r="T4568" s="2">
        <v>6.1704400000000001E-3</v>
      </c>
    </row>
    <row r="4569" spans="18:20" x14ac:dyDescent="0.45">
      <c r="R4569" s="2">
        <v>62.45</v>
      </c>
      <c r="S4569" s="2">
        <v>1.011565E-2</v>
      </c>
      <c r="T4569" s="2">
        <v>6.1767000000000002E-3</v>
      </c>
    </row>
    <row r="4570" spans="18:20" x14ac:dyDescent="0.45">
      <c r="R4570" s="2">
        <v>62.46</v>
      </c>
      <c r="S4570" s="2">
        <v>1.012742E-2</v>
      </c>
      <c r="T4570" s="2">
        <v>6.1829600000000004E-3</v>
      </c>
    </row>
    <row r="4571" spans="18:20" x14ac:dyDescent="0.45">
      <c r="R4571" s="2">
        <v>62.47</v>
      </c>
      <c r="S4571" s="2">
        <v>1.0139189999999999E-2</v>
      </c>
      <c r="T4571" s="2">
        <v>6.1892199999999996E-3</v>
      </c>
    </row>
    <row r="4572" spans="18:20" x14ac:dyDescent="0.45">
      <c r="R4572" s="2">
        <v>62.48</v>
      </c>
      <c r="S4572" s="2">
        <v>1.0150960000000001E-2</v>
      </c>
      <c r="T4572" s="2">
        <v>6.1954799999999997E-3</v>
      </c>
    </row>
    <row r="4573" spans="18:20" x14ac:dyDescent="0.45">
      <c r="R4573" s="2">
        <v>62.49</v>
      </c>
      <c r="S4573" s="2">
        <v>1.016273E-2</v>
      </c>
      <c r="T4573" s="2">
        <v>6.2017399999999999E-3</v>
      </c>
    </row>
    <row r="4574" spans="18:20" x14ac:dyDescent="0.45">
      <c r="R4574" s="2">
        <v>62.5</v>
      </c>
      <c r="S4574" s="2">
        <v>1.01745E-2</v>
      </c>
      <c r="T4574" s="2">
        <v>6.208E-3</v>
      </c>
    </row>
    <row r="4575" spans="18:20" x14ac:dyDescent="0.45">
      <c r="R4575" s="2">
        <v>62.51</v>
      </c>
      <c r="S4575" s="2">
        <v>1.0186270000000001E-2</v>
      </c>
      <c r="T4575" s="2">
        <v>6.2142600000000001E-3</v>
      </c>
    </row>
    <row r="4576" spans="18:20" x14ac:dyDescent="0.45">
      <c r="R4576" s="2">
        <v>62.52</v>
      </c>
      <c r="S4576" s="2">
        <v>1.019804E-2</v>
      </c>
      <c r="T4576" s="2">
        <v>6.2205200000000002E-3</v>
      </c>
    </row>
    <row r="4577" spans="18:20" x14ac:dyDescent="0.45">
      <c r="R4577" s="2">
        <v>62.53</v>
      </c>
      <c r="S4577" s="2">
        <v>1.020981E-2</v>
      </c>
      <c r="T4577" s="2">
        <v>6.2267800000000003E-3</v>
      </c>
    </row>
    <row r="4578" spans="18:20" x14ac:dyDescent="0.45">
      <c r="R4578" s="2">
        <v>62.54</v>
      </c>
      <c r="S4578" s="2">
        <v>1.0221579999999999E-2</v>
      </c>
      <c r="T4578" s="2">
        <v>6.2330399999999996E-3</v>
      </c>
    </row>
    <row r="4579" spans="18:20" x14ac:dyDescent="0.45">
      <c r="R4579" s="2">
        <v>62.55</v>
      </c>
      <c r="S4579" s="2">
        <v>1.023335E-2</v>
      </c>
      <c r="T4579" s="2">
        <v>6.2392999999999997E-3</v>
      </c>
    </row>
    <row r="4580" spans="18:20" x14ac:dyDescent="0.45">
      <c r="R4580" s="2">
        <v>62.56</v>
      </c>
      <c r="S4580" s="2">
        <v>1.024512E-2</v>
      </c>
      <c r="T4580" s="2">
        <v>6.2455599999999998E-3</v>
      </c>
    </row>
    <row r="4581" spans="18:20" x14ac:dyDescent="0.45">
      <c r="R4581" s="2">
        <v>62.57</v>
      </c>
      <c r="S4581" s="2">
        <v>1.0256889999999999E-2</v>
      </c>
      <c r="T4581" s="2">
        <v>6.2518199999999999E-3</v>
      </c>
    </row>
    <row r="4582" spans="18:20" x14ac:dyDescent="0.45">
      <c r="R4582" s="2">
        <v>62.58</v>
      </c>
      <c r="S4582" s="2">
        <v>1.0268660000000001E-2</v>
      </c>
      <c r="T4582" s="2">
        <v>6.2580800000000001E-3</v>
      </c>
    </row>
    <row r="4583" spans="18:20" x14ac:dyDescent="0.45">
      <c r="R4583" s="2">
        <v>62.59</v>
      </c>
      <c r="S4583" s="2">
        <v>1.028043E-2</v>
      </c>
      <c r="T4583" s="2">
        <v>6.2643400000000002E-3</v>
      </c>
    </row>
    <row r="4584" spans="18:20" x14ac:dyDescent="0.45">
      <c r="R4584" s="2">
        <v>62.6</v>
      </c>
      <c r="S4584" s="2">
        <v>1.02922E-2</v>
      </c>
      <c r="T4584" s="2">
        <v>6.2706000000000003E-3</v>
      </c>
    </row>
    <row r="4585" spans="18:20" x14ac:dyDescent="0.45">
      <c r="R4585" s="2">
        <v>62.61</v>
      </c>
      <c r="S4585" s="2">
        <v>1.0303970000000001E-2</v>
      </c>
      <c r="T4585" s="2">
        <v>6.2768600000000004E-3</v>
      </c>
    </row>
    <row r="4586" spans="18:20" x14ac:dyDescent="0.45">
      <c r="R4586" s="2">
        <v>62.62</v>
      </c>
      <c r="S4586" s="2">
        <v>1.031574E-2</v>
      </c>
      <c r="T4586" s="2">
        <v>6.2831199999999997E-3</v>
      </c>
    </row>
    <row r="4587" spans="18:20" x14ac:dyDescent="0.45">
      <c r="R4587" s="2">
        <v>62.63</v>
      </c>
      <c r="S4587" s="2">
        <v>1.032751E-2</v>
      </c>
      <c r="T4587" s="2">
        <v>6.2893799999999998E-3</v>
      </c>
    </row>
    <row r="4588" spans="18:20" x14ac:dyDescent="0.45">
      <c r="R4588" s="2">
        <v>62.64</v>
      </c>
      <c r="S4588" s="2">
        <v>1.0339279999999999E-2</v>
      </c>
      <c r="T4588" s="2">
        <v>6.2956399999999999E-3</v>
      </c>
    </row>
    <row r="4589" spans="18:20" x14ac:dyDescent="0.45">
      <c r="R4589" s="2">
        <v>62.65</v>
      </c>
      <c r="S4589" s="2">
        <v>1.0351050000000001E-2</v>
      </c>
      <c r="T4589" s="2">
        <v>6.3019E-3</v>
      </c>
    </row>
    <row r="4590" spans="18:20" x14ac:dyDescent="0.45">
      <c r="R4590" s="2">
        <v>62.66</v>
      </c>
      <c r="S4590" s="2">
        <v>1.036282E-2</v>
      </c>
      <c r="T4590" s="2">
        <v>6.3081600000000002E-3</v>
      </c>
    </row>
    <row r="4591" spans="18:20" x14ac:dyDescent="0.45">
      <c r="R4591" s="2">
        <v>62.67</v>
      </c>
      <c r="S4591" s="2">
        <v>1.037459E-2</v>
      </c>
      <c r="T4591" s="2">
        <v>6.3144200000000003E-3</v>
      </c>
    </row>
    <row r="4592" spans="18:20" x14ac:dyDescent="0.45">
      <c r="R4592" s="2">
        <v>62.68</v>
      </c>
      <c r="S4592" s="2">
        <v>1.0386360000000001E-2</v>
      </c>
      <c r="T4592" s="2">
        <v>6.3206800000000004E-3</v>
      </c>
    </row>
    <row r="4593" spans="18:20" x14ac:dyDescent="0.45">
      <c r="R4593" s="2">
        <v>62.69</v>
      </c>
      <c r="S4593" s="2">
        <v>1.039813E-2</v>
      </c>
      <c r="T4593" s="2">
        <v>6.3269399999999996E-3</v>
      </c>
    </row>
    <row r="4594" spans="18:20" x14ac:dyDescent="0.45">
      <c r="R4594" s="2">
        <v>62.7</v>
      </c>
      <c r="S4594" s="2">
        <v>1.04099E-2</v>
      </c>
      <c r="T4594" s="2">
        <v>6.3331999999999998E-3</v>
      </c>
    </row>
    <row r="4595" spans="18:20" x14ac:dyDescent="0.45">
      <c r="R4595" s="2">
        <v>62.71</v>
      </c>
      <c r="S4595" s="2">
        <v>1.0421669999999999E-2</v>
      </c>
      <c r="T4595" s="2">
        <v>6.3394599999999999E-3</v>
      </c>
    </row>
    <row r="4596" spans="18:20" x14ac:dyDescent="0.45">
      <c r="R4596" s="2">
        <v>62.72</v>
      </c>
      <c r="S4596" s="2">
        <v>1.043344E-2</v>
      </c>
      <c r="T4596" s="2">
        <v>6.34572E-3</v>
      </c>
    </row>
    <row r="4597" spans="18:20" x14ac:dyDescent="0.45">
      <c r="R4597" s="2">
        <v>62.73</v>
      </c>
      <c r="S4597" s="2">
        <v>1.044521E-2</v>
      </c>
      <c r="T4597" s="2">
        <v>6.3519800000000001E-3</v>
      </c>
    </row>
    <row r="4598" spans="18:20" x14ac:dyDescent="0.45">
      <c r="R4598" s="2">
        <v>62.74</v>
      </c>
      <c r="S4598" s="2">
        <v>1.0456979999999999E-2</v>
      </c>
      <c r="T4598" s="2">
        <v>6.3582400000000002E-3</v>
      </c>
    </row>
    <row r="4599" spans="18:20" x14ac:dyDescent="0.45">
      <c r="R4599" s="2">
        <v>62.75</v>
      </c>
      <c r="S4599" s="2">
        <v>1.0468750000000001E-2</v>
      </c>
      <c r="T4599" s="2">
        <v>6.3645000000000004E-3</v>
      </c>
    </row>
    <row r="4600" spans="18:20" x14ac:dyDescent="0.45">
      <c r="R4600" s="2">
        <v>62.76</v>
      </c>
      <c r="S4600" s="2">
        <v>1.048052E-2</v>
      </c>
      <c r="T4600" s="2">
        <v>6.3707599999999996E-3</v>
      </c>
    </row>
    <row r="4601" spans="18:20" x14ac:dyDescent="0.45">
      <c r="R4601" s="2">
        <v>62.77</v>
      </c>
      <c r="S4601" s="2">
        <v>1.049229E-2</v>
      </c>
      <c r="T4601" s="2">
        <v>6.3770199999999997E-3</v>
      </c>
    </row>
    <row r="4602" spans="18:20" x14ac:dyDescent="0.45">
      <c r="R4602" s="2">
        <v>62.78</v>
      </c>
      <c r="S4602" s="2">
        <v>1.0504060000000001E-2</v>
      </c>
      <c r="T4602" s="2">
        <v>6.3832799999999999E-3</v>
      </c>
    </row>
    <row r="4603" spans="18:20" x14ac:dyDescent="0.45">
      <c r="R4603" s="2">
        <v>62.79</v>
      </c>
      <c r="S4603" s="2">
        <v>1.051583E-2</v>
      </c>
      <c r="T4603" s="2">
        <v>6.38954E-3</v>
      </c>
    </row>
    <row r="4604" spans="18:20" x14ac:dyDescent="0.45">
      <c r="R4604" s="2">
        <v>62.8</v>
      </c>
      <c r="S4604" s="2">
        <v>1.05276E-2</v>
      </c>
      <c r="T4604" s="2">
        <v>6.3958000000000001E-3</v>
      </c>
    </row>
    <row r="4605" spans="18:20" x14ac:dyDescent="0.45">
      <c r="R4605" s="2">
        <v>62.81</v>
      </c>
      <c r="S4605" s="2">
        <v>1.0539369999999999E-2</v>
      </c>
      <c r="T4605" s="2">
        <v>6.4020600000000002E-3</v>
      </c>
    </row>
    <row r="4606" spans="18:20" x14ac:dyDescent="0.45">
      <c r="R4606" s="2">
        <v>62.82</v>
      </c>
      <c r="S4606" s="2">
        <v>1.0551140000000001E-2</v>
      </c>
      <c r="T4606" s="2">
        <v>6.4083200000000003E-3</v>
      </c>
    </row>
    <row r="4607" spans="18:20" x14ac:dyDescent="0.45">
      <c r="R4607" s="2">
        <v>62.83</v>
      </c>
      <c r="S4607" s="2">
        <v>1.056291E-2</v>
      </c>
      <c r="T4607" s="2">
        <v>6.4145799999999996E-3</v>
      </c>
    </row>
    <row r="4608" spans="18:20" x14ac:dyDescent="0.45">
      <c r="R4608" s="2">
        <v>62.84</v>
      </c>
      <c r="S4608" s="2">
        <v>1.0574679999999999E-2</v>
      </c>
      <c r="T4608" s="2">
        <v>6.4208399999999997E-3</v>
      </c>
    </row>
    <row r="4609" spans="18:20" x14ac:dyDescent="0.45">
      <c r="R4609" s="2">
        <v>62.85</v>
      </c>
      <c r="S4609" s="2">
        <v>1.0586450000000001E-2</v>
      </c>
      <c r="T4609" s="2">
        <v>6.4270999999999998E-3</v>
      </c>
    </row>
    <row r="4610" spans="18:20" x14ac:dyDescent="0.45">
      <c r="R4610" s="2">
        <v>62.86</v>
      </c>
      <c r="S4610" s="2">
        <v>1.059822E-2</v>
      </c>
      <c r="T4610" s="2">
        <v>6.4333599999999999E-3</v>
      </c>
    </row>
    <row r="4611" spans="18:20" x14ac:dyDescent="0.45">
      <c r="R4611" s="2">
        <v>62.87</v>
      </c>
      <c r="S4611" s="2">
        <v>1.060999E-2</v>
      </c>
      <c r="T4611" s="2">
        <v>6.4396200000000001E-3</v>
      </c>
    </row>
    <row r="4612" spans="18:20" x14ac:dyDescent="0.45">
      <c r="R4612" s="2">
        <v>62.88</v>
      </c>
      <c r="S4612" s="2">
        <v>1.0621759999999999E-2</v>
      </c>
      <c r="T4612" s="2">
        <v>6.4458800000000002E-3</v>
      </c>
    </row>
    <row r="4613" spans="18:20" x14ac:dyDescent="0.45">
      <c r="R4613" s="2">
        <v>62.89</v>
      </c>
      <c r="S4613" s="2">
        <v>1.063353E-2</v>
      </c>
      <c r="T4613" s="2">
        <v>6.4521400000000003E-3</v>
      </c>
    </row>
    <row r="4614" spans="18:20" x14ac:dyDescent="0.45">
      <c r="R4614" s="2">
        <v>62.9</v>
      </c>
      <c r="S4614" s="2">
        <v>1.06453E-2</v>
      </c>
      <c r="T4614" s="2">
        <v>6.4584000000000004E-3</v>
      </c>
    </row>
    <row r="4615" spans="18:20" x14ac:dyDescent="0.45">
      <c r="R4615" s="2">
        <v>62.91</v>
      </c>
      <c r="S4615" s="2">
        <v>1.0657069999999999E-2</v>
      </c>
      <c r="T4615" s="2">
        <v>6.4646599999999997E-3</v>
      </c>
    </row>
    <row r="4616" spans="18:20" x14ac:dyDescent="0.45">
      <c r="R4616" s="2">
        <v>62.92</v>
      </c>
      <c r="S4616" s="2">
        <v>1.0668840000000001E-2</v>
      </c>
      <c r="T4616" s="2">
        <v>6.4709199999999998E-3</v>
      </c>
    </row>
    <row r="4617" spans="18:20" x14ac:dyDescent="0.45">
      <c r="R4617" s="2">
        <v>62.93</v>
      </c>
      <c r="S4617" s="2">
        <v>1.068061E-2</v>
      </c>
      <c r="T4617" s="2">
        <v>6.4771799999999999E-3</v>
      </c>
    </row>
    <row r="4618" spans="18:20" x14ac:dyDescent="0.45">
      <c r="R4618" s="2">
        <v>62.94</v>
      </c>
      <c r="S4618" s="2">
        <v>1.069238E-2</v>
      </c>
      <c r="T4618" s="2">
        <v>6.48344E-3</v>
      </c>
    </row>
    <row r="4619" spans="18:20" x14ac:dyDescent="0.45">
      <c r="R4619" s="2">
        <v>62.95</v>
      </c>
      <c r="S4619" s="2">
        <v>1.0704150000000001E-2</v>
      </c>
      <c r="T4619" s="2">
        <v>6.4897000000000002E-3</v>
      </c>
    </row>
    <row r="4620" spans="18:20" x14ac:dyDescent="0.45">
      <c r="R4620" s="2">
        <v>62.96</v>
      </c>
      <c r="S4620" s="2">
        <v>1.071592E-2</v>
      </c>
      <c r="T4620" s="2">
        <v>6.4959600000000003E-3</v>
      </c>
    </row>
    <row r="4621" spans="18:20" x14ac:dyDescent="0.45">
      <c r="R4621" s="2">
        <v>62.97</v>
      </c>
      <c r="S4621" s="2">
        <v>1.072769E-2</v>
      </c>
      <c r="T4621" s="2">
        <v>6.5022200000000004E-3</v>
      </c>
    </row>
    <row r="4622" spans="18:20" x14ac:dyDescent="0.45">
      <c r="R4622" s="2">
        <v>62.98</v>
      </c>
      <c r="S4622" s="2">
        <v>1.0739459999999999E-2</v>
      </c>
      <c r="T4622" s="2">
        <v>6.5084799999999996E-3</v>
      </c>
    </row>
    <row r="4623" spans="18:20" x14ac:dyDescent="0.45">
      <c r="R4623" s="2">
        <v>62.99</v>
      </c>
      <c r="S4623" s="2">
        <v>1.0751230000000001E-2</v>
      </c>
      <c r="T4623" s="2">
        <v>6.5147399999999998E-3</v>
      </c>
    </row>
    <row r="4624" spans="18:20" x14ac:dyDescent="0.45">
      <c r="R4624" s="2">
        <v>63</v>
      </c>
      <c r="S4624" s="2">
        <v>1.0763E-2</v>
      </c>
      <c r="T4624" s="2">
        <v>6.5209999999999999E-3</v>
      </c>
    </row>
    <row r="4625" spans="18:20" x14ac:dyDescent="0.45">
      <c r="R4625" s="2">
        <v>63.01</v>
      </c>
      <c r="S4625" s="2">
        <v>1.077615E-2</v>
      </c>
      <c r="T4625" s="2">
        <v>6.5279300000000004E-3</v>
      </c>
    </row>
    <row r="4626" spans="18:20" x14ac:dyDescent="0.45">
      <c r="R4626" s="2">
        <v>63.02</v>
      </c>
      <c r="S4626" s="2">
        <v>1.07893E-2</v>
      </c>
      <c r="T4626" s="2">
        <v>6.53486E-3</v>
      </c>
    </row>
    <row r="4627" spans="18:20" x14ac:dyDescent="0.45">
      <c r="R4627" s="2">
        <v>63.03</v>
      </c>
      <c r="S4627" s="2">
        <v>1.080245E-2</v>
      </c>
      <c r="T4627" s="2">
        <v>6.5417899999999996E-3</v>
      </c>
    </row>
    <row r="4628" spans="18:20" x14ac:dyDescent="0.45">
      <c r="R4628" s="2">
        <v>63.04</v>
      </c>
      <c r="S4628" s="2">
        <v>1.08156E-2</v>
      </c>
      <c r="T4628" s="2">
        <v>6.5487200000000001E-3</v>
      </c>
    </row>
    <row r="4629" spans="18:20" x14ac:dyDescent="0.45">
      <c r="R4629" s="2">
        <v>63.05</v>
      </c>
      <c r="S4629" s="2">
        <v>1.082875E-2</v>
      </c>
      <c r="T4629" s="2">
        <v>6.5556499999999997E-3</v>
      </c>
    </row>
    <row r="4630" spans="18:20" x14ac:dyDescent="0.45">
      <c r="R4630" s="2">
        <v>63.06</v>
      </c>
      <c r="S4630" s="2">
        <v>1.08419E-2</v>
      </c>
      <c r="T4630" s="2">
        <v>6.5625800000000001E-3</v>
      </c>
    </row>
    <row r="4631" spans="18:20" x14ac:dyDescent="0.45">
      <c r="R4631" s="2">
        <v>63.07</v>
      </c>
      <c r="S4631" s="2">
        <v>1.085505E-2</v>
      </c>
      <c r="T4631" s="2">
        <v>6.5695099999999998E-3</v>
      </c>
    </row>
    <row r="4632" spans="18:20" x14ac:dyDescent="0.45">
      <c r="R4632" s="2">
        <v>63.08</v>
      </c>
      <c r="S4632" s="2">
        <v>1.08682E-2</v>
      </c>
      <c r="T4632" s="2">
        <v>6.5764400000000002E-3</v>
      </c>
    </row>
    <row r="4633" spans="18:20" x14ac:dyDescent="0.45">
      <c r="R4633" s="2">
        <v>63.09</v>
      </c>
      <c r="S4633" s="2">
        <v>1.088135E-2</v>
      </c>
      <c r="T4633" s="2">
        <v>6.5833699999999998E-3</v>
      </c>
    </row>
    <row r="4634" spans="18:20" x14ac:dyDescent="0.45">
      <c r="R4634" s="2">
        <v>63.1</v>
      </c>
      <c r="S4634" s="2">
        <v>1.08945E-2</v>
      </c>
      <c r="T4634" s="2">
        <v>6.5903000000000003E-3</v>
      </c>
    </row>
    <row r="4635" spans="18:20" x14ac:dyDescent="0.45">
      <c r="R4635" s="2">
        <v>63.11</v>
      </c>
      <c r="S4635" s="2">
        <v>1.090765E-2</v>
      </c>
      <c r="T4635" s="2">
        <v>6.5972299999999999E-3</v>
      </c>
    </row>
    <row r="4636" spans="18:20" x14ac:dyDescent="0.45">
      <c r="R4636" s="2">
        <v>63.12</v>
      </c>
      <c r="S4636" s="2">
        <v>1.09208E-2</v>
      </c>
      <c r="T4636" s="2">
        <v>6.6041600000000004E-3</v>
      </c>
    </row>
    <row r="4637" spans="18:20" x14ac:dyDescent="0.45">
      <c r="R4637" s="2">
        <v>63.13</v>
      </c>
      <c r="S4637" s="2">
        <v>1.093395E-2</v>
      </c>
      <c r="T4637" s="2">
        <v>6.61109E-3</v>
      </c>
    </row>
    <row r="4638" spans="18:20" x14ac:dyDescent="0.45">
      <c r="R4638" s="2">
        <v>63.14</v>
      </c>
      <c r="S4638" s="2">
        <v>1.09471E-2</v>
      </c>
      <c r="T4638" s="2">
        <v>6.6180199999999996E-3</v>
      </c>
    </row>
    <row r="4639" spans="18:20" x14ac:dyDescent="0.45">
      <c r="R4639" s="2">
        <v>63.15</v>
      </c>
      <c r="S4639" s="2">
        <v>1.096025E-2</v>
      </c>
      <c r="T4639" s="2">
        <v>6.6249500000000001E-3</v>
      </c>
    </row>
    <row r="4640" spans="18:20" x14ac:dyDescent="0.45">
      <c r="R4640" s="2">
        <v>63.16</v>
      </c>
      <c r="S4640" s="2">
        <v>1.0973399999999999E-2</v>
      </c>
      <c r="T4640" s="2">
        <v>6.6318799999999997E-3</v>
      </c>
    </row>
    <row r="4641" spans="18:20" x14ac:dyDescent="0.45">
      <c r="R4641" s="2">
        <v>63.17</v>
      </c>
      <c r="S4641" s="2">
        <v>1.0986549999999999E-2</v>
      </c>
      <c r="T4641" s="2">
        <v>6.6388100000000002E-3</v>
      </c>
    </row>
    <row r="4642" spans="18:20" x14ac:dyDescent="0.45">
      <c r="R4642" s="2">
        <v>63.18</v>
      </c>
      <c r="S4642" s="2">
        <v>1.0999699999999999E-2</v>
      </c>
      <c r="T4642" s="2">
        <v>6.6457399999999998E-3</v>
      </c>
    </row>
    <row r="4643" spans="18:20" x14ac:dyDescent="0.45">
      <c r="R4643" s="2">
        <v>63.19</v>
      </c>
      <c r="S4643" s="2">
        <v>1.1012849999999999E-2</v>
      </c>
      <c r="T4643" s="2">
        <v>6.6526700000000003E-3</v>
      </c>
    </row>
    <row r="4644" spans="18:20" x14ac:dyDescent="0.45">
      <c r="R4644" s="2">
        <v>63.2</v>
      </c>
      <c r="S4644" s="2">
        <v>1.1025999999999999E-2</v>
      </c>
      <c r="T4644" s="2">
        <v>6.6595999999999999E-3</v>
      </c>
    </row>
    <row r="4645" spans="18:20" x14ac:dyDescent="0.45">
      <c r="R4645" s="2">
        <v>63.21</v>
      </c>
      <c r="S4645" s="2">
        <v>1.1039149999999999E-2</v>
      </c>
      <c r="T4645" s="2">
        <v>6.6665300000000004E-3</v>
      </c>
    </row>
    <row r="4646" spans="18:20" x14ac:dyDescent="0.45">
      <c r="R4646" s="2">
        <v>63.22</v>
      </c>
      <c r="S4646" s="2">
        <v>1.1052299999999999E-2</v>
      </c>
      <c r="T4646" s="2">
        <v>6.67346E-3</v>
      </c>
    </row>
    <row r="4647" spans="18:20" x14ac:dyDescent="0.45">
      <c r="R4647" s="2">
        <v>63.23</v>
      </c>
      <c r="S4647" s="2">
        <v>1.1065449999999999E-2</v>
      </c>
      <c r="T4647" s="2">
        <v>6.6803899999999996E-3</v>
      </c>
    </row>
    <row r="4648" spans="18:20" x14ac:dyDescent="0.45">
      <c r="R4648" s="2">
        <v>63.24</v>
      </c>
      <c r="S4648" s="2">
        <v>1.1078599999999999E-2</v>
      </c>
      <c r="T4648" s="2">
        <v>6.6873200000000001E-3</v>
      </c>
    </row>
    <row r="4649" spans="18:20" x14ac:dyDescent="0.45">
      <c r="R4649" s="2">
        <v>63.25</v>
      </c>
      <c r="S4649" s="2">
        <v>1.1091749999999999E-2</v>
      </c>
      <c r="T4649" s="2">
        <v>6.6942499999999997E-3</v>
      </c>
    </row>
    <row r="4650" spans="18:20" x14ac:dyDescent="0.45">
      <c r="R4650" s="2">
        <v>63.26</v>
      </c>
      <c r="S4650" s="2">
        <v>1.1104899999999999E-2</v>
      </c>
      <c r="T4650" s="2">
        <v>6.7011800000000002E-3</v>
      </c>
    </row>
    <row r="4651" spans="18:20" x14ac:dyDescent="0.45">
      <c r="R4651" s="2">
        <v>63.27</v>
      </c>
      <c r="S4651" s="2">
        <v>1.1118050000000001E-2</v>
      </c>
      <c r="T4651" s="2">
        <v>6.7081099999999998E-3</v>
      </c>
    </row>
    <row r="4652" spans="18:20" x14ac:dyDescent="0.45">
      <c r="R4652" s="2">
        <v>63.28</v>
      </c>
      <c r="S4652" s="2">
        <v>1.1131200000000001E-2</v>
      </c>
      <c r="T4652" s="2">
        <v>6.7150400000000002E-3</v>
      </c>
    </row>
    <row r="4653" spans="18:20" x14ac:dyDescent="0.45">
      <c r="R4653" s="2">
        <v>63.29</v>
      </c>
      <c r="S4653" s="2">
        <v>1.1144350000000001E-2</v>
      </c>
      <c r="T4653" s="2">
        <v>6.7219699999999999E-3</v>
      </c>
    </row>
    <row r="4654" spans="18:20" x14ac:dyDescent="0.45">
      <c r="R4654" s="2">
        <v>63.3</v>
      </c>
      <c r="S4654" s="2">
        <v>1.1157500000000001E-2</v>
      </c>
      <c r="T4654" s="2">
        <v>6.7289000000000003E-3</v>
      </c>
    </row>
    <row r="4655" spans="18:20" x14ac:dyDescent="0.45">
      <c r="R4655" s="2">
        <v>63.31</v>
      </c>
      <c r="S4655" s="2">
        <v>1.1170650000000001E-2</v>
      </c>
      <c r="T4655" s="2">
        <v>6.7358299999999999E-3</v>
      </c>
    </row>
    <row r="4656" spans="18:20" x14ac:dyDescent="0.45">
      <c r="R4656" s="2">
        <v>63.32</v>
      </c>
      <c r="S4656" s="2">
        <v>1.1183800000000001E-2</v>
      </c>
      <c r="T4656" s="2">
        <v>6.7427600000000004E-3</v>
      </c>
    </row>
    <row r="4657" spans="18:20" x14ac:dyDescent="0.45">
      <c r="R4657" s="2">
        <v>63.33</v>
      </c>
      <c r="S4657" s="2">
        <v>1.1196950000000001E-2</v>
      </c>
      <c r="T4657" s="2">
        <v>6.74969E-3</v>
      </c>
    </row>
    <row r="4658" spans="18:20" x14ac:dyDescent="0.45">
      <c r="R4658" s="2">
        <v>63.34</v>
      </c>
      <c r="S4658" s="2">
        <v>1.1210100000000001E-2</v>
      </c>
      <c r="T4658" s="2">
        <v>6.7566199999999996E-3</v>
      </c>
    </row>
    <row r="4659" spans="18:20" x14ac:dyDescent="0.45">
      <c r="R4659" s="2">
        <v>63.35</v>
      </c>
      <c r="S4659" s="2">
        <v>1.1223250000000001E-2</v>
      </c>
      <c r="T4659" s="2">
        <v>6.7635500000000001E-3</v>
      </c>
    </row>
    <row r="4660" spans="18:20" x14ac:dyDescent="0.45">
      <c r="R4660" s="2">
        <v>63.36</v>
      </c>
      <c r="S4660" s="2">
        <v>1.1236400000000001E-2</v>
      </c>
      <c r="T4660" s="2">
        <v>6.7704799999999997E-3</v>
      </c>
    </row>
    <row r="4661" spans="18:20" x14ac:dyDescent="0.45">
      <c r="R4661" s="2">
        <v>63.37</v>
      </c>
      <c r="S4661" s="2">
        <v>1.1249550000000001E-2</v>
      </c>
      <c r="T4661" s="2">
        <v>6.7774100000000002E-3</v>
      </c>
    </row>
    <row r="4662" spans="18:20" x14ac:dyDescent="0.45">
      <c r="R4662" s="2">
        <v>63.38</v>
      </c>
      <c r="S4662" s="2">
        <v>1.12627E-2</v>
      </c>
      <c r="T4662" s="2">
        <v>6.7843399999999998E-3</v>
      </c>
    </row>
    <row r="4663" spans="18:20" x14ac:dyDescent="0.45">
      <c r="R4663" s="2">
        <v>63.39</v>
      </c>
      <c r="S4663" s="2">
        <v>1.127585E-2</v>
      </c>
      <c r="T4663" s="2">
        <v>6.7912700000000003E-3</v>
      </c>
    </row>
    <row r="4664" spans="18:20" x14ac:dyDescent="0.45">
      <c r="R4664" s="2">
        <v>63.4</v>
      </c>
      <c r="S4664" s="2">
        <v>1.1289E-2</v>
      </c>
      <c r="T4664" s="2">
        <v>6.7981999999999999E-3</v>
      </c>
    </row>
    <row r="4665" spans="18:20" x14ac:dyDescent="0.45">
      <c r="R4665" s="2">
        <v>63.41</v>
      </c>
      <c r="S4665" s="2">
        <v>1.130215E-2</v>
      </c>
      <c r="T4665" s="2">
        <v>6.8051300000000004E-3</v>
      </c>
    </row>
    <row r="4666" spans="18:20" x14ac:dyDescent="0.45">
      <c r="R4666" s="2">
        <v>63.42</v>
      </c>
      <c r="S4666" s="2">
        <v>1.13153E-2</v>
      </c>
      <c r="T4666" s="2">
        <v>6.81206E-3</v>
      </c>
    </row>
    <row r="4667" spans="18:20" x14ac:dyDescent="0.45">
      <c r="R4667" s="2">
        <v>63.43</v>
      </c>
      <c r="S4667" s="2">
        <v>1.132845E-2</v>
      </c>
      <c r="T4667" s="2">
        <v>6.8189899999999996E-3</v>
      </c>
    </row>
    <row r="4668" spans="18:20" x14ac:dyDescent="0.45">
      <c r="R4668" s="2">
        <v>63.44</v>
      </c>
      <c r="S4668" s="2">
        <v>1.13416E-2</v>
      </c>
      <c r="T4668" s="2">
        <v>6.8259200000000001E-3</v>
      </c>
    </row>
    <row r="4669" spans="18:20" x14ac:dyDescent="0.45">
      <c r="R4669" s="2">
        <v>63.45</v>
      </c>
      <c r="S4669" s="2">
        <v>1.135475E-2</v>
      </c>
      <c r="T4669" s="2">
        <v>6.8328499999999997E-3</v>
      </c>
    </row>
    <row r="4670" spans="18:20" x14ac:dyDescent="0.45">
      <c r="R4670" s="2">
        <v>63.46</v>
      </c>
      <c r="S4670" s="2">
        <v>1.13679E-2</v>
      </c>
      <c r="T4670" s="2">
        <v>6.8397800000000002E-3</v>
      </c>
    </row>
    <row r="4671" spans="18:20" x14ac:dyDescent="0.45">
      <c r="R4671" s="2">
        <v>63.47</v>
      </c>
      <c r="S4671" s="2">
        <v>1.138105E-2</v>
      </c>
      <c r="T4671" s="2">
        <v>6.8467099999999998E-3</v>
      </c>
    </row>
    <row r="4672" spans="18:20" x14ac:dyDescent="0.45">
      <c r="R4672" s="2">
        <v>63.48</v>
      </c>
      <c r="S4672" s="2">
        <v>1.13942E-2</v>
      </c>
      <c r="T4672" s="2">
        <v>6.8536400000000003E-3</v>
      </c>
    </row>
    <row r="4673" spans="18:20" x14ac:dyDescent="0.45">
      <c r="R4673" s="2">
        <v>63.49</v>
      </c>
      <c r="S4673" s="2">
        <v>1.140735E-2</v>
      </c>
      <c r="T4673" s="2">
        <v>6.8605699999999999E-3</v>
      </c>
    </row>
    <row r="4674" spans="18:20" x14ac:dyDescent="0.45">
      <c r="R4674" s="2">
        <v>63.5</v>
      </c>
      <c r="S4674" s="2">
        <v>1.14205E-2</v>
      </c>
      <c r="T4674" s="2">
        <v>6.8675000000000003E-3</v>
      </c>
    </row>
    <row r="4675" spans="18:20" x14ac:dyDescent="0.45">
      <c r="R4675" s="2">
        <v>63.51</v>
      </c>
      <c r="S4675" s="2">
        <v>1.143365E-2</v>
      </c>
      <c r="T4675" s="2">
        <v>6.87443E-3</v>
      </c>
    </row>
    <row r="4676" spans="18:20" x14ac:dyDescent="0.45">
      <c r="R4676" s="2">
        <v>63.52</v>
      </c>
      <c r="S4676" s="2">
        <v>1.14468E-2</v>
      </c>
      <c r="T4676" s="2">
        <v>6.8813600000000004E-3</v>
      </c>
    </row>
    <row r="4677" spans="18:20" x14ac:dyDescent="0.45">
      <c r="R4677" s="2">
        <v>63.53</v>
      </c>
      <c r="S4677" s="2">
        <v>1.145995E-2</v>
      </c>
      <c r="T4677" s="2">
        <v>6.88829E-3</v>
      </c>
    </row>
    <row r="4678" spans="18:20" x14ac:dyDescent="0.45">
      <c r="R4678" s="2">
        <v>63.54</v>
      </c>
      <c r="S4678" s="2">
        <v>1.14731E-2</v>
      </c>
      <c r="T4678" s="2">
        <v>6.8952199999999996E-3</v>
      </c>
    </row>
    <row r="4679" spans="18:20" x14ac:dyDescent="0.45">
      <c r="R4679" s="2">
        <v>63.55</v>
      </c>
      <c r="S4679" s="2">
        <v>1.148625E-2</v>
      </c>
      <c r="T4679" s="2">
        <v>6.9021500000000001E-3</v>
      </c>
    </row>
    <row r="4680" spans="18:20" x14ac:dyDescent="0.45">
      <c r="R4680" s="2">
        <v>63.56</v>
      </c>
      <c r="S4680" s="2">
        <v>1.14994E-2</v>
      </c>
      <c r="T4680" s="2">
        <v>6.9090799999999997E-3</v>
      </c>
    </row>
    <row r="4681" spans="18:20" x14ac:dyDescent="0.45">
      <c r="R4681" s="2">
        <v>63.57</v>
      </c>
      <c r="S4681" s="2">
        <v>1.151255E-2</v>
      </c>
      <c r="T4681" s="2">
        <v>6.9160100000000002E-3</v>
      </c>
    </row>
    <row r="4682" spans="18:20" x14ac:dyDescent="0.45">
      <c r="R4682" s="2">
        <v>63.58</v>
      </c>
      <c r="S4682" s="2">
        <v>1.15257E-2</v>
      </c>
      <c r="T4682" s="2">
        <v>6.9229399999999998E-3</v>
      </c>
    </row>
    <row r="4683" spans="18:20" x14ac:dyDescent="0.45">
      <c r="R4683" s="2">
        <v>63.59</v>
      </c>
      <c r="S4683" s="2">
        <v>1.153885E-2</v>
      </c>
      <c r="T4683" s="2">
        <v>6.9298700000000003E-3</v>
      </c>
    </row>
    <row r="4684" spans="18:20" x14ac:dyDescent="0.45">
      <c r="R4684" s="2">
        <v>63.6</v>
      </c>
      <c r="S4684" s="2">
        <v>1.1552E-2</v>
      </c>
      <c r="T4684" s="2">
        <v>6.9367999999999999E-3</v>
      </c>
    </row>
    <row r="4685" spans="18:20" x14ac:dyDescent="0.45">
      <c r="R4685" s="2">
        <v>63.61</v>
      </c>
      <c r="S4685" s="2">
        <v>1.156515E-2</v>
      </c>
      <c r="T4685" s="2">
        <v>6.9437300000000004E-3</v>
      </c>
    </row>
    <row r="4686" spans="18:20" x14ac:dyDescent="0.45">
      <c r="R4686" s="2">
        <v>63.62</v>
      </c>
      <c r="S4686" s="2">
        <v>1.15783E-2</v>
      </c>
      <c r="T4686" s="2">
        <v>6.95066E-3</v>
      </c>
    </row>
    <row r="4687" spans="18:20" x14ac:dyDescent="0.45">
      <c r="R4687" s="2">
        <v>63.63</v>
      </c>
      <c r="S4687" s="2">
        <v>1.159145E-2</v>
      </c>
      <c r="T4687" s="2">
        <v>6.9575899999999996E-3</v>
      </c>
    </row>
    <row r="4688" spans="18:20" x14ac:dyDescent="0.45">
      <c r="R4688" s="2">
        <v>63.64</v>
      </c>
      <c r="S4688" s="2">
        <v>1.16046E-2</v>
      </c>
      <c r="T4688" s="2">
        <v>6.9645200000000001E-3</v>
      </c>
    </row>
    <row r="4689" spans="18:20" x14ac:dyDescent="0.45">
      <c r="R4689" s="2">
        <v>63.65</v>
      </c>
      <c r="S4689" s="2">
        <v>1.161775E-2</v>
      </c>
      <c r="T4689" s="2">
        <v>6.9714499999999997E-3</v>
      </c>
    </row>
    <row r="4690" spans="18:20" x14ac:dyDescent="0.45">
      <c r="R4690" s="2">
        <v>63.66</v>
      </c>
      <c r="S4690" s="2">
        <v>1.16309E-2</v>
      </c>
      <c r="T4690" s="2">
        <v>6.9783800000000002E-3</v>
      </c>
    </row>
    <row r="4691" spans="18:20" x14ac:dyDescent="0.45">
      <c r="R4691" s="2">
        <v>63.67</v>
      </c>
      <c r="S4691" s="2">
        <v>1.164405E-2</v>
      </c>
      <c r="T4691" s="2">
        <v>6.9853099999999998E-3</v>
      </c>
    </row>
    <row r="4692" spans="18:20" x14ac:dyDescent="0.45">
      <c r="R4692" s="2">
        <v>63.68</v>
      </c>
      <c r="S4692" s="2">
        <v>1.16572E-2</v>
      </c>
      <c r="T4692" s="2">
        <v>6.9922400000000003E-3</v>
      </c>
    </row>
    <row r="4693" spans="18:20" x14ac:dyDescent="0.45">
      <c r="R4693" s="2">
        <v>63.69</v>
      </c>
      <c r="S4693" s="2">
        <v>1.1670349999999999E-2</v>
      </c>
      <c r="T4693" s="2">
        <v>6.9991699999999999E-3</v>
      </c>
    </row>
    <row r="4694" spans="18:20" x14ac:dyDescent="0.45">
      <c r="R4694" s="2">
        <v>63.7</v>
      </c>
      <c r="S4694" s="2">
        <v>1.1683499999999999E-2</v>
      </c>
      <c r="T4694" s="2">
        <v>7.0061000000000003E-3</v>
      </c>
    </row>
    <row r="4695" spans="18:20" x14ac:dyDescent="0.45">
      <c r="R4695" s="2">
        <v>63.71</v>
      </c>
      <c r="S4695" s="2">
        <v>1.1696649999999999E-2</v>
      </c>
      <c r="T4695" s="2">
        <v>7.01303E-3</v>
      </c>
    </row>
    <row r="4696" spans="18:20" x14ac:dyDescent="0.45">
      <c r="R4696" s="2">
        <v>63.72</v>
      </c>
      <c r="S4696" s="2">
        <v>1.1709799999999999E-2</v>
      </c>
      <c r="T4696" s="2">
        <v>7.0199599999999996E-3</v>
      </c>
    </row>
    <row r="4697" spans="18:20" x14ac:dyDescent="0.45">
      <c r="R4697" s="2">
        <v>63.73</v>
      </c>
      <c r="S4697" s="2">
        <v>1.1722949999999999E-2</v>
      </c>
      <c r="T4697" s="2">
        <v>7.02689E-3</v>
      </c>
    </row>
    <row r="4698" spans="18:20" x14ac:dyDescent="0.45">
      <c r="R4698" s="2">
        <v>63.74</v>
      </c>
      <c r="S4698" s="2">
        <v>1.1736099999999999E-2</v>
      </c>
      <c r="T4698" s="2">
        <v>7.0338199999999997E-3</v>
      </c>
    </row>
    <row r="4699" spans="18:20" x14ac:dyDescent="0.45">
      <c r="R4699" s="2">
        <v>63.75</v>
      </c>
      <c r="S4699" s="2">
        <v>1.1749249999999999E-2</v>
      </c>
      <c r="T4699" s="2">
        <v>7.0407500000000001E-3</v>
      </c>
    </row>
    <row r="4700" spans="18:20" x14ac:dyDescent="0.45">
      <c r="R4700" s="2">
        <v>63.76</v>
      </c>
      <c r="S4700" s="2">
        <v>1.1762399999999999E-2</v>
      </c>
      <c r="T4700" s="2">
        <v>7.0476799999999997E-3</v>
      </c>
    </row>
    <row r="4701" spans="18:20" x14ac:dyDescent="0.45">
      <c r="R4701" s="2">
        <v>63.77</v>
      </c>
      <c r="S4701" s="2">
        <v>1.1775549999999999E-2</v>
      </c>
      <c r="T4701" s="2">
        <v>7.0546100000000002E-3</v>
      </c>
    </row>
    <row r="4702" spans="18:20" x14ac:dyDescent="0.45">
      <c r="R4702" s="2">
        <v>63.78</v>
      </c>
      <c r="S4702" s="2">
        <v>1.1788699999999999E-2</v>
      </c>
      <c r="T4702" s="2">
        <v>7.0615399999999998E-3</v>
      </c>
    </row>
    <row r="4703" spans="18:20" x14ac:dyDescent="0.45">
      <c r="R4703" s="2">
        <v>63.79</v>
      </c>
      <c r="S4703" s="2">
        <v>1.1801849999999999E-2</v>
      </c>
      <c r="T4703" s="2">
        <v>7.0684700000000003E-3</v>
      </c>
    </row>
    <row r="4704" spans="18:20" x14ac:dyDescent="0.45">
      <c r="R4704" s="2">
        <v>63.8</v>
      </c>
      <c r="S4704" s="2">
        <v>1.1815000000000001E-2</v>
      </c>
      <c r="T4704" s="2">
        <v>7.0753999999999999E-3</v>
      </c>
    </row>
    <row r="4705" spans="18:20" x14ac:dyDescent="0.45">
      <c r="R4705" s="2">
        <v>63.81</v>
      </c>
      <c r="S4705" s="2">
        <v>1.1828150000000001E-2</v>
      </c>
      <c r="T4705" s="2">
        <v>7.0823300000000004E-3</v>
      </c>
    </row>
    <row r="4706" spans="18:20" x14ac:dyDescent="0.45">
      <c r="R4706" s="2">
        <v>63.82</v>
      </c>
      <c r="S4706" s="2">
        <v>1.1841300000000001E-2</v>
      </c>
      <c r="T4706" s="2">
        <v>7.08926E-3</v>
      </c>
    </row>
    <row r="4707" spans="18:20" x14ac:dyDescent="0.45">
      <c r="R4707" s="2">
        <v>63.83</v>
      </c>
      <c r="S4707" s="2">
        <v>1.1854450000000001E-2</v>
      </c>
      <c r="T4707" s="2">
        <v>7.0961899999999996E-3</v>
      </c>
    </row>
    <row r="4708" spans="18:20" x14ac:dyDescent="0.45">
      <c r="R4708" s="2">
        <v>63.84</v>
      </c>
      <c r="S4708" s="2">
        <v>1.1867600000000001E-2</v>
      </c>
      <c r="T4708" s="2">
        <v>7.1031200000000001E-3</v>
      </c>
    </row>
    <row r="4709" spans="18:20" x14ac:dyDescent="0.45">
      <c r="R4709" s="2">
        <v>63.85</v>
      </c>
      <c r="S4709" s="2">
        <v>1.1880750000000001E-2</v>
      </c>
      <c r="T4709" s="2">
        <v>7.1100499999999997E-3</v>
      </c>
    </row>
    <row r="4710" spans="18:20" x14ac:dyDescent="0.45">
      <c r="R4710" s="2">
        <v>63.86</v>
      </c>
      <c r="S4710" s="2">
        <v>1.1893900000000001E-2</v>
      </c>
      <c r="T4710" s="2">
        <v>7.1169800000000002E-3</v>
      </c>
    </row>
    <row r="4711" spans="18:20" x14ac:dyDescent="0.45">
      <c r="R4711" s="2">
        <v>63.87</v>
      </c>
      <c r="S4711" s="2">
        <v>1.1907050000000001E-2</v>
      </c>
      <c r="T4711" s="2">
        <v>7.1239099999999998E-3</v>
      </c>
    </row>
    <row r="4712" spans="18:20" x14ac:dyDescent="0.45">
      <c r="R4712" s="2">
        <v>63.88</v>
      </c>
      <c r="S4712" s="2">
        <v>1.1920200000000001E-2</v>
      </c>
      <c r="T4712" s="2">
        <v>7.1308400000000003E-3</v>
      </c>
    </row>
    <row r="4713" spans="18:20" x14ac:dyDescent="0.45">
      <c r="R4713" s="2">
        <v>63.89</v>
      </c>
      <c r="S4713" s="2">
        <v>1.1933350000000001E-2</v>
      </c>
      <c r="T4713" s="2">
        <v>7.1377699999999999E-3</v>
      </c>
    </row>
    <row r="4714" spans="18:20" x14ac:dyDescent="0.45">
      <c r="R4714" s="2">
        <v>63.9</v>
      </c>
      <c r="S4714" s="2">
        <v>1.1946500000000001E-2</v>
      </c>
      <c r="T4714" s="2">
        <v>7.1447000000000004E-3</v>
      </c>
    </row>
    <row r="4715" spans="18:20" x14ac:dyDescent="0.45">
      <c r="R4715" s="2">
        <v>63.91</v>
      </c>
      <c r="S4715" s="2">
        <v>1.195965E-2</v>
      </c>
      <c r="T4715" s="2">
        <v>7.15163E-3</v>
      </c>
    </row>
    <row r="4716" spans="18:20" x14ac:dyDescent="0.45">
      <c r="R4716" s="2">
        <v>63.92</v>
      </c>
      <c r="S4716" s="2">
        <v>1.19728E-2</v>
      </c>
      <c r="T4716" s="2">
        <v>7.1585599999999996E-3</v>
      </c>
    </row>
    <row r="4717" spans="18:20" x14ac:dyDescent="0.45">
      <c r="R4717" s="2">
        <v>63.93</v>
      </c>
      <c r="S4717" s="2">
        <v>1.198595E-2</v>
      </c>
      <c r="T4717" s="2">
        <v>7.1654900000000001E-3</v>
      </c>
    </row>
    <row r="4718" spans="18:20" x14ac:dyDescent="0.45">
      <c r="R4718" s="2">
        <v>63.94</v>
      </c>
      <c r="S4718" s="2">
        <v>1.19991E-2</v>
      </c>
      <c r="T4718" s="2">
        <v>7.1724199999999997E-3</v>
      </c>
    </row>
    <row r="4719" spans="18:20" x14ac:dyDescent="0.45">
      <c r="R4719" s="2">
        <v>63.95</v>
      </c>
      <c r="S4719" s="2">
        <v>1.201225E-2</v>
      </c>
      <c r="T4719" s="2">
        <v>7.1793500000000001E-3</v>
      </c>
    </row>
    <row r="4720" spans="18:20" x14ac:dyDescent="0.45">
      <c r="R4720" s="2">
        <v>63.96</v>
      </c>
      <c r="S4720" s="2">
        <v>1.20254E-2</v>
      </c>
      <c r="T4720" s="2">
        <v>7.1862799999999998E-3</v>
      </c>
    </row>
    <row r="4721" spans="18:20" x14ac:dyDescent="0.45">
      <c r="R4721" s="2">
        <v>63.97</v>
      </c>
      <c r="S4721" s="2">
        <v>1.203855E-2</v>
      </c>
      <c r="T4721" s="2">
        <v>7.1932100000000002E-3</v>
      </c>
    </row>
    <row r="4722" spans="18:20" x14ac:dyDescent="0.45">
      <c r="R4722" s="2">
        <v>63.98</v>
      </c>
      <c r="S4722" s="2">
        <v>1.20517E-2</v>
      </c>
      <c r="T4722" s="2">
        <v>7.2001399999999998E-3</v>
      </c>
    </row>
    <row r="4723" spans="18:20" x14ac:dyDescent="0.45">
      <c r="R4723" s="2">
        <v>63.99</v>
      </c>
      <c r="S4723" s="2">
        <v>1.206485E-2</v>
      </c>
      <c r="T4723" s="2">
        <v>7.2070700000000003E-3</v>
      </c>
    </row>
    <row r="4724" spans="18:20" x14ac:dyDescent="0.45">
      <c r="R4724" s="2">
        <v>64</v>
      </c>
      <c r="S4724" s="2">
        <v>1.2078E-2</v>
      </c>
      <c r="T4724" s="2">
        <v>7.2139999999999999E-3</v>
      </c>
    </row>
    <row r="4725" spans="18:20" x14ac:dyDescent="0.45">
      <c r="R4725" s="2">
        <v>64.010000000000005</v>
      </c>
      <c r="S4725" s="2">
        <v>1.209266E-2</v>
      </c>
      <c r="T4725" s="2">
        <v>7.2216700000000003E-3</v>
      </c>
    </row>
    <row r="4726" spans="18:20" x14ac:dyDescent="0.45">
      <c r="R4726" s="2">
        <v>64.02</v>
      </c>
      <c r="S4726" s="2">
        <v>1.210732E-2</v>
      </c>
      <c r="T4726" s="2">
        <v>7.2293399999999999E-3</v>
      </c>
    </row>
    <row r="4727" spans="18:20" x14ac:dyDescent="0.45">
      <c r="R4727" s="2">
        <v>64.03</v>
      </c>
      <c r="S4727" s="2">
        <v>1.2121979999999999E-2</v>
      </c>
      <c r="T4727" s="2">
        <v>7.2370100000000003E-3</v>
      </c>
    </row>
    <row r="4728" spans="18:20" x14ac:dyDescent="0.45">
      <c r="R4728" s="2">
        <v>64.040000000000006</v>
      </c>
      <c r="S4728" s="2">
        <v>1.2136640000000001E-2</v>
      </c>
      <c r="T4728" s="2">
        <v>7.2446799999999999E-3</v>
      </c>
    </row>
    <row r="4729" spans="18:20" x14ac:dyDescent="0.45">
      <c r="R4729" s="2">
        <v>64.05</v>
      </c>
      <c r="S4729" s="2">
        <v>1.21513E-2</v>
      </c>
      <c r="T4729" s="2">
        <v>7.2523500000000003E-3</v>
      </c>
    </row>
    <row r="4730" spans="18:20" x14ac:dyDescent="0.45">
      <c r="R4730" s="2">
        <v>64.06</v>
      </c>
      <c r="S4730" s="2">
        <v>1.216596E-2</v>
      </c>
      <c r="T4730" s="2">
        <v>7.2600199999999998E-3</v>
      </c>
    </row>
    <row r="4731" spans="18:20" x14ac:dyDescent="0.45">
      <c r="R4731" s="2">
        <v>64.069999999999993</v>
      </c>
      <c r="S4731" s="2">
        <v>1.218062E-2</v>
      </c>
      <c r="T4731" s="2">
        <v>7.2676900000000003E-3</v>
      </c>
    </row>
    <row r="4732" spans="18:20" x14ac:dyDescent="0.45">
      <c r="R4732" s="2">
        <v>64.08</v>
      </c>
      <c r="S4732" s="2">
        <v>1.2195279999999999E-2</v>
      </c>
      <c r="T4732" s="2">
        <v>7.2753599999999998E-3</v>
      </c>
    </row>
    <row r="4733" spans="18:20" x14ac:dyDescent="0.45">
      <c r="R4733" s="2">
        <v>64.09</v>
      </c>
      <c r="S4733" s="2">
        <v>1.2209940000000001E-2</v>
      </c>
      <c r="T4733" s="2">
        <v>7.2830300000000002E-3</v>
      </c>
    </row>
    <row r="4734" spans="18:20" x14ac:dyDescent="0.45">
      <c r="R4734" s="2">
        <v>64.099999999999994</v>
      </c>
      <c r="S4734" s="2">
        <v>1.22246E-2</v>
      </c>
      <c r="T4734" s="2">
        <v>7.2906999999999998E-3</v>
      </c>
    </row>
    <row r="4735" spans="18:20" x14ac:dyDescent="0.45">
      <c r="R4735" s="2">
        <v>64.11</v>
      </c>
      <c r="S4735" s="2">
        <v>1.223926E-2</v>
      </c>
      <c r="T4735" s="2">
        <v>7.2983700000000002E-3</v>
      </c>
    </row>
    <row r="4736" spans="18:20" x14ac:dyDescent="0.45">
      <c r="R4736" s="2">
        <v>64.12</v>
      </c>
      <c r="S4736" s="2">
        <v>1.225392E-2</v>
      </c>
      <c r="T4736" s="2">
        <v>7.3060399999999998E-3</v>
      </c>
    </row>
    <row r="4737" spans="18:20" x14ac:dyDescent="0.45">
      <c r="R4737" s="2">
        <v>64.13</v>
      </c>
      <c r="S4737" s="2">
        <v>1.2268579999999999E-2</v>
      </c>
      <c r="T4737" s="2">
        <v>7.3137100000000002E-3</v>
      </c>
    </row>
    <row r="4738" spans="18:20" x14ac:dyDescent="0.45">
      <c r="R4738" s="2">
        <v>64.14</v>
      </c>
      <c r="S4738" s="2">
        <v>1.2283240000000001E-2</v>
      </c>
      <c r="T4738" s="2">
        <v>7.3213799999999997E-3</v>
      </c>
    </row>
    <row r="4739" spans="18:20" x14ac:dyDescent="0.45">
      <c r="R4739" s="2">
        <v>64.150000000000006</v>
      </c>
      <c r="S4739" s="2">
        <v>1.22979E-2</v>
      </c>
      <c r="T4739" s="2">
        <v>7.3290500000000001E-3</v>
      </c>
    </row>
    <row r="4740" spans="18:20" x14ac:dyDescent="0.45">
      <c r="R4740" s="2">
        <v>64.16</v>
      </c>
      <c r="S4740" s="2">
        <v>1.231256E-2</v>
      </c>
      <c r="T4740" s="2">
        <v>7.3367199999999997E-3</v>
      </c>
    </row>
    <row r="4741" spans="18:20" x14ac:dyDescent="0.45">
      <c r="R4741" s="2">
        <v>64.17</v>
      </c>
      <c r="S4741" s="2">
        <v>1.232722E-2</v>
      </c>
      <c r="T4741" s="2">
        <v>7.3443900000000001E-3</v>
      </c>
    </row>
    <row r="4742" spans="18:20" x14ac:dyDescent="0.45">
      <c r="R4742" s="2">
        <v>64.180000000000007</v>
      </c>
      <c r="S4742" s="2">
        <v>1.234188E-2</v>
      </c>
      <c r="T4742" s="2">
        <v>7.3520599999999997E-3</v>
      </c>
    </row>
    <row r="4743" spans="18:20" x14ac:dyDescent="0.45">
      <c r="R4743" s="2">
        <v>64.19</v>
      </c>
      <c r="S4743" s="2">
        <v>1.2356539999999999E-2</v>
      </c>
      <c r="T4743" s="2">
        <v>7.3597300000000001E-3</v>
      </c>
    </row>
    <row r="4744" spans="18:20" x14ac:dyDescent="0.45">
      <c r="R4744" s="2">
        <v>64.2</v>
      </c>
      <c r="S4744" s="2">
        <v>1.2371200000000001E-2</v>
      </c>
      <c r="T4744" s="2">
        <v>7.3673999999999996E-3</v>
      </c>
    </row>
    <row r="4745" spans="18:20" x14ac:dyDescent="0.45">
      <c r="R4745" s="2">
        <v>64.209999999999994</v>
      </c>
      <c r="S4745" s="2">
        <v>1.238586E-2</v>
      </c>
      <c r="T4745" s="2">
        <v>7.3750700000000001E-3</v>
      </c>
    </row>
    <row r="4746" spans="18:20" x14ac:dyDescent="0.45">
      <c r="R4746" s="2">
        <v>64.22</v>
      </c>
      <c r="S4746" s="2">
        <v>1.240052E-2</v>
      </c>
      <c r="T4746" s="2">
        <v>7.3827399999999996E-3</v>
      </c>
    </row>
    <row r="4747" spans="18:20" x14ac:dyDescent="0.45">
      <c r="R4747" s="2">
        <v>64.23</v>
      </c>
      <c r="S4747" s="2">
        <v>1.241518E-2</v>
      </c>
      <c r="T4747" s="2">
        <v>7.39041E-3</v>
      </c>
    </row>
    <row r="4748" spans="18:20" x14ac:dyDescent="0.45">
      <c r="R4748" s="2">
        <v>64.239999999999995</v>
      </c>
      <c r="S4748" s="2">
        <v>1.2429839999999999E-2</v>
      </c>
      <c r="T4748" s="2">
        <v>7.3980799999999996E-3</v>
      </c>
    </row>
    <row r="4749" spans="18:20" x14ac:dyDescent="0.45">
      <c r="R4749" s="2">
        <v>64.25</v>
      </c>
      <c r="S4749" s="2">
        <v>1.2444500000000001E-2</v>
      </c>
      <c r="T4749" s="2">
        <v>7.40575E-3</v>
      </c>
    </row>
    <row r="4750" spans="18:20" x14ac:dyDescent="0.45">
      <c r="R4750" s="2">
        <v>64.260000000000005</v>
      </c>
      <c r="S4750" s="2">
        <v>1.245916E-2</v>
      </c>
      <c r="T4750" s="2">
        <v>7.4134200000000004E-3</v>
      </c>
    </row>
    <row r="4751" spans="18:20" x14ac:dyDescent="0.45">
      <c r="R4751" s="2">
        <v>64.27</v>
      </c>
      <c r="S4751" s="2">
        <v>1.247382E-2</v>
      </c>
      <c r="T4751" s="2">
        <v>7.42109E-3</v>
      </c>
    </row>
    <row r="4752" spans="18:20" x14ac:dyDescent="0.45">
      <c r="R4752" s="2">
        <v>64.28</v>
      </c>
      <c r="S4752" s="2">
        <v>1.248848E-2</v>
      </c>
      <c r="T4752" s="2">
        <v>7.4287600000000004E-3</v>
      </c>
    </row>
    <row r="4753" spans="18:20" x14ac:dyDescent="0.45">
      <c r="R4753" s="2">
        <v>64.290000000000006</v>
      </c>
      <c r="S4753" s="2">
        <v>1.2503139999999999E-2</v>
      </c>
      <c r="T4753" s="2">
        <v>7.4364299999999999E-3</v>
      </c>
    </row>
    <row r="4754" spans="18:20" x14ac:dyDescent="0.45">
      <c r="R4754" s="2">
        <v>64.3</v>
      </c>
      <c r="S4754" s="2">
        <v>1.2517800000000001E-2</v>
      </c>
      <c r="T4754" s="2">
        <v>7.4441000000000004E-3</v>
      </c>
    </row>
    <row r="4755" spans="18:20" x14ac:dyDescent="0.45">
      <c r="R4755" s="2">
        <v>64.31</v>
      </c>
      <c r="S4755" s="2">
        <v>1.253246E-2</v>
      </c>
      <c r="T4755" s="2">
        <v>7.4517699999999999E-3</v>
      </c>
    </row>
    <row r="4756" spans="18:20" x14ac:dyDescent="0.45">
      <c r="R4756" s="2">
        <v>64.319999999999993</v>
      </c>
      <c r="S4756" s="2">
        <v>1.254712E-2</v>
      </c>
      <c r="T4756" s="2">
        <v>7.4594400000000003E-3</v>
      </c>
    </row>
    <row r="4757" spans="18:20" x14ac:dyDescent="0.45">
      <c r="R4757" s="2">
        <v>64.33</v>
      </c>
      <c r="S4757" s="2">
        <v>1.256178E-2</v>
      </c>
      <c r="T4757" s="2">
        <v>7.4671099999999999E-3</v>
      </c>
    </row>
    <row r="4758" spans="18:20" x14ac:dyDescent="0.45">
      <c r="R4758" s="2">
        <v>64.34</v>
      </c>
      <c r="S4758" s="2">
        <v>1.2576439999999999E-2</v>
      </c>
      <c r="T4758" s="2">
        <v>7.4747800000000003E-3</v>
      </c>
    </row>
    <row r="4759" spans="18:20" x14ac:dyDescent="0.45">
      <c r="R4759" s="2">
        <v>64.349999999999994</v>
      </c>
      <c r="S4759" s="2">
        <v>1.2591099999999999E-2</v>
      </c>
      <c r="T4759" s="2">
        <v>7.4824499999999999E-3</v>
      </c>
    </row>
    <row r="4760" spans="18:20" x14ac:dyDescent="0.45">
      <c r="R4760" s="2">
        <v>64.36</v>
      </c>
      <c r="S4760" s="2">
        <v>1.2605760000000001E-2</v>
      </c>
      <c r="T4760" s="2">
        <v>7.4901200000000003E-3</v>
      </c>
    </row>
    <row r="4761" spans="18:20" x14ac:dyDescent="0.45">
      <c r="R4761" s="2">
        <v>64.37</v>
      </c>
      <c r="S4761" s="2">
        <v>1.262042E-2</v>
      </c>
      <c r="T4761" s="2">
        <v>7.4977899999999998E-3</v>
      </c>
    </row>
    <row r="4762" spans="18:20" x14ac:dyDescent="0.45">
      <c r="R4762" s="2">
        <v>64.38</v>
      </c>
      <c r="S4762" s="2">
        <v>1.263508E-2</v>
      </c>
      <c r="T4762" s="2">
        <v>7.5054600000000003E-3</v>
      </c>
    </row>
    <row r="4763" spans="18:20" x14ac:dyDescent="0.45">
      <c r="R4763" s="2">
        <v>64.39</v>
      </c>
      <c r="S4763" s="2">
        <v>1.264974E-2</v>
      </c>
      <c r="T4763" s="2">
        <v>7.5131299999999998E-3</v>
      </c>
    </row>
    <row r="4764" spans="18:20" x14ac:dyDescent="0.45">
      <c r="R4764" s="2">
        <v>64.400000000000006</v>
      </c>
      <c r="S4764" s="2">
        <v>1.2664399999999999E-2</v>
      </c>
      <c r="T4764" s="2">
        <v>7.5208000000000002E-3</v>
      </c>
    </row>
    <row r="4765" spans="18:20" x14ac:dyDescent="0.45">
      <c r="R4765" s="2">
        <v>64.41</v>
      </c>
      <c r="S4765" s="2">
        <v>1.2679060000000001E-2</v>
      </c>
      <c r="T4765" s="2">
        <v>7.5284699999999998E-3</v>
      </c>
    </row>
    <row r="4766" spans="18:20" x14ac:dyDescent="0.45">
      <c r="R4766" s="2">
        <v>64.42</v>
      </c>
      <c r="S4766" s="2">
        <v>1.269372E-2</v>
      </c>
      <c r="T4766" s="2">
        <v>7.5361400000000002E-3</v>
      </c>
    </row>
    <row r="4767" spans="18:20" x14ac:dyDescent="0.45">
      <c r="R4767" s="2">
        <v>64.430000000000007</v>
      </c>
      <c r="S4767" s="2">
        <v>1.270838E-2</v>
      </c>
      <c r="T4767" s="2">
        <v>7.5438099999999998E-3</v>
      </c>
    </row>
    <row r="4768" spans="18:20" x14ac:dyDescent="0.45">
      <c r="R4768" s="2">
        <v>64.44</v>
      </c>
      <c r="S4768" s="2">
        <v>1.272304E-2</v>
      </c>
      <c r="T4768" s="2">
        <v>7.5514800000000002E-3</v>
      </c>
    </row>
    <row r="4769" spans="18:20" x14ac:dyDescent="0.45">
      <c r="R4769" s="2">
        <v>64.45</v>
      </c>
      <c r="S4769" s="2">
        <v>1.2737699999999999E-2</v>
      </c>
      <c r="T4769" s="2">
        <v>7.5591499999999997E-3</v>
      </c>
    </row>
    <row r="4770" spans="18:20" x14ac:dyDescent="0.45">
      <c r="R4770" s="2">
        <v>64.459999999999994</v>
      </c>
      <c r="S4770" s="2">
        <v>1.2752360000000001E-2</v>
      </c>
      <c r="T4770" s="2">
        <v>7.5668200000000001E-3</v>
      </c>
    </row>
    <row r="4771" spans="18:20" x14ac:dyDescent="0.45">
      <c r="R4771" s="2">
        <v>64.47</v>
      </c>
      <c r="S4771" s="2">
        <v>1.276702E-2</v>
      </c>
      <c r="T4771" s="2">
        <v>7.5744899999999997E-3</v>
      </c>
    </row>
    <row r="4772" spans="18:20" x14ac:dyDescent="0.45">
      <c r="R4772" s="2">
        <v>64.48</v>
      </c>
      <c r="S4772" s="2">
        <v>1.278168E-2</v>
      </c>
      <c r="T4772" s="2">
        <v>7.5821600000000001E-3</v>
      </c>
    </row>
    <row r="4773" spans="18:20" x14ac:dyDescent="0.45">
      <c r="R4773" s="2">
        <v>64.489999999999995</v>
      </c>
      <c r="S4773" s="2">
        <v>1.279634E-2</v>
      </c>
      <c r="T4773" s="2">
        <v>7.5898299999999997E-3</v>
      </c>
    </row>
    <row r="4774" spans="18:20" x14ac:dyDescent="0.45">
      <c r="R4774" s="2">
        <v>64.5</v>
      </c>
      <c r="S4774" s="2">
        <v>1.2810999999999999E-2</v>
      </c>
      <c r="T4774" s="2">
        <v>7.5975000000000001E-3</v>
      </c>
    </row>
    <row r="4775" spans="18:20" x14ac:dyDescent="0.45">
      <c r="R4775" s="2">
        <v>64.510000000000005</v>
      </c>
      <c r="S4775" s="2">
        <v>1.2825659999999999E-2</v>
      </c>
      <c r="T4775" s="2">
        <v>7.6051699999999996E-3</v>
      </c>
    </row>
    <row r="4776" spans="18:20" x14ac:dyDescent="0.45">
      <c r="R4776" s="2">
        <v>64.52</v>
      </c>
      <c r="S4776" s="2">
        <v>1.2840320000000001E-2</v>
      </c>
      <c r="T4776" s="2">
        <v>7.6128400000000001E-3</v>
      </c>
    </row>
    <row r="4777" spans="18:20" x14ac:dyDescent="0.45">
      <c r="R4777" s="2">
        <v>64.53</v>
      </c>
      <c r="S4777" s="2">
        <v>1.285498E-2</v>
      </c>
      <c r="T4777" s="2">
        <v>7.6205099999999996E-3</v>
      </c>
    </row>
    <row r="4778" spans="18:20" x14ac:dyDescent="0.45">
      <c r="R4778" s="2">
        <v>64.540000000000006</v>
      </c>
      <c r="S4778" s="2">
        <v>1.286964E-2</v>
      </c>
      <c r="T4778" s="2">
        <v>7.62818E-3</v>
      </c>
    </row>
    <row r="4779" spans="18:20" x14ac:dyDescent="0.45">
      <c r="R4779" s="2">
        <v>64.55</v>
      </c>
      <c r="S4779" s="2">
        <v>1.28843E-2</v>
      </c>
      <c r="T4779" s="2">
        <v>7.6358499999999996E-3</v>
      </c>
    </row>
    <row r="4780" spans="18:20" x14ac:dyDescent="0.45">
      <c r="R4780" s="2">
        <v>64.56</v>
      </c>
      <c r="S4780" s="2">
        <v>1.2898959999999999E-2</v>
      </c>
      <c r="T4780" s="2">
        <v>7.64352E-3</v>
      </c>
    </row>
    <row r="4781" spans="18:20" x14ac:dyDescent="0.45">
      <c r="R4781" s="2">
        <v>64.569999999999993</v>
      </c>
      <c r="S4781" s="2">
        <v>1.2913620000000001E-2</v>
      </c>
      <c r="T4781" s="2">
        <v>7.6511900000000004E-3</v>
      </c>
    </row>
    <row r="4782" spans="18:20" x14ac:dyDescent="0.45">
      <c r="R4782" s="2">
        <v>64.58</v>
      </c>
      <c r="S4782" s="2">
        <v>1.292828E-2</v>
      </c>
      <c r="T4782" s="2">
        <v>7.65886E-3</v>
      </c>
    </row>
    <row r="4783" spans="18:20" x14ac:dyDescent="0.45">
      <c r="R4783" s="2">
        <v>64.59</v>
      </c>
      <c r="S4783" s="2">
        <v>1.294294E-2</v>
      </c>
      <c r="T4783" s="2">
        <v>7.6665300000000004E-3</v>
      </c>
    </row>
    <row r="4784" spans="18:20" x14ac:dyDescent="0.45">
      <c r="R4784" s="2">
        <v>64.599999999999994</v>
      </c>
      <c r="S4784" s="2">
        <v>1.29576E-2</v>
      </c>
      <c r="T4784" s="2">
        <v>7.6741999999999999E-3</v>
      </c>
    </row>
    <row r="4785" spans="18:20" x14ac:dyDescent="0.45">
      <c r="R4785" s="2">
        <v>64.61</v>
      </c>
      <c r="S4785" s="2">
        <v>1.2972259999999999E-2</v>
      </c>
      <c r="T4785" s="2">
        <v>7.6818700000000004E-3</v>
      </c>
    </row>
    <row r="4786" spans="18:20" x14ac:dyDescent="0.45">
      <c r="R4786" s="2">
        <v>64.62</v>
      </c>
      <c r="S4786" s="2">
        <v>1.2986920000000001E-2</v>
      </c>
      <c r="T4786" s="2">
        <v>7.6895399999999999E-3</v>
      </c>
    </row>
    <row r="4787" spans="18:20" x14ac:dyDescent="0.45">
      <c r="R4787" s="2">
        <v>64.63</v>
      </c>
      <c r="S4787" s="2">
        <v>1.300158E-2</v>
      </c>
      <c r="T4787" s="2">
        <v>7.6972100000000003E-3</v>
      </c>
    </row>
    <row r="4788" spans="18:20" x14ac:dyDescent="0.45">
      <c r="R4788" s="2">
        <v>64.64</v>
      </c>
      <c r="S4788" s="2">
        <v>1.301624E-2</v>
      </c>
      <c r="T4788" s="2">
        <v>7.7048799999999999E-3</v>
      </c>
    </row>
    <row r="4789" spans="18:20" x14ac:dyDescent="0.45">
      <c r="R4789" s="2">
        <v>64.650000000000006</v>
      </c>
      <c r="S4789" s="2">
        <v>1.30309E-2</v>
      </c>
      <c r="T4789" s="2">
        <v>7.7125500000000003E-3</v>
      </c>
    </row>
    <row r="4790" spans="18:20" x14ac:dyDescent="0.45">
      <c r="R4790" s="2">
        <v>64.66</v>
      </c>
      <c r="S4790" s="2">
        <v>1.3045559999999999E-2</v>
      </c>
      <c r="T4790" s="2">
        <v>7.7202199999999999E-3</v>
      </c>
    </row>
    <row r="4791" spans="18:20" x14ac:dyDescent="0.45">
      <c r="R4791" s="2">
        <v>64.67</v>
      </c>
      <c r="S4791" s="2">
        <v>1.3060220000000001E-2</v>
      </c>
      <c r="T4791" s="2">
        <v>7.7278900000000003E-3</v>
      </c>
    </row>
    <row r="4792" spans="18:20" x14ac:dyDescent="0.45">
      <c r="R4792" s="2">
        <v>64.680000000000007</v>
      </c>
      <c r="S4792" s="2">
        <v>1.3074880000000001E-2</v>
      </c>
      <c r="T4792" s="2">
        <v>7.7355599999999998E-3</v>
      </c>
    </row>
    <row r="4793" spans="18:20" x14ac:dyDescent="0.45">
      <c r="R4793" s="2">
        <v>64.69</v>
      </c>
      <c r="S4793" s="2">
        <v>1.308954E-2</v>
      </c>
      <c r="T4793" s="2">
        <v>7.7432300000000003E-3</v>
      </c>
    </row>
    <row r="4794" spans="18:20" x14ac:dyDescent="0.45">
      <c r="R4794" s="2">
        <v>64.7</v>
      </c>
      <c r="S4794" s="2">
        <v>1.31042E-2</v>
      </c>
      <c r="T4794" s="2">
        <v>7.7508999999999998E-3</v>
      </c>
    </row>
    <row r="4795" spans="18:20" x14ac:dyDescent="0.45">
      <c r="R4795" s="2">
        <v>64.709999999999994</v>
      </c>
      <c r="S4795" s="2">
        <v>1.311886E-2</v>
      </c>
      <c r="T4795" s="2">
        <v>7.7585700000000002E-3</v>
      </c>
    </row>
    <row r="4796" spans="18:20" x14ac:dyDescent="0.45">
      <c r="R4796" s="2">
        <v>64.72</v>
      </c>
      <c r="S4796" s="2">
        <v>1.3133519999999999E-2</v>
      </c>
      <c r="T4796" s="2">
        <v>7.7662399999999998E-3</v>
      </c>
    </row>
    <row r="4797" spans="18:20" x14ac:dyDescent="0.45">
      <c r="R4797" s="2">
        <v>64.73</v>
      </c>
      <c r="S4797" s="2">
        <v>1.3148180000000001E-2</v>
      </c>
      <c r="T4797" s="2">
        <v>7.7739100000000002E-3</v>
      </c>
    </row>
    <row r="4798" spans="18:20" x14ac:dyDescent="0.45">
      <c r="R4798" s="2">
        <v>64.739999999999995</v>
      </c>
      <c r="S4798" s="2">
        <v>1.316284E-2</v>
      </c>
      <c r="T4798" s="2">
        <v>7.7815799999999997E-3</v>
      </c>
    </row>
    <row r="4799" spans="18:20" x14ac:dyDescent="0.45">
      <c r="R4799" s="2">
        <v>64.75</v>
      </c>
      <c r="S4799" s="2">
        <v>1.31775E-2</v>
      </c>
      <c r="T4799" s="2">
        <v>7.7892500000000002E-3</v>
      </c>
    </row>
    <row r="4800" spans="18:20" x14ac:dyDescent="0.45">
      <c r="R4800" s="2">
        <v>64.760000000000005</v>
      </c>
      <c r="S4800" s="2">
        <v>1.319216E-2</v>
      </c>
      <c r="T4800" s="2">
        <v>7.7969199999999997E-3</v>
      </c>
    </row>
    <row r="4801" spans="18:20" x14ac:dyDescent="0.45">
      <c r="R4801" s="2">
        <v>64.77</v>
      </c>
      <c r="S4801" s="2">
        <v>1.3206819999999999E-2</v>
      </c>
      <c r="T4801" s="2">
        <v>7.8045900000000001E-3</v>
      </c>
    </row>
    <row r="4802" spans="18:20" x14ac:dyDescent="0.45">
      <c r="R4802" s="2">
        <v>64.78</v>
      </c>
      <c r="S4802" s="2">
        <v>1.3221480000000001E-2</v>
      </c>
      <c r="T4802" s="2">
        <v>7.8122599999999997E-3</v>
      </c>
    </row>
    <row r="4803" spans="18:20" x14ac:dyDescent="0.45">
      <c r="R4803" s="2">
        <v>64.790000000000006</v>
      </c>
      <c r="S4803" s="2">
        <v>1.323614E-2</v>
      </c>
      <c r="T4803" s="2">
        <v>7.8199299999999992E-3</v>
      </c>
    </row>
    <row r="4804" spans="18:20" x14ac:dyDescent="0.45">
      <c r="R4804" s="2">
        <v>64.8</v>
      </c>
      <c r="S4804" s="2">
        <v>1.32508E-2</v>
      </c>
      <c r="T4804" s="2">
        <v>7.8276000000000005E-3</v>
      </c>
    </row>
    <row r="4805" spans="18:20" x14ac:dyDescent="0.45">
      <c r="R4805" s="2">
        <v>64.81</v>
      </c>
      <c r="S4805" s="2">
        <v>1.326546E-2</v>
      </c>
      <c r="T4805" s="2">
        <v>7.8352700000000001E-3</v>
      </c>
    </row>
    <row r="4806" spans="18:20" x14ac:dyDescent="0.45">
      <c r="R4806" s="2">
        <v>64.819999999999993</v>
      </c>
      <c r="S4806" s="2">
        <v>1.3280119999999999E-2</v>
      </c>
      <c r="T4806" s="2">
        <v>7.8429399999999996E-3</v>
      </c>
    </row>
    <row r="4807" spans="18:20" x14ac:dyDescent="0.45">
      <c r="R4807" s="2">
        <v>64.83</v>
      </c>
      <c r="S4807" s="2">
        <v>1.3294780000000001E-2</v>
      </c>
      <c r="T4807" s="2">
        <v>7.8506099999999992E-3</v>
      </c>
    </row>
    <row r="4808" spans="18:20" x14ac:dyDescent="0.45">
      <c r="R4808" s="2">
        <v>64.84</v>
      </c>
      <c r="S4808" s="2">
        <v>1.3309440000000001E-2</v>
      </c>
      <c r="T4808" s="2">
        <v>7.8582800000000005E-3</v>
      </c>
    </row>
    <row r="4809" spans="18:20" x14ac:dyDescent="0.45">
      <c r="R4809" s="2">
        <v>64.849999999999994</v>
      </c>
      <c r="S4809" s="2">
        <v>1.33241E-2</v>
      </c>
      <c r="T4809" s="2">
        <v>7.86595E-3</v>
      </c>
    </row>
    <row r="4810" spans="18:20" x14ac:dyDescent="0.45">
      <c r="R4810" s="2">
        <v>64.86</v>
      </c>
      <c r="S4810" s="2">
        <v>1.333876E-2</v>
      </c>
      <c r="T4810" s="2">
        <v>7.8736199999999996E-3</v>
      </c>
    </row>
    <row r="4811" spans="18:20" x14ac:dyDescent="0.45">
      <c r="R4811" s="2">
        <v>64.87</v>
      </c>
      <c r="S4811" s="2">
        <v>1.335342E-2</v>
      </c>
      <c r="T4811" s="2">
        <v>7.8812900000000009E-3</v>
      </c>
    </row>
    <row r="4812" spans="18:20" x14ac:dyDescent="0.45">
      <c r="R4812" s="2">
        <v>64.88</v>
      </c>
      <c r="S4812" s="2">
        <v>1.3368079999999999E-2</v>
      </c>
      <c r="T4812" s="2">
        <v>7.8889600000000004E-3</v>
      </c>
    </row>
    <row r="4813" spans="18:20" x14ac:dyDescent="0.45">
      <c r="R4813" s="2">
        <v>64.89</v>
      </c>
      <c r="S4813" s="2">
        <v>1.3382740000000001E-2</v>
      </c>
      <c r="T4813" s="2">
        <v>7.89663E-3</v>
      </c>
    </row>
    <row r="4814" spans="18:20" x14ac:dyDescent="0.45">
      <c r="R4814" s="2">
        <v>64.900000000000006</v>
      </c>
      <c r="S4814" s="2">
        <v>1.33974E-2</v>
      </c>
      <c r="T4814" s="2">
        <v>7.9042999999999995E-3</v>
      </c>
    </row>
    <row r="4815" spans="18:20" x14ac:dyDescent="0.45">
      <c r="R4815" s="2">
        <v>64.91</v>
      </c>
      <c r="S4815" s="2">
        <v>1.341206E-2</v>
      </c>
      <c r="T4815" s="2">
        <v>7.9119700000000008E-3</v>
      </c>
    </row>
    <row r="4816" spans="18:20" x14ac:dyDescent="0.45">
      <c r="R4816" s="2">
        <v>64.92</v>
      </c>
      <c r="S4816" s="2">
        <v>1.342672E-2</v>
      </c>
      <c r="T4816" s="2">
        <v>7.9196400000000004E-3</v>
      </c>
    </row>
    <row r="4817" spans="18:20" x14ac:dyDescent="0.45">
      <c r="R4817" s="2">
        <v>64.930000000000007</v>
      </c>
      <c r="S4817" s="2">
        <v>1.3441379999999999E-2</v>
      </c>
      <c r="T4817" s="2">
        <v>7.9273099999999999E-3</v>
      </c>
    </row>
    <row r="4818" spans="18:20" x14ac:dyDescent="0.45">
      <c r="R4818" s="2">
        <v>64.94</v>
      </c>
      <c r="S4818" s="2">
        <v>1.3456040000000001E-2</v>
      </c>
      <c r="T4818" s="2">
        <v>7.9349799999999995E-3</v>
      </c>
    </row>
    <row r="4819" spans="18:20" x14ac:dyDescent="0.45">
      <c r="R4819" s="2">
        <v>64.95</v>
      </c>
      <c r="S4819" s="2">
        <v>1.34707E-2</v>
      </c>
      <c r="T4819" s="2">
        <v>7.9426500000000008E-3</v>
      </c>
    </row>
    <row r="4820" spans="18:20" x14ac:dyDescent="0.45">
      <c r="R4820" s="2">
        <v>64.959999999999994</v>
      </c>
      <c r="S4820" s="2">
        <v>1.348536E-2</v>
      </c>
      <c r="T4820" s="2">
        <v>7.9503200000000003E-3</v>
      </c>
    </row>
    <row r="4821" spans="18:20" x14ac:dyDescent="0.45">
      <c r="R4821" s="2">
        <v>64.97</v>
      </c>
      <c r="S4821" s="2">
        <v>1.350002E-2</v>
      </c>
      <c r="T4821" s="2">
        <v>7.9579899999999999E-3</v>
      </c>
    </row>
    <row r="4822" spans="18:20" x14ac:dyDescent="0.45">
      <c r="R4822" s="2">
        <v>64.98</v>
      </c>
      <c r="S4822" s="2">
        <v>1.3514679999999999E-2</v>
      </c>
      <c r="T4822" s="2">
        <v>7.9656599999999994E-3</v>
      </c>
    </row>
    <row r="4823" spans="18:20" x14ac:dyDescent="0.45">
      <c r="R4823" s="2">
        <v>64.989999999999995</v>
      </c>
      <c r="S4823" s="2">
        <v>1.3529340000000001E-2</v>
      </c>
      <c r="T4823" s="2">
        <v>7.9733300000000007E-3</v>
      </c>
    </row>
    <row r="4824" spans="18:20" x14ac:dyDescent="0.45">
      <c r="R4824" s="2">
        <v>65</v>
      </c>
      <c r="S4824" s="2">
        <v>1.3544E-2</v>
      </c>
      <c r="T4824" s="2">
        <v>7.9810000000000002E-3</v>
      </c>
    </row>
    <row r="4825" spans="18:20" x14ac:dyDescent="0.45">
      <c r="R4825" s="2">
        <v>65.010000000000005</v>
      </c>
      <c r="S4825" s="2">
        <v>1.3560320000000001E-2</v>
      </c>
      <c r="T4825" s="2">
        <v>7.98952E-3</v>
      </c>
    </row>
    <row r="4826" spans="18:20" x14ac:dyDescent="0.45">
      <c r="R4826" s="2">
        <v>65.02</v>
      </c>
      <c r="S4826" s="2">
        <v>1.3576639999999999E-2</v>
      </c>
      <c r="T4826" s="2">
        <v>7.9980399999999997E-3</v>
      </c>
    </row>
    <row r="4827" spans="18:20" x14ac:dyDescent="0.45">
      <c r="R4827" s="2">
        <v>65.03</v>
      </c>
      <c r="S4827" s="2">
        <v>1.3592959999999999E-2</v>
      </c>
      <c r="T4827" s="2">
        <v>8.0065599999999994E-3</v>
      </c>
    </row>
    <row r="4828" spans="18:20" x14ac:dyDescent="0.45">
      <c r="R4828" s="2">
        <v>65.040000000000006</v>
      </c>
      <c r="S4828" s="2">
        <v>1.360928E-2</v>
      </c>
      <c r="T4828" s="2">
        <v>8.0150800000000008E-3</v>
      </c>
    </row>
    <row r="4829" spans="18:20" x14ac:dyDescent="0.45">
      <c r="R4829" s="2">
        <v>65.05</v>
      </c>
      <c r="S4829" s="2">
        <v>1.36256E-2</v>
      </c>
      <c r="T4829" s="2">
        <v>8.0236000000000005E-3</v>
      </c>
    </row>
    <row r="4830" spans="18:20" x14ac:dyDescent="0.45">
      <c r="R4830" s="2">
        <v>65.06</v>
      </c>
      <c r="S4830" s="2">
        <v>1.364192E-2</v>
      </c>
      <c r="T4830" s="2">
        <v>8.0321200000000002E-3</v>
      </c>
    </row>
    <row r="4831" spans="18:20" x14ac:dyDescent="0.45">
      <c r="R4831" s="2">
        <v>65.069999999999993</v>
      </c>
      <c r="S4831" s="2">
        <v>1.365824E-2</v>
      </c>
      <c r="T4831" s="2">
        <v>8.0406399999999999E-3</v>
      </c>
    </row>
    <row r="4832" spans="18:20" x14ac:dyDescent="0.45">
      <c r="R4832" s="2">
        <v>65.08</v>
      </c>
      <c r="S4832" s="2">
        <v>1.3674560000000001E-2</v>
      </c>
      <c r="T4832" s="2">
        <v>8.0491599999999996E-3</v>
      </c>
    </row>
    <row r="4833" spans="18:20" x14ac:dyDescent="0.45">
      <c r="R4833" s="2">
        <v>65.09</v>
      </c>
      <c r="S4833" s="2">
        <v>1.3690880000000001E-2</v>
      </c>
      <c r="T4833" s="2">
        <v>8.0576799999999994E-3</v>
      </c>
    </row>
    <row r="4834" spans="18:20" x14ac:dyDescent="0.45">
      <c r="R4834" s="2">
        <v>65.099999999999994</v>
      </c>
      <c r="S4834" s="2">
        <v>1.3707199999999999E-2</v>
      </c>
      <c r="T4834" s="2">
        <v>8.0662000000000008E-3</v>
      </c>
    </row>
    <row r="4835" spans="18:20" x14ac:dyDescent="0.45">
      <c r="R4835" s="2">
        <v>65.11</v>
      </c>
      <c r="S4835" s="2">
        <v>1.3723519999999999E-2</v>
      </c>
      <c r="T4835" s="2">
        <v>8.0747200000000005E-3</v>
      </c>
    </row>
    <row r="4836" spans="18:20" x14ac:dyDescent="0.45">
      <c r="R4836" s="2">
        <v>65.12</v>
      </c>
      <c r="S4836" s="2">
        <v>1.373984E-2</v>
      </c>
      <c r="T4836" s="2">
        <v>8.0832400000000002E-3</v>
      </c>
    </row>
    <row r="4837" spans="18:20" x14ac:dyDescent="0.45">
      <c r="R4837" s="2">
        <v>65.13</v>
      </c>
      <c r="S4837" s="2">
        <v>1.375616E-2</v>
      </c>
      <c r="T4837" s="2">
        <v>8.0917599999999999E-3</v>
      </c>
    </row>
    <row r="4838" spans="18:20" x14ac:dyDescent="0.45">
      <c r="R4838" s="2">
        <v>65.14</v>
      </c>
      <c r="S4838" s="2">
        <v>1.377248E-2</v>
      </c>
      <c r="T4838" s="2">
        <v>8.1002799999999996E-3</v>
      </c>
    </row>
    <row r="4839" spans="18:20" x14ac:dyDescent="0.45">
      <c r="R4839" s="2">
        <v>65.150000000000006</v>
      </c>
      <c r="S4839" s="2">
        <v>1.37888E-2</v>
      </c>
      <c r="T4839" s="2">
        <v>8.1087999999999993E-3</v>
      </c>
    </row>
    <row r="4840" spans="18:20" x14ac:dyDescent="0.45">
      <c r="R4840" s="2">
        <v>65.16</v>
      </c>
      <c r="S4840" s="2">
        <v>1.3805120000000001E-2</v>
      </c>
      <c r="T4840" s="2">
        <v>8.1173200000000008E-3</v>
      </c>
    </row>
    <row r="4841" spans="18:20" x14ac:dyDescent="0.45">
      <c r="R4841" s="2">
        <v>65.17</v>
      </c>
      <c r="S4841" s="2">
        <v>1.3821440000000001E-2</v>
      </c>
      <c r="T4841" s="2">
        <v>8.1258400000000005E-3</v>
      </c>
    </row>
    <row r="4842" spans="18:20" x14ac:dyDescent="0.45">
      <c r="R4842" s="2">
        <v>65.180000000000007</v>
      </c>
      <c r="S4842" s="2">
        <v>1.3837759999999999E-2</v>
      </c>
      <c r="T4842" s="2">
        <v>8.1343600000000002E-3</v>
      </c>
    </row>
    <row r="4843" spans="18:20" x14ac:dyDescent="0.45">
      <c r="R4843" s="2">
        <v>65.19</v>
      </c>
      <c r="S4843" s="2">
        <v>1.385408E-2</v>
      </c>
      <c r="T4843" s="2">
        <v>8.1428799999999999E-3</v>
      </c>
    </row>
    <row r="4844" spans="18:20" x14ac:dyDescent="0.45">
      <c r="R4844" s="2">
        <v>65.2</v>
      </c>
      <c r="S4844" s="2">
        <v>1.38704E-2</v>
      </c>
      <c r="T4844" s="2">
        <v>8.1513999999999996E-3</v>
      </c>
    </row>
    <row r="4845" spans="18:20" x14ac:dyDescent="0.45">
      <c r="R4845" s="2">
        <v>65.209999999999994</v>
      </c>
      <c r="S4845" s="2">
        <v>1.388672E-2</v>
      </c>
      <c r="T4845" s="2">
        <v>8.1599199999999993E-3</v>
      </c>
    </row>
    <row r="4846" spans="18:20" x14ac:dyDescent="0.45">
      <c r="R4846" s="2">
        <v>65.22</v>
      </c>
      <c r="S4846" s="2">
        <v>1.390304E-2</v>
      </c>
      <c r="T4846" s="2">
        <v>8.1684400000000008E-3</v>
      </c>
    </row>
    <row r="4847" spans="18:20" x14ac:dyDescent="0.45">
      <c r="R4847" s="2">
        <v>65.23</v>
      </c>
      <c r="S4847" s="2">
        <v>1.391936E-2</v>
      </c>
      <c r="T4847" s="2">
        <v>8.1769600000000005E-3</v>
      </c>
    </row>
    <row r="4848" spans="18:20" x14ac:dyDescent="0.45">
      <c r="R4848" s="2">
        <v>65.239999999999995</v>
      </c>
      <c r="S4848" s="2">
        <v>1.3935680000000001E-2</v>
      </c>
      <c r="T4848" s="2">
        <v>8.1854800000000002E-3</v>
      </c>
    </row>
    <row r="4849" spans="18:20" x14ac:dyDescent="0.45">
      <c r="R4849" s="2">
        <v>65.25</v>
      </c>
      <c r="S4849" s="2">
        <v>1.3952000000000001E-2</v>
      </c>
      <c r="T4849" s="2">
        <v>8.1939999999999999E-3</v>
      </c>
    </row>
    <row r="4850" spans="18:20" x14ac:dyDescent="0.45">
      <c r="R4850" s="2">
        <v>65.260000000000005</v>
      </c>
      <c r="S4850" s="2">
        <v>1.3968319999999999E-2</v>
      </c>
      <c r="T4850" s="2">
        <v>8.2025199999999996E-3</v>
      </c>
    </row>
    <row r="4851" spans="18:20" x14ac:dyDescent="0.45">
      <c r="R4851" s="2">
        <v>65.27</v>
      </c>
      <c r="S4851" s="2">
        <v>1.398464E-2</v>
      </c>
      <c r="T4851" s="2">
        <v>8.2110399999999993E-3</v>
      </c>
    </row>
    <row r="4852" spans="18:20" x14ac:dyDescent="0.45">
      <c r="R4852" s="2">
        <v>65.28</v>
      </c>
      <c r="S4852" s="2">
        <v>1.400096E-2</v>
      </c>
      <c r="T4852" s="2">
        <v>8.2195600000000008E-3</v>
      </c>
    </row>
    <row r="4853" spans="18:20" x14ac:dyDescent="0.45">
      <c r="R4853" s="2">
        <v>65.290000000000006</v>
      </c>
      <c r="S4853" s="2">
        <v>1.401728E-2</v>
      </c>
      <c r="T4853" s="2">
        <v>8.2280800000000005E-3</v>
      </c>
    </row>
    <row r="4854" spans="18:20" x14ac:dyDescent="0.45">
      <c r="R4854" s="2">
        <v>65.3</v>
      </c>
      <c r="S4854" s="2">
        <v>1.40336E-2</v>
      </c>
      <c r="T4854" s="2">
        <v>8.2366000000000002E-3</v>
      </c>
    </row>
    <row r="4855" spans="18:20" x14ac:dyDescent="0.45">
      <c r="R4855" s="2">
        <v>65.31</v>
      </c>
      <c r="S4855" s="2">
        <v>1.404992E-2</v>
      </c>
      <c r="T4855" s="2">
        <v>8.2451199999999999E-3</v>
      </c>
    </row>
    <row r="4856" spans="18:20" x14ac:dyDescent="0.45">
      <c r="R4856" s="2">
        <v>65.319999999999993</v>
      </c>
      <c r="S4856" s="2">
        <v>1.4066240000000001E-2</v>
      </c>
      <c r="T4856" s="2">
        <v>8.2536399999999996E-3</v>
      </c>
    </row>
    <row r="4857" spans="18:20" x14ac:dyDescent="0.45">
      <c r="R4857" s="2">
        <v>65.33</v>
      </c>
      <c r="S4857" s="2">
        <v>1.4082559999999999E-2</v>
      </c>
      <c r="T4857" s="2">
        <v>8.2621599999999993E-3</v>
      </c>
    </row>
    <row r="4858" spans="18:20" x14ac:dyDescent="0.45">
      <c r="R4858" s="2">
        <v>65.34</v>
      </c>
      <c r="S4858" s="2">
        <v>1.4098879999999999E-2</v>
      </c>
      <c r="T4858" s="2">
        <v>8.2706800000000007E-3</v>
      </c>
    </row>
    <row r="4859" spans="18:20" x14ac:dyDescent="0.45">
      <c r="R4859" s="2">
        <v>65.349999999999994</v>
      </c>
      <c r="S4859" s="2">
        <v>1.41152E-2</v>
      </c>
      <c r="T4859" s="2">
        <v>8.2792000000000004E-3</v>
      </c>
    </row>
    <row r="4860" spans="18:20" x14ac:dyDescent="0.45">
      <c r="R4860" s="2">
        <v>65.36</v>
      </c>
      <c r="S4860" s="2">
        <v>1.413152E-2</v>
      </c>
      <c r="T4860" s="2">
        <v>8.2877200000000002E-3</v>
      </c>
    </row>
    <row r="4861" spans="18:20" x14ac:dyDescent="0.45">
      <c r="R4861" s="2">
        <v>65.37</v>
      </c>
      <c r="S4861" s="2">
        <v>1.414784E-2</v>
      </c>
      <c r="T4861" s="2">
        <v>8.2962399999999999E-3</v>
      </c>
    </row>
    <row r="4862" spans="18:20" x14ac:dyDescent="0.45">
      <c r="R4862" s="2">
        <v>65.38</v>
      </c>
      <c r="S4862" s="2">
        <v>1.416416E-2</v>
      </c>
      <c r="T4862" s="2">
        <v>8.3047599999999996E-3</v>
      </c>
    </row>
    <row r="4863" spans="18:20" x14ac:dyDescent="0.45">
      <c r="R4863" s="2">
        <v>65.39</v>
      </c>
      <c r="S4863" s="2">
        <v>1.4180480000000001E-2</v>
      </c>
      <c r="T4863" s="2">
        <v>8.3132799999999993E-3</v>
      </c>
    </row>
    <row r="4864" spans="18:20" x14ac:dyDescent="0.45">
      <c r="R4864" s="2">
        <v>65.400000000000006</v>
      </c>
      <c r="S4864" s="2">
        <v>1.4196800000000001E-2</v>
      </c>
      <c r="T4864" s="2">
        <v>8.3218000000000007E-3</v>
      </c>
    </row>
    <row r="4865" spans="18:20" x14ac:dyDescent="0.45">
      <c r="R4865" s="2">
        <v>65.41</v>
      </c>
      <c r="S4865" s="2">
        <v>1.4213119999999999E-2</v>
      </c>
      <c r="T4865" s="2">
        <v>8.3303200000000004E-3</v>
      </c>
    </row>
    <row r="4866" spans="18:20" x14ac:dyDescent="0.45">
      <c r="R4866" s="2">
        <v>65.42</v>
      </c>
      <c r="S4866" s="2">
        <v>1.4229439999999999E-2</v>
      </c>
      <c r="T4866" s="2">
        <v>8.3388400000000001E-3</v>
      </c>
    </row>
    <row r="4867" spans="18:20" x14ac:dyDescent="0.45">
      <c r="R4867" s="2">
        <v>65.430000000000007</v>
      </c>
      <c r="S4867" s="2">
        <v>1.424576E-2</v>
      </c>
      <c r="T4867" s="2">
        <v>8.3473599999999998E-3</v>
      </c>
    </row>
    <row r="4868" spans="18:20" x14ac:dyDescent="0.45">
      <c r="R4868" s="2">
        <v>65.44</v>
      </c>
      <c r="S4868" s="2">
        <v>1.426208E-2</v>
      </c>
      <c r="T4868" s="2">
        <v>8.3558799999999996E-3</v>
      </c>
    </row>
    <row r="4869" spans="18:20" x14ac:dyDescent="0.45">
      <c r="R4869" s="2">
        <v>65.45</v>
      </c>
      <c r="S4869" s="2">
        <v>1.42784E-2</v>
      </c>
      <c r="T4869" s="2">
        <v>8.3643999999999993E-3</v>
      </c>
    </row>
    <row r="4870" spans="18:20" x14ac:dyDescent="0.45">
      <c r="R4870" s="2">
        <v>65.459999999999994</v>
      </c>
      <c r="S4870" s="2">
        <v>1.429472E-2</v>
      </c>
      <c r="T4870" s="2">
        <v>8.3729200000000007E-3</v>
      </c>
    </row>
    <row r="4871" spans="18:20" x14ac:dyDescent="0.45">
      <c r="R4871" s="2">
        <v>65.47</v>
      </c>
      <c r="S4871" s="2">
        <v>1.4311040000000001E-2</v>
      </c>
      <c r="T4871" s="2">
        <v>8.3814400000000004E-3</v>
      </c>
    </row>
    <row r="4872" spans="18:20" x14ac:dyDescent="0.45">
      <c r="R4872" s="2">
        <v>65.48</v>
      </c>
      <c r="S4872" s="2">
        <v>1.4327360000000001E-2</v>
      </c>
      <c r="T4872" s="2">
        <v>8.3899600000000001E-3</v>
      </c>
    </row>
    <row r="4873" spans="18:20" x14ac:dyDescent="0.45">
      <c r="R4873" s="2">
        <v>65.489999999999995</v>
      </c>
      <c r="S4873" s="2">
        <v>1.4343679999999999E-2</v>
      </c>
      <c r="T4873" s="2">
        <v>8.3984799999999998E-3</v>
      </c>
    </row>
    <row r="4874" spans="18:20" x14ac:dyDescent="0.45">
      <c r="R4874" s="2">
        <v>65.5</v>
      </c>
      <c r="S4874" s="2">
        <v>1.436E-2</v>
      </c>
      <c r="T4874" s="2">
        <v>8.4069999999999995E-3</v>
      </c>
    </row>
    <row r="4875" spans="18:20" x14ac:dyDescent="0.45">
      <c r="R4875" s="2">
        <v>65.510000000000005</v>
      </c>
      <c r="S4875" s="2">
        <v>1.437632E-2</v>
      </c>
      <c r="T4875" s="2">
        <v>8.4155199999999993E-3</v>
      </c>
    </row>
    <row r="4876" spans="18:20" x14ac:dyDescent="0.45">
      <c r="R4876" s="2">
        <v>65.52</v>
      </c>
      <c r="S4876" s="2">
        <v>1.439264E-2</v>
      </c>
      <c r="T4876" s="2">
        <v>8.4240400000000007E-3</v>
      </c>
    </row>
    <row r="4877" spans="18:20" x14ac:dyDescent="0.45">
      <c r="R4877" s="2">
        <v>65.53</v>
      </c>
      <c r="S4877" s="2">
        <v>1.440896E-2</v>
      </c>
      <c r="T4877" s="2">
        <v>8.4325600000000004E-3</v>
      </c>
    </row>
    <row r="4878" spans="18:20" x14ac:dyDescent="0.45">
      <c r="R4878" s="2">
        <v>65.540000000000006</v>
      </c>
      <c r="S4878" s="2">
        <v>1.442528E-2</v>
      </c>
      <c r="T4878" s="2">
        <v>8.4410800000000001E-3</v>
      </c>
    </row>
    <row r="4879" spans="18:20" x14ac:dyDescent="0.45">
      <c r="R4879" s="2">
        <v>65.55</v>
      </c>
      <c r="S4879" s="2">
        <v>1.4441600000000001E-2</v>
      </c>
      <c r="T4879" s="2">
        <v>8.4495999999999998E-3</v>
      </c>
    </row>
    <row r="4880" spans="18:20" x14ac:dyDescent="0.45">
      <c r="R4880" s="2">
        <v>65.56</v>
      </c>
      <c r="S4880" s="2">
        <v>1.4457920000000001E-2</v>
      </c>
      <c r="T4880" s="2">
        <v>8.4581199999999995E-3</v>
      </c>
    </row>
    <row r="4881" spans="18:20" x14ac:dyDescent="0.45">
      <c r="R4881" s="2">
        <v>65.569999999999993</v>
      </c>
      <c r="S4881" s="2">
        <v>1.4474239999999999E-2</v>
      </c>
      <c r="T4881" s="2">
        <v>8.4666399999999992E-3</v>
      </c>
    </row>
    <row r="4882" spans="18:20" x14ac:dyDescent="0.45">
      <c r="R4882" s="2">
        <v>65.58</v>
      </c>
      <c r="S4882" s="2">
        <v>1.449056E-2</v>
      </c>
      <c r="T4882" s="2">
        <v>8.4751600000000007E-3</v>
      </c>
    </row>
    <row r="4883" spans="18:20" x14ac:dyDescent="0.45">
      <c r="R4883" s="2">
        <v>65.59</v>
      </c>
      <c r="S4883" s="2">
        <v>1.450688E-2</v>
      </c>
      <c r="T4883" s="2">
        <v>8.4836800000000004E-3</v>
      </c>
    </row>
    <row r="4884" spans="18:20" x14ac:dyDescent="0.45">
      <c r="R4884" s="2">
        <v>65.599999999999994</v>
      </c>
      <c r="S4884" s="2">
        <v>1.45232E-2</v>
      </c>
      <c r="T4884" s="2">
        <v>8.4922000000000001E-3</v>
      </c>
    </row>
    <row r="4885" spans="18:20" x14ac:dyDescent="0.45">
      <c r="R4885" s="2">
        <v>65.61</v>
      </c>
      <c r="S4885" s="2">
        <v>1.453952E-2</v>
      </c>
      <c r="T4885" s="2">
        <v>8.5007199999999998E-3</v>
      </c>
    </row>
    <row r="4886" spans="18:20" x14ac:dyDescent="0.45">
      <c r="R4886" s="2">
        <v>65.62</v>
      </c>
      <c r="S4886" s="2">
        <v>1.455584E-2</v>
      </c>
      <c r="T4886" s="2">
        <v>8.5092399999999995E-3</v>
      </c>
    </row>
    <row r="4887" spans="18:20" x14ac:dyDescent="0.45">
      <c r="R4887" s="2">
        <v>65.63</v>
      </c>
      <c r="S4887" s="2">
        <v>1.4572160000000001E-2</v>
      </c>
      <c r="T4887" s="2">
        <v>8.5177599999999992E-3</v>
      </c>
    </row>
    <row r="4888" spans="18:20" x14ac:dyDescent="0.45">
      <c r="R4888" s="2">
        <v>65.64</v>
      </c>
      <c r="S4888" s="2">
        <v>1.4588479999999999E-2</v>
      </c>
      <c r="T4888" s="2">
        <v>8.5262800000000007E-3</v>
      </c>
    </row>
    <row r="4889" spans="18:20" x14ac:dyDescent="0.45">
      <c r="R4889" s="2">
        <v>65.650000000000006</v>
      </c>
      <c r="S4889" s="2">
        <v>1.4604799999999999E-2</v>
      </c>
      <c r="T4889" s="2">
        <v>8.5348000000000004E-3</v>
      </c>
    </row>
    <row r="4890" spans="18:20" x14ac:dyDescent="0.45">
      <c r="R4890" s="2">
        <v>65.66</v>
      </c>
      <c r="S4890" s="2">
        <v>1.462112E-2</v>
      </c>
      <c r="T4890" s="2">
        <v>8.5433200000000001E-3</v>
      </c>
    </row>
    <row r="4891" spans="18:20" x14ac:dyDescent="0.45">
      <c r="R4891" s="2">
        <v>65.67</v>
      </c>
      <c r="S4891" s="2">
        <v>1.463744E-2</v>
      </c>
      <c r="T4891" s="2">
        <v>8.5518399999999998E-3</v>
      </c>
    </row>
    <row r="4892" spans="18:20" x14ac:dyDescent="0.45">
      <c r="R4892" s="2">
        <v>65.680000000000007</v>
      </c>
      <c r="S4892" s="2">
        <v>1.465376E-2</v>
      </c>
      <c r="T4892" s="2">
        <v>8.5603599999999995E-3</v>
      </c>
    </row>
    <row r="4893" spans="18:20" x14ac:dyDescent="0.45">
      <c r="R4893" s="2">
        <v>65.69</v>
      </c>
      <c r="S4893" s="2">
        <v>1.467008E-2</v>
      </c>
      <c r="T4893" s="2">
        <v>8.5688799999999992E-3</v>
      </c>
    </row>
    <row r="4894" spans="18:20" x14ac:dyDescent="0.45">
      <c r="R4894" s="2">
        <v>65.7</v>
      </c>
      <c r="S4894" s="2">
        <v>1.46864E-2</v>
      </c>
      <c r="T4894" s="2">
        <v>8.5774000000000006E-3</v>
      </c>
    </row>
    <row r="4895" spans="18:20" x14ac:dyDescent="0.45">
      <c r="R4895" s="2">
        <v>65.709999999999994</v>
      </c>
      <c r="S4895" s="2">
        <v>1.4702720000000001E-2</v>
      </c>
      <c r="T4895" s="2">
        <v>8.5859200000000004E-3</v>
      </c>
    </row>
    <row r="4896" spans="18:20" x14ac:dyDescent="0.45">
      <c r="R4896" s="2">
        <v>65.72</v>
      </c>
      <c r="S4896" s="2">
        <v>1.4719039999999999E-2</v>
      </c>
      <c r="T4896" s="2">
        <v>8.5944400000000001E-3</v>
      </c>
    </row>
    <row r="4897" spans="18:20" x14ac:dyDescent="0.45">
      <c r="R4897" s="2">
        <v>65.73</v>
      </c>
      <c r="S4897" s="2">
        <v>1.4735359999999999E-2</v>
      </c>
      <c r="T4897" s="2">
        <v>8.6029599999999998E-3</v>
      </c>
    </row>
    <row r="4898" spans="18:20" x14ac:dyDescent="0.45">
      <c r="R4898" s="2">
        <v>65.739999999999995</v>
      </c>
      <c r="S4898" s="2">
        <v>1.475168E-2</v>
      </c>
      <c r="T4898" s="2">
        <v>8.6114799999999995E-3</v>
      </c>
    </row>
    <row r="4899" spans="18:20" x14ac:dyDescent="0.45">
      <c r="R4899" s="2">
        <v>65.75</v>
      </c>
      <c r="S4899" s="2">
        <v>1.4768E-2</v>
      </c>
      <c r="T4899" s="2">
        <v>8.6199999999999992E-3</v>
      </c>
    </row>
    <row r="4900" spans="18:20" x14ac:dyDescent="0.45">
      <c r="R4900" s="2">
        <v>65.760000000000005</v>
      </c>
      <c r="S4900" s="2">
        <v>1.478432E-2</v>
      </c>
      <c r="T4900" s="2">
        <v>8.6285200000000006E-3</v>
      </c>
    </row>
    <row r="4901" spans="18:20" x14ac:dyDescent="0.45">
      <c r="R4901" s="2">
        <v>65.77</v>
      </c>
      <c r="S4901" s="2">
        <v>1.480064E-2</v>
      </c>
      <c r="T4901" s="2">
        <v>8.6370400000000003E-3</v>
      </c>
    </row>
    <row r="4902" spans="18:20" x14ac:dyDescent="0.45">
      <c r="R4902" s="2">
        <v>65.78</v>
      </c>
      <c r="S4902" s="2">
        <v>1.4816960000000001E-2</v>
      </c>
      <c r="T4902" s="2">
        <v>8.6455600000000001E-3</v>
      </c>
    </row>
    <row r="4903" spans="18:20" x14ac:dyDescent="0.45">
      <c r="R4903" s="2">
        <v>65.790000000000006</v>
      </c>
      <c r="S4903" s="2">
        <v>1.4833280000000001E-2</v>
      </c>
      <c r="T4903" s="2">
        <v>8.6540799999999998E-3</v>
      </c>
    </row>
    <row r="4904" spans="18:20" x14ac:dyDescent="0.45">
      <c r="R4904" s="2">
        <v>65.8</v>
      </c>
      <c r="S4904" s="2">
        <v>1.4849599999999999E-2</v>
      </c>
      <c r="T4904" s="2">
        <v>8.6625999999999995E-3</v>
      </c>
    </row>
    <row r="4905" spans="18:20" x14ac:dyDescent="0.45">
      <c r="R4905" s="2">
        <v>65.81</v>
      </c>
      <c r="S4905" s="2">
        <v>1.4865919999999999E-2</v>
      </c>
      <c r="T4905" s="2">
        <v>8.6711199999999992E-3</v>
      </c>
    </row>
    <row r="4906" spans="18:20" x14ac:dyDescent="0.45">
      <c r="R4906" s="2">
        <v>65.819999999999993</v>
      </c>
      <c r="S4906" s="2">
        <v>1.488224E-2</v>
      </c>
      <c r="T4906" s="2">
        <v>8.6796400000000006E-3</v>
      </c>
    </row>
    <row r="4907" spans="18:20" x14ac:dyDescent="0.45">
      <c r="R4907" s="2">
        <v>65.83</v>
      </c>
      <c r="S4907" s="2">
        <v>1.489856E-2</v>
      </c>
      <c r="T4907" s="2">
        <v>8.6881600000000003E-3</v>
      </c>
    </row>
    <row r="4908" spans="18:20" x14ac:dyDescent="0.45">
      <c r="R4908" s="2">
        <v>65.84</v>
      </c>
      <c r="S4908" s="2">
        <v>1.491488E-2</v>
      </c>
      <c r="T4908" s="2">
        <v>8.69668E-3</v>
      </c>
    </row>
    <row r="4909" spans="18:20" x14ac:dyDescent="0.45">
      <c r="R4909" s="2">
        <v>65.849999999999994</v>
      </c>
      <c r="S4909" s="2">
        <v>1.49312E-2</v>
      </c>
      <c r="T4909" s="2">
        <v>8.7051999999999997E-3</v>
      </c>
    </row>
    <row r="4910" spans="18:20" x14ac:dyDescent="0.45">
      <c r="R4910" s="2">
        <v>65.86</v>
      </c>
      <c r="S4910" s="2">
        <v>1.4947520000000001E-2</v>
      </c>
      <c r="T4910" s="2">
        <v>8.7137199999999995E-3</v>
      </c>
    </row>
    <row r="4911" spans="18:20" x14ac:dyDescent="0.45">
      <c r="R4911" s="2">
        <v>65.87</v>
      </c>
      <c r="S4911" s="2">
        <v>1.4963840000000001E-2</v>
      </c>
      <c r="T4911" s="2">
        <v>8.7222399999999992E-3</v>
      </c>
    </row>
    <row r="4912" spans="18:20" x14ac:dyDescent="0.45">
      <c r="R4912" s="2">
        <v>65.88</v>
      </c>
      <c r="S4912" s="2">
        <v>1.4980159999999999E-2</v>
      </c>
      <c r="T4912" s="2">
        <v>8.7307600000000006E-3</v>
      </c>
    </row>
    <row r="4913" spans="18:20" x14ac:dyDescent="0.45">
      <c r="R4913" s="2">
        <v>65.89</v>
      </c>
      <c r="S4913" s="2">
        <v>1.499648E-2</v>
      </c>
      <c r="T4913" s="2">
        <v>8.7392800000000003E-3</v>
      </c>
    </row>
    <row r="4914" spans="18:20" x14ac:dyDescent="0.45">
      <c r="R4914" s="2">
        <v>65.900000000000006</v>
      </c>
      <c r="S4914" s="2">
        <v>1.50128E-2</v>
      </c>
      <c r="T4914" s="2">
        <v>8.7478E-3</v>
      </c>
    </row>
    <row r="4915" spans="18:20" x14ac:dyDescent="0.45">
      <c r="R4915" s="2">
        <v>65.91</v>
      </c>
      <c r="S4915" s="2">
        <v>1.502912E-2</v>
      </c>
      <c r="T4915" s="2">
        <v>8.7563199999999997E-3</v>
      </c>
    </row>
    <row r="4916" spans="18:20" x14ac:dyDescent="0.45">
      <c r="R4916" s="2">
        <v>65.92</v>
      </c>
      <c r="S4916" s="2">
        <v>1.504544E-2</v>
      </c>
      <c r="T4916" s="2">
        <v>8.7648399999999994E-3</v>
      </c>
    </row>
    <row r="4917" spans="18:20" x14ac:dyDescent="0.45">
      <c r="R4917" s="2">
        <v>65.930000000000007</v>
      </c>
      <c r="S4917" s="2">
        <v>1.506176E-2</v>
      </c>
      <c r="T4917" s="2">
        <v>8.7733599999999991E-3</v>
      </c>
    </row>
    <row r="4918" spans="18:20" x14ac:dyDescent="0.45">
      <c r="R4918" s="2">
        <v>65.94</v>
      </c>
      <c r="S4918" s="2">
        <v>1.5078080000000001E-2</v>
      </c>
      <c r="T4918" s="2">
        <v>8.7818800000000006E-3</v>
      </c>
    </row>
    <row r="4919" spans="18:20" x14ac:dyDescent="0.45">
      <c r="R4919" s="2">
        <v>65.95</v>
      </c>
      <c r="S4919" s="2">
        <v>1.5094399999999999E-2</v>
      </c>
      <c r="T4919" s="2">
        <v>8.7904000000000003E-3</v>
      </c>
    </row>
    <row r="4920" spans="18:20" x14ac:dyDescent="0.45">
      <c r="R4920" s="2">
        <v>65.959999999999994</v>
      </c>
      <c r="S4920" s="2">
        <v>1.5110719999999999E-2</v>
      </c>
      <c r="T4920" s="2">
        <v>8.79892E-3</v>
      </c>
    </row>
    <row r="4921" spans="18:20" x14ac:dyDescent="0.45">
      <c r="R4921" s="2">
        <v>65.97</v>
      </c>
      <c r="S4921" s="2">
        <v>1.512704E-2</v>
      </c>
      <c r="T4921" s="2">
        <v>8.8074399999999997E-3</v>
      </c>
    </row>
    <row r="4922" spans="18:20" x14ac:dyDescent="0.45">
      <c r="R4922" s="2">
        <v>65.98</v>
      </c>
      <c r="S4922" s="2">
        <v>1.514336E-2</v>
      </c>
      <c r="T4922" s="2">
        <v>8.8159599999999994E-3</v>
      </c>
    </row>
    <row r="4923" spans="18:20" x14ac:dyDescent="0.45">
      <c r="R4923" s="2">
        <v>65.989999999999995</v>
      </c>
      <c r="S4923" s="2">
        <v>1.515968E-2</v>
      </c>
      <c r="T4923" s="2">
        <v>8.8244800000000009E-3</v>
      </c>
    </row>
    <row r="4924" spans="18:20" x14ac:dyDescent="0.45">
      <c r="R4924" s="2">
        <v>66</v>
      </c>
      <c r="S4924" s="2">
        <v>1.5176E-2</v>
      </c>
      <c r="T4924" s="2">
        <v>8.8330000000000006E-3</v>
      </c>
    </row>
    <row r="4925" spans="18:20" x14ac:dyDescent="0.45">
      <c r="R4925" s="2">
        <v>66.010000000000005</v>
      </c>
      <c r="S4925" s="2">
        <v>1.519417E-2</v>
      </c>
      <c r="T4925" s="2">
        <v>8.84244E-3</v>
      </c>
    </row>
    <row r="4926" spans="18:20" x14ac:dyDescent="0.45">
      <c r="R4926" s="2">
        <v>66.02</v>
      </c>
      <c r="S4926" s="2">
        <v>1.521234E-2</v>
      </c>
      <c r="T4926" s="2">
        <v>8.8518799999999995E-3</v>
      </c>
    </row>
    <row r="4927" spans="18:20" x14ac:dyDescent="0.45">
      <c r="R4927" s="2">
        <v>66.03</v>
      </c>
      <c r="S4927" s="2">
        <v>1.5230509999999999E-2</v>
      </c>
      <c r="T4927" s="2">
        <v>8.8613200000000007E-3</v>
      </c>
    </row>
    <row r="4928" spans="18:20" x14ac:dyDescent="0.45">
      <c r="R4928" s="2">
        <v>66.040000000000006</v>
      </c>
      <c r="S4928" s="2">
        <v>1.5248680000000001E-2</v>
      </c>
      <c r="T4928" s="2">
        <v>8.8707600000000001E-3</v>
      </c>
    </row>
    <row r="4929" spans="18:20" x14ac:dyDescent="0.45">
      <c r="R4929" s="2">
        <v>66.05</v>
      </c>
      <c r="S4929" s="2">
        <v>1.526685E-2</v>
      </c>
      <c r="T4929" s="2">
        <v>8.8801999999999996E-3</v>
      </c>
    </row>
    <row r="4930" spans="18:20" x14ac:dyDescent="0.45">
      <c r="R4930" s="2">
        <v>66.06</v>
      </c>
      <c r="S4930" s="2">
        <v>1.528502E-2</v>
      </c>
      <c r="T4930" s="2">
        <v>8.8896400000000007E-3</v>
      </c>
    </row>
    <row r="4931" spans="18:20" x14ac:dyDescent="0.45">
      <c r="R4931" s="2">
        <v>66.069999999999993</v>
      </c>
      <c r="S4931" s="2">
        <v>1.530319E-2</v>
      </c>
      <c r="T4931" s="2">
        <v>8.8990800000000002E-3</v>
      </c>
    </row>
    <row r="4932" spans="18:20" x14ac:dyDescent="0.45">
      <c r="R4932" s="2">
        <v>66.08</v>
      </c>
      <c r="S4932" s="2">
        <v>1.5321359999999999E-2</v>
      </c>
      <c r="T4932" s="2">
        <v>8.9085199999999996E-3</v>
      </c>
    </row>
    <row r="4933" spans="18:20" x14ac:dyDescent="0.45">
      <c r="R4933" s="2">
        <v>66.09</v>
      </c>
      <c r="S4933" s="2">
        <v>1.5339530000000001E-2</v>
      </c>
      <c r="T4933" s="2">
        <v>8.9179600000000008E-3</v>
      </c>
    </row>
    <row r="4934" spans="18:20" x14ac:dyDescent="0.45">
      <c r="R4934" s="2">
        <v>66.099999999999994</v>
      </c>
      <c r="S4934" s="2">
        <v>1.53577E-2</v>
      </c>
      <c r="T4934" s="2">
        <v>8.9274000000000003E-3</v>
      </c>
    </row>
    <row r="4935" spans="18:20" x14ac:dyDescent="0.45">
      <c r="R4935" s="2">
        <v>66.11</v>
      </c>
      <c r="S4935" s="2">
        <v>1.537587E-2</v>
      </c>
      <c r="T4935" s="2">
        <v>8.9368399999999997E-3</v>
      </c>
    </row>
    <row r="4936" spans="18:20" x14ac:dyDescent="0.45">
      <c r="R4936" s="2">
        <v>66.12</v>
      </c>
      <c r="S4936" s="2">
        <v>1.5394039999999999E-2</v>
      </c>
      <c r="T4936" s="2">
        <v>8.9462799999999992E-3</v>
      </c>
    </row>
    <row r="4937" spans="18:20" x14ac:dyDescent="0.45">
      <c r="R4937" s="2">
        <v>66.13</v>
      </c>
      <c r="S4937" s="2">
        <v>1.5412210000000001E-2</v>
      </c>
      <c r="T4937" s="2">
        <v>8.9557200000000003E-3</v>
      </c>
    </row>
    <row r="4938" spans="18:20" x14ac:dyDescent="0.45">
      <c r="R4938" s="2">
        <v>66.14</v>
      </c>
      <c r="S4938" s="2">
        <v>1.543038E-2</v>
      </c>
      <c r="T4938" s="2">
        <v>8.9651599999999998E-3</v>
      </c>
    </row>
    <row r="4939" spans="18:20" x14ac:dyDescent="0.45">
      <c r="R4939" s="2">
        <v>66.150000000000006</v>
      </c>
      <c r="S4939" s="2">
        <v>1.544855E-2</v>
      </c>
      <c r="T4939" s="2">
        <v>8.9745999999999992E-3</v>
      </c>
    </row>
    <row r="4940" spans="18:20" x14ac:dyDescent="0.45">
      <c r="R4940" s="2">
        <v>66.16</v>
      </c>
      <c r="S4940" s="2">
        <v>1.546672E-2</v>
      </c>
      <c r="T4940" s="2">
        <v>8.9840400000000004E-3</v>
      </c>
    </row>
    <row r="4941" spans="18:20" x14ac:dyDescent="0.45">
      <c r="R4941" s="2">
        <v>66.17</v>
      </c>
      <c r="S4941" s="2">
        <v>1.5484889999999999E-2</v>
      </c>
      <c r="T4941" s="2">
        <v>8.9934799999999999E-3</v>
      </c>
    </row>
    <row r="4942" spans="18:20" x14ac:dyDescent="0.45">
      <c r="R4942" s="2">
        <v>66.180000000000007</v>
      </c>
      <c r="S4942" s="2">
        <v>1.5503060000000001E-2</v>
      </c>
      <c r="T4942" s="2">
        <v>9.0029199999999993E-3</v>
      </c>
    </row>
    <row r="4943" spans="18:20" x14ac:dyDescent="0.45">
      <c r="R4943" s="2">
        <v>66.19</v>
      </c>
      <c r="S4943" s="2">
        <v>1.552123E-2</v>
      </c>
      <c r="T4943" s="2">
        <v>9.0123600000000005E-3</v>
      </c>
    </row>
    <row r="4944" spans="18:20" x14ac:dyDescent="0.45">
      <c r="R4944" s="2">
        <v>66.2</v>
      </c>
      <c r="S4944" s="2">
        <v>1.55394E-2</v>
      </c>
      <c r="T4944" s="2">
        <v>9.0218E-3</v>
      </c>
    </row>
    <row r="4945" spans="18:20" x14ac:dyDescent="0.45">
      <c r="R4945" s="2">
        <v>66.209999999999994</v>
      </c>
      <c r="S4945" s="2">
        <v>1.555757E-2</v>
      </c>
      <c r="T4945" s="2">
        <v>9.0312399999999994E-3</v>
      </c>
    </row>
    <row r="4946" spans="18:20" x14ac:dyDescent="0.45">
      <c r="R4946" s="2">
        <v>66.22</v>
      </c>
      <c r="S4946" s="2">
        <v>1.5575739999999999E-2</v>
      </c>
      <c r="T4946" s="2">
        <v>9.0406800000000006E-3</v>
      </c>
    </row>
    <row r="4947" spans="18:20" x14ac:dyDescent="0.45">
      <c r="R4947" s="2">
        <v>66.23</v>
      </c>
      <c r="S4947" s="2">
        <v>1.5593910000000001E-2</v>
      </c>
      <c r="T4947" s="2">
        <v>9.05012E-3</v>
      </c>
    </row>
    <row r="4948" spans="18:20" x14ac:dyDescent="0.45">
      <c r="R4948" s="2">
        <v>66.239999999999995</v>
      </c>
      <c r="S4948" s="2">
        <v>1.561208E-2</v>
      </c>
      <c r="T4948" s="2">
        <v>9.0595599999999995E-3</v>
      </c>
    </row>
    <row r="4949" spans="18:20" x14ac:dyDescent="0.45">
      <c r="R4949" s="2">
        <v>66.25</v>
      </c>
      <c r="S4949" s="2">
        <v>1.5630249999999998E-2</v>
      </c>
      <c r="T4949" s="2">
        <v>9.0690000000000007E-3</v>
      </c>
    </row>
    <row r="4950" spans="18:20" x14ac:dyDescent="0.45">
      <c r="R4950" s="2">
        <v>66.260000000000005</v>
      </c>
      <c r="S4950" s="2">
        <v>1.564842E-2</v>
      </c>
      <c r="T4950" s="2">
        <v>9.0784400000000001E-3</v>
      </c>
    </row>
    <row r="4951" spans="18:20" x14ac:dyDescent="0.45">
      <c r="R4951" s="2">
        <v>66.27</v>
      </c>
      <c r="S4951" s="2">
        <v>1.5666590000000001E-2</v>
      </c>
      <c r="T4951" s="2">
        <v>9.0878799999999996E-3</v>
      </c>
    </row>
    <row r="4952" spans="18:20" x14ac:dyDescent="0.45">
      <c r="R4952" s="2">
        <v>66.28</v>
      </c>
      <c r="S4952" s="2">
        <v>1.5684759999999999E-2</v>
      </c>
      <c r="T4952" s="2">
        <v>9.0973200000000008E-3</v>
      </c>
    </row>
    <row r="4953" spans="18:20" x14ac:dyDescent="0.45">
      <c r="R4953" s="2">
        <v>66.290000000000006</v>
      </c>
      <c r="S4953" s="2">
        <v>1.570293E-2</v>
      </c>
      <c r="T4953" s="2">
        <v>9.1067600000000002E-3</v>
      </c>
    </row>
    <row r="4954" spans="18:20" x14ac:dyDescent="0.45">
      <c r="R4954" s="2">
        <v>66.3</v>
      </c>
      <c r="S4954" s="2">
        <v>1.5721099999999998E-2</v>
      </c>
      <c r="T4954" s="2">
        <v>9.1161999999999997E-3</v>
      </c>
    </row>
    <row r="4955" spans="18:20" x14ac:dyDescent="0.45">
      <c r="R4955" s="2">
        <v>66.31</v>
      </c>
      <c r="S4955" s="2">
        <v>1.573927E-2</v>
      </c>
      <c r="T4955" s="2">
        <v>9.1256400000000008E-3</v>
      </c>
    </row>
    <row r="4956" spans="18:20" x14ac:dyDescent="0.45">
      <c r="R4956" s="2">
        <v>66.319999999999993</v>
      </c>
      <c r="S4956" s="2">
        <v>1.5757440000000001E-2</v>
      </c>
      <c r="T4956" s="2">
        <v>9.1350800000000003E-3</v>
      </c>
    </row>
    <row r="4957" spans="18:20" x14ac:dyDescent="0.45">
      <c r="R4957" s="2">
        <v>66.33</v>
      </c>
      <c r="S4957" s="2">
        <v>1.5775609999999999E-2</v>
      </c>
      <c r="T4957" s="2">
        <v>9.1445199999999997E-3</v>
      </c>
    </row>
    <row r="4958" spans="18:20" x14ac:dyDescent="0.45">
      <c r="R4958" s="2">
        <v>66.34</v>
      </c>
      <c r="S4958" s="2">
        <v>1.579378E-2</v>
      </c>
      <c r="T4958" s="2">
        <v>9.1539599999999992E-3</v>
      </c>
    </row>
    <row r="4959" spans="18:20" x14ac:dyDescent="0.45">
      <c r="R4959" s="2">
        <v>66.349999999999994</v>
      </c>
      <c r="S4959" s="2">
        <v>1.5811950000000002E-2</v>
      </c>
      <c r="T4959" s="2">
        <v>9.1634000000000004E-3</v>
      </c>
    </row>
    <row r="4960" spans="18:20" x14ac:dyDescent="0.45">
      <c r="R4960" s="2">
        <v>66.36</v>
      </c>
      <c r="S4960" s="2">
        <v>1.583012E-2</v>
      </c>
      <c r="T4960" s="2">
        <v>9.1728399999999998E-3</v>
      </c>
    </row>
    <row r="4961" spans="18:20" x14ac:dyDescent="0.45">
      <c r="R4961" s="2">
        <v>66.37</v>
      </c>
      <c r="S4961" s="2">
        <v>1.5848290000000001E-2</v>
      </c>
      <c r="T4961" s="2">
        <v>9.1822799999999993E-3</v>
      </c>
    </row>
    <row r="4962" spans="18:20" x14ac:dyDescent="0.45">
      <c r="R4962" s="2">
        <v>66.38</v>
      </c>
      <c r="S4962" s="2">
        <v>1.5866459999999999E-2</v>
      </c>
      <c r="T4962" s="2">
        <v>9.1917200000000004E-3</v>
      </c>
    </row>
    <row r="4963" spans="18:20" x14ac:dyDescent="0.45">
      <c r="R4963" s="2">
        <v>66.39</v>
      </c>
      <c r="S4963" s="2">
        <v>1.588463E-2</v>
      </c>
      <c r="T4963" s="2">
        <v>9.2011599999999999E-3</v>
      </c>
    </row>
    <row r="4964" spans="18:20" x14ac:dyDescent="0.45">
      <c r="R4964" s="2">
        <v>66.400000000000006</v>
      </c>
      <c r="S4964" s="2">
        <v>1.5902800000000002E-2</v>
      </c>
      <c r="T4964" s="2">
        <v>9.2105999999999993E-3</v>
      </c>
    </row>
    <row r="4965" spans="18:20" x14ac:dyDescent="0.45">
      <c r="R4965" s="2">
        <v>66.41</v>
      </c>
      <c r="S4965" s="2">
        <v>1.592097E-2</v>
      </c>
      <c r="T4965" s="2">
        <v>9.2200400000000005E-3</v>
      </c>
    </row>
    <row r="4966" spans="18:20" x14ac:dyDescent="0.45">
      <c r="R4966" s="2">
        <v>66.42</v>
      </c>
      <c r="S4966" s="2">
        <v>1.5939140000000001E-2</v>
      </c>
      <c r="T4966" s="2">
        <v>9.22948E-3</v>
      </c>
    </row>
    <row r="4967" spans="18:20" x14ac:dyDescent="0.45">
      <c r="R4967" s="2">
        <v>66.430000000000007</v>
      </c>
      <c r="S4967" s="2">
        <v>1.5957309999999999E-2</v>
      </c>
      <c r="T4967" s="2">
        <v>9.2389199999999994E-3</v>
      </c>
    </row>
    <row r="4968" spans="18:20" x14ac:dyDescent="0.45">
      <c r="R4968" s="2">
        <v>66.44</v>
      </c>
      <c r="S4968" s="2">
        <v>1.597548E-2</v>
      </c>
      <c r="T4968" s="2">
        <v>9.2483600000000006E-3</v>
      </c>
    </row>
    <row r="4969" spans="18:20" x14ac:dyDescent="0.45">
      <c r="R4969" s="2">
        <v>66.45</v>
      </c>
      <c r="S4969" s="2">
        <v>1.5993650000000002E-2</v>
      </c>
      <c r="T4969" s="2">
        <v>9.2578000000000001E-3</v>
      </c>
    </row>
    <row r="4970" spans="18:20" x14ac:dyDescent="0.45">
      <c r="R4970" s="2">
        <v>66.459999999999994</v>
      </c>
      <c r="S4970" s="2">
        <v>1.601182E-2</v>
      </c>
      <c r="T4970" s="2">
        <v>9.2672399999999995E-3</v>
      </c>
    </row>
    <row r="4971" spans="18:20" x14ac:dyDescent="0.45">
      <c r="R4971" s="2">
        <v>66.47</v>
      </c>
      <c r="S4971" s="2">
        <v>1.6029990000000001E-2</v>
      </c>
      <c r="T4971" s="2">
        <v>9.2766800000000007E-3</v>
      </c>
    </row>
    <row r="4972" spans="18:20" x14ac:dyDescent="0.45">
      <c r="R4972" s="2">
        <v>66.48</v>
      </c>
      <c r="S4972" s="2">
        <v>1.6048159999999999E-2</v>
      </c>
      <c r="T4972" s="2">
        <v>9.2861200000000001E-3</v>
      </c>
    </row>
    <row r="4973" spans="18:20" x14ac:dyDescent="0.45">
      <c r="R4973" s="2">
        <v>66.489999999999995</v>
      </c>
      <c r="S4973" s="2">
        <v>1.606633E-2</v>
      </c>
      <c r="T4973" s="2">
        <v>9.2955599999999996E-3</v>
      </c>
    </row>
    <row r="4974" spans="18:20" x14ac:dyDescent="0.45">
      <c r="R4974" s="2">
        <v>66.5</v>
      </c>
      <c r="S4974" s="2">
        <v>1.6084500000000002E-2</v>
      </c>
      <c r="T4974" s="2">
        <v>9.3050000000000008E-3</v>
      </c>
    </row>
    <row r="4975" spans="18:20" x14ac:dyDescent="0.45">
      <c r="R4975" s="2">
        <v>66.510000000000005</v>
      </c>
      <c r="S4975" s="2">
        <v>1.6102669999999999E-2</v>
      </c>
      <c r="T4975" s="2">
        <v>9.3144400000000002E-3</v>
      </c>
    </row>
    <row r="4976" spans="18:20" x14ac:dyDescent="0.45">
      <c r="R4976" s="2">
        <v>66.52</v>
      </c>
      <c r="S4976" s="2">
        <v>1.6120840000000001E-2</v>
      </c>
      <c r="T4976" s="2">
        <v>9.3238799999999997E-3</v>
      </c>
    </row>
    <row r="4977" spans="18:20" x14ac:dyDescent="0.45">
      <c r="R4977" s="2">
        <v>66.53</v>
      </c>
      <c r="S4977" s="2">
        <v>1.6139009999999999E-2</v>
      </c>
      <c r="T4977" s="2">
        <v>9.3333200000000009E-3</v>
      </c>
    </row>
    <row r="4978" spans="18:20" x14ac:dyDescent="0.45">
      <c r="R4978" s="2">
        <v>66.540000000000006</v>
      </c>
      <c r="S4978" s="2">
        <v>1.615718E-2</v>
      </c>
      <c r="T4978" s="2">
        <v>9.3427600000000003E-3</v>
      </c>
    </row>
    <row r="4979" spans="18:20" x14ac:dyDescent="0.45">
      <c r="R4979" s="2">
        <v>66.55</v>
      </c>
      <c r="S4979" s="2">
        <v>1.6175350000000002E-2</v>
      </c>
      <c r="T4979" s="2">
        <v>9.3521999999999997E-3</v>
      </c>
    </row>
    <row r="4980" spans="18:20" x14ac:dyDescent="0.45">
      <c r="R4980" s="2">
        <v>66.56</v>
      </c>
      <c r="S4980" s="2">
        <v>1.6193519999999999E-2</v>
      </c>
      <c r="T4980" s="2">
        <v>9.3616399999999992E-3</v>
      </c>
    </row>
    <row r="4981" spans="18:20" x14ac:dyDescent="0.45">
      <c r="R4981" s="2">
        <v>66.569999999999993</v>
      </c>
      <c r="S4981" s="2">
        <v>1.6211690000000001E-2</v>
      </c>
      <c r="T4981" s="2">
        <v>9.3710800000000004E-3</v>
      </c>
    </row>
    <row r="4982" spans="18:20" x14ac:dyDescent="0.45">
      <c r="R4982" s="2">
        <v>66.58</v>
      </c>
      <c r="S4982" s="2">
        <v>1.6229859999999999E-2</v>
      </c>
      <c r="T4982" s="2">
        <v>9.3805199999999998E-3</v>
      </c>
    </row>
    <row r="4983" spans="18:20" x14ac:dyDescent="0.45">
      <c r="R4983" s="2">
        <v>66.59</v>
      </c>
      <c r="S4983" s="2">
        <v>1.624803E-2</v>
      </c>
      <c r="T4983" s="2">
        <v>9.3899599999999993E-3</v>
      </c>
    </row>
    <row r="4984" spans="18:20" x14ac:dyDescent="0.45">
      <c r="R4984" s="2">
        <v>66.599999999999994</v>
      </c>
      <c r="S4984" s="2">
        <v>1.6266200000000001E-2</v>
      </c>
      <c r="T4984" s="2">
        <v>9.3994000000000005E-3</v>
      </c>
    </row>
    <row r="4985" spans="18:20" x14ac:dyDescent="0.45">
      <c r="R4985" s="2">
        <v>66.61</v>
      </c>
      <c r="S4985" s="2">
        <v>1.6284369999999999E-2</v>
      </c>
      <c r="T4985" s="2">
        <v>9.4088399999999999E-3</v>
      </c>
    </row>
    <row r="4986" spans="18:20" x14ac:dyDescent="0.45">
      <c r="R4986" s="2">
        <v>66.62</v>
      </c>
      <c r="S4986" s="2">
        <v>1.6302540000000001E-2</v>
      </c>
      <c r="T4986" s="2">
        <v>9.4182799999999994E-3</v>
      </c>
    </row>
    <row r="4987" spans="18:20" x14ac:dyDescent="0.45">
      <c r="R4987" s="2">
        <v>66.63</v>
      </c>
      <c r="S4987" s="2">
        <v>1.6320709999999999E-2</v>
      </c>
      <c r="T4987" s="2">
        <v>9.4277200000000005E-3</v>
      </c>
    </row>
    <row r="4988" spans="18:20" x14ac:dyDescent="0.45">
      <c r="R4988" s="2">
        <v>66.64</v>
      </c>
      <c r="S4988" s="2">
        <v>1.633888E-2</v>
      </c>
      <c r="T4988" s="2">
        <v>9.43716E-3</v>
      </c>
    </row>
    <row r="4989" spans="18:20" x14ac:dyDescent="0.45">
      <c r="R4989" s="2">
        <v>66.650000000000006</v>
      </c>
      <c r="S4989" s="2">
        <v>1.6357050000000001E-2</v>
      </c>
      <c r="T4989" s="2">
        <v>9.4465999999999994E-3</v>
      </c>
    </row>
    <row r="4990" spans="18:20" x14ac:dyDescent="0.45">
      <c r="R4990" s="2">
        <v>66.66</v>
      </c>
      <c r="S4990" s="2">
        <v>1.6375219999999999E-2</v>
      </c>
      <c r="T4990" s="2">
        <v>9.4560400000000006E-3</v>
      </c>
    </row>
    <row r="4991" spans="18:20" x14ac:dyDescent="0.45">
      <c r="R4991" s="2">
        <v>66.67</v>
      </c>
      <c r="S4991" s="2">
        <v>1.6393390000000001E-2</v>
      </c>
      <c r="T4991" s="2">
        <v>9.4654800000000001E-3</v>
      </c>
    </row>
    <row r="4992" spans="18:20" x14ac:dyDescent="0.45">
      <c r="R4992" s="2">
        <v>66.680000000000007</v>
      </c>
      <c r="S4992" s="2">
        <v>1.6411559999999999E-2</v>
      </c>
      <c r="T4992" s="2">
        <v>9.4749199999999995E-3</v>
      </c>
    </row>
    <row r="4993" spans="18:20" x14ac:dyDescent="0.45">
      <c r="R4993" s="2">
        <v>66.69</v>
      </c>
      <c r="S4993" s="2">
        <v>1.642973E-2</v>
      </c>
      <c r="T4993" s="2">
        <v>9.4843600000000007E-3</v>
      </c>
    </row>
    <row r="4994" spans="18:20" x14ac:dyDescent="0.45">
      <c r="R4994" s="2">
        <v>66.7</v>
      </c>
      <c r="S4994" s="2">
        <v>1.6447900000000001E-2</v>
      </c>
      <c r="T4994" s="2">
        <v>9.4938000000000002E-3</v>
      </c>
    </row>
    <row r="4995" spans="18:20" x14ac:dyDescent="0.45">
      <c r="R4995" s="2">
        <v>66.709999999999994</v>
      </c>
      <c r="S4995" s="2">
        <v>1.6466069999999999E-2</v>
      </c>
      <c r="T4995" s="2">
        <v>9.5032399999999996E-3</v>
      </c>
    </row>
    <row r="4996" spans="18:20" x14ac:dyDescent="0.45">
      <c r="R4996" s="2">
        <v>66.72</v>
      </c>
      <c r="S4996" s="2">
        <v>1.6484240000000001E-2</v>
      </c>
      <c r="T4996" s="2">
        <v>9.5126800000000008E-3</v>
      </c>
    </row>
    <row r="4997" spans="18:20" x14ac:dyDescent="0.45">
      <c r="R4997" s="2">
        <v>66.73</v>
      </c>
      <c r="S4997" s="2">
        <v>1.6502409999999999E-2</v>
      </c>
      <c r="T4997" s="2">
        <v>9.5221200000000002E-3</v>
      </c>
    </row>
    <row r="4998" spans="18:20" x14ac:dyDescent="0.45">
      <c r="R4998" s="2">
        <v>66.739999999999995</v>
      </c>
      <c r="S4998" s="2">
        <v>1.652058E-2</v>
      </c>
      <c r="T4998" s="2">
        <v>9.5315599999999997E-3</v>
      </c>
    </row>
    <row r="4999" spans="18:20" x14ac:dyDescent="0.45">
      <c r="R4999" s="2">
        <v>66.75</v>
      </c>
      <c r="S4999" s="2">
        <v>1.6538750000000001E-2</v>
      </c>
      <c r="T4999" s="2">
        <v>9.5409999999999991E-3</v>
      </c>
    </row>
    <row r="5000" spans="18:20" x14ac:dyDescent="0.45">
      <c r="R5000" s="2">
        <v>66.760000000000005</v>
      </c>
      <c r="S5000" s="2">
        <v>1.6556919999999999E-2</v>
      </c>
      <c r="T5000" s="2">
        <v>9.5504400000000003E-3</v>
      </c>
    </row>
    <row r="5001" spans="18:20" x14ac:dyDescent="0.45">
      <c r="R5001" s="2">
        <v>66.77</v>
      </c>
      <c r="S5001" s="2">
        <v>1.6575090000000001E-2</v>
      </c>
      <c r="T5001" s="2">
        <v>9.5598799999999998E-3</v>
      </c>
    </row>
    <row r="5002" spans="18:20" x14ac:dyDescent="0.45">
      <c r="R5002" s="2">
        <v>66.78</v>
      </c>
      <c r="S5002" s="2">
        <v>1.6593259999999999E-2</v>
      </c>
      <c r="T5002" s="2">
        <v>9.5693199999999992E-3</v>
      </c>
    </row>
    <row r="5003" spans="18:20" x14ac:dyDescent="0.45">
      <c r="R5003" s="2">
        <v>66.790000000000006</v>
      </c>
      <c r="S5003" s="2">
        <v>1.661143E-2</v>
      </c>
      <c r="T5003" s="2">
        <v>9.5787600000000004E-3</v>
      </c>
    </row>
    <row r="5004" spans="18:20" x14ac:dyDescent="0.45">
      <c r="R5004" s="2">
        <v>66.8</v>
      </c>
      <c r="S5004" s="2">
        <v>1.6629600000000001E-2</v>
      </c>
      <c r="T5004" s="2">
        <v>9.5881999999999998E-3</v>
      </c>
    </row>
    <row r="5005" spans="18:20" x14ac:dyDescent="0.45">
      <c r="R5005" s="2">
        <v>66.81</v>
      </c>
      <c r="S5005" s="2">
        <v>1.6647769999999999E-2</v>
      </c>
      <c r="T5005" s="2">
        <v>9.5976399999999993E-3</v>
      </c>
    </row>
    <row r="5006" spans="18:20" x14ac:dyDescent="0.45">
      <c r="R5006" s="2">
        <v>66.819999999999993</v>
      </c>
      <c r="S5006" s="2">
        <v>1.6665940000000001E-2</v>
      </c>
      <c r="T5006" s="2">
        <v>9.6070800000000005E-3</v>
      </c>
    </row>
    <row r="5007" spans="18:20" x14ac:dyDescent="0.45">
      <c r="R5007" s="2">
        <v>66.83</v>
      </c>
      <c r="S5007" s="2">
        <v>1.6684109999999999E-2</v>
      </c>
      <c r="T5007" s="2">
        <v>9.6165199999999999E-3</v>
      </c>
    </row>
    <row r="5008" spans="18:20" x14ac:dyDescent="0.45">
      <c r="R5008" s="2">
        <v>66.84</v>
      </c>
      <c r="S5008" s="2">
        <v>1.670228E-2</v>
      </c>
      <c r="T5008" s="2">
        <v>9.6259599999999994E-3</v>
      </c>
    </row>
    <row r="5009" spans="18:20" x14ac:dyDescent="0.45">
      <c r="R5009" s="2">
        <v>66.849999999999994</v>
      </c>
      <c r="S5009" s="2">
        <v>1.6720450000000001E-2</v>
      </c>
      <c r="T5009" s="2">
        <v>9.6354000000000006E-3</v>
      </c>
    </row>
    <row r="5010" spans="18:20" x14ac:dyDescent="0.45">
      <c r="R5010" s="2">
        <v>66.86</v>
      </c>
      <c r="S5010" s="2">
        <v>1.6738619999999999E-2</v>
      </c>
      <c r="T5010" s="2">
        <v>9.64484E-3</v>
      </c>
    </row>
    <row r="5011" spans="18:20" x14ac:dyDescent="0.45">
      <c r="R5011" s="2">
        <v>66.87</v>
      </c>
      <c r="S5011" s="2">
        <v>1.6756790000000001E-2</v>
      </c>
      <c r="T5011" s="2">
        <v>9.6542799999999995E-3</v>
      </c>
    </row>
    <row r="5012" spans="18:20" x14ac:dyDescent="0.45">
      <c r="R5012" s="2">
        <v>66.88</v>
      </c>
      <c r="S5012" s="2">
        <v>1.6774959999999998E-2</v>
      </c>
      <c r="T5012" s="2">
        <v>9.6637200000000006E-3</v>
      </c>
    </row>
    <row r="5013" spans="18:20" x14ac:dyDescent="0.45">
      <c r="R5013" s="2">
        <v>66.89</v>
      </c>
      <c r="S5013" s="2">
        <v>1.679313E-2</v>
      </c>
      <c r="T5013" s="2">
        <v>9.6731600000000001E-3</v>
      </c>
    </row>
    <row r="5014" spans="18:20" x14ac:dyDescent="0.45">
      <c r="R5014" s="2">
        <v>66.900000000000006</v>
      </c>
      <c r="S5014" s="2">
        <v>1.6811300000000001E-2</v>
      </c>
      <c r="T5014" s="2">
        <v>9.6825999999999995E-3</v>
      </c>
    </row>
    <row r="5015" spans="18:20" x14ac:dyDescent="0.45">
      <c r="R5015" s="2">
        <v>66.91</v>
      </c>
      <c r="S5015" s="2">
        <v>1.6829469999999999E-2</v>
      </c>
      <c r="T5015" s="2">
        <v>9.6920400000000007E-3</v>
      </c>
    </row>
    <row r="5016" spans="18:20" x14ac:dyDescent="0.45">
      <c r="R5016" s="2">
        <v>66.92</v>
      </c>
      <c r="S5016" s="2">
        <v>1.6847640000000001E-2</v>
      </c>
      <c r="T5016" s="2">
        <v>9.7014800000000002E-3</v>
      </c>
    </row>
    <row r="5017" spans="18:20" x14ac:dyDescent="0.45">
      <c r="R5017" s="2">
        <v>66.930000000000007</v>
      </c>
      <c r="S5017" s="2">
        <v>1.6865809999999998E-2</v>
      </c>
      <c r="T5017" s="2">
        <v>9.7109199999999996E-3</v>
      </c>
    </row>
    <row r="5018" spans="18:20" x14ac:dyDescent="0.45">
      <c r="R5018" s="2">
        <v>66.94</v>
      </c>
      <c r="S5018" s="2">
        <v>1.688398E-2</v>
      </c>
      <c r="T5018" s="2">
        <v>9.7203600000000008E-3</v>
      </c>
    </row>
    <row r="5019" spans="18:20" x14ac:dyDescent="0.45">
      <c r="R5019" s="2">
        <v>66.95</v>
      </c>
      <c r="S5019" s="2">
        <v>1.6902150000000001E-2</v>
      </c>
      <c r="T5019" s="2">
        <v>9.7298000000000003E-3</v>
      </c>
    </row>
    <row r="5020" spans="18:20" x14ac:dyDescent="0.45">
      <c r="R5020" s="2">
        <v>66.959999999999994</v>
      </c>
      <c r="S5020" s="2">
        <v>1.6920319999999999E-2</v>
      </c>
      <c r="T5020" s="2">
        <v>9.7392399999999997E-3</v>
      </c>
    </row>
    <row r="5021" spans="18:20" x14ac:dyDescent="0.45">
      <c r="R5021" s="2">
        <v>66.97</v>
      </c>
      <c r="S5021" s="2">
        <v>1.693849E-2</v>
      </c>
      <c r="T5021" s="2">
        <v>9.7486799999999992E-3</v>
      </c>
    </row>
    <row r="5022" spans="18:20" x14ac:dyDescent="0.45">
      <c r="R5022" s="2">
        <v>66.98</v>
      </c>
      <c r="S5022" s="2">
        <v>1.6956659999999998E-2</v>
      </c>
      <c r="T5022" s="2">
        <v>9.7581200000000003E-3</v>
      </c>
    </row>
    <row r="5023" spans="18:20" x14ac:dyDescent="0.45">
      <c r="R5023" s="2">
        <v>66.989999999999995</v>
      </c>
      <c r="S5023" s="2">
        <v>1.697483E-2</v>
      </c>
      <c r="T5023" s="2">
        <v>9.7675599999999998E-3</v>
      </c>
    </row>
    <row r="5024" spans="18:20" x14ac:dyDescent="0.45">
      <c r="R5024" s="2">
        <v>67</v>
      </c>
      <c r="S5024" s="2">
        <v>1.6993000000000001E-2</v>
      </c>
      <c r="T5024" s="2">
        <v>9.7769999999999992E-3</v>
      </c>
    </row>
    <row r="5025" spans="18:20" x14ac:dyDescent="0.45">
      <c r="R5025" s="2">
        <v>67.010000000000005</v>
      </c>
      <c r="S5025" s="2">
        <v>1.7013190000000001E-2</v>
      </c>
      <c r="T5025" s="2">
        <v>9.7874499999999996E-3</v>
      </c>
    </row>
    <row r="5026" spans="18:20" x14ac:dyDescent="0.45">
      <c r="R5026" s="2">
        <v>67.02</v>
      </c>
      <c r="S5026" s="2">
        <v>1.7033380000000001E-2</v>
      </c>
      <c r="T5026" s="2">
        <v>9.7979E-3</v>
      </c>
    </row>
    <row r="5027" spans="18:20" x14ac:dyDescent="0.45">
      <c r="R5027" s="2">
        <v>67.03</v>
      </c>
      <c r="S5027" s="2">
        <v>1.7053570000000001E-2</v>
      </c>
      <c r="T5027" s="2">
        <v>9.8083500000000004E-3</v>
      </c>
    </row>
    <row r="5028" spans="18:20" x14ac:dyDescent="0.45">
      <c r="R5028" s="2">
        <v>67.040000000000006</v>
      </c>
      <c r="S5028" s="2">
        <v>1.707376E-2</v>
      </c>
      <c r="T5028" s="2">
        <v>9.8188000000000008E-3</v>
      </c>
    </row>
    <row r="5029" spans="18:20" x14ac:dyDescent="0.45">
      <c r="R5029" s="2">
        <v>67.05</v>
      </c>
      <c r="S5029" s="2">
        <v>1.709395E-2</v>
      </c>
      <c r="T5029" s="2">
        <v>9.8292499999999994E-3</v>
      </c>
    </row>
    <row r="5030" spans="18:20" x14ac:dyDescent="0.45">
      <c r="R5030" s="2">
        <v>67.06</v>
      </c>
      <c r="S5030" s="2">
        <v>1.711414E-2</v>
      </c>
      <c r="T5030" s="2">
        <v>9.8396999999999998E-3</v>
      </c>
    </row>
    <row r="5031" spans="18:20" x14ac:dyDescent="0.45">
      <c r="R5031" s="2">
        <v>67.069999999999993</v>
      </c>
      <c r="S5031" s="2">
        <v>1.713433E-2</v>
      </c>
      <c r="T5031" s="2">
        <v>9.8501500000000002E-3</v>
      </c>
    </row>
    <row r="5032" spans="18:20" x14ac:dyDescent="0.45">
      <c r="R5032" s="2">
        <v>67.08</v>
      </c>
      <c r="S5032" s="2">
        <v>1.7154519999999999E-2</v>
      </c>
      <c r="T5032" s="2">
        <v>9.8606000000000006E-3</v>
      </c>
    </row>
    <row r="5033" spans="18:20" x14ac:dyDescent="0.45">
      <c r="R5033" s="2">
        <v>67.09</v>
      </c>
      <c r="S5033" s="2">
        <v>1.7174709999999999E-2</v>
      </c>
      <c r="T5033" s="2">
        <v>9.8710499999999993E-3</v>
      </c>
    </row>
    <row r="5034" spans="18:20" x14ac:dyDescent="0.45">
      <c r="R5034" s="2">
        <v>67.099999999999994</v>
      </c>
      <c r="S5034" s="2">
        <v>1.7194899999999999E-2</v>
      </c>
      <c r="T5034" s="2">
        <v>9.8814999999999997E-3</v>
      </c>
    </row>
    <row r="5035" spans="18:20" x14ac:dyDescent="0.45">
      <c r="R5035" s="2">
        <v>67.11</v>
      </c>
      <c r="S5035" s="2">
        <v>1.7215089999999999E-2</v>
      </c>
      <c r="T5035" s="2">
        <v>9.89195E-3</v>
      </c>
    </row>
    <row r="5036" spans="18:20" x14ac:dyDescent="0.45">
      <c r="R5036" s="2">
        <v>67.12</v>
      </c>
      <c r="S5036" s="2">
        <v>1.7235279999999999E-2</v>
      </c>
      <c r="T5036" s="2">
        <v>9.9024000000000004E-3</v>
      </c>
    </row>
    <row r="5037" spans="18:20" x14ac:dyDescent="0.45">
      <c r="R5037" s="2">
        <v>67.13</v>
      </c>
      <c r="S5037" s="2">
        <v>1.7255469999999998E-2</v>
      </c>
      <c r="T5037" s="2">
        <v>9.9128500000000008E-3</v>
      </c>
    </row>
    <row r="5038" spans="18:20" x14ac:dyDescent="0.45">
      <c r="R5038" s="2">
        <v>67.14</v>
      </c>
      <c r="S5038" s="2">
        <v>1.7275660000000002E-2</v>
      </c>
      <c r="T5038" s="2">
        <v>9.9232999999999995E-3</v>
      </c>
    </row>
    <row r="5039" spans="18:20" x14ac:dyDescent="0.45">
      <c r="R5039" s="2">
        <v>67.150000000000006</v>
      </c>
      <c r="S5039" s="2">
        <v>1.7295850000000002E-2</v>
      </c>
      <c r="T5039" s="2">
        <v>9.9337499999999999E-3</v>
      </c>
    </row>
    <row r="5040" spans="18:20" x14ac:dyDescent="0.45">
      <c r="R5040" s="2">
        <v>67.16</v>
      </c>
      <c r="S5040" s="2">
        <v>1.7316040000000001E-2</v>
      </c>
      <c r="T5040" s="2">
        <v>9.9442000000000003E-3</v>
      </c>
    </row>
    <row r="5041" spans="18:20" x14ac:dyDescent="0.45">
      <c r="R5041" s="2">
        <v>67.17</v>
      </c>
      <c r="S5041" s="2">
        <v>1.7336230000000001E-2</v>
      </c>
      <c r="T5041" s="2">
        <v>9.9546500000000007E-3</v>
      </c>
    </row>
    <row r="5042" spans="18:20" x14ac:dyDescent="0.45">
      <c r="R5042" s="2">
        <v>67.180000000000007</v>
      </c>
      <c r="S5042" s="2">
        <v>1.7356420000000001E-2</v>
      </c>
      <c r="T5042" s="2">
        <v>9.9650999999999993E-3</v>
      </c>
    </row>
    <row r="5043" spans="18:20" x14ac:dyDescent="0.45">
      <c r="R5043" s="2">
        <v>67.19</v>
      </c>
      <c r="S5043" s="2">
        <v>1.7376610000000001E-2</v>
      </c>
      <c r="T5043" s="2">
        <v>9.9755499999999997E-3</v>
      </c>
    </row>
    <row r="5044" spans="18:20" x14ac:dyDescent="0.45">
      <c r="R5044" s="2">
        <v>67.2</v>
      </c>
      <c r="S5044" s="2">
        <v>1.73968E-2</v>
      </c>
      <c r="T5044" s="2">
        <v>9.9860000000000001E-3</v>
      </c>
    </row>
    <row r="5045" spans="18:20" x14ac:dyDescent="0.45">
      <c r="R5045" s="2">
        <v>67.209999999999994</v>
      </c>
      <c r="S5045" s="2">
        <v>1.741699E-2</v>
      </c>
      <c r="T5045" s="2">
        <v>9.9964500000000005E-3</v>
      </c>
    </row>
    <row r="5046" spans="18:20" x14ac:dyDescent="0.45">
      <c r="R5046" s="2">
        <v>67.22</v>
      </c>
      <c r="S5046" s="2">
        <v>1.743718E-2</v>
      </c>
      <c r="T5046" s="2">
        <v>1.0006900000000001E-2</v>
      </c>
    </row>
    <row r="5047" spans="18:20" x14ac:dyDescent="0.45">
      <c r="R5047" s="2">
        <v>67.23</v>
      </c>
      <c r="S5047" s="2">
        <v>1.745737E-2</v>
      </c>
      <c r="T5047" s="2">
        <v>1.001735E-2</v>
      </c>
    </row>
    <row r="5048" spans="18:20" x14ac:dyDescent="0.45">
      <c r="R5048" s="2">
        <v>67.239999999999995</v>
      </c>
      <c r="S5048" s="2">
        <v>1.747756E-2</v>
      </c>
      <c r="T5048" s="2">
        <v>1.00278E-2</v>
      </c>
    </row>
    <row r="5049" spans="18:20" x14ac:dyDescent="0.45">
      <c r="R5049" s="2">
        <v>67.25</v>
      </c>
      <c r="S5049" s="2">
        <v>1.7497749999999999E-2</v>
      </c>
      <c r="T5049" s="2">
        <v>1.003825E-2</v>
      </c>
    </row>
    <row r="5050" spans="18:20" x14ac:dyDescent="0.45">
      <c r="R5050" s="2">
        <v>67.260000000000005</v>
      </c>
      <c r="S5050" s="2">
        <v>1.7517939999999999E-2</v>
      </c>
      <c r="T5050" s="2">
        <v>1.0048700000000001E-2</v>
      </c>
    </row>
    <row r="5051" spans="18:20" x14ac:dyDescent="0.45">
      <c r="R5051" s="2">
        <v>67.27</v>
      </c>
      <c r="S5051" s="2">
        <v>1.7538129999999999E-2</v>
      </c>
      <c r="T5051" s="2">
        <v>1.0059149999999999E-2</v>
      </c>
    </row>
    <row r="5052" spans="18:20" x14ac:dyDescent="0.45">
      <c r="R5052" s="2">
        <v>67.28</v>
      </c>
      <c r="S5052" s="2">
        <v>1.7558319999999999E-2</v>
      </c>
      <c r="T5052" s="2">
        <v>1.00696E-2</v>
      </c>
    </row>
    <row r="5053" spans="18:20" x14ac:dyDescent="0.45">
      <c r="R5053" s="2">
        <v>67.290000000000006</v>
      </c>
      <c r="S5053" s="2">
        <v>1.7578509999999999E-2</v>
      </c>
      <c r="T5053" s="2">
        <v>1.008005E-2</v>
      </c>
    </row>
    <row r="5054" spans="18:20" x14ac:dyDescent="0.45">
      <c r="R5054" s="2">
        <v>67.3</v>
      </c>
      <c r="S5054" s="2">
        <v>1.7598699999999998E-2</v>
      </c>
      <c r="T5054" s="2">
        <v>1.0090500000000001E-2</v>
      </c>
    </row>
    <row r="5055" spans="18:20" x14ac:dyDescent="0.45">
      <c r="R5055" s="2">
        <v>67.31</v>
      </c>
      <c r="S5055" s="2">
        <v>1.7618890000000002E-2</v>
      </c>
      <c r="T5055" s="2">
        <v>1.0100949999999999E-2</v>
      </c>
    </row>
    <row r="5056" spans="18:20" x14ac:dyDescent="0.45">
      <c r="R5056" s="2">
        <v>67.319999999999993</v>
      </c>
      <c r="S5056" s="2">
        <v>1.7639080000000001E-2</v>
      </c>
      <c r="T5056" s="2">
        <v>1.01114E-2</v>
      </c>
    </row>
    <row r="5057" spans="18:20" x14ac:dyDescent="0.45">
      <c r="R5057" s="2">
        <v>67.33</v>
      </c>
      <c r="S5057" s="2">
        <v>1.7659270000000001E-2</v>
      </c>
      <c r="T5057" s="2">
        <v>1.012185E-2</v>
      </c>
    </row>
    <row r="5058" spans="18:20" x14ac:dyDescent="0.45">
      <c r="R5058" s="2">
        <v>67.34</v>
      </c>
      <c r="S5058" s="2">
        <v>1.7679460000000001E-2</v>
      </c>
      <c r="T5058" s="2">
        <v>1.01323E-2</v>
      </c>
    </row>
    <row r="5059" spans="18:20" x14ac:dyDescent="0.45">
      <c r="R5059" s="2">
        <v>67.349999999999994</v>
      </c>
      <c r="S5059" s="2">
        <v>1.7699650000000001E-2</v>
      </c>
      <c r="T5059" s="2">
        <v>1.0142750000000001E-2</v>
      </c>
    </row>
    <row r="5060" spans="18:20" x14ac:dyDescent="0.45">
      <c r="R5060" s="2">
        <v>67.36</v>
      </c>
      <c r="S5060" s="2">
        <v>1.7719840000000001E-2</v>
      </c>
      <c r="T5060" s="2">
        <v>1.0153199999999999E-2</v>
      </c>
    </row>
    <row r="5061" spans="18:20" x14ac:dyDescent="0.45">
      <c r="R5061" s="2">
        <v>67.37</v>
      </c>
      <c r="S5061" s="2">
        <v>1.774003E-2</v>
      </c>
      <c r="T5061" s="2">
        <v>1.016365E-2</v>
      </c>
    </row>
    <row r="5062" spans="18:20" x14ac:dyDescent="0.45">
      <c r="R5062" s="2">
        <v>67.38</v>
      </c>
      <c r="S5062" s="2">
        <v>1.776022E-2</v>
      </c>
      <c r="T5062" s="2">
        <v>1.01741E-2</v>
      </c>
    </row>
    <row r="5063" spans="18:20" x14ac:dyDescent="0.45">
      <c r="R5063" s="2">
        <v>67.39</v>
      </c>
      <c r="S5063" s="2">
        <v>1.778041E-2</v>
      </c>
      <c r="T5063" s="2">
        <v>1.0184550000000001E-2</v>
      </c>
    </row>
    <row r="5064" spans="18:20" x14ac:dyDescent="0.45">
      <c r="R5064" s="2">
        <v>67.400000000000006</v>
      </c>
      <c r="S5064" s="2">
        <v>1.78006E-2</v>
      </c>
      <c r="T5064" s="2">
        <v>1.0194999999999999E-2</v>
      </c>
    </row>
    <row r="5065" spans="18:20" x14ac:dyDescent="0.45">
      <c r="R5065" s="2">
        <v>67.41</v>
      </c>
      <c r="S5065" s="2">
        <v>1.782079E-2</v>
      </c>
      <c r="T5065" s="2">
        <v>1.020545E-2</v>
      </c>
    </row>
    <row r="5066" spans="18:20" x14ac:dyDescent="0.45">
      <c r="R5066" s="2">
        <v>67.42</v>
      </c>
      <c r="S5066" s="2">
        <v>1.7840979999999999E-2</v>
      </c>
      <c r="T5066" s="2">
        <v>1.02159E-2</v>
      </c>
    </row>
    <row r="5067" spans="18:20" x14ac:dyDescent="0.45">
      <c r="R5067" s="2">
        <v>67.430000000000007</v>
      </c>
      <c r="S5067" s="2">
        <v>1.7861169999999999E-2</v>
      </c>
      <c r="T5067" s="2">
        <v>1.022635E-2</v>
      </c>
    </row>
    <row r="5068" spans="18:20" x14ac:dyDescent="0.45">
      <c r="R5068" s="2">
        <v>67.44</v>
      </c>
      <c r="S5068" s="2">
        <v>1.7881359999999999E-2</v>
      </c>
      <c r="T5068" s="2">
        <v>1.0236800000000001E-2</v>
      </c>
    </row>
    <row r="5069" spans="18:20" x14ac:dyDescent="0.45">
      <c r="R5069" s="2">
        <v>67.45</v>
      </c>
      <c r="S5069" s="2">
        <v>1.7901549999999999E-2</v>
      </c>
      <c r="T5069" s="2">
        <v>1.0247249999999999E-2</v>
      </c>
    </row>
    <row r="5070" spans="18:20" x14ac:dyDescent="0.45">
      <c r="R5070" s="2">
        <v>67.459999999999994</v>
      </c>
      <c r="S5070" s="2">
        <v>1.7921739999999999E-2</v>
      </c>
      <c r="T5070" s="2">
        <v>1.02577E-2</v>
      </c>
    </row>
    <row r="5071" spans="18:20" x14ac:dyDescent="0.45">
      <c r="R5071" s="2">
        <v>67.47</v>
      </c>
      <c r="S5071" s="2">
        <v>1.7941929999999998E-2</v>
      </c>
      <c r="T5071" s="2">
        <v>1.026815E-2</v>
      </c>
    </row>
    <row r="5072" spans="18:20" x14ac:dyDescent="0.45">
      <c r="R5072" s="2">
        <v>67.48</v>
      </c>
      <c r="S5072" s="2">
        <v>1.7962120000000002E-2</v>
      </c>
      <c r="T5072" s="2">
        <v>1.0278600000000001E-2</v>
      </c>
    </row>
    <row r="5073" spans="18:20" x14ac:dyDescent="0.45">
      <c r="R5073" s="2">
        <v>67.489999999999995</v>
      </c>
      <c r="S5073" s="2">
        <v>1.7982310000000001E-2</v>
      </c>
      <c r="T5073" s="2">
        <v>1.0289049999999999E-2</v>
      </c>
    </row>
    <row r="5074" spans="18:20" x14ac:dyDescent="0.45">
      <c r="R5074" s="2">
        <v>67.5</v>
      </c>
      <c r="S5074" s="2">
        <v>1.8002500000000001E-2</v>
      </c>
      <c r="T5074" s="2">
        <v>1.02995E-2</v>
      </c>
    </row>
    <row r="5075" spans="18:20" x14ac:dyDescent="0.45">
      <c r="R5075" s="2">
        <v>67.510000000000005</v>
      </c>
      <c r="S5075" s="2">
        <v>1.8022690000000001E-2</v>
      </c>
      <c r="T5075" s="2">
        <v>1.030995E-2</v>
      </c>
    </row>
    <row r="5076" spans="18:20" x14ac:dyDescent="0.45">
      <c r="R5076" s="2">
        <v>67.52</v>
      </c>
      <c r="S5076" s="2">
        <v>1.8042880000000001E-2</v>
      </c>
      <c r="T5076" s="2">
        <v>1.03204E-2</v>
      </c>
    </row>
    <row r="5077" spans="18:20" x14ac:dyDescent="0.45">
      <c r="R5077" s="2">
        <v>67.53</v>
      </c>
      <c r="S5077" s="2">
        <v>1.8063070000000001E-2</v>
      </c>
      <c r="T5077" s="2">
        <v>1.0330850000000001E-2</v>
      </c>
    </row>
    <row r="5078" spans="18:20" x14ac:dyDescent="0.45">
      <c r="R5078" s="2">
        <v>67.540000000000006</v>
      </c>
      <c r="S5078" s="2">
        <v>1.808326E-2</v>
      </c>
      <c r="T5078" s="2">
        <v>1.0341299999999999E-2</v>
      </c>
    </row>
    <row r="5079" spans="18:20" x14ac:dyDescent="0.45">
      <c r="R5079" s="2">
        <v>67.55</v>
      </c>
      <c r="S5079" s="2">
        <v>1.810345E-2</v>
      </c>
      <c r="T5079" s="2">
        <v>1.035175E-2</v>
      </c>
    </row>
    <row r="5080" spans="18:20" x14ac:dyDescent="0.45">
      <c r="R5080" s="2">
        <v>67.56</v>
      </c>
      <c r="S5080" s="2">
        <v>1.812364E-2</v>
      </c>
      <c r="T5080" s="2">
        <v>1.03622E-2</v>
      </c>
    </row>
    <row r="5081" spans="18:20" x14ac:dyDescent="0.45">
      <c r="R5081" s="2">
        <v>67.569999999999993</v>
      </c>
      <c r="S5081" s="2">
        <v>1.814383E-2</v>
      </c>
      <c r="T5081" s="2">
        <v>1.0372650000000001E-2</v>
      </c>
    </row>
    <row r="5082" spans="18:20" x14ac:dyDescent="0.45">
      <c r="R5082" s="2">
        <v>67.58</v>
      </c>
      <c r="S5082" s="2">
        <v>1.8164019999999999E-2</v>
      </c>
      <c r="T5082" s="2">
        <v>1.0383099999999999E-2</v>
      </c>
    </row>
    <row r="5083" spans="18:20" x14ac:dyDescent="0.45">
      <c r="R5083" s="2">
        <v>67.59</v>
      </c>
      <c r="S5083" s="2">
        <v>1.8184209999999999E-2</v>
      </c>
      <c r="T5083" s="2">
        <v>1.039355E-2</v>
      </c>
    </row>
    <row r="5084" spans="18:20" x14ac:dyDescent="0.45">
      <c r="R5084" s="2">
        <v>67.599999999999994</v>
      </c>
      <c r="S5084" s="2">
        <v>1.8204399999999999E-2</v>
      </c>
      <c r="T5084" s="2">
        <v>1.0404E-2</v>
      </c>
    </row>
    <row r="5085" spans="18:20" x14ac:dyDescent="0.45">
      <c r="R5085" s="2">
        <v>67.61</v>
      </c>
      <c r="S5085" s="2">
        <v>1.8224589999999999E-2</v>
      </c>
      <c r="T5085" s="2">
        <v>1.041445E-2</v>
      </c>
    </row>
    <row r="5086" spans="18:20" x14ac:dyDescent="0.45">
      <c r="R5086" s="2">
        <v>67.62</v>
      </c>
      <c r="S5086" s="2">
        <v>1.8244779999999999E-2</v>
      </c>
      <c r="T5086" s="2">
        <v>1.0424900000000001E-2</v>
      </c>
    </row>
    <row r="5087" spans="18:20" x14ac:dyDescent="0.45">
      <c r="R5087" s="2">
        <v>67.63</v>
      </c>
      <c r="S5087" s="2">
        <v>1.8264969999999998E-2</v>
      </c>
      <c r="T5087" s="2">
        <v>1.0435349999999999E-2</v>
      </c>
    </row>
    <row r="5088" spans="18:20" x14ac:dyDescent="0.45">
      <c r="R5088" s="2">
        <v>67.64</v>
      </c>
      <c r="S5088" s="2">
        <v>1.8285160000000002E-2</v>
      </c>
      <c r="T5088" s="2">
        <v>1.04458E-2</v>
      </c>
    </row>
    <row r="5089" spans="18:20" x14ac:dyDescent="0.45">
      <c r="R5089" s="2">
        <v>67.650000000000006</v>
      </c>
      <c r="S5089" s="2">
        <v>1.8305350000000001E-2</v>
      </c>
      <c r="T5089" s="2">
        <v>1.045625E-2</v>
      </c>
    </row>
    <row r="5090" spans="18:20" x14ac:dyDescent="0.45">
      <c r="R5090" s="2">
        <v>67.66</v>
      </c>
      <c r="S5090" s="2">
        <v>1.8325540000000001E-2</v>
      </c>
      <c r="T5090" s="2">
        <v>1.0466700000000001E-2</v>
      </c>
    </row>
    <row r="5091" spans="18:20" x14ac:dyDescent="0.45">
      <c r="R5091" s="2">
        <v>67.67</v>
      </c>
      <c r="S5091" s="2">
        <v>1.8345730000000001E-2</v>
      </c>
      <c r="T5091" s="2">
        <v>1.0477149999999999E-2</v>
      </c>
    </row>
    <row r="5092" spans="18:20" x14ac:dyDescent="0.45">
      <c r="R5092" s="2">
        <v>67.680000000000007</v>
      </c>
      <c r="S5092" s="2">
        <v>1.8365920000000001E-2</v>
      </c>
      <c r="T5092" s="2">
        <v>1.04876E-2</v>
      </c>
    </row>
    <row r="5093" spans="18:20" x14ac:dyDescent="0.45">
      <c r="R5093" s="2">
        <v>67.69</v>
      </c>
      <c r="S5093" s="2">
        <v>1.8386110000000001E-2</v>
      </c>
      <c r="T5093" s="2">
        <v>1.049805E-2</v>
      </c>
    </row>
    <row r="5094" spans="18:20" x14ac:dyDescent="0.45">
      <c r="R5094" s="2">
        <v>67.7</v>
      </c>
      <c r="S5094" s="2">
        <v>1.84063E-2</v>
      </c>
      <c r="T5094" s="2">
        <v>1.05085E-2</v>
      </c>
    </row>
    <row r="5095" spans="18:20" x14ac:dyDescent="0.45">
      <c r="R5095" s="2">
        <v>67.709999999999994</v>
      </c>
      <c r="S5095" s="2">
        <v>1.842649E-2</v>
      </c>
      <c r="T5095" s="2">
        <v>1.0518949999999999E-2</v>
      </c>
    </row>
    <row r="5096" spans="18:20" x14ac:dyDescent="0.45">
      <c r="R5096" s="2">
        <v>67.72</v>
      </c>
      <c r="S5096" s="2">
        <v>1.844668E-2</v>
      </c>
      <c r="T5096" s="2">
        <v>1.05294E-2</v>
      </c>
    </row>
    <row r="5097" spans="18:20" x14ac:dyDescent="0.45">
      <c r="R5097" s="2">
        <v>67.73</v>
      </c>
      <c r="S5097" s="2">
        <v>1.846687E-2</v>
      </c>
      <c r="T5097" s="2">
        <v>1.053985E-2</v>
      </c>
    </row>
    <row r="5098" spans="18:20" x14ac:dyDescent="0.45">
      <c r="R5098" s="2">
        <v>67.739999999999995</v>
      </c>
      <c r="S5098" s="2">
        <v>1.848706E-2</v>
      </c>
      <c r="T5098" s="2">
        <v>1.05503E-2</v>
      </c>
    </row>
    <row r="5099" spans="18:20" x14ac:dyDescent="0.45">
      <c r="R5099" s="2">
        <v>67.75</v>
      </c>
      <c r="S5099" s="2">
        <v>1.8507249999999999E-2</v>
      </c>
      <c r="T5099" s="2">
        <v>1.0560750000000001E-2</v>
      </c>
    </row>
    <row r="5100" spans="18:20" x14ac:dyDescent="0.45">
      <c r="R5100" s="2">
        <v>67.760000000000005</v>
      </c>
      <c r="S5100" s="2">
        <v>1.8527439999999999E-2</v>
      </c>
      <c r="T5100" s="2">
        <v>1.0571199999999999E-2</v>
      </c>
    </row>
    <row r="5101" spans="18:20" x14ac:dyDescent="0.45">
      <c r="R5101" s="2">
        <v>67.77</v>
      </c>
      <c r="S5101" s="2">
        <v>1.8547629999999999E-2</v>
      </c>
      <c r="T5101" s="2">
        <v>1.058165E-2</v>
      </c>
    </row>
    <row r="5102" spans="18:20" x14ac:dyDescent="0.45">
      <c r="R5102" s="2">
        <v>67.78</v>
      </c>
      <c r="S5102" s="2">
        <v>1.8567819999999999E-2</v>
      </c>
      <c r="T5102" s="2">
        <v>1.05921E-2</v>
      </c>
    </row>
    <row r="5103" spans="18:20" x14ac:dyDescent="0.45">
      <c r="R5103" s="2">
        <v>67.790000000000006</v>
      </c>
      <c r="S5103" s="2">
        <v>1.8588009999999999E-2</v>
      </c>
      <c r="T5103" s="2">
        <v>1.0602550000000001E-2</v>
      </c>
    </row>
    <row r="5104" spans="18:20" x14ac:dyDescent="0.45">
      <c r="R5104" s="2">
        <v>67.8</v>
      </c>
      <c r="S5104" s="2">
        <v>1.8608199999999998E-2</v>
      </c>
      <c r="T5104" s="2">
        <v>1.0612999999999999E-2</v>
      </c>
    </row>
    <row r="5105" spans="18:20" x14ac:dyDescent="0.45">
      <c r="R5105" s="2">
        <v>67.81</v>
      </c>
      <c r="S5105" s="2">
        <v>1.8628390000000002E-2</v>
      </c>
      <c r="T5105" s="2">
        <v>1.062345E-2</v>
      </c>
    </row>
    <row r="5106" spans="18:20" x14ac:dyDescent="0.45">
      <c r="R5106" s="2">
        <v>67.819999999999993</v>
      </c>
      <c r="S5106" s="2">
        <v>1.8648580000000001E-2</v>
      </c>
      <c r="T5106" s="2">
        <v>1.06339E-2</v>
      </c>
    </row>
    <row r="5107" spans="18:20" x14ac:dyDescent="0.45">
      <c r="R5107" s="2">
        <v>67.83</v>
      </c>
      <c r="S5107" s="2">
        <v>1.8668770000000001E-2</v>
      </c>
      <c r="T5107" s="2">
        <v>1.064435E-2</v>
      </c>
    </row>
    <row r="5108" spans="18:20" x14ac:dyDescent="0.45">
      <c r="R5108" s="2">
        <v>67.84</v>
      </c>
      <c r="S5108" s="2">
        <v>1.8688960000000001E-2</v>
      </c>
      <c r="T5108" s="2">
        <v>1.0654800000000001E-2</v>
      </c>
    </row>
    <row r="5109" spans="18:20" x14ac:dyDescent="0.45">
      <c r="R5109" s="2">
        <v>67.849999999999994</v>
      </c>
      <c r="S5109" s="2">
        <v>1.8709150000000001E-2</v>
      </c>
      <c r="T5109" s="2">
        <v>1.0665249999999999E-2</v>
      </c>
    </row>
    <row r="5110" spans="18:20" x14ac:dyDescent="0.45">
      <c r="R5110" s="2">
        <v>67.86</v>
      </c>
      <c r="S5110" s="2">
        <v>1.8729340000000001E-2</v>
      </c>
      <c r="T5110" s="2">
        <v>1.06757E-2</v>
      </c>
    </row>
    <row r="5111" spans="18:20" x14ac:dyDescent="0.45">
      <c r="R5111" s="2">
        <v>67.87</v>
      </c>
      <c r="S5111" s="2">
        <v>1.874953E-2</v>
      </c>
      <c r="T5111" s="2">
        <v>1.068615E-2</v>
      </c>
    </row>
    <row r="5112" spans="18:20" x14ac:dyDescent="0.45">
      <c r="R5112" s="2">
        <v>67.88</v>
      </c>
      <c r="S5112" s="2">
        <v>1.876972E-2</v>
      </c>
      <c r="T5112" s="2">
        <v>1.0696600000000001E-2</v>
      </c>
    </row>
    <row r="5113" spans="18:20" x14ac:dyDescent="0.45">
      <c r="R5113" s="2">
        <v>67.89</v>
      </c>
      <c r="S5113" s="2">
        <v>1.878991E-2</v>
      </c>
      <c r="T5113" s="2">
        <v>1.0707049999999999E-2</v>
      </c>
    </row>
    <row r="5114" spans="18:20" x14ac:dyDescent="0.45">
      <c r="R5114" s="2">
        <v>67.900000000000006</v>
      </c>
      <c r="S5114" s="2">
        <v>1.88101E-2</v>
      </c>
      <c r="T5114" s="2">
        <v>1.07175E-2</v>
      </c>
    </row>
    <row r="5115" spans="18:20" x14ac:dyDescent="0.45">
      <c r="R5115" s="2">
        <v>67.91</v>
      </c>
      <c r="S5115" s="2">
        <v>1.883029E-2</v>
      </c>
      <c r="T5115" s="2">
        <v>1.072795E-2</v>
      </c>
    </row>
    <row r="5116" spans="18:20" x14ac:dyDescent="0.45">
      <c r="R5116" s="2">
        <v>67.92</v>
      </c>
      <c r="S5116" s="2">
        <v>1.8850479999999999E-2</v>
      </c>
      <c r="T5116" s="2">
        <v>1.07384E-2</v>
      </c>
    </row>
    <row r="5117" spans="18:20" x14ac:dyDescent="0.45">
      <c r="R5117" s="2">
        <v>67.930000000000007</v>
      </c>
      <c r="S5117" s="2">
        <v>1.8870669999999999E-2</v>
      </c>
      <c r="T5117" s="2">
        <v>1.0748850000000001E-2</v>
      </c>
    </row>
    <row r="5118" spans="18:20" x14ac:dyDescent="0.45">
      <c r="R5118" s="2">
        <v>67.94</v>
      </c>
      <c r="S5118" s="2">
        <v>1.8890859999999999E-2</v>
      </c>
      <c r="T5118" s="2">
        <v>1.0759299999999999E-2</v>
      </c>
    </row>
    <row r="5119" spans="18:20" x14ac:dyDescent="0.45">
      <c r="R5119" s="2">
        <v>67.95</v>
      </c>
      <c r="S5119" s="2">
        <v>1.8911049999999999E-2</v>
      </c>
      <c r="T5119" s="2">
        <v>1.076975E-2</v>
      </c>
    </row>
    <row r="5120" spans="18:20" x14ac:dyDescent="0.45">
      <c r="R5120" s="2">
        <v>67.959999999999994</v>
      </c>
      <c r="S5120" s="2">
        <v>1.8931239999999998E-2</v>
      </c>
      <c r="T5120" s="2">
        <v>1.07802E-2</v>
      </c>
    </row>
    <row r="5121" spans="18:20" x14ac:dyDescent="0.45">
      <c r="R5121" s="2">
        <v>67.97</v>
      </c>
      <c r="S5121" s="2">
        <v>1.8951429999999998E-2</v>
      </c>
      <c r="T5121" s="2">
        <v>1.0790650000000001E-2</v>
      </c>
    </row>
    <row r="5122" spans="18:20" x14ac:dyDescent="0.45">
      <c r="R5122" s="2">
        <v>67.98</v>
      </c>
      <c r="S5122" s="2">
        <v>1.8971620000000002E-2</v>
      </c>
      <c r="T5122" s="2">
        <v>1.0801099999999999E-2</v>
      </c>
    </row>
    <row r="5123" spans="18:20" x14ac:dyDescent="0.45">
      <c r="R5123" s="2">
        <v>67.989999999999995</v>
      </c>
      <c r="S5123" s="2">
        <v>1.8991810000000001E-2</v>
      </c>
      <c r="T5123" s="2">
        <v>1.081155E-2</v>
      </c>
    </row>
    <row r="5124" spans="18:20" x14ac:dyDescent="0.45">
      <c r="R5124" s="2">
        <v>68</v>
      </c>
      <c r="S5124" s="2">
        <v>1.9012000000000001E-2</v>
      </c>
      <c r="T5124" s="2">
        <v>1.0822E-2</v>
      </c>
    </row>
    <row r="5125" spans="18:20" x14ac:dyDescent="0.45">
      <c r="R5125" s="2">
        <v>68.010000000000005</v>
      </c>
      <c r="S5125" s="2">
        <v>1.9034430000000001E-2</v>
      </c>
      <c r="T5125" s="2">
        <v>1.0833590000000001E-2</v>
      </c>
    </row>
    <row r="5126" spans="18:20" x14ac:dyDescent="0.45">
      <c r="R5126" s="2">
        <v>68.02</v>
      </c>
      <c r="S5126" s="2">
        <v>1.9056859999999998E-2</v>
      </c>
      <c r="T5126" s="2">
        <v>1.0845179999999999E-2</v>
      </c>
    </row>
    <row r="5127" spans="18:20" x14ac:dyDescent="0.45">
      <c r="R5127" s="2">
        <v>68.03</v>
      </c>
      <c r="S5127" s="2">
        <v>1.9079289999999999E-2</v>
      </c>
      <c r="T5127" s="2">
        <v>1.085677E-2</v>
      </c>
    </row>
    <row r="5128" spans="18:20" x14ac:dyDescent="0.45">
      <c r="R5128" s="2">
        <v>68.040000000000006</v>
      </c>
      <c r="S5128" s="2">
        <v>1.9101719999999999E-2</v>
      </c>
      <c r="T5128" s="2">
        <v>1.0868360000000001E-2</v>
      </c>
    </row>
    <row r="5129" spans="18:20" x14ac:dyDescent="0.45">
      <c r="R5129" s="2">
        <v>68.05</v>
      </c>
      <c r="S5129" s="2">
        <v>1.9124149999999999E-2</v>
      </c>
      <c r="T5129" s="2">
        <v>1.0879949999999999E-2</v>
      </c>
    </row>
    <row r="5130" spans="18:20" x14ac:dyDescent="0.45">
      <c r="R5130" s="2">
        <v>68.06</v>
      </c>
      <c r="S5130" s="2">
        <v>1.914658E-2</v>
      </c>
      <c r="T5130" s="2">
        <v>1.089154E-2</v>
      </c>
    </row>
    <row r="5131" spans="18:20" x14ac:dyDescent="0.45">
      <c r="R5131" s="2">
        <v>68.069999999999993</v>
      </c>
      <c r="S5131" s="2">
        <v>1.916901E-2</v>
      </c>
      <c r="T5131" s="2">
        <v>1.090313E-2</v>
      </c>
    </row>
    <row r="5132" spans="18:20" x14ac:dyDescent="0.45">
      <c r="R5132" s="2">
        <v>68.08</v>
      </c>
      <c r="S5132" s="2">
        <v>1.9191440000000001E-2</v>
      </c>
      <c r="T5132" s="2">
        <v>1.0914719999999999E-2</v>
      </c>
    </row>
    <row r="5133" spans="18:20" x14ac:dyDescent="0.45">
      <c r="R5133" s="2">
        <v>68.09</v>
      </c>
      <c r="S5133" s="2">
        <v>1.9213870000000001E-2</v>
      </c>
      <c r="T5133" s="2">
        <v>1.092631E-2</v>
      </c>
    </row>
    <row r="5134" spans="18:20" x14ac:dyDescent="0.45">
      <c r="R5134" s="2">
        <v>68.099999999999994</v>
      </c>
      <c r="S5134" s="2">
        <v>1.9236300000000001E-2</v>
      </c>
      <c r="T5134" s="2">
        <v>1.09379E-2</v>
      </c>
    </row>
    <row r="5135" spans="18:20" x14ac:dyDescent="0.45">
      <c r="R5135" s="2">
        <v>68.11</v>
      </c>
      <c r="S5135" s="2">
        <v>1.9258730000000002E-2</v>
      </c>
      <c r="T5135" s="2">
        <v>1.0949489999999999E-2</v>
      </c>
    </row>
    <row r="5136" spans="18:20" x14ac:dyDescent="0.45">
      <c r="R5136" s="2">
        <v>68.12</v>
      </c>
      <c r="S5136" s="2">
        <v>1.9281159999999999E-2</v>
      </c>
      <c r="T5136" s="2">
        <v>1.096108E-2</v>
      </c>
    </row>
    <row r="5137" spans="18:20" x14ac:dyDescent="0.45">
      <c r="R5137" s="2">
        <v>68.13</v>
      </c>
      <c r="S5137" s="2">
        <v>1.9303589999999999E-2</v>
      </c>
      <c r="T5137" s="2">
        <v>1.097267E-2</v>
      </c>
    </row>
    <row r="5138" spans="18:20" x14ac:dyDescent="0.45">
      <c r="R5138" s="2">
        <v>68.14</v>
      </c>
      <c r="S5138" s="2">
        <v>1.9326019999999999E-2</v>
      </c>
      <c r="T5138" s="2">
        <v>1.0984259999999999E-2</v>
      </c>
    </row>
    <row r="5139" spans="18:20" x14ac:dyDescent="0.45">
      <c r="R5139" s="2">
        <v>68.150000000000006</v>
      </c>
      <c r="S5139" s="2">
        <v>1.934845E-2</v>
      </c>
      <c r="T5139" s="2">
        <v>1.099585E-2</v>
      </c>
    </row>
    <row r="5140" spans="18:20" x14ac:dyDescent="0.45">
      <c r="R5140" s="2">
        <v>68.16</v>
      </c>
      <c r="S5140" s="2">
        <v>1.937088E-2</v>
      </c>
      <c r="T5140" s="2">
        <v>1.100744E-2</v>
      </c>
    </row>
    <row r="5141" spans="18:20" x14ac:dyDescent="0.45">
      <c r="R5141" s="2">
        <v>68.17</v>
      </c>
      <c r="S5141" s="2">
        <v>1.939331E-2</v>
      </c>
      <c r="T5141" s="2">
        <v>1.1019030000000001E-2</v>
      </c>
    </row>
    <row r="5142" spans="18:20" x14ac:dyDescent="0.45">
      <c r="R5142" s="2">
        <v>68.180000000000007</v>
      </c>
      <c r="S5142" s="2">
        <v>1.9415740000000001E-2</v>
      </c>
      <c r="T5142" s="2">
        <v>1.103062E-2</v>
      </c>
    </row>
    <row r="5143" spans="18:20" x14ac:dyDescent="0.45">
      <c r="R5143" s="2">
        <v>68.19</v>
      </c>
      <c r="S5143" s="2">
        <v>1.9438170000000001E-2</v>
      </c>
      <c r="T5143" s="2">
        <v>1.104221E-2</v>
      </c>
    </row>
    <row r="5144" spans="18:20" x14ac:dyDescent="0.45">
      <c r="R5144" s="2">
        <v>68.2</v>
      </c>
      <c r="S5144" s="2">
        <v>1.9460600000000002E-2</v>
      </c>
      <c r="T5144" s="2">
        <v>1.1053800000000001E-2</v>
      </c>
    </row>
    <row r="5145" spans="18:20" x14ac:dyDescent="0.45">
      <c r="R5145" s="2">
        <v>68.209999999999994</v>
      </c>
      <c r="S5145" s="2">
        <v>1.9483029999999998E-2</v>
      </c>
      <c r="T5145" s="2">
        <v>1.106539E-2</v>
      </c>
    </row>
    <row r="5146" spans="18:20" x14ac:dyDescent="0.45">
      <c r="R5146" s="2">
        <v>68.22</v>
      </c>
      <c r="S5146" s="2">
        <v>1.9505459999999999E-2</v>
      </c>
      <c r="T5146" s="2">
        <v>1.107698E-2</v>
      </c>
    </row>
    <row r="5147" spans="18:20" x14ac:dyDescent="0.45">
      <c r="R5147" s="2">
        <v>68.23</v>
      </c>
      <c r="S5147" s="2">
        <v>1.9527889999999999E-2</v>
      </c>
      <c r="T5147" s="2">
        <v>1.1088570000000001E-2</v>
      </c>
    </row>
    <row r="5148" spans="18:20" x14ac:dyDescent="0.45">
      <c r="R5148" s="2">
        <v>68.239999999999995</v>
      </c>
      <c r="S5148" s="2">
        <v>1.955032E-2</v>
      </c>
      <c r="T5148" s="2">
        <v>1.110016E-2</v>
      </c>
    </row>
    <row r="5149" spans="18:20" x14ac:dyDescent="0.45">
      <c r="R5149" s="2">
        <v>68.25</v>
      </c>
      <c r="S5149" s="2">
        <v>1.957275E-2</v>
      </c>
      <c r="T5149" s="2">
        <v>1.111175E-2</v>
      </c>
    </row>
    <row r="5150" spans="18:20" x14ac:dyDescent="0.45">
      <c r="R5150" s="2">
        <v>68.260000000000005</v>
      </c>
      <c r="S5150" s="2">
        <v>1.959518E-2</v>
      </c>
      <c r="T5150" s="2">
        <v>1.1123340000000001E-2</v>
      </c>
    </row>
    <row r="5151" spans="18:20" x14ac:dyDescent="0.45">
      <c r="R5151" s="2">
        <v>68.27</v>
      </c>
      <c r="S5151" s="2">
        <v>1.9617610000000001E-2</v>
      </c>
      <c r="T5151" s="2">
        <v>1.1134929999999999E-2</v>
      </c>
    </row>
    <row r="5152" spans="18:20" x14ac:dyDescent="0.45">
      <c r="R5152" s="2">
        <v>68.28</v>
      </c>
      <c r="S5152" s="2">
        <v>1.9640040000000001E-2</v>
      </c>
      <c r="T5152" s="2">
        <v>1.114652E-2</v>
      </c>
    </row>
    <row r="5153" spans="18:20" x14ac:dyDescent="0.45">
      <c r="R5153" s="2">
        <v>68.290000000000006</v>
      </c>
      <c r="S5153" s="2">
        <v>1.9662470000000001E-2</v>
      </c>
      <c r="T5153" s="2">
        <v>1.1158110000000001E-2</v>
      </c>
    </row>
    <row r="5154" spans="18:20" x14ac:dyDescent="0.45">
      <c r="R5154" s="2">
        <v>68.3</v>
      </c>
      <c r="S5154" s="2">
        <v>1.9684900000000002E-2</v>
      </c>
      <c r="T5154" s="2">
        <v>1.1169699999999999E-2</v>
      </c>
    </row>
    <row r="5155" spans="18:20" x14ac:dyDescent="0.45">
      <c r="R5155" s="2">
        <v>68.31</v>
      </c>
      <c r="S5155" s="2">
        <v>1.9707329999999999E-2</v>
      </c>
      <c r="T5155" s="2">
        <v>1.118129E-2</v>
      </c>
    </row>
    <row r="5156" spans="18:20" x14ac:dyDescent="0.45">
      <c r="R5156" s="2">
        <v>68.319999999999993</v>
      </c>
      <c r="S5156" s="2">
        <v>1.9729759999999999E-2</v>
      </c>
      <c r="T5156" s="2">
        <v>1.1192880000000001E-2</v>
      </c>
    </row>
    <row r="5157" spans="18:20" x14ac:dyDescent="0.45">
      <c r="R5157" s="2">
        <v>68.33</v>
      </c>
      <c r="S5157" s="2">
        <v>1.9752189999999999E-2</v>
      </c>
      <c r="T5157" s="2">
        <v>1.1204469999999999E-2</v>
      </c>
    </row>
    <row r="5158" spans="18:20" x14ac:dyDescent="0.45">
      <c r="R5158" s="2">
        <v>68.34</v>
      </c>
      <c r="S5158" s="2">
        <v>1.977462E-2</v>
      </c>
      <c r="T5158" s="2">
        <v>1.121606E-2</v>
      </c>
    </row>
    <row r="5159" spans="18:20" x14ac:dyDescent="0.45">
      <c r="R5159" s="2">
        <v>68.349999999999994</v>
      </c>
      <c r="S5159" s="2">
        <v>1.979705E-2</v>
      </c>
      <c r="T5159" s="2">
        <v>1.122765E-2</v>
      </c>
    </row>
    <row r="5160" spans="18:20" x14ac:dyDescent="0.45">
      <c r="R5160" s="2">
        <v>68.36</v>
      </c>
      <c r="S5160" s="2">
        <v>1.981948E-2</v>
      </c>
      <c r="T5160" s="2">
        <v>1.1239239999999999E-2</v>
      </c>
    </row>
    <row r="5161" spans="18:20" x14ac:dyDescent="0.45">
      <c r="R5161" s="2">
        <v>68.37</v>
      </c>
      <c r="S5161" s="2">
        <v>1.9841910000000001E-2</v>
      </c>
      <c r="T5161" s="2">
        <v>1.125083E-2</v>
      </c>
    </row>
    <row r="5162" spans="18:20" x14ac:dyDescent="0.45">
      <c r="R5162" s="2">
        <v>68.38</v>
      </c>
      <c r="S5162" s="2">
        <v>1.9864340000000001E-2</v>
      </c>
      <c r="T5162" s="2">
        <v>1.126242E-2</v>
      </c>
    </row>
    <row r="5163" spans="18:20" x14ac:dyDescent="0.45">
      <c r="R5163" s="2">
        <v>68.39</v>
      </c>
      <c r="S5163" s="2">
        <v>1.9886770000000002E-2</v>
      </c>
      <c r="T5163" s="2">
        <v>1.1274009999999999E-2</v>
      </c>
    </row>
    <row r="5164" spans="18:20" x14ac:dyDescent="0.45">
      <c r="R5164" s="2">
        <v>68.400000000000006</v>
      </c>
      <c r="S5164" s="2">
        <v>1.9909199999999998E-2</v>
      </c>
      <c r="T5164" s="2">
        <v>1.12856E-2</v>
      </c>
    </row>
    <row r="5165" spans="18:20" x14ac:dyDescent="0.45">
      <c r="R5165" s="2">
        <v>68.41</v>
      </c>
      <c r="S5165" s="2">
        <v>1.9931629999999999E-2</v>
      </c>
      <c r="T5165" s="2">
        <v>1.129719E-2</v>
      </c>
    </row>
    <row r="5166" spans="18:20" x14ac:dyDescent="0.45">
      <c r="R5166" s="2">
        <v>68.42</v>
      </c>
      <c r="S5166" s="2">
        <v>1.9954059999999999E-2</v>
      </c>
      <c r="T5166" s="2">
        <v>1.1308779999999999E-2</v>
      </c>
    </row>
    <row r="5167" spans="18:20" x14ac:dyDescent="0.45">
      <c r="R5167" s="2">
        <v>68.430000000000007</v>
      </c>
      <c r="S5167" s="2">
        <v>1.997649E-2</v>
      </c>
      <c r="T5167" s="2">
        <v>1.132037E-2</v>
      </c>
    </row>
    <row r="5168" spans="18:20" x14ac:dyDescent="0.45">
      <c r="R5168" s="2">
        <v>68.44</v>
      </c>
      <c r="S5168" s="2">
        <v>1.999892E-2</v>
      </c>
      <c r="T5168" s="2">
        <v>1.133196E-2</v>
      </c>
    </row>
    <row r="5169" spans="18:20" x14ac:dyDescent="0.45">
      <c r="R5169" s="2">
        <v>68.45</v>
      </c>
      <c r="S5169" s="2">
        <v>2.002135E-2</v>
      </c>
      <c r="T5169" s="2">
        <v>1.1343550000000001E-2</v>
      </c>
    </row>
    <row r="5170" spans="18:20" x14ac:dyDescent="0.45">
      <c r="R5170" s="2">
        <v>68.459999999999994</v>
      </c>
      <c r="S5170" s="2">
        <v>2.0043780000000001E-2</v>
      </c>
      <c r="T5170" s="2">
        <v>1.135514E-2</v>
      </c>
    </row>
    <row r="5171" spans="18:20" x14ac:dyDescent="0.45">
      <c r="R5171" s="2">
        <v>68.47</v>
      </c>
      <c r="S5171" s="2">
        <v>2.0066210000000001E-2</v>
      </c>
      <c r="T5171" s="2">
        <v>1.136673E-2</v>
      </c>
    </row>
    <row r="5172" spans="18:20" x14ac:dyDescent="0.45">
      <c r="R5172" s="2">
        <v>68.48</v>
      </c>
      <c r="S5172" s="2">
        <v>2.0088640000000001E-2</v>
      </c>
      <c r="T5172" s="2">
        <v>1.1378320000000001E-2</v>
      </c>
    </row>
    <row r="5173" spans="18:20" x14ac:dyDescent="0.45">
      <c r="R5173" s="2">
        <v>68.489999999999995</v>
      </c>
      <c r="S5173" s="2">
        <v>2.0111070000000002E-2</v>
      </c>
      <c r="T5173" s="2">
        <v>1.138991E-2</v>
      </c>
    </row>
    <row r="5174" spans="18:20" x14ac:dyDescent="0.45">
      <c r="R5174" s="2">
        <v>68.5</v>
      </c>
      <c r="S5174" s="2">
        <v>2.0133499999999999E-2</v>
      </c>
      <c r="T5174" s="2">
        <v>1.14015E-2</v>
      </c>
    </row>
    <row r="5175" spans="18:20" x14ac:dyDescent="0.45">
      <c r="R5175" s="2">
        <v>68.510000000000005</v>
      </c>
      <c r="S5175" s="2">
        <v>2.0155929999999999E-2</v>
      </c>
      <c r="T5175" s="2">
        <v>1.1413090000000001E-2</v>
      </c>
    </row>
    <row r="5176" spans="18:20" x14ac:dyDescent="0.45">
      <c r="R5176" s="2">
        <v>68.52</v>
      </c>
      <c r="S5176" s="2">
        <v>2.0178359999999999E-2</v>
      </c>
      <c r="T5176" s="2">
        <v>1.142468E-2</v>
      </c>
    </row>
    <row r="5177" spans="18:20" x14ac:dyDescent="0.45">
      <c r="R5177" s="2">
        <v>68.53</v>
      </c>
      <c r="S5177" s="2">
        <v>2.020079E-2</v>
      </c>
      <c r="T5177" s="2">
        <v>1.143627E-2</v>
      </c>
    </row>
    <row r="5178" spans="18:20" x14ac:dyDescent="0.45">
      <c r="R5178" s="2">
        <v>68.540000000000006</v>
      </c>
      <c r="S5178" s="2">
        <v>2.022322E-2</v>
      </c>
      <c r="T5178" s="2">
        <v>1.1447860000000001E-2</v>
      </c>
    </row>
    <row r="5179" spans="18:20" x14ac:dyDescent="0.45">
      <c r="R5179" s="2">
        <v>68.55</v>
      </c>
      <c r="S5179" s="2">
        <v>2.024565E-2</v>
      </c>
      <c r="T5179" s="2">
        <v>1.1459449999999999E-2</v>
      </c>
    </row>
    <row r="5180" spans="18:20" x14ac:dyDescent="0.45">
      <c r="R5180" s="2">
        <v>68.56</v>
      </c>
      <c r="S5180" s="2">
        <v>2.0268080000000001E-2</v>
      </c>
      <c r="T5180" s="2">
        <v>1.147104E-2</v>
      </c>
    </row>
    <row r="5181" spans="18:20" x14ac:dyDescent="0.45">
      <c r="R5181" s="2">
        <v>68.569999999999993</v>
      </c>
      <c r="S5181" s="2">
        <v>2.0290510000000001E-2</v>
      </c>
      <c r="T5181" s="2">
        <v>1.1482630000000001E-2</v>
      </c>
    </row>
    <row r="5182" spans="18:20" x14ac:dyDescent="0.45">
      <c r="R5182" s="2">
        <v>68.58</v>
      </c>
      <c r="S5182" s="2">
        <v>2.0312940000000002E-2</v>
      </c>
      <c r="T5182" s="2">
        <v>1.1494219999999999E-2</v>
      </c>
    </row>
    <row r="5183" spans="18:20" x14ac:dyDescent="0.45">
      <c r="R5183" s="2">
        <v>68.59</v>
      </c>
      <c r="S5183" s="2">
        <v>2.0335369999999998E-2</v>
      </c>
      <c r="T5183" s="2">
        <v>1.150581E-2</v>
      </c>
    </row>
    <row r="5184" spans="18:20" x14ac:dyDescent="0.45">
      <c r="R5184" s="2">
        <v>68.599999999999994</v>
      </c>
      <c r="S5184" s="2">
        <v>2.0357799999999999E-2</v>
      </c>
      <c r="T5184" s="2">
        <v>1.1517400000000001E-2</v>
      </c>
    </row>
    <row r="5185" spans="18:20" x14ac:dyDescent="0.45">
      <c r="R5185" s="2">
        <v>68.61</v>
      </c>
      <c r="S5185" s="2">
        <v>2.0380229999999999E-2</v>
      </c>
      <c r="T5185" s="2">
        <v>1.1528989999999999E-2</v>
      </c>
    </row>
    <row r="5186" spans="18:20" x14ac:dyDescent="0.45">
      <c r="R5186" s="2">
        <v>68.62</v>
      </c>
      <c r="S5186" s="2">
        <v>2.040266E-2</v>
      </c>
      <c r="T5186" s="2">
        <v>1.154058E-2</v>
      </c>
    </row>
    <row r="5187" spans="18:20" x14ac:dyDescent="0.45">
      <c r="R5187" s="2">
        <v>68.63</v>
      </c>
      <c r="S5187" s="2">
        <v>2.042509E-2</v>
      </c>
      <c r="T5187" s="2">
        <v>1.155217E-2</v>
      </c>
    </row>
    <row r="5188" spans="18:20" x14ac:dyDescent="0.45">
      <c r="R5188" s="2">
        <v>68.64</v>
      </c>
      <c r="S5188" s="2">
        <v>2.044752E-2</v>
      </c>
      <c r="T5188" s="2">
        <v>1.1563759999999999E-2</v>
      </c>
    </row>
    <row r="5189" spans="18:20" x14ac:dyDescent="0.45">
      <c r="R5189" s="2">
        <v>68.650000000000006</v>
      </c>
      <c r="S5189" s="2">
        <v>2.0469950000000001E-2</v>
      </c>
      <c r="T5189" s="2">
        <v>1.157535E-2</v>
      </c>
    </row>
    <row r="5190" spans="18:20" x14ac:dyDescent="0.45">
      <c r="R5190" s="2">
        <v>68.66</v>
      </c>
      <c r="S5190" s="2">
        <v>2.0492380000000001E-2</v>
      </c>
      <c r="T5190" s="2">
        <v>1.158694E-2</v>
      </c>
    </row>
    <row r="5191" spans="18:20" x14ac:dyDescent="0.45">
      <c r="R5191" s="2">
        <v>68.67</v>
      </c>
      <c r="S5191" s="2">
        <v>2.0514810000000001E-2</v>
      </c>
      <c r="T5191" s="2">
        <v>1.1598529999999999E-2</v>
      </c>
    </row>
    <row r="5192" spans="18:20" x14ac:dyDescent="0.45">
      <c r="R5192" s="2">
        <v>68.680000000000007</v>
      </c>
      <c r="S5192" s="2">
        <v>2.0537239999999998E-2</v>
      </c>
      <c r="T5192" s="2">
        <v>1.161012E-2</v>
      </c>
    </row>
    <row r="5193" spans="18:20" x14ac:dyDescent="0.45">
      <c r="R5193" s="2">
        <v>68.69</v>
      </c>
      <c r="S5193" s="2">
        <v>2.0559669999999999E-2</v>
      </c>
      <c r="T5193" s="2">
        <v>1.162171E-2</v>
      </c>
    </row>
    <row r="5194" spans="18:20" x14ac:dyDescent="0.45">
      <c r="R5194" s="2">
        <v>68.7</v>
      </c>
      <c r="S5194" s="2">
        <v>2.0582099999999999E-2</v>
      </c>
      <c r="T5194" s="2">
        <v>1.1633299999999999E-2</v>
      </c>
    </row>
    <row r="5195" spans="18:20" x14ac:dyDescent="0.45">
      <c r="R5195" s="2">
        <v>68.709999999999994</v>
      </c>
      <c r="S5195" s="2">
        <v>2.0604529999999999E-2</v>
      </c>
      <c r="T5195" s="2">
        <v>1.164489E-2</v>
      </c>
    </row>
    <row r="5196" spans="18:20" x14ac:dyDescent="0.45">
      <c r="R5196" s="2">
        <v>68.72</v>
      </c>
      <c r="S5196" s="2">
        <v>2.062696E-2</v>
      </c>
      <c r="T5196" s="2">
        <v>1.165648E-2</v>
      </c>
    </row>
    <row r="5197" spans="18:20" x14ac:dyDescent="0.45">
      <c r="R5197" s="2">
        <v>68.73</v>
      </c>
      <c r="S5197" s="2">
        <v>2.064939E-2</v>
      </c>
      <c r="T5197" s="2">
        <v>1.1668069999999999E-2</v>
      </c>
    </row>
    <row r="5198" spans="18:20" x14ac:dyDescent="0.45">
      <c r="R5198" s="2">
        <v>68.739999999999995</v>
      </c>
      <c r="S5198" s="2">
        <v>2.067182E-2</v>
      </c>
      <c r="T5198" s="2">
        <v>1.167966E-2</v>
      </c>
    </row>
    <row r="5199" spans="18:20" x14ac:dyDescent="0.45">
      <c r="R5199" s="2">
        <v>68.75</v>
      </c>
      <c r="S5199" s="2">
        <v>2.0694250000000001E-2</v>
      </c>
      <c r="T5199" s="2">
        <v>1.169125E-2</v>
      </c>
    </row>
    <row r="5200" spans="18:20" x14ac:dyDescent="0.45">
      <c r="R5200" s="2">
        <v>68.760000000000005</v>
      </c>
      <c r="S5200" s="2">
        <v>2.0716680000000001E-2</v>
      </c>
      <c r="T5200" s="2">
        <v>1.1702840000000001E-2</v>
      </c>
    </row>
    <row r="5201" spans="18:20" x14ac:dyDescent="0.45">
      <c r="R5201" s="2">
        <v>68.77</v>
      </c>
      <c r="S5201" s="2">
        <v>2.0739110000000002E-2</v>
      </c>
      <c r="T5201" s="2">
        <v>1.171443E-2</v>
      </c>
    </row>
    <row r="5202" spans="18:20" x14ac:dyDescent="0.45">
      <c r="R5202" s="2">
        <v>68.78</v>
      </c>
      <c r="S5202" s="2">
        <v>2.0761539999999998E-2</v>
      </c>
      <c r="T5202" s="2">
        <v>1.172602E-2</v>
      </c>
    </row>
    <row r="5203" spans="18:20" x14ac:dyDescent="0.45">
      <c r="R5203" s="2">
        <v>68.790000000000006</v>
      </c>
      <c r="S5203" s="2">
        <v>2.0783969999999999E-2</v>
      </c>
      <c r="T5203" s="2">
        <v>1.1737610000000001E-2</v>
      </c>
    </row>
    <row r="5204" spans="18:20" x14ac:dyDescent="0.45">
      <c r="R5204" s="2">
        <v>68.8</v>
      </c>
      <c r="S5204" s="2">
        <v>2.0806399999999999E-2</v>
      </c>
      <c r="T5204" s="2">
        <v>1.17492E-2</v>
      </c>
    </row>
    <row r="5205" spans="18:20" x14ac:dyDescent="0.45">
      <c r="R5205" s="2">
        <v>68.81</v>
      </c>
      <c r="S5205" s="2">
        <v>2.082883E-2</v>
      </c>
      <c r="T5205" s="2">
        <v>1.176079E-2</v>
      </c>
    </row>
    <row r="5206" spans="18:20" x14ac:dyDescent="0.45">
      <c r="R5206" s="2">
        <v>68.819999999999993</v>
      </c>
      <c r="S5206" s="2">
        <v>2.085126E-2</v>
      </c>
      <c r="T5206" s="2">
        <v>1.1772380000000001E-2</v>
      </c>
    </row>
    <row r="5207" spans="18:20" x14ac:dyDescent="0.45">
      <c r="R5207" s="2">
        <v>68.83</v>
      </c>
      <c r="S5207" s="2">
        <v>2.087369E-2</v>
      </c>
      <c r="T5207" s="2">
        <v>1.178397E-2</v>
      </c>
    </row>
    <row r="5208" spans="18:20" x14ac:dyDescent="0.45">
      <c r="R5208" s="2">
        <v>68.84</v>
      </c>
      <c r="S5208" s="2">
        <v>2.0896120000000001E-2</v>
      </c>
      <c r="T5208" s="2">
        <v>1.179556E-2</v>
      </c>
    </row>
    <row r="5209" spans="18:20" x14ac:dyDescent="0.45">
      <c r="R5209" s="2">
        <v>68.849999999999994</v>
      </c>
      <c r="S5209" s="2">
        <v>2.0918550000000001E-2</v>
      </c>
      <c r="T5209" s="2">
        <v>1.1807150000000001E-2</v>
      </c>
    </row>
    <row r="5210" spans="18:20" x14ac:dyDescent="0.45">
      <c r="R5210" s="2">
        <v>68.86</v>
      </c>
      <c r="S5210" s="2">
        <v>2.0940980000000001E-2</v>
      </c>
      <c r="T5210" s="2">
        <v>1.1818739999999999E-2</v>
      </c>
    </row>
    <row r="5211" spans="18:20" x14ac:dyDescent="0.45">
      <c r="R5211" s="2">
        <v>68.87</v>
      </c>
      <c r="S5211" s="2">
        <v>2.0963409999999998E-2</v>
      </c>
      <c r="T5211" s="2">
        <v>1.183033E-2</v>
      </c>
    </row>
    <row r="5212" spans="18:20" x14ac:dyDescent="0.45">
      <c r="R5212" s="2">
        <v>68.88</v>
      </c>
      <c r="S5212" s="2">
        <v>2.0985839999999999E-2</v>
      </c>
      <c r="T5212" s="2">
        <v>1.1841920000000001E-2</v>
      </c>
    </row>
    <row r="5213" spans="18:20" x14ac:dyDescent="0.45">
      <c r="R5213" s="2">
        <v>68.89</v>
      </c>
      <c r="S5213" s="2">
        <v>2.1008269999999999E-2</v>
      </c>
      <c r="T5213" s="2">
        <v>1.1853509999999999E-2</v>
      </c>
    </row>
    <row r="5214" spans="18:20" x14ac:dyDescent="0.45">
      <c r="R5214" s="2">
        <v>68.900000000000006</v>
      </c>
      <c r="S5214" s="2">
        <v>2.1030699999999999E-2</v>
      </c>
      <c r="T5214" s="2">
        <v>1.18651E-2</v>
      </c>
    </row>
    <row r="5215" spans="18:20" x14ac:dyDescent="0.45">
      <c r="R5215" s="2">
        <v>68.91</v>
      </c>
      <c r="S5215" s="2">
        <v>2.105313E-2</v>
      </c>
      <c r="T5215" s="2">
        <v>1.1876690000000001E-2</v>
      </c>
    </row>
    <row r="5216" spans="18:20" x14ac:dyDescent="0.45">
      <c r="R5216" s="2">
        <v>68.92</v>
      </c>
      <c r="S5216" s="2">
        <v>2.107556E-2</v>
      </c>
      <c r="T5216" s="2">
        <v>1.1888279999999999E-2</v>
      </c>
    </row>
    <row r="5217" spans="18:20" x14ac:dyDescent="0.45">
      <c r="R5217" s="2">
        <v>68.930000000000007</v>
      </c>
      <c r="S5217" s="2">
        <v>2.109799E-2</v>
      </c>
      <c r="T5217" s="2">
        <v>1.189987E-2</v>
      </c>
    </row>
    <row r="5218" spans="18:20" x14ac:dyDescent="0.45">
      <c r="R5218" s="2">
        <v>68.94</v>
      </c>
      <c r="S5218" s="2">
        <v>2.1120420000000001E-2</v>
      </c>
      <c r="T5218" s="2">
        <v>1.191146E-2</v>
      </c>
    </row>
    <row r="5219" spans="18:20" x14ac:dyDescent="0.45">
      <c r="R5219" s="2">
        <v>68.95</v>
      </c>
      <c r="S5219" s="2">
        <v>2.1142850000000001E-2</v>
      </c>
      <c r="T5219" s="2">
        <v>1.1923049999999999E-2</v>
      </c>
    </row>
    <row r="5220" spans="18:20" x14ac:dyDescent="0.45">
      <c r="R5220" s="2">
        <v>68.959999999999994</v>
      </c>
      <c r="S5220" s="2">
        <v>2.1165280000000002E-2</v>
      </c>
      <c r="T5220" s="2">
        <v>1.193464E-2</v>
      </c>
    </row>
    <row r="5221" spans="18:20" x14ac:dyDescent="0.45">
      <c r="R5221" s="2">
        <v>68.97</v>
      </c>
      <c r="S5221" s="2">
        <v>2.1187709999999998E-2</v>
      </c>
      <c r="T5221" s="2">
        <v>1.194623E-2</v>
      </c>
    </row>
    <row r="5222" spans="18:20" x14ac:dyDescent="0.45">
      <c r="R5222" s="2">
        <v>68.98</v>
      </c>
      <c r="S5222" s="2">
        <v>2.1210139999999999E-2</v>
      </c>
      <c r="T5222" s="2">
        <v>1.1957819999999999E-2</v>
      </c>
    </row>
    <row r="5223" spans="18:20" x14ac:dyDescent="0.45">
      <c r="R5223" s="2">
        <v>68.989999999999995</v>
      </c>
      <c r="S5223" s="2">
        <v>2.1232569999999999E-2</v>
      </c>
      <c r="T5223" s="2">
        <v>1.196941E-2</v>
      </c>
    </row>
    <row r="5224" spans="18:20" x14ac:dyDescent="0.45">
      <c r="R5224" s="2">
        <v>69</v>
      </c>
      <c r="S5224" s="2">
        <v>2.1255E-2</v>
      </c>
      <c r="T5224" s="2">
        <v>1.1981E-2</v>
      </c>
    </row>
    <row r="5225" spans="18:20" x14ac:dyDescent="0.45">
      <c r="R5225" s="2">
        <v>69.010000000000005</v>
      </c>
      <c r="S5225" s="2">
        <v>2.1279860000000001E-2</v>
      </c>
      <c r="T5225" s="2">
        <v>1.199384E-2</v>
      </c>
    </row>
    <row r="5226" spans="18:20" x14ac:dyDescent="0.45">
      <c r="R5226" s="2">
        <v>69.02</v>
      </c>
      <c r="S5226" s="2">
        <v>2.1304719999999999E-2</v>
      </c>
      <c r="T5226" s="2">
        <v>1.200668E-2</v>
      </c>
    </row>
    <row r="5227" spans="18:20" x14ac:dyDescent="0.45">
      <c r="R5227" s="2">
        <v>69.03</v>
      </c>
      <c r="S5227" s="2">
        <v>2.1329580000000001E-2</v>
      </c>
      <c r="T5227" s="2">
        <v>1.2019520000000001E-2</v>
      </c>
    </row>
    <row r="5228" spans="18:20" x14ac:dyDescent="0.45">
      <c r="R5228" s="2">
        <v>69.040000000000006</v>
      </c>
      <c r="S5228" s="2">
        <v>2.1354439999999999E-2</v>
      </c>
      <c r="T5228" s="2">
        <v>1.2032360000000001E-2</v>
      </c>
    </row>
    <row r="5229" spans="18:20" x14ac:dyDescent="0.45">
      <c r="R5229" s="2">
        <v>69.05</v>
      </c>
      <c r="S5229" s="2">
        <v>2.13793E-2</v>
      </c>
      <c r="T5229" s="2">
        <v>1.2045200000000001E-2</v>
      </c>
    </row>
    <row r="5230" spans="18:20" x14ac:dyDescent="0.45">
      <c r="R5230" s="2">
        <v>69.06</v>
      </c>
      <c r="S5230" s="2">
        <v>2.1404159999999998E-2</v>
      </c>
      <c r="T5230" s="2">
        <v>1.2058040000000001E-2</v>
      </c>
    </row>
    <row r="5231" spans="18:20" x14ac:dyDescent="0.45">
      <c r="R5231" s="2">
        <v>69.069999999999993</v>
      </c>
      <c r="S5231" s="2">
        <v>2.142902E-2</v>
      </c>
      <c r="T5231" s="2">
        <v>1.2070880000000001E-2</v>
      </c>
    </row>
    <row r="5232" spans="18:20" x14ac:dyDescent="0.45">
      <c r="R5232" s="2">
        <v>69.08</v>
      </c>
      <c r="S5232" s="2">
        <v>2.1453880000000002E-2</v>
      </c>
      <c r="T5232" s="2">
        <v>1.2083719999999999E-2</v>
      </c>
    </row>
    <row r="5233" spans="18:20" x14ac:dyDescent="0.45">
      <c r="R5233" s="2">
        <v>69.09</v>
      </c>
      <c r="S5233" s="2">
        <v>2.147874E-2</v>
      </c>
      <c r="T5233" s="2">
        <v>1.2096559999999999E-2</v>
      </c>
    </row>
    <row r="5234" spans="18:20" x14ac:dyDescent="0.45">
      <c r="R5234" s="2">
        <v>69.099999999999994</v>
      </c>
      <c r="S5234" s="2">
        <v>2.1503600000000001E-2</v>
      </c>
      <c r="T5234" s="2">
        <v>1.2109399999999999E-2</v>
      </c>
    </row>
    <row r="5235" spans="18:20" x14ac:dyDescent="0.45">
      <c r="R5235" s="2">
        <v>69.11</v>
      </c>
      <c r="S5235" s="2">
        <v>2.1528459999999999E-2</v>
      </c>
      <c r="T5235" s="2">
        <v>1.2122239999999999E-2</v>
      </c>
    </row>
    <row r="5236" spans="18:20" x14ac:dyDescent="0.45">
      <c r="R5236" s="2">
        <v>69.12</v>
      </c>
      <c r="S5236" s="2">
        <v>2.1553320000000001E-2</v>
      </c>
      <c r="T5236" s="2">
        <v>1.2135079999999999E-2</v>
      </c>
    </row>
    <row r="5237" spans="18:20" x14ac:dyDescent="0.45">
      <c r="R5237" s="2">
        <v>69.13</v>
      </c>
      <c r="S5237" s="2">
        <v>2.1578179999999999E-2</v>
      </c>
      <c r="T5237" s="2">
        <v>1.214792E-2</v>
      </c>
    </row>
    <row r="5238" spans="18:20" x14ac:dyDescent="0.45">
      <c r="R5238" s="2">
        <v>69.14</v>
      </c>
      <c r="S5238" s="2">
        <v>2.160304E-2</v>
      </c>
      <c r="T5238" s="2">
        <v>1.216076E-2</v>
      </c>
    </row>
    <row r="5239" spans="18:20" x14ac:dyDescent="0.45">
      <c r="R5239" s="2">
        <v>69.150000000000006</v>
      </c>
      <c r="S5239" s="2">
        <v>2.1627899999999999E-2</v>
      </c>
      <c r="T5239" s="2">
        <v>1.21736E-2</v>
      </c>
    </row>
    <row r="5240" spans="18:20" x14ac:dyDescent="0.45">
      <c r="R5240" s="2">
        <v>69.16</v>
      </c>
      <c r="S5240" s="2">
        <v>2.165276E-2</v>
      </c>
      <c r="T5240" s="2">
        <v>1.218644E-2</v>
      </c>
    </row>
    <row r="5241" spans="18:20" x14ac:dyDescent="0.45">
      <c r="R5241" s="2">
        <v>69.17</v>
      </c>
      <c r="S5241" s="2">
        <v>2.1677620000000002E-2</v>
      </c>
      <c r="T5241" s="2">
        <v>1.219928E-2</v>
      </c>
    </row>
    <row r="5242" spans="18:20" x14ac:dyDescent="0.45">
      <c r="R5242" s="2">
        <v>69.180000000000007</v>
      </c>
      <c r="S5242" s="2">
        <v>2.170248E-2</v>
      </c>
      <c r="T5242" s="2">
        <v>1.221212E-2</v>
      </c>
    </row>
    <row r="5243" spans="18:20" x14ac:dyDescent="0.45">
      <c r="R5243" s="2">
        <v>69.19</v>
      </c>
      <c r="S5243" s="2">
        <v>2.1727340000000001E-2</v>
      </c>
      <c r="T5243" s="2">
        <v>1.222496E-2</v>
      </c>
    </row>
    <row r="5244" spans="18:20" x14ac:dyDescent="0.45">
      <c r="R5244" s="2">
        <v>69.2</v>
      </c>
      <c r="S5244" s="2">
        <v>2.1752199999999999E-2</v>
      </c>
      <c r="T5244" s="2">
        <v>1.22378E-2</v>
      </c>
    </row>
    <row r="5245" spans="18:20" x14ac:dyDescent="0.45">
      <c r="R5245" s="2">
        <v>69.209999999999994</v>
      </c>
      <c r="S5245" s="2">
        <v>2.1777060000000001E-2</v>
      </c>
      <c r="T5245" s="2">
        <v>1.225064E-2</v>
      </c>
    </row>
    <row r="5246" spans="18:20" x14ac:dyDescent="0.45">
      <c r="R5246" s="2">
        <v>69.22</v>
      </c>
      <c r="S5246" s="2">
        <v>2.1801919999999999E-2</v>
      </c>
      <c r="T5246" s="2">
        <v>1.226348E-2</v>
      </c>
    </row>
    <row r="5247" spans="18:20" x14ac:dyDescent="0.45">
      <c r="R5247" s="2">
        <v>69.23</v>
      </c>
      <c r="S5247" s="2">
        <v>2.182678E-2</v>
      </c>
      <c r="T5247" s="2">
        <v>1.227632E-2</v>
      </c>
    </row>
    <row r="5248" spans="18:20" x14ac:dyDescent="0.45">
      <c r="R5248" s="2">
        <v>69.239999999999995</v>
      </c>
      <c r="S5248" s="2">
        <v>2.1851639999999999E-2</v>
      </c>
      <c r="T5248" s="2">
        <v>1.228916E-2</v>
      </c>
    </row>
    <row r="5249" spans="18:20" x14ac:dyDescent="0.45">
      <c r="R5249" s="2">
        <v>69.25</v>
      </c>
      <c r="S5249" s="2">
        <v>2.18765E-2</v>
      </c>
      <c r="T5249" s="2">
        <v>1.2302E-2</v>
      </c>
    </row>
    <row r="5250" spans="18:20" x14ac:dyDescent="0.45">
      <c r="R5250" s="2">
        <v>69.260000000000005</v>
      </c>
      <c r="S5250" s="2">
        <v>2.1901360000000002E-2</v>
      </c>
      <c r="T5250" s="2">
        <v>1.2314840000000001E-2</v>
      </c>
    </row>
    <row r="5251" spans="18:20" x14ac:dyDescent="0.45">
      <c r="R5251" s="2">
        <v>69.27</v>
      </c>
      <c r="S5251" s="2">
        <v>2.192622E-2</v>
      </c>
      <c r="T5251" s="2">
        <v>1.2327680000000001E-2</v>
      </c>
    </row>
    <row r="5252" spans="18:20" x14ac:dyDescent="0.45">
      <c r="R5252" s="2">
        <v>69.28</v>
      </c>
      <c r="S5252" s="2">
        <v>2.1951080000000001E-2</v>
      </c>
      <c r="T5252" s="2">
        <v>1.2340520000000001E-2</v>
      </c>
    </row>
    <row r="5253" spans="18:20" x14ac:dyDescent="0.45">
      <c r="R5253" s="2">
        <v>69.290000000000006</v>
      </c>
      <c r="S5253" s="2">
        <v>2.1975939999999999E-2</v>
      </c>
      <c r="T5253" s="2">
        <v>1.2353360000000001E-2</v>
      </c>
    </row>
    <row r="5254" spans="18:20" x14ac:dyDescent="0.45">
      <c r="R5254" s="2">
        <v>69.3</v>
      </c>
      <c r="S5254" s="2">
        <v>2.2000800000000001E-2</v>
      </c>
      <c r="T5254" s="2">
        <v>1.2366200000000001E-2</v>
      </c>
    </row>
    <row r="5255" spans="18:20" x14ac:dyDescent="0.45">
      <c r="R5255" s="2">
        <v>69.31</v>
      </c>
      <c r="S5255" s="2">
        <v>2.2025659999999999E-2</v>
      </c>
      <c r="T5255" s="2">
        <v>1.2379039999999999E-2</v>
      </c>
    </row>
    <row r="5256" spans="18:20" x14ac:dyDescent="0.45">
      <c r="R5256" s="2">
        <v>69.319999999999993</v>
      </c>
      <c r="S5256" s="2">
        <v>2.2050520000000001E-2</v>
      </c>
      <c r="T5256" s="2">
        <v>1.2391879999999999E-2</v>
      </c>
    </row>
    <row r="5257" spans="18:20" x14ac:dyDescent="0.45">
      <c r="R5257" s="2">
        <v>69.33</v>
      </c>
      <c r="S5257" s="2">
        <v>2.2075379999999999E-2</v>
      </c>
      <c r="T5257" s="2">
        <v>1.2404719999999999E-2</v>
      </c>
    </row>
    <row r="5258" spans="18:20" x14ac:dyDescent="0.45">
      <c r="R5258" s="2">
        <v>69.34</v>
      </c>
      <c r="S5258" s="2">
        <v>2.210024E-2</v>
      </c>
      <c r="T5258" s="2">
        <v>1.2417559999999999E-2</v>
      </c>
    </row>
    <row r="5259" spans="18:20" x14ac:dyDescent="0.45">
      <c r="R5259" s="2">
        <v>69.349999999999994</v>
      </c>
      <c r="S5259" s="2">
        <v>2.2125100000000002E-2</v>
      </c>
      <c r="T5259" s="2">
        <v>1.2430399999999999E-2</v>
      </c>
    </row>
    <row r="5260" spans="18:20" x14ac:dyDescent="0.45">
      <c r="R5260" s="2">
        <v>69.36</v>
      </c>
      <c r="S5260" s="2">
        <v>2.214996E-2</v>
      </c>
      <c r="T5260" s="2">
        <v>1.244324E-2</v>
      </c>
    </row>
    <row r="5261" spans="18:20" x14ac:dyDescent="0.45">
      <c r="R5261" s="2">
        <v>69.37</v>
      </c>
      <c r="S5261" s="2">
        <v>2.2174820000000001E-2</v>
      </c>
      <c r="T5261" s="2">
        <v>1.245608E-2</v>
      </c>
    </row>
    <row r="5262" spans="18:20" x14ac:dyDescent="0.45">
      <c r="R5262" s="2">
        <v>69.38</v>
      </c>
      <c r="S5262" s="2">
        <v>2.2199679999999999E-2</v>
      </c>
      <c r="T5262" s="2">
        <v>1.246892E-2</v>
      </c>
    </row>
    <row r="5263" spans="18:20" x14ac:dyDescent="0.45">
      <c r="R5263" s="2">
        <v>69.39</v>
      </c>
      <c r="S5263" s="2">
        <v>2.2224540000000001E-2</v>
      </c>
      <c r="T5263" s="2">
        <v>1.248176E-2</v>
      </c>
    </row>
    <row r="5264" spans="18:20" x14ac:dyDescent="0.45">
      <c r="R5264" s="2">
        <v>69.400000000000006</v>
      </c>
      <c r="S5264" s="2">
        <v>2.2249399999999999E-2</v>
      </c>
      <c r="T5264" s="2">
        <v>1.24946E-2</v>
      </c>
    </row>
    <row r="5265" spans="18:20" x14ac:dyDescent="0.45">
      <c r="R5265" s="2">
        <v>69.41</v>
      </c>
      <c r="S5265" s="2">
        <v>2.2274260000000001E-2</v>
      </c>
      <c r="T5265" s="2">
        <v>1.250744E-2</v>
      </c>
    </row>
    <row r="5266" spans="18:20" x14ac:dyDescent="0.45">
      <c r="R5266" s="2">
        <v>69.42</v>
      </c>
      <c r="S5266" s="2">
        <v>2.2299119999999999E-2</v>
      </c>
      <c r="T5266" s="2">
        <v>1.252028E-2</v>
      </c>
    </row>
    <row r="5267" spans="18:20" x14ac:dyDescent="0.45">
      <c r="R5267" s="2">
        <v>69.430000000000007</v>
      </c>
      <c r="S5267" s="2">
        <v>2.232398E-2</v>
      </c>
      <c r="T5267" s="2">
        <v>1.253312E-2</v>
      </c>
    </row>
    <row r="5268" spans="18:20" x14ac:dyDescent="0.45">
      <c r="R5268" s="2">
        <v>69.44</v>
      </c>
      <c r="S5268" s="2">
        <v>2.2348839999999998E-2</v>
      </c>
      <c r="T5268" s="2">
        <v>1.254596E-2</v>
      </c>
    </row>
    <row r="5269" spans="18:20" x14ac:dyDescent="0.45">
      <c r="R5269" s="2">
        <v>69.45</v>
      </c>
      <c r="S5269" s="2">
        <v>2.23737E-2</v>
      </c>
      <c r="T5269" s="2">
        <v>1.25588E-2</v>
      </c>
    </row>
    <row r="5270" spans="18:20" x14ac:dyDescent="0.45">
      <c r="R5270" s="2">
        <v>69.459999999999994</v>
      </c>
      <c r="S5270" s="2">
        <v>2.2398560000000001E-2</v>
      </c>
      <c r="T5270" s="2">
        <v>1.257164E-2</v>
      </c>
    </row>
    <row r="5271" spans="18:20" x14ac:dyDescent="0.45">
      <c r="R5271" s="2">
        <v>69.47</v>
      </c>
      <c r="S5271" s="2">
        <v>2.2423419999999999E-2</v>
      </c>
      <c r="T5271" s="2">
        <v>1.258448E-2</v>
      </c>
    </row>
    <row r="5272" spans="18:20" x14ac:dyDescent="0.45">
      <c r="R5272" s="2">
        <v>69.48</v>
      </c>
      <c r="S5272" s="2">
        <v>2.2448280000000001E-2</v>
      </c>
      <c r="T5272" s="2">
        <v>1.259732E-2</v>
      </c>
    </row>
    <row r="5273" spans="18:20" x14ac:dyDescent="0.45">
      <c r="R5273" s="2">
        <v>69.489999999999995</v>
      </c>
      <c r="S5273" s="2">
        <v>2.2473139999999999E-2</v>
      </c>
      <c r="T5273" s="2">
        <v>1.261016E-2</v>
      </c>
    </row>
    <row r="5274" spans="18:20" x14ac:dyDescent="0.45">
      <c r="R5274" s="2">
        <v>69.5</v>
      </c>
      <c r="S5274" s="2">
        <v>2.2498000000000001E-2</v>
      </c>
      <c r="T5274" s="2">
        <v>1.2623000000000001E-2</v>
      </c>
    </row>
    <row r="5275" spans="18:20" x14ac:dyDescent="0.45">
      <c r="R5275" s="2">
        <v>69.510000000000005</v>
      </c>
      <c r="S5275" s="2">
        <v>2.2522859999999999E-2</v>
      </c>
      <c r="T5275" s="2">
        <v>1.2635840000000001E-2</v>
      </c>
    </row>
    <row r="5276" spans="18:20" x14ac:dyDescent="0.45">
      <c r="R5276" s="2">
        <v>69.52</v>
      </c>
      <c r="S5276" s="2">
        <v>2.254772E-2</v>
      </c>
      <c r="T5276" s="2">
        <v>1.2648680000000001E-2</v>
      </c>
    </row>
    <row r="5277" spans="18:20" x14ac:dyDescent="0.45">
      <c r="R5277" s="2">
        <v>69.53</v>
      </c>
      <c r="S5277" s="2">
        <v>2.2572579999999998E-2</v>
      </c>
      <c r="T5277" s="2">
        <v>1.2661520000000001E-2</v>
      </c>
    </row>
    <row r="5278" spans="18:20" x14ac:dyDescent="0.45">
      <c r="R5278" s="2">
        <v>69.540000000000006</v>
      </c>
      <c r="S5278" s="2">
        <v>2.259744E-2</v>
      </c>
      <c r="T5278" s="2">
        <v>1.2674360000000001E-2</v>
      </c>
    </row>
    <row r="5279" spans="18:20" x14ac:dyDescent="0.45">
      <c r="R5279" s="2">
        <v>69.55</v>
      </c>
      <c r="S5279" s="2">
        <v>2.2622300000000001E-2</v>
      </c>
      <c r="T5279" s="2">
        <v>1.2687199999999999E-2</v>
      </c>
    </row>
    <row r="5280" spans="18:20" x14ac:dyDescent="0.45">
      <c r="R5280" s="2">
        <v>69.56</v>
      </c>
      <c r="S5280" s="2">
        <v>2.264716E-2</v>
      </c>
      <c r="T5280" s="2">
        <v>1.2700039999999999E-2</v>
      </c>
    </row>
    <row r="5281" spans="18:20" x14ac:dyDescent="0.45">
      <c r="R5281" s="2">
        <v>69.569999999999993</v>
      </c>
      <c r="S5281" s="2">
        <v>2.2672020000000001E-2</v>
      </c>
      <c r="T5281" s="2">
        <v>1.2712879999999999E-2</v>
      </c>
    </row>
    <row r="5282" spans="18:20" x14ac:dyDescent="0.45">
      <c r="R5282" s="2">
        <v>69.58</v>
      </c>
      <c r="S5282" s="2">
        <v>2.2696879999999999E-2</v>
      </c>
      <c r="T5282" s="2">
        <v>1.2725719999999999E-2</v>
      </c>
    </row>
    <row r="5283" spans="18:20" x14ac:dyDescent="0.45">
      <c r="R5283" s="2">
        <v>69.59</v>
      </c>
      <c r="S5283" s="2">
        <v>2.2721740000000001E-2</v>
      </c>
      <c r="T5283" s="2">
        <v>1.2738559999999999E-2</v>
      </c>
    </row>
    <row r="5284" spans="18:20" x14ac:dyDescent="0.45">
      <c r="R5284" s="2">
        <v>69.599999999999994</v>
      </c>
      <c r="S5284" s="2">
        <v>2.2746599999999999E-2</v>
      </c>
      <c r="T5284" s="2">
        <v>1.27514E-2</v>
      </c>
    </row>
    <row r="5285" spans="18:20" x14ac:dyDescent="0.45">
      <c r="R5285" s="2">
        <v>69.61</v>
      </c>
      <c r="S5285" s="2">
        <v>2.277146E-2</v>
      </c>
      <c r="T5285" s="2">
        <v>1.276424E-2</v>
      </c>
    </row>
    <row r="5286" spans="18:20" x14ac:dyDescent="0.45">
      <c r="R5286" s="2">
        <v>69.62</v>
      </c>
      <c r="S5286" s="2">
        <v>2.2796319999999998E-2</v>
      </c>
      <c r="T5286" s="2">
        <v>1.277708E-2</v>
      </c>
    </row>
    <row r="5287" spans="18:20" x14ac:dyDescent="0.45">
      <c r="R5287" s="2">
        <v>69.63</v>
      </c>
      <c r="S5287" s="2">
        <v>2.282118E-2</v>
      </c>
      <c r="T5287" s="2">
        <v>1.278992E-2</v>
      </c>
    </row>
    <row r="5288" spans="18:20" x14ac:dyDescent="0.45">
      <c r="R5288" s="2">
        <v>69.64</v>
      </c>
      <c r="S5288" s="2">
        <v>2.2846040000000001E-2</v>
      </c>
      <c r="T5288" s="2">
        <v>1.280276E-2</v>
      </c>
    </row>
    <row r="5289" spans="18:20" x14ac:dyDescent="0.45">
      <c r="R5289" s="2">
        <v>69.650000000000006</v>
      </c>
      <c r="S5289" s="2">
        <v>2.28709E-2</v>
      </c>
      <c r="T5289" s="2">
        <v>1.28156E-2</v>
      </c>
    </row>
    <row r="5290" spans="18:20" x14ac:dyDescent="0.45">
      <c r="R5290" s="2">
        <v>69.66</v>
      </c>
      <c r="S5290" s="2">
        <v>2.2895760000000001E-2</v>
      </c>
      <c r="T5290" s="2">
        <v>1.282844E-2</v>
      </c>
    </row>
    <row r="5291" spans="18:20" x14ac:dyDescent="0.45">
      <c r="R5291" s="2">
        <v>69.67</v>
      </c>
      <c r="S5291" s="2">
        <v>2.2920619999999999E-2</v>
      </c>
      <c r="T5291" s="2">
        <v>1.284128E-2</v>
      </c>
    </row>
    <row r="5292" spans="18:20" x14ac:dyDescent="0.45">
      <c r="R5292" s="2">
        <v>69.680000000000007</v>
      </c>
      <c r="S5292" s="2">
        <v>2.2945480000000001E-2</v>
      </c>
      <c r="T5292" s="2">
        <v>1.285412E-2</v>
      </c>
    </row>
    <row r="5293" spans="18:20" x14ac:dyDescent="0.45">
      <c r="R5293" s="2">
        <v>69.69</v>
      </c>
      <c r="S5293" s="2">
        <v>2.2970339999999999E-2</v>
      </c>
      <c r="T5293" s="2">
        <v>1.286696E-2</v>
      </c>
    </row>
    <row r="5294" spans="18:20" x14ac:dyDescent="0.45">
      <c r="R5294" s="2">
        <v>69.7</v>
      </c>
      <c r="S5294" s="2">
        <v>2.29952E-2</v>
      </c>
      <c r="T5294" s="2">
        <v>1.28798E-2</v>
      </c>
    </row>
    <row r="5295" spans="18:20" x14ac:dyDescent="0.45">
      <c r="R5295" s="2">
        <v>69.709999999999994</v>
      </c>
      <c r="S5295" s="2">
        <v>2.3020059999999998E-2</v>
      </c>
      <c r="T5295" s="2">
        <v>1.289264E-2</v>
      </c>
    </row>
    <row r="5296" spans="18:20" x14ac:dyDescent="0.45">
      <c r="R5296" s="2">
        <v>69.72</v>
      </c>
      <c r="S5296" s="2">
        <v>2.304492E-2</v>
      </c>
      <c r="T5296" s="2">
        <v>1.290548E-2</v>
      </c>
    </row>
    <row r="5297" spans="18:20" x14ac:dyDescent="0.45">
      <c r="R5297" s="2">
        <v>69.73</v>
      </c>
      <c r="S5297" s="2">
        <v>2.3069780000000002E-2</v>
      </c>
      <c r="T5297" s="2">
        <v>1.291832E-2</v>
      </c>
    </row>
    <row r="5298" spans="18:20" x14ac:dyDescent="0.45">
      <c r="R5298" s="2">
        <v>69.739999999999995</v>
      </c>
      <c r="S5298" s="2">
        <v>2.309464E-2</v>
      </c>
      <c r="T5298" s="2">
        <v>1.2931160000000001E-2</v>
      </c>
    </row>
    <row r="5299" spans="18:20" x14ac:dyDescent="0.45">
      <c r="R5299" s="2">
        <v>69.75</v>
      </c>
      <c r="S5299" s="2">
        <v>2.3119500000000001E-2</v>
      </c>
      <c r="T5299" s="2">
        <v>1.2944000000000001E-2</v>
      </c>
    </row>
    <row r="5300" spans="18:20" x14ac:dyDescent="0.45">
      <c r="R5300" s="2">
        <v>69.760000000000005</v>
      </c>
      <c r="S5300" s="2">
        <v>2.3144359999999999E-2</v>
      </c>
      <c r="T5300" s="2">
        <v>1.2956840000000001E-2</v>
      </c>
    </row>
    <row r="5301" spans="18:20" x14ac:dyDescent="0.45">
      <c r="R5301" s="2">
        <v>69.77</v>
      </c>
      <c r="S5301" s="2">
        <v>2.3169220000000001E-2</v>
      </c>
      <c r="T5301" s="2">
        <v>1.2969680000000001E-2</v>
      </c>
    </row>
    <row r="5302" spans="18:20" x14ac:dyDescent="0.45">
      <c r="R5302" s="2">
        <v>69.78</v>
      </c>
      <c r="S5302" s="2">
        <v>2.3194079999999999E-2</v>
      </c>
      <c r="T5302" s="2">
        <v>1.2982520000000001E-2</v>
      </c>
    </row>
    <row r="5303" spans="18:20" x14ac:dyDescent="0.45">
      <c r="R5303" s="2">
        <v>69.790000000000006</v>
      </c>
      <c r="S5303" s="2">
        <v>2.321894E-2</v>
      </c>
      <c r="T5303" s="2">
        <v>1.2995359999999999E-2</v>
      </c>
    </row>
    <row r="5304" spans="18:20" x14ac:dyDescent="0.45">
      <c r="R5304" s="2">
        <v>69.8</v>
      </c>
      <c r="S5304" s="2">
        <v>2.3243799999999998E-2</v>
      </c>
      <c r="T5304" s="2">
        <v>1.3008199999999999E-2</v>
      </c>
    </row>
    <row r="5305" spans="18:20" x14ac:dyDescent="0.45">
      <c r="R5305" s="2">
        <v>69.81</v>
      </c>
      <c r="S5305" s="2">
        <v>2.326866E-2</v>
      </c>
      <c r="T5305" s="2">
        <v>1.3021039999999999E-2</v>
      </c>
    </row>
    <row r="5306" spans="18:20" x14ac:dyDescent="0.45">
      <c r="R5306" s="2">
        <v>69.819999999999993</v>
      </c>
      <c r="S5306" s="2">
        <v>2.3293520000000002E-2</v>
      </c>
      <c r="T5306" s="2">
        <v>1.3033879999999999E-2</v>
      </c>
    </row>
    <row r="5307" spans="18:20" x14ac:dyDescent="0.45">
      <c r="R5307" s="2">
        <v>69.83</v>
      </c>
      <c r="S5307" s="2">
        <v>2.331838E-2</v>
      </c>
      <c r="T5307" s="2">
        <v>1.3046719999999999E-2</v>
      </c>
    </row>
    <row r="5308" spans="18:20" x14ac:dyDescent="0.45">
      <c r="R5308" s="2">
        <v>69.84</v>
      </c>
      <c r="S5308" s="2">
        <v>2.3343240000000001E-2</v>
      </c>
      <c r="T5308" s="2">
        <v>1.305956E-2</v>
      </c>
    </row>
    <row r="5309" spans="18:20" x14ac:dyDescent="0.45">
      <c r="R5309" s="2">
        <v>69.849999999999994</v>
      </c>
      <c r="S5309" s="2">
        <v>2.3368099999999999E-2</v>
      </c>
      <c r="T5309" s="2">
        <v>1.30724E-2</v>
      </c>
    </row>
    <row r="5310" spans="18:20" x14ac:dyDescent="0.45">
      <c r="R5310" s="2">
        <v>69.86</v>
      </c>
      <c r="S5310" s="2">
        <v>2.3392960000000001E-2</v>
      </c>
      <c r="T5310" s="2">
        <v>1.308524E-2</v>
      </c>
    </row>
    <row r="5311" spans="18:20" x14ac:dyDescent="0.45">
      <c r="R5311" s="2">
        <v>69.87</v>
      </c>
      <c r="S5311" s="2">
        <v>2.3417819999999999E-2</v>
      </c>
      <c r="T5311" s="2">
        <v>1.309808E-2</v>
      </c>
    </row>
    <row r="5312" spans="18:20" x14ac:dyDescent="0.45">
      <c r="R5312" s="2">
        <v>69.88</v>
      </c>
      <c r="S5312" s="2">
        <v>2.344268E-2</v>
      </c>
      <c r="T5312" s="2">
        <v>1.311092E-2</v>
      </c>
    </row>
    <row r="5313" spans="18:20" x14ac:dyDescent="0.45">
      <c r="R5313" s="2">
        <v>69.89</v>
      </c>
      <c r="S5313" s="2">
        <v>2.3467539999999999E-2</v>
      </c>
      <c r="T5313" s="2">
        <v>1.312376E-2</v>
      </c>
    </row>
    <row r="5314" spans="18:20" x14ac:dyDescent="0.45">
      <c r="R5314" s="2">
        <v>69.900000000000006</v>
      </c>
      <c r="S5314" s="2">
        <v>2.34924E-2</v>
      </c>
      <c r="T5314" s="2">
        <v>1.31366E-2</v>
      </c>
    </row>
    <row r="5315" spans="18:20" x14ac:dyDescent="0.45">
      <c r="R5315" s="2">
        <v>69.91</v>
      </c>
      <c r="S5315" s="2">
        <v>2.3517260000000002E-2</v>
      </c>
      <c r="T5315" s="2">
        <v>1.314944E-2</v>
      </c>
    </row>
    <row r="5316" spans="18:20" x14ac:dyDescent="0.45">
      <c r="R5316" s="2">
        <v>69.92</v>
      </c>
      <c r="S5316" s="2">
        <v>2.354212E-2</v>
      </c>
      <c r="T5316" s="2">
        <v>1.316228E-2</v>
      </c>
    </row>
    <row r="5317" spans="18:20" x14ac:dyDescent="0.45">
      <c r="R5317" s="2">
        <v>69.930000000000007</v>
      </c>
      <c r="S5317" s="2">
        <v>2.3566980000000001E-2</v>
      </c>
      <c r="T5317" s="2">
        <v>1.317512E-2</v>
      </c>
    </row>
    <row r="5318" spans="18:20" x14ac:dyDescent="0.45">
      <c r="R5318" s="2">
        <v>69.94</v>
      </c>
      <c r="S5318" s="2">
        <v>2.3591839999999999E-2</v>
      </c>
      <c r="T5318" s="2">
        <v>1.318796E-2</v>
      </c>
    </row>
    <row r="5319" spans="18:20" x14ac:dyDescent="0.45">
      <c r="R5319" s="2">
        <v>69.95</v>
      </c>
      <c r="S5319" s="2">
        <v>2.3616700000000001E-2</v>
      </c>
      <c r="T5319" s="2">
        <v>1.32008E-2</v>
      </c>
    </row>
    <row r="5320" spans="18:20" x14ac:dyDescent="0.45">
      <c r="R5320" s="2">
        <v>69.959999999999994</v>
      </c>
      <c r="S5320" s="2">
        <v>2.3641559999999999E-2</v>
      </c>
      <c r="T5320" s="2">
        <v>1.321364E-2</v>
      </c>
    </row>
    <row r="5321" spans="18:20" x14ac:dyDescent="0.45">
      <c r="R5321" s="2">
        <v>69.97</v>
      </c>
      <c r="S5321" s="2">
        <v>2.3666420000000001E-2</v>
      </c>
      <c r="T5321" s="2">
        <v>1.3226480000000001E-2</v>
      </c>
    </row>
    <row r="5322" spans="18:20" x14ac:dyDescent="0.45">
      <c r="R5322" s="2">
        <v>69.98</v>
      </c>
      <c r="S5322" s="2">
        <v>2.3691279999999999E-2</v>
      </c>
      <c r="T5322" s="2">
        <v>1.3239320000000001E-2</v>
      </c>
    </row>
    <row r="5323" spans="18:20" x14ac:dyDescent="0.45">
      <c r="R5323" s="2">
        <v>69.989999999999995</v>
      </c>
      <c r="S5323" s="2">
        <v>2.371614E-2</v>
      </c>
      <c r="T5323" s="2">
        <v>1.3252160000000001E-2</v>
      </c>
    </row>
    <row r="5324" spans="18:20" x14ac:dyDescent="0.45">
      <c r="R5324" s="2">
        <v>70</v>
      </c>
      <c r="S5324" s="2">
        <v>2.3741000000000002E-2</v>
      </c>
      <c r="T5324" s="2">
        <v>1.3265000000000001E-2</v>
      </c>
    </row>
    <row r="5325" spans="18:20" x14ac:dyDescent="0.45">
      <c r="R5325" s="2">
        <v>70.010000000000005</v>
      </c>
      <c r="S5325" s="2">
        <v>2.3768549999999999E-2</v>
      </c>
      <c r="T5325" s="2">
        <v>1.327922E-2</v>
      </c>
    </row>
    <row r="5326" spans="18:20" x14ac:dyDescent="0.45">
      <c r="R5326" s="2">
        <v>70.02</v>
      </c>
      <c r="S5326" s="2">
        <v>2.3796100000000001E-2</v>
      </c>
      <c r="T5326" s="2">
        <v>1.329344E-2</v>
      </c>
    </row>
    <row r="5327" spans="18:20" x14ac:dyDescent="0.45">
      <c r="R5327" s="2">
        <v>70.03</v>
      </c>
      <c r="S5327" s="2">
        <v>2.3823649999999998E-2</v>
      </c>
      <c r="T5327" s="2">
        <v>1.3307660000000001E-2</v>
      </c>
    </row>
    <row r="5328" spans="18:20" x14ac:dyDescent="0.45">
      <c r="R5328" s="2">
        <v>70.040000000000006</v>
      </c>
      <c r="S5328" s="2">
        <v>2.3851199999999999E-2</v>
      </c>
      <c r="T5328" s="2">
        <v>1.3321879999999999E-2</v>
      </c>
    </row>
    <row r="5329" spans="18:20" x14ac:dyDescent="0.45">
      <c r="R5329" s="2">
        <v>70.05</v>
      </c>
      <c r="S5329" s="2">
        <v>2.3878750000000001E-2</v>
      </c>
      <c r="T5329" s="2">
        <v>1.33361E-2</v>
      </c>
    </row>
    <row r="5330" spans="18:20" x14ac:dyDescent="0.45">
      <c r="R5330" s="2">
        <v>70.06</v>
      </c>
      <c r="S5330" s="2">
        <v>2.3906299999999998E-2</v>
      </c>
      <c r="T5330" s="2">
        <v>1.3350320000000001E-2</v>
      </c>
    </row>
    <row r="5331" spans="18:20" x14ac:dyDescent="0.45">
      <c r="R5331" s="2">
        <v>70.069999999999993</v>
      </c>
      <c r="S5331" s="2">
        <v>2.393385E-2</v>
      </c>
      <c r="T5331" s="2">
        <v>1.3364539999999999E-2</v>
      </c>
    </row>
    <row r="5332" spans="18:20" x14ac:dyDescent="0.45">
      <c r="R5332" s="2">
        <v>70.08</v>
      </c>
      <c r="S5332" s="2">
        <v>2.3961400000000001E-2</v>
      </c>
      <c r="T5332" s="2">
        <v>1.337876E-2</v>
      </c>
    </row>
    <row r="5333" spans="18:20" x14ac:dyDescent="0.45">
      <c r="R5333" s="2">
        <v>70.09</v>
      </c>
      <c r="S5333" s="2">
        <v>2.3988949999999998E-2</v>
      </c>
      <c r="T5333" s="2">
        <v>1.3392980000000001E-2</v>
      </c>
    </row>
    <row r="5334" spans="18:20" x14ac:dyDescent="0.45">
      <c r="R5334" s="2">
        <v>70.099999999999994</v>
      </c>
      <c r="S5334" s="2">
        <v>2.40165E-2</v>
      </c>
      <c r="T5334" s="2">
        <v>1.3407199999999999E-2</v>
      </c>
    </row>
    <row r="5335" spans="18:20" x14ac:dyDescent="0.45">
      <c r="R5335" s="2">
        <v>70.11</v>
      </c>
      <c r="S5335" s="2">
        <v>2.4044050000000001E-2</v>
      </c>
      <c r="T5335" s="2">
        <v>1.342142E-2</v>
      </c>
    </row>
    <row r="5336" spans="18:20" x14ac:dyDescent="0.45">
      <c r="R5336" s="2">
        <v>70.12</v>
      </c>
      <c r="S5336" s="2">
        <v>2.4071599999999999E-2</v>
      </c>
      <c r="T5336" s="2">
        <v>1.343564E-2</v>
      </c>
    </row>
    <row r="5337" spans="18:20" x14ac:dyDescent="0.45">
      <c r="R5337" s="2">
        <v>70.13</v>
      </c>
      <c r="S5337" s="2">
        <v>2.409915E-2</v>
      </c>
      <c r="T5337" s="2">
        <v>1.3449859999999999E-2</v>
      </c>
    </row>
    <row r="5338" spans="18:20" x14ac:dyDescent="0.45">
      <c r="R5338" s="2">
        <v>70.14</v>
      </c>
      <c r="S5338" s="2">
        <v>2.4126700000000001E-2</v>
      </c>
      <c r="T5338" s="2">
        <v>1.346408E-2</v>
      </c>
    </row>
    <row r="5339" spans="18:20" x14ac:dyDescent="0.45">
      <c r="R5339" s="2">
        <v>70.150000000000006</v>
      </c>
      <c r="S5339" s="2">
        <v>2.4154249999999999E-2</v>
      </c>
      <c r="T5339" s="2">
        <v>1.34783E-2</v>
      </c>
    </row>
    <row r="5340" spans="18:20" x14ac:dyDescent="0.45">
      <c r="R5340" s="2">
        <v>70.16</v>
      </c>
      <c r="S5340" s="2">
        <v>2.41818E-2</v>
      </c>
      <c r="T5340" s="2">
        <v>1.3492519999999999E-2</v>
      </c>
    </row>
    <row r="5341" spans="18:20" x14ac:dyDescent="0.45">
      <c r="R5341" s="2">
        <v>70.17</v>
      </c>
      <c r="S5341" s="2">
        <v>2.4209350000000001E-2</v>
      </c>
      <c r="T5341" s="2">
        <v>1.350674E-2</v>
      </c>
    </row>
    <row r="5342" spans="18:20" x14ac:dyDescent="0.45">
      <c r="R5342" s="2">
        <v>70.180000000000007</v>
      </c>
      <c r="S5342" s="2">
        <v>2.4236899999999999E-2</v>
      </c>
      <c r="T5342" s="2">
        <v>1.352096E-2</v>
      </c>
    </row>
    <row r="5343" spans="18:20" x14ac:dyDescent="0.45">
      <c r="R5343" s="2">
        <v>70.19</v>
      </c>
      <c r="S5343" s="2">
        <v>2.426445E-2</v>
      </c>
      <c r="T5343" s="2">
        <v>1.3535180000000001E-2</v>
      </c>
    </row>
    <row r="5344" spans="18:20" x14ac:dyDescent="0.45">
      <c r="R5344" s="2">
        <v>70.2</v>
      </c>
      <c r="S5344" s="2">
        <v>2.4292000000000001E-2</v>
      </c>
      <c r="T5344" s="2">
        <v>1.35494E-2</v>
      </c>
    </row>
    <row r="5345" spans="18:20" x14ac:dyDescent="0.45">
      <c r="R5345" s="2">
        <v>70.209999999999994</v>
      </c>
      <c r="S5345" s="2">
        <v>2.4319549999999999E-2</v>
      </c>
      <c r="T5345" s="2">
        <v>1.356362E-2</v>
      </c>
    </row>
    <row r="5346" spans="18:20" x14ac:dyDescent="0.45">
      <c r="R5346" s="2">
        <v>70.22</v>
      </c>
      <c r="S5346" s="2">
        <v>2.43471E-2</v>
      </c>
      <c r="T5346" s="2">
        <v>1.3577840000000001E-2</v>
      </c>
    </row>
    <row r="5347" spans="18:20" x14ac:dyDescent="0.45">
      <c r="R5347" s="2">
        <v>70.23</v>
      </c>
      <c r="S5347" s="2">
        <v>2.4374650000000001E-2</v>
      </c>
      <c r="T5347" s="2">
        <v>1.359206E-2</v>
      </c>
    </row>
    <row r="5348" spans="18:20" x14ac:dyDescent="0.45">
      <c r="R5348" s="2">
        <v>70.239999999999995</v>
      </c>
      <c r="S5348" s="2">
        <v>2.4402199999999999E-2</v>
      </c>
      <c r="T5348" s="2">
        <v>1.360628E-2</v>
      </c>
    </row>
    <row r="5349" spans="18:20" x14ac:dyDescent="0.45">
      <c r="R5349" s="2">
        <v>70.25</v>
      </c>
      <c r="S5349" s="2">
        <v>2.442975E-2</v>
      </c>
      <c r="T5349" s="2">
        <v>1.3620500000000001E-2</v>
      </c>
    </row>
    <row r="5350" spans="18:20" x14ac:dyDescent="0.45">
      <c r="R5350" s="2">
        <v>70.260000000000005</v>
      </c>
      <c r="S5350" s="2">
        <v>2.4457300000000001E-2</v>
      </c>
      <c r="T5350" s="2">
        <v>1.3634719999999999E-2</v>
      </c>
    </row>
    <row r="5351" spans="18:20" x14ac:dyDescent="0.45">
      <c r="R5351" s="2">
        <v>70.27</v>
      </c>
      <c r="S5351" s="2">
        <v>2.4484849999999999E-2</v>
      </c>
      <c r="T5351" s="2">
        <v>1.364894E-2</v>
      </c>
    </row>
    <row r="5352" spans="18:20" x14ac:dyDescent="0.45">
      <c r="R5352" s="2">
        <v>70.28</v>
      </c>
      <c r="S5352" s="2">
        <v>2.45124E-2</v>
      </c>
      <c r="T5352" s="2">
        <v>1.3663160000000001E-2</v>
      </c>
    </row>
    <row r="5353" spans="18:20" x14ac:dyDescent="0.45">
      <c r="R5353" s="2">
        <v>70.290000000000006</v>
      </c>
      <c r="S5353" s="2">
        <v>2.4539950000000001E-2</v>
      </c>
      <c r="T5353" s="2">
        <v>1.3677379999999999E-2</v>
      </c>
    </row>
    <row r="5354" spans="18:20" x14ac:dyDescent="0.45">
      <c r="R5354" s="2">
        <v>70.3</v>
      </c>
      <c r="S5354" s="2">
        <v>2.4567499999999999E-2</v>
      </c>
      <c r="T5354" s="2">
        <v>1.36916E-2</v>
      </c>
    </row>
    <row r="5355" spans="18:20" x14ac:dyDescent="0.45">
      <c r="R5355" s="2">
        <v>70.31</v>
      </c>
      <c r="S5355" s="2">
        <v>2.459505E-2</v>
      </c>
      <c r="T5355" s="2">
        <v>1.3705820000000001E-2</v>
      </c>
    </row>
    <row r="5356" spans="18:20" x14ac:dyDescent="0.45">
      <c r="R5356" s="2">
        <v>70.319999999999993</v>
      </c>
      <c r="S5356" s="2">
        <v>2.4622600000000001E-2</v>
      </c>
      <c r="T5356" s="2">
        <v>1.3720039999999999E-2</v>
      </c>
    </row>
    <row r="5357" spans="18:20" x14ac:dyDescent="0.45">
      <c r="R5357" s="2">
        <v>70.33</v>
      </c>
      <c r="S5357" s="2">
        <v>2.4650149999999999E-2</v>
      </c>
      <c r="T5357" s="2">
        <v>1.373426E-2</v>
      </c>
    </row>
    <row r="5358" spans="18:20" x14ac:dyDescent="0.45">
      <c r="R5358" s="2">
        <v>70.34</v>
      </c>
      <c r="S5358" s="2">
        <v>2.46777E-2</v>
      </c>
      <c r="T5358" s="2">
        <v>1.374848E-2</v>
      </c>
    </row>
    <row r="5359" spans="18:20" x14ac:dyDescent="0.45">
      <c r="R5359" s="2">
        <v>70.349999999999994</v>
      </c>
      <c r="S5359" s="2">
        <v>2.4705250000000002E-2</v>
      </c>
      <c r="T5359" s="2">
        <v>1.3762699999999999E-2</v>
      </c>
    </row>
    <row r="5360" spans="18:20" x14ac:dyDescent="0.45">
      <c r="R5360" s="2">
        <v>70.36</v>
      </c>
      <c r="S5360" s="2">
        <v>2.4732799999999999E-2</v>
      </c>
      <c r="T5360" s="2">
        <v>1.377692E-2</v>
      </c>
    </row>
    <row r="5361" spans="18:20" x14ac:dyDescent="0.45">
      <c r="R5361" s="2">
        <v>70.37</v>
      </c>
      <c r="S5361" s="2">
        <v>2.476035E-2</v>
      </c>
      <c r="T5361" s="2">
        <v>1.379114E-2</v>
      </c>
    </row>
    <row r="5362" spans="18:20" x14ac:dyDescent="0.45">
      <c r="R5362" s="2">
        <v>70.38</v>
      </c>
      <c r="S5362" s="2">
        <v>2.4787900000000002E-2</v>
      </c>
      <c r="T5362" s="2">
        <v>1.3805359999999999E-2</v>
      </c>
    </row>
    <row r="5363" spans="18:20" x14ac:dyDescent="0.45">
      <c r="R5363" s="2">
        <v>70.39</v>
      </c>
      <c r="S5363" s="2">
        <v>2.4815449999999999E-2</v>
      </c>
      <c r="T5363" s="2">
        <v>1.381958E-2</v>
      </c>
    </row>
    <row r="5364" spans="18:20" x14ac:dyDescent="0.45">
      <c r="R5364" s="2">
        <v>70.400000000000006</v>
      </c>
      <c r="S5364" s="2">
        <v>2.4843E-2</v>
      </c>
      <c r="T5364" s="2">
        <v>1.38338E-2</v>
      </c>
    </row>
    <row r="5365" spans="18:20" x14ac:dyDescent="0.45">
      <c r="R5365" s="2">
        <v>70.41</v>
      </c>
      <c r="S5365" s="2">
        <v>2.4870550000000002E-2</v>
      </c>
      <c r="T5365" s="2">
        <v>1.3848020000000001E-2</v>
      </c>
    </row>
    <row r="5366" spans="18:20" x14ac:dyDescent="0.45">
      <c r="R5366" s="2">
        <v>70.42</v>
      </c>
      <c r="S5366" s="2">
        <v>2.4898099999999999E-2</v>
      </c>
      <c r="T5366" s="2">
        <v>1.386224E-2</v>
      </c>
    </row>
    <row r="5367" spans="18:20" x14ac:dyDescent="0.45">
      <c r="R5367" s="2">
        <v>70.430000000000007</v>
      </c>
      <c r="S5367" s="2">
        <v>2.4925650000000001E-2</v>
      </c>
      <c r="T5367" s="2">
        <v>1.387646E-2</v>
      </c>
    </row>
    <row r="5368" spans="18:20" x14ac:dyDescent="0.45">
      <c r="R5368" s="2">
        <v>70.44</v>
      </c>
      <c r="S5368" s="2">
        <v>2.4953199999999998E-2</v>
      </c>
      <c r="T5368" s="2">
        <v>1.3890680000000001E-2</v>
      </c>
    </row>
    <row r="5369" spans="18:20" x14ac:dyDescent="0.45">
      <c r="R5369" s="2">
        <v>70.45</v>
      </c>
      <c r="S5369" s="2">
        <v>2.4980749999999999E-2</v>
      </c>
      <c r="T5369" s="2">
        <v>1.39049E-2</v>
      </c>
    </row>
    <row r="5370" spans="18:20" x14ac:dyDescent="0.45">
      <c r="R5370" s="2">
        <v>70.459999999999994</v>
      </c>
      <c r="S5370" s="2">
        <v>2.5008300000000001E-2</v>
      </c>
      <c r="T5370" s="2">
        <v>1.391912E-2</v>
      </c>
    </row>
    <row r="5371" spans="18:20" x14ac:dyDescent="0.45">
      <c r="R5371" s="2">
        <v>70.47</v>
      </c>
      <c r="S5371" s="2">
        <v>2.5035849999999998E-2</v>
      </c>
      <c r="T5371" s="2">
        <v>1.3933340000000001E-2</v>
      </c>
    </row>
    <row r="5372" spans="18:20" x14ac:dyDescent="0.45">
      <c r="R5372" s="2">
        <v>70.48</v>
      </c>
      <c r="S5372" s="2">
        <v>2.50634E-2</v>
      </c>
      <c r="T5372" s="2">
        <v>1.3947559999999999E-2</v>
      </c>
    </row>
    <row r="5373" spans="18:20" x14ac:dyDescent="0.45">
      <c r="R5373" s="2">
        <v>70.489999999999995</v>
      </c>
      <c r="S5373" s="2">
        <v>2.5090950000000001E-2</v>
      </c>
      <c r="T5373" s="2">
        <v>1.396178E-2</v>
      </c>
    </row>
    <row r="5374" spans="18:20" x14ac:dyDescent="0.45">
      <c r="R5374" s="2">
        <v>70.5</v>
      </c>
      <c r="S5374" s="2">
        <v>2.5118499999999998E-2</v>
      </c>
      <c r="T5374" s="2">
        <v>1.3976000000000001E-2</v>
      </c>
    </row>
    <row r="5375" spans="18:20" x14ac:dyDescent="0.45">
      <c r="R5375" s="2">
        <v>70.510000000000005</v>
      </c>
      <c r="S5375" s="2">
        <v>2.514605E-2</v>
      </c>
      <c r="T5375" s="2">
        <v>1.3990219999999999E-2</v>
      </c>
    </row>
    <row r="5376" spans="18:20" x14ac:dyDescent="0.45">
      <c r="R5376" s="2">
        <v>70.52</v>
      </c>
      <c r="S5376" s="2">
        <v>2.5173600000000001E-2</v>
      </c>
      <c r="T5376" s="2">
        <v>1.400444E-2</v>
      </c>
    </row>
    <row r="5377" spans="18:20" x14ac:dyDescent="0.45">
      <c r="R5377" s="2">
        <v>70.53</v>
      </c>
      <c r="S5377" s="2">
        <v>2.5201149999999999E-2</v>
      </c>
      <c r="T5377" s="2">
        <v>1.401866E-2</v>
      </c>
    </row>
    <row r="5378" spans="18:20" x14ac:dyDescent="0.45">
      <c r="R5378" s="2">
        <v>70.540000000000006</v>
      </c>
      <c r="S5378" s="2">
        <v>2.52287E-2</v>
      </c>
      <c r="T5378" s="2">
        <v>1.4032879999999999E-2</v>
      </c>
    </row>
    <row r="5379" spans="18:20" x14ac:dyDescent="0.45">
      <c r="R5379" s="2">
        <v>70.55</v>
      </c>
      <c r="S5379" s="2">
        <v>2.5256250000000001E-2</v>
      </c>
      <c r="T5379" s="2">
        <v>1.40471E-2</v>
      </c>
    </row>
    <row r="5380" spans="18:20" x14ac:dyDescent="0.45">
      <c r="R5380" s="2">
        <v>70.56</v>
      </c>
      <c r="S5380" s="2">
        <v>2.5283799999999999E-2</v>
      </c>
      <c r="T5380" s="2">
        <v>1.406132E-2</v>
      </c>
    </row>
    <row r="5381" spans="18:20" x14ac:dyDescent="0.45">
      <c r="R5381" s="2">
        <v>70.569999999999993</v>
      </c>
      <c r="S5381" s="2">
        <v>2.531135E-2</v>
      </c>
      <c r="T5381" s="2">
        <v>1.4075539999999999E-2</v>
      </c>
    </row>
    <row r="5382" spans="18:20" x14ac:dyDescent="0.45">
      <c r="R5382" s="2">
        <v>70.58</v>
      </c>
      <c r="S5382" s="2">
        <v>2.5338900000000001E-2</v>
      </c>
      <c r="T5382" s="2">
        <v>1.408976E-2</v>
      </c>
    </row>
    <row r="5383" spans="18:20" x14ac:dyDescent="0.45">
      <c r="R5383" s="2">
        <v>70.59</v>
      </c>
      <c r="S5383" s="2">
        <v>2.5366449999999999E-2</v>
      </c>
      <c r="T5383" s="2">
        <v>1.410398E-2</v>
      </c>
    </row>
    <row r="5384" spans="18:20" x14ac:dyDescent="0.45">
      <c r="R5384" s="2">
        <v>70.599999999999994</v>
      </c>
      <c r="S5384" s="2">
        <v>2.5394E-2</v>
      </c>
      <c r="T5384" s="2">
        <v>1.4118199999999999E-2</v>
      </c>
    </row>
    <row r="5385" spans="18:20" x14ac:dyDescent="0.45">
      <c r="R5385" s="2">
        <v>70.61</v>
      </c>
      <c r="S5385" s="2">
        <v>2.5421550000000001E-2</v>
      </c>
      <c r="T5385" s="2">
        <v>1.413242E-2</v>
      </c>
    </row>
    <row r="5386" spans="18:20" x14ac:dyDescent="0.45">
      <c r="R5386" s="2">
        <v>70.62</v>
      </c>
      <c r="S5386" s="2">
        <v>2.5449099999999999E-2</v>
      </c>
      <c r="T5386" s="2">
        <v>1.414664E-2</v>
      </c>
    </row>
    <row r="5387" spans="18:20" x14ac:dyDescent="0.45">
      <c r="R5387" s="2">
        <v>70.63</v>
      </c>
      <c r="S5387" s="2">
        <v>2.547665E-2</v>
      </c>
      <c r="T5387" s="2">
        <v>1.4160860000000001E-2</v>
      </c>
    </row>
    <row r="5388" spans="18:20" x14ac:dyDescent="0.45">
      <c r="R5388" s="2">
        <v>70.64</v>
      </c>
      <c r="S5388" s="2">
        <v>2.5504200000000001E-2</v>
      </c>
      <c r="T5388" s="2">
        <v>1.417508E-2</v>
      </c>
    </row>
    <row r="5389" spans="18:20" x14ac:dyDescent="0.45">
      <c r="R5389" s="2">
        <v>70.650000000000006</v>
      </c>
      <c r="S5389" s="2">
        <v>2.5531749999999999E-2</v>
      </c>
      <c r="T5389" s="2">
        <v>1.41893E-2</v>
      </c>
    </row>
    <row r="5390" spans="18:20" x14ac:dyDescent="0.45">
      <c r="R5390" s="2">
        <v>70.66</v>
      </c>
      <c r="S5390" s="2">
        <v>2.55593E-2</v>
      </c>
      <c r="T5390" s="2">
        <v>1.4203520000000001E-2</v>
      </c>
    </row>
    <row r="5391" spans="18:20" x14ac:dyDescent="0.45">
      <c r="R5391" s="2">
        <v>70.67</v>
      </c>
      <c r="S5391" s="2">
        <v>2.5586850000000001E-2</v>
      </c>
      <c r="T5391" s="2">
        <v>1.421774E-2</v>
      </c>
    </row>
    <row r="5392" spans="18:20" x14ac:dyDescent="0.45">
      <c r="R5392" s="2">
        <v>70.680000000000007</v>
      </c>
      <c r="S5392" s="2">
        <v>2.5614399999999999E-2</v>
      </c>
      <c r="T5392" s="2">
        <v>1.423196E-2</v>
      </c>
    </row>
    <row r="5393" spans="18:20" x14ac:dyDescent="0.45">
      <c r="R5393" s="2">
        <v>70.69</v>
      </c>
      <c r="S5393" s="2">
        <v>2.564195E-2</v>
      </c>
      <c r="T5393" s="2">
        <v>1.4246180000000001E-2</v>
      </c>
    </row>
    <row r="5394" spans="18:20" x14ac:dyDescent="0.45">
      <c r="R5394" s="2">
        <v>70.7</v>
      </c>
      <c r="S5394" s="2">
        <v>2.5669500000000001E-2</v>
      </c>
      <c r="T5394" s="2">
        <v>1.4260399999999999E-2</v>
      </c>
    </row>
    <row r="5395" spans="18:20" x14ac:dyDescent="0.45">
      <c r="R5395" s="2">
        <v>70.709999999999994</v>
      </c>
      <c r="S5395" s="2">
        <v>2.5697049999999999E-2</v>
      </c>
      <c r="T5395" s="2">
        <v>1.427462E-2</v>
      </c>
    </row>
    <row r="5396" spans="18:20" x14ac:dyDescent="0.45">
      <c r="R5396" s="2">
        <v>70.72</v>
      </c>
      <c r="S5396" s="2">
        <v>2.57246E-2</v>
      </c>
      <c r="T5396" s="2">
        <v>1.4288840000000001E-2</v>
      </c>
    </row>
    <row r="5397" spans="18:20" x14ac:dyDescent="0.45">
      <c r="R5397" s="2">
        <v>70.73</v>
      </c>
      <c r="S5397" s="2">
        <v>2.5752150000000001E-2</v>
      </c>
      <c r="T5397" s="2">
        <v>1.4303059999999999E-2</v>
      </c>
    </row>
    <row r="5398" spans="18:20" x14ac:dyDescent="0.45">
      <c r="R5398" s="2">
        <v>70.739999999999995</v>
      </c>
      <c r="S5398" s="2">
        <v>2.5779699999999999E-2</v>
      </c>
      <c r="T5398" s="2">
        <v>1.431728E-2</v>
      </c>
    </row>
    <row r="5399" spans="18:20" x14ac:dyDescent="0.45">
      <c r="R5399" s="2">
        <v>70.75</v>
      </c>
      <c r="S5399" s="2">
        <v>2.580725E-2</v>
      </c>
      <c r="T5399" s="2">
        <v>1.43315E-2</v>
      </c>
    </row>
    <row r="5400" spans="18:20" x14ac:dyDescent="0.45">
      <c r="R5400" s="2">
        <v>70.760000000000005</v>
      </c>
      <c r="S5400" s="2">
        <v>2.5834800000000002E-2</v>
      </c>
      <c r="T5400" s="2">
        <v>1.4345719999999999E-2</v>
      </c>
    </row>
    <row r="5401" spans="18:20" x14ac:dyDescent="0.45">
      <c r="R5401" s="2">
        <v>70.77</v>
      </c>
      <c r="S5401" s="2">
        <v>2.5862349999999999E-2</v>
      </c>
      <c r="T5401" s="2">
        <v>1.435994E-2</v>
      </c>
    </row>
    <row r="5402" spans="18:20" x14ac:dyDescent="0.45">
      <c r="R5402" s="2">
        <v>70.78</v>
      </c>
      <c r="S5402" s="2">
        <v>2.58899E-2</v>
      </c>
      <c r="T5402" s="2">
        <v>1.437416E-2</v>
      </c>
    </row>
    <row r="5403" spans="18:20" x14ac:dyDescent="0.45">
      <c r="R5403" s="2">
        <v>70.790000000000006</v>
      </c>
      <c r="S5403" s="2">
        <v>2.5917450000000002E-2</v>
      </c>
      <c r="T5403" s="2">
        <v>1.4388379999999999E-2</v>
      </c>
    </row>
    <row r="5404" spans="18:20" x14ac:dyDescent="0.45">
      <c r="R5404" s="2">
        <v>70.8</v>
      </c>
      <c r="S5404" s="2">
        <v>2.5944999999999999E-2</v>
      </c>
      <c r="T5404" s="2">
        <v>1.44026E-2</v>
      </c>
    </row>
    <row r="5405" spans="18:20" x14ac:dyDescent="0.45">
      <c r="R5405" s="2">
        <v>70.81</v>
      </c>
      <c r="S5405" s="2">
        <v>2.597255E-2</v>
      </c>
      <c r="T5405" s="2">
        <v>1.441682E-2</v>
      </c>
    </row>
    <row r="5406" spans="18:20" x14ac:dyDescent="0.45">
      <c r="R5406" s="2">
        <v>70.819999999999993</v>
      </c>
      <c r="S5406" s="2">
        <v>2.6000100000000002E-2</v>
      </c>
      <c r="T5406" s="2">
        <v>1.4431039999999999E-2</v>
      </c>
    </row>
    <row r="5407" spans="18:20" x14ac:dyDescent="0.45">
      <c r="R5407" s="2">
        <v>70.83</v>
      </c>
      <c r="S5407" s="2">
        <v>2.6027649999999999E-2</v>
      </c>
      <c r="T5407" s="2">
        <v>1.444526E-2</v>
      </c>
    </row>
    <row r="5408" spans="18:20" x14ac:dyDescent="0.45">
      <c r="R5408" s="2">
        <v>70.84</v>
      </c>
      <c r="S5408" s="2">
        <v>2.6055200000000001E-2</v>
      </c>
      <c r="T5408" s="2">
        <v>1.445948E-2</v>
      </c>
    </row>
    <row r="5409" spans="18:20" x14ac:dyDescent="0.45">
      <c r="R5409" s="2">
        <v>70.849999999999994</v>
      </c>
      <c r="S5409" s="2">
        <v>2.6082749999999998E-2</v>
      </c>
      <c r="T5409" s="2">
        <v>1.4473700000000001E-2</v>
      </c>
    </row>
    <row r="5410" spans="18:20" x14ac:dyDescent="0.45">
      <c r="R5410" s="2">
        <v>70.86</v>
      </c>
      <c r="S5410" s="2">
        <v>2.6110299999999999E-2</v>
      </c>
      <c r="T5410" s="2">
        <v>1.448792E-2</v>
      </c>
    </row>
    <row r="5411" spans="18:20" x14ac:dyDescent="0.45">
      <c r="R5411" s="2">
        <v>70.87</v>
      </c>
      <c r="S5411" s="2">
        <v>2.6137850000000001E-2</v>
      </c>
      <c r="T5411" s="2">
        <v>1.450214E-2</v>
      </c>
    </row>
    <row r="5412" spans="18:20" x14ac:dyDescent="0.45">
      <c r="R5412" s="2">
        <v>70.88</v>
      </c>
      <c r="S5412" s="2">
        <v>2.6165399999999998E-2</v>
      </c>
      <c r="T5412" s="2">
        <v>1.4516360000000001E-2</v>
      </c>
    </row>
    <row r="5413" spans="18:20" x14ac:dyDescent="0.45">
      <c r="R5413" s="2">
        <v>70.89</v>
      </c>
      <c r="S5413" s="2">
        <v>2.619295E-2</v>
      </c>
      <c r="T5413" s="2">
        <v>1.453058E-2</v>
      </c>
    </row>
    <row r="5414" spans="18:20" x14ac:dyDescent="0.45">
      <c r="R5414" s="2">
        <v>70.900000000000006</v>
      </c>
      <c r="S5414" s="2">
        <v>2.6220500000000001E-2</v>
      </c>
      <c r="T5414" s="2">
        <v>1.45448E-2</v>
      </c>
    </row>
    <row r="5415" spans="18:20" x14ac:dyDescent="0.45">
      <c r="R5415" s="2">
        <v>70.91</v>
      </c>
      <c r="S5415" s="2">
        <v>2.6248049999999998E-2</v>
      </c>
      <c r="T5415" s="2">
        <v>1.4559020000000001E-2</v>
      </c>
    </row>
    <row r="5416" spans="18:20" x14ac:dyDescent="0.45">
      <c r="R5416" s="2">
        <v>70.92</v>
      </c>
      <c r="S5416" s="2">
        <v>2.62756E-2</v>
      </c>
      <c r="T5416" s="2">
        <v>1.4573239999999999E-2</v>
      </c>
    </row>
    <row r="5417" spans="18:20" x14ac:dyDescent="0.45">
      <c r="R5417" s="2">
        <v>70.930000000000007</v>
      </c>
      <c r="S5417" s="2">
        <v>2.6303150000000001E-2</v>
      </c>
      <c r="T5417" s="2">
        <v>1.458746E-2</v>
      </c>
    </row>
    <row r="5418" spans="18:20" x14ac:dyDescent="0.45">
      <c r="R5418" s="2">
        <v>70.94</v>
      </c>
      <c r="S5418" s="2">
        <v>2.6330699999999999E-2</v>
      </c>
      <c r="T5418" s="2">
        <v>1.4601680000000001E-2</v>
      </c>
    </row>
    <row r="5419" spans="18:20" x14ac:dyDescent="0.45">
      <c r="R5419" s="2">
        <v>70.95</v>
      </c>
      <c r="S5419" s="2">
        <v>2.635825E-2</v>
      </c>
      <c r="T5419" s="2">
        <v>1.4615899999999999E-2</v>
      </c>
    </row>
    <row r="5420" spans="18:20" x14ac:dyDescent="0.45">
      <c r="R5420" s="2">
        <v>70.959999999999994</v>
      </c>
      <c r="S5420" s="2">
        <v>2.6385800000000001E-2</v>
      </c>
      <c r="T5420" s="2">
        <v>1.463012E-2</v>
      </c>
    </row>
    <row r="5421" spans="18:20" x14ac:dyDescent="0.45">
      <c r="R5421" s="2">
        <v>70.97</v>
      </c>
      <c r="S5421" s="2">
        <v>2.6413349999999999E-2</v>
      </c>
      <c r="T5421" s="2">
        <v>1.464434E-2</v>
      </c>
    </row>
    <row r="5422" spans="18:20" x14ac:dyDescent="0.45">
      <c r="R5422" s="2">
        <v>70.98</v>
      </c>
      <c r="S5422" s="2">
        <v>2.64409E-2</v>
      </c>
      <c r="T5422" s="2">
        <v>1.4658559999999999E-2</v>
      </c>
    </row>
    <row r="5423" spans="18:20" x14ac:dyDescent="0.45">
      <c r="R5423" s="2">
        <v>70.989999999999995</v>
      </c>
      <c r="S5423" s="2">
        <v>2.6468450000000001E-2</v>
      </c>
      <c r="T5423" s="2">
        <v>1.467278E-2</v>
      </c>
    </row>
    <row r="5424" spans="18:20" x14ac:dyDescent="0.45">
      <c r="R5424" s="2">
        <v>71</v>
      </c>
      <c r="S5424" s="2">
        <v>2.6495999999999999E-2</v>
      </c>
      <c r="T5424" s="2">
        <v>1.4687E-2</v>
      </c>
    </row>
    <row r="5425" spans="18:20" x14ac:dyDescent="0.45">
      <c r="R5425" s="2">
        <v>71.010000000000005</v>
      </c>
      <c r="S5425" s="2">
        <v>2.652647E-2</v>
      </c>
      <c r="T5425" s="2">
        <v>1.470277E-2</v>
      </c>
    </row>
    <row r="5426" spans="18:20" x14ac:dyDescent="0.45">
      <c r="R5426" s="2">
        <v>71.02</v>
      </c>
      <c r="S5426" s="2">
        <v>2.6556940000000001E-2</v>
      </c>
      <c r="T5426" s="2">
        <v>1.471854E-2</v>
      </c>
    </row>
    <row r="5427" spans="18:20" x14ac:dyDescent="0.45">
      <c r="R5427" s="2">
        <v>71.03</v>
      </c>
      <c r="S5427" s="2">
        <v>2.6587409999999999E-2</v>
      </c>
      <c r="T5427" s="2">
        <v>1.473431E-2</v>
      </c>
    </row>
    <row r="5428" spans="18:20" x14ac:dyDescent="0.45">
      <c r="R5428" s="2">
        <v>71.040000000000006</v>
      </c>
      <c r="S5428" s="2">
        <v>2.661788E-2</v>
      </c>
      <c r="T5428" s="2">
        <v>1.475008E-2</v>
      </c>
    </row>
    <row r="5429" spans="18:20" x14ac:dyDescent="0.45">
      <c r="R5429" s="2">
        <v>71.05</v>
      </c>
      <c r="S5429" s="2">
        <v>2.6648350000000001E-2</v>
      </c>
      <c r="T5429" s="2">
        <v>1.4765850000000001E-2</v>
      </c>
    </row>
    <row r="5430" spans="18:20" x14ac:dyDescent="0.45">
      <c r="R5430" s="2">
        <v>71.06</v>
      </c>
      <c r="S5430" s="2">
        <v>2.6678819999999999E-2</v>
      </c>
      <c r="T5430" s="2">
        <v>1.4781620000000001E-2</v>
      </c>
    </row>
    <row r="5431" spans="18:20" x14ac:dyDescent="0.45">
      <c r="R5431" s="2">
        <v>71.069999999999993</v>
      </c>
      <c r="S5431" s="2">
        <v>2.670929E-2</v>
      </c>
      <c r="T5431" s="2">
        <v>1.4797390000000001E-2</v>
      </c>
    </row>
    <row r="5432" spans="18:20" x14ac:dyDescent="0.45">
      <c r="R5432" s="2">
        <v>71.08</v>
      </c>
      <c r="S5432" s="2">
        <v>2.6739760000000001E-2</v>
      </c>
      <c r="T5432" s="2">
        <v>1.4813160000000001E-2</v>
      </c>
    </row>
    <row r="5433" spans="18:20" x14ac:dyDescent="0.45">
      <c r="R5433" s="2">
        <v>71.09</v>
      </c>
      <c r="S5433" s="2">
        <v>2.6770229999999999E-2</v>
      </c>
      <c r="T5433" s="2">
        <v>1.4828930000000001E-2</v>
      </c>
    </row>
    <row r="5434" spans="18:20" x14ac:dyDescent="0.45">
      <c r="R5434" s="2">
        <v>71.099999999999994</v>
      </c>
      <c r="S5434" s="2">
        <v>2.68007E-2</v>
      </c>
      <c r="T5434" s="2">
        <v>1.4844700000000001E-2</v>
      </c>
    </row>
    <row r="5435" spans="18:20" x14ac:dyDescent="0.45">
      <c r="R5435" s="2">
        <v>71.11</v>
      </c>
      <c r="S5435" s="2">
        <v>2.6831170000000001E-2</v>
      </c>
      <c r="T5435" s="2">
        <v>1.4860470000000001E-2</v>
      </c>
    </row>
    <row r="5436" spans="18:20" x14ac:dyDescent="0.45">
      <c r="R5436" s="2">
        <v>71.12</v>
      </c>
      <c r="S5436" s="2">
        <v>2.6861639999999999E-2</v>
      </c>
      <c r="T5436" s="2">
        <v>1.4876240000000001E-2</v>
      </c>
    </row>
    <row r="5437" spans="18:20" x14ac:dyDescent="0.45">
      <c r="R5437" s="2">
        <v>71.13</v>
      </c>
      <c r="S5437" s="2">
        <v>2.689211E-2</v>
      </c>
      <c r="T5437" s="2">
        <v>1.4892010000000001E-2</v>
      </c>
    </row>
    <row r="5438" spans="18:20" x14ac:dyDescent="0.45">
      <c r="R5438" s="2">
        <v>71.14</v>
      </c>
      <c r="S5438" s="2">
        <v>2.6922580000000002E-2</v>
      </c>
      <c r="T5438" s="2">
        <v>1.4907780000000001E-2</v>
      </c>
    </row>
    <row r="5439" spans="18:20" x14ac:dyDescent="0.45">
      <c r="R5439" s="2">
        <v>71.150000000000006</v>
      </c>
      <c r="S5439" s="2">
        <v>2.6953049999999999E-2</v>
      </c>
      <c r="T5439" s="2">
        <v>1.4923550000000001E-2</v>
      </c>
    </row>
    <row r="5440" spans="18:20" x14ac:dyDescent="0.45">
      <c r="R5440" s="2">
        <v>71.16</v>
      </c>
      <c r="S5440" s="2">
        <v>2.698352E-2</v>
      </c>
      <c r="T5440" s="2">
        <v>1.4939320000000001E-2</v>
      </c>
    </row>
    <row r="5441" spans="18:20" x14ac:dyDescent="0.45">
      <c r="R5441" s="2">
        <v>71.17</v>
      </c>
      <c r="S5441" s="2">
        <v>2.7013990000000002E-2</v>
      </c>
      <c r="T5441" s="2">
        <v>1.4955090000000001E-2</v>
      </c>
    </row>
    <row r="5442" spans="18:20" x14ac:dyDescent="0.45">
      <c r="R5442" s="2">
        <v>71.180000000000007</v>
      </c>
      <c r="S5442" s="2">
        <v>2.7044459999999999E-2</v>
      </c>
      <c r="T5442" s="2">
        <v>1.4970860000000001E-2</v>
      </c>
    </row>
    <row r="5443" spans="18:20" x14ac:dyDescent="0.45">
      <c r="R5443" s="2">
        <v>71.19</v>
      </c>
      <c r="S5443" s="2">
        <v>2.7074930000000001E-2</v>
      </c>
      <c r="T5443" s="2">
        <v>1.4986630000000001E-2</v>
      </c>
    </row>
    <row r="5444" spans="18:20" x14ac:dyDescent="0.45">
      <c r="R5444" s="2">
        <v>71.2</v>
      </c>
      <c r="S5444" s="2">
        <v>2.7105400000000002E-2</v>
      </c>
      <c r="T5444" s="2">
        <v>1.5002400000000001E-2</v>
      </c>
    </row>
    <row r="5445" spans="18:20" x14ac:dyDescent="0.45">
      <c r="R5445" s="2">
        <v>71.209999999999994</v>
      </c>
      <c r="S5445" s="2">
        <v>2.7135869999999999E-2</v>
      </c>
      <c r="T5445" s="2">
        <v>1.5018170000000001E-2</v>
      </c>
    </row>
    <row r="5446" spans="18:20" x14ac:dyDescent="0.45">
      <c r="R5446" s="2">
        <v>71.22</v>
      </c>
      <c r="S5446" s="2">
        <v>2.7166340000000001E-2</v>
      </c>
      <c r="T5446" s="2">
        <v>1.5033940000000001E-2</v>
      </c>
    </row>
    <row r="5447" spans="18:20" x14ac:dyDescent="0.45">
      <c r="R5447" s="2">
        <v>71.23</v>
      </c>
      <c r="S5447" s="2">
        <v>2.7196809999999998E-2</v>
      </c>
      <c r="T5447" s="2">
        <v>1.5049710000000001E-2</v>
      </c>
    </row>
    <row r="5448" spans="18:20" x14ac:dyDescent="0.45">
      <c r="R5448" s="2">
        <v>71.239999999999995</v>
      </c>
      <c r="S5448" s="2">
        <v>2.722728E-2</v>
      </c>
      <c r="T5448" s="2">
        <v>1.5065479999999999E-2</v>
      </c>
    </row>
    <row r="5449" spans="18:20" x14ac:dyDescent="0.45">
      <c r="R5449" s="2">
        <v>71.25</v>
      </c>
      <c r="S5449" s="2">
        <v>2.7257750000000001E-2</v>
      </c>
      <c r="T5449" s="2">
        <v>1.5081249999999999E-2</v>
      </c>
    </row>
    <row r="5450" spans="18:20" x14ac:dyDescent="0.45">
      <c r="R5450" s="2">
        <v>71.260000000000005</v>
      </c>
      <c r="S5450" s="2">
        <v>2.7288219999999998E-2</v>
      </c>
      <c r="T5450" s="2">
        <v>1.5097019999999999E-2</v>
      </c>
    </row>
    <row r="5451" spans="18:20" x14ac:dyDescent="0.45">
      <c r="R5451" s="2">
        <v>71.27</v>
      </c>
      <c r="S5451" s="2">
        <v>2.731869E-2</v>
      </c>
      <c r="T5451" s="2">
        <v>1.5112789999999999E-2</v>
      </c>
    </row>
    <row r="5452" spans="18:20" x14ac:dyDescent="0.45">
      <c r="R5452" s="2">
        <v>71.28</v>
      </c>
      <c r="S5452" s="2">
        <v>2.7349160000000001E-2</v>
      </c>
      <c r="T5452" s="2">
        <v>1.5128559999999999E-2</v>
      </c>
    </row>
    <row r="5453" spans="18:20" x14ac:dyDescent="0.45">
      <c r="R5453" s="2">
        <v>71.290000000000006</v>
      </c>
      <c r="S5453" s="2">
        <v>2.7379629999999999E-2</v>
      </c>
      <c r="T5453" s="2">
        <v>1.5144329999999999E-2</v>
      </c>
    </row>
    <row r="5454" spans="18:20" x14ac:dyDescent="0.45">
      <c r="R5454" s="2">
        <v>71.3</v>
      </c>
      <c r="S5454" s="2">
        <v>2.74101E-2</v>
      </c>
      <c r="T5454" s="2">
        <v>1.5160099999999999E-2</v>
      </c>
    </row>
    <row r="5455" spans="18:20" x14ac:dyDescent="0.45">
      <c r="R5455" s="2">
        <v>71.31</v>
      </c>
      <c r="S5455" s="2">
        <v>2.7440570000000001E-2</v>
      </c>
      <c r="T5455" s="2">
        <v>1.5175869999999999E-2</v>
      </c>
    </row>
    <row r="5456" spans="18:20" x14ac:dyDescent="0.45">
      <c r="R5456" s="2">
        <v>71.319999999999993</v>
      </c>
      <c r="S5456" s="2">
        <v>2.7471039999999999E-2</v>
      </c>
      <c r="T5456" s="2">
        <v>1.5191639999999999E-2</v>
      </c>
    </row>
    <row r="5457" spans="18:20" x14ac:dyDescent="0.45">
      <c r="R5457" s="2">
        <v>71.33</v>
      </c>
      <c r="S5457" s="2">
        <v>2.750151E-2</v>
      </c>
      <c r="T5457" s="2">
        <v>1.5207409999999999E-2</v>
      </c>
    </row>
    <row r="5458" spans="18:20" x14ac:dyDescent="0.45">
      <c r="R5458" s="2">
        <v>71.34</v>
      </c>
      <c r="S5458" s="2">
        <v>2.7531980000000001E-2</v>
      </c>
      <c r="T5458" s="2">
        <v>1.5223179999999999E-2</v>
      </c>
    </row>
    <row r="5459" spans="18:20" x14ac:dyDescent="0.45">
      <c r="R5459" s="2">
        <v>71.349999999999994</v>
      </c>
      <c r="S5459" s="2">
        <v>2.7562449999999999E-2</v>
      </c>
      <c r="T5459" s="2">
        <v>1.5238949999999999E-2</v>
      </c>
    </row>
    <row r="5460" spans="18:20" x14ac:dyDescent="0.45">
      <c r="R5460" s="2">
        <v>71.36</v>
      </c>
      <c r="S5460" s="2">
        <v>2.759292E-2</v>
      </c>
      <c r="T5460" s="2">
        <v>1.5254719999999999E-2</v>
      </c>
    </row>
    <row r="5461" spans="18:20" x14ac:dyDescent="0.45">
      <c r="R5461" s="2">
        <v>71.37</v>
      </c>
      <c r="S5461" s="2">
        <v>2.7623390000000001E-2</v>
      </c>
      <c r="T5461" s="2">
        <v>1.5270489999999999E-2</v>
      </c>
    </row>
    <row r="5462" spans="18:20" x14ac:dyDescent="0.45">
      <c r="R5462" s="2">
        <v>71.38</v>
      </c>
      <c r="S5462" s="2">
        <v>2.7653859999999999E-2</v>
      </c>
      <c r="T5462" s="2">
        <v>1.5286259999999999E-2</v>
      </c>
    </row>
    <row r="5463" spans="18:20" x14ac:dyDescent="0.45">
      <c r="R5463" s="2">
        <v>71.39</v>
      </c>
      <c r="S5463" s="2">
        <v>2.768433E-2</v>
      </c>
      <c r="T5463" s="2">
        <v>1.5302029999999999E-2</v>
      </c>
    </row>
    <row r="5464" spans="18:20" x14ac:dyDescent="0.45">
      <c r="R5464" s="2">
        <v>71.400000000000006</v>
      </c>
      <c r="S5464" s="2">
        <v>2.7714800000000001E-2</v>
      </c>
      <c r="T5464" s="2">
        <v>1.5317799999999999E-2</v>
      </c>
    </row>
    <row r="5465" spans="18:20" x14ac:dyDescent="0.45">
      <c r="R5465" s="2">
        <v>71.41</v>
      </c>
      <c r="S5465" s="2">
        <v>2.7745269999999999E-2</v>
      </c>
      <c r="T5465" s="2">
        <v>1.5333569999999999E-2</v>
      </c>
    </row>
    <row r="5466" spans="18:20" x14ac:dyDescent="0.45">
      <c r="R5466" s="2">
        <v>71.42</v>
      </c>
      <c r="S5466" s="2">
        <v>2.777574E-2</v>
      </c>
      <c r="T5466" s="2">
        <v>1.534934E-2</v>
      </c>
    </row>
    <row r="5467" spans="18:20" x14ac:dyDescent="0.45">
      <c r="R5467" s="2">
        <v>71.430000000000007</v>
      </c>
      <c r="S5467" s="2">
        <v>2.7806210000000001E-2</v>
      </c>
      <c r="T5467" s="2">
        <v>1.536511E-2</v>
      </c>
    </row>
    <row r="5468" spans="18:20" x14ac:dyDescent="0.45">
      <c r="R5468" s="2">
        <v>71.44</v>
      </c>
      <c r="S5468" s="2">
        <v>2.7836679999999999E-2</v>
      </c>
      <c r="T5468" s="2">
        <v>1.538088E-2</v>
      </c>
    </row>
    <row r="5469" spans="18:20" x14ac:dyDescent="0.45">
      <c r="R5469" s="2">
        <v>71.45</v>
      </c>
      <c r="S5469" s="2">
        <v>2.786715E-2</v>
      </c>
      <c r="T5469" s="2">
        <v>1.539665E-2</v>
      </c>
    </row>
    <row r="5470" spans="18:20" x14ac:dyDescent="0.45">
      <c r="R5470" s="2">
        <v>71.459999999999994</v>
      </c>
      <c r="S5470" s="2">
        <v>2.7897620000000001E-2</v>
      </c>
      <c r="T5470" s="2">
        <v>1.541242E-2</v>
      </c>
    </row>
    <row r="5471" spans="18:20" x14ac:dyDescent="0.45">
      <c r="R5471" s="2">
        <v>71.47</v>
      </c>
      <c r="S5471" s="2">
        <v>2.7928089999999999E-2</v>
      </c>
      <c r="T5471" s="2">
        <v>1.542819E-2</v>
      </c>
    </row>
    <row r="5472" spans="18:20" x14ac:dyDescent="0.45">
      <c r="R5472" s="2">
        <v>71.48</v>
      </c>
      <c r="S5472" s="2">
        <v>2.795856E-2</v>
      </c>
      <c r="T5472" s="2">
        <v>1.544396E-2</v>
      </c>
    </row>
    <row r="5473" spans="18:20" x14ac:dyDescent="0.45">
      <c r="R5473" s="2">
        <v>71.489999999999995</v>
      </c>
      <c r="S5473" s="2">
        <v>2.7989030000000002E-2</v>
      </c>
      <c r="T5473" s="2">
        <v>1.545973E-2</v>
      </c>
    </row>
    <row r="5474" spans="18:20" x14ac:dyDescent="0.45">
      <c r="R5474" s="2">
        <v>71.5</v>
      </c>
      <c r="S5474" s="2">
        <v>2.8019499999999999E-2</v>
      </c>
      <c r="T5474" s="2">
        <v>1.54755E-2</v>
      </c>
    </row>
    <row r="5475" spans="18:20" x14ac:dyDescent="0.45">
      <c r="R5475" s="2">
        <v>71.510000000000005</v>
      </c>
      <c r="S5475" s="2">
        <v>2.804997E-2</v>
      </c>
      <c r="T5475" s="2">
        <v>1.549127E-2</v>
      </c>
    </row>
    <row r="5476" spans="18:20" x14ac:dyDescent="0.45">
      <c r="R5476" s="2">
        <v>71.52</v>
      </c>
      <c r="S5476" s="2">
        <v>2.8080440000000002E-2</v>
      </c>
      <c r="T5476" s="2">
        <v>1.550704E-2</v>
      </c>
    </row>
    <row r="5477" spans="18:20" x14ac:dyDescent="0.45">
      <c r="R5477" s="2">
        <v>71.53</v>
      </c>
      <c r="S5477" s="2">
        <v>2.8110909999999999E-2</v>
      </c>
      <c r="T5477" s="2">
        <v>1.552281E-2</v>
      </c>
    </row>
    <row r="5478" spans="18:20" x14ac:dyDescent="0.45">
      <c r="R5478" s="2">
        <v>71.540000000000006</v>
      </c>
      <c r="S5478" s="2">
        <v>2.8141380000000001E-2</v>
      </c>
      <c r="T5478" s="2">
        <v>1.553858E-2</v>
      </c>
    </row>
    <row r="5479" spans="18:20" x14ac:dyDescent="0.45">
      <c r="R5479" s="2">
        <v>71.55</v>
      </c>
      <c r="S5479" s="2">
        <v>2.8171849999999998E-2</v>
      </c>
      <c r="T5479" s="2">
        <v>1.555435E-2</v>
      </c>
    </row>
    <row r="5480" spans="18:20" x14ac:dyDescent="0.45">
      <c r="R5480" s="2">
        <v>71.56</v>
      </c>
      <c r="S5480" s="2">
        <v>2.8202319999999999E-2</v>
      </c>
      <c r="T5480" s="2">
        <v>1.557012E-2</v>
      </c>
    </row>
    <row r="5481" spans="18:20" x14ac:dyDescent="0.45">
      <c r="R5481" s="2">
        <v>71.569999999999993</v>
      </c>
      <c r="S5481" s="2">
        <v>2.8232790000000001E-2</v>
      </c>
      <c r="T5481" s="2">
        <v>1.558589E-2</v>
      </c>
    </row>
    <row r="5482" spans="18:20" x14ac:dyDescent="0.45">
      <c r="R5482" s="2">
        <v>71.58</v>
      </c>
      <c r="S5482" s="2">
        <v>2.8263259999999998E-2</v>
      </c>
      <c r="T5482" s="2">
        <v>1.560166E-2</v>
      </c>
    </row>
    <row r="5483" spans="18:20" x14ac:dyDescent="0.45">
      <c r="R5483" s="2">
        <v>71.59</v>
      </c>
      <c r="S5483" s="2">
        <v>2.829373E-2</v>
      </c>
      <c r="T5483" s="2">
        <v>1.561743E-2</v>
      </c>
    </row>
    <row r="5484" spans="18:20" x14ac:dyDescent="0.45">
      <c r="R5484" s="2">
        <v>71.599999999999994</v>
      </c>
      <c r="S5484" s="2">
        <v>2.8324200000000001E-2</v>
      </c>
      <c r="T5484" s="2">
        <v>1.56332E-2</v>
      </c>
    </row>
    <row r="5485" spans="18:20" x14ac:dyDescent="0.45">
      <c r="R5485" s="2">
        <v>71.61</v>
      </c>
      <c r="S5485" s="2">
        <v>2.8354669999999998E-2</v>
      </c>
      <c r="T5485" s="2">
        <v>1.5648970000000002E-2</v>
      </c>
    </row>
    <row r="5486" spans="18:20" x14ac:dyDescent="0.45">
      <c r="R5486" s="2">
        <v>71.62</v>
      </c>
      <c r="S5486" s="2">
        <v>2.838514E-2</v>
      </c>
      <c r="T5486" s="2">
        <v>1.566474E-2</v>
      </c>
    </row>
    <row r="5487" spans="18:20" x14ac:dyDescent="0.45">
      <c r="R5487" s="2">
        <v>71.63</v>
      </c>
      <c r="S5487" s="2">
        <v>2.8415610000000001E-2</v>
      </c>
      <c r="T5487" s="2">
        <v>1.5680510000000002E-2</v>
      </c>
    </row>
    <row r="5488" spans="18:20" x14ac:dyDescent="0.45">
      <c r="R5488" s="2">
        <v>71.64</v>
      </c>
      <c r="S5488" s="2">
        <v>2.8446079999999999E-2</v>
      </c>
      <c r="T5488" s="2">
        <v>1.569628E-2</v>
      </c>
    </row>
    <row r="5489" spans="18:20" x14ac:dyDescent="0.45">
      <c r="R5489" s="2">
        <v>71.650000000000006</v>
      </c>
      <c r="S5489" s="2">
        <v>2.847655E-2</v>
      </c>
      <c r="T5489" s="2">
        <v>1.5712050000000002E-2</v>
      </c>
    </row>
    <row r="5490" spans="18:20" x14ac:dyDescent="0.45">
      <c r="R5490" s="2">
        <v>71.66</v>
      </c>
      <c r="S5490" s="2">
        <v>2.8507020000000001E-2</v>
      </c>
      <c r="T5490" s="2">
        <v>1.572782E-2</v>
      </c>
    </row>
    <row r="5491" spans="18:20" x14ac:dyDescent="0.45">
      <c r="R5491" s="2">
        <v>71.67</v>
      </c>
      <c r="S5491" s="2">
        <v>2.8537489999999999E-2</v>
      </c>
      <c r="T5491" s="2">
        <v>1.5743589999999998E-2</v>
      </c>
    </row>
    <row r="5492" spans="18:20" x14ac:dyDescent="0.45">
      <c r="R5492" s="2">
        <v>71.680000000000007</v>
      </c>
      <c r="S5492" s="2">
        <v>2.856796E-2</v>
      </c>
      <c r="T5492" s="2">
        <v>1.575936E-2</v>
      </c>
    </row>
    <row r="5493" spans="18:20" x14ac:dyDescent="0.45">
      <c r="R5493" s="2">
        <v>71.69</v>
      </c>
      <c r="S5493" s="2">
        <v>2.8598430000000001E-2</v>
      </c>
      <c r="T5493" s="2">
        <v>1.5775129999999998E-2</v>
      </c>
    </row>
    <row r="5494" spans="18:20" x14ac:dyDescent="0.45">
      <c r="R5494" s="2">
        <v>71.7</v>
      </c>
      <c r="S5494" s="2">
        <v>2.8628899999999999E-2</v>
      </c>
      <c r="T5494" s="2">
        <v>1.57909E-2</v>
      </c>
    </row>
    <row r="5495" spans="18:20" x14ac:dyDescent="0.45">
      <c r="R5495" s="2">
        <v>71.709999999999994</v>
      </c>
      <c r="S5495" s="2">
        <v>2.865937E-2</v>
      </c>
      <c r="T5495" s="2">
        <v>1.5806669999999998E-2</v>
      </c>
    </row>
    <row r="5496" spans="18:20" x14ac:dyDescent="0.45">
      <c r="R5496" s="2">
        <v>71.72</v>
      </c>
      <c r="S5496" s="2">
        <v>2.8689840000000001E-2</v>
      </c>
      <c r="T5496" s="2">
        <v>1.582244E-2</v>
      </c>
    </row>
    <row r="5497" spans="18:20" x14ac:dyDescent="0.45">
      <c r="R5497" s="2">
        <v>71.73</v>
      </c>
      <c r="S5497" s="2">
        <v>2.8720309999999999E-2</v>
      </c>
      <c r="T5497" s="2">
        <v>1.5838209999999998E-2</v>
      </c>
    </row>
    <row r="5498" spans="18:20" x14ac:dyDescent="0.45">
      <c r="R5498" s="2">
        <v>71.739999999999995</v>
      </c>
      <c r="S5498" s="2">
        <v>2.875078E-2</v>
      </c>
      <c r="T5498" s="2">
        <v>1.585398E-2</v>
      </c>
    </row>
    <row r="5499" spans="18:20" x14ac:dyDescent="0.45">
      <c r="R5499" s="2">
        <v>71.75</v>
      </c>
      <c r="S5499" s="2">
        <v>2.8781250000000001E-2</v>
      </c>
      <c r="T5499" s="2">
        <v>1.5869749999999998E-2</v>
      </c>
    </row>
    <row r="5500" spans="18:20" x14ac:dyDescent="0.45">
      <c r="R5500" s="2">
        <v>71.760000000000005</v>
      </c>
      <c r="S5500" s="2">
        <v>2.8811719999999999E-2</v>
      </c>
      <c r="T5500" s="2">
        <v>1.588552E-2</v>
      </c>
    </row>
    <row r="5501" spans="18:20" x14ac:dyDescent="0.45">
      <c r="R5501" s="2">
        <v>71.77</v>
      </c>
      <c r="S5501" s="2">
        <v>2.884219E-2</v>
      </c>
      <c r="T5501" s="2">
        <v>1.5901289999999998E-2</v>
      </c>
    </row>
    <row r="5502" spans="18:20" x14ac:dyDescent="0.45">
      <c r="R5502" s="2">
        <v>71.78</v>
      </c>
      <c r="S5502" s="2">
        <v>2.8872660000000001E-2</v>
      </c>
      <c r="T5502" s="2">
        <v>1.591706E-2</v>
      </c>
    </row>
    <row r="5503" spans="18:20" x14ac:dyDescent="0.45">
      <c r="R5503" s="2">
        <v>71.790000000000006</v>
      </c>
      <c r="S5503" s="2">
        <v>2.8903129999999999E-2</v>
      </c>
      <c r="T5503" s="2">
        <v>1.5932829999999999E-2</v>
      </c>
    </row>
    <row r="5504" spans="18:20" x14ac:dyDescent="0.45">
      <c r="R5504" s="2">
        <v>71.8</v>
      </c>
      <c r="S5504" s="2">
        <v>2.89336E-2</v>
      </c>
      <c r="T5504" s="2">
        <v>1.59486E-2</v>
      </c>
    </row>
    <row r="5505" spans="18:20" x14ac:dyDescent="0.45">
      <c r="R5505" s="2">
        <v>71.81</v>
      </c>
      <c r="S5505" s="2">
        <v>2.8964070000000001E-2</v>
      </c>
      <c r="T5505" s="2">
        <v>1.5964369999999999E-2</v>
      </c>
    </row>
    <row r="5506" spans="18:20" x14ac:dyDescent="0.45">
      <c r="R5506" s="2">
        <v>71.819999999999993</v>
      </c>
      <c r="S5506" s="2">
        <v>2.8994539999999999E-2</v>
      </c>
      <c r="T5506" s="2">
        <v>1.598014E-2</v>
      </c>
    </row>
    <row r="5507" spans="18:20" x14ac:dyDescent="0.45">
      <c r="R5507" s="2">
        <v>71.83</v>
      </c>
      <c r="S5507" s="2">
        <v>2.902501E-2</v>
      </c>
      <c r="T5507" s="2">
        <v>1.5995909999999999E-2</v>
      </c>
    </row>
    <row r="5508" spans="18:20" x14ac:dyDescent="0.45">
      <c r="R5508" s="2">
        <v>71.84</v>
      </c>
      <c r="S5508" s="2">
        <v>2.9055480000000002E-2</v>
      </c>
      <c r="T5508" s="2">
        <v>1.601168E-2</v>
      </c>
    </row>
    <row r="5509" spans="18:20" x14ac:dyDescent="0.45">
      <c r="R5509" s="2">
        <v>71.849999999999994</v>
      </c>
      <c r="S5509" s="2">
        <v>2.9085949999999999E-2</v>
      </c>
      <c r="T5509" s="2">
        <v>1.6027449999999999E-2</v>
      </c>
    </row>
    <row r="5510" spans="18:20" x14ac:dyDescent="0.45">
      <c r="R5510" s="2">
        <v>71.86</v>
      </c>
      <c r="S5510" s="2">
        <v>2.911642E-2</v>
      </c>
      <c r="T5510" s="2">
        <v>1.604322E-2</v>
      </c>
    </row>
    <row r="5511" spans="18:20" x14ac:dyDescent="0.45">
      <c r="R5511" s="2">
        <v>71.87</v>
      </c>
      <c r="S5511" s="2">
        <v>2.9146890000000002E-2</v>
      </c>
      <c r="T5511" s="2">
        <v>1.6058989999999999E-2</v>
      </c>
    </row>
    <row r="5512" spans="18:20" x14ac:dyDescent="0.45">
      <c r="R5512" s="2">
        <v>71.88</v>
      </c>
      <c r="S5512" s="2">
        <v>2.9177359999999999E-2</v>
      </c>
      <c r="T5512" s="2">
        <v>1.607476E-2</v>
      </c>
    </row>
    <row r="5513" spans="18:20" x14ac:dyDescent="0.45">
      <c r="R5513" s="2">
        <v>71.89</v>
      </c>
      <c r="S5513" s="2">
        <v>2.9207830000000001E-2</v>
      </c>
      <c r="T5513" s="2">
        <v>1.6090529999999999E-2</v>
      </c>
    </row>
    <row r="5514" spans="18:20" x14ac:dyDescent="0.45">
      <c r="R5514" s="2">
        <v>71.900000000000006</v>
      </c>
      <c r="S5514" s="2">
        <v>2.9238299999999998E-2</v>
      </c>
      <c r="T5514" s="2">
        <v>1.61063E-2</v>
      </c>
    </row>
    <row r="5515" spans="18:20" x14ac:dyDescent="0.45">
      <c r="R5515" s="2">
        <v>71.91</v>
      </c>
      <c r="S5515" s="2">
        <v>2.926877E-2</v>
      </c>
      <c r="T5515" s="2">
        <v>1.6122069999999999E-2</v>
      </c>
    </row>
    <row r="5516" spans="18:20" x14ac:dyDescent="0.45">
      <c r="R5516" s="2">
        <v>71.92</v>
      </c>
      <c r="S5516" s="2">
        <v>2.9299240000000001E-2</v>
      </c>
      <c r="T5516" s="2">
        <v>1.6137840000000001E-2</v>
      </c>
    </row>
    <row r="5517" spans="18:20" x14ac:dyDescent="0.45">
      <c r="R5517" s="2">
        <v>71.930000000000007</v>
      </c>
      <c r="S5517" s="2">
        <v>2.9329709999999998E-2</v>
      </c>
      <c r="T5517" s="2">
        <v>1.6153609999999999E-2</v>
      </c>
    </row>
    <row r="5518" spans="18:20" x14ac:dyDescent="0.45">
      <c r="R5518" s="2">
        <v>71.94</v>
      </c>
      <c r="S5518" s="2">
        <v>2.936018E-2</v>
      </c>
      <c r="T5518" s="2">
        <v>1.6169380000000001E-2</v>
      </c>
    </row>
    <row r="5519" spans="18:20" x14ac:dyDescent="0.45">
      <c r="R5519" s="2">
        <v>71.95</v>
      </c>
      <c r="S5519" s="2">
        <v>2.9390650000000001E-2</v>
      </c>
      <c r="T5519" s="2">
        <v>1.6185149999999999E-2</v>
      </c>
    </row>
    <row r="5520" spans="18:20" x14ac:dyDescent="0.45">
      <c r="R5520" s="2">
        <v>71.959999999999994</v>
      </c>
      <c r="S5520" s="2">
        <v>2.9421119999999999E-2</v>
      </c>
      <c r="T5520" s="2">
        <v>1.6200920000000001E-2</v>
      </c>
    </row>
    <row r="5521" spans="18:20" x14ac:dyDescent="0.45">
      <c r="R5521" s="2">
        <v>71.97</v>
      </c>
      <c r="S5521" s="2">
        <v>2.945159E-2</v>
      </c>
      <c r="T5521" s="2">
        <v>1.6216689999999999E-2</v>
      </c>
    </row>
    <row r="5522" spans="18:20" x14ac:dyDescent="0.45">
      <c r="R5522" s="2">
        <v>71.98</v>
      </c>
      <c r="S5522" s="2">
        <v>2.9482060000000001E-2</v>
      </c>
      <c r="T5522" s="2">
        <v>1.6232460000000001E-2</v>
      </c>
    </row>
    <row r="5523" spans="18:20" x14ac:dyDescent="0.45">
      <c r="R5523" s="2">
        <v>71.989999999999995</v>
      </c>
      <c r="S5523" s="2">
        <v>2.9512529999999999E-2</v>
      </c>
      <c r="T5523" s="2">
        <v>1.6248229999999999E-2</v>
      </c>
    </row>
    <row r="5524" spans="18:20" x14ac:dyDescent="0.45">
      <c r="R5524" s="2">
        <v>72</v>
      </c>
      <c r="S5524" s="2">
        <v>2.9543E-2</v>
      </c>
      <c r="T5524" s="2">
        <v>1.6264000000000001E-2</v>
      </c>
    </row>
    <row r="5525" spans="18:20" x14ac:dyDescent="0.45">
      <c r="R5525" s="2">
        <v>72.010000000000005</v>
      </c>
      <c r="S5525" s="2">
        <v>2.9576689999999999E-2</v>
      </c>
      <c r="T5525" s="2">
        <v>1.6281469999999999E-2</v>
      </c>
    </row>
    <row r="5526" spans="18:20" x14ac:dyDescent="0.45">
      <c r="R5526" s="2">
        <v>72.02</v>
      </c>
      <c r="S5526" s="2">
        <v>2.9610379999999999E-2</v>
      </c>
      <c r="T5526" s="2">
        <v>1.6298940000000001E-2</v>
      </c>
    </row>
    <row r="5527" spans="18:20" x14ac:dyDescent="0.45">
      <c r="R5527" s="2">
        <v>72.03</v>
      </c>
      <c r="S5527" s="2">
        <v>2.9644070000000002E-2</v>
      </c>
      <c r="T5527" s="2">
        <v>1.631641E-2</v>
      </c>
    </row>
    <row r="5528" spans="18:20" x14ac:dyDescent="0.45">
      <c r="R5528" s="2">
        <v>72.040000000000006</v>
      </c>
      <c r="S5528" s="2">
        <v>2.9677760000000001E-2</v>
      </c>
      <c r="T5528" s="2">
        <v>1.6333879999999999E-2</v>
      </c>
    </row>
    <row r="5529" spans="18:20" x14ac:dyDescent="0.45">
      <c r="R5529" s="2">
        <v>72.05</v>
      </c>
      <c r="S5529" s="2">
        <v>2.971145E-2</v>
      </c>
      <c r="T5529" s="2">
        <v>1.6351350000000001E-2</v>
      </c>
    </row>
    <row r="5530" spans="18:20" x14ac:dyDescent="0.45">
      <c r="R5530" s="2">
        <v>72.06</v>
      </c>
      <c r="S5530" s="2">
        <v>2.974514E-2</v>
      </c>
      <c r="T5530" s="2">
        <v>1.6368819999999999E-2</v>
      </c>
    </row>
    <row r="5531" spans="18:20" x14ac:dyDescent="0.45">
      <c r="R5531" s="2">
        <v>72.069999999999993</v>
      </c>
      <c r="S5531" s="2">
        <v>2.9778829999999999E-2</v>
      </c>
      <c r="T5531" s="2">
        <v>1.6386290000000001E-2</v>
      </c>
    </row>
    <row r="5532" spans="18:20" x14ac:dyDescent="0.45">
      <c r="R5532" s="2">
        <v>72.08</v>
      </c>
      <c r="S5532" s="2">
        <v>2.9812519999999999E-2</v>
      </c>
      <c r="T5532" s="2">
        <v>1.640376E-2</v>
      </c>
    </row>
    <row r="5533" spans="18:20" x14ac:dyDescent="0.45">
      <c r="R5533" s="2">
        <v>72.09</v>
      </c>
      <c r="S5533" s="2">
        <v>2.9846210000000001E-2</v>
      </c>
      <c r="T5533" s="2">
        <v>1.6421229999999998E-2</v>
      </c>
    </row>
    <row r="5534" spans="18:20" x14ac:dyDescent="0.45">
      <c r="R5534" s="2">
        <v>72.099999999999994</v>
      </c>
      <c r="S5534" s="2">
        <v>2.9879900000000001E-2</v>
      </c>
      <c r="T5534" s="2">
        <v>1.6438700000000001E-2</v>
      </c>
    </row>
    <row r="5535" spans="18:20" x14ac:dyDescent="0.45">
      <c r="R5535" s="2">
        <v>72.11</v>
      </c>
      <c r="S5535" s="2">
        <v>2.991359E-2</v>
      </c>
      <c r="T5535" s="2">
        <v>1.6456169999999999E-2</v>
      </c>
    </row>
    <row r="5536" spans="18:20" x14ac:dyDescent="0.45">
      <c r="R5536" s="2">
        <v>72.12</v>
      </c>
      <c r="S5536" s="2">
        <v>2.994728E-2</v>
      </c>
      <c r="T5536" s="2">
        <v>1.6473640000000001E-2</v>
      </c>
    </row>
    <row r="5537" spans="18:20" x14ac:dyDescent="0.45">
      <c r="R5537" s="2">
        <v>72.13</v>
      </c>
      <c r="S5537" s="2">
        <v>2.9980969999999999E-2</v>
      </c>
      <c r="T5537" s="2">
        <v>1.649111E-2</v>
      </c>
    </row>
    <row r="5538" spans="18:20" x14ac:dyDescent="0.45">
      <c r="R5538" s="2">
        <v>72.14</v>
      </c>
      <c r="S5538" s="2">
        <v>3.0014659999999999E-2</v>
      </c>
      <c r="T5538" s="2">
        <v>1.6508579999999998E-2</v>
      </c>
    </row>
    <row r="5539" spans="18:20" x14ac:dyDescent="0.45">
      <c r="R5539" s="2">
        <v>72.150000000000006</v>
      </c>
      <c r="S5539" s="2">
        <v>3.0048350000000001E-2</v>
      </c>
      <c r="T5539" s="2">
        <v>1.652605E-2</v>
      </c>
    </row>
    <row r="5540" spans="18:20" x14ac:dyDescent="0.45">
      <c r="R5540" s="2">
        <v>72.16</v>
      </c>
      <c r="S5540" s="2">
        <v>3.0082040000000001E-2</v>
      </c>
      <c r="T5540" s="2">
        <v>1.6543519999999999E-2</v>
      </c>
    </row>
    <row r="5541" spans="18:20" x14ac:dyDescent="0.45">
      <c r="R5541" s="2">
        <v>72.17</v>
      </c>
      <c r="S5541" s="2">
        <v>3.011573E-2</v>
      </c>
      <c r="T5541" s="2">
        <v>1.6560990000000001E-2</v>
      </c>
    </row>
    <row r="5542" spans="18:20" x14ac:dyDescent="0.45">
      <c r="R5542" s="2">
        <v>72.180000000000007</v>
      </c>
      <c r="S5542" s="2">
        <v>3.014942E-2</v>
      </c>
      <c r="T5542" s="2">
        <v>1.657846E-2</v>
      </c>
    </row>
    <row r="5543" spans="18:20" x14ac:dyDescent="0.45">
      <c r="R5543" s="2">
        <v>72.19</v>
      </c>
      <c r="S5543" s="2">
        <v>3.0183109999999999E-2</v>
      </c>
      <c r="T5543" s="2">
        <v>1.6595929999999998E-2</v>
      </c>
    </row>
    <row r="5544" spans="18:20" x14ac:dyDescent="0.45">
      <c r="R5544" s="2">
        <v>72.2</v>
      </c>
      <c r="S5544" s="2">
        <v>3.0216799999999999E-2</v>
      </c>
      <c r="T5544" s="2">
        <v>1.66134E-2</v>
      </c>
    </row>
    <row r="5545" spans="18:20" x14ac:dyDescent="0.45">
      <c r="R5545" s="2">
        <v>72.209999999999994</v>
      </c>
      <c r="S5545" s="2">
        <v>3.0250490000000001E-2</v>
      </c>
      <c r="T5545" s="2">
        <v>1.6630869999999999E-2</v>
      </c>
    </row>
    <row r="5546" spans="18:20" x14ac:dyDescent="0.45">
      <c r="R5546" s="2">
        <v>72.22</v>
      </c>
      <c r="S5546" s="2">
        <v>3.0284180000000001E-2</v>
      </c>
      <c r="T5546" s="2">
        <v>1.6648340000000001E-2</v>
      </c>
    </row>
    <row r="5547" spans="18:20" x14ac:dyDescent="0.45">
      <c r="R5547" s="2">
        <v>72.23</v>
      </c>
      <c r="S5547" s="2">
        <v>3.031787E-2</v>
      </c>
      <c r="T5547" s="2">
        <v>1.666581E-2</v>
      </c>
    </row>
    <row r="5548" spans="18:20" x14ac:dyDescent="0.45">
      <c r="R5548" s="2">
        <v>72.239999999999995</v>
      </c>
      <c r="S5548" s="2">
        <v>3.035156E-2</v>
      </c>
      <c r="T5548" s="2">
        <v>1.6683280000000002E-2</v>
      </c>
    </row>
    <row r="5549" spans="18:20" x14ac:dyDescent="0.45">
      <c r="R5549" s="2">
        <v>72.25</v>
      </c>
      <c r="S5549" s="2">
        <v>3.0385249999999999E-2</v>
      </c>
      <c r="T5549" s="2">
        <v>1.670075E-2</v>
      </c>
    </row>
    <row r="5550" spans="18:20" x14ac:dyDescent="0.45">
      <c r="R5550" s="2">
        <v>72.260000000000005</v>
      </c>
      <c r="S5550" s="2">
        <v>3.0418939999999998E-2</v>
      </c>
      <c r="T5550" s="2">
        <v>1.6718219999999999E-2</v>
      </c>
    </row>
    <row r="5551" spans="18:20" x14ac:dyDescent="0.45">
      <c r="R5551" s="2">
        <v>72.27</v>
      </c>
      <c r="S5551" s="2">
        <v>3.0452630000000001E-2</v>
      </c>
      <c r="T5551" s="2">
        <v>1.6735690000000001E-2</v>
      </c>
    </row>
    <row r="5552" spans="18:20" x14ac:dyDescent="0.45">
      <c r="R5552" s="2">
        <v>72.28</v>
      </c>
      <c r="S5552" s="2">
        <v>3.0486320000000001E-2</v>
      </c>
      <c r="T5552" s="2">
        <v>1.675316E-2</v>
      </c>
    </row>
    <row r="5553" spans="18:20" x14ac:dyDescent="0.45">
      <c r="R5553" s="2">
        <v>72.290000000000006</v>
      </c>
      <c r="S5553" s="2">
        <v>3.052001E-2</v>
      </c>
      <c r="T5553" s="2">
        <v>1.6770630000000002E-2</v>
      </c>
    </row>
    <row r="5554" spans="18:20" x14ac:dyDescent="0.45">
      <c r="R5554" s="2">
        <v>72.3</v>
      </c>
      <c r="S5554" s="2">
        <v>3.05537E-2</v>
      </c>
      <c r="T5554" s="2">
        <v>1.67881E-2</v>
      </c>
    </row>
    <row r="5555" spans="18:20" x14ac:dyDescent="0.45">
      <c r="R5555" s="2">
        <v>72.31</v>
      </c>
      <c r="S5555" s="2">
        <v>3.0587389999999999E-2</v>
      </c>
      <c r="T5555" s="2">
        <v>1.6805569999999999E-2</v>
      </c>
    </row>
    <row r="5556" spans="18:20" x14ac:dyDescent="0.45">
      <c r="R5556" s="2">
        <v>72.319999999999993</v>
      </c>
      <c r="S5556" s="2">
        <v>3.0621079999999998E-2</v>
      </c>
      <c r="T5556" s="2">
        <v>1.6823040000000001E-2</v>
      </c>
    </row>
    <row r="5557" spans="18:20" x14ac:dyDescent="0.45">
      <c r="R5557" s="2">
        <v>72.33</v>
      </c>
      <c r="S5557" s="2">
        <v>3.0654770000000001E-2</v>
      </c>
      <c r="T5557" s="2">
        <v>1.684051E-2</v>
      </c>
    </row>
    <row r="5558" spans="18:20" x14ac:dyDescent="0.45">
      <c r="R5558" s="2">
        <v>72.34</v>
      </c>
      <c r="S5558" s="2">
        <v>3.0688460000000001E-2</v>
      </c>
      <c r="T5558" s="2">
        <v>1.6857980000000002E-2</v>
      </c>
    </row>
    <row r="5559" spans="18:20" x14ac:dyDescent="0.45">
      <c r="R5559" s="2">
        <v>72.349999999999994</v>
      </c>
      <c r="S5559" s="2">
        <v>3.072215E-2</v>
      </c>
      <c r="T5559" s="2">
        <v>1.687545E-2</v>
      </c>
    </row>
    <row r="5560" spans="18:20" x14ac:dyDescent="0.45">
      <c r="R5560" s="2">
        <v>72.36</v>
      </c>
      <c r="S5560" s="2">
        <v>3.075584E-2</v>
      </c>
      <c r="T5560" s="2">
        <v>1.6892919999999999E-2</v>
      </c>
    </row>
    <row r="5561" spans="18:20" x14ac:dyDescent="0.45">
      <c r="R5561" s="2">
        <v>72.37</v>
      </c>
      <c r="S5561" s="2">
        <v>3.0789529999999999E-2</v>
      </c>
      <c r="T5561" s="2">
        <v>1.6910390000000001E-2</v>
      </c>
    </row>
    <row r="5562" spans="18:20" x14ac:dyDescent="0.45">
      <c r="R5562" s="2">
        <v>72.38</v>
      </c>
      <c r="S5562" s="2">
        <v>3.0823219999999998E-2</v>
      </c>
      <c r="T5562" s="2">
        <v>1.6927859999999999E-2</v>
      </c>
    </row>
    <row r="5563" spans="18:20" x14ac:dyDescent="0.45">
      <c r="R5563" s="2">
        <v>72.39</v>
      </c>
      <c r="S5563" s="2">
        <v>3.0856910000000001E-2</v>
      </c>
      <c r="T5563" s="2">
        <v>1.6945330000000002E-2</v>
      </c>
    </row>
    <row r="5564" spans="18:20" x14ac:dyDescent="0.45">
      <c r="R5564" s="2">
        <v>72.400000000000006</v>
      </c>
      <c r="S5564" s="2">
        <v>3.0890600000000001E-2</v>
      </c>
      <c r="T5564" s="2">
        <v>1.69628E-2</v>
      </c>
    </row>
    <row r="5565" spans="18:20" x14ac:dyDescent="0.45">
      <c r="R5565" s="2">
        <v>72.41</v>
      </c>
      <c r="S5565" s="2">
        <v>3.092429E-2</v>
      </c>
      <c r="T5565" s="2">
        <v>1.6980269999999999E-2</v>
      </c>
    </row>
    <row r="5566" spans="18:20" x14ac:dyDescent="0.45">
      <c r="R5566" s="2">
        <v>72.42</v>
      </c>
      <c r="S5566" s="2">
        <v>3.095798E-2</v>
      </c>
      <c r="T5566" s="2">
        <v>1.6997740000000001E-2</v>
      </c>
    </row>
    <row r="5567" spans="18:20" x14ac:dyDescent="0.45">
      <c r="R5567" s="2">
        <v>72.430000000000007</v>
      </c>
      <c r="S5567" s="2">
        <v>3.0991669999999999E-2</v>
      </c>
      <c r="T5567" s="2">
        <v>1.7015209999999999E-2</v>
      </c>
    </row>
    <row r="5568" spans="18:20" x14ac:dyDescent="0.45">
      <c r="R5568" s="2">
        <v>72.44</v>
      </c>
      <c r="S5568" s="2">
        <v>3.1025359999999998E-2</v>
      </c>
      <c r="T5568" s="2">
        <v>1.7032680000000001E-2</v>
      </c>
    </row>
    <row r="5569" spans="18:20" x14ac:dyDescent="0.45">
      <c r="R5569" s="2">
        <v>72.45</v>
      </c>
      <c r="S5569" s="2">
        <v>3.1059050000000001E-2</v>
      </c>
      <c r="T5569" s="2">
        <v>1.705015E-2</v>
      </c>
    </row>
    <row r="5570" spans="18:20" x14ac:dyDescent="0.45">
      <c r="R5570" s="2">
        <v>72.459999999999994</v>
      </c>
      <c r="S5570" s="2">
        <v>3.1092740000000001E-2</v>
      </c>
      <c r="T5570" s="2">
        <v>1.7067619999999999E-2</v>
      </c>
    </row>
    <row r="5571" spans="18:20" x14ac:dyDescent="0.45">
      <c r="R5571" s="2">
        <v>72.47</v>
      </c>
      <c r="S5571" s="2">
        <v>3.112643E-2</v>
      </c>
      <c r="T5571" s="2">
        <v>1.7085090000000001E-2</v>
      </c>
    </row>
    <row r="5572" spans="18:20" x14ac:dyDescent="0.45">
      <c r="R5572" s="2">
        <v>72.48</v>
      </c>
      <c r="S5572" s="2">
        <v>3.1160119999999999E-2</v>
      </c>
      <c r="T5572" s="2">
        <v>1.7102559999999999E-2</v>
      </c>
    </row>
    <row r="5573" spans="18:20" x14ac:dyDescent="0.45">
      <c r="R5573" s="2">
        <v>72.489999999999995</v>
      </c>
      <c r="S5573" s="2">
        <v>3.1193809999999999E-2</v>
      </c>
      <c r="T5573" s="2">
        <v>1.7120030000000001E-2</v>
      </c>
    </row>
    <row r="5574" spans="18:20" x14ac:dyDescent="0.45">
      <c r="R5574" s="2">
        <v>72.5</v>
      </c>
      <c r="S5574" s="2">
        <v>3.1227499999999998E-2</v>
      </c>
      <c r="T5574" s="2">
        <v>1.71375E-2</v>
      </c>
    </row>
    <row r="5575" spans="18:20" x14ac:dyDescent="0.45">
      <c r="R5575" s="2">
        <v>72.510000000000005</v>
      </c>
      <c r="S5575" s="2">
        <v>3.1261190000000001E-2</v>
      </c>
      <c r="T5575" s="2">
        <v>1.7154969999999999E-2</v>
      </c>
    </row>
    <row r="5576" spans="18:20" x14ac:dyDescent="0.45">
      <c r="R5576" s="2">
        <v>72.52</v>
      </c>
      <c r="S5576" s="2">
        <v>3.1294879999999997E-2</v>
      </c>
      <c r="T5576" s="2">
        <v>1.7172440000000001E-2</v>
      </c>
    </row>
    <row r="5577" spans="18:20" x14ac:dyDescent="0.45">
      <c r="R5577" s="2">
        <v>72.53</v>
      </c>
      <c r="S5577" s="2">
        <v>3.132857E-2</v>
      </c>
      <c r="T5577" s="2">
        <v>1.7189909999999999E-2</v>
      </c>
    </row>
    <row r="5578" spans="18:20" x14ac:dyDescent="0.45">
      <c r="R5578" s="2">
        <v>72.540000000000006</v>
      </c>
      <c r="S5578" s="2">
        <v>3.1362260000000003E-2</v>
      </c>
      <c r="T5578" s="2">
        <v>1.7207380000000001E-2</v>
      </c>
    </row>
    <row r="5579" spans="18:20" x14ac:dyDescent="0.45">
      <c r="R5579" s="2">
        <v>72.55</v>
      </c>
      <c r="S5579" s="2">
        <v>3.1395949999999999E-2</v>
      </c>
      <c r="T5579" s="2">
        <v>1.722485E-2</v>
      </c>
    </row>
    <row r="5580" spans="18:20" x14ac:dyDescent="0.45">
      <c r="R5580" s="2">
        <v>72.56</v>
      </c>
      <c r="S5580" s="2">
        <v>3.1429640000000002E-2</v>
      </c>
      <c r="T5580" s="2">
        <v>1.7242319999999998E-2</v>
      </c>
    </row>
    <row r="5581" spans="18:20" x14ac:dyDescent="0.45">
      <c r="R5581" s="2">
        <v>72.569999999999993</v>
      </c>
      <c r="S5581" s="2">
        <v>3.1463329999999998E-2</v>
      </c>
      <c r="T5581" s="2">
        <v>1.7259790000000001E-2</v>
      </c>
    </row>
    <row r="5582" spans="18:20" x14ac:dyDescent="0.45">
      <c r="R5582" s="2">
        <v>72.58</v>
      </c>
      <c r="S5582" s="2">
        <v>3.1497020000000001E-2</v>
      </c>
      <c r="T5582" s="2">
        <v>1.7277259999999999E-2</v>
      </c>
    </row>
    <row r="5583" spans="18:20" x14ac:dyDescent="0.45">
      <c r="R5583" s="2">
        <v>72.59</v>
      </c>
      <c r="S5583" s="2">
        <v>3.1530710000000003E-2</v>
      </c>
      <c r="T5583" s="2">
        <v>1.7294730000000001E-2</v>
      </c>
    </row>
    <row r="5584" spans="18:20" x14ac:dyDescent="0.45">
      <c r="R5584" s="2">
        <v>72.599999999999994</v>
      </c>
      <c r="S5584" s="2">
        <v>3.1564399999999999E-2</v>
      </c>
      <c r="T5584" s="2">
        <v>1.73122E-2</v>
      </c>
    </row>
    <row r="5585" spans="18:20" x14ac:dyDescent="0.45">
      <c r="R5585" s="2">
        <v>72.61</v>
      </c>
      <c r="S5585" s="2">
        <v>3.1598090000000002E-2</v>
      </c>
      <c r="T5585" s="2">
        <v>1.7329669999999998E-2</v>
      </c>
    </row>
    <row r="5586" spans="18:20" x14ac:dyDescent="0.45">
      <c r="R5586" s="2">
        <v>72.62</v>
      </c>
      <c r="S5586" s="2">
        <v>3.1631779999999998E-2</v>
      </c>
      <c r="T5586" s="2">
        <v>1.734714E-2</v>
      </c>
    </row>
    <row r="5587" spans="18:20" x14ac:dyDescent="0.45">
      <c r="R5587" s="2">
        <v>72.63</v>
      </c>
      <c r="S5587" s="2">
        <v>3.1665470000000001E-2</v>
      </c>
      <c r="T5587" s="2">
        <v>1.7364609999999999E-2</v>
      </c>
    </row>
    <row r="5588" spans="18:20" x14ac:dyDescent="0.45">
      <c r="R5588" s="2">
        <v>72.64</v>
      </c>
      <c r="S5588" s="2">
        <v>3.1699159999999997E-2</v>
      </c>
      <c r="T5588" s="2">
        <v>1.7382080000000001E-2</v>
      </c>
    </row>
    <row r="5589" spans="18:20" x14ac:dyDescent="0.45">
      <c r="R5589" s="2">
        <v>72.650000000000006</v>
      </c>
      <c r="S5589" s="2">
        <v>3.173285E-2</v>
      </c>
      <c r="T5589" s="2">
        <v>1.739955E-2</v>
      </c>
    </row>
    <row r="5590" spans="18:20" x14ac:dyDescent="0.45">
      <c r="R5590" s="2">
        <v>72.66</v>
      </c>
      <c r="S5590" s="2">
        <v>3.1766540000000003E-2</v>
      </c>
      <c r="T5590" s="2">
        <v>1.7417019999999998E-2</v>
      </c>
    </row>
    <row r="5591" spans="18:20" x14ac:dyDescent="0.45">
      <c r="R5591" s="2">
        <v>72.67</v>
      </c>
      <c r="S5591" s="2">
        <v>3.1800229999999999E-2</v>
      </c>
      <c r="T5591" s="2">
        <v>1.743449E-2</v>
      </c>
    </row>
    <row r="5592" spans="18:20" x14ac:dyDescent="0.45">
      <c r="R5592" s="2">
        <v>72.680000000000007</v>
      </c>
      <c r="S5592" s="2">
        <v>3.1833920000000002E-2</v>
      </c>
      <c r="T5592" s="2">
        <v>1.7451959999999999E-2</v>
      </c>
    </row>
    <row r="5593" spans="18:20" x14ac:dyDescent="0.45">
      <c r="R5593" s="2">
        <v>72.69</v>
      </c>
      <c r="S5593" s="2">
        <v>3.1867609999999998E-2</v>
      </c>
      <c r="T5593" s="2">
        <v>1.7469430000000001E-2</v>
      </c>
    </row>
    <row r="5594" spans="18:20" x14ac:dyDescent="0.45">
      <c r="R5594" s="2">
        <v>72.7</v>
      </c>
      <c r="S5594" s="2">
        <v>3.19013E-2</v>
      </c>
      <c r="T5594" s="2">
        <v>1.74869E-2</v>
      </c>
    </row>
    <row r="5595" spans="18:20" x14ac:dyDescent="0.45">
      <c r="R5595" s="2">
        <v>72.709999999999994</v>
      </c>
      <c r="S5595" s="2">
        <v>3.1934990000000003E-2</v>
      </c>
      <c r="T5595" s="2">
        <v>1.7504370000000002E-2</v>
      </c>
    </row>
    <row r="5596" spans="18:20" x14ac:dyDescent="0.45">
      <c r="R5596" s="2">
        <v>72.72</v>
      </c>
      <c r="S5596" s="2">
        <v>3.1968679999999999E-2</v>
      </c>
      <c r="T5596" s="2">
        <v>1.752184E-2</v>
      </c>
    </row>
    <row r="5597" spans="18:20" x14ac:dyDescent="0.45">
      <c r="R5597" s="2">
        <v>72.73</v>
      </c>
      <c r="S5597" s="2">
        <v>3.2002370000000002E-2</v>
      </c>
      <c r="T5597" s="2">
        <v>1.7539309999999999E-2</v>
      </c>
    </row>
    <row r="5598" spans="18:20" x14ac:dyDescent="0.45">
      <c r="R5598" s="2">
        <v>72.739999999999995</v>
      </c>
      <c r="S5598" s="2">
        <v>3.2036059999999998E-2</v>
      </c>
      <c r="T5598" s="2">
        <v>1.7556780000000001E-2</v>
      </c>
    </row>
    <row r="5599" spans="18:20" x14ac:dyDescent="0.45">
      <c r="R5599" s="2">
        <v>72.75</v>
      </c>
      <c r="S5599" s="2">
        <v>3.2069750000000001E-2</v>
      </c>
      <c r="T5599" s="2">
        <v>1.757425E-2</v>
      </c>
    </row>
    <row r="5600" spans="18:20" x14ac:dyDescent="0.45">
      <c r="R5600" s="2">
        <v>72.760000000000005</v>
      </c>
      <c r="S5600" s="2">
        <v>3.2103439999999997E-2</v>
      </c>
      <c r="T5600" s="2">
        <v>1.7591720000000002E-2</v>
      </c>
    </row>
    <row r="5601" spans="18:20" x14ac:dyDescent="0.45">
      <c r="R5601" s="2">
        <v>72.77</v>
      </c>
      <c r="S5601" s="2">
        <v>3.213713E-2</v>
      </c>
      <c r="T5601" s="2">
        <v>1.760919E-2</v>
      </c>
    </row>
    <row r="5602" spans="18:20" x14ac:dyDescent="0.45">
      <c r="R5602" s="2">
        <v>72.78</v>
      </c>
      <c r="S5602" s="2">
        <v>3.2170820000000003E-2</v>
      </c>
      <c r="T5602" s="2">
        <v>1.7626659999999999E-2</v>
      </c>
    </row>
    <row r="5603" spans="18:20" x14ac:dyDescent="0.45">
      <c r="R5603" s="2">
        <v>72.790000000000006</v>
      </c>
      <c r="S5603" s="2">
        <v>3.2204509999999999E-2</v>
      </c>
      <c r="T5603" s="2">
        <v>1.7644130000000001E-2</v>
      </c>
    </row>
    <row r="5604" spans="18:20" x14ac:dyDescent="0.45">
      <c r="R5604" s="2">
        <v>72.8</v>
      </c>
      <c r="S5604" s="2">
        <v>3.2238200000000002E-2</v>
      </c>
      <c r="T5604" s="2">
        <v>1.76616E-2</v>
      </c>
    </row>
    <row r="5605" spans="18:20" x14ac:dyDescent="0.45">
      <c r="R5605" s="2">
        <v>72.81</v>
      </c>
      <c r="S5605" s="2">
        <v>3.2271889999999998E-2</v>
      </c>
      <c r="T5605" s="2">
        <v>1.7679070000000002E-2</v>
      </c>
    </row>
    <row r="5606" spans="18:20" x14ac:dyDescent="0.45">
      <c r="R5606" s="2">
        <v>72.819999999999993</v>
      </c>
      <c r="S5606" s="2">
        <v>3.230558E-2</v>
      </c>
      <c r="T5606" s="2">
        <v>1.769654E-2</v>
      </c>
    </row>
    <row r="5607" spans="18:20" x14ac:dyDescent="0.45">
      <c r="R5607" s="2">
        <v>72.83</v>
      </c>
      <c r="S5607" s="2">
        <v>3.2339270000000003E-2</v>
      </c>
      <c r="T5607" s="2">
        <v>1.7714009999999999E-2</v>
      </c>
    </row>
    <row r="5608" spans="18:20" x14ac:dyDescent="0.45">
      <c r="R5608" s="2">
        <v>72.84</v>
      </c>
      <c r="S5608" s="2">
        <v>3.2372959999999999E-2</v>
      </c>
      <c r="T5608" s="2">
        <v>1.7731480000000001E-2</v>
      </c>
    </row>
    <row r="5609" spans="18:20" x14ac:dyDescent="0.45">
      <c r="R5609" s="2">
        <v>72.849999999999994</v>
      </c>
      <c r="S5609" s="2">
        <v>3.2406650000000002E-2</v>
      </c>
      <c r="T5609" s="2">
        <v>1.7748949999999999E-2</v>
      </c>
    </row>
    <row r="5610" spans="18:20" x14ac:dyDescent="0.45">
      <c r="R5610" s="2">
        <v>72.86</v>
      </c>
      <c r="S5610" s="2">
        <v>3.2440339999999998E-2</v>
      </c>
      <c r="T5610" s="2">
        <v>1.7766420000000002E-2</v>
      </c>
    </row>
    <row r="5611" spans="18:20" x14ac:dyDescent="0.45">
      <c r="R5611" s="2">
        <v>72.87</v>
      </c>
      <c r="S5611" s="2">
        <v>3.2474030000000001E-2</v>
      </c>
      <c r="T5611" s="2">
        <v>1.778389E-2</v>
      </c>
    </row>
    <row r="5612" spans="18:20" x14ac:dyDescent="0.45">
      <c r="R5612" s="2">
        <v>72.88</v>
      </c>
      <c r="S5612" s="2">
        <v>3.2507719999999997E-2</v>
      </c>
      <c r="T5612" s="2">
        <v>1.7801359999999999E-2</v>
      </c>
    </row>
    <row r="5613" spans="18:20" x14ac:dyDescent="0.45">
      <c r="R5613" s="2">
        <v>72.89</v>
      </c>
      <c r="S5613" s="2">
        <v>3.254141E-2</v>
      </c>
      <c r="T5613" s="2">
        <v>1.7818830000000001E-2</v>
      </c>
    </row>
    <row r="5614" spans="18:20" x14ac:dyDescent="0.45">
      <c r="R5614" s="2">
        <v>72.900000000000006</v>
      </c>
      <c r="S5614" s="2">
        <v>3.2575100000000003E-2</v>
      </c>
      <c r="T5614" s="2">
        <v>1.7836299999999999E-2</v>
      </c>
    </row>
    <row r="5615" spans="18:20" x14ac:dyDescent="0.45">
      <c r="R5615" s="2">
        <v>72.91</v>
      </c>
      <c r="S5615" s="2">
        <v>3.2608789999999999E-2</v>
      </c>
      <c r="T5615" s="2">
        <v>1.7853770000000001E-2</v>
      </c>
    </row>
    <row r="5616" spans="18:20" x14ac:dyDescent="0.45">
      <c r="R5616" s="2">
        <v>72.92</v>
      </c>
      <c r="S5616" s="2">
        <v>3.2642480000000001E-2</v>
      </c>
      <c r="T5616" s="2">
        <v>1.787124E-2</v>
      </c>
    </row>
    <row r="5617" spans="18:20" x14ac:dyDescent="0.45">
      <c r="R5617" s="2">
        <v>72.930000000000007</v>
      </c>
      <c r="S5617" s="2">
        <v>3.2676169999999997E-2</v>
      </c>
      <c r="T5617" s="2">
        <v>1.7888709999999999E-2</v>
      </c>
    </row>
    <row r="5618" spans="18:20" x14ac:dyDescent="0.45">
      <c r="R5618" s="2">
        <v>72.94</v>
      </c>
      <c r="S5618" s="2">
        <v>3.270986E-2</v>
      </c>
      <c r="T5618" s="2">
        <v>1.7906180000000001E-2</v>
      </c>
    </row>
    <row r="5619" spans="18:20" x14ac:dyDescent="0.45">
      <c r="R5619" s="2">
        <v>72.95</v>
      </c>
      <c r="S5619" s="2">
        <v>3.2743550000000003E-2</v>
      </c>
      <c r="T5619" s="2">
        <v>1.7923649999999999E-2</v>
      </c>
    </row>
    <row r="5620" spans="18:20" x14ac:dyDescent="0.45">
      <c r="R5620" s="2">
        <v>72.959999999999994</v>
      </c>
      <c r="S5620" s="2">
        <v>3.2777239999999999E-2</v>
      </c>
      <c r="T5620" s="2">
        <v>1.7941120000000001E-2</v>
      </c>
    </row>
    <row r="5621" spans="18:20" x14ac:dyDescent="0.45">
      <c r="R5621" s="2">
        <v>72.97</v>
      </c>
      <c r="S5621" s="2">
        <v>3.2810930000000002E-2</v>
      </c>
      <c r="T5621" s="2">
        <v>1.795859E-2</v>
      </c>
    </row>
    <row r="5622" spans="18:20" x14ac:dyDescent="0.45">
      <c r="R5622" s="2">
        <v>72.98</v>
      </c>
      <c r="S5622" s="2">
        <v>3.2844619999999998E-2</v>
      </c>
      <c r="T5622" s="2">
        <v>1.7976059999999999E-2</v>
      </c>
    </row>
    <row r="5623" spans="18:20" x14ac:dyDescent="0.45">
      <c r="R5623" s="2">
        <v>72.989999999999995</v>
      </c>
      <c r="S5623" s="2">
        <v>3.2878310000000001E-2</v>
      </c>
      <c r="T5623" s="2">
        <v>1.7993530000000001E-2</v>
      </c>
    </row>
    <row r="5624" spans="18:20" x14ac:dyDescent="0.45">
      <c r="R5624" s="2">
        <v>73</v>
      </c>
      <c r="S5624" s="2">
        <v>3.2911999999999997E-2</v>
      </c>
      <c r="T5624" s="2">
        <v>1.8010999999999999E-2</v>
      </c>
    </row>
    <row r="5625" spans="18:20" x14ac:dyDescent="0.45">
      <c r="R5625" s="2">
        <v>73.010000000000005</v>
      </c>
      <c r="S5625" s="2">
        <v>3.2949190000000003E-2</v>
      </c>
      <c r="T5625" s="2">
        <v>1.8030359999999999E-2</v>
      </c>
    </row>
    <row r="5626" spans="18:20" x14ac:dyDescent="0.45">
      <c r="R5626" s="2">
        <v>73.02</v>
      </c>
      <c r="S5626" s="2">
        <v>3.2986380000000003E-2</v>
      </c>
      <c r="T5626" s="2">
        <v>1.8049719999999998E-2</v>
      </c>
    </row>
    <row r="5627" spans="18:20" x14ac:dyDescent="0.45">
      <c r="R5627" s="2">
        <v>73.03</v>
      </c>
      <c r="S5627" s="2">
        <v>3.3023570000000002E-2</v>
      </c>
      <c r="T5627" s="2">
        <v>1.8069080000000001E-2</v>
      </c>
    </row>
    <row r="5628" spans="18:20" x14ac:dyDescent="0.45">
      <c r="R5628" s="2">
        <v>73.040000000000006</v>
      </c>
      <c r="S5628" s="2">
        <v>3.3060760000000002E-2</v>
      </c>
      <c r="T5628" s="2">
        <v>1.8088440000000001E-2</v>
      </c>
    </row>
    <row r="5629" spans="18:20" x14ac:dyDescent="0.45">
      <c r="R5629" s="2">
        <v>73.05</v>
      </c>
      <c r="S5629" s="2">
        <v>3.3097950000000001E-2</v>
      </c>
      <c r="T5629" s="2">
        <v>1.81078E-2</v>
      </c>
    </row>
    <row r="5630" spans="18:20" x14ac:dyDescent="0.45">
      <c r="R5630" s="2">
        <v>73.06</v>
      </c>
      <c r="S5630" s="2">
        <v>3.313514E-2</v>
      </c>
      <c r="T5630" s="2">
        <v>1.812716E-2</v>
      </c>
    </row>
    <row r="5631" spans="18:20" x14ac:dyDescent="0.45">
      <c r="R5631" s="2">
        <v>73.069999999999993</v>
      </c>
      <c r="S5631" s="2">
        <v>3.317233E-2</v>
      </c>
      <c r="T5631" s="2">
        <v>1.8146519999999999E-2</v>
      </c>
    </row>
    <row r="5632" spans="18:20" x14ac:dyDescent="0.45">
      <c r="R5632" s="2">
        <v>73.08</v>
      </c>
      <c r="S5632" s="2">
        <v>3.3209519999999999E-2</v>
      </c>
      <c r="T5632" s="2">
        <v>1.8165879999999999E-2</v>
      </c>
    </row>
    <row r="5633" spans="18:20" x14ac:dyDescent="0.45">
      <c r="R5633" s="2">
        <v>73.09</v>
      </c>
      <c r="S5633" s="2">
        <v>3.3246709999999999E-2</v>
      </c>
      <c r="T5633" s="2">
        <v>1.8185239999999998E-2</v>
      </c>
    </row>
    <row r="5634" spans="18:20" x14ac:dyDescent="0.45">
      <c r="R5634" s="2">
        <v>73.099999999999994</v>
      </c>
      <c r="S5634" s="2">
        <v>3.3283899999999998E-2</v>
      </c>
      <c r="T5634" s="2">
        <v>1.8204600000000001E-2</v>
      </c>
    </row>
    <row r="5635" spans="18:20" x14ac:dyDescent="0.45">
      <c r="R5635" s="2">
        <v>73.11</v>
      </c>
      <c r="S5635" s="2">
        <v>3.3321089999999998E-2</v>
      </c>
      <c r="T5635" s="2">
        <v>1.8223960000000001E-2</v>
      </c>
    </row>
    <row r="5636" spans="18:20" x14ac:dyDescent="0.45">
      <c r="R5636" s="2">
        <v>73.12</v>
      </c>
      <c r="S5636" s="2">
        <v>3.3358279999999997E-2</v>
      </c>
      <c r="T5636" s="2">
        <v>1.824332E-2</v>
      </c>
    </row>
    <row r="5637" spans="18:20" x14ac:dyDescent="0.45">
      <c r="R5637" s="2">
        <v>73.13</v>
      </c>
      <c r="S5637" s="2">
        <v>3.3395469999999997E-2</v>
      </c>
      <c r="T5637" s="2">
        <v>1.826268E-2</v>
      </c>
    </row>
    <row r="5638" spans="18:20" x14ac:dyDescent="0.45">
      <c r="R5638" s="2">
        <v>73.14</v>
      </c>
      <c r="S5638" s="2">
        <v>3.3432660000000003E-2</v>
      </c>
      <c r="T5638" s="2">
        <v>1.8282039999999999E-2</v>
      </c>
    </row>
    <row r="5639" spans="18:20" x14ac:dyDescent="0.45">
      <c r="R5639" s="2">
        <v>73.150000000000006</v>
      </c>
      <c r="S5639" s="2">
        <v>3.3469850000000002E-2</v>
      </c>
      <c r="T5639" s="2">
        <v>1.8301399999999999E-2</v>
      </c>
    </row>
    <row r="5640" spans="18:20" x14ac:dyDescent="0.45">
      <c r="R5640" s="2">
        <v>73.16</v>
      </c>
      <c r="S5640" s="2">
        <v>3.3507040000000002E-2</v>
      </c>
      <c r="T5640" s="2">
        <v>1.8320759999999998E-2</v>
      </c>
    </row>
    <row r="5641" spans="18:20" x14ac:dyDescent="0.45">
      <c r="R5641" s="2">
        <v>73.17</v>
      </c>
      <c r="S5641" s="2">
        <v>3.3544230000000001E-2</v>
      </c>
      <c r="T5641" s="2">
        <v>1.8340120000000001E-2</v>
      </c>
    </row>
    <row r="5642" spans="18:20" x14ac:dyDescent="0.45">
      <c r="R5642" s="2">
        <v>73.180000000000007</v>
      </c>
      <c r="S5642" s="2">
        <v>3.3581420000000001E-2</v>
      </c>
      <c r="T5642" s="2">
        <v>1.8359480000000001E-2</v>
      </c>
    </row>
    <row r="5643" spans="18:20" x14ac:dyDescent="0.45">
      <c r="R5643" s="2">
        <v>73.19</v>
      </c>
      <c r="S5643" s="2">
        <v>3.361861E-2</v>
      </c>
      <c r="T5643" s="2">
        <v>1.837884E-2</v>
      </c>
    </row>
    <row r="5644" spans="18:20" x14ac:dyDescent="0.45">
      <c r="R5644" s="2">
        <v>73.2</v>
      </c>
      <c r="S5644" s="2">
        <v>3.36558E-2</v>
      </c>
      <c r="T5644" s="2">
        <v>1.83982E-2</v>
      </c>
    </row>
    <row r="5645" spans="18:20" x14ac:dyDescent="0.45">
      <c r="R5645" s="2">
        <v>73.209999999999994</v>
      </c>
      <c r="S5645" s="2">
        <v>3.3692989999999999E-2</v>
      </c>
      <c r="T5645" s="2">
        <v>1.8417559999999999E-2</v>
      </c>
    </row>
    <row r="5646" spans="18:20" x14ac:dyDescent="0.45">
      <c r="R5646" s="2">
        <v>73.22</v>
      </c>
      <c r="S5646" s="2">
        <v>3.3730179999999998E-2</v>
      </c>
      <c r="T5646" s="2">
        <v>1.8436919999999999E-2</v>
      </c>
    </row>
    <row r="5647" spans="18:20" x14ac:dyDescent="0.45">
      <c r="R5647" s="2">
        <v>73.23</v>
      </c>
      <c r="S5647" s="2">
        <v>3.3767369999999998E-2</v>
      </c>
      <c r="T5647" s="2">
        <v>1.8456279999999999E-2</v>
      </c>
    </row>
    <row r="5648" spans="18:20" x14ac:dyDescent="0.45">
      <c r="R5648" s="2">
        <v>73.239999999999995</v>
      </c>
      <c r="S5648" s="2">
        <v>3.3804559999999997E-2</v>
      </c>
      <c r="T5648" s="2">
        <v>1.8475640000000002E-2</v>
      </c>
    </row>
    <row r="5649" spans="18:20" x14ac:dyDescent="0.45">
      <c r="R5649" s="2">
        <v>73.25</v>
      </c>
      <c r="S5649" s="2">
        <v>3.3841749999999997E-2</v>
      </c>
      <c r="T5649" s="2">
        <v>1.8495000000000001E-2</v>
      </c>
    </row>
    <row r="5650" spans="18:20" x14ac:dyDescent="0.45">
      <c r="R5650" s="2">
        <v>73.260000000000005</v>
      </c>
      <c r="S5650" s="2">
        <v>3.3878940000000003E-2</v>
      </c>
      <c r="T5650" s="2">
        <v>1.8514360000000001E-2</v>
      </c>
    </row>
    <row r="5651" spans="18:20" x14ac:dyDescent="0.45">
      <c r="R5651" s="2">
        <v>73.27</v>
      </c>
      <c r="S5651" s="2">
        <v>3.3916130000000003E-2</v>
      </c>
      <c r="T5651" s="2">
        <v>1.853372E-2</v>
      </c>
    </row>
    <row r="5652" spans="18:20" x14ac:dyDescent="0.45">
      <c r="R5652" s="2">
        <v>73.28</v>
      </c>
      <c r="S5652" s="2">
        <v>3.3953320000000002E-2</v>
      </c>
      <c r="T5652" s="2">
        <v>1.855308E-2</v>
      </c>
    </row>
    <row r="5653" spans="18:20" x14ac:dyDescent="0.45">
      <c r="R5653" s="2">
        <v>73.290000000000006</v>
      </c>
      <c r="S5653" s="2">
        <v>3.3990510000000002E-2</v>
      </c>
      <c r="T5653" s="2">
        <v>1.8572439999999999E-2</v>
      </c>
    </row>
    <row r="5654" spans="18:20" x14ac:dyDescent="0.45">
      <c r="R5654" s="2">
        <v>73.3</v>
      </c>
      <c r="S5654" s="2">
        <v>3.4027700000000001E-2</v>
      </c>
      <c r="T5654" s="2">
        <v>1.8591799999999999E-2</v>
      </c>
    </row>
    <row r="5655" spans="18:20" x14ac:dyDescent="0.45">
      <c r="R5655" s="2">
        <v>73.31</v>
      </c>
      <c r="S5655" s="2">
        <v>3.406489E-2</v>
      </c>
      <c r="T5655" s="2">
        <v>1.8611160000000002E-2</v>
      </c>
    </row>
    <row r="5656" spans="18:20" x14ac:dyDescent="0.45">
      <c r="R5656" s="2">
        <v>73.319999999999993</v>
      </c>
      <c r="S5656" s="2">
        <v>3.410208E-2</v>
      </c>
      <c r="T5656" s="2">
        <v>1.8630520000000001E-2</v>
      </c>
    </row>
    <row r="5657" spans="18:20" x14ac:dyDescent="0.45">
      <c r="R5657" s="2">
        <v>73.33</v>
      </c>
      <c r="S5657" s="2">
        <v>3.4139269999999999E-2</v>
      </c>
      <c r="T5657" s="2">
        <v>1.8649880000000001E-2</v>
      </c>
    </row>
    <row r="5658" spans="18:20" x14ac:dyDescent="0.45">
      <c r="R5658" s="2">
        <v>73.34</v>
      </c>
      <c r="S5658" s="2">
        <v>3.4176459999999999E-2</v>
      </c>
      <c r="T5658" s="2">
        <v>1.866924E-2</v>
      </c>
    </row>
    <row r="5659" spans="18:20" x14ac:dyDescent="0.45">
      <c r="R5659" s="2">
        <v>73.349999999999994</v>
      </c>
      <c r="S5659" s="2">
        <v>3.4213649999999998E-2</v>
      </c>
      <c r="T5659" s="2">
        <v>1.86886E-2</v>
      </c>
    </row>
    <row r="5660" spans="18:20" x14ac:dyDescent="0.45">
      <c r="R5660" s="2">
        <v>73.36</v>
      </c>
      <c r="S5660" s="2">
        <v>3.4250839999999998E-2</v>
      </c>
      <c r="T5660" s="2">
        <v>1.8707959999999999E-2</v>
      </c>
    </row>
    <row r="5661" spans="18:20" x14ac:dyDescent="0.45">
      <c r="R5661" s="2">
        <v>73.37</v>
      </c>
      <c r="S5661" s="2">
        <v>3.4288029999999997E-2</v>
      </c>
      <c r="T5661" s="2">
        <v>1.8727319999999999E-2</v>
      </c>
    </row>
    <row r="5662" spans="18:20" x14ac:dyDescent="0.45">
      <c r="R5662" s="2">
        <v>73.38</v>
      </c>
      <c r="S5662" s="2">
        <v>3.4325219999999997E-2</v>
      </c>
      <c r="T5662" s="2">
        <v>1.8746680000000002E-2</v>
      </c>
    </row>
    <row r="5663" spans="18:20" x14ac:dyDescent="0.45">
      <c r="R5663" s="2">
        <v>73.39</v>
      </c>
      <c r="S5663" s="2">
        <v>3.4362410000000003E-2</v>
      </c>
      <c r="T5663" s="2">
        <v>1.8766040000000001E-2</v>
      </c>
    </row>
    <row r="5664" spans="18:20" x14ac:dyDescent="0.45">
      <c r="R5664" s="2">
        <v>73.400000000000006</v>
      </c>
      <c r="S5664" s="2">
        <v>3.4399600000000002E-2</v>
      </c>
      <c r="T5664" s="2">
        <v>1.8785400000000001E-2</v>
      </c>
    </row>
    <row r="5665" spans="18:20" x14ac:dyDescent="0.45">
      <c r="R5665" s="2">
        <v>73.41</v>
      </c>
      <c r="S5665" s="2">
        <v>3.4436790000000002E-2</v>
      </c>
      <c r="T5665" s="2">
        <v>1.880476E-2</v>
      </c>
    </row>
    <row r="5666" spans="18:20" x14ac:dyDescent="0.45">
      <c r="R5666" s="2">
        <v>73.42</v>
      </c>
      <c r="S5666" s="2">
        <v>3.4473980000000001E-2</v>
      </c>
      <c r="T5666" s="2">
        <v>1.882412E-2</v>
      </c>
    </row>
    <row r="5667" spans="18:20" x14ac:dyDescent="0.45">
      <c r="R5667" s="2">
        <v>73.430000000000007</v>
      </c>
      <c r="S5667" s="2">
        <v>3.4511170000000001E-2</v>
      </c>
      <c r="T5667" s="2">
        <v>1.8843479999999999E-2</v>
      </c>
    </row>
    <row r="5668" spans="18:20" x14ac:dyDescent="0.45">
      <c r="R5668" s="2">
        <v>73.44</v>
      </c>
      <c r="S5668" s="2">
        <v>3.454836E-2</v>
      </c>
      <c r="T5668" s="2">
        <v>1.8862839999999999E-2</v>
      </c>
    </row>
    <row r="5669" spans="18:20" x14ac:dyDescent="0.45">
      <c r="R5669" s="2">
        <v>73.45</v>
      </c>
      <c r="S5669" s="2">
        <v>3.458555E-2</v>
      </c>
      <c r="T5669" s="2">
        <v>1.8882199999999998E-2</v>
      </c>
    </row>
    <row r="5670" spans="18:20" x14ac:dyDescent="0.45">
      <c r="R5670" s="2">
        <v>73.459999999999994</v>
      </c>
      <c r="S5670" s="2">
        <v>3.4622739999999999E-2</v>
      </c>
      <c r="T5670" s="2">
        <v>1.8901560000000001E-2</v>
      </c>
    </row>
    <row r="5671" spans="18:20" x14ac:dyDescent="0.45">
      <c r="R5671" s="2">
        <v>73.47</v>
      </c>
      <c r="S5671" s="2">
        <v>3.4659929999999999E-2</v>
      </c>
      <c r="T5671" s="2">
        <v>1.8920920000000001E-2</v>
      </c>
    </row>
    <row r="5672" spans="18:20" x14ac:dyDescent="0.45">
      <c r="R5672" s="2">
        <v>73.48</v>
      </c>
      <c r="S5672" s="2">
        <v>3.4697119999999998E-2</v>
      </c>
      <c r="T5672" s="2">
        <v>1.894028E-2</v>
      </c>
    </row>
    <row r="5673" spans="18:20" x14ac:dyDescent="0.45">
      <c r="R5673" s="2">
        <v>73.489999999999995</v>
      </c>
      <c r="S5673" s="2">
        <v>3.4734309999999997E-2</v>
      </c>
      <c r="T5673" s="2">
        <v>1.895964E-2</v>
      </c>
    </row>
    <row r="5674" spans="18:20" x14ac:dyDescent="0.45">
      <c r="R5674" s="2">
        <v>73.5</v>
      </c>
      <c r="S5674" s="2">
        <v>3.4771499999999997E-2</v>
      </c>
      <c r="T5674" s="2">
        <v>1.8978999999999999E-2</v>
      </c>
    </row>
    <row r="5675" spans="18:20" x14ac:dyDescent="0.45">
      <c r="R5675" s="2">
        <v>73.510000000000005</v>
      </c>
      <c r="S5675" s="2">
        <v>3.4808690000000003E-2</v>
      </c>
      <c r="T5675" s="2">
        <v>1.8998359999999999E-2</v>
      </c>
    </row>
    <row r="5676" spans="18:20" x14ac:dyDescent="0.45">
      <c r="R5676" s="2">
        <v>73.52</v>
      </c>
      <c r="S5676" s="2">
        <v>3.4845880000000003E-2</v>
      </c>
      <c r="T5676" s="2">
        <v>1.9017719999999998E-2</v>
      </c>
    </row>
    <row r="5677" spans="18:20" x14ac:dyDescent="0.45">
      <c r="R5677" s="2">
        <v>73.53</v>
      </c>
      <c r="S5677" s="2">
        <v>3.4883070000000002E-2</v>
      </c>
      <c r="T5677" s="2">
        <v>1.9037080000000001E-2</v>
      </c>
    </row>
    <row r="5678" spans="18:20" x14ac:dyDescent="0.45">
      <c r="R5678" s="2">
        <v>73.540000000000006</v>
      </c>
      <c r="S5678" s="2">
        <v>3.4920260000000002E-2</v>
      </c>
      <c r="T5678" s="2">
        <v>1.9056440000000001E-2</v>
      </c>
    </row>
    <row r="5679" spans="18:20" x14ac:dyDescent="0.45">
      <c r="R5679" s="2">
        <v>73.55</v>
      </c>
      <c r="S5679" s="2">
        <v>3.4957450000000001E-2</v>
      </c>
      <c r="T5679" s="2">
        <v>1.90758E-2</v>
      </c>
    </row>
    <row r="5680" spans="18:20" x14ac:dyDescent="0.45">
      <c r="R5680" s="2">
        <v>73.56</v>
      </c>
      <c r="S5680" s="2">
        <v>3.499464E-2</v>
      </c>
      <c r="T5680" s="2">
        <v>1.909516E-2</v>
      </c>
    </row>
    <row r="5681" spans="18:20" x14ac:dyDescent="0.45">
      <c r="R5681" s="2">
        <v>73.569999999999993</v>
      </c>
      <c r="S5681" s="2">
        <v>3.503183E-2</v>
      </c>
      <c r="T5681" s="2">
        <v>1.9114519999999999E-2</v>
      </c>
    </row>
    <row r="5682" spans="18:20" x14ac:dyDescent="0.45">
      <c r="R5682" s="2">
        <v>73.58</v>
      </c>
      <c r="S5682" s="2">
        <v>3.5069019999999999E-2</v>
      </c>
      <c r="T5682" s="2">
        <v>1.9133879999999999E-2</v>
      </c>
    </row>
    <row r="5683" spans="18:20" x14ac:dyDescent="0.45">
      <c r="R5683" s="2">
        <v>73.59</v>
      </c>
      <c r="S5683" s="2">
        <v>3.5106209999999999E-2</v>
      </c>
      <c r="T5683" s="2">
        <v>1.9153239999999998E-2</v>
      </c>
    </row>
    <row r="5684" spans="18:20" x14ac:dyDescent="0.45">
      <c r="R5684" s="2">
        <v>73.599999999999994</v>
      </c>
      <c r="S5684" s="2">
        <v>3.5143399999999998E-2</v>
      </c>
      <c r="T5684" s="2">
        <v>1.9172600000000001E-2</v>
      </c>
    </row>
    <row r="5685" spans="18:20" x14ac:dyDescent="0.45">
      <c r="R5685" s="2">
        <v>73.61</v>
      </c>
      <c r="S5685" s="2">
        <v>3.5180589999999998E-2</v>
      </c>
      <c r="T5685" s="2">
        <v>1.9191960000000001E-2</v>
      </c>
    </row>
    <row r="5686" spans="18:20" x14ac:dyDescent="0.45">
      <c r="R5686" s="2">
        <v>73.62</v>
      </c>
      <c r="S5686" s="2">
        <v>3.5217779999999997E-2</v>
      </c>
      <c r="T5686" s="2">
        <v>1.921132E-2</v>
      </c>
    </row>
    <row r="5687" spans="18:20" x14ac:dyDescent="0.45">
      <c r="R5687" s="2">
        <v>73.63</v>
      </c>
      <c r="S5687" s="2">
        <v>3.5254969999999997E-2</v>
      </c>
      <c r="T5687" s="2">
        <v>1.923068E-2</v>
      </c>
    </row>
    <row r="5688" spans="18:20" x14ac:dyDescent="0.45">
      <c r="R5688" s="2">
        <v>73.64</v>
      </c>
      <c r="S5688" s="2">
        <v>3.5292160000000003E-2</v>
      </c>
      <c r="T5688" s="2">
        <v>1.925004E-2</v>
      </c>
    </row>
    <row r="5689" spans="18:20" x14ac:dyDescent="0.45">
      <c r="R5689" s="2">
        <v>73.650000000000006</v>
      </c>
      <c r="S5689" s="2">
        <v>3.5329350000000002E-2</v>
      </c>
      <c r="T5689" s="2">
        <v>1.9269399999999999E-2</v>
      </c>
    </row>
    <row r="5690" spans="18:20" x14ac:dyDescent="0.45">
      <c r="R5690" s="2">
        <v>73.66</v>
      </c>
      <c r="S5690" s="2">
        <v>3.5366540000000002E-2</v>
      </c>
      <c r="T5690" s="2">
        <v>1.9288759999999999E-2</v>
      </c>
    </row>
    <row r="5691" spans="18:20" x14ac:dyDescent="0.45">
      <c r="R5691" s="2">
        <v>73.67</v>
      </c>
      <c r="S5691" s="2">
        <v>3.5403730000000001E-2</v>
      </c>
      <c r="T5691" s="2">
        <v>1.9308120000000002E-2</v>
      </c>
    </row>
    <row r="5692" spans="18:20" x14ac:dyDescent="0.45">
      <c r="R5692" s="2">
        <v>73.680000000000007</v>
      </c>
      <c r="S5692" s="2">
        <v>3.5440920000000001E-2</v>
      </c>
      <c r="T5692" s="2">
        <v>1.9327480000000001E-2</v>
      </c>
    </row>
    <row r="5693" spans="18:20" x14ac:dyDescent="0.45">
      <c r="R5693" s="2">
        <v>73.69</v>
      </c>
      <c r="S5693" s="2">
        <v>3.547811E-2</v>
      </c>
      <c r="T5693" s="2">
        <v>1.9346840000000001E-2</v>
      </c>
    </row>
    <row r="5694" spans="18:20" x14ac:dyDescent="0.45">
      <c r="R5694" s="2">
        <v>73.7</v>
      </c>
      <c r="S5694" s="2">
        <v>3.55153E-2</v>
      </c>
      <c r="T5694" s="2">
        <v>1.93662E-2</v>
      </c>
    </row>
    <row r="5695" spans="18:20" x14ac:dyDescent="0.45">
      <c r="R5695" s="2">
        <v>73.709999999999994</v>
      </c>
      <c r="S5695" s="2">
        <v>3.5552489999999999E-2</v>
      </c>
      <c r="T5695" s="2">
        <v>1.938556E-2</v>
      </c>
    </row>
    <row r="5696" spans="18:20" x14ac:dyDescent="0.45">
      <c r="R5696" s="2">
        <v>73.72</v>
      </c>
      <c r="S5696" s="2">
        <v>3.5589679999999999E-2</v>
      </c>
      <c r="T5696" s="2">
        <v>1.9404919999999999E-2</v>
      </c>
    </row>
    <row r="5697" spans="18:20" x14ac:dyDescent="0.45">
      <c r="R5697" s="2">
        <v>73.73</v>
      </c>
      <c r="S5697" s="2">
        <v>3.5626869999999998E-2</v>
      </c>
      <c r="T5697" s="2">
        <v>1.9424279999999999E-2</v>
      </c>
    </row>
    <row r="5698" spans="18:20" x14ac:dyDescent="0.45">
      <c r="R5698" s="2">
        <v>73.739999999999995</v>
      </c>
      <c r="S5698" s="2">
        <v>3.5664059999999997E-2</v>
      </c>
      <c r="T5698" s="2">
        <v>1.9443640000000002E-2</v>
      </c>
    </row>
    <row r="5699" spans="18:20" x14ac:dyDescent="0.45">
      <c r="R5699" s="2">
        <v>73.75</v>
      </c>
      <c r="S5699" s="2">
        <v>3.5701249999999997E-2</v>
      </c>
      <c r="T5699" s="2">
        <v>1.9463000000000001E-2</v>
      </c>
    </row>
    <row r="5700" spans="18:20" x14ac:dyDescent="0.45">
      <c r="R5700" s="2">
        <v>73.760000000000005</v>
      </c>
      <c r="S5700" s="2">
        <v>3.5738440000000003E-2</v>
      </c>
      <c r="T5700" s="2">
        <v>1.9482360000000001E-2</v>
      </c>
    </row>
    <row r="5701" spans="18:20" x14ac:dyDescent="0.45">
      <c r="R5701" s="2">
        <v>73.77</v>
      </c>
      <c r="S5701" s="2">
        <v>3.5775630000000003E-2</v>
      </c>
      <c r="T5701" s="2">
        <v>1.950172E-2</v>
      </c>
    </row>
    <row r="5702" spans="18:20" x14ac:dyDescent="0.45">
      <c r="R5702" s="2">
        <v>73.78</v>
      </c>
      <c r="S5702" s="2">
        <v>3.5812820000000002E-2</v>
      </c>
      <c r="T5702" s="2">
        <v>1.952108E-2</v>
      </c>
    </row>
    <row r="5703" spans="18:20" x14ac:dyDescent="0.45">
      <c r="R5703" s="2">
        <v>73.790000000000006</v>
      </c>
      <c r="S5703" s="2">
        <v>3.5850010000000002E-2</v>
      </c>
      <c r="T5703" s="2">
        <v>1.9540439999999999E-2</v>
      </c>
    </row>
    <row r="5704" spans="18:20" x14ac:dyDescent="0.45">
      <c r="R5704" s="2">
        <v>73.8</v>
      </c>
      <c r="S5704" s="2">
        <v>3.5887200000000001E-2</v>
      </c>
      <c r="T5704" s="2">
        <v>1.9559799999999999E-2</v>
      </c>
    </row>
    <row r="5705" spans="18:20" x14ac:dyDescent="0.45">
      <c r="R5705" s="2">
        <v>73.81</v>
      </c>
      <c r="S5705" s="2">
        <v>3.592439E-2</v>
      </c>
      <c r="T5705" s="2">
        <v>1.9579160000000002E-2</v>
      </c>
    </row>
    <row r="5706" spans="18:20" x14ac:dyDescent="0.45">
      <c r="R5706" s="2">
        <v>73.819999999999993</v>
      </c>
      <c r="S5706" s="2">
        <v>3.596158E-2</v>
      </c>
      <c r="T5706" s="2">
        <v>1.9598520000000001E-2</v>
      </c>
    </row>
    <row r="5707" spans="18:20" x14ac:dyDescent="0.45">
      <c r="R5707" s="2">
        <v>73.83</v>
      </c>
      <c r="S5707" s="2">
        <v>3.5998769999999999E-2</v>
      </c>
      <c r="T5707" s="2">
        <v>1.9617880000000001E-2</v>
      </c>
    </row>
    <row r="5708" spans="18:20" x14ac:dyDescent="0.45">
      <c r="R5708" s="2">
        <v>73.84</v>
      </c>
      <c r="S5708" s="2">
        <v>3.6035959999999999E-2</v>
      </c>
      <c r="T5708" s="2">
        <v>1.963724E-2</v>
      </c>
    </row>
    <row r="5709" spans="18:20" x14ac:dyDescent="0.45">
      <c r="R5709" s="2">
        <v>73.849999999999994</v>
      </c>
      <c r="S5709" s="2">
        <v>3.6073149999999998E-2</v>
      </c>
      <c r="T5709" s="2">
        <v>1.96566E-2</v>
      </c>
    </row>
    <row r="5710" spans="18:20" x14ac:dyDescent="0.45">
      <c r="R5710" s="2">
        <v>73.86</v>
      </c>
      <c r="S5710" s="2">
        <v>3.6110339999999998E-2</v>
      </c>
      <c r="T5710" s="2">
        <v>1.9675959999999999E-2</v>
      </c>
    </row>
    <row r="5711" spans="18:20" x14ac:dyDescent="0.45">
      <c r="R5711" s="2">
        <v>73.87</v>
      </c>
      <c r="S5711" s="2">
        <v>3.6147529999999997E-2</v>
      </c>
      <c r="T5711" s="2">
        <v>1.9695319999999999E-2</v>
      </c>
    </row>
    <row r="5712" spans="18:20" x14ac:dyDescent="0.45">
      <c r="R5712" s="2">
        <v>73.88</v>
      </c>
      <c r="S5712" s="2">
        <v>3.6184719999999997E-2</v>
      </c>
      <c r="T5712" s="2">
        <v>1.9714679999999998E-2</v>
      </c>
    </row>
    <row r="5713" spans="18:20" x14ac:dyDescent="0.45">
      <c r="R5713" s="2">
        <v>73.89</v>
      </c>
      <c r="S5713" s="2">
        <v>3.6221910000000003E-2</v>
      </c>
      <c r="T5713" s="2">
        <v>1.9734040000000001E-2</v>
      </c>
    </row>
    <row r="5714" spans="18:20" x14ac:dyDescent="0.45">
      <c r="R5714" s="2">
        <v>73.900000000000006</v>
      </c>
      <c r="S5714" s="2">
        <v>3.6259100000000002E-2</v>
      </c>
      <c r="T5714" s="2">
        <v>1.9753400000000001E-2</v>
      </c>
    </row>
    <row r="5715" spans="18:20" x14ac:dyDescent="0.45">
      <c r="R5715" s="2">
        <v>73.91</v>
      </c>
      <c r="S5715" s="2">
        <v>3.6296290000000002E-2</v>
      </c>
      <c r="T5715" s="2">
        <v>1.977276E-2</v>
      </c>
    </row>
    <row r="5716" spans="18:20" x14ac:dyDescent="0.45">
      <c r="R5716" s="2">
        <v>73.92</v>
      </c>
      <c r="S5716" s="2">
        <v>3.6333480000000001E-2</v>
      </c>
      <c r="T5716" s="2">
        <v>1.979212E-2</v>
      </c>
    </row>
    <row r="5717" spans="18:20" x14ac:dyDescent="0.45">
      <c r="R5717" s="2">
        <v>73.930000000000007</v>
      </c>
      <c r="S5717" s="2">
        <v>3.6370670000000001E-2</v>
      </c>
      <c r="T5717" s="2">
        <v>1.9811479999999999E-2</v>
      </c>
    </row>
    <row r="5718" spans="18:20" x14ac:dyDescent="0.45">
      <c r="R5718" s="2">
        <v>73.94</v>
      </c>
      <c r="S5718" s="2">
        <v>3.640786E-2</v>
      </c>
      <c r="T5718" s="2">
        <v>1.9830839999999999E-2</v>
      </c>
    </row>
    <row r="5719" spans="18:20" x14ac:dyDescent="0.45">
      <c r="R5719" s="2">
        <v>73.95</v>
      </c>
      <c r="S5719" s="2">
        <v>3.644505E-2</v>
      </c>
      <c r="T5719" s="2">
        <v>1.9850199999999998E-2</v>
      </c>
    </row>
    <row r="5720" spans="18:20" x14ac:dyDescent="0.45">
      <c r="R5720" s="2">
        <v>73.959999999999994</v>
      </c>
      <c r="S5720" s="2">
        <v>3.6482239999999999E-2</v>
      </c>
      <c r="T5720" s="2">
        <v>1.9869560000000001E-2</v>
      </c>
    </row>
    <row r="5721" spans="18:20" x14ac:dyDescent="0.45">
      <c r="R5721" s="2">
        <v>73.97</v>
      </c>
      <c r="S5721" s="2">
        <v>3.6519429999999999E-2</v>
      </c>
      <c r="T5721" s="2">
        <v>1.9888920000000001E-2</v>
      </c>
    </row>
    <row r="5722" spans="18:20" x14ac:dyDescent="0.45">
      <c r="R5722" s="2">
        <v>73.98</v>
      </c>
      <c r="S5722" s="2">
        <v>3.6556619999999998E-2</v>
      </c>
      <c r="T5722" s="2">
        <v>1.990828E-2</v>
      </c>
    </row>
    <row r="5723" spans="18:20" x14ac:dyDescent="0.45">
      <c r="R5723" s="2">
        <v>73.989999999999995</v>
      </c>
      <c r="S5723" s="2">
        <v>3.6593809999999997E-2</v>
      </c>
      <c r="T5723" s="2">
        <v>1.992764E-2</v>
      </c>
    </row>
    <row r="5724" spans="18:20" x14ac:dyDescent="0.45">
      <c r="R5724" s="2">
        <v>74</v>
      </c>
      <c r="S5724" s="2">
        <v>3.6630999999999997E-2</v>
      </c>
      <c r="T5724" s="2">
        <v>1.9946999999999999E-2</v>
      </c>
    </row>
    <row r="5725" spans="18:20" x14ac:dyDescent="0.45">
      <c r="R5725" s="2">
        <v>74.010000000000005</v>
      </c>
      <c r="S5725" s="2">
        <v>3.6672009999999998E-2</v>
      </c>
      <c r="T5725" s="2">
        <v>1.996846E-2</v>
      </c>
    </row>
    <row r="5726" spans="18:20" x14ac:dyDescent="0.45">
      <c r="R5726" s="2">
        <v>74.02</v>
      </c>
      <c r="S5726" s="2">
        <v>3.6713019999999999E-2</v>
      </c>
      <c r="T5726" s="2">
        <v>1.9989920000000001E-2</v>
      </c>
    </row>
    <row r="5727" spans="18:20" x14ac:dyDescent="0.45">
      <c r="R5727" s="2">
        <v>74.03</v>
      </c>
      <c r="S5727" s="2">
        <v>3.675403E-2</v>
      </c>
      <c r="T5727" s="2">
        <v>2.0011379999999999E-2</v>
      </c>
    </row>
    <row r="5728" spans="18:20" x14ac:dyDescent="0.45">
      <c r="R5728" s="2">
        <v>74.040000000000006</v>
      </c>
      <c r="S5728" s="2">
        <v>3.6795040000000001E-2</v>
      </c>
      <c r="T5728" s="2">
        <v>2.003284E-2</v>
      </c>
    </row>
    <row r="5729" spans="18:20" x14ac:dyDescent="0.45">
      <c r="R5729" s="2">
        <v>74.05</v>
      </c>
      <c r="S5729" s="2">
        <v>3.6836050000000002E-2</v>
      </c>
      <c r="T5729" s="2">
        <v>2.0054300000000001E-2</v>
      </c>
    </row>
    <row r="5730" spans="18:20" x14ac:dyDescent="0.45">
      <c r="R5730" s="2">
        <v>74.06</v>
      </c>
      <c r="S5730" s="2">
        <v>3.6877060000000003E-2</v>
      </c>
      <c r="T5730" s="2">
        <v>2.0075760000000002E-2</v>
      </c>
    </row>
    <row r="5731" spans="18:20" x14ac:dyDescent="0.45">
      <c r="R5731" s="2">
        <v>74.069999999999993</v>
      </c>
      <c r="S5731" s="2">
        <v>3.6918069999999997E-2</v>
      </c>
      <c r="T5731" s="2">
        <v>2.0097219999999999E-2</v>
      </c>
    </row>
    <row r="5732" spans="18:20" x14ac:dyDescent="0.45">
      <c r="R5732" s="2">
        <v>74.08</v>
      </c>
      <c r="S5732" s="2">
        <v>3.6959079999999998E-2</v>
      </c>
      <c r="T5732" s="2">
        <v>2.011868E-2</v>
      </c>
    </row>
    <row r="5733" spans="18:20" x14ac:dyDescent="0.45">
      <c r="R5733" s="2">
        <v>74.09</v>
      </c>
      <c r="S5733" s="2">
        <v>3.7000089999999999E-2</v>
      </c>
      <c r="T5733" s="2">
        <v>2.0140140000000001E-2</v>
      </c>
    </row>
    <row r="5734" spans="18:20" x14ac:dyDescent="0.45">
      <c r="R5734" s="2">
        <v>74.099999999999994</v>
      </c>
      <c r="S5734" s="2">
        <v>3.70411E-2</v>
      </c>
      <c r="T5734" s="2">
        <v>2.0161599999999998E-2</v>
      </c>
    </row>
    <row r="5735" spans="18:20" x14ac:dyDescent="0.45">
      <c r="R5735" s="2">
        <v>74.11</v>
      </c>
      <c r="S5735" s="2">
        <v>3.7082110000000001E-2</v>
      </c>
      <c r="T5735" s="2">
        <v>2.0183059999999999E-2</v>
      </c>
    </row>
    <row r="5736" spans="18:20" x14ac:dyDescent="0.45">
      <c r="R5736" s="2">
        <v>74.12</v>
      </c>
      <c r="S5736" s="2">
        <v>3.7123120000000003E-2</v>
      </c>
      <c r="T5736" s="2">
        <v>2.020452E-2</v>
      </c>
    </row>
    <row r="5737" spans="18:20" x14ac:dyDescent="0.45">
      <c r="R5737" s="2">
        <v>74.13</v>
      </c>
      <c r="S5737" s="2">
        <v>3.7164129999999997E-2</v>
      </c>
      <c r="T5737" s="2">
        <v>2.0225980000000001E-2</v>
      </c>
    </row>
    <row r="5738" spans="18:20" x14ac:dyDescent="0.45">
      <c r="R5738" s="2">
        <v>74.14</v>
      </c>
      <c r="S5738" s="2">
        <v>3.7205139999999998E-2</v>
      </c>
      <c r="T5738" s="2">
        <v>2.0247439999999998E-2</v>
      </c>
    </row>
    <row r="5739" spans="18:20" x14ac:dyDescent="0.45">
      <c r="R5739" s="2">
        <v>74.150000000000006</v>
      </c>
      <c r="S5739" s="2">
        <v>3.7246149999999999E-2</v>
      </c>
      <c r="T5739" s="2">
        <v>2.0268899999999999E-2</v>
      </c>
    </row>
    <row r="5740" spans="18:20" x14ac:dyDescent="0.45">
      <c r="R5740" s="2">
        <v>74.16</v>
      </c>
      <c r="S5740" s="2">
        <v>3.728716E-2</v>
      </c>
      <c r="T5740" s="2">
        <v>2.029036E-2</v>
      </c>
    </row>
    <row r="5741" spans="18:20" x14ac:dyDescent="0.45">
      <c r="R5741" s="2">
        <v>74.17</v>
      </c>
      <c r="S5741" s="2">
        <v>3.7328170000000001E-2</v>
      </c>
      <c r="T5741" s="2">
        <v>2.0311820000000001E-2</v>
      </c>
    </row>
    <row r="5742" spans="18:20" x14ac:dyDescent="0.45">
      <c r="R5742" s="2">
        <v>74.180000000000007</v>
      </c>
      <c r="S5742" s="2">
        <v>3.7369180000000002E-2</v>
      </c>
      <c r="T5742" s="2">
        <v>2.0333279999999999E-2</v>
      </c>
    </row>
    <row r="5743" spans="18:20" x14ac:dyDescent="0.45">
      <c r="R5743" s="2">
        <v>74.19</v>
      </c>
      <c r="S5743" s="2">
        <v>3.7410190000000003E-2</v>
      </c>
      <c r="T5743" s="2">
        <v>2.035474E-2</v>
      </c>
    </row>
    <row r="5744" spans="18:20" x14ac:dyDescent="0.45">
      <c r="R5744" s="2">
        <v>74.2</v>
      </c>
      <c r="S5744" s="2">
        <v>3.7451199999999997E-2</v>
      </c>
      <c r="T5744" s="2">
        <v>2.0376200000000001E-2</v>
      </c>
    </row>
    <row r="5745" spans="18:20" x14ac:dyDescent="0.45">
      <c r="R5745" s="2">
        <v>74.209999999999994</v>
      </c>
      <c r="S5745" s="2">
        <v>3.7492209999999998E-2</v>
      </c>
      <c r="T5745" s="2">
        <v>2.0397660000000001E-2</v>
      </c>
    </row>
    <row r="5746" spans="18:20" x14ac:dyDescent="0.45">
      <c r="R5746" s="2">
        <v>74.22</v>
      </c>
      <c r="S5746" s="2">
        <v>3.7533219999999999E-2</v>
      </c>
      <c r="T5746" s="2">
        <v>2.0419119999999999E-2</v>
      </c>
    </row>
    <row r="5747" spans="18:20" x14ac:dyDescent="0.45">
      <c r="R5747" s="2">
        <v>74.23</v>
      </c>
      <c r="S5747" s="2">
        <v>3.757423E-2</v>
      </c>
      <c r="T5747" s="2">
        <v>2.044058E-2</v>
      </c>
    </row>
    <row r="5748" spans="18:20" x14ac:dyDescent="0.45">
      <c r="R5748" s="2">
        <v>74.239999999999995</v>
      </c>
      <c r="S5748" s="2">
        <v>3.7615240000000001E-2</v>
      </c>
      <c r="T5748" s="2">
        <v>2.0462040000000001E-2</v>
      </c>
    </row>
    <row r="5749" spans="18:20" x14ac:dyDescent="0.45">
      <c r="R5749" s="2">
        <v>74.25</v>
      </c>
      <c r="S5749" s="2">
        <v>3.7656250000000002E-2</v>
      </c>
      <c r="T5749" s="2">
        <v>2.0483500000000002E-2</v>
      </c>
    </row>
    <row r="5750" spans="18:20" x14ac:dyDescent="0.45">
      <c r="R5750" s="2">
        <v>74.260000000000005</v>
      </c>
      <c r="S5750" s="2">
        <v>3.7697260000000003E-2</v>
      </c>
      <c r="T5750" s="2">
        <v>2.0504959999999999E-2</v>
      </c>
    </row>
    <row r="5751" spans="18:20" x14ac:dyDescent="0.45">
      <c r="R5751" s="2">
        <v>74.27</v>
      </c>
      <c r="S5751" s="2">
        <v>3.7738269999999997E-2</v>
      </c>
      <c r="T5751" s="2">
        <v>2.052642E-2</v>
      </c>
    </row>
    <row r="5752" spans="18:20" x14ac:dyDescent="0.45">
      <c r="R5752" s="2">
        <v>74.28</v>
      </c>
      <c r="S5752" s="2">
        <v>3.7779279999999998E-2</v>
      </c>
      <c r="T5752" s="2">
        <v>2.0547880000000001E-2</v>
      </c>
    </row>
    <row r="5753" spans="18:20" x14ac:dyDescent="0.45">
      <c r="R5753" s="2">
        <v>74.290000000000006</v>
      </c>
      <c r="S5753" s="2">
        <v>3.7820289999999999E-2</v>
      </c>
      <c r="T5753" s="2">
        <v>2.0569339999999998E-2</v>
      </c>
    </row>
    <row r="5754" spans="18:20" x14ac:dyDescent="0.45">
      <c r="R5754" s="2">
        <v>74.3</v>
      </c>
      <c r="S5754" s="2">
        <v>3.7861300000000001E-2</v>
      </c>
      <c r="T5754" s="2">
        <v>2.0590799999999999E-2</v>
      </c>
    </row>
    <row r="5755" spans="18:20" x14ac:dyDescent="0.45">
      <c r="R5755" s="2">
        <v>74.31</v>
      </c>
      <c r="S5755" s="2">
        <v>3.7902310000000002E-2</v>
      </c>
      <c r="T5755" s="2">
        <v>2.061226E-2</v>
      </c>
    </row>
    <row r="5756" spans="18:20" x14ac:dyDescent="0.45">
      <c r="R5756" s="2">
        <v>74.319999999999993</v>
      </c>
      <c r="S5756" s="2">
        <v>3.7943320000000003E-2</v>
      </c>
      <c r="T5756" s="2">
        <v>2.0633720000000001E-2</v>
      </c>
    </row>
    <row r="5757" spans="18:20" x14ac:dyDescent="0.45">
      <c r="R5757" s="2">
        <v>74.33</v>
      </c>
      <c r="S5757" s="2">
        <v>3.7984329999999997E-2</v>
      </c>
      <c r="T5757" s="2">
        <v>2.0655179999999999E-2</v>
      </c>
    </row>
    <row r="5758" spans="18:20" x14ac:dyDescent="0.45">
      <c r="R5758" s="2">
        <v>74.34</v>
      </c>
      <c r="S5758" s="2">
        <v>3.8025339999999998E-2</v>
      </c>
      <c r="T5758" s="2">
        <v>2.067664E-2</v>
      </c>
    </row>
    <row r="5759" spans="18:20" x14ac:dyDescent="0.45">
      <c r="R5759" s="2">
        <v>74.349999999999994</v>
      </c>
      <c r="S5759" s="2">
        <v>3.8066349999999999E-2</v>
      </c>
      <c r="T5759" s="2">
        <v>2.0698100000000001E-2</v>
      </c>
    </row>
    <row r="5760" spans="18:20" x14ac:dyDescent="0.45">
      <c r="R5760" s="2">
        <v>74.36</v>
      </c>
      <c r="S5760" s="2">
        <v>3.810736E-2</v>
      </c>
      <c r="T5760" s="2">
        <v>2.0719560000000001E-2</v>
      </c>
    </row>
    <row r="5761" spans="18:20" x14ac:dyDescent="0.45">
      <c r="R5761" s="2">
        <v>74.37</v>
      </c>
      <c r="S5761" s="2">
        <v>3.8148370000000001E-2</v>
      </c>
      <c r="T5761" s="2">
        <v>2.0741019999999999E-2</v>
      </c>
    </row>
    <row r="5762" spans="18:20" x14ac:dyDescent="0.45">
      <c r="R5762" s="2">
        <v>74.38</v>
      </c>
      <c r="S5762" s="2">
        <v>3.8189380000000002E-2</v>
      </c>
      <c r="T5762" s="2">
        <v>2.076248E-2</v>
      </c>
    </row>
    <row r="5763" spans="18:20" x14ac:dyDescent="0.45">
      <c r="R5763" s="2">
        <v>74.39</v>
      </c>
      <c r="S5763" s="2">
        <v>3.8230390000000003E-2</v>
      </c>
      <c r="T5763" s="2">
        <v>2.0783940000000001E-2</v>
      </c>
    </row>
    <row r="5764" spans="18:20" x14ac:dyDescent="0.45">
      <c r="R5764" s="2">
        <v>74.400000000000006</v>
      </c>
      <c r="S5764" s="2">
        <v>3.8271399999999997E-2</v>
      </c>
      <c r="T5764" s="2">
        <v>2.0805400000000002E-2</v>
      </c>
    </row>
    <row r="5765" spans="18:20" x14ac:dyDescent="0.45">
      <c r="R5765" s="2">
        <v>74.41</v>
      </c>
      <c r="S5765" s="2">
        <v>3.8312409999999998E-2</v>
      </c>
      <c r="T5765" s="2">
        <v>2.0826859999999999E-2</v>
      </c>
    </row>
    <row r="5766" spans="18:20" x14ac:dyDescent="0.45">
      <c r="R5766" s="2">
        <v>74.42</v>
      </c>
      <c r="S5766" s="2">
        <v>3.8353419999999999E-2</v>
      </c>
      <c r="T5766" s="2">
        <v>2.084832E-2</v>
      </c>
    </row>
    <row r="5767" spans="18:20" x14ac:dyDescent="0.45">
      <c r="R5767" s="2">
        <v>74.430000000000007</v>
      </c>
      <c r="S5767" s="2">
        <v>3.839443E-2</v>
      </c>
      <c r="T5767" s="2">
        <v>2.0869780000000001E-2</v>
      </c>
    </row>
    <row r="5768" spans="18:20" x14ac:dyDescent="0.45">
      <c r="R5768" s="2">
        <v>74.44</v>
      </c>
      <c r="S5768" s="2">
        <v>3.8435440000000001E-2</v>
      </c>
      <c r="T5768" s="2">
        <v>2.0891239999999998E-2</v>
      </c>
    </row>
    <row r="5769" spans="18:20" x14ac:dyDescent="0.45">
      <c r="R5769" s="2">
        <v>74.45</v>
      </c>
      <c r="S5769" s="2">
        <v>3.8476450000000002E-2</v>
      </c>
      <c r="T5769" s="2">
        <v>2.0912699999999999E-2</v>
      </c>
    </row>
    <row r="5770" spans="18:20" x14ac:dyDescent="0.45">
      <c r="R5770" s="2">
        <v>74.459999999999994</v>
      </c>
      <c r="S5770" s="2">
        <v>3.8517460000000003E-2</v>
      </c>
      <c r="T5770" s="2">
        <v>2.093416E-2</v>
      </c>
    </row>
    <row r="5771" spans="18:20" x14ac:dyDescent="0.45">
      <c r="R5771" s="2">
        <v>74.47</v>
      </c>
      <c r="S5771" s="2">
        <v>3.8558469999999997E-2</v>
      </c>
      <c r="T5771" s="2">
        <v>2.0955620000000001E-2</v>
      </c>
    </row>
    <row r="5772" spans="18:20" x14ac:dyDescent="0.45">
      <c r="R5772" s="2">
        <v>74.48</v>
      </c>
      <c r="S5772" s="2">
        <v>3.8599479999999999E-2</v>
      </c>
      <c r="T5772" s="2">
        <v>2.0977079999999999E-2</v>
      </c>
    </row>
    <row r="5773" spans="18:20" x14ac:dyDescent="0.45">
      <c r="R5773" s="2">
        <v>74.489999999999995</v>
      </c>
      <c r="S5773" s="2">
        <v>3.864049E-2</v>
      </c>
      <c r="T5773" s="2">
        <v>2.099854E-2</v>
      </c>
    </row>
    <row r="5774" spans="18:20" x14ac:dyDescent="0.45">
      <c r="R5774" s="2">
        <v>74.5</v>
      </c>
      <c r="S5774" s="2">
        <v>3.8681500000000001E-2</v>
      </c>
      <c r="T5774" s="2">
        <v>2.102E-2</v>
      </c>
    </row>
    <row r="5775" spans="18:20" x14ac:dyDescent="0.45">
      <c r="R5775" s="2">
        <v>74.510000000000005</v>
      </c>
      <c r="S5775" s="2">
        <v>3.8722510000000002E-2</v>
      </c>
      <c r="T5775" s="2">
        <v>2.1041460000000001E-2</v>
      </c>
    </row>
    <row r="5776" spans="18:20" x14ac:dyDescent="0.45">
      <c r="R5776" s="2">
        <v>74.52</v>
      </c>
      <c r="S5776" s="2">
        <v>3.8763520000000003E-2</v>
      </c>
      <c r="T5776" s="2">
        <v>2.1062919999999999E-2</v>
      </c>
    </row>
    <row r="5777" spans="18:20" x14ac:dyDescent="0.45">
      <c r="R5777" s="2">
        <v>74.53</v>
      </c>
      <c r="S5777" s="2">
        <v>3.8804529999999997E-2</v>
      </c>
      <c r="T5777" s="2">
        <v>2.108438E-2</v>
      </c>
    </row>
    <row r="5778" spans="18:20" x14ac:dyDescent="0.45">
      <c r="R5778" s="2">
        <v>74.540000000000006</v>
      </c>
      <c r="S5778" s="2">
        <v>3.8845539999999998E-2</v>
      </c>
      <c r="T5778" s="2">
        <v>2.1105840000000001E-2</v>
      </c>
    </row>
    <row r="5779" spans="18:20" x14ac:dyDescent="0.45">
      <c r="R5779" s="2">
        <v>74.55</v>
      </c>
      <c r="S5779" s="2">
        <v>3.8886549999999999E-2</v>
      </c>
      <c r="T5779" s="2">
        <v>2.1127300000000002E-2</v>
      </c>
    </row>
    <row r="5780" spans="18:20" x14ac:dyDescent="0.45">
      <c r="R5780" s="2">
        <v>74.56</v>
      </c>
      <c r="S5780" s="2">
        <v>3.892756E-2</v>
      </c>
      <c r="T5780" s="2">
        <v>2.1148759999999999E-2</v>
      </c>
    </row>
    <row r="5781" spans="18:20" x14ac:dyDescent="0.45">
      <c r="R5781" s="2">
        <v>74.569999999999993</v>
      </c>
      <c r="S5781" s="2">
        <v>3.8968570000000001E-2</v>
      </c>
      <c r="T5781" s="2">
        <v>2.117022E-2</v>
      </c>
    </row>
    <row r="5782" spans="18:20" x14ac:dyDescent="0.45">
      <c r="R5782" s="2">
        <v>74.58</v>
      </c>
      <c r="S5782" s="2">
        <v>3.9009580000000002E-2</v>
      </c>
      <c r="T5782" s="2">
        <v>2.1191680000000001E-2</v>
      </c>
    </row>
    <row r="5783" spans="18:20" x14ac:dyDescent="0.45">
      <c r="R5783" s="2">
        <v>74.59</v>
      </c>
      <c r="S5783" s="2">
        <v>3.9050590000000003E-2</v>
      </c>
      <c r="T5783" s="2">
        <v>2.1213139999999998E-2</v>
      </c>
    </row>
    <row r="5784" spans="18:20" x14ac:dyDescent="0.45">
      <c r="R5784" s="2">
        <v>74.599999999999994</v>
      </c>
      <c r="S5784" s="2">
        <v>3.9091599999999997E-2</v>
      </c>
      <c r="T5784" s="2">
        <v>2.1234599999999999E-2</v>
      </c>
    </row>
    <row r="5785" spans="18:20" x14ac:dyDescent="0.45">
      <c r="R5785" s="2">
        <v>74.61</v>
      </c>
      <c r="S5785" s="2">
        <v>3.9132609999999998E-2</v>
      </c>
      <c r="T5785" s="2">
        <v>2.125606E-2</v>
      </c>
    </row>
    <row r="5786" spans="18:20" x14ac:dyDescent="0.45">
      <c r="R5786" s="2">
        <v>74.62</v>
      </c>
      <c r="S5786" s="2">
        <v>3.9173619999999999E-2</v>
      </c>
      <c r="T5786" s="2">
        <v>2.1277520000000001E-2</v>
      </c>
    </row>
    <row r="5787" spans="18:20" x14ac:dyDescent="0.45">
      <c r="R5787" s="2">
        <v>74.63</v>
      </c>
      <c r="S5787" s="2">
        <v>3.921463E-2</v>
      </c>
      <c r="T5787" s="2">
        <v>2.1298979999999999E-2</v>
      </c>
    </row>
    <row r="5788" spans="18:20" x14ac:dyDescent="0.45">
      <c r="R5788" s="2">
        <v>74.64</v>
      </c>
      <c r="S5788" s="2">
        <v>3.9255640000000001E-2</v>
      </c>
      <c r="T5788" s="2">
        <v>2.132044E-2</v>
      </c>
    </row>
    <row r="5789" spans="18:20" x14ac:dyDescent="0.45">
      <c r="R5789" s="2">
        <v>74.650000000000006</v>
      </c>
      <c r="S5789" s="2">
        <v>3.9296650000000002E-2</v>
      </c>
      <c r="T5789" s="2">
        <v>2.13419E-2</v>
      </c>
    </row>
    <row r="5790" spans="18:20" x14ac:dyDescent="0.45">
      <c r="R5790" s="2">
        <v>74.66</v>
      </c>
      <c r="S5790" s="2">
        <v>3.9337660000000003E-2</v>
      </c>
      <c r="T5790" s="2">
        <v>2.1363360000000001E-2</v>
      </c>
    </row>
    <row r="5791" spans="18:20" x14ac:dyDescent="0.45">
      <c r="R5791" s="2">
        <v>74.67</v>
      </c>
      <c r="S5791" s="2">
        <v>3.9378669999999998E-2</v>
      </c>
      <c r="T5791" s="2">
        <v>2.1384819999999999E-2</v>
      </c>
    </row>
    <row r="5792" spans="18:20" x14ac:dyDescent="0.45">
      <c r="R5792" s="2">
        <v>74.680000000000007</v>
      </c>
      <c r="S5792" s="2">
        <v>3.9419679999999999E-2</v>
      </c>
      <c r="T5792" s="2">
        <v>2.140628E-2</v>
      </c>
    </row>
    <row r="5793" spans="18:20" x14ac:dyDescent="0.45">
      <c r="R5793" s="2">
        <v>74.69</v>
      </c>
      <c r="S5793" s="2">
        <v>3.946069E-2</v>
      </c>
      <c r="T5793" s="2">
        <v>2.1427740000000001E-2</v>
      </c>
    </row>
    <row r="5794" spans="18:20" x14ac:dyDescent="0.45">
      <c r="R5794" s="2">
        <v>74.7</v>
      </c>
      <c r="S5794" s="2">
        <v>3.9501700000000001E-2</v>
      </c>
      <c r="T5794" s="2">
        <v>2.1449200000000002E-2</v>
      </c>
    </row>
    <row r="5795" spans="18:20" x14ac:dyDescent="0.45">
      <c r="R5795" s="2">
        <v>74.709999999999994</v>
      </c>
      <c r="S5795" s="2">
        <v>3.9542710000000002E-2</v>
      </c>
      <c r="T5795" s="2">
        <v>2.1470659999999999E-2</v>
      </c>
    </row>
    <row r="5796" spans="18:20" x14ac:dyDescent="0.45">
      <c r="R5796" s="2">
        <v>74.72</v>
      </c>
      <c r="S5796" s="2">
        <v>3.9583720000000003E-2</v>
      </c>
      <c r="T5796" s="2">
        <v>2.149212E-2</v>
      </c>
    </row>
    <row r="5797" spans="18:20" x14ac:dyDescent="0.45">
      <c r="R5797" s="2">
        <v>74.73</v>
      </c>
      <c r="S5797" s="2">
        <v>3.9624729999999997E-2</v>
      </c>
      <c r="T5797" s="2">
        <v>2.1513580000000001E-2</v>
      </c>
    </row>
    <row r="5798" spans="18:20" x14ac:dyDescent="0.45">
      <c r="R5798" s="2">
        <v>74.739999999999995</v>
      </c>
      <c r="S5798" s="2">
        <v>3.9665739999999998E-2</v>
      </c>
      <c r="T5798" s="2">
        <v>2.1535039999999998E-2</v>
      </c>
    </row>
    <row r="5799" spans="18:20" x14ac:dyDescent="0.45">
      <c r="R5799" s="2">
        <v>74.75</v>
      </c>
      <c r="S5799" s="2">
        <v>3.9706749999999999E-2</v>
      </c>
      <c r="T5799" s="2">
        <v>2.1556499999999999E-2</v>
      </c>
    </row>
    <row r="5800" spans="18:20" x14ac:dyDescent="0.45">
      <c r="R5800" s="2">
        <v>74.760000000000005</v>
      </c>
      <c r="S5800" s="2">
        <v>3.974776E-2</v>
      </c>
      <c r="T5800" s="2">
        <v>2.157796E-2</v>
      </c>
    </row>
    <row r="5801" spans="18:20" x14ac:dyDescent="0.45">
      <c r="R5801" s="2">
        <v>74.77</v>
      </c>
      <c r="S5801" s="2">
        <v>3.9788770000000001E-2</v>
      </c>
      <c r="T5801" s="2">
        <v>2.1599420000000001E-2</v>
      </c>
    </row>
    <row r="5802" spans="18:20" x14ac:dyDescent="0.45">
      <c r="R5802" s="2">
        <v>74.78</v>
      </c>
      <c r="S5802" s="2">
        <v>3.9829780000000002E-2</v>
      </c>
      <c r="T5802" s="2">
        <v>2.1620879999999999E-2</v>
      </c>
    </row>
    <row r="5803" spans="18:20" x14ac:dyDescent="0.45">
      <c r="R5803" s="2">
        <v>74.790000000000006</v>
      </c>
      <c r="S5803" s="2">
        <v>3.9870790000000003E-2</v>
      </c>
      <c r="T5803" s="2">
        <v>2.1642339999999999E-2</v>
      </c>
    </row>
    <row r="5804" spans="18:20" x14ac:dyDescent="0.45">
      <c r="R5804" s="2">
        <v>74.8</v>
      </c>
      <c r="S5804" s="2">
        <v>3.9911799999999997E-2</v>
      </c>
      <c r="T5804" s="2">
        <v>2.16638E-2</v>
      </c>
    </row>
    <row r="5805" spans="18:20" x14ac:dyDescent="0.45">
      <c r="R5805" s="2">
        <v>74.81</v>
      </c>
      <c r="S5805" s="2">
        <v>3.9952809999999998E-2</v>
      </c>
      <c r="T5805" s="2">
        <v>2.1685260000000001E-2</v>
      </c>
    </row>
    <row r="5806" spans="18:20" x14ac:dyDescent="0.45">
      <c r="R5806" s="2">
        <v>74.819999999999993</v>
      </c>
      <c r="S5806" s="2">
        <v>3.9993819999999999E-2</v>
      </c>
      <c r="T5806" s="2">
        <v>2.1706719999999999E-2</v>
      </c>
    </row>
    <row r="5807" spans="18:20" x14ac:dyDescent="0.45">
      <c r="R5807" s="2">
        <v>74.83</v>
      </c>
      <c r="S5807" s="2">
        <v>4.003483E-2</v>
      </c>
      <c r="T5807" s="2">
        <v>2.172818E-2</v>
      </c>
    </row>
    <row r="5808" spans="18:20" x14ac:dyDescent="0.45">
      <c r="R5808" s="2">
        <v>74.84</v>
      </c>
      <c r="S5808" s="2">
        <v>4.0075840000000001E-2</v>
      </c>
      <c r="T5808" s="2">
        <v>2.1749640000000001E-2</v>
      </c>
    </row>
    <row r="5809" spans="18:20" x14ac:dyDescent="0.45">
      <c r="R5809" s="2">
        <v>74.849999999999994</v>
      </c>
      <c r="S5809" s="2">
        <v>4.0116850000000003E-2</v>
      </c>
      <c r="T5809" s="2">
        <v>2.1771100000000002E-2</v>
      </c>
    </row>
    <row r="5810" spans="18:20" x14ac:dyDescent="0.45">
      <c r="R5810" s="2">
        <v>74.86</v>
      </c>
      <c r="S5810" s="2">
        <v>4.0157859999999997E-2</v>
      </c>
      <c r="T5810" s="2">
        <v>2.1792559999999999E-2</v>
      </c>
    </row>
    <row r="5811" spans="18:20" x14ac:dyDescent="0.45">
      <c r="R5811" s="2">
        <v>74.87</v>
      </c>
      <c r="S5811" s="2">
        <v>4.0198869999999998E-2</v>
      </c>
      <c r="T5811" s="2">
        <v>2.181402E-2</v>
      </c>
    </row>
    <row r="5812" spans="18:20" x14ac:dyDescent="0.45">
      <c r="R5812" s="2">
        <v>74.88</v>
      </c>
      <c r="S5812" s="2">
        <v>4.0239879999999999E-2</v>
      </c>
      <c r="T5812" s="2">
        <v>2.1835480000000001E-2</v>
      </c>
    </row>
    <row r="5813" spans="18:20" x14ac:dyDescent="0.45">
      <c r="R5813" s="2">
        <v>74.89</v>
      </c>
      <c r="S5813" s="2">
        <v>4.028089E-2</v>
      </c>
      <c r="T5813" s="2">
        <v>2.1856939999999998E-2</v>
      </c>
    </row>
    <row r="5814" spans="18:20" x14ac:dyDescent="0.45">
      <c r="R5814" s="2">
        <v>74.900000000000006</v>
      </c>
      <c r="S5814" s="2">
        <v>4.0321900000000001E-2</v>
      </c>
      <c r="T5814" s="2">
        <v>2.1878399999999999E-2</v>
      </c>
    </row>
    <row r="5815" spans="18:20" x14ac:dyDescent="0.45">
      <c r="R5815" s="2">
        <v>74.91</v>
      </c>
      <c r="S5815" s="2">
        <v>4.0362910000000002E-2</v>
      </c>
      <c r="T5815" s="2">
        <v>2.189986E-2</v>
      </c>
    </row>
    <row r="5816" spans="18:20" x14ac:dyDescent="0.45">
      <c r="R5816" s="2">
        <v>74.92</v>
      </c>
      <c r="S5816" s="2">
        <v>4.0403920000000003E-2</v>
      </c>
      <c r="T5816" s="2">
        <v>2.1921320000000001E-2</v>
      </c>
    </row>
    <row r="5817" spans="18:20" x14ac:dyDescent="0.45">
      <c r="R5817" s="2">
        <v>74.930000000000007</v>
      </c>
      <c r="S5817" s="2">
        <v>4.0444929999999997E-2</v>
      </c>
      <c r="T5817" s="2">
        <v>2.1942779999999999E-2</v>
      </c>
    </row>
    <row r="5818" spans="18:20" x14ac:dyDescent="0.45">
      <c r="R5818" s="2">
        <v>74.94</v>
      </c>
      <c r="S5818" s="2">
        <v>4.0485939999999998E-2</v>
      </c>
      <c r="T5818" s="2">
        <v>2.1964239999999999E-2</v>
      </c>
    </row>
    <row r="5819" spans="18:20" x14ac:dyDescent="0.45">
      <c r="R5819" s="2">
        <v>74.95</v>
      </c>
      <c r="S5819" s="2">
        <v>4.0526949999999999E-2</v>
      </c>
      <c r="T5819" s="2">
        <v>2.19857E-2</v>
      </c>
    </row>
    <row r="5820" spans="18:20" x14ac:dyDescent="0.45">
      <c r="R5820" s="2">
        <v>74.959999999999994</v>
      </c>
      <c r="S5820" s="2">
        <v>4.056796E-2</v>
      </c>
      <c r="T5820" s="2">
        <v>2.2007160000000001E-2</v>
      </c>
    </row>
    <row r="5821" spans="18:20" x14ac:dyDescent="0.45">
      <c r="R5821" s="2">
        <v>74.97</v>
      </c>
      <c r="S5821" s="2">
        <v>4.0608970000000001E-2</v>
      </c>
      <c r="T5821" s="2">
        <v>2.2028619999999999E-2</v>
      </c>
    </row>
    <row r="5822" spans="18:20" x14ac:dyDescent="0.45">
      <c r="R5822" s="2">
        <v>74.98</v>
      </c>
      <c r="S5822" s="2">
        <v>4.0649980000000002E-2</v>
      </c>
      <c r="T5822" s="2">
        <v>2.205008E-2</v>
      </c>
    </row>
    <row r="5823" spans="18:20" x14ac:dyDescent="0.45">
      <c r="R5823" s="2">
        <v>74.989999999999995</v>
      </c>
      <c r="S5823" s="2">
        <v>4.0690990000000003E-2</v>
      </c>
      <c r="T5823" s="2">
        <v>2.2071540000000001E-2</v>
      </c>
    </row>
    <row r="5824" spans="18:20" x14ac:dyDescent="0.45">
      <c r="R5824" s="2">
        <v>75</v>
      </c>
      <c r="S5824" s="2">
        <v>4.0731999999999997E-2</v>
      </c>
      <c r="T5824" s="2">
        <v>2.2093000000000002E-2</v>
      </c>
    </row>
    <row r="5825" spans="18:20" x14ac:dyDescent="0.45">
      <c r="R5825" s="2">
        <v>75.010000000000005</v>
      </c>
      <c r="S5825" s="2">
        <v>4.0777189999999998E-2</v>
      </c>
      <c r="T5825" s="2">
        <v>2.2116790000000001E-2</v>
      </c>
    </row>
    <row r="5826" spans="18:20" x14ac:dyDescent="0.45">
      <c r="R5826" s="2">
        <v>75.02</v>
      </c>
      <c r="S5826" s="2">
        <v>4.0822379999999998E-2</v>
      </c>
      <c r="T5826" s="2">
        <v>2.214058E-2</v>
      </c>
    </row>
    <row r="5827" spans="18:20" x14ac:dyDescent="0.45">
      <c r="R5827" s="2">
        <v>75.03</v>
      </c>
      <c r="S5827" s="2">
        <v>4.0867569999999999E-2</v>
      </c>
      <c r="T5827" s="2">
        <v>2.2164369999999999E-2</v>
      </c>
    </row>
    <row r="5828" spans="18:20" x14ac:dyDescent="0.45">
      <c r="R5828" s="2">
        <v>75.040000000000006</v>
      </c>
      <c r="S5828" s="2">
        <v>4.0912759999999999E-2</v>
      </c>
      <c r="T5828" s="2">
        <v>2.2188159999999998E-2</v>
      </c>
    </row>
    <row r="5829" spans="18:20" x14ac:dyDescent="0.45">
      <c r="R5829" s="2">
        <v>75.05</v>
      </c>
      <c r="S5829" s="2">
        <v>4.095795E-2</v>
      </c>
      <c r="T5829" s="2">
        <v>2.2211950000000001E-2</v>
      </c>
    </row>
    <row r="5830" spans="18:20" x14ac:dyDescent="0.45">
      <c r="R5830" s="2">
        <v>75.06</v>
      </c>
      <c r="S5830" s="2">
        <v>4.100314E-2</v>
      </c>
      <c r="T5830" s="2">
        <v>2.223574E-2</v>
      </c>
    </row>
    <row r="5831" spans="18:20" x14ac:dyDescent="0.45">
      <c r="R5831" s="2">
        <v>75.069999999999993</v>
      </c>
      <c r="S5831" s="2">
        <v>4.1048330000000001E-2</v>
      </c>
      <c r="T5831" s="2">
        <v>2.225953E-2</v>
      </c>
    </row>
    <row r="5832" spans="18:20" x14ac:dyDescent="0.45">
      <c r="R5832" s="2">
        <v>75.08</v>
      </c>
      <c r="S5832" s="2">
        <v>4.1093520000000001E-2</v>
      </c>
      <c r="T5832" s="2">
        <v>2.2283319999999999E-2</v>
      </c>
    </row>
    <row r="5833" spans="18:20" x14ac:dyDescent="0.45">
      <c r="R5833" s="2">
        <v>75.09</v>
      </c>
      <c r="S5833" s="2">
        <v>4.1138710000000002E-2</v>
      </c>
      <c r="T5833" s="2">
        <v>2.2307110000000002E-2</v>
      </c>
    </row>
    <row r="5834" spans="18:20" x14ac:dyDescent="0.45">
      <c r="R5834" s="2">
        <v>75.099999999999994</v>
      </c>
      <c r="S5834" s="2">
        <v>4.1183900000000002E-2</v>
      </c>
      <c r="T5834" s="2">
        <v>2.2330900000000001E-2</v>
      </c>
    </row>
    <row r="5835" spans="18:20" x14ac:dyDescent="0.45">
      <c r="R5835" s="2">
        <v>75.11</v>
      </c>
      <c r="S5835" s="2">
        <v>4.1229090000000003E-2</v>
      </c>
      <c r="T5835" s="2">
        <v>2.235469E-2</v>
      </c>
    </row>
    <row r="5836" spans="18:20" x14ac:dyDescent="0.45">
      <c r="R5836" s="2">
        <v>75.12</v>
      </c>
      <c r="S5836" s="2">
        <v>4.1274280000000003E-2</v>
      </c>
      <c r="T5836" s="2">
        <v>2.2378479999999999E-2</v>
      </c>
    </row>
    <row r="5837" spans="18:20" x14ac:dyDescent="0.45">
      <c r="R5837" s="2">
        <v>75.13</v>
      </c>
      <c r="S5837" s="2">
        <v>4.1319469999999997E-2</v>
      </c>
      <c r="T5837" s="2">
        <v>2.2402269999999998E-2</v>
      </c>
    </row>
    <row r="5838" spans="18:20" x14ac:dyDescent="0.45">
      <c r="R5838" s="2">
        <v>75.14</v>
      </c>
      <c r="S5838" s="2">
        <v>4.1364659999999998E-2</v>
      </c>
      <c r="T5838" s="2">
        <v>2.2426060000000001E-2</v>
      </c>
    </row>
    <row r="5839" spans="18:20" x14ac:dyDescent="0.45">
      <c r="R5839" s="2">
        <v>75.150000000000006</v>
      </c>
      <c r="S5839" s="2">
        <v>4.1409849999999998E-2</v>
      </c>
      <c r="T5839" s="2">
        <v>2.244985E-2</v>
      </c>
    </row>
    <row r="5840" spans="18:20" x14ac:dyDescent="0.45">
      <c r="R5840" s="2">
        <v>75.16</v>
      </c>
      <c r="S5840" s="2">
        <v>4.1455039999999999E-2</v>
      </c>
      <c r="T5840" s="2">
        <v>2.247364E-2</v>
      </c>
    </row>
    <row r="5841" spans="18:20" x14ac:dyDescent="0.45">
      <c r="R5841" s="2">
        <v>75.17</v>
      </c>
      <c r="S5841" s="2">
        <v>4.1500229999999999E-2</v>
      </c>
      <c r="T5841" s="2">
        <v>2.2497429999999999E-2</v>
      </c>
    </row>
    <row r="5842" spans="18:20" x14ac:dyDescent="0.45">
      <c r="R5842" s="2">
        <v>75.180000000000007</v>
      </c>
      <c r="S5842" s="2">
        <v>4.154542E-2</v>
      </c>
      <c r="T5842" s="2">
        <v>2.2521220000000002E-2</v>
      </c>
    </row>
    <row r="5843" spans="18:20" x14ac:dyDescent="0.45">
      <c r="R5843" s="2">
        <v>75.19</v>
      </c>
      <c r="S5843" s="2">
        <v>4.159061E-2</v>
      </c>
      <c r="T5843" s="2">
        <v>2.2545010000000001E-2</v>
      </c>
    </row>
    <row r="5844" spans="18:20" x14ac:dyDescent="0.45">
      <c r="R5844" s="2">
        <v>75.2</v>
      </c>
      <c r="S5844" s="2">
        <v>4.1635800000000001E-2</v>
      </c>
      <c r="T5844" s="2">
        <v>2.25688E-2</v>
      </c>
    </row>
    <row r="5845" spans="18:20" x14ac:dyDescent="0.45">
      <c r="R5845" s="2">
        <v>75.209999999999994</v>
      </c>
      <c r="S5845" s="2">
        <v>4.1680990000000001E-2</v>
      </c>
      <c r="T5845" s="2">
        <v>2.2592589999999999E-2</v>
      </c>
    </row>
    <row r="5846" spans="18:20" x14ac:dyDescent="0.45">
      <c r="R5846" s="2">
        <v>75.22</v>
      </c>
      <c r="S5846" s="2">
        <v>4.1726180000000002E-2</v>
      </c>
      <c r="T5846" s="2">
        <v>2.2616379999999998E-2</v>
      </c>
    </row>
    <row r="5847" spans="18:20" x14ac:dyDescent="0.45">
      <c r="R5847" s="2">
        <v>75.23</v>
      </c>
      <c r="S5847" s="2">
        <v>4.1771370000000002E-2</v>
      </c>
      <c r="T5847" s="2">
        <v>2.2640170000000001E-2</v>
      </c>
    </row>
    <row r="5848" spans="18:20" x14ac:dyDescent="0.45">
      <c r="R5848" s="2">
        <v>75.239999999999995</v>
      </c>
      <c r="S5848" s="2">
        <v>4.1816560000000003E-2</v>
      </c>
      <c r="T5848" s="2">
        <v>2.266396E-2</v>
      </c>
    </row>
    <row r="5849" spans="18:20" x14ac:dyDescent="0.45">
      <c r="R5849" s="2">
        <v>75.25</v>
      </c>
      <c r="S5849" s="2">
        <v>4.1861750000000003E-2</v>
      </c>
      <c r="T5849" s="2">
        <v>2.268775E-2</v>
      </c>
    </row>
    <row r="5850" spans="18:20" x14ac:dyDescent="0.45">
      <c r="R5850" s="2">
        <v>75.260000000000005</v>
      </c>
      <c r="S5850" s="2">
        <v>4.1906939999999997E-2</v>
      </c>
      <c r="T5850" s="2">
        <v>2.2711539999999999E-2</v>
      </c>
    </row>
    <row r="5851" spans="18:20" x14ac:dyDescent="0.45">
      <c r="R5851" s="2">
        <v>75.27</v>
      </c>
      <c r="S5851" s="2">
        <v>4.1952129999999997E-2</v>
      </c>
      <c r="T5851" s="2">
        <v>2.2735330000000002E-2</v>
      </c>
    </row>
    <row r="5852" spans="18:20" x14ac:dyDescent="0.45">
      <c r="R5852" s="2">
        <v>75.28</v>
      </c>
      <c r="S5852" s="2">
        <v>4.1997319999999998E-2</v>
      </c>
      <c r="T5852" s="2">
        <v>2.2759120000000001E-2</v>
      </c>
    </row>
    <row r="5853" spans="18:20" x14ac:dyDescent="0.45">
      <c r="R5853" s="2">
        <v>75.290000000000006</v>
      </c>
      <c r="S5853" s="2">
        <v>4.2042509999999998E-2</v>
      </c>
      <c r="T5853" s="2">
        <v>2.278291E-2</v>
      </c>
    </row>
    <row r="5854" spans="18:20" x14ac:dyDescent="0.45">
      <c r="R5854" s="2">
        <v>75.3</v>
      </c>
      <c r="S5854" s="2">
        <v>4.2087699999999999E-2</v>
      </c>
      <c r="T5854" s="2">
        <v>2.2806699999999999E-2</v>
      </c>
    </row>
    <row r="5855" spans="18:20" x14ac:dyDescent="0.45">
      <c r="R5855" s="2">
        <v>75.31</v>
      </c>
      <c r="S5855" s="2">
        <v>4.2132889999999999E-2</v>
      </c>
      <c r="T5855" s="2">
        <v>2.2830489999999998E-2</v>
      </c>
    </row>
    <row r="5856" spans="18:20" x14ac:dyDescent="0.45">
      <c r="R5856" s="2">
        <v>75.319999999999993</v>
      </c>
      <c r="S5856" s="2">
        <v>4.217808E-2</v>
      </c>
      <c r="T5856" s="2">
        <v>2.2854280000000001E-2</v>
      </c>
    </row>
    <row r="5857" spans="18:20" x14ac:dyDescent="0.45">
      <c r="R5857" s="2">
        <v>75.33</v>
      </c>
      <c r="S5857" s="2">
        <v>4.222327E-2</v>
      </c>
      <c r="T5857" s="2">
        <v>2.287807E-2</v>
      </c>
    </row>
    <row r="5858" spans="18:20" x14ac:dyDescent="0.45">
      <c r="R5858" s="2">
        <v>75.34</v>
      </c>
      <c r="S5858" s="2">
        <v>4.2268460000000001E-2</v>
      </c>
      <c r="T5858" s="2">
        <v>2.290186E-2</v>
      </c>
    </row>
    <row r="5859" spans="18:20" x14ac:dyDescent="0.45">
      <c r="R5859" s="2">
        <v>75.349999999999994</v>
      </c>
      <c r="S5859" s="2">
        <v>4.2313650000000001E-2</v>
      </c>
      <c r="T5859" s="2">
        <v>2.2925649999999999E-2</v>
      </c>
    </row>
    <row r="5860" spans="18:20" x14ac:dyDescent="0.45">
      <c r="R5860" s="2">
        <v>75.36</v>
      </c>
      <c r="S5860" s="2">
        <v>4.2358840000000002E-2</v>
      </c>
      <c r="T5860" s="2">
        <v>2.2949440000000002E-2</v>
      </c>
    </row>
    <row r="5861" spans="18:20" x14ac:dyDescent="0.45">
      <c r="R5861" s="2">
        <v>75.37</v>
      </c>
      <c r="S5861" s="2">
        <v>4.2404030000000002E-2</v>
      </c>
      <c r="T5861" s="2">
        <v>2.2973230000000001E-2</v>
      </c>
    </row>
    <row r="5862" spans="18:20" x14ac:dyDescent="0.45">
      <c r="R5862" s="2">
        <v>75.38</v>
      </c>
      <c r="S5862" s="2">
        <v>4.2449220000000003E-2</v>
      </c>
      <c r="T5862" s="2">
        <v>2.299702E-2</v>
      </c>
    </row>
    <row r="5863" spans="18:20" x14ac:dyDescent="0.45">
      <c r="R5863" s="2">
        <v>75.39</v>
      </c>
      <c r="S5863" s="2">
        <v>4.2494410000000003E-2</v>
      </c>
      <c r="T5863" s="2">
        <v>2.3020809999999999E-2</v>
      </c>
    </row>
    <row r="5864" spans="18:20" x14ac:dyDescent="0.45">
      <c r="R5864" s="2">
        <v>75.400000000000006</v>
      </c>
      <c r="S5864" s="2">
        <v>4.2539599999999997E-2</v>
      </c>
      <c r="T5864" s="2">
        <v>2.3044599999999998E-2</v>
      </c>
    </row>
    <row r="5865" spans="18:20" x14ac:dyDescent="0.45">
      <c r="R5865" s="2">
        <v>75.41</v>
      </c>
      <c r="S5865" s="2">
        <v>4.2584789999999997E-2</v>
      </c>
      <c r="T5865" s="2">
        <v>2.3068390000000001E-2</v>
      </c>
    </row>
    <row r="5866" spans="18:20" x14ac:dyDescent="0.45">
      <c r="R5866" s="2">
        <v>75.42</v>
      </c>
      <c r="S5866" s="2">
        <v>4.2629979999999998E-2</v>
      </c>
      <c r="T5866" s="2">
        <v>2.309218E-2</v>
      </c>
    </row>
    <row r="5867" spans="18:20" x14ac:dyDescent="0.45">
      <c r="R5867" s="2">
        <v>75.430000000000007</v>
      </c>
      <c r="S5867" s="2">
        <v>4.2675169999999998E-2</v>
      </c>
      <c r="T5867" s="2">
        <v>2.311597E-2</v>
      </c>
    </row>
    <row r="5868" spans="18:20" x14ac:dyDescent="0.45">
      <c r="R5868" s="2">
        <v>75.44</v>
      </c>
      <c r="S5868" s="2">
        <v>4.2720359999999999E-2</v>
      </c>
      <c r="T5868" s="2">
        <v>2.3139759999999999E-2</v>
      </c>
    </row>
    <row r="5869" spans="18:20" x14ac:dyDescent="0.45">
      <c r="R5869" s="2">
        <v>75.45</v>
      </c>
      <c r="S5869" s="2">
        <v>4.2765549999999999E-2</v>
      </c>
      <c r="T5869" s="2">
        <v>2.3163550000000001E-2</v>
      </c>
    </row>
    <row r="5870" spans="18:20" x14ac:dyDescent="0.45">
      <c r="R5870" s="2">
        <v>75.459999999999994</v>
      </c>
      <c r="S5870" s="2">
        <v>4.281074E-2</v>
      </c>
      <c r="T5870" s="2">
        <v>2.3187340000000001E-2</v>
      </c>
    </row>
    <row r="5871" spans="18:20" x14ac:dyDescent="0.45">
      <c r="R5871" s="2">
        <v>75.47</v>
      </c>
      <c r="S5871" s="2">
        <v>4.285593E-2</v>
      </c>
      <c r="T5871" s="2">
        <v>2.321113E-2</v>
      </c>
    </row>
    <row r="5872" spans="18:20" x14ac:dyDescent="0.45">
      <c r="R5872" s="2">
        <v>75.48</v>
      </c>
      <c r="S5872" s="2">
        <v>4.2901120000000001E-2</v>
      </c>
      <c r="T5872" s="2">
        <v>2.3234919999999999E-2</v>
      </c>
    </row>
    <row r="5873" spans="18:20" x14ac:dyDescent="0.45">
      <c r="R5873" s="2">
        <v>75.489999999999995</v>
      </c>
      <c r="S5873" s="2">
        <v>4.2946310000000001E-2</v>
      </c>
      <c r="T5873" s="2">
        <v>2.3258709999999998E-2</v>
      </c>
    </row>
    <row r="5874" spans="18:20" x14ac:dyDescent="0.45">
      <c r="R5874" s="2">
        <v>75.5</v>
      </c>
      <c r="S5874" s="2">
        <v>4.2991500000000002E-2</v>
      </c>
      <c r="T5874" s="2">
        <v>2.3282500000000001E-2</v>
      </c>
    </row>
    <row r="5875" spans="18:20" x14ac:dyDescent="0.45">
      <c r="R5875" s="2">
        <v>75.510000000000005</v>
      </c>
      <c r="S5875" s="2">
        <v>4.3036690000000002E-2</v>
      </c>
      <c r="T5875" s="2">
        <v>2.330629E-2</v>
      </c>
    </row>
    <row r="5876" spans="18:20" x14ac:dyDescent="0.45">
      <c r="R5876" s="2">
        <v>75.52</v>
      </c>
      <c r="S5876" s="2">
        <v>4.3081880000000003E-2</v>
      </c>
      <c r="T5876" s="2">
        <v>2.333008E-2</v>
      </c>
    </row>
    <row r="5877" spans="18:20" x14ac:dyDescent="0.45">
      <c r="R5877" s="2">
        <v>75.53</v>
      </c>
      <c r="S5877" s="2">
        <v>4.3127070000000003E-2</v>
      </c>
      <c r="T5877" s="2">
        <v>2.3353869999999999E-2</v>
      </c>
    </row>
    <row r="5878" spans="18:20" x14ac:dyDescent="0.45">
      <c r="R5878" s="2">
        <v>75.540000000000006</v>
      </c>
      <c r="S5878" s="2">
        <v>4.3172259999999997E-2</v>
      </c>
      <c r="T5878" s="2">
        <v>2.3377660000000001E-2</v>
      </c>
    </row>
    <row r="5879" spans="18:20" x14ac:dyDescent="0.45">
      <c r="R5879" s="2">
        <v>75.55</v>
      </c>
      <c r="S5879" s="2">
        <v>4.3217449999999998E-2</v>
      </c>
      <c r="T5879" s="2">
        <v>2.3401450000000001E-2</v>
      </c>
    </row>
    <row r="5880" spans="18:20" x14ac:dyDescent="0.45">
      <c r="R5880" s="2">
        <v>75.56</v>
      </c>
      <c r="S5880" s="2">
        <v>4.3262639999999998E-2</v>
      </c>
      <c r="T5880" s="2">
        <v>2.342524E-2</v>
      </c>
    </row>
    <row r="5881" spans="18:20" x14ac:dyDescent="0.45">
      <c r="R5881" s="2">
        <v>75.569999999999993</v>
      </c>
      <c r="S5881" s="2">
        <v>4.3307829999999999E-2</v>
      </c>
      <c r="T5881" s="2">
        <v>2.3449029999999999E-2</v>
      </c>
    </row>
    <row r="5882" spans="18:20" x14ac:dyDescent="0.45">
      <c r="R5882" s="2">
        <v>75.58</v>
      </c>
      <c r="S5882" s="2">
        <v>4.3353019999999999E-2</v>
      </c>
      <c r="T5882" s="2">
        <v>2.3472819999999998E-2</v>
      </c>
    </row>
    <row r="5883" spans="18:20" x14ac:dyDescent="0.45">
      <c r="R5883" s="2">
        <v>75.59</v>
      </c>
      <c r="S5883" s="2">
        <v>4.339821E-2</v>
      </c>
      <c r="T5883" s="2">
        <v>2.3496610000000001E-2</v>
      </c>
    </row>
    <row r="5884" spans="18:20" x14ac:dyDescent="0.45">
      <c r="R5884" s="2">
        <v>75.599999999999994</v>
      </c>
      <c r="S5884" s="2">
        <v>4.34434E-2</v>
      </c>
      <c r="T5884" s="2">
        <v>2.35204E-2</v>
      </c>
    </row>
    <row r="5885" spans="18:20" x14ac:dyDescent="0.45">
      <c r="R5885" s="2">
        <v>75.61</v>
      </c>
      <c r="S5885" s="2">
        <v>4.3488590000000001E-2</v>
      </c>
      <c r="T5885" s="2">
        <v>2.354419E-2</v>
      </c>
    </row>
    <row r="5886" spans="18:20" x14ac:dyDescent="0.45">
      <c r="R5886" s="2">
        <v>75.62</v>
      </c>
      <c r="S5886" s="2">
        <v>4.3533780000000001E-2</v>
      </c>
      <c r="T5886" s="2">
        <v>2.3567979999999999E-2</v>
      </c>
    </row>
    <row r="5887" spans="18:20" x14ac:dyDescent="0.45">
      <c r="R5887" s="2">
        <v>75.63</v>
      </c>
      <c r="S5887" s="2">
        <v>4.3578970000000002E-2</v>
      </c>
      <c r="T5887" s="2">
        <v>2.3591770000000001E-2</v>
      </c>
    </row>
    <row r="5888" spans="18:20" x14ac:dyDescent="0.45">
      <c r="R5888" s="2">
        <v>75.64</v>
      </c>
      <c r="S5888" s="2">
        <v>4.3624160000000002E-2</v>
      </c>
      <c r="T5888" s="2">
        <v>2.3615560000000001E-2</v>
      </c>
    </row>
    <row r="5889" spans="18:20" x14ac:dyDescent="0.45">
      <c r="R5889" s="2">
        <v>75.650000000000006</v>
      </c>
      <c r="S5889" s="2">
        <v>4.3669350000000003E-2</v>
      </c>
      <c r="T5889" s="2">
        <v>2.363935E-2</v>
      </c>
    </row>
    <row r="5890" spans="18:20" x14ac:dyDescent="0.45">
      <c r="R5890" s="2">
        <v>75.66</v>
      </c>
      <c r="S5890" s="2">
        <v>4.3714540000000003E-2</v>
      </c>
      <c r="T5890" s="2">
        <v>2.3663139999999999E-2</v>
      </c>
    </row>
    <row r="5891" spans="18:20" x14ac:dyDescent="0.45">
      <c r="R5891" s="2">
        <v>75.67</v>
      </c>
      <c r="S5891" s="2">
        <v>4.3759729999999997E-2</v>
      </c>
      <c r="T5891" s="2">
        <v>2.3686929999999998E-2</v>
      </c>
    </row>
    <row r="5892" spans="18:20" x14ac:dyDescent="0.45">
      <c r="R5892" s="2">
        <v>75.680000000000007</v>
      </c>
      <c r="S5892" s="2">
        <v>4.3804919999999997E-2</v>
      </c>
      <c r="T5892" s="2">
        <v>2.3710720000000001E-2</v>
      </c>
    </row>
    <row r="5893" spans="18:20" x14ac:dyDescent="0.45">
      <c r="R5893" s="2">
        <v>75.69</v>
      </c>
      <c r="S5893" s="2">
        <v>4.3850109999999998E-2</v>
      </c>
      <c r="T5893" s="2">
        <v>2.373451E-2</v>
      </c>
    </row>
    <row r="5894" spans="18:20" x14ac:dyDescent="0.45">
      <c r="R5894" s="2">
        <v>75.7</v>
      </c>
      <c r="S5894" s="2">
        <v>4.3895299999999998E-2</v>
      </c>
      <c r="T5894" s="2">
        <v>2.37583E-2</v>
      </c>
    </row>
    <row r="5895" spans="18:20" x14ac:dyDescent="0.45">
      <c r="R5895" s="2">
        <v>75.709999999999994</v>
      </c>
      <c r="S5895" s="2">
        <v>4.3940489999999999E-2</v>
      </c>
      <c r="T5895" s="2">
        <v>2.3782089999999999E-2</v>
      </c>
    </row>
    <row r="5896" spans="18:20" x14ac:dyDescent="0.45">
      <c r="R5896" s="2">
        <v>75.72</v>
      </c>
      <c r="S5896" s="2">
        <v>4.3985679999999999E-2</v>
      </c>
      <c r="T5896" s="2">
        <v>2.3805880000000001E-2</v>
      </c>
    </row>
    <row r="5897" spans="18:20" x14ac:dyDescent="0.45">
      <c r="R5897" s="2">
        <v>75.73</v>
      </c>
      <c r="S5897" s="2">
        <v>4.403087E-2</v>
      </c>
      <c r="T5897" s="2">
        <v>2.3829670000000001E-2</v>
      </c>
    </row>
    <row r="5898" spans="18:20" x14ac:dyDescent="0.45">
      <c r="R5898" s="2">
        <v>75.739999999999995</v>
      </c>
      <c r="S5898" s="2">
        <v>4.407606E-2</v>
      </c>
      <c r="T5898" s="2">
        <v>2.385346E-2</v>
      </c>
    </row>
    <row r="5899" spans="18:20" x14ac:dyDescent="0.45">
      <c r="R5899" s="2">
        <v>75.75</v>
      </c>
      <c r="S5899" s="2">
        <v>4.4121250000000001E-2</v>
      </c>
      <c r="T5899" s="2">
        <v>2.3877249999999999E-2</v>
      </c>
    </row>
    <row r="5900" spans="18:20" x14ac:dyDescent="0.45">
      <c r="R5900" s="2">
        <v>75.760000000000005</v>
      </c>
      <c r="S5900" s="2">
        <v>4.4166440000000001E-2</v>
      </c>
      <c r="T5900" s="2">
        <v>2.3901039999999998E-2</v>
      </c>
    </row>
    <row r="5901" spans="18:20" x14ac:dyDescent="0.45">
      <c r="R5901" s="2">
        <v>75.77</v>
      </c>
      <c r="S5901" s="2">
        <v>4.4211630000000002E-2</v>
      </c>
      <c r="T5901" s="2">
        <v>2.3924830000000001E-2</v>
      </c>
    </row>
    <row r="5902" spans="18:20" x14ac:dyDescent="0.45">
      <c r="R5902" s="2">
        <v>75.78</v>
      </c>
      <c r="S5902" s="2">
        <v>4.4256820000000002E-2</v>
      </c>
      <c r="T5902" s="2">
        <v>2.394862E-2</v>
      </c>
    </row>
    <row r="5903" spans="18:20" x14ac:dyDescent="0.45">
      <c r="R5903" s="2">
        <v>75.790000000000006</v>
      </c>
      <c r="S5903" s="2">
        <v>4.4302010000000003E-2</v>
      </c>
      <c r="T5903" s="2">
        <v>2.397241E-2</v>
      </c>
    </row>
    <row r="5904" spans="18:20" x14ac:dyDescent="0.45">
      <c r="R5904" s="2">
        <v>75.8</v>
      </c>
      <c r="S5904" s="2">
        <v>4.4347200000000003E-2</v>
      </c>
      <c r="T5904" s="2">
        <v>2.3996199999999999E-2</v>
      </c>
    </row>
    <row r="5905" spans="18:20" x14ac:dyDescent="0.45">
      <c r="R5905" s="2">
        <v>75.81</v>
      </c>
      <c r="S5905" s="2">
        <v>4.4392389999999997E-2</v>
      </c>
      <c r="T5905" s="2">
        <v>2.4019990000000001E-2</v>
      </c>
    </row>
    <row r="5906" spans="18:20" x14ac:dyDescent="0.45">
      <c r="R5906" s="2">
        <v>75.819999999999993</v>
      </c>
      <c r="S5906" s="2">
        <v>4.4437579999999997E-2</v>
      </c>
      <c r="T5906" s="2">
        <v>2.4043780000000001E-2</v>
      </c>
    </row>
    <row r="5907" spans="18:20" x14ac:dyDescent="0.45">
      <c r="R5907" s="2">
        <v>75.83</v>
      </c>
      <c r="S5907" s="2">
        <v>4.4482769999999998E-2</v>
      </c>
      <c r="T5907" s="2">
        <v>2.406757E-2</v>
      </c>
    </row>
    <row r="5908" spans="18:20" x14ac:dyDescent="0.45">
      <c r="R5908" s="2">
        <v>75.84</v>
      </c>
      <c r="S5908" s="2">
        <v>4.4527959999999998E-2</v>
      </c>
      <c r="T5908" s="2">
        <v>2.4091359999999999E-2</v>
      </c>
    </row>
    <row r="5909" spans="18:20" x14ac:dyDescent="0.45">
      <c r="R5909" s="2">
        <v>75.849999999999994</v>
      </c>
      <c r="S5909" s="2">
        <v>4.4573149999999999E-2</v>
      </c>
      <c r="T5909" s="2">
        <v>2.4115149999999998E-2</v>
      </c>
    </row>
    <row r="5910" spans="18:20" x14ac:dyDescent="0.45">
      <c r="R5910" s="2">
        <v>75.86</v>
      </c>
      <c r="S5910" s="2">
        <v>4.4618339999999999E-2</v>
      </c>
      <c r="T5910" s="2">
        <v>2.4138940000000001E-2</v>
      </c>
    </row>
    <row r="5911" spans="18:20" x14ac:dyDescent="0.45">
      <c r="R5911" s="2">
        <v>75.87</v>
      </c>
      <c r="S5911" s="2">
        <v>4.466353E-2</v>
      </c>
      <c r="T5911" s="2">
        <v>2.416273E-2</v>
      </c>
    </row>
    <row r="5912" spans="18:20" x14ac:dyDescent="0.45">
      <c r="R5912" s="2">
        <v>75.88</v>
      </c>
      <c r="S5912" s="2">
        <v>4.470872E-2</v>
      </c>
      <c r="T5912" s="2">
        <v>2.418652E-2</v>
      </c>
    </row>
    <row r="5913" spans="18:20" x14ac:dyDescent="0.45">
      <c r="R5913" s="2">
        <v>75.89</v>
      </c>
      <c r="S5913" s="2">
        <v>4.4753910000000001E-2</v>
      </c>
      <c r="T5913" s="2">
        <v>2.4210309999999999E-2</v>
      </c>
    </row>
    <row r="5914" spans="18:20" x14ac:dyDescent="0.45">
      <c r="R5914" s="2">
        <v>75.900000000000006</v>
      </c>
      <c r="S5914" s="2">
        <v>4.4799100000000001E-2</v>
      </c>
      <c r="T5914" s="2">
        <v>2.4234100000000001E-2</v>
      </c>
    </row>
    <row r="5915" spans="18:20" x14ac:dyDescent="0.45">
      <c r="R5915" s="2">
        <v>75.91</v>
      </c>
      <c r="S5915" s="2">
        <v>4.4844290000000002E-2</v>
      </c>
      <c r="T5915" s="2">
        <v>2.4257890000000001E-2</v>
      </c>
    </row>
    <row r="5916" spans="18:20" x14ac:dyDescent="0.45">
      <c r="R5916" s="2">
        <v>75.92</v>
      </c>
      <c r="S5916" s="2">
        <v>4.4889480000000002E-2</v>
      </c>
      <c r="T5916" s="2">
        <v>2.428168E-2</v>
      </c>
    </row>
    <row r="5917" spans="18:20" x14ac:dyDescent="0.45">
      <c r="R5917" s="2">
        <v>75.930000000000007</v>
      </c>
      <c r="S5917" s="2">
        <v>4.4934670000000003E-2</v>
      </c>
      <c r="T5917" s="2">
        <v>2.4305469999999999E-2</v>
      </c>
    </row>
    <row r="5918" spans="18:20" x14ac:dyDescent="0.45">
      <c r="R5918" s="2">
        <v>75.94</v>
      </c>
      <c r="S5918" s="2">
        <v>4.4979860000000003E-2</v>
      </c>
      <c r="T5918" s="2">
        <v>2.4329259999999998E-2</v>
      </c>
    </row>
    <row r="5919" spans="18:20" x14ac:dyDescent="0.45">
      <c r="R5919" s="2">
        <v>75.95</v>
      </c>
      <c r="S5919" s="2">
        <v>4.5025049999999997E-2</v>
      </c>
      <c r="T5919" s="2">
        <v>2.4353050000000001E-2</v>
      </c>
    </row>
    <row r="5920" spans="18:20" x14ac:dyDescent="0.45">
      <c r="R5920" s="2">
        <v>75.959999999999994</v>
      </c>
      <c r="S5920" s="2">
        <v>4.5070239999999998E-2</v>
      </c>
      <c r="T5920" s="2">
        <v>2.437684E-2</v>
      </c>
    </row>
    <row r="5921" spans="18:20" x14ac:dyDescent="0.45">
      <c r="R5921" s="2">
        <v>75.97</v>
      </c>
      <c r="S5921" s="2">
        <v>4.5115429999999998E-2</v>
      </c>
      <c r="T5921" s="2">
        <v>2.440063E-2</v>
      </c>
    </row>
    <row r="5922" spans="18:20" x14ac:dyDescent="0.45">
      <c r="R5922" s="2">
        <v>75.98</v>
      </c>
      <c r="S5922" s="2">
        <v>4.5160619999999999E-2</v>
      </c>
      <c r="T5922" s="2">
        <v>2.4424419999999999E-2</v>
      </c>
    </row>
    <row r="5923" spans="18:20" x14ac:dyDescent="0.45">
      <c r="R5923" s="2">
        <v>75.989999999999995</v>
      </c>
      <c r="S5923" s="2">
        <v>4.5205809999999999E-2</v>
      </c>
      <c r="T5923" s="2">
        <v>2.4448210000000001E-2</v>
      </c>
    </row>
    <row r="5924" spans="18:20" x14ac:dyDescent="0.45">
      <c r="R5924" s="2">
        <v>76</v>
      </c>
      <c r="S5924" s="2">
        <v>4.5251E-2</v>
      </c>
      <c r="T5924" s="2">
        <v>2.4472000000000001E-2</v>
      </c>
    </row>
    <row r="5925" spans="18:20" x14ac:dyDescent="0.45">
      <c r="R5925" s="2">
        <v>76.010000000000005</v>
      </c>
      <c r="S5925" s="2">
        <v>4.5300720000000003E-2</v>
      </c>
      <c r="T5925" s="2">
        <v>2.4498349999999999E-2</v>
      </c>
    </row>
    <row r="5926" spans="18:20" x14ac:dyDescent="0.45">
      <c r="R5926" s="2">
        <v>76.02</v>
      </c>
      <c r="S5926" s="2">
        <v>4.5350439999999999E-2</v>
      </c>
      <c r="T5926" s="2">
        <v>2.45247E-2</v>
      </c>
    </row>
    <row r="5927" spans="18:20" x14ac:dyDescent="0.45">
      <c r="R5927" s="2">
        <v>76.03</v>
      </c>
      <c r="S5927" s="2">
        <v>4.5400160000000002E-2</v>
      </c>
      <c r="T5927" s="2">
        <v>2.4551050000000001E-2</v>
      </c>
    </row>
    <row r="5928" spans="18:20" x14ac:dyDescent="0.45">
      <c r="R5928" s="2">
        <v>76.040000000000006</v>
      </c>
      <c r="S5928" s="2">
        <v>4.5449879999999998E-2</v>
      </c>
      <c r="T5928" s="2">
        <v>2.4577399999999999E-2</v>
      </c>
    </row>
    <row r="5929" spans="18:20" x14ac:dyDescent="0.45">
      <c r="R5929" s="2">
        <v>76.05</v>
      </c>
      <c r="S5929" s="2">
        <v>4.5499600000000001E-2</v>
      </c>
      <c r="T5929" s="2">
        <v>2.4603750000000001E-2</v>
      </c>
    </row>
    <row r="5930" spans="18:20" x14ac:dyDescent="0.45">
      <c r="R5930" s="2">
        <v>76.06</v>
      </c>
      <c r="S5930" s="2">
        <v>4.5549319999999997E-2</v>
      </c>
      <c r="T5930" s="2">
        <v>2.4630099999999999E-2</v>
      </c>
    </row>
    <row r="5931" spans="18:20" x14ac:dyDescent="0.45">
      <c r="R5931" s="2">
        <v>76.069999999999993</v>
      </c>
      <c r="S5931" s="2">
        <v>4.559904E-2</v>
      </c>
      <c r="T5931" s="2">
        <v>2.465645E-2</v>
      </c>
    </row>
    <row r="5932" spans="18:20" x14ac:dyDescent="0.45">
      <c r="R5932" s="2">
        <v>76.08</v>
      </c>
      <c r="S5932" s="2">
        <v>4.5648759999999997E-2</v>
      </c>
      <c r="T5932" s="2">
        <v>2.4682800000000001E-2</v>
      </c>
    </row>
    <row r="5933" spans="18:20" x14ac:dyDescent="0.45">
      <c r="R5933" s="2">
        <v>76.09</v>
      </c>
      <c r="S5933" s="2">
        <v>4.569848E-2</v>
      </c>
      <c r="T5933" s="2">
        <v>2.4709149999999999E-2</v>
      </c>
    </row>
    <row r="5934" spans="18:20" x14ac:dyDescent="0.45">
      <c r="R5934" s="2">
        <v>76.099999999999994</v>
      </c>
      <c r="S5934" s="2">
        <v>4.5748200000000003E-2</v>
      </c>
      <c r="T5934" s="2">
        <v>2.4735500000000001E-2</v>
      </c>
    </row>
    <row r="5935" spans="18:20" x14ac:dyDescent="0.45">
      <c r="R5935" s="2">
        <v>76.11</v>
      </c>
      <c r="S5935" s="2">
        <v>4.5797919999999999E-2</v>
      </c>
      <c r="T5935" s="2">
        <v>2.4761849999999998E-2</v>
      </c>
    </row>
    <row r="5936" spans="18:20" x14ac:dyDescent="0.45">
      <c r="R5936" s="2">
        <v>76.12</v>
      </c>
      <c r="S5936" s="2">
        <v>4.5847640000000002E-2</v>
      </c>
      <c r="T5936" s="2">
        <v>2.47882E-2</v>
      </c>
    </row>
    <row r="5937" spans="18:20" x14ac:dyDescent="0.45">
      <c r="R5937" s="2">
        <v>76.13</v>
      </c>
      <c r="S5937" s="2">
        <v>4.5897359999999998E-2</v>
      </c>
      <c r="T5937" s="2">
        <v>2.4814550000000001E-2</v>
      </c>
    </row>
    <row r="5938" spans="18:20" x14ac:dyDescent="0.45">
      <c r="R5938" s="2">
        <v>76.14</v>
      </c>
      <c r="S5938" s="2">
        <v>4.5947080000000001E-2</v>
      </c>
      <c r="T5938" s="2">
        <v>2.4840899999999999E-2</v>
      </c>
    </row>
    <row r="5939" spans="18:20" x14ac:dyDescent="0.45">
      <c r="R5939" s="2">
        <v>76.150000000000006</v>
      </c>
      <c r="S5939" s="2">
        <v>4.5996799999999997E-2</v>
      </c>
      <c r="T5939" s="2">
        <v>2.486725E-2</v>
      </c>
    </row>
    <row r="5940" spans="18:20" x14ac:dyDescent="0.45">
      <c r="R5940" s="2">
        <v>76.16</v>
      </c>
      <c r="S5940" s="2">
        <v>4.6046520000000001E-2</v>
      </c>
      <c r="T5940" s="2">
        <v>2.4893599999999998E-2</v>
      </c>
    </row>
    <row r="5941" spans="18:20" x14ac:dyDescent="0.45">
      <c r="R5941" s="2">
        <v>76.17</v>
      </c>
      <c r="S5941" s="2">
        <v>4.6096239999999997E-2</v>
      </c>
      <c r="T5941" s="2">
        <v>2.491995E-2</v>
      </c>
    </row>
    <row r="5942" spans="18:20" x14ac:dyDescent="0.45">
      <c r="R5942" s="2">
        <v>76.180000000000007</v>
      </c>
      <c r="S5942" s="2">
        <v>4.614596E-2</v>
      </c>
      <c r="T5942" s="2">
        <v>2.4946300000000001E-2</v>
      </c>
    </row>
    <row r="5943" spans="18:20" x14ac:dyDescent="0.45">
      <c r="R5943" s="2">
        <v>76.19</v>
      </c>
      <c r="S5943" s="2">
        <v>4.6195680000000003E-2</v>
      </c>
      <c r="T5943" s="2">
        <v>2.4972649999999999E-2</v>
      </c>
    </row>
    <row r="5944" spans="18:20" x14ac:dyDescent="0.45">
      <c r="R5944" s="2">
        <v>76.2</v>
      </c>
      <c r="S5944" s="2">
        <v>4.6245399999999999E-2</v>
      </c>
      <c r="T5944" s="2">
        <v>2.4999E-2</v>
      </c>
    </row>
    <row r="5945" spans="18:20" x14ac:dyDescent="0.45">
      <c r="R5945" s="2">
        <v>76.209999999999994</v>
      </c>
      <c r="S5945" s="2">
        <v>4.6295120000000002E-2</v>
      </c>
      <c r="T5945" s="2">
        <v>2.5025349999999998E-2</v>
      </c>
    </row>
    <row r="5946" spans="18:20" x14ac:dyDescent="0.45">
      <c r="R5946" s="2">
        <v>76.22</v>
      </c>
      <c r="S5946" s="2">
        <v>4.6344839999999998E-2</v>
      </c>
      <c r="T5946" s="2">
        <v>2.50517E-2</v>
      </c>
    </row>
    <row r="5947" spans="18:20" x14ac:dyDescent="0.45">
      <c r="R5947" s="2">
        <v>76.23</v>
      </c>
      <c r="S5947" s="2">
        <v>4.6394560000000001E-2</v>
      </c>
      <c r="T5947" s="2">
        <v>2.5078050000000001E-2</v>
      </c>
    </row>
    <row r="5948" spans="18:20" x14ac:dyDescent="0.45">
      <c r="R5948" s="2">
        <v>76.239999999999995</v>
      </c>
      <c r="S5948" s="2">
        <v>4.6444279999999998E-2</v>
      </c>
      <c r="T5948" s="2">
        <v>2.5104399999999999E-2</v>
      </c>
    </row>
    <row r="5949" spans="18:20" x14ac:dyDescent="0.45">
      <c r="R5949" s="2">
        <v>76.25</v>
      </c>
      <c r="S5949" s="2">
        <v>4.6494000000000001E-2</v>
      </c>
      <c r="T5949" s="2">
        <v>2.513075E-2</v>
      </c>
    </row>
    <row r="5950" spans="18:20" x14ac:dyDescent="0.45">
      <c r="R5950" s="2">
        <v>76.260000000000005</v>
      </c>
      <c r="S5950" s="2">
        <v>4.6543719999999997E-2</v>
      </c>
      <c r="T5950" s="2">
        <v>2.5157100000000002E-2</v>
      </c>
    </row>
    <row r="5951" spans="18:20" x14ac:dyDescent="0.45">
      <c r="R5951" s="2">
        <v>76.27</v>
      </c>
      <c r="S5951" s="2">
        <v>4.659344E-2</v>
      </c>
      <c r="T5951" s="2">
        <v>2.518345E-2</v>
      </c>
    </row>
    <row r="5952" spans="18:20" x14ac:dyDescent="0.45">
      <c r="R5952" s="2">
        <v>76.28</v>
      </c>
      <c r="S5952" s="2">
        <v>4.6643160000000003E-2</v>
      </c>
      <c r="T5952" s="2">
        <v>2.5209800000000001E-2</v>
      </c>
    </row>
    <row r="5953" spans="18:20" x14ac:dyDescent="0.45">
      <c r="R5953" s="2">
        <v>76.290000000000006</v>
      </c>
      <c r="S5953" s="2">
        <v>4.6692879999999999E-2</v>
      </c>
      <c r="T5953" s="2">
        <v>2.5236149999999999E-2</v>
      </c>
    </row>
    <row r="5954" spans="18:20" x14ac:dyDescent="0.45">
      <c r="R5954" s="2">
        <v>76.3</v>
      </c>
      <c r="S5954" s="2">
        <v>4.6742600000000002E-2</v>
      </c>
      <c r="T5954" s="2">
        <v>2.52625E-2</v>
      </c>
    </row>
    <row r="5955" spans="18:20" x14ac:dyDescent="0.45">
      <c r="R5955" s="2">
        <v>76.31</v>
      </c>
      <c r="S5955" s="2">
        <v>4.6792319999999998E-2</v>
      </c>
      <c r="T5955" s="2">
        <v>2.5288850000000002E-2</v>
      </c>
    </row>
    <row r="5956" spans="18:20" x14ac:dyDescent="0.45">
      <c r="R5956" s="2">
        <v>76.319999999999993</v>
      </c>
      <c r="S5956" s="2">
        <v>4.6842040000000001E-2</v>
      </c>
      <c r="T5956" s="2">
        <v>2.53152E-2</v>
      </c>
    </row>
    <row r="5957" spans="18:20" x14ac:dyDescent="0.45">
      <c r="R5957" s="2">
        <v>76.33</v>
      </c>
      <c r="S5957" s="2">
        <v>4.6891759999999998E-2</v>
      </c>
      <c r="T5957" s="2">
        <v>2.5341550000000001E-2</v>
      </c>
    </row>
    <row r="5958" spans="18:20" x14ac:dyDescent="0.45">
      <c r="R5958" s="2">
        <v>76.34</v>
      </c>
      <c r="S5958" s="2">
        <v>4.6941480000000001E-2</v>
      </c>
      <c r="T5958" s="2">
        <v>2.5367899999999999E-2</v>
      </c>
    </row>
    <row r="5959" spans="18:20" x14ac:dyDescent="0.45">
      <c r="R5959" s="2">
        <v>76.349999999999994</v>
      </c>
      <c r="S5959" s="2">
        <v>4.6991199999999997E-2</v>
      </c>
      <c r="T5959" s="2">
        <v>2.539425E-2</v>
      </c>
    </row>
    <row r="5960" spans="18:20" x14ac:dyDescent="0.45">
      <c r="R5960" s="2">
        <v>76.36</v>
      </c>
      <c r="S5960" s="2">
        <v>4.704092E-2</v>
      </c>
      <c r="T5960" s="2">
        <v>2.5420600000000002E-2</v>
      </c>
    </row>
    <row r="5961" spans="18:20" x14ac:dyDescent="0.45">
      <c r="R5961" s="2">
        <v>76.37</v>
      </c>
      <c r="S5961" s="2">
        <v>4.7090640000000003E-2</v>
      </c>
      <c r="T5961" s="2">
        <v>2.5446949999999999E-2</v>
      </c>
    </row>
    <row r="5962" spans="18:20" x14ac:dyDescent="0.45">
      <c r="R5962" s="2">
        <v>76.38</v>
      </c>
      <c r="S5962" s="2">
        <v>4.7140359999999999E-2</v>
      </c>
      <c r="T5962" s="2">
        <v>2.5473300000000001E-2</v>
      </c>
    </row>
    <row r="5963" spans="18:20" x14ac:dyDescent="0.45">
      <c r="R5963" s="2">
        <v>76.39</v>
      </c>
      <c r="S5963" s="2">
        <v>4.7190080000000002E-2</v>
      </c>
      <c r="T5963" s="2">
        <v>2.5499649999999999E-2</v>
      </c>
    </row>
    <row r="5964" spans="18:20" x14ac:dyDescent="0.45">
      <c r="R5964" s="2">
        <v>76.400000000000006</v>
      </c>
      <c r="S5964" s="2">
        <v>4.7239799999999998E-2</v>
      </c>
      <c r="T5964" s="2">
        <v>2.5526E-2</v>
      </c>
    </row>
    <row r="5965" spans="18:20" x14ac:dyDescent="0.45">
      <c r="R5965" s="2">
        <v>76.41</v>
      </c>
      <c r="S5965" s="2">
        <v>4.7289520000000002E-2</v>
      </c>
      <c r="T5965" s="2">
        <v>2.5552350000000001E-2</v>
      </c>
    </row>
    <row r="5966" spans="18:20" x14ac:dyDescent="0.45">
      <c r="R5966" s="2">
        <v>76.42</v>
      </c>
      <c r="S5966" s="2">
        <v>4.7339239999999998E-2</v>
      </c>
      <c r="T5966" s="2">
        <v>2.5578699999999999E-2</v>
      </c>
    </row>
    <row r="5967" spans="18:20" x14ac:dyDescent="0.45">
      <c r="R5967" s="2">
        <v>76.430000000000007</v>
      </c>
      <c r="S5967" s="2">
        <v>4.7388960000000001E-2</v>
      </c>
      <c r="T5967" s="2">
        <v>2.5605050000000001E-2</v>
      </c>
    </row>
    <row r="5968" spans="18:20" x14ac:dyDescent="0.45">
      <c r="R5968" s="2">
        <v>76.44</v>
      </c>
      <c r="S5968" s="2">
        <v>4.7438679999999997E-2</v>
      </c>
      <c r="T5968" s="2">
        <v>2.5631399999999999E-2</v>
      </c>
    </row>
    <row r="5969" spans="18:20" x14ac:dyDescent="0.45">
      <c r="R5969" s="2">
        <v>76.45</v>
      </c>
      <c r="S5969" s="2">
        <v>4.74884E-2</v>
      </c>
      <c r="T5969" s="2">
        <v>2.565775E-2</v>
      </c>
    </row>
    <row r="5970" spans="18:20" x14ac:dyDescent="0.45">
      <c r="R5970" s="2">
        <v>76.459999999999994</v>
      </c>
      <c r="S5970" s="2">
        <v>4.7538120000000003E-2</v>
      </c>
      <c r="T5970" s="2">
        <v>2.5684100000000001E-2</v>
      </c>
    </row>
    <row r="5971" spans="18:20" x14ac:dyDescent="0.45">
      <c r="R5971" s="2">
        <v>76.47</v>
      </c>
      <c r="S5971" s="2">
        <v>4.7587839999999999E-2</v>
      </c>
      <c r="T5971" s="2">
        <v>2.5710449999999999E-2</v>
      </c>
    </row>
    <row r="5972" spans="18:20" x14ac:dyDescent="0.45">
      <c r="R5972" s="2">
        <v>76.48</v>
      </c>
      <c r="S5972" s="2">
        <v>4.7637560000000002E-2</v>
      </c>
      <c r="T5972" s="2">
        <v>2.5736800000000001E-2</v>
      </c>
    </row>
    <row r="5973" spans="18:20" x14ac:dyDescent="0.45">
      <c r="R5973" s="2">
        <v>76.489999999999995</v>
      </c>
      <c r="S5973" s="2">
        <v>4.7687279999999999E-2</v>
      </c>
      <c r="T5973" s="2">
        <v>2.5763149999999999E-2</v>
      </c>
    </row>
    <row r="5974" spans="18:20" x14ac:dyDescent="0.45">
      <c r="R5974" s="2">
        <v>76.5</v>
      </c>
      <c r="S5974" s="2">
        <v>4.7737000000000002E-2</v>
      </c>
      <c r="T5974" s="2">
        <v>2.57895E-2</v>
      </c>
    </row>
    <row r="5975" spans="18:20" x14ac:dyDescent="0.45">
      <c r="R5975" s="2">
        <v>76.510000000000005</v>
      </c>
      <c r="S5975" s="2">
        <v>4.7786719999999998E-2</v>
      </c>
      <c r="T5975" s="2">
        <v>2.5815850000000001E-2</v>
      </c>
    </row>
    <row r="5976" spans="18:20" x14ac:dyDescent="0.45">
      <c r="R5976" s="2">
        <v>76.52</v>
      </c>
      <c r="S5976" s="2">
        <v>4.7836440000000001E-2</v>
      </c>
      <c r="T5976" s="2">
        <v>2.5842199999999999E-2</v>
      </c>
    </row>
    <row r="5977" spans="18:20" x14ac:dyDescent="0.45">
      <c r="R5977" s="2">
        <v>76.53</v>
      </c>
      <c r="S5977" s="2">
        <v>4.7886159999999997E-2</v>
      </c>
      <c r="T5977" s="2">
        <v>2.5868550000000001E-2</v>
      </c>
    </row>
    <row r="5978" spans="18:20" x14ac:dyDescent="0.45">
      <c r="R5978" s="2">
        <v>76.540000000000006</v>
      </c>
      <c r="S5978" s="2">
        <v>4.793588E-2</v>
      </c>
      <c r="T5978" s="2">
        <v>2.5894899999999998E-2</v>
      </c>
    </row>
    <row r="5979" spans="18:20" x14ac:dyDescent="0.45">
      <c r="R5979" s="2">
        <v>76.55</v>
      </c>
      <c r="S5979" s="2">
        <v>4.7985600000000003E-2</v>
      </c>
      <c r="T5979" s="2">
        <v>2.592125E-2</v>
      </c>
    </row>
    <row r="5980" spans="18:20" x14ac:dyDescent="0.45">
      <c r="R5980" s="2">
        <v>76.56</v>
      </c>
      <c r="S5980" s="2">
        <v>4.8035319999999999E-2</v>
      </c>
      <c r="T5980" s="2">
        <v>2.5947600000000001E-2</v>
      </c>
    </row>
    <row r="5981" spans="18:20" x14ac:dyDescent="0.45">
      <c r="R5981" s="2">
        <v>76.569999999999993</v>
      </c>
      <c r="S5981" s="2">
        <v>4.8085040000000003E-2</v>
      </c>
      <c r="T5981" s="2">
        <v>2.5973949999999999E-2</v>
      </c>
    </row>
    <row r="5982" spans="18:20" x14ac:dyDescent="0.45">
      <c r="R5982" s="2">
        <v>76.58</v>
      </c>
      <c r="S5982" s="2">
        <v>4.8134759999999999E-2</v>
      </c>
      <c r="T5982" s="2">
        <v>2.60003E-2</v>
      </c>
    </row>
    <row r="5983" spans="18:20" x14ac:dyDescent="0.45">
      <c r="R5983" s="2">
        <v>76.59</v>
      </c>
      <c r="S5983" s="2">
        <v>4.8184480000000002E-2</v>
      </c>
      <c r="T5983" s="2">
        <v>2.6026649999999998E-2</v>
      </c>
    </row>
    <row r="5984" spans="18:20" x14ac:dyDescent="0.45">
      <c r="R5984" s="2">
        <v>76.599999999999994</v>
      </c>
      <c r="S5984" s="2">
        <v>4.8234199999999998E-2</v>
      </c>
      <c r="T5984" s="2">
        <v>2.6053E-2</v>
      </c>
    </row>
    <row r="5985" spans="18:20" x14ac:dyDescent="0.45">
      <c r="R5985" s="2">
        <v>76.61</v>
      </c>
      <c r="S5985" s="2">
        <v>4.8283920000000001E-2</v>
      </c>
      <c r="T5985" s="2">
        <v>2.6079350000000001E-2</v>
      </c>
    </row>
    <row r="5986" spans="18:20" x14ac:dyDescent="0.45">
      <c r="R5986" s="2">
        <v>76.62</v>
      </c>
      <c r="S5986" s="2">
        <v>4.8333639999999997E-2</v>
      </c>
      <c r="T5986" s="2">
        <v>2.6105699999999999E-2</v>
      </c>
    </row>
    <row r="5987" spans="18:20" x14ac:dyDescent="0.45">
      <c r="R5987" s="2">
        <v>76.63</v>
      </c>
      <c r="S5987" s="2">
        <v>4.838336E-2</v>
      </c>
      <c r="T5987" s="2">
        <v>2.613205E-2</v>
      </c>
    </row>
    <row r="5988" spans="18:20" x14ac:dyDescent="0.45">
      <c r="R5988" s="2">
        <v>76.64</v>
      </c>
      <c r="S5988" s="2">
        <v>4.8433080000000003E-2</v>
      </c>
      <c r="T5988" s="2">
        <v>2.6158399999999998E-2</v>
      </c>
    </row>
    <row r="5989" spans="18:20" x14ac:dyDescent="0.45">
      <c r="R5989" s="2">
        <v>76.650000000000006</v>
      </c>
      <c r="S5989" s="2">
        <v>4.84828E-2</v>
      </c>
      <c r="T5989" s="2">
        <v>2.618475E-2</v>
      </c>
    </row>
    <row r="5990" spans="18:20" x14ac:dyDescent="0.45">
      <c r="R5990" s="2">
        <v>76.66</v>
      </c>
      <c r="S5990" s="2">
        <v>4.8532520000000003E-2</v>
      </c>
      <c r="T5990" s="2">
        <v>2.6211100000000001E-2</v>
      </c>
    </row>
    <row r="5991" spans="18:20" x14ac:dyDescent="0.45">
      <c r="R5991" s="2">
        <v>76.67</v>
      </c>
      <c r="S5991" s="2">
        <v>4.8582239999999999E-2</v>
      </c>
      <c r="T5991" s="2">
        <v>2.6237449999999999E-2</v>
      </c>
    </row>
    <row r="5992" spans="18:20" x14ac:dyDescent="0.45">
      <c r="R5992" s="2">
        <v>76.680000000000007</v>
      </c>
      <c r="S5992" s="2">
        <v>4.8631960000000002E-2</v>
      </c>
      <c r="T5992" s="2">
        <v>2.62638E-2</v>
      </c>
    </row>
    <row r="5993" spans="18:20" x14ac:dyDescent="0.45">
      <c r="R5993" s="2">
        <v>76.69</v>
      </c>
      <c r="S5993" s="2">
        <v>4.8681679999999998E-2</v>
      </c>
      <c r="T5993" s="2">
        <v>2.6290150000000002E-2</v>
      </c>
    </row>
    <row r="5994" spans="18:20" x14ac:dyDescent="0.45">
      <c r="R5994" s="2">
        <v>76.7</v>
      </c>
      <c r="S5994" s="2">
        <v>4.8731400000000001E-2</v>
      </c>
      <c r="T5994" s="2">
        <v>2.63165E-2</v>
      </c>
    </row>
    <row r="5995" spans="18:20" x14ac:dyDescent="0.45">
      <c r="R5995" s="2">
        <v>76.709999999999994</v>
      </c>
      <c r="S5995" s="2">
        <v>4.8781119999999997E-2</v>
      </c>
      <c r="T5995" s="2">
        <v>2.6342850000000001E-2</v>
      </c>
    </row>
    <row r="5996" spans="18:20" x14ac:dyDescent="0.45">
      <c r="R5996" s="2">
        <v>76.72</v>
      </c>
      <c r="S5996" s="2">
        <v>4.883084E-2</v>
      </c>
      <c r="T5996" s="2">
        <v>2.6369199999999999E-2</v>
      </c>
    </row>
    <row r="5997" spans="18:20" x14ac:dyDescent="0.45">
      <c r="R5997" s="2">
        <v>76.73</v>
      </c>
      <c r="S5997" s="2">
        <v>4.8880560000000003E-2</v>
      </c>
      <c r="T5997" s="2">
        <v>2.639555E-2</v>
      </c>
    </row>
    <row r="5998" spans="18:20" x14ac:dyDescent="0.45">
      <c r="R5998" s="2">
        <v>76.739999999999995</v>
      </c>
      <c r="S5998" s="2">
        <v>4.893028E-2</v>
      </c>
      <c r="T5998" s="2">
        <v>2.6421900000000002E-2</v>
      </c>
    </row>
    <row r="5999" spans="18:20" x14ac:dyDescent="0.45">
      <c r="R5999" s="2">
        <v>76.75</v>
      </c>
      <c r="S5999" s="2">
        <v>4.8980000000000003E-2</v>
      </c>
      <c r="T5999" s="2">
        <v>2.644825E-2</v>
      </c>
    </row>
    <row r="6000" spans="18:20" x14ac:dyDescent="0.45">
      <c r="R6000" s="2">
        <v>76.760000000000005</v>
      </c>
      <c r="S6000" s="2">
        <v>4.9029719999999999E-2</v>
      </c>
      <c r="T6000" s="2">
        <v>2.6474600000000001E-2</v>
      </c>
    </row>
    <row r="6001" spans="18:20" x14ac:dyDescent="0.45">
      <c r="R6001" s="2">
        <v>76.77</v>
      </c>
      <c r="S6001" s="2">
        <v>4.9079440000000002E-2</v>
      </c>
      <c r="T6001" s="2">
        <v>2.6500949999999999E-2</v>
      </c>
    </row>
    <row r="6002" spans="18:20" x14ac:dyDescent="0.45">
      <c r="R6002" s="2">
        <v>76.78</v>
      </c>
      <c r="S6002" s="2">
        <v>4.9129159999999998E-2</v>
      </c>
      <c r="T6002" s="2">
        <v>2.65273E-2</v>
      </c>
    </row>
    <row r="6003" spans="18:20" x14ac:dyDescent="0.45">
      <c r="R6003" s="2">
        <v>76.790000000000006</v>
      </c>
      <c r="S6003" s="2">
        <v>4.9178880000000001E-2</v>
      </c>
      <c r="T6003" s="2">
        <v>2.6553650000000002E-2</v>
      </c>
    </row>
    <row r="6004" spans="18:20" x14ac:dyDescent="0.45">
      <c r="R6004" s="2">
        <v>76.8</v>
      </c>
      <c r="S6004" s="2">
        <v>4.9228599999999997E-2</v>
      </c>
      <c r="T6004" s="2">
        <v>2.6579999999999999E-2</v>
      </c>
    </row>
    <row r="6005" spans="18:20" x14ac:dyDescent="0.45">
      <c r="R6005" s="2">
        <v>76.81</v>
      </c>
      <c r="S6005" s="2">
        <v>4.927832E-2</v>
      </c>
      <c r="T6005" s="2">
        <v>2.6606350000000001E-2</v>
      </c>
    </row>
    <row r="6006" spans="18:20" x14ac:dyDescent="0.45">
      <c r="R6006" s="2">
        <v>76.819999999999993</v>
      </c>
      <c r="S6006" s="2">
        <v>4.9328039999999997E-2</v>
      </c>
      <c r="T6006" s="2">
        <v>2.6632699999999999E-2</v>
      </c>
    </row>
    <row r="6007" spans="18:20" x14ac:dyDescent="0.45">
      <c r="R6007" s="2">
        <v>76.83</v>
      </c>
      <c r="S6007" s="2">
        <v>4.937776E-2</v>
      </c>
      <c r="T6007" s="2">
        <v>2.665905E-2</v>
      </c>
    </row>
    <row r="6008" spans="18:20" x14ac:dyDescent="0.45">
      <c r="R6008" s="2">
        <v>76.84</v>
      </c>
      <c r="S6008" s="2">
        <v>4.9427480000000003E-2</v>
      </c>
      <c r="T6008" s="2">
        <v>2.6685400000000001E-2</v>
      </c>
    </row>
    <row r="6009" spans="18:20" x14ac:dyDescent="0.45">
      <c r="R6009" s="2">
        <v>76.849999999999994</v>
      </c>
      <c r="S6009" s="2">
        <v>4.9477199999999999E-2</v>
      </c>
      <c r="T6009" s="2">
        <v>2.6711749999999999E-2</v>
      </c>
    </row>
    <row r="6010" spans="18:20" x14ac:dyDescent="0.45">
      <c r="R6010" s="2">
        <v>76.86</v>
      </c>
      <c r="S6010" s="2">
        <v>4.9526920000000002E-2</v>
      </c>
      <c r="T6010" s="2">
        <v>2.6738100000000001E-2</v>
      </c>
    </row>
    <row r="6011" spans="18:20" x14ac:dyDescent="0.45">
      <c r="R6011" s="2">
        <v>76.87</v>
      </c>
      <c r="S6011" s="2">
        <v>4.9576639999999998E-2</v>
      </c>
      <c r="T6011" s="2">
        <v>2.6764449999999999E-2</v>
      </c>
    </row>
    <row r="6012" spans="18:20" x14ac:dyDescent="0.45">
      <c r="R6012" s="2">
        <v>76.88</v>
      </c>
      <c r="S6012" s="2">
        <v>4.9626360000000001E-2</v>
      </c>
      <c r="T6012" s="2">
        <v>2.67908E-2</v>
      </c>
    </row>
    <row r="6013" spans="18:20" x14ac:dyDescent="0.45">
      <c r="R6013" s="2">
        <v>76.89</v>
      </c>
      <c r="S6013" s="2">
        <v>4.9676079999999997E-2</v>
      </c>
      <c r="T6013" s="2">
        <v>2.6817150000000001E-2</v>
      </c>
    </row>
    <row r="6014" spans="18:20" x14ac:dyDescent="0.45">
      <c r="R6014" s="2">
        <v>76.900000000000006</v>
      </c>
      <c r="S6014" s="2">
        <v>4.9725800000000001E-2</v>
      </c>
      <c r="T6014" s="2">
        <v>2.6843499999999999E-2</v>
      </c>
    </row>
    <row r="6015" spans="18:20" x14ac:dyDescent="0.45">
      <c r="R6015" s="2">
        <v>76.91</v>
      </c>
      <c r="S6015" s="2">
        <v>4.9775519999999997E-2</v>
      </c>
      <c r="T6015" s="2">
        <v>2.6869850000000001E-2</v>
      </c>
    </row>
    <row r="6016" spans="18:20" x14ac:dyDescent="0.45">
      <c r="R6016" s="2">
        <v>76.92</v>
      </c>
      <c r="S6016" s="2">
        <v>4.982524E-2</v>
      </c>
      <c r="T6016" s="2">
        <v>2.6896199999999999E-2</v>
      </c>
    </row>
    <row r="6017" spans="18:20" x14ac:dyDescent="0.45">
      <c r="R6017" s="2">
        <v>76.930000000000007</v>
      </c>
      <c r="S6017" s="2">
        <v>4.9874960000000003E-2</v>
      </c>
      <c r="T6017" s="2">
        <v>2.692255E-2</v>
      </c>
    </row>
    <row r="6018" spans="18:20" x14ac:dyDescent="0.45">
      <c r="R6018" s="2">
        <v>76.94</v>
      </c>
      <c r="S6018" s="2">
        <v>4.9924679999999999E-2</v>
      </c>
      <c r="T6018" s="2">
        <v>2.6948900000000001E-2</v>
      </c>
    </row>
    <row r="6019" spans="18:20" x14ac:dyDescent="0.45">
      <c r="R6019" s="2">
        <v>76.95</v>
      </c>
      <c r="S6019" s="2">
        <v>4.9974400000000002E-2</v>
      </c>
      <c r="T6019" s="2">
        <v>2.6975249999999999E-2</v>
      </c>
    </row>
    <row r="6020" spans="18:20" x14ac:dyDescent="0.45">
      <c r="R6020" s="2">
        <v>76.959999999999994</v>
      </c>
      <c r="S6020" s="2">
        <v>5.0024119999999998E-2</v>
      </c>
      <c r="T6020" s="2">
        <v>2.7001600000000001E-2</v>
      </c>
    </row>
    <row r="6021" spans="18:20" x14ac:dyDescent="0.45">
      <c r="R6021" s="2">
        <v>76.97</v>
      </c>
      <c r="S6021" s="2">
        <v>5.0073840000000001E-2</v>
      </c>
      <c r="T6021" s="2">
        <v>2.7027949999999999E-2</v>
      </c>
    </row>
    <row r="6022" spans="18:20" x14ac:dyDescent="0.45">
      <c r="R6022" s="2">
        <v>76.98</v>
      </c>
      <c r="S6022" s="2">
        <v>5.0123559999999998E-2</v>
      </c>
      <c r="T6022" s="2">
        <v>2.70543E-2</v>
      </c>
    </row>
    <row r="6023" spans="18:20" x14ac:dyDescent="0.45">
      <c r="R6023" s="2">
        <v>76.989999999999995</v>
      </c>
      <c r="S6023" s="2">
        <v>5.0173280000000001E-2</v>
      </c>
      <c r="T6023" s="2">
        <v>2.7080650000000001E-2</v>
      </c>
    </row>
    <row r="6024" spans="18:20" x14ac:dyDescent="0.45">
      <c r="R6024" s="2">
        <v>77</v>
      </c>
      <c r="S6024" s="2">
        <v>5.0222999999999997E-2</v>
      </c>
      <c r="T6024" s="2">
        <v>2.7106999999999999E-2</v>
      </c>
    </row>
    <row r="6025" spans="18:20" x14ac:dyDescent="0.45">
      <c r="R6025" s="2">
        <v>77.010000000000005</v>
      </c>
      <c r="S6025" s="2">
        <v>5.0277660000000002E-2</v>
      </c>
      <c r="T6025" s="2">
        <v>2.7136199999999999E-2</v>
      </c>
    </row>
    <row r="6026" spans="18:20" x14ac:dyDescent="0.45">
      <c r="R6026" s="2">
        <v>77.02</v>
      </c>
      <c r="S6026" s="2">
        <v>5.033232E-2</v>
      </c>
      <c r="T6026" s="2">
        <v>2.7165399999999999E-2</v>
      </c>
    </row>
    <row r="6027" spans="18:20" x14ac:dyDescent="0.45">
      <c r="R6027" s="2">
        <v>77.03</v>
      </c>
      <c r="S6027" s="2">
        <v>5.0386979999999998E-2</v>
      </c>
      <c r="T6027" s="2">
        <v>2.7194599999999999E-2</v>
      </c>
    </row>
    <row r="6028" spans="18:20" x14ac:dyDescent="0.45">
      <c r="R6028" s="2">
        <v>77.040000000000006</v>
      </c>
      <c r="S6028" s="2">
        <v>5.0441640000000003E-2</v>
      </c>
      <c r="T6028" s="2">
        <v>2.7223799999999999E-2</v>
      </c>
    </row>
    <row r="6029" spans="18:20" x14ac:dyDescent="0.45">
      <c r="R6029" s="2">
        <v>77.05</v>
      </c>
      <c r="S6029" s="2">
        <v>5.0496300000000001E-2</v>
      </c>
      <c r="T6029" s="2">
        <v>2.7252999999999999E-2</v>
      </c>
    </row>
    <row r="6030" spans="18:20" x14ac:dyDescent="0.45">
      <c r="R6030" s="2">
        <v>77.06</v>
      </c>
      <c r="S6030" s="2">
        <v>5.0550959999999999E-2</v>
      </c>
      <c r="T6030" s="2">
        <v>2.72822E-2</v>
      </c>
    </row>
    <row r="6031" spans="18:20" x14ac:dyDescent="0.45">
      <c r="R6031" s="2">
        <v>77.069999999999993</v>
      </c>
      <c r="S6031" s="2">
        <v>5.0605619999999997E-2</v>
      </c>
      <c r="T6031" s="2">
        <v>2.73114E-2</v>
      </c>
    </row>
    <row r="6032" spans="18:20" x14ac:dyDescent="0.45">
      <c r="R6032" s="2">
        <v>77.08</v>
      </c>
      <c r="S6032" s="2">
        <v>5.0660280000000002E-2</v>
      </c>
      <c r="T6032" s="2">
        <v>2.73406E-2</v>
      </c>
    </row>
    <row r="6033" spans="18:20" x14ac:dyDescent="0.45">
      <c r="R6033" s="2">
        <v>77.09</v>
      </c>
      <c r="S6033" s="2">
        <v>5.071494E-2</v>
      </c>
      <c r="T6033" s="2">
        <v>2.73698E-2</v>
      </c>
    </row>
    <row r="6034" spans="18:20" x14ac:dyDescent="0.45">
      <c r="R6034" s="2">
        <v>77.099999999999994</v>
      </c>
      <c r="S6034" s="2">
        <v>5.0769599999999998E-2</v>
      </c>
      <c r="T6034" s="2">
        <v>2.7399E-2</v>
      </c>
    </row>
    <row r="6035" spans="18:20" x14ac:dyDescent="0.45">
      <c r="R6035" s="2">
        <v>77.11</v>
      </c>
      <c r="S6035" s="2">
        <v>5.0824260000000003E-2</v>
      </c>
      <c r="T6035" s="2">
        <v>2.74282E-2</v>
      </c>
    </row>
    <row r="6036" spans="18:20" x14ac:dyDescent="0.45">
      <c r="R6036" s="2">
        <v>77.12</v>
      </c>
      <c r="S6036" s="2">
        <v>5.0878920000000001E-2</v>
      </c>
      <c r="T6036" s="2">
        <v>2.74574E-2</v>
      </c>
    </row>
    <row r="6037" spans="18:20" x14ac:dyDescent="0.45">
      <c r="R6037" s="2">
        <v>77.13</v>
      </c>
      <c r="S6037" s="2">
        <v>5.0933579999999999E-2</v>
      </c>
      <c r="T6037" s="2">
        <v>2.74866E-2</v>
      </c>
    </row>
    <row r="6038" spans="18:20" x14ac:dyDescent="0.45">
      <c r="R6038" s="2">
        <v>77.14</v>
      </c>
      <c r="S6038" s="2">
        <v>5.0988239999999997E-2</v>
      </c>
      <c r="T6038" s="2">
        <v>2.75158E-2</v>
      </c>
    </row>
    <row r="6039" spans="18:20" x14ac:dyDescent="0.45">
      <c r="R6039" s="2">
        <v>77.150000000000006</v>
      </c>
      <c r="S6039" s="2">
        <v>5.1042900000000002E-2</v>
      </c>
      <c r="T6039" s="2">
        <v>2.7545E-2</v>
      </c>
    </row>
    <row r="6040" spans="18:20" x14ac:dyDescent="0.45">
      <c r="R6040" s="2">
        <v>77.16</v>
      </c>
      <c r="S6040" s="2">
        <v>5.109756E-2</v>
      </c>
      <c r="T6040" s="2">
        <v>2.75742E-2</v>
      </c>
    </row>
    <row r="6041" spans="18:20" x14ac:dyDescent="0.45">
      <c r="R6041" s="2">
        <v>77.17</v>
      </c>
      <c r="S6041" s="2">
        <v>5.1152219999999998E-2</v>
      </c>
      <c r="T6041" s="2">
        <v>2.76034E-2</v>
      </c>
    </row>
    <row r="6042" spans="18:20" x14ac:dyDescent="0.45">
      <c r="R6042" s="2">
        <v>77.180000000000007</v>
      </c>
      <c r="S6042" s="2">
        <v>5.1206880000000003E-2</v>
      </c>
      <c r="T6042" s="2">
        <v>2.76326E-2</v>
      </c>
    </row>
    <row r="6043" spans="18:20" x14ac:dyDescent="0.45">
      <c r="R6043" s="2">
        <v>77.19</v>
      </c>
      <c r="S6043" s="2">
        <v>5.1261540000000001E-2</v>
      </c>
      <c r="T6043" s="2">
        <v>2.76618E-2</v>
      </c>
    </row>
    <row r="6044" spans="18:20" x14ac:dyDescent="0.45">
      <c r="R6044" s="2">
        <v>77.2</v>
      </c>
      <c r="S6044" s="2">
        <v>5.1316199999999999E-2</v>
      </c>
      <c r="T6044" s="2">
        <v>2.7691E-2</v>
      </c>
    </row>
    <row r="6045" spans="18:20" x14ac:dyDescent="0.45">
      <c r="R6045" s="2">
        <v>77.209999999999994</v>
      </c>
      <c r="S6045" s="2">
        <v>5.1370859999999997E-2</v>
      </c>
      <c r="T6045" s="2">
        <v>2.77202E-2</v>
      </c>
    </row>
    <row r="6046" spans="18:20" x14ac:dyDescent="0.45">
      <c r="R6046" s="2">
        <v>77.22</v>
      </c>
      <c r="S6046" s="2">
        <v>5.1425520000000002E-2</v>
      </c>
      <c r="T6046" s="2">
        <v>2.77494E-2</v>
      </c>
    </row>
    <row r="6047" spans="18:20" x14ac:dyDescent="0.45">
      <c r="R6047" s="2">
        <v>77.23</v>
      </c>
      <c r="S6047" s="2">
        <v>5.148018E-2</v>
      </c>
      <c r="T6047" s="2">
        <v>2.7778600000000001E-2</v>
      </c>
    </row>
    <row r="6048" spans="18:20" x14ac:dyDescent="0.45">
      <c r="R6048" s="2">
        <v>77.239999999999995</v>
      </c>
      <c r="S6048" s="2">
        <v>5.1534839999999998E-2</v>
      </c>
      <c r="T6048" s="2">
        <v>2.7807800000000001E-2</v>
      </c>
    </row>
    <row r="6049" spans="18:20" x14ac:dyDescent="0.45">
      <c r="R6049" s="2">
        <v>77.25</v>
      </c>
      <c r="S6049" s="2">
        <v>5.1589500000000003E-2</v>
      </c>
      <c r="T6049" s="2">
        <v>2.7837000000000001E-2</v>
      </c>
    </row>
    <row r="6050" spans="18:20" x14ac:dyDescent="0.45">
      <c r="R6050" s="2">
        <v>77.260000000000005</v>
      </c>
      <c r="S6050" s="2">
        <v>5.1644160000000001E-2</v>
      </c>
      <c r="T6050" s="2">
        <v>2.7866200000000001E-2</v>
      </c>
    </row>
    <row r="6051" spans="18:20" x14ac:dyDescent="0.45">
      <c r="R6051" s="2">
        <v>77.27</v>
      </c>
      <c r="S6051" s="2">
        <v>5.1698819999999999E-2</v>
      </c>
      <c r="T6051" s="2">
        <v>2.7895400000000001E-2</v>
      </c>
    </row>
    <row r="6052" spans="18:20" x14ac:dyDescent="0.45">
      <c r="R6052" s="2">
        <v>77.28</v>
      </c>
      <c r="S6052" s="2">
        <v>5.1753479999999998E-2</v>
      </c>
      <c r="T6052" s="2">
        <v>2.7924600000000001E-2</v>
      </c>
    </row>
    <row r="6053" spans="18:20" x14ac:dyDescent="0.45">
      <c r="R6053" s="2">
        <v>77.290000000000006</v>
      </c>
      <c r="S6053" s="2">
        <v>5.1808140000000003E-2</v>
      </c>
      <c r="T6053" s="2">
        <v>2.7953800000000001E-2</v>
      </c>
    </row>
    <row r="6054" spans="18:20" x14ac:dyDescent="0.45">
      <c r="R6054" s="2">
        <v>77.3</v>
      </c>
      <c r="S6054" s="2">
        <v>5.1862800000000001E-2</v>
      </c>
      <c r="T6054" s="2">
        <v>2.7983000000000001E-2</v>
      </c>
    </row>
    <row r="6055" spans="18:20" x14ac:dyDescent="0.45">
      <c r="R6055" s="2">
        <v>77.31</v>
      </c>
      <c r="S6055" s="2">
        <v>5.1917459999999999E-2</v>
      </c>
      <c r="T6055" s="2">
        <v>2.8012200000000001E-2</v>
      </c>
    </row>
    <row r="6056" spans="18:20" x14ac:dyDescent="0.45">
      <c r="R6056" s="2">
        <v>77.319999999999993</v>
      </c>
      <c r="S6056" s="2">
        <v>5.1972119999999997E-2</v>
      </c>
      <c r="T6056" s="2">
        <v>2.8041400000000001E-2</v>
      </c>
    </row>
    <row r="6057" spans="18:20" x14ac:dyDescent="0.45">
      <c r="R6057" s="2">
        <v>77.33</v>
      </c>
      <c r="S6057" s="2">
        <v>5.2026780000000002E-2</v>
      </c>
      <c r="T6057" s="2">
        <v>2.8070600000000001E-2</v>
      </c>
    </row>
    <row r="6058" spans="18:20" x14ac:dyDescent="0.45">
      <c r="R6058" s="2">
        <v>77.34</v>
      </c>
      <c r="S6058" s="2">
        <v>5.208144E-2</v>
      </c>
      <c r="T6058" s="2">
        <v>2.8099800000000001E-2</v>
      </c>
    </row>
    <row r="6059" spans="18:20" x14ac:dyDescent="0.45">
      <c r="R6059" s="2">
        <v>77.349999999999994</v>
      </c>
      <c r="S6059" s="2">
        <v>5.2136099999999998E-2</v>
      </c>
      <c r="T6059" s="2">
        <v>2.8129000000000001E-2</v>
      </c>
    </row>
    <row r="6060" spans="18:20" x14ac:dyDescent="0.45">
      <c r="R6060" s="2">
        <v>77.36</v>
      </c>
      <c r="S6060" s="2">
        <v>5.2190760000000003E-2</v>
      </c>
      <c r="T6060" s="2">
        <v>2.8158200000000001E-2</v>
      </c>
    </row>
    <row r="6061" spans="18:20" x14ac:dyDescent="0.45">
      <c r="R6061" s="2">
        <v>77.37</v>
      </c>
      <c r="S6061" s="2">
        <v>5.2245420000000001E-2</v>
      </c>
      <c r="T6061" s="2">
        <v>2.8187400000000001E-2</v>
      </c>
    </row>
    <row r="6062" spans="18:20" x14ac:dyDescent="0.45">
      <c r="R6062" s="2">
        <v>77.38</v>
      </c>
      <c r="S6062" s="2">
        <v>5.2300079999999999E-2</v>
      </c>
      <c r="T6062" s="2">
        <v>2.8216600000000001E-2</v>
      </c>
    </row>
    <row r="6063" spans="18:20" x14ac:dyDescent="0.45">
      <c r="R6063" s="2">
        <v>77.39</v>
      </c>
      <c r="S6063" s="2">
        <v>5.2354739999999997E-2</v>
      </c>
      <c r="T6063" s="2">
        <v>2.8245800000000001E-2</v>
      </c>
    </row>
    <row r="6064" spans="18:20" x14ac:dyDescent="0.45">
      <c r="R6064" s="2">
        <v>77.400000000000006</v>
      </c>
      <c r="S6064" s="2">
        <v>5.2409400000000002E-2</v>
      </c>
      <c r="T6064" s="2">
        <v>2.8275000000000002E-2</v>
      </c>
    </row>
    <row r="6065" spans="18:20" x14ac:dyDescent="0.45">
      <c r="R6065" s="2">
        <v>77.41</v>
      </c>
      <c r="S6065" s="2">
        <v>5.246406E-2</v>
      </c>
      <c r="T6065" s="2">
        <v>2.8304200000000002E-2</v>
      </c>
    </row>
    <row r="6066" spans="18:20" x14ac:dyDescent="0.45">
      <c r="R6066" s="2">
        <v>77.42</v>
      </c>
      <c r="S6066" s="2">
        <v>5.2518719999999998E-2</v>
      </c>
      <c r="T6066" s="2">
        <v>2.8333400000000002E-2</v>
      </c>
    </row>
    <row r="6067" spans="18:20" x14ac:dyDescent="0.45">
      <c r="R6067" s="2">
        <v>77.430000000000007</v>
      </c>
      <c r="S6067" s="2">
        <v>5.2573380000000003E-2</v>
      </c>
      <c r="T6067" s="2">
        <v>2.8362600000000002E-2</v>
      </c>
    </row>
    <row r="6068" spans="18:20" x14ac:dyDescent="0.45">
      <c r="R6068" s="2">
        <v>77.44</v>
      </c>
      <c r="S6068" s="2">
        <v>5.2628040000000001E-2</v>
      </c>
      <c r="T6068" s="2">
        <v>2.8391799999999998E-2</v>
      </c>
    </row>
    <row r="6069" spans="18:20" x14ac:dyDescent="0.45">
      <c r="R6069" s="2">
        <v>77.45</v>
      </c>
      <c r="S6069" s="2">
        <v>5.2682699999999999E-2</v>
      </c>
      <c r="T6069" s="2">
        <v>2.8420999999999998E-2</v>
      </c>
    </row>
    <row r="6070" spans="18:20" x14ac:dyDescent="0.45">
      <c r="R6070" s="2">
        <v>77.459999999999994</v>
      </c>
      <c r="S6070" s="2">
        <v>5.2737359999999997E-2</v>
      </c>
      <c r="T6070" s="2">
        <v>2.8450199999999998E-2</v>
      </c>
    </row>
    <row r="6071" spans="18:20" x14ac:dyDescent="0.45">
      <c r="R6071" s="2">
        <v>77.47</v>
      </c>
      <c r="S6071" s="2">
        <v>5.2792020000000002E-2</v>
      </c>
      <c r="T6071" s="2">
        <v>2.8479399999999998E-2</v>
      </c>
    </row>
    <row r="6072" spans="18:20" x14ac:dyDescent="0.45">
      <c r="R6072" s="2">
        <v>77.48</v>
      </c>
      <c r="S6072" s="2">
        <v>5.284668E-2</v>
      </c>
      <c r="T6072" s="2">
        <v>2.8508599999999999E-2</v>
      </c>
    </row>
    <row r="6073" spans="18:20" x14ac:dyDescent="0.45">
      <c r="R6073" s="2">
        <v>77.489999999999995</v>
      </c>
      <c r="S6073" s="2">
        <v>5.2901339999999998E-2</v>
      </c>
      <c r="T6073" s="2">
        <v>2.8537799999999999E-2</v>
      </c>
    </row>
    <row r="6074" spans="18:20" x14ac:dyDescent="0.45">
      <c r="R6074" s="2">
        <v>77.5</v>
      </c>
      <c r="S6074" s="2">
        <v>5.2956000000000003E-2</v>
      </c>
      <c r="T6074" s="2">
        <v>2.8566999999999999E-2</v>
      </c>
    </row>
    <row r="6075" spans="18:20" x14ac:dyDescent="0.45">
      <c r="R6075" s="2">
        <v>77.510000000000005</v>
      </c>
      <c r="S6075" s="2">
        <v>5.3010660000000001E-2</v>
      </c>
      <c r="T6075" s="2">
        <v>2.8596199999999999E-2</v>
      </c>
    </row>
    <row r="6076" spans="18:20" x14ac:dyDescent="0.45">
      <c r="R6076" s="2">
        <v>77.52</v>
      </c>
      <c r="S6076" s="2">
        <v>5.3065319999999999E-2</v>
      </c>
      <c r="T6076" s="2">
        <v>2.8625399999999999E-2</v>
      </c>
    </row>
    <row r="6077" spans="18:20" x14ac:dyDescent="0.45">
      <c r="R6077" s="2">
        <v>77.53</v>
      </c>
      <c r="S6077" s="2">
        <v>5.3119979999999997E-2</v>
      </c>
      <c r="T6077" s="2">
        <v>2.8654599999999999E-2</v>
      </c>
    </row>
    <row r="6078" spans="18:20" x14ac:dyDescent="0.45">
      <c r="R6078" s="2">
        <v>77.540000000000006</v>
      </c>
      <c r="S6078" s="2">
        <v>5.3174640000000002E-2</v>
      </c>
      <c r="T6078" s="2">
        <v>2.8683799999999999E-2</v>
      </c>
    </row>
    <row r="6079" spans="18:20" x14ac:dyDescent="0.45">
      <c r="R6079" s="2">
        <v>77.55</v>
      </c>
      <c r="S6079" s="2">
        <v>5.32293E-2</v>
      </c>
      <c r="T6079" s="2">
        <v>2.8712999999999999E-2</v>
      </c>
    </row>
    <row r="6080" spans="18:20" x14ac:dyDescent="0.45">
      <c r="R6080" s="2">
        <v>77.56</v>
      </c>
      <c r="S6080" s="2">
        <v>5.3283959999999998E-2</v>
      </c>
      <c r="T6080" s="2">
        <v>2.8742199999999999E-2</v>
      </c>
    </row>
    <row r="6081" spans="18:20" x14ac:dyDescent="0.45">
      <c r="R6081" s="2">
        <v>77.569999999999993</v>
      </c>
      <c r="S6081" s="2">
        <v>5.3338620000000003E-2</v>
      </c>
      <c r="T6081" s="2">
        <v>2.8771399999999999E-2</v>
      </c>
    </row>
    <row r="6082" spans="18:20" x14ac:dyDescent="0.45">
      <c r="R6082" s="2">
        <v>77.58</v>
      </c>
      <c r="S6082" s="2">
        <v>5.3393280000000001E-2</v>
      </c>
      <c r="T6082" s="2">
        <v>2.8800599999999999E-2</v>
      </c>
    </row>
    <row r="6083" spans="18:20" x14ac:dyDescent="0.45">
      <c r="R6083" s="2">
        <v>77.59</v>
      </c>
      <c r="S6083" s="2">
        <v>5.3447939999999999E-2</v>
      </c>
      <c r="T6083" s="2">
        <v>2.8829799999999999E-2</v>
      </c>
    </row>
    <row r="6084" spans="18:20" x14ac:dyDescent="0.45">
      <c r="R6084" s="2">
        <v>77.599999999999994</v>
      </c>
      <c r="S6084" s="2">
        <v>5.3502599999999997E-2</v>
      </c>
      <c r="T6084" s="2">
        <v>2.8858999999999999E-2</v>
      </c>
    </row>
    <row r="6085" spans="18:20" x14ac:dyDescent="0.45">
      <c r="R6085" s="2">
        <v>77.61</v>
      </c>
      <c r="S6085" s="2">
        <v>5.3557260000000002E-2</v>
      </c>
      <c r="T6085" s="2">
        <v>2.8888199999999999E-2</v>
      </c>
    </row>
    <row r="6086" spans="18:20" x14ac:dyDescent="0.45">
      <c r="R6086" s="2">
        <v>77.62</v>
      </c>
      <c r="S6086" s="2">
        <v>5.361192E-2</v>
      </c>
      <c r="T6086" s="2">
        <v>2.8917399999999999E-2</v>
      </c>
    </row>
    <row r="6087" spans="18:20" x14ac:dyDescent="0.45">
      <c r="R6087" s="2">
        <v>77.63</v>
      </c>
      <c r="S6087" s="2">
        <v>5.3666579999999998E-2</v>
      </c>
      <c r="T6087" s="2">
        <v>2.8946599999999999E-2</v>
      </c>
    </row>
    <row r="6088" spans="18:20" x14ac:dyDescent="0.45">
      <c r="R6088" s="2">
        <v>77.64</v>
      </c>
      <c r="S6088" s="2">
        <v>5.3721240000000003E-2</v>
      </c>
      <c r="T6088" s="2">
        <v>2.8975799999999999E-2</v>
      </c>
    </row>
    <row r="6089" spans="18:20" x14ac:dyDescent="0.45">
      <c r="R6089" s="2">
        <v>77.650000000000006</v>
      </c>
      <c r="S6089" s="2">
        <v>5.3775900000000001E-2</v>
      </c>
      <c r="T6089" s="2">
        <v>2.9005E-2</v>
      </c>
    </row>
    <row r="6090" spans="18:20" x14ac:dyDescent="0.45">
      <c r="R6090" s="2">
        <v>77.66</v>
      </c>
      <c r="S6090" s="2">
        <v>5.383056E-2</v>
      </c>
      <c r="T6090" s="2">
        <v>2.90342E-2</v>
      </c>
    </row>
    <row r="6091" spans="18:20" x14ac:dyDescent="0.45">
      <c r="R6091" s="2">
        <v>77.67</v>
      </c>
      <c r="S6091" s="2">
        <v>5.3885219999999998E-2</v>
      </c>
      <c r="T6091" s="2">
        <v>2.90634E-2</v>
      </c>
    </row>
    <row r="6092" spans="18:20" x14ac:dyDescent="0.45">
      <c r="R6092" s="2">
        <v>77.680000000000007</v>
      </c>
      <c r="S6092" s="2">
        <v>5.3939880000000003E-2</v>
      </c>
      <c r="T6092" s="2">
        <v>2.90926E-2</v>
      </c>
    </row>
    <row r="6093" spans="18:20" x14ac:dyDescent="0.45">
      <c r="R6093" s="2">
        <v>77.69</v>
      </c>
      <c r="S6093" s="2">
        <v>5.3994540000000001E-2</v>
      </c>
      <c r="T6093" s="2">
        <v>2.91218E-2</v>
      </c>
    </row>
    <row r="6094" spans="18:20" x14ac:dyDescent="0.45">
      <c r="R6094" s="2">
        <v>77.7</v>
      </c>
      <c r="S6094" s="2">
        <v>5.4049199999999999E-2</v>
      </c>
      <c r="T6094" s="2">
        <v>2.9151E-2</v>
      </c>
    </row>
    <row r="6095" spans="18:20" x14ac:dyDescent="0.45">
      <c r="R6095" s="2">
        <v>77.709999999999994</v>
      </c>
      <c r="S6095" s="2">
        <v>5.4103859999999997E-2</v>
      </c>
      <c r="T6095" s="2">
        <v>2.91802E-2</v>
      </c>
    </row>
    <row r="6096" spans="18:20" x14ac:dyDescent="0.45">
      <c r="R6096" s="2">
        <v>77.72</v>
      </c>
      <c r="S6096" s="2">
        <v>5.4158520000000002E-2</v>
      </c>
      <c r="T6096" s="2">
        <v>2.92094E-2</v>
      </c>
    </row>
    <row r="6097" spans="18:20" x14ac:dyDescent="0.45">
      <c r="R6097" s="2">
        <v>77.73</v>
      </c>
      <c r="S6097" s="2">
        <v>5.421318E-2</v>
      </c>
      <c r="T6097" s="2">
        <v>2.92386E-2</v>
      </c>
    </row>
    <row r="6098" spans="18:20" x14ac:dyDescent="0.45">
      <c r="R6098" s="2">
        <v>77.739999999999995</v>
      </c>
      <c r="S6098" s="2">
        <v>5.4267839999999998E-2</v>
      </c>
      <c r="T6098" s="2">
        <v>2.92678E-2</v>
      </c>
    </row>
    <row r="6099" spans="18:20" x14ac:dyDescent="0.45">
      <c r="R6099" s="2">
        <v>77.75</v>
      </c>
      <c r="S6099" s="2">
        <v>5.4322500000000003E-2</v>
      </c>
      <c r="T6099" s="2">
        <v>2.9297E-2</v>
      </c>
    </row>
    <row r="6100" spans="18:20" x14ac:dyDescent="0.45">
      <c r="R6100" s="2">
        <v>77.760000000000005</v>
      </c>
      <c r="S6100" s="2">
        <v>5.4377160000000001E-2</v>
      </c>
      <c r="T6100" s="2">
        <v>2.93262E-2</v>
      </c>
    </row>
    <row r="6101" spans="18:20" x14ac:dyDescent="0.45">
      <c r="R6101" s="2">
        <v>77.77</v>
      </c>
      <c r="S6101" s="2">
        <v>5.4431819999999999E-2</v>
      </c>
      <c r="T6101" s="2">
        <v>2.93554E-2</v>
      </c>
    </row>
    <row r="6102" spans="18:20" x14ac:dyDescent="0.45">
      <c r="R6102" s="2">
        <v>77.78</v>
      </c>
      <c r="S6102" s="2">
        <v>5.4486479999999997E-2</v>
      </c>
      <c r="T6102" s="2">
        <v>2.93846E-2</v>
      </c>
    </row>
    <row r="6103" spans="18:20" x14ac:dyDescent="0.45">
      <c r="R6103" s="2">
        <v>77.790000000000006</v>
      </c>
      <c r="S6103" s="2">
        <v>5.4541140000000002E-2</v>
      </c>
      <c r="T6103" s="2">
        <v>2.94138E-2</v>
      </c>
    </row>
    <row r="6104" spans="18:20" x14ac:dyDescent="0.45">
      <c r="R6104" s="2">
        <v>77.8</v>
      </c>
      <c r="S6104" s="2">
        <v>5.45958E-2</v>
      </c>
      <c r="T6104" s="2">
        <v>2.9443E-2</v>
      </c>
    </row>
    <row r="6105" spans="18:20" x14ac:dyDescent="0.45">
      <c r="R6105" s="2">
        <v>77.81</v>
      </c>
      <c r="S6105" s="2">
        <v>5.4650459999999998E-2</v>
      </c>
      <c r="T6105" s="2">
        <v>2.94722E-2</v>
      </c>
    </row>
    <row r="6106" spans="18:20" x14ac:dyDescent="0.45">
      <c r="R6106" s="2">
        <v>77.819999999999993</v>
      </c>
      <c r="S6106" s="2">
        <v>5.4705120000000003E-2</v>
      </c>
      <c r="T6106" s="2">
        <v>2.9501400000000001E-2</v>
      </c>
    </row>
    <row r="6107" spans="18:20" x14ac:dyDescent="0.45">
      <c r="R6107" s="2">
        <v>77.83</v>
      </c>
      <c r="S6107" s="2">
        <v>5.4759780000000001E-2</v>
      </c>
      <c r="T6107" s="2">
        <v>2.9530600000000001E-2</v>
      </c>
    </row>
    <row r="6108" spans="18:20" x14ac:dyDescent="0.45">
      <c r="R6108" s="2">
        <v>77.84</v>
      </c>
      <c r="S6108" s="2">
        <v>5.4814439999999999E-2</v>
      </c>
      <c r="T6108" s="2">
        <v>2.9559800000000001E-2</v>
      </c>
    </row>
    <row r="6109" spans="18:20" x14ac:dyDescent="0.45">
      <c r="R6109" s="2">
        <v>77.849999999999994</v>
      </c>
      <c r="S6109" s="2">
        <v>5.4869099999999997E-2</v>
      </c>
      <c r="T6109" s="2">
        <v>2.9589000000000001E-2</v>
      </c>
    </row>
    <row r="6110" spans="18:20" x14ac:dyDescent="0.45">
      <c r="R6110" s="2">
        <v>77.86</v>
      </c>
      <c r="S6110" s="2">
        <v>5.4923760000000002E-2</v>
      </c>
      <c r="T6110" s="2">
        <v>2.9618200000000001E-2</v>
      </c>
    </row>
    <row r="6111" spans="18:20" x14ac:dyDescent="0.45">
      <c r="R6111" s="2">
        <v>77.87</v>
      </c>
      <c r="S6111" s="2">
        <v>5.497842E-2</v>
      </c>
      <c r="T6111" s="2">
        <v>2.9647400000000001E-2</v>
      </c>
    </row>
    <row r="6112" spans="18:20" x14ac:dyDescent="0.45">
      <c r="R6112" s="2">
        <v>77.88</v>
      </c>
      <c r="S6112" s="2">
        <v>5.5033079999999998E-2</v>
      </c>
      <c r="T6112" s="2">
        <v>2.9676600000000001E-2</v>
      </c>
    </row>
    <row r="6113" spans="18:20" x14ac:dyDescent="0.45">
      <c r="R6113" s="2">
        <v>77.89</v>
      </c>
      <c r="S6113" s="2">
        <v>5.5087740000000003E-2</v>
      </c>
      <c r="T6113" s="2">
        <v>2.9705800000000001E-2</v>
      </c>
    </row>
    <row r="6114" spans="18:20" x14ac:dyDescent="0.45">
      <c r="R6114" s="2">
        <v>77.900000000000006</v>
      </c>
      <c r="S6114" s="2">
        <v>5.5142400000000001E-2</v>
      </c>
      <c r="T6114" s="2">
        <v>2.9735000000000001E-2</v>
      </c>
    </row>
    <row r="6115" spans="18:20" x14ac:dyDescent="0.45">
      <c r="R6115" s="2">
        <v>77.91</v>
      </c>
      <c r="S6115" s="2">
        <v>5.5197059999999999E-2</v>
      </c>
      <c r="T6115" s="2">
        <v>2.9764200000000001E-2</v>
      </c>
    </row>
    <row r="6116" spans="18:20" x14ac:dyDescent="0.45">
      <c r="R6116" s="2">
        <v>77.92</v>
      </c>
      <c r="S6116" s="2">
        <v>5.5251719999999997E-2</v>
      </c>
      <c r="T6116" s="2">
        <v>2.9793400000000001E-2</v>
      </c>
    </row>
    <row r="6117" spans="18:20" x14ac:dyDescent="0.45">
      <c r="R6117" s="2">
        <v>77.930000000000007</v>
      </c>
      <c r="S6117" s="2">
        <v>5.5306380000000002E-2</v>
      </c>
      <c r="T6117" s="2">
        <v>2.9822600000000001E-2</v>
      </c>
    </row>
    <row r="6118" spans="18:20" x14ac:dyDescent="0.45">
      <c r="R6118" s="2">
        <v>77.94</v>
      </c>
      <c r="S6118" s="2">
        <v>5.536104E-2</v>
      </c>
      <c r="T6118" s="2">
        <v>2.9851800000000001E-2</v>
      </c>
    </row>
    <row r="6119" spans="18:20" x14ac:dyDescent="0.45">
      <c r="R6119" s="2">
        <v>77.95</v>
      </c>
      <c r="S6119" s="2">
        <v>5.5415699999999998E-2</v>
      </c>
      <c r="T6119" s="2">
        <v>2.9881000000000001E-2</v>
      </c>
    </row>
    <row r="6120" spans="18:20" x14ac:dyDescent="0.45">
      <c r="R6120" s="2">
        <v>77.959999999999994</v>
      </c>
      <c r="S6120" s="2">
        <v>5.5470360000000003E-2</v>
      </c>
      <c r="T6120" s="2">
        <v>2.9910200000000001E-2</v>
      </c>
    </row>
    <row r="6121" spans="18:20" x14ac:dyDescent="0.45">
      <c r="R6121" s="2">
        <v>77.97</v>
      </c>
      <c r="S6121" s="2">
        <v>5.5525020000000001E-2</v>
      </c>
      <c r="T6121" s="2">
        <v>2.9939400000000001E-2</v>
      </c>
    </row>
    <row r="6122" spans="18:20" x14ac:dyDescent="0.45">
      <c r="R6122" s="2">
        <v>77.98</v>
      </c>
      <c r="S6122" s="2">
        <v>5.5579679999999999E-2</v>
      </c>
      <c r="T6122" s="2">
        <v>2.9968600000000001E-2</v>
      </c>
    </row>
    <row r="6123" spans="18:20" x14ac:dyDescent="0.45">
      <c r="R6123" s="2">
        <v>77.989999999999995</v>
      </c>
      <c r="S6123" s="2">
        <v>5.5634339999999997E-2</v>
      </c>
      <c r="T6123" s="2">
        <v>2.9997800000000002E-2</v>
      </c>
    </row>
    <row r="6124" spans="18:20" x14ac:dyDescent="0.45">
      <c r="R6124" s="2">
        <v>78</v>
      </c>
      <c r="S6124" s="2">
        <v>5.5689000000000002E-2</v>
      </c>
      <c r="T6124" s="2">
        <v>3.0027000000000002E-2</v>
      </c>
    </row>
    <row r="6125" spans="18:20" x14ac:dyDescent="0.45">
      <c r="R6125" s="2">
        <v>78.010000000000005</v>
      </c>
      <c r="S6125" s="2">
        <v>5.5749E-2</v>
      </c>
      <c r="T6125" s="2">
        <v>3.005936E-2</v>
      </c>
    </row>
    <row r="6126" spans="18:20" x14ac:dyDescent="0.45">
      <c r="R6126" s="2">
        <v>78.02</v>
      </c>
      <c r="S6126" s="2">
        <v>5.5808999999999997E-2</v>
      </c>
      <c r="T6126" s="2">
        <v>3.0091719999999999E-2</v>
      </c>
    </row>
    <row r="6127" spans="18:20" x14ac:dyDescent="0.45">
      <c r="R6127" s="2">
        <v>78.03</v>
      </c>
      <c r="S6127" s="2">
        <v>5.5869000000000002E-2</v>
      </c>
      <c r="T6127" s="2">
        <v>3.0124080000000001E-2</v>
      </c>
    </row>
    <row r="6128" spans="18:20" x14ac:dyDescent="0.45">
      <c r="R6128" s="2">
        <v>78.040000000000006</v>
      </c>
      <c r="S6128" s="2">
        <v>5.5929E-2</v>
      </c>
      <c r="T6128" s="2">
        <v>3.015644E-2</v>
      </c>
    </row>
    <row r="6129" spans="18:20" x14ac:dyDescent="0.45">
      <c r="R6129" s="2">
        <v>78.05</v>
      </c>
      <c r="S6129" s="2">
        <v>5.5988999999999997E-2</v>
      </c>
      <c r="T6129" s="2">
        <v>3.0188799999999998E-2</v>
      </c>
    </row>
    <row r="6130" spans="18:20" x14ac:dyDescent="0.45">
      <c r="R6130" s="2">
        <v>78.06</v>
      </c>
      <c r="S6130" s="2">
        <v>5.6049000000000002E-2</v>
      </c>
      <c r="T6130" s="2">
        <v>3.022116E-2</v>
      </c>
    </row>
    <row r="6131" spans="18:20" x14ac:dyDescent="0.45">
      <c r="R6131" s="2">
        <v>78.069999999999993</v>
      </c>
      <c r="S6131" s="2">
        <v>5.6108999999999999E-2</v>
      </c>
      <c r="T6131" s="2">
        <v>3.0253519999999999E-2</v>
      </c>
    </row>
    <row r="6132" spans="18:20" x14ac:dyDescent="0.45">
      <c r="R6132" s="2">
        <v>78.08</v>
      </c>
      <c r="S6132" s="2">
        <v>5.6168999999999997E-2</v>
      </c>
      <c r="T6132" s="2">
        <v>3.0285880000000001E-2</v>
      </c>
    </row>
    <row r="6133" spans="18:20" x14ac:dyDescent="0.45">
      <c r="R6133" s="2">
        <v>78.09</v>
      </c>
      <c r="S6133" s="2">
        <v>5.6229000000000001E-2</v>
      </c>
      <c r="T6133" s="2">
        <v>3.031824E-2</v>
      </c>
    </row>
    <row r="6134" spans="18:20" x14ac:dyDescent="0.45">
      <c r="R6134" s="2">
        <v>78.099999999999994</v>
      </c>
      <c r="S6134" s="2">
        <v>5.6288999999999999E-2</v>
      </c>
      <c r="T6134" s="2">
        <v>3.0350599999999998E-2</v>
      </c>
    </row>
    <row r="6135" spans="18:20" x14ac:dyDescent="0.45">
      <c r="R6135" s="2">
        <v>78.11</v>
      </c>
      <c r="S6135" s="2">
        <v>5.6349000000000003E-2</v>
      </c>
      <c r="T6135" s="2">
        <v>3.0382960000000001E-2</v>
      </c>
    </row>
    <row r="6136" spans="18:20" x14ac:dyDescent="0.45">
      <c r="R6136" s="2">
        <v>78.12</v>
      </c>
      <c r="S6136" s="2">
        <v>5.6409000000000001E-2</v>
      </c>
      <c r="T6136" s="2">
        <v>3.0415319999999999E-2</v>
      </c>
    </row>
    <row r="6137" spans="18:20" x14ac:dyDescent="0.45">
      <c r="R6137" s="2">
        <v>78.13</v>
      </c>
      <c r="S6137" s="2">
        <v>5.6468999999999998E-2</v>
      </c>
      <c r="T6137" s="2">
        <v>3.0447680000000001E-2</v>
      </c>
    </row>
    <row r="6138" spans="18:20" x14ac:dyDescent="0.45">
      <c r="R6138" s="2">
        <v>78.14</v>
      </c>
      <c r="S6138" s="2">
        <v>5.6529000000000003E-2</v>
      </c>
      <c r="T6138" s="2">
        <v>3.048004E-2</v>
      </c>
    </row>
    <row r="6139" spans="18:20" x14ac:dyDescent="0.45">
      <c r="R6139" s="2">
        <v>78.150000000000006</v>
      </c>
      <c r="S6139" s="2">
        <v>5.6589E-2</v>
      </c>
      <c r="T6139" s="2">
        <v>3.0512399999999999E-2</v>
      </c>
    </row>
    <row r="6140" spans="18:20" x14ac:dyDescent="0.45">
      <c r="R6140" s="2">
        <v>78.16</v>
      </c>
      <c r="S6140" s="2">
        <v>5.6648999999999998E-2</v>
      </c>
      <c r="T6140" s="2">
        <v>3.0544760000000001E-2</v>
      </c>
    </row>
    <row r="6141" spans="18:20" x14ac:dyDescent="0.45">
      <c r="R6141" s="2">
        <v>78.17</v>
      </c>
      <c r="S6141" s="2">
        <v>5.6709000000000002E-2</v>
      </c>
      <c r="T6141" s="2">
        <v>3.0577119999999999E-2</v>
      </c>
    </row>
    <row r="6142" spans="18:20" x14ac:dyDescent="0.45">
      <c r="R6142" s="2">
        <v>78.180000000000007</v>
      </c>
      <c r="S6142" s="2">
        <v>5.6769E-2</v>
      </c>
      <c r="T6142" s="2">
        <v>3.0609480000000001E-2</v>
      </c>
    </row>
    <row r="6143" spans="18:20" x14ac:dyDescent="0.45">
      <c r="R6143" s="2">
        <v>78.19</v>
      </c>
      <c r="S6143" s="2">
        <v>5.6828999999999998E-2</v>
      </c>
      <c r="T6143" s="2">
        <v>3.064184E-2</v>
      </c>
    </row>
    <row r="6144" spans="18:20" x14ac:dyDescent="0.45">
      <c r="R6144" s="2">
        <v>78.2</v>
      </c>
      <c r="S6144" s="2">
        <v>5.6889000000000002E-2</v>
      </c>
      <c r="T6144" s="2">
        <v>3.0674199999999999E-2</v>
      </c>
    </row>
    <row r="6145" spans="18:20" x14ac:dyDescent="0.45">
      <c r="R6145" s="2">
        <v>78.209999999999994</v>
      </c>
      <c r="S6145" s="2">
        <v>5.6949E-2</v>
      </c>
      <c r="T6145" s="2">
        <v>3.0706560000000001E-2</v>
      </c>
    </row>
    <row r="6146" spans="18:20" x14ac:dyDescent="0.45">
      <c r="R6146" s="2">
        <v>78.22</v>
      </c>
      <c r="S6146" s="2">
        <v>5.7008999999999997E-2</v>
      </c>
      <c r="T6146" s="2">
        <v>3.0738919999999999E-2</v>
      </c>
    </row>
    <row r="6147" spans="18:20" x14ac:dyDescent="0.45">
      <c r="R6147" s="2">
        <v>78.23</v>
      </c>
      <c r="S6147" s="2">
        <v>5.7069000000000002E-2</v>
      </c>
      <c r="T6147" s="2">
        <v>3.0771280000000002E-2</v>
      </c>
    </row>
    <row r="6148" spans="18:20" x14ac:dyDescent="0.45">
      <c r="R6148" s="2">
        <v>78.239999999999995</v>
      </c>
      <c r="S6148" s="2">
        <v>5.7128999999999999E-2</v>
      </c>
      <c r="T6148" s="2">
        <v>3.080364E-2</v>
      </c>
    </row>
    <row r="6149" spans="18:20" x14ac:dyDescent="0.45">
      <c r="R6149" s="2">
        <v>78.25</v>
      </c>
      <c r="S6149" s="2">
        <v>5.7188999999999997E-2</v>
      </c>
      <c r="T6149" s="2">
        <v>3.0835999999999999E-2</v>
      </c>
    </row>
    <row r="6150" spans="18:20" x14ac:dyDescent="0.45">
      <c r="R6150" s="2">
        <v>78.260000000000005</v>
      </c>
      <c r="S6150" s="2">
        <v>5.7249000000000001E-2</v>
      </c>
      <c r="T6150" s="2">
        <v>3.0868360000000001E-2</v>
      </c>
    </row>
    <row r="6151" spans="18:20" x14ac:dyDescent="0.45">
      <c r="R6151" s="2">
        <v>78.27</v>
      </c>
      <c r="S6151" s="2">
        <v>5.7308999999999999E-2</v>
      </c>
      <c r="T6151" s="2">
        <v>3.090072E-2</v>
      </c>
    </row>
    <row r="6152" spans="18:20" x14ac:dyDescent="0.45">
      <c r="R6152" s="2">
        <v>78.28</v>
      </c>
      <c r="S6152" s="2">
        <v>5.7369000000000003E-2</v>
      </c>
      <c r="T6152" s="2">
        <v>3.0933080000000002E-2</v>
      </c>
    </row>
    <row r="6153" spans="18:20" x14ac:dyDescent="0.45">
      <c r="R6153" s="2">
        <v>78.290000000000006</v>
      </c>
      <c r="S6153" s="2">
        <v>5.7429000000000001E-2</v>
      </c>
      <c r="T6153" s="2">
        <v>3.096544E-2</v>
      </c>
    </row>
    <row r="6154" spans="18:20" x14ac:dyDescent="0.45">
      <c r="R6154" s="2">
        <v>78.3</v>
      </c>
      <c r="S6154" s="2">
        <v>5.7488999999999998E-2</v>
      </c>
      <c r="T6154" s="2">
        <v>3.0997799999999999E-2</v>
      </c>
    </row>
    <row r="6155" spans="18:20" x14ac:dyDescent="0.45">
      <c r="R6155" s="2">
        <v>78.31</v>
      </c>
      <c r="S6155" s="2">
        <v>5.7549000000000003E-2</v>
      </c>
      <c r="T6155" s="2">
        <v>3.1030160000000001E-2</v>
      </c>
    </row>
    <row r="6156" spans="18:20" x14ac:dyDescent="0.45">
      <c r="R6156" s="2">
        <v>78.319999999999993</v>
      </c>
      <c r="S6156" s="2">
        <v>5.7609E-2</v>
      </c>
      <c r="T6156" s="2">
        <v>3.106252E-2</v>
      </c>
    </row>
    <row r="6157" spans="18:20" x14ac:dyDescent="0.45">
      <c r="R6157" s="2">
        <v>78.33</v>
      </c>
      <c r="S6157" s="2">
        <v>5.7668999999999998E-2</v>
      </c>
      <c r="T6157" s="2">
        <v>3.1094879999999998E-2</v>
      </c>
    </row>
    <row r="6158" spans="18:20" x14ac:dyDescent="0.45">
      <c r="R6158" s="2">
        <v>78.34</v>
      </c>
      <c r="S6158" s="2">
        <v>5.7729000000000003E-2</v>
      </c>
      <c r="T6158" s="2">
        <v>3.112724E-2</v>
      </c>
    </row>
    <row r="6159" spans="18:20" x14ac:dyDescent="0.45">
      <c r="R6159" s="2">
        <v>78.349999999999994</v>
      </c>
      <c r="S6159" s="2">
        <v>5.7789E-2</v>
      </c>
      <c r="T6159" s="2">
        <v>3.1159599999999999E-2</v>
      </c>
    </row>
    <row r="6160" spans="18:20" x14ac:dyDescent="0.45">
      <c r="R6160" s="2">
        <v>78.36</v>
      </c>
      <c r="S6160" s="2">
        <v>5.7848999999999998E-2</v>
      </c>
      <c r="T6160" s="2">
        <v>3.1191960000000001E-2</v>
      </c>
    </row>
    <row r="6161" spans="18:20" x14ac:dyDescent="0.45">
      <c r="R6161" s="2">
        <v>78.37</v>
      </c>
      <c r="S6161" s="2">
        <v>5.7909000000000002E-2</v>
      </c>
      <c r="T6161" s="2">
        <v>3.122432E-2</v>
      </c>
    </row>
    <row r="6162" spans="18:20" x14ac:dyDescent="0.45">
      <c r="R6162" s="2">
        <v>78.38</v>
      </c>
      <c r="S6162" s="2">
        <v>5.7969E-2</v>
      </c>
      <c r="T6162" s="2">
        <v>3.1256680000000002E-2</v>
      </c>
    </row>
    <row r="6163" spans="18:20" x14ac:dyDescent="0.45">
      <c r="R6163" s="2">
        <v>78.39</v>
      </c>
      <c r="S6163" s="2">
        <v>5.8028999999999997E-2</v>
      </c>
      <c r="T6163" s="2">
        <v>3.1289039999999997E-2</v>
      </c>
    </row>
    <row r="6164" spans="18:20" x14ac:dyDescent="0.45">
      <c r="R6164" s="2">
        <v>78.400000000000006</v>
      </c>
      <c r="S6164" s="2">
        <v>5.8089000000000002E-2</v>
      </c>
      <c r="T6164" s="2">
        <v>3.1321399999999999E-2</v>
      </c>
    </row>
    <row r="6165" spans="18:20" x14ac:dyDescent="0.45">
      <c r="R6165" s="2">
        <v>78.41</v>
      </c>
      <c r="S6165" s="2">
        <v>5.8148999999999999E-2</v>
      </c>
      <c r="T6165" s="2">
        <v>3.1353760000000001E-2</v>
      </c>
    </row>
    <row r="6166" spans="18:20" x14ac:dyDescent="0.45">
      <c r="R6166" s="2">
        <v>78.42</v>
      </c>
      <c r="S6166" s="2">
        <v>5.8208999999999997E-2</v>
      </c>
      <c r="T6166" s="2">
        <v>3.1386120000000003E-2</v>
      </c>
    </row>
    <row r="6167" spans="18:20" x14ac:dyDescent="0.45">
      <c r="R6167" s="2">
        <v>78.430000000000007</v>
      </c>
      <c r="S6167" s="2">
        <v>5.8269000000000001E-2</v>
      </c>
      <c r="T6167" s="2">
        <v>3.1418479999999999E-2</v>
      </c>
    </row>
    <row r="6168" spans="18:20" x14ac:dyDescent="0.45">
      <c r="R6168" s="2">
        <v>78.44</v>
      </c>
      <c r="S6168" s="2">
        <v>5.8328999999999999E-2</v>
      </c>
      <c r="T6168" s="2">
        <v>3.1450840000000001E-2</v>
      </c>
    </row>
    <row r="6169" spans="18:20" x14ac:dyDescent="0.45">
      <c r="R6169" s="2">
        <v>78.45</v>
      </c>
      <c r="S6169" s="2">
        <v>5.8389000000000003E-2</v>
      </c>
      <c r="T6169" s="2">
        <v>3.1483200000000003E-2</v>
      </c>
    </row>
    <row r="6170" spans="18:20" x14ac:dyDescent="0.45">
      <c r="R6170" s="2">
        <v>78.459999999999994</v>
      </c>
      <c r="S6170" s="2">
        <v>5.8449000000000001E-2</v>
      </c>
      <c r="T6170" s="2">
        <v>3.1515559999999998E-2</v>
      </c>
    </row>
    <row r="6171" spans="18:20" x14ac:dyDescent="0.45">
      <c r="R6171" s="2">
        <v>78.47</v>
      </c>
      <c r="S6171" s="2">
        <v>5.8508999999999999E-2</v>
      </c>
      <c r="T6171" s="2">
        <v>3.154792E-2</v>
      </c>
    </row>
    <row r="6172" spans="18:20" x14ac:dyDescent="0.45">
      <c r="R6172" s="2">
        <v>78.48</v>
      </c>
      <c r="S6172" s="2">
        <v>5.8569000000000003E-2</v>
      </c>
      <c r="T6172" s="2">
        <v>3.1580280000000002E-2</v>
      </c>
    </row>
    <row r="6173" spans="18:20" x14ac:dyDescent="0.45">
      <c r="R6173" s="2">
        <v>78.489999999999995</v>
      </c>
      <c r="S6173" s="2">
        <v>5.8629000000000001E-2</v>
      </c>
      <c r="T6173" s="2">
        <v>3.1612639999999997E-2</v>
      </c>
    </row>
    <row r="6174" spans="18:20" x14ac:dyDescent="0.45">
      <c r="R6174" s="2">
        <v>78.5</v>
      </c>
      <c r="S6174" s="2">
        <v>5.8688999999999998E-2</v>
      </c>
      <c r="T6174" s="2">
        <v>3.1645E-2</v>
      </c>
    </row>
    <row r="6175" spans="18:20" x14ac:dyDescent="0.45">
      <c r="R6175" s="2">
        <v>78.510000000000005</v>
      </c>
      <c r="S6175" s="2">
        <v>5.8749000000000003E-2</v>
      </c>
      <c r="T6175" s="2">
        <v>3.1677360000000002E-2</v>
      </c>
    </row>
    <row r="6176" spans="18:20" x14ac:dyDescent="0.45">
      <c r="R6176" s="2">
        <v>78.52</v>
      </c>
      <c r="S6176" s="2">
        <v>5.8809E-2</v>
      </c>
      <c r="T6176" s="2">
        <v>3.1709719999999997E-2</v>
      </c>
    </row>
    <row r="6177" spans="18:20" x14ac:dyDescent="0.45">
      <c r="R6177" s="2">
        <v>78.53</v>
      </c>
      <c r="S6177" s="2">
        <v>5.8868999999999998E-2</v>
      </c>
      <c r="T6177" s="2">
        <v>3.1742079999999999E-2</v>
      </c>
    </row>
    <row r="6178" spans="18:20" x14ac:dyDescent="0.45">
      <c r="R6178" s="2">
        <v>78.540000000000006</v>
      </c>
      <c r="S6178" s="2">
        <v>5.8929000000000002E-2</v>
      </c>
      <c r="T6178" s="2">
        <v>3.1774440000000001E-2</v>
      </c>
    </row>
    <row r="6179" spans="18:20" x14ac:dyDescent="0.45">
      <c r="R6179" s="2">
        <v>78.55</v>
      </c>
      <c r="S6179" s="2">
        <v>5.8989E-2</v>
      </c>
      <c r="T6179" s="2">
        <v>3.1806800000000003E-2</v>
      </c>
    </row>
    <row r="6180" spans="18:20" x14ac:dyDescent="0.45">
      <c r="R6180" s="2">
        <v>78.56</v>
      </c>
      <c r="S6180" s="2">
        <v>5.9048999999999997E-2</v>
      </c>
      <c r="T6180" s="2">
        <v>3.1839159999999998E-2</v>
      </c>
    </row>
    <row r="6181" spans="18:20" x14ac:dyDescent="0.45">
      <c r="R6181" s="2">
        <v>78.569999999999993</v>
      </c>
      <c r="S6181" s="2">
        <v>5.9109000000000002E-2</v>
      </c>
      <c r="T6181" s="2">
        <v>3.187152E-2</v>
      </c>
    </row>
    <row r="6182" spans="18:20" x14ac:dyDescent="0.45">
      <c r="R6182" s="2">
        <v>78.58</v>
      </c>
      <c r="S6182" s="2">
        <v>5.9168999999999999E-2</v>
      </c>
      <c r="T6182" s="2">
        <v>3.1903880000000003E-2</v>
      </c>
    </row>
    <row r="6183" spans="18:20" x14ac:dyDescent="0.45">
      <c r="R6183" s="2">
        <v>78.59</v>
      </c>
      <c r="S6183" s="2">
        <v>5.9228999999999997E-2</v>
      </c>
      <c r="T6183" s="2">
        <v>3.1936239999999998E-2</v>
      </c>
    </row>
    <row r="6184" spans="18:20" x14ac:dyDescent="0.45">
      <c r="R6184" s="2">
        <v>78.599999999999994</v>
      </c>
      <c r="S6184" s="2">
        <v>5.9289000000000001E-2</v>
      </c>
      <c r="T6184" s="2">
        <v>3.19686E-2</v>
      </c>
    </row>
    <row r="6185" spans="18:20" x14ac:dyDescent="0.45">
      <c r="R6185" s="2">
        <v>78.61</v>
      </c>
      <c r="S6185" s="2">
        <v>5.9348999999999999E-2</v>
      </c>
      <c r="T6185" s="2">
        <v>3.2000960000000002E-2</v>
      </c>
    </row>
    <row r="6186" spans="18:20" x14ac:dyDescent="0.45">
      <c r="R6186" s="2">
        <v>78.62</v>
      </c>
      <c r="S6186" s="2">
        <v>5.9409000000000003E-2</v>
      </c>
      <c r="T6186" s="2">
        <v>3.2033319999999997E-2</v>
      </c>
    </row>
    <row r="6187" spans="18:20" x14ac:dyDescent="0.45">
      <c r="R6187" s="2">
        <v>78.63</v>
      </c>
      <c r="S6187" s="2">
        <v>5.9469000000000001E-2</v>
      </c>
      <c r="T6187" s="2">
        <v>3.2065679999999999E-2</v>
      </c>
    </row>
    <row r="6188" spans="18:20" x14ac:dyDescent="0.45">
      <c r="R6188" s="2">
        <v>78.64</v>
      </c>
      <c r="S6188" s="2">
        <v>5.9528999999999999E-2</v>
      </c>
      <c r="T6188" s="2">
        <v>3.2098040000000001E-2</v>
      </c>
    </row>
    <row r="6189" spans="18:20" x14ac:dyDescent="0.45">
      <c r="R6189" s="2">
        <v>78.650000000000006</v>
      </c>
      <c r="S6189" s="2">
        <v>5.9589000000000003E-2</v>
      </c>
      <c r="T6189" s="2">
        <v>3.2130400000000003E-2</v>
      </c>
    </row>
    <row r="6190" spans="18:20" x14ac:dyDescent="0.45">
      <c r="R6190" s="2">
        <v>78.66</v>
      </c>
      <c r="S6190" s="2">
        <v>5.9649000000000001E-2</v>
      </c>
      <c r="T6190" s="2">
        <v>3.2162759999999999E-2</v>
      </c>
    </row>
    <row r="6191" spans="18:20" x14ac:dyDescent="0.45">
      <c r="R6191" s="2">
        <v>78.67</v>
      </c>
      <c r="S6191" s="2">
        <v>5.9708999999999998E-2</v>
      </c>
      <c r="T6191" s="2">
        <v>3.2195120000000001E-2</v>
      </c>
    </row>
    <row r="6192" spans="18:20" x14ac:dyDescent="0.45">
      <c r="R6192" s="2">
        <v>78.680000000000007</v>
      </c>
      <c r="S6192" s="2">
        <v>5.9769000000000003E-2</v>
      </c>
      <c r="T6192" s="2">
        <v>3.2227480000000003E-2</v>
      </c>
    </row>
    <row r="6193" spans="18:20" x14ac:dyDescent="0.45">
      <c r="R6193" s="2">
        <v>78.69</v>
      </c>
      <c r="S6193" s="2">
        <v>5.9829E-2</v>
      </c>
      <c r="T6193" s="2">
        <v>3.2259839999999998E-2</v>
      </c>
    </row>
    <row r="6194" spans="18:20" x14ac:dyDescent="0.45">
      <c r="R6194" s="2">
        <v>78.7</v>
      </c>
      <c r="S6194" s="2">
        <v>5.9888999999999998E-2</v>
      </c>
      <c r="T6194" s="2">
        <v>3.22922E-2</v>
      </c>
    </row>
    <row r="6195" spans="18:20" x14ac:dyDescent="0.45">
      <c r="R6195" s="2">
        <v>78.709999999999994</v>
      </c>
      <c r="S6195" s="2">
        <v>5.9949000000000002E-2</v>
      </c>
      <c r="T6195" s="2">
        <v>3.2324560000000002E-2</v>
      </c>
    </row>
    <row r="6196" spans="18:20" x14ac:dyDescent="0.45">
      <c r="R6196" s="2">
        <v>78.72</v>
      </c>
      <c r="S6196" s="2">
        <v>6.0009E-2</v>
      </c>
      <c r="T6196" s="2">
        <v>3.2356919999999997E-2</v>
      </c>
    </row>
    <row r="6197" spans="18:20" x14ac:dyDescent="0.45">
      <c r="R6197" s="2">
        <v>78.73</v>
      </c>
      <c r="S6197" s="2">
        <v>6.0068999999999997E-2</v>
      </c>
      <c r="T6197" s="2">
        <v>3.2389279999999999E-2</v>
      </c>
    </row>
    <row r="6198" spans="18:20" x14ac:dyDescent="0.45">
      <c r="R6198" s="2">
        <v>78.739999999999995</v>
      </c>
      <c r="S6198" s="2">
        <v>6.0129000000000002E-2</v>
      </c>
      <c r="T6198" s="2">
        <v>3.2421640000000002E-2</v>
      </c>
    </row>
    <row r="6199" spans="18:20" x14ac:dyDescent="0.45">
      <c r="R6199" s="2">
        <v>78.75</v>
      </c>
      <c r="S6199" s="2">
        <v>6.0188999999999999E-2</v>
      </c>
      <c r="T6199" s="2">
        <v>3.2453999999999997E-2</v>
      </c>
    </row>
    <row r="6200" spans="18:20" x14ac:dyDescent="0.45">
      <c r="R6200" s="2">
        <v>78.760000000000005</v>
      </c>
      <c r="S6200" s="2">
        <v>6.0248999999999997E-2</v>
      </c>
      <c r="T6200" s="2">
        <v>3.2486359999999999E-2</v>
      </c>
    </row>
    <row r="6201" spans="18:20" x14ac:dyDescent="0.45">
      <c r="R6201" s="2">
        <v>78.77</v>
      </c>
      <c r="S6201" s="2">
        <v>6.0309000000000001E-2</v>
      </c>
      <c r="T6201" s="2">
        <v>3.2518720000000001E-2</v>
      </c>
    </row>
    <row r="6202" spans="18:20" x14ac:dyDescent="0.45">
      <c r="R6202" s="2">
        <v>78.78</v>
      </c>
      <c r="S6202" s="2">
        <v>6.0368999999999999E-2</v>
      </c>
      <c r="T6202" s="2">
        <v>3.2551080000000003E-2</v>
      </c>
    </row>
    <row r="6203" spans="18:20" x14ac:dyDescent="0.45">
      <c r="R6203" s="2">
        <v>78.790000000000006</v>
      </c>
      <c r="S6203" s="2">
        <v>6.0428999999999997E-2</v>
      </c>
      <c r="T6203" s="2">
        <v>3.2583439999999998E-2</v>
      </c>
    </row>
    <row r="6204" spans="18:20" x14ac:dyDescent="0.45">
      <c r="R6204" s="2">
        <v>78.8</v>
      </c>
      <c r="S6204" s="2">
        <v>6.0489000000000001E-2</v>
      </c>
      <c r="T6204" s="2">
        <v>3.26158E-2</v>
      </c>
    </row>
    <row r="6205" spans="18:20" x14ac:dyDescent="0.45">
      <c r="R6205" s="2">
        <v>78.81</v>
      </c>
      <c r="S6205" s="2">
        <v>6.0548999999999999E-2</v>
      </c>
      <c r="T6205" s="2">
        <v>3.2648160000000002E-2</v>
      </c>
    </row>
    <row r="6206" spans="18:20" x14ac:dyDescent="0.45">
      <c r="R6206" s="2">
        <v>78.819999999999993</v>
      </c>
      <c r="S6206" s="2">
        <v>6.0609000000000003E-2</v>
      </c>
      <c r="T6206" s="2">
        <v>3.2680519999999998E-2</v>
      </c>
    </row>
    <row r="6207" spans="18:20" x14ac:dyDescent="0.45">
      <c r="R6207" s="2">
        <v>78.83</v>
      </c>
      <c r="S6207" s="2">
        <v>6.0669000000000001E-2</v>
      </c>
      <c r="T6207" s="2">
        <v>3.271288E-2</v>
      </c>
    </row>
    <row r="6208" spans="18:20" x14ac:dyDescent="0.45">
      <c r="R6208" s="2">
        <v>78.84</v>
      </c>
      <c r="S6208" s="2">
        <v>6.0728999999999998E-2</v>
      </c>
      <c r="T6208" s="2">
        <v>3.2745240000000002E-2</v>
      </c>
    </row>
    <row r="6209" spans="18:20" x14ac:dyDescent="0.45">
      <c r="R6209" s="2">
        <v>78.849999999999994</v>
      </c>
      <c r="S6209" s="2">
        <v>6.0789000000000003E-2</v>
      </c>
      <c r="T6209" s="2">
        <v>3.2777599999999997E-2</v>
      </c>
    </row>
    <row r="6210" spans="18:20" x14ac:dyDescent="0.45">
      <c r="R6210" s="2">
        <v>78.86</v>
      </c>
      <c r="S6210" s="2">
        <v>6.0849E-2</v>
      </c>
      <c r="T6210" s="2">
        <v>3.2809959999999999E-2</v>
      </c>
    </row>
    <row r="6211" spans="18:20" x14ac:dyDescent="0.45">
      <c r="R6211" s="2">
        <v>78.87</v>
      </c>
      <c r="S6211" s="2">
        <v>6.0908999999999998E-2</v>
      </c>
      <c r="T6211" s="2">
        <v>3.2842320000000001E-2</v>
      </c>
    </row>
    <row r="6212" spans="18:20" x14ac:dyDescent="0.45">
      <c r="R6212" s="2">
        <v>78.88</v>
      </c>
      <c r="S6212" s="2">
        <v>6.0969000000000002E-2</v>
      </c>
      <c r="T6212" s="2">
        <v>3.2874680000000003E-2</v>
      </c>
    </row>
    <row r="6213" spans="18:20" x14ac:dyDescent="0.45">
      <c r="R6213" s="2">
        <v>78.89</v>
      </c>
      <c r="S6213" s="2">
        <v>6.1029E-2</v>
      </c>
      <c r="T6213" s="2">
        <v>3.2907039999999999E-2</v>
      </c>
    </row>
    <row r="6214" spans="18:20" x14ac:dyDescent="0.45">
      <c r="R6214" s="2">
        <v>78.900000000000006</v>
      </c>
      <c r="S6214" s="2">
        <v>6.1088999999999997E-2</v>
      </c>
      <c r="T6214" s="2">
        <v>3.2939400000000001E-2</v>
      </c>
    </row>
    <row r="6215" spans="18:20" x14ac:dyDescent="0.45">
      <c r="R6215" s="2">
        <v>78.91</v>
      </c>
      <c r="S6215" s="2">
        <v>6.1149000000000002E-2</v>
      </c>
      <c r="T6215" s="2">
        <v>3.2971760000000003E-2</v>
      </c>
    </row>
    <row r="6216" spans="18:20" x14ac:dyDescent="0.45">
      <c r="R6216" s="2">
        <v>78.92</v>
      </c>
      <c r="S6216" s="2">
        <v>6.1209E-2</v>
      </c>
      <c r="T6216" s="2">
        <v>3.3004119999999998E-2</v>
      </c>
    </row>
    <row r="6217" spans="18:20" x14ac:dyDescent="0.45">
      <c r="R6217" s="2">
        <v>78.930000000000007</v>
      </c>
      <c r="S6217" s="2">
        <v>6.1268999999999997E-2</v>
      </c>
      <c r="T6217" s="2">
        <v>3.303648E-2</v>
      </c>
    </row>
    <row r="6218" spans="18:20" x14ac:dyDescent="0.45">
      <c r="R6218" s="2">
        <v>78.94</v>
      </c>
      <c r="S6218" s="2">
        <v>6.1329000000000002E-2</v>
      </c>
      <c r="T6218" s="2">
        <v>3.3068840000000002E-2</v>
      </c>
    </row>
    <row r="6219" spans="18:20" x14ac:dyDescent="0.45">
      <c r="R6219" s="2">
        <v>78.95</v>
      </c>
      <c r="S6219" s="2">
        <v>6.1388999999999999E-2</v>
      </c>
      <c r="T6219" s="2">
        <v>3.3101199999999997E-2</v>
      </c>
    </row>
    <row r="6220" spans="18:20" x14ac:dyDescent="0.45">
      <c r="R6220" s="2">
        <v>78.959999999999994</v>
      </c>
      <c r="S6220" s="2">
        <v>6.1448999999999997E-2</v>
      </c>
      <c r="T6220" s="2">
        <v>3.3133559999999999E-2</v>
      </c>
    </row>
    <row r="6221" spans="18:20" x14ac:dyDescent="0.45">
      <c r="R6221" s="2">
        <v>78.97</v>
      </c>
      <c r="S6221" s="2">
        <v>6.1509000000000001E-2</v>
      </c>
      <c r="T6221" s="2">
        <v>3.3165920000000002E-2</v>
      </c>
    </row>
    <row r="6222" spans="18:20" x14ac:dyDescent="0.45">
      <c r="R6222" s="2">
        <v>78.98</v>
      </c>
      <c r="S6222" s="2">
        <v>6.1568999999999999E-2</v>
      </c>
      <c r="T6222" s="2">
        <v>3.3198279999999997E-2</v>
      </c>
    </row>
    <row r="6223" spans="18:20" x14ac:dyDescent="0.45">
      <c r="R6223" s="2">
        <v>78.989999999999995</v>
      </c>
      <c r="S6223" s="2">
        <v>6.1629000000000003E-2</v>
      </c>
      <c r="T6223" s="2">
        <v>3.3230639999999999E-2</v>
      </c>
    </row>
    <row r="6224" spans="18:20" x14ac:dyDescent="0.45">
      <c r="R6224" s="2">
        <v>79</v>
      </c>
      <c r="S6224" s="2">
        <v>6.1689000000000001E-2</v>
      </c>
      <c r="T6224" s="2">
        <v>3.3263000000000001E-2</v>
      </c>
    </row>
    <row r="6225" spans="18:20" x14ac:dyDescent="0.45">
      <c r="R6225" s="2">
        <v>79.010000000000005</v>
      </c>
      <c r="S6225" s="2">
        <v>6.1754820000000002E-2</v>
      </c>
      <c r="T6225" s="2">
        <v>3.329886E-2</v>
      </c>
    </row>
    <row r="6226" spans="18:20" x14ac:dyDescent="0.45">
      <c r="R6226" s="2">
        <v>79.02</v>
      </c>
      <c r="S6226" s="2">
        <v>6.1820640000000003E-2</v>
      </c>
      <c r="T6226" s="2">
        <v>3.3334719999999998E-2</v>
      </c>
    </row>
    <row r="6227" spans="18:20" x14ac:dyDescent="0.45">
      <c r="R6227" s="2">
        <v>79.03</v>
      </c>
      <c r="S6227" s="2">
        <v>6.1886459999999997E-2</v>
      </c>
      <c r="T6227" s="2">
        <v>3.3370579999999997E-2</v>
      </c>
    </row>
    <row r="6228" spans="18:20" x14ac:dyDescent="0.45">
      <c r="R6228" s="2">
        <v>79.040000000000006</v>
      </c>
      <c r="S6228" s="2">
        <v>6.1952279999999998E-2</v>
      </c>
      <c r="T6228" s="2">
        <v>3.3406440000000003E-2</v>
      </c>
    </row>
    <row r="6229" spans="18:20" x14ac:dyDescent="0.45">
      <c r="R6229" s="2">
        <v>79.05</v>
      </c>
      <c r="S6229" s="2">
        <v>6.20181E-2</v>
      </c>
      <c r="T6229" s="2">
        <v>3.3442300000000001E-2</v>
      </c>
    </row>
    <row r="6230" spans="18:20" x14ac:dyDescent="0.45">
      <c r="R6230" s="2">
        <v>79.06</v>
      </c>
      <c r="S6230" s="2">
        <v>6.2083920000000001E-2</v>
      </c>
      <c r="T6230" s="2">
        <v>3.347816E-2</v>
      </c>
    </row>
    <row r="6231" spans="18:20" x14ac:dyDescent="0.45">
      <c r="R6231" s="2">
        <v>79.069999999999993</v>
      </c>
      <c r="S6231" s="2">
        <v>6.2149740000000002E-2</v>
      </c>
      <c r="T6231" s="2">
        <v>3.3514019999999999E-2</v>
      </c>
    </row>
    <row r="6232" spans="18:20" x14ac:dyDescent="0.45">
      <c r="R6232" s="2">
        <v>79.08</v>
      </c>
      <c r="S6232" s="2">
        <v>6.2215560000000003E-2</v>
      </c>
      <c r="T6232" s="2">
        <v>3.3549879999999997E-2</v>
      </c>
    </row>
    <row r="6233" spans="18:20" x14ac:dyDescent="0.45">
      <c r="R6233" s="2">
        <v>79.09</v>
      </c>
      <c r="S6233" s="2">
        <v>6.2281379999999997E-2</v>
      </c>
      <c r="T6233" s="2">
        <v>3.3585740000000003E-2</v>
      </c>
    </row>
    <row r="6234" spans="18:20" x14ac:dyDescent="0.45">
      <c r="R6234" s="2">
        <v>79.099999999999994</v>
      </c>
      <c r="S6234" s="2">
        <v>6.2347199999999998E-2</v>
      </c>
      <c r="T6234" s="2">
        <v>3.3621600000000001E-2</v>
      </c>
    </row>
    <row r="6235" spans="18:20" x14ac:dyDescent="0.45">
      <c r="R6235" s="2">
        <v>79.11</v>
      </c>
      <c r="S6235" s="2">
        <v>6.241302E-2</v>
      </c>
      <c r="T6235" s="2">
        <v>3.365746E-2</v>
      </c>
    </row>
    <row r="6236" spans="18:20" x14ac:dyDescent="0.45">
      <c r="R6236" s="2">
        <v>79.12</v>
      </c>
      <c r="S6236" s="2">
        <v>6.2478840000000001E-2</v>
      </c>
      <c r="T6236" s="2">
        <v>3.3693319999999999E-2</v>
      </c>
    </row>
    <row r="6237" spans="18:20" x14ac:dyDescent="0.45">
      <c r="R6237" s="2">
        <v>79.13</v>
      </c>
      <c r="S6237" s="2">
        <v>6.2544660000000002E-2</v>
      </c>
      <c r="T6237" s="2">
        <v>3.3729179999999997E-2</v>
      </c>
    </row>
    <row r="6238" spans="18:20" x14ac:dyDescent="0.45">
      <c r="R6238" s="2">
        <v>79.14</v>
      </c>
      <c r="S6238" s="2">
        <v>6.2610479999999996E-2</v>
      </c>
      <c r="T6238" s="2">
        <v>3.3765040000000003E-2</v>
      </c>
    </row>
    <row r="6239" spans="18:20" x14ac:dyDescent="0.45">
      <c r="R6239" s="2">
        <v>79.150000000000006</v>
      </c>
      <c r="S6239" s="2">
        <v>6.2676300000000004E-2</v>
      </c>
      <c r="T6239" s="2">
        <v>3.3800900000000002E-2</v>
      </c>
    </row>
    <row r="6240" spans="18:20" x14ac:dyDescent="0.45">
      <c r="R6240" s="2">
        <v>79.16</v>
      </c>
      <c r="S6240" s="2">
        <v>6.2742119999999998E-2</v>
      </c>
      <c r="T6240" s="2">
        <v>3.383676E-2</v>
      </c>
    </row>
    <row r="6241" spans="18:20" x14ac:dyDescent="0.45">
      <c r="R6241" s="2">
        <v>79.17</v>
      </c>
      <c r="S6241" s="2">
        <v>6.2807940000000007E-2</v>
      </c>
      <c r="T6241" s="2">
        <v>3.3872619999999999E-2</v>
      </c>
    </row>
    <row r="6242" spans="18:20" x14ac:dyDescent="0.45">
      <c r="R6242" s="2">
        <v>79.180000000000007</v>
      </c>
      <c r="S6242" s="2">
        <v>6.2873760000000001E-2</v>
      </c>
      <c r="T6242" s="2">
        <v>3.3908479999999998E-2</v>
      </c>
    </row>
    <row r="6243" spans="18:20" x14ac:dyDescent="0.45">
      <c r="R6243" s="2">
        <v>79.19</v>
      </c>
      <c r="S6243" s="2">
        <v>6.2939579999999995E-2</v>
      </c>
      <c r="T6243" s="2">
        <v>3.3944340000000003E-2</v>
      </c>
    </row>
    <row r="6244" spans="18:20" x14ac:dyDescent="0.45">
      <c r="R6244" s="2">
        <v>79.2</v>
      </c>
      <c r="S6244" s="2">
        <v>6.3005400000000003E-2</v>
      </c>
      <c r="T6244" s="2">
        <v>3.3980200000000002E-2</v>
      </c>
    </row>
    <row r="6245" spans="18:20" x14ac:dyDescent="0.45">
      <c r="R6245" s="2">
        <v>79.209999999999994</v>
      </c>
      <c r="S6245" s="2">
        <v>6.3071219999999997E-2</v>
      </c>
      <c r="T6245" s="2">
        <v>3.4016060000000001E-2</v>
      </c>
    </row>
    <row r="6246" spans="18:20" x14ac:dyDescent="0.45">
      <c r="R6246" s="2">
        <v>79.22</v>
      </c>
      <c r="S6246" s="2">
        <v>6.3137040000000005E-2</v>
      </c>
      <c r="T6246" s="2">
        <v>3.4051919999999999E-2</v>
      </c>
    </row>
    <row r="6247" spans="18:20" x14ac:dyDescent="0.45">
      <c r="R6247" s="2">
        <v>79.23</v>
      </c>
      <c r="S6247" s="2">
        <v>6.320286E-2</v>
      </c>
      <c r="T6247" s="2">
        <v>3.4087779999999998E-2</v>
      </c>
    </row>
    <row r="6248" spans="18:20" x14ac:dyDescent="0.45">
      <c r="R6248" s="2">
        <v>79.239999999999995</v>
      </c>
      <c r="S6248" s="2">
        <v>6.3268679999999994E-2</v>
      </c>
      <c r="T6248" s="2">
        <v>3.4123639999999997E-2</v>
      </c>
    </row>
    <row r="6249" spans="18:20" x14ac:dyDescent="0.45">
      <c r="R6249" s="2">
        <v>79.25</v>
      </c>
      <c r="S6249" s="2">
        <v>6.3334500000000002E-2</v>
      </c>
      <c r="T6249" s="2">
        <v>3.4159500000000002E-2</v>
      </c>
    </row>
    <row r="6250" spans="18:20" x14ac:dyDescent="0.45">
      <c r="R6250" s="2">
        <v>79.260000000000005</v>
      </c>
      <c r="S6250" s="2">
        <v>6.3400319999999996E-2</v>
      </c>
      <c r="T6250" s="2">
        <v>3.4195360000000001E-2</v>
      </c>
    </row>
    <row r="6251" spans="18:20" x14ac:dyDescent="0.45">
      <c r="R6251" s="2">
        <v>79.27</v>
      </c>
      <c r="S6251" s="2">
        <v>6.3466140000000004E-2</v>
      </c>
      <c r="T6251" s="2">
        <v>3.423122E-2</v>
      </c>
    </row>
    <row r="6252" spans="18:20" x14ac:dyDescent="0.45">
      <c r="R6252" s="2">
        <v>79.28</v>
      </c>
      <c r="S6252" s="2">
        <v>6.3531959999999998E-2</v>
      </c>
      <c r="T6252" s="2">
        <v>3.4267079999999998E-2</v>
      </c>
    </row>
    <row r="6253" spans="18:20" x14ac:dyDescent="0.45">
      <c r="R6253" s="2">
        <v>79.290000000000006</v>
      </c>
      <c r="S6253" s="2">
        <v>6.3597780000000007E-2</v>
      </c>
      <c r="T6253" s="2">
        <v>3.4302939999999997E-2</v>
      </c>
    </row>
    <row r="6254" spans="18:20" x14ac:dyDescent="0.45">
      <c r="R6254" s="2">
        <v>79.3</v>
      </c>
      <c r="S6254" s="2">
        <v>6.3663600000000001E-2</v>
      </c>
      <c r="T6254" s="2">
        <v>3.4338800000000003E-2</v>
      </c>
    </row>
    <row r="6255" spans="18:20" x14ac:dyDescent="0.45">
      <c r="R6255" s="2">
        <v>79.31</v>
      </c>
      <c r="S6255" s="2">
        <v>6.3729419999999995E-2</v>
      </c>
      <c r="T6255" s="2">
        <v>3.4374660000000001E-2</v>
      </c>
    </row>
    <row r="6256" spans="18:20" x14ac:dyDescent="0.45">
      <c r="R6256" s="2">
        <v>79.319999999999993</v>
      </c>
      <c r="S6256" s="2">
        <v>6.3795240000000003E-2</v>
      </c>
      <c r="T6256" s="2">
        <v>3.441052E-2</v>
      </c>
    </row>
    <row r="6257" spans="18:20" x14ac:dyDescent="0.45">
      <c r="R6257" s="2">
        <v>79.33</v>
      </c>
      <c r="S6257" s="2">
        <v>6.3861059999999997E-2</v>
      </c>
      <c r="T6257" s="2">
        <v>3.4446379999999999E-2</v>
      </c>
    </row>
    <row r="6258" spans="18:20" x14ac:dyDescent="0.45">
      <c r="R6258" s="2">
        <v>79.34</v>
      </c>
      <c r="S6258" s="2">
        <v>6.3926880000000005E-2</v>
      </c>
      <c r="T6258" s="2">
        <v>3.4482239999999997E-2</v>
      </c>
    </row>
    <row r="6259" spans="18:20" x14ac:dyDescent="0.45">
      <c r="R6259" s="2">
        <v>79.349999999999994</v>
      </c>
      <c r="S6259" s="2">
        <v>6.39927E-2</v>
      </c>
      <c r="T6259" s="2">
        <v>3.4518100000000003E-2</v>
      </c>
    </row>
    <row r="6260" spans="18:20" x14ac:dyDescent="0.45">
      <c r="R6260" s="2">
        <v>79.36</v>
      </c>
      <c r="S6260" s="2">
        <v>6.4058519999999994E-2</v>
      </c>
      <c r="T6260" s="2">
        <v>3.4553960000000002E-2</v>
      </c>
    </row>
    <row r="6261" spans="18:20" x14ac:dyDescent="0.45">
      <c r="R6261" s="2">
        <v>79.37</v>
      </c>
      <c r="S6261" s="2">
        <v>6.4124340000000002E-2</v>
      </c>
      <c r="T6261" s="2">
        <v>3.458982E-2</v>
      </c>
    </row>
    <row r="6262" spans="18:20" x14ac:dyDescent="0.45">
      <c r="R6262" s="2">
        <v>79.38</v>
      </c>
      <c r="S6262" s="2">
        <v>6.4190159999999996E-2</v>
      </c>
      <c r="T6262" s="2">
        <v>3.4625679999999999E-2</v>
      </c>
    </row>
    <row r="6263" spans="18:20" x14ac:dyDescent="0.45">
      <c r="R6263" s="2">
        <v>79.39</v>
      </c>
      <c r="S6263" s="2">
        <v>6.4255980000000004E-2</v>
      </c>
      <c r="T6263" s="2">
        <v>3.4661539999999998E-2</v>
      </c>
    </row>
    <row r="6264" spans="18:20" x14ac:dyDescent="0.45">
      <c r="R6264" s="2">
        <v>79.400000000000006</v>
      </c>
      <c r="S6264" s="2">
        <v>6.4321799999999998E-2</v>
      </c>
      <c r="T6264" s="2">
        <v>3.4697400000000003E-2</v>
      </c>
    </row>
    <row r="6265" spans="18:20" x14ac:dyDescent="0.45">
      <c r="R6265" s="2">
        <v>79.41</v>
      </c>
      <c r="S6265" s="2">
        <v>6.4387620000000007E-2</v>
      </c>
      <c r="T6265" s="2">
        <v>3.4733260000000002E-2</v>
      </c>
    </row>
    <row r="6266" spans="18:20" x14ac:dyDescent="0.45">
      <c r="R6266" s="2">
        <v>79.42</v>
      </c>
      <c r="S6266" s="2">
        <v>6.4453440000000001E-2</v>
      </c>
      <c r="T6266" s="2">
        <v>3.4769120000000001E-2</v>
      </c>
    </row>
    <row r="6267" spans="18:20" x14ac:dyDescent="0.45">
      <c r="R6267" s="2">
        <v>79.430000000000007</v>
      </c>
      <c r="S6267" s="2">
        <v>6.4519259999999995E-2</v>
      </c>
      <c r="T6267" s="2">
        <v>3.4804979999999999E-2</v>
      </c>
    </row>
    <row r="6268" spans="18:20" x14ac:dyDescent="0.45">
      <c r="R6268" s="2">
        <v>79.44</v>
      </c>
      <c r="S6268" s="2">
        <v>6.4585080000000003E-2</v>
      </c>
      <c r="T6268" s="2">
        <v>3.4840839999999998E-2</v>
      </c>
    </row>
    <row r="6269" spans="18:20" x14ac:dyDescent="0.45">
      <c r="R6269" s="2">
        <v>79.45</v>
      </c>
      <c r="S6269" s="2">
        <v>6.4650899999999997E-2</v>
      </c>
      <c r="T6269" s="2">
        <v>3.4876699999999997E-2</v>
      </c>
    </row>
    <row r="6270" spans="18:20" x14ac:dyDescent="0.45">
      <c r="R6270" s="2">
        <v>79.459999999999994</v>
      </c>
      <c r="S6270" s="2">
        <v>6.4716720000000005E-2</v>
      </c>
      <c r="T6270" s="2">
        <v>3.4912560000000002E-2</v>
      </c>
    </row>
    <row r="6271" spans="18:20" x14ac:dyDescent="0.45">
      <c r="R6271" s="2">
        <v>79.47</v>
      </c>
      <c r="S6271" s="2">
        <v>6.478254E-2</v>
      </c>
      <c r="T6271" s="2">
        <v>3.4948420000000001E-2</v>
      </c>
    </row>
    <row r="6272" spans="18:20" x14ac:dyDescent="0.45">
      <c r="R6272" s="2">
        <v>79.48</v>
      </c>
      <c r="S6272" s="2">
        <v>6.4848359999999994E-2</v>
      </c>
      <c r="T6272" s="2">
        <v>3.498428E-2</v>
      </c>
    </row>
    <row r="6273" spans="18:20" x14ac:dyDescent="0.45">
      <c r="R6273" s="2">
        <v>79.489999999999995</v>
      </c>
      <c r="S6273" s="2">
        <v>6.4914180000000002E-2</v>
      </c>
      <c r="T6273" s="2">
        <v>3.5020139999999998E-2</v>
      </c>
    </row>
    <row r="6274" spans="18:20" x14ac:dyDescent="0.45">
      <c r="R6274" s="2">
        <v>79.5</v>
      </c>
      <c r="S6274" s="2">
        <v>6.4979999999999996E-2</v>
      </c>
      <c r="T6274" s="2">
        <v>3.5055999999999997E-2</v>
      </c>
    </row>
    <row r="6275" spans="18:20" x14ac:dyDescent="0.45">
      <c r="R6275" s="2">
        <v>79.510000000000005</v>
      </c>
      <c r="S6275" s="2">
        <v>6.5045820000000004E-2</v>
      </c>
      <c r="T6275" s="2">
        <v>3.5091860000000002E-2</v>
      </c>
    </row>
    <row r="6276" spans="18:20" x14ac:dyDescent="0.45">
      <c r="R6276" s="2">
        <v>79.52</v>
      </c>
      <c r="S6276" s="2">
        <v>6.5111639999999998E-2</v>
      </c>
      <c r="T6276" s="2">
        <v>3.5127720000000001E-2</v>
      </c>
    </row>
    <row r="6277" spans="18:20" x14ac:dyDescent="0.45">
      <c r="R6277" s="2">
        <v>79.53</v>
      </c>
      <c r="S6277" s="2">
        <v>6.5177460000000007E-2</v>
      </c>
      <c r="T6277" s="2">
        <v>3.516358E-2</v>
      </c>
    </row>
    <row r="6278" spans="18:20" x14ac:dyDescent="0.45">
      <c r="R6278" s="2">
        <v>79.540000000000006</v>
      </c>
      <c r="S6278" s="2">
        <v>6.5243280000000001E-2</v>
      </c>
      <c r="T6278" s="2">
        <v>3.5199439999999999E-2</v>
      </c>
    </row>
    <row r="6279" spans="18:20" x14ac:dyDescent="0.45">
      <c r="R6279" s="2">
        <v>79.55</v>
      </c>
      <c r="S6279" s="2">
        <v>6.5309099999999995E-2</v>
      </c>
      <c r="T6279" s="2">
        <v>3.5235299999999997E-2</v>
      </c>
    </row>
    <row r="6280" spans="18:20" x14ac:dyDescent="0.45">
      <c r="R6280" s="2">
        <v>79.56</v>
      </c>
      <c r="S6280" s="2">
        <v>6.5374920000000003E-2</v>
      </c>
      <c r="T6280" s="2">
        <v>3.5271160000000003E-2</v>
      </c>
    </row>
    <row r="6281" spans="18:20" x14ac:dyDescent="0.45">
      <c r="R6281" s="2">
        <v>79.569999999999993</v>
      </c>
      <c r="S6281" s="2">
        <v>6.5440739999999997E-2</v>
      </c>
      <c r="T6281" s="2">
        <v>3.5307020000000001E-2</v>
      </c>
    </row>
    <row r="6282" spans="18:20" x14ac:dyDescent="0.45">
      <c r="R6282" s="2">
        <v>79.58</v>
      </c>
      <c r="S6282" s="2">
        <v>6.5506560000000005E-2</v>
      </c>
      <c r="T6282" s="2">
        <v>3.534288E-2</v>
      </c>
    </row>
    <row r="6283" spans="18:20" x14ac:dyDescent="0.45">
      <c r="R6283" s="2">
        <v>79.59</v>
      </c>
      <c r="S6283" s="2">
        <v>6.557238E-2</v>
      </c>
      <c r="T6283" s="2">
        <v>3.5378739999999999E-2</v>
      </c>
    </row>
    <row r="6284" spans="18:20" x14ac:dyDescent="0.45">
      <c r="R6284" s="2">
        <v>79.599999999999994</v>
      </c>
      <c r="S6284" s="2">
        <v>6.5638199999999994E-2</v>
      </c>
      <c r="T6284" s="2">
        <v>3.5414599999999997E-2</v>
      </c>
    </row>
    <row r="6285" spans="18:20" x14ac:dyDescent="0.45">
      <c r="R6285" s="2">
        <v>79.61</v>
      </c>
      <c r="S6285" s="2">
        <v>6.5704020000000002E-2</v>
      </c>
      <c r="T6285" s="2">
        <v>3.5450460000000003E-2</v>
      </c>
    </row>
    <row r="6286" spans="18:20" x14ac:dyDescent="0.45">
      <c r="R6286" s="2">
        <v>79.62</v>
      </c>
      <c r="S6286" s="2">
        <v>6.5769839999999996E-2</v>
      </c>
      <c r="T6286" s="2">
        <v>3.5486320000000002E-2</v>
      </c>
    </row>
    <row r="6287" spans="18:20" x14ac:dyDescent="0.45">
      <c r="R6287" s="2">
        <v>79.63</v>
      </c>
      <c r="S6287" s="2">
        <v>6.5835660000000004E-2</v>
      </c>
      <c r="T6287" s="2">
        <v>3.552218E-2</v>
      </c>
    </row>
    <row r="6288" spans="18:20" x14ac:dyDescent="0.45">
      <c r="R6288" s="2">
        <v>79.64</v>
      </c>
      <c r="S6288" s="2">
        <v>6.5901479999999998E-2</v>
      </c>
      <c r="T6288" s="2">
        <v>3.5558039999999999E-2</v>
      </c>
    </row>
    <row r="6289" spans="18:20" x14ac:dyDescent="0.45">
      <c r="R6289" s="2">
        <v>79.650000000000006</v>
      </c>
      <c r="S6289" s="2">
        <v>6.5967300000000006E-2</v>
      </c>
      <c r="T6289" s="2">
        <v>3.5593899999999998E-2</v>
      </c>
    </row>
    <row r="6290" spans="18:20" x14ac:dyDescent="0.45">
      <c r="R6290" s="2">
        <v>79.66</v>
      </c>
      <c r="S6290" s="2">
        <v>6.6033120000000001E-2</v>
      </c>
      <c r="T6290" s="2">
        <v>3.5629760000000003E-2</v>
      </c>
    </row>
    <row r="6291" spans="18:20" x14ac:dyDescent="0.45">
      <c r="R6291" s="2">
        <v>79.67</v>
      </c>
      <c r="S6291" s="2">
        <v>6.6098939999999995E-2</v>
      </c>
      <c r="T6291" s="2">
        <v>3.5665620000000002E-2</v>
      </c>
    </row>
    <row r="6292" spans="18:20" x14ac:dyDescent="0.45">
      <c r="R6292" s="2">
        <v>79.680000000000007</v>
      </c>
      <c r="S6292" s="2">
        <v>6.6164760000000003E-2</v>
      </c>
      <c r="T6292" s="2">
        <v>3.5701480000000001E-2</v>
      </c>
    </row>
    <row r="6293" spans="18:20" x14ac:dyDescent="0.45">
      <c r="R6293" s="2">
        <v>79.69</v>
      </c>
      <c r="S6293" s="2">
        <v>6.6230579999999997E-2</v>
      </c>
      <c r="T6293" s="2">
        <v>3.5737339999999999E-2</v>
      </c>
    </row>
    <row r="6294" spans="18:20" x14ac:dyDescent="0.45">
      <c r="R6294" s="2">
        <v>79.7</v>
      </c>
      <c r="S6294" s="2">
        <v>6.6296400000000005E-2</v>
      </c>
      <c r="T6294" s="2">
        <v>3.5773199999999998E-2</v>
      </c>
    </row>
    <row r="6295" spans="18:20" x14ac:dyDescent="0.45">
      <c r="R6295" s="2">
        <v>79.709999999999994</v>
      </c>
      <c r="S6295" s="2">
        <v>6.636222E-2</v>
      </c>
      <c r="T6295" s="2">
        <v>3.5809059999999997E-2</v>
      </c>
    </row>
    <row r="6296" spans="18:20" x14ac:dyDescent="0.45">
      <c r="R6296" s="2">
        <v>79.72</v>
      </c>
      <c r="S6296" s="2">
        <v>6.6428039999999994E-2</v>
      </c>
      <c r="T6296" s="2">
        <v>3.5844920000000002E-2</v>
      </c>
    </row>
    <row r="6297" spans="18:20" x14ac:dyDescent="0.45">
      <c r="R6297" s="2">
        <v>79.73</v>
      </c>
      <c r="S6297" s="2">
        <v>6.6493860000000002E-2</v>
      </c>
      <c r="T6297" s="2">
        <v>3.5880780000000001E-2</v>
      </c>
    </row>
    <row r="6298" spans="18:20" x14ac:dyDescent="0.45">
      <c r="R6298" s="2">
        <v>79.739999999999995</v>
      </c>
      <c r="S6298" s="2">
        <v>6.6559679999999996E-2</v>
      </c>
      <c r="T6298" s="2">
        <v>3.591664E-2</v>
      </c>
    </row>
    <row r="6299" spans="18:20" x14ac:dyDescent="0.45">
      <c r="R6299" s="2">
        <v>79.75</v>
      </c>
      <c r="S6299" s="2">
        <v>6.6625500000000004E-2</v>
      </c>
      <c r="T6299" s="2">
        <v>3.5952499999999998E-2</v>
      </c>
    </row>
    <row r="6300" spans="18:20" x14ac:dyDescent="0.45">
      <c r="R6300" s="2">
        <v>79.760000000000005</v>
      </c>
      <c r="S6300" s="2">
        <v>6.6691319999999998E-2</v>
      </c>
      <c r="T6300" s="2">
        <v>3.5988359999999997E-2</v>
      </c>
    </row>
    <row r="6301" spans="18:20" x14ac:dyDescent="0.45">
      <c r="R6301" s="2">
        <v>79.77</v>
      </c>
      <c r="S6301" s="2">
        <v>6.6757140000000006E-2</v>
      </c>
      <c r="T6301" s="2">
        <v>3.6024220000000003E-2</v>
      </c>
    </row>
    <row r="6302" spans="18:20" x14ac:dyDescent="0.45">
      <c r="R6302" s="2">
        <v>79.78</v>
      </c>
      <c r="S6302" s="2">
        <v>6.6822960000000001E-2</v>
      </c>
      <c r="T6302" s="2">
        <v>3.6060080000000001E-2</v>
      </c>
    </row>
    <row r="6303" spans="18:20" x14ac:dyDescent="0.45">
      <c r="R6303" s="2">
        <v>79.790000000000006</v>
      </c>
      <c r="S6303" s="2">
        <v>6.6888779999999995E-2</v>
      </c>
      <c r="T6303" s="2">
        <v>3.609594E-2</v>
      </c>
    </row>
    <row r="6304" spans="18:20" x14ac:dyDescent="0.45">
      <c r="R6304" s="2">
        <v>79.8</v>
      </c>
      <c r="S6304" s="2">
        <v>6.6954600000000003E-2</v>
      </c>
      <c r="T6304" s="2">
        <v>3.6131799999999999E-2</v>
      </c>
    </row>
    <row r="6305" spans="18:20" x14ac:dyDescent="0.45">
      <c r="R6305" s="2">
        <v>79.81</v>
      </c>
      <c r="S6305" s="2">
        <v>6.7020419999999997E-2</v>
      </c>
      <c r="T6305" s="2">
        <v>3.6167659999999997E-2</v>
      </c>
    </row>
    <row r="6306" spans="18:20" x14ac:dyDescent="0.45">
      <c r="R6306" s="2">
        <v>79.819999999999993</v>
      </c>
      <c r="S6306" s="2">
        <v>6.7086240000000005E-2</v>
      </c>
      <c r="T6306" s="2">
        <v>3.6203520000000003E-2</v>
      </c>
    </row>
    <row r="6307" spans="18:20" x14ac:dyDescent="0.45">
      <c r="R6307" s="2">
        <v>79.83</v>
      </c>
      <c r="S6307" s="2">
        <v>6.715206E-2</v>
      </c>
      <c r="T6307" s="2">
        <v>3.6239380000000002E-2</v>
      </c>
    </row>
    <row r="6308" spans="18:20" x14ac:dyDescent="0.45">
      <c r="R6308" s="2">
        <v>79.84</v>
      </c>
      <c r="S6308" s="2">
        <v>6.7217879999999994E-2</v>
      </c>
      <c r="T6308" s="2">
        <v>3.627524E-2</v>
      </c>
    </row>
    <row r="6309" spans="18:20" x14ac:dyDescent="0.45">
      <c r="R6309" s="2">
        <v>79.849999999999994</v>
      </c>
      <c r="S6309" s="2">
        <v>6.7283700000000002E-2</v>
      </c>
      <c r="T6309" s="2">
        <v>3.6311099999999999E-2</v>
      </c>
    </row>
    <row r="6310" spans="18:20" x14ac:dyDescent="0.45">
      <c r="R6310" s="2">
        <v>79.86</v>
      </c>
      <c r="S6310" s="2">
        <v>6.7349519999999996E-2</v>
      </c>
      <c r="T6310" s="2">
        <v>3.6346959999999998E-2</v>
      </c>
    </row>
    <row r="6311" spans="18:20" x14ac:dyDescent="0.45">
      <c r="R6311" s="2">
        <v>79.87</v>
      </c>
      <c r="S6311" s="2">
        <v>6.7415340000000004E-2</v>
      </c>
      <c r="T6311" s="2">
        <v>3.6382820000000003E-2</v>
      </c>
    </row>
    <row r="6312" spans="18:20" x14ac:dyDescent="0.45">
      <c r="R6312" s="2">
        <v>79.88</v>
      </c>
      <c r="S6312" s="2">
        <v>6.7481159999999998E-2</v>
      </c>
      <c r="T6312" s="2">
        <v>3.6418680000000002E-2</v>
      </c>
    </row>
    <row r="6313" spans="18:20" x14ac:dyDescent="0.45">
      <c r="R6313" s="2">
        <v>79.89</v>
      </c>
      <c r="S6313" s="2">
        <v>6.7546980000000006E-2</v>
      </c>
      <c r="T6313" s="2">
        <v>3.6454540000000001E-2</v>
      </c>
    </row>
    <row r="6314" spans="18:20" x14ac:dyDescent="0.45">
      <c r="R6314" s="2">
        <v>79.900000000000006</v>
      </c>
      <c r="S6314" s="2">
        <v>6.7612800000000001E-2</v>
      </c>
      <c r="T6314" s="2">
        <v>3.6490399999999999E-2</v>
      </c>
    </row>
    <row r="6315" spans="18:20" x14ac:dyDescent="0.45">
      <c r="R6315" s="2">
        <v>79.91</v>
      </c>
      <c r="S6315" s="2">
        <v>6.7678619999999995E-2</v>
      </c>
      <c r="T6315" s="2">
        <v>3.6526259999999998E-2</v>
      </c>
    </row>
    <row r="6316" spans="18:20" x14ac:dyDescent="0.45">
      <c r="R6316" s="2">
        <v>79.92</v>
      </c>
      <c r="S6316" s="2">
        <v>6.7744440000000003E-2</v>
      </c>
      <c r="T6316" s="2">
        <v>3.6562119999999997E-2</v>
      </c>
    </row>
    <row r="6317" spans="18:20" x14ac:dyDescent="0.45">
      <c r="R6317" s="2">
        <v>79.930000000000007</v>
      </c>
      <c r="S6317" s="2">
        <v>6.7810259999999997E-2</v>
      </c>
      <c r="T6317" s="2">
        <v>3.6597980000000002E-2</v>
      </c>
    </row>
    <row r="6318" spans="18:20" x14ac:dyDescent="0.45">
      <c r="R6318" s="2">
        <v>79.94</v>
      </c>
      <c r="S6318" s="2">
        <v>6.7876080000000005E-2</v>
      </c>
      <c r="T6318" s="2">
        <v>3.6633840000000001E-2</v>
      </c>
    </row>
    <row r="6319" spans="18:20" x14ac:dyDescent="0.45">
      <c r="R6319" s="2">
        <v>79.95</v>
      </c>
      <c r="S6319" s="2">
        <v>6.79419E-2</v>
      </c>
      <c r="T6319" s="2">
        <v>3.66697E-2</v>
      </c>
    </row>
    <row r="6320" spans="18:20" x14ac:dyDescent="0.45">
      <c r="R6320" s="2">
        <v>79.959999999999994</v>
      </c>
      <c r="S6320" s="2">
        <v>6.8007719999999994E-2</v>
      </c>
      <c r="T6320" s="2">
        <v>3.6705559999999998E-2</v>
      </c>
    </row>
    <row r="6321" spans="18:20" x14ac:dyDescent="0.45">
      <c r="R6321" s="2">
        <v>79.97</v>
      </c>
      <c r="S6321" s="2">
        <v>6.8073540000000002E-2</v>
      </c>
      <c r="T6321" s="2">
        <v>3.6741419999999997E-2</v>
      </c>
    </row>
    <row r="6322" spans="18:20" x14ac:dyDescent="0.45">
      <c r="R6322" s="2">
        <v>79.98</v>
      </c>
      <c r="S6322" s="2">
        <v>6.8139359999999996E-2</v>
      </c>
      <c r="T6322" s="2">
        <v>3.6777280000000002E-2</v>
      </c>
    </row>
    <row r="6323" spans="18:20" x14ac:dyDescent="0.45">
      <c r="R6323" s="2">
        <v>79.989999999999995</v>
      </c>
      <c r="S6323" s="2">
        <v>6.8205180000000004E-2</v>
      </c>
      <c r="T6323" s="2">
        <v>3.6813140000000001E-2</v>
      </c>
    </row>
    <row r="6324" spans="18:20" x14ac:dyDescent="0.45">
      <c r="R6324" s="2">
        <v>80</v>
      </c>
      <c r="S6324" s="2">
        <v>6.8270999999999998E-2</v>
      </c>
      <c r="T6324" s="2">
        <v>3.6849E-2</v>
      </c>
    </row>
    <row r="6325" spans="18:20" x14ac:dyDescent="0.45">
      <c r="R6325" s="2">
        <v>80.010000000000005</v>
      </c>
      <c r="S6325" s="2">
        <v>6.8343100000000004E-2</v>
      </c>
      <c r="T6325" s="2">
        <v>3.6888740000000003E-2</v>
      </c>
    </row>
    <row r="6326" spans="18:20" x14ac:dyDescent="0.45">
      <c r="R6326" s="2">
        <v>80.02</v>
      </c>
      <c r="S6326" s="2">
        <v>6.8415199999999995E-2</v>
      </c>
      <c r="T6326" s="2">
        <v>3.692848E-2</v>
      </c>
    </row>
    <row r="6327" spans="18:20" x14ac:dyDescent="0.45">
      <c r="R6327" s="2">
        <v>80.03</v>
      </c>
      <c r="S6327" s="2">
        <v>6.8487300000000001E-2</v>
      </c>
      <c r="T6327" s="2">
        <v>3.6968220000000003E-2</v>
      </c>
    </row>
    <row r="6328" spans="18:20" x14ac:dyDescent="0.45">
      <c r="R6328" s="2">
        <v>80.040000000000006</v>
      </c>
      <c r="S6328" s="2">
        <v>6.8559400000000006E-2</v>
      </c>
      <c r="T6328" s="2">
        <v>3.7007959999999999E-2</v>
      </c>
    </row>
    <row r="6329" spans="18:20" x14ac:dyDescent="0.45">
      <c r="R6329" s="2">
        <v>80.05</v>
      </c>
      <c r="S6329" s="2">
        <v>6.8631499999999998E-2</v>
      </c>
      <c r="T6329" s="2">
        <v>3.7047700000000003E-2</v>
      </c>
    </row>
    <row r="6330" spans="18:20" x14ac:dyDescent="0.45">
      <c r="R6330" s="2">
        <v>80.06</v>
      </c>
      <c r="S6330" s="2">
        <v>6.8703600000000004E-2</v>
      </c>
      <c r="T6330" s="2">
        <v>3.7087439999999999E-2</v>
      </c>
    </row>
    <row r="6331" spans="18:20" x14ac:dyDescent="0.45">
      <c r="R6331" s="2">
        <v>80.069999999999993</v>
      </c>
      <c r="S6331" s="2">
        <v>6.8775699999999995E-2</v>
      </c>
      <c r="T6331" s="2">
        <v>3.7127180000000003E-2</v>
      </c>
    </row>
    <row r="6332" spans="18:20" x14ac:dyDescent="0.45">
      <c r="R6332" s="2">
        <v>80.08</v>
      </c>
      <c r="S6332" s="2">
        <v>6.8847800000000001E-2</v>
      </c>
      <c r="T6332" s="2">
        <v>3.7166919999999999E-2</v>
      </c>
    </row>
    <row r="6333" spans="18:20" x14ac:dyDescent="0.45">
      <c r="R6333" s="2">
        <v>80.09</v>
      </c>
      <c r="S6333" s="2">
        <v>6.8919900000000006E-2</v>
      </c>
      <c r="T6333" s="2">
        <v>3.7206660000000003E-2</v>
      </c>
    </row>
    <row r="6334" spans="18:20" x14ac:dyDescent="0.45">
      <c r="R6334" s="2">
        <v>80.099999999999994</v>
      </c>
      <c r="S6334" s="2">
        <v>6.8991999999999998E-2</v>
      </c>
      <c r="T6334" s="2">
        <v>3.7246399999999999E-2</v>
      </c>
    </row>
    <row r="6335" spans="18:20" x14ac:dyDescent="0.45">
      <c r="R6335" s="2">
        <v>80.11</v>
      </c>
      <c r="S6335" s="2">
        <v>6.9064100000000003E-2</v>
      </c>
      <c r="T6335" s="2">
        <v>3.7286140000000002E-2</v>
      </c>
    </row>
    <row r="6336" spans="18:20" x14ac:dyDescent="0.45">
      <c r="R6336" s="2">
        <v>80.12</v>
      </c>
      <c r="S6336" s="2">
        <v>6.9136199999999995E-2</v>
      </c>
      <c r="T6336" s="2">
        <v>3.7325879999999999E-2</v>
      </c>
    </row>
    <row r="6337" spans="18:20" x14ac:dyDescent="0.45">
      <c r="R6337" s="2">
        <v>80.13</v>
      </c>
      <c r="S6337" s="2">
        <v>6.92083E-2</v>
      </c>
      <c r="T6337" s="2">
        <v>3.7365620000000002E-2</v>
      </c>
    </row>
    <row r="6338" spans="18:20" x14ac:dyDescent="0.45">
      <c r="R6338" s="2">
        <v>80.14</v>
      </c>
      <c r="S6338" s="2">
        <v>6.9280400000000006E-2</v>
      </c>
      <c r="T6338" s="2">
        <v>3.7405359999999999E-2</v>
      </c>
    </row>
    <row r="6339" spans="18:20" x14ac:dyDescent="0.45">
      <c r="R6339" s="2">
        <v>80.150000000000006</v>
      </c>
      <c r="S6339" s="2">
        <v>6.9352499999999997E-2</v>
      </c>
      <c r="T6339" s="2">
        <v>3.7445100000000002E-2</v>
      </c>
    </row>
    <row r="6340" spans="18:20" x14ac:dyDescent="0.45">
      <c r="R6340" s="2">
        <v>80.16</v>
      </c>
      <c r="S6340" s="2">
        <v>6.9424600000000003E-2</v>
      </c>
      <c r="T6340" s="2">
        <v>3.7484839999999998E-2</v>
      </c>
    </row>
    <row r="6341" spans="18:20" x14ac:dyDescent="0.45">
      <c r="R6341" s="2">
        <v>80.17</v>
      </c>
      <c r="S6341" s="2">
        <v>6.9496699999999995E-2</v>
      </c>
      <c r="T6341" s="2">
        <v>3.7524580000000002E-2</v>
      </c>
    </row>
    <row r="6342" spans="18:20" x14ac:dyDescent="0.45">
      <c r="R6342" s="2">
        <v>80.180000000000007</v>
      </c>
      <c r="S6342" s="2">
        <v>6.95688E-2</v>
      </c>
      <c r="T6342" s="2">
        <v>3.7564319999999998E-2</v>
      </c>
    </row>
    <row r="6343" spans="18:20" x14ac:dyDescent="0.45">
      <c r="R6343" s="2">
        <v>80.19</v>
      </c>
      <c r="S6343" s="2">
        <v>6.9640900000000006E-2</v>
      </c>
      <c r="T6343" s="2">
        <v>3.7604060000000002E-2</v>
      </c>
    </row>
    <row r="6344" spans="18:20" x14ac:dyDescent="0.45">
      <c r="R6344" s="2">
        <v>80.2</v>
      </c>
      <c r="S6344" s="2">
        <v>6.9712999999999997E-2</v>
      </c>
      <c r="T6344" s="2">
        <v>3.7643799999999998E-2</v>
      </c>
    </row>
    <row r="6345" spans="18:20" x14ac:dyDescent="0.45">
      <c r="R6345" s="2">
        <v>80.209999999999994</v>
      </c>
      <c r="S6345" s="2">
        <v>6.9785100000000003E-2</v>
      </c>
      <c r="T6345" s="2">
        <v>3.7683540000000001E-2</v>
      </c>
    </row>
    <row r="6346" spans="18:20" x14ac:dyDescent="0.45">
      <c r="R6346" s="2">
        <v>80.22</v>
      </c>
      <c r="S6346" s="2">
        <v>6.9857199999999994E-2</v>
      </c>
      <c r="T6346" s="2">
        <v>3.7723279999999998E-2</v>
      </c>
    </row>
    <row r="6347" spans="18:20" x14ac:dyDescent="0.45">
      <c r="R6347" s="2">
        <v>80.23</v>
      </c>
      <c r="S6347" s="2">
        <v>6.99293E-2</v>
      </c>
      <c r="T6347" s="2">
        <v>3.7763020000000001E-2</v>
      </c>
    </row>
    <row r="6348" spans="18:20" x14ac:dyDescent="0.45">
      <c r="R6348" s="2">
        <v>80.239999999999995</v>
      </c>
      <c r="S6348" s="2">
        <v>7.0001400000000005E-2</v>
      </c>
      <c r="T6348" s="2">
        <v>3.7802759999999998E-2</v>
      </c>
    </row>
    <row r="6349" spans="18:20" x14ac:dyDescent="0.45">
      <c r="R6349" s="2">
        <v>80.25</v>
      </c>
      <c r="S6349" s="2">
        <v>7.0073499999999997E-2</v>
      </c>
      <c r="T6349" s="2">
        <v>3.7842500000000001E-2</v>
      </c>
    </row>
    <row r="6350" spans="18:20" x14ac:dyDescent="0.45">
      <c r="R6350" s="2">
        <v>80.260000000000005</v>
      </c>
      <c r="S6350" s="2">
        <v>7.0145600000000002E-2</v>
      </c>
      <c r="T6350" s="2">
        <v>3.7882239999999998E-2</v>
      </c>
    </row>
    <row r="6351" spans="18:20" x14ac:dyDescent="0.45">
      <c r="R6351" s="2">
        <v>80.27</v>
      </c>
      <c r="S6351" s="2">
        <v>7.0217699999999994E-2</v>
      </c>
      <c r="T6351" s="2">
        <v>3.7921980000000001E-2</v>
      </c>
    </row>
    <row r="6352" spans="18:20" x14ac:dyDescent="0.45">
      <c r="R6352" s="2">
        <v>80.28</v>
      </c>
      <c r="S6352" s="2">
        <v>7.02898E-2</v>
      </c>
      <c r="T6352" s="2">
        <v>3.7961719999999997E-2</v>
      </c>
    </row>
    <row r="6353" spans="18:20" x14ac:dyDescent="0.45">
      <c r="R6353" s="2">
        <v>80.290000000000006</v>
      </c>
      <c r="S6353" s="2">
        <v>7.0361900000000005E-2</v>
      </c>
      <c r="T6353" s="2">
        <v>3.8001460000000001E-2</v>
      </c>
    </row>
    <row r="6354" spans="18:20" x14ac:dyDescent="0.45">
      <c r="R6354" s="2">
        <v>80.3</v>
      </c>
      <c r="S6354" s="2">
        <v>7.0433999999999997E-2</v>
      </c>
      <c r="T6354" s="2">
        <v>3.8041199999999997E-2</v>
      </c>
    </row>
    <row r="6355" spans="18:20" x14ac:dyDescent="0.45">
      <c r="R6355" s="2">
        <v>80.31</v>
      </c>
      <c r="S6355" s="2">
        <v>7.0506100000000002E-2</v>
      </c>
      <c r="T6355" s="2">
        <v>3.8080940000000001E-2</v>
      </c>
    </row>
    <row r="6356" spans="18:20" x14ac:dyDescent="0.45">
      <c r="R6356" s="2">
        <v>80.319999999999993</v>
      </c>
      <c r="S6356" s="2">
        <v>7.0578199999999994E-2</v>
      </c>
      <c r="T6356" s="2">
        <v>3.8120679999999997E-2</v>
      </c>
    </row>
    <row r="6357" spans="18:20" x14ac:dyDescent="0.45">
      <c r="R6357" s="2">
        <v>80.33</v>
      </c>
      <c r="S6357" s="2">
        <v>7.0650299999999999E-2</v>
      </c>
      <c r="T6357" s="2">
        <v>3.816042E-2</v>
      </c>
    </row>
    <row r="6358" spans="18:20" x14ac:dyDescent="0.45">
      <c r="R6358" s="2">
        <v>80.34</v>
      </c>
      <c r="S6358" s="2">
        <v>7.0722400000000005E-2</v>
      </c>
      <c r="T6358" s="2">
        <v>3.8200159999999997E-2</v>
      </c>
    </row>
    <row r="6359" spans="18:20" x14ac:dyDescent="0.45">
      <c r="R6359" s="2">
        <v>80.349999999999994</v>
      </c>
      <c r="S6359" s="2">
        <v>7.0794499999999996E-2</v>
      </c>
      <c r="T6359" s="2">
        <v>3.82399E-2</v>
      </c>
    </row>
    <row r="6360" spans="18:20" x14ac:dyDescent="0.45">
      <c r="R6360" s="2">
        <v>80.36</v>
      </c>
      <c r="S6360" s="2">
        <v>7.0866600000000002E-2</v>
      </c>
      <c r="T6360" s="2">
        <v>3.8279639999999997E-2</v>
      </c>
    </row>
    <row r="6361" spans="18:20" x14ac:dyDescent="0.45">
      <c r="R6361" s="2">
        <v>80.37</v>
      </c>
      <c r="S6361" s="2">
        <v>7.0938699999999993E-2</v>
      </c>
      <c r="T6361" s="2">
        <v>3.831938E-2</v>
      </c>
    </row>
    <row r="6362" spans="18:20" x14ac:dyDescent="0.45">
      <c r="R6362" s="2">
        <v>80.38</v>
      </c>
      <c r="S6362" s="2">
        <v>7.1010799999999999E-2</v>
      </c>
      <c r="T6362" s="2">
        <v>3.8359119999999997E-2</v>
      </c>
    </row>
    <row r="6363" spans="18:20" x14ac:dyDescent="0.45">
      <c r="R6363" s="2">
        <v>80.39</v>
      </c>
      <c r="S6363" s="2">
        <v>7.1082900000000004E-2</v>
      </c>
      <c r="T6363" s="2">
        <v>3.839886E-2</v>
      </c>
    </row>
    <row r="6364" spans="18:20" x14ac:dyDescent="0.45">
      <c r="R6364" s="2">
        <v>80.400000000000006</v>
      </c>
      <c r="S6364" s="2">
        <v>7.1154999999999996E-2</v>
      </c>
      <c r="T6364" s="2">
        <v>3.8438600000000003E-2</v>
      </c>
    </row>
    <row r="6365" spans="18:20" x14ac:dyDescent="0.45">
      <c r="R6365" s="2">
        <v>80.41</v>
      </c>
      <c r="S6365" s="2">
        <v>7.1227100000000002E-2</v>
      </c>
      <c r="T6365" s="2">
        <v>3.847834E-2</v>
      </c>
    </row>
    <row r="6366" spans="18:20" x14ac:dyDescent="0.45">
      <c r="R6366" s="2">
        <v>80.42</v>
      </c>
      <c r="S6366" s="2">
        <v>7.1299199999999993E-2</v>
      </c>
      <c r="T6366" s="2">
        <v>3.8518080000000003E-2</v>
      </c>
    </row>
    <row r="6367" spans="18:20" x14ac:dyDescent="0.45">
      <c r="R6367" s="2">
        <v>80.430000000000007</v>
      </c>
      <c r="S6367" s="2">
        <v>7.1371299999999999E-2</v>
      </c>
      <c r="T6367" s="2">
        <v>3.855782E-2</v>
      </c>
    </row>
    <row r="6368" spans="18:20" x14ac:dyDescent="0.45">
      <c r="R6368" s="2">
        <v>80.44</v>
      </c>
      <c r="S6368" s="2">
        <v>7.1443400000000004E-2</v>
      </c>
      <c r="T6368" s="2">
        <v>3.8597560000000003E-2</v>
      </c>
    </row>
    <row r="6369" spans="18:20" x14ac:dyDescent="0.45">
      <c r="R6369" s="2">
        <v>80.45</v>
      </c>
      <c r="S6369" s="2">
        <v>7.1515499999999996E-2</v>
      </c>
      <c r="T6369" s="2">
        <v>3.8637299999999999E-2</v>
      </c>
    </row>
    <row r="6370" spans="18:20" x14ac:dyDescent="0.45">
      <c r="R6370" s="2">
        <v>80.459999999999994</v>
      </c>
      <c r="S6370" s="2">
        <v>7.1587600000000001E-2</v>
      </c>
      <c r="T6370" s="2">
        <v>3.8677040000000003E-2</v>
      </c>
    </row>
    <row r="6371" spans="18:20" x14ac:dyDescent="0.45">
      <c r="R6371" s="2">
        <v>80.47</v>
      </c>
      <c r="S6371" s="2">
        <v>7.1659700000000007E-2</v>
      </c>
      <c r="T6371" s="2">
        <v>3.8716779999999999E-2</v>
      </c>
    </row>
    <row r="6372" spans="18:20" x14ac:dyDescent="0.45">
      <c r="R6372" s="2">
        <v>80.48</v>
      </c>
      <c r="S6372" s="2">
        <v>7.1731799999999998E-2</v>
      </c>
      <c r="T6372" s="2">
        <v>3.8756520000000003E-2</v>
      </c>
    </row>
    <row r="6373" spans="18:20" x14ac:dyDescent="0.45">
      <c r="R6373" s="2">
        <v>80.489999999999995</v>
      </c>
      <c r="S6373" s="2">
        <v>7.1803900000000004E-2</v>
      </c>
      <c r="T6373" s="2">
        <v>3.8796259999999999E-2</v>
      </c>
    </row>
    <row r="6374" spans="18:20" x14ac:dyDescent="0.45">
      <c r="R6374" s="2">
        <v>80.5</v>
      </c>
      <c r="S6374" s="2">
        <v>7.1875999999999995E-2</v>
      </c>
      <c r="T6374" s="2">
        <v>3.8836000000000002E-2</v>
      </c>
    </row>
    <row r="6375" spans="18:20" x14ac:dyDescent="0.45">
      <c r="R6375" s="2">
        <v>80.510000000000005</v>
      </c>
      <c r="S6375" s="2">
        <v>7.1948100000000001E-2</v>
      </c>
      <c r="T6375" s="2">
        <v>3.8875739999999999E-2</v>
      </c>
    </row>
    <row r="6376" spans="18:20" x14ac:dyDescent="0.45">
      <c r="R6376" s="2">
        <v>80.52</v>
      </c>
      <c r="S6376" s="2">
        <v>7.2020200000000006E-2</v>
      </c>
      <c r="T6376" s="2">
        <v>3.8915480000000002E-2</v>
      </c>
    </row>
    <row r="6377" spans="18:20" x14ac:dyDescent="0.45">
      <c r="R6377" s="2">
        <v>80.53</v>
      </c>
      <c r="S6377" s="2">
        <v>7.2092299999999998E-2</v>
      </c>
      <c r="T6377" s="2">
        <v>3.8955219999999999E-2</v>
      </c>
    </row>
    <row r="6378" spans="18:20" x14ac:dyDescent="0.45">
      <c r="R6378" s="2">
        <v>80.540000000000006</v>
      </c>
      <c r="S6378" s="2">
        <v>7.2164400000000004E-2</v>
      </c>
      <c r="T6378" s="2">
        <v>3.8994960000000002E-2</v>
      </c>
    </row>
    <row r="6379" spans="18:20" x14ac:dyDescent="0.45">
      <c r="R6379" s="2">
        <v>80.55</v>
      </c>
      <c r="S6379" s="2">
        <v>7.2236499999999995E-2</v>
      </c>
      <c r="T6379" s="2">
        <v>3.9034699999999999E-2</v>
      </c>
    </row>
    <row r="6380" spans="18:20" x14ac:dyDescent="0.45">
      <c r="R6380" s="2">
        <v>80.56</v>
      </c>
      <c r="S6380" s="2">
        <v>7.2308600000000001E-2</v>
      </c>
      <c r="T6380" s="2">
        <v>3.9074440000000002E-2</v>
      </c>
    </row>
    <row r="6381" spans="18:20" x14ac:dyDescent="0.45">
      <c r="R6381" s="2">
        <v>80.569999999999993</v>
      </c>
      <c r="S6381" s="2">
        <v>7.2380700000000006E-2</v>
      </c>
      <c r="T6381" s="2">
        <v>3.9114179999999998E-2</v>
      </c>
    </row>
    <row r="6382" spans="18:20" x14ac:dyDescent="0.45">
      <c r="R6382" s="2">
        <v>80.58</v>
      </c>
      <c r="S6382" s="2">
        <v>7.2452799999999998E-2</v>
      </c>
      <c r="T6382" s="2">
        <v>3.9153920000000002E-2</v>
      </c>
    </row>
    <row r="6383" spans="18:20" x14ac:dyDescent="0.45">
      <c r="R6383" s="2">
        <v>80.59</v>
      </c>
      <c r="S6383" s="2">
        <v>7.2524900000000003E-2</v>
      </c>
      <c r="T6383" s="2">
        <v>3.9193659999999998E-2</v>
      </c>
    </row>
    <row r="6384" spans="18:20" x14ac:dyDescent="0.45">
      <c r="R6384" s="2">
        <v>80.599999999999994</v>
      </c>
      <c r="S6384" s="2">
        <v>7.2596999999999995E-2</v>
      </c>
      <c r="T6384" s="2">
        <v>3.9233400000000002E-2</v>
      </c>
    </row>
    <row r="6385" spans="18:20" x14ac:dyDescent="0.45">
      <c r="R6385" s="2">
        <v>80.61</v>
      </c>
      <c r="S6385" s="2">
        <v>7.26691E-2</v>
      </c>
      <c r="T6385" s="2">
        <v>3.9273139999999998E-2</v>
      </c>
    </row>
    <row r="6386" spans="18:20" x14ac:dyDescent="0.45">
      <c r="R6386" s="2">
        <v>80.62</v>
      </c>
      <c r="S6386" s="2">
        <v>7.2741200000000006E-2</v>
      </c>
      <c r="T6386" s="2">
        <v>3.9312880000000001E-2</v>
      </c>
    </row>
    <row r="6387" spans="18:20" x14ac:dyDescent="0.45">
      <c r="R6387" s="2">
        <v>80.63</v>
      </c>
      <c r="S6387" s="2">
        <v>7.2813299999999997E-2</v>
      </c>
      <c r="T6387" s="2">
        <v>3.9352619999999998E-2</v>
      </c>
    </row>
    <row r="6388" spans="18:20" x14ac:dyDescent="0.45">
      <c r="R6388" s="2">
        <v>80.64</v>
      </c>
      <c r="S6388" s="2">
        <v>7.2885400000000003E-2</v>
      </c>
      <c r="T6388" s="2">
        <v>3.9392360000000001E-2</v>
      </c>
    </row>
    <row r="6389" spans="18:20" x14ac:dyDescent="0.45">
      <c r="R6389" s="2">
        <v>80.650000000000006</v>
      </c>
      <c r="S6389" s="2">
        <v>7.2957499999999995E-2</v>
      </c>
      <c r="T6389" s="2">
        <v>3.9432099999999998E-2</v>
      </c>
    </row>
    <row r="6390" spans="18:20" x14ac:dyDescent="0.45">
      <c r="R6390" s="2">
        <v>80.66</v>
      </c>
      <c r="S6390" s="2">
        <v>7.30296E-2</v>
      </c>
      <c r="T6390" s="2">
        <v>3.9471840000000001E-2</v>
      </c>
    </row>
    <row r="6391" spans="18:20" x14ac:dyDescent="0.45">
      <c r="R6391" s="2">
        <v>80.67</v>
      </c>
      <c r="S6391" s="2">
        <v>7.3101700000000006E-2</v>
      </c>
      <c r="T6391" s="2">
        <v>3.9511579999999998E-2</v>
      </c>
    </row>
    <row r="6392" spans="18:20" x14ac:dyDescent="0.45">
      <c r="R6392" s="2">
        <v>80.680000000000007</v>
      </c>
      <c r="S6392" s="2">
        <v>7.3173799999999997E-2</v>
      </c>
      <c r="T6392" s="2">
        <v>3.9551320000000001E-2</v>
      </c>
    </row>
    <row r="6393" spans="18:20" x14ac:dyDescent="0.45">
      <c r="R6393" s="2">
        <v>80.69</v>
      </c>
      <c r="S6393" s="2">
        <v>7.3245900000000003E-2</v>
      </c>
      <c r="T6393" s="2">
        <v>3.9591059999999997E-2</v>
      </c>
    </row>
    <row r="6394" spans="18:20" x14ac:dyDescent="0.45">
      <c r="R6394" s="2">
        <v>80.7</v>
      </c>
      <c r="S6394" s="2">
        <v>7.3317999999999994E-2</v>
      </c>
      <c r="T6394" s="2">
        <v>3.9630800000000001E-2</v>
      </c>
    </row>
    <row r="6395" spans="18:20" x14ac:dyDescent="0.45">
      <c r="R6395" s="2">
        <v>80.709999999999994</v>
      </c>
      <c r="S6395" s="2">
        <v>7.33901E-2</v>
      </c>
      <c r="T6395" s="2">
        <v>3.9670539999999997E-2</v>
      </c>
    </row>
    <row r="6396" spans="18:20" x14ac:dyDescent="0.45">
      <c r="R6396" s="2">
        <v>80.72</v>
      </c>
      <c r="S6396" s="2">
        <v>7.3462200000000005E-2</v>
      </c>
      <c r="T6396" s="2">
        <v>3.9710280000000001E-2</v>
      </c>
    </row>
    <row r="6397" spans="18:20" x14ac:dyDescent="0.45">
      <c r="R6397" s="2">
        <v>80.73</v>
      </c>
      <c r="S6397" s="2">
        <v>7.3534299999999997E-2</v>
      </c>
      <c r="T6397" s="2">
        <v>3.9750019999999997E-2</v>
      </c>
    </row>
    <row r="6398" spans="18:20" x14ac:dyDescent="0.45">
      <c r="R6398" s="2">
        <v>80.739999999999995</v>
      </c>
      <c r="S6398" s="2">
        <v>7.3606400000000002E-2</v>
      </c>
      <c r="T6398" s="2">
        <v>3.978976E-2</v>
      </c>
    </row>
    <row r="6399" spans="18:20" x14ac:dyDescent="0.45">
      <c r="R6399" s="2">
        <v>80.75</v>
      </c>
      <c r="S6399" s="2">
        <v>7.3678499999999994E-2</v>
      </c>
      <c r="T6399" s="2">
        <v>3.9829499999999997E-2</v>
      </c>
    </row>
    <row r="6400" spans="18:20" x14ac:dyDescent="0.45">
      <c r="R6400" s="2">
        <v>80.760000000000005</v>
      </c>
      <c r="S6400" s="2">
        <v>7.3750599999999999E-2</v>
      </c>
      <c r="T6400" s="2">
        <v>3.986924E-2</v>
      </c>
    </row>
    <row r="6401" spans="18:20" x14ac:dyDescent="0.45">
      <c r="R6401" s="2">
        <v>80.77</v>
      </c>
      <c r="S6401" s="2">
        <v>7.3822700000000005E-2</v>
      </c>
      <c r="T6401" s="2">
        <v>3.9908979999999997E-2</v>
      </c>
    </row>
    <row r="6402" spans="18:20" x14ac:dyDescent="0.45">
      <c r="R6402" s="2">
        <v>80.78</v>
      </c>
      <c r="S6402" s="2">
        <v>7.3894799999999997E-2</v>
      </c>
      <c r="T6402" s="2">
        <v>3.994872E-2</v>
      </c>
    </row>
    <row r="6403" spans="18:20" x14ac:dyDescent="0.45">
      <c r="R6403" s="2">
        <v>80.790000000000006</v>
      </c>
      <c r="S6403" s="2">
        <v>7.3966900000000002E-2</v>
      </c>
      <c r="T6403" s="2">
        <v>3.9988460000000003E-2</v>
      </c>
    </row>
    <row r="6404" spans="18:20" x14ac:dyDescent="0.45">
      <c r="R6404" s="2">
        <v>80.8</v>
      </c>
      <c r="S6404" s="2">
        <v>7.4038999999999994E-2</v>
      </c>
      <c r="T6404" s="2">
        <v>4.00282E-2</v>
      </c>
    </row>
    <row r="6405" spans="18:20" x14ac:dyDescent="0.45">
      <c r="R6405" s="2">
        <v>80.81</v>
      </c>
      <c r="S6405" s="2">
        <v>7.4111099999999999E-2</v>
      </c>
      <c r="T6405" s="2">
        <v>4.0067940000000003E-2</v>
      </c>
    </row>
    <row r="6406" spans="18:20" x14ac:dyDescent="0.45">
      <c r="R6406" s="2">
        <v>80.819999999999993</v>
      </c>
      <c r="S6406" s="2">
        <v>7.4183200000000005E-2</v>
      </c>
      <c r="T6406" s="2">
        <v>4.010768E-2</v>
      </c>
    </row>
    <row r="6407" spans="18:20" x14ac:dyDescent="0.45">
      <c r="R6407" s="2">
        <v>80.83</v>
      </c>
      <c r="S6407" s="2">
        <v>7.4255299999999996E-2</v>
      </c>
      <c r="T6407" s="2">
        <v>4.0147420000000003E-2</v>
      </c>
    </row>
    <row r="6408" spans="18:20" x14ac:dyDescent="0.45">
      <c r="R6408" s="2">
        <v>80.84</v>
      </c>
      <c r="S6408" s="2">
        <v>7.4327400000000002E-2</v>
      </c>
      <c r="T6408" s="2">
        <v>4.018716E-2</v>
      </c>
    </row>
    <row r="6409" spans="18:20" x14ac:dyDescent="0.45">
      <c r="R6409" s="2">
        <v>80.849999999999994</v>
      </c>
      <c r="S6409" s="2">
        <v>7.4399499999999993E-2</v>
      </c>
      <c r="T6409" s="2">
        <v>4.0226900000000003E-2</v>
      </c>
    </row>
    <row r="6410" spans="18:20" x14ac:dyDescent="0.45">
      <c r="R6410" s="2">
        <v>80.86</v>
      </c>
      <c r="S6410" s="2">
        <v>7.4471599999999999E-2</v>
      </c>
      <c r="T6410" s="2">
        <v>4.0266639999999999E-2</v>
      </c>
    </row>
    <row r="6411" spans="18:20" x14ac:dyDescent="0.45">
      <c r="R6411" s="2">
        <v>80.87</v>
      </c>
      <c r="S6411" s="2">
        <v>7.4543700000000004E-2</v>
      </c>
      <c r="T6411" s="2">
        <v>4.0306380000000003E-2</v>
      </c>
    </row>
    <row r="6412" spans="18:20" x14ac:dyDescent="0.45">
      <c r="R6412" s="2">
        <v>80.88</v>
      </c>
      <c r="S6412" s="2">
        <v>7.4615799999999996E-2</v>
      </c>
      <c r="T6412" s="2">
        <v>4.0346119999999999E-2</v>
      </c>
    </row>
    <row r="6413" spans="18:20" x14ac:dyDescent="0.45">
      <c r="R6413" s="2">
        <v>80.89</v>
      </c>
      <c r="S6413" s="2">
        <v>7.4687900000000002E-2</v>
      </c>
      <c r="T6413" s="2">
        <v>4.0385860000000003E-2</v>
      </c>
    </row>
    <row r="6414" spans="18:20" x14ac:dyDescent="0.45">
      <c r="R6414" s="2">
        <v>80.900000000000006</v>
      </c>
      <c r="S6414" s="2">
        <v>7.4759999999999993E-2</v>
      </c>
      <c r="T6414" s="2">
        <v>4.0425599999999999E-2</v>
      </c>
    </row>
    <row r="6415" spans="18:20" x14ac:dyDescent="0.45">
      <c r="R6415" s="2">
        <v>80.91</v>
      </c>
      <c r="S6415" s="2">
        <v>7.4832099999999999E-2</v>
      </c>
      <c r="T6415" s="2">
        <v>4.0465340000000002E-2</v>
      </c>
    </row>
    <row r="6416" spans="18:20" x14ac:dyDescent="0.45">
      <c r="R6416" s="2">
        <v>80.92</v>
      </c>
      <c r="S6416" s="2">
        <v>7.4904200000000004E-2</v>
      </c>
      <c r="T6416" s="2">
        <v>4.0505079999999999E-2</v>
      </c>
    </row>
    <row r="6417" spans="18:20" x14ac:dyDescent="0.45">
      <c r="R6417" s="2">
        <v>80.930000000000007</v>
      </c>
      <c r="S6417" s="2">
        <v>7.4976299999999996E-2</v>
      </c>
      <c r="T6417" s="2">
        <v>4.0544820000000002E-2</v>
      </c>
    </row>
    <row r="6418" spans="18:20" x14ac:dyDescent="0.45">
      <c r="R6418" s="2">
        <v>80.94</v>
      </c>
      <c r="S6418" s="2">
        <v>7.5048400000000001E-2</v>
      </c>
      <c r="T6418" s="2">
        <v>4.0584559999999999E-2</v>
      </c>
    </row>
    <row r="6419" spans="18:20" x14ac:dyDescent="0.45">
      <c r="R6419" s="2">
        <v>80.95</v>
      </c>
      <c r="S6419" s="2">
        <v>7.5120500000000007E-2</v>
      </c>
      <c r="T6419" s="2">
        <v>4.0624300000000002E-2</v>
      </c>
    </row>
    <row r="6420" spans="18:20" x14ac:dyDescent="0.45">
      <c r="R6420" s="2">
        <v>80.959999999999994</v>
      </c>
      <c r="S6420" s="2">
        <v>7.5192599999999998E-2</v>
      </c>
      <c r="T6420" s="2">
        <v>4.0664039999999999E-2</v>
      </c>
    </row>
    <row r="6421" spans="18:20" x14ac:dyDescent="0.45">
      <c r="R6421" s="2">
        <v>80.97</v>
      </c>
      <c r="S6421" s="2">
        <v>7.5264700000000004E-2</v>
      </c>
      <c r="T6421" s="2">
        <v>4.0703780000000002E-2</v>
      </c>
    </row>
    <row r="6422" spans="18:20" x14ac:dyDescent="0.45">
      <c r="R6422" s="2">
        <v>80.98</v>
      </c>
      <c r="S6422" s="2">
        <v>7.5336799999999995E-2</v>
      </c>
      <c r="T6422" s="2">
        <v>4.0743519999999998E-2</v>
      </c>
    </row>
    <row r="6423" spans="18:20" x14ac:dyDescent="0.45">
      <c r="R6423" s="2">
        <v>80.989999999999995</v>
      </c>
      <c r="S6423" s="2">
        <v>7.5408900000000001E-2</v>
      </c>
      <c r="T6423" s="2">
        <v>4.0783260000000002E-2</v>
      </c>
    </row>
    <row r="6424" spans="18:20" x14ac:dyDescent="0.45">
      <c r="R6424" s="2">
        <v>81</v>
      </c>
      <c r="S6424" s="2">
        <v>7.5481000000000006E-2</v>
      </c>
      <c r="T6424" s="2">
        <v>4.0822999999999998E-2</v>
      </c>
    </row>
    <row r="6425" spans="18:20" x14ac:dyDescent="0.45">
      <c r="R6425" s="2">
        <v>81.010000000000005</v>
      </c>
      <c r="S6425" s="2">
        <v>7.5559909999999994E-2</v>
      </c>
      <c r="T6425" s="2">
        <v>4.0867050000000002E-2</v>
      </c>
    </row>
    <row r="6426" spans="18:20" x14ac:dyDescent="0.45">
      <c r="R6426" s="2">
        <v>81.02</v>
      </c>
      <c r="S6426" s="2">
        <v>7.5638819999999996E-2</v>
      </c>
      <c r="T6426" s="2">
        <v>4.0911099999999999E-2</v>
      </c>
    </row>
    <row r="6427" spans="18:20" x14ac:dyDescent="0.45">
      <c r="R6427" s="2">
        <v>81.03</v>
      </c>
      <c r="S6427" s="2">
        <v>7.5717729999999997E-2</v>
      </c>
      <c r="T6427" s="2">
        <v>4.0955150000000003E-2</v>
      </c>
    </row>
    <row r="6428" spans="18:20" x14ac:dyDescent="0.45">
      <c r="R6428" s="2">
        <v>81.040000000000006</v>
      </c>
      <c r="S6428" s="2">
        <v>7.5796639999999998E-2</v>
      </c>
      <c r="T6428" s="2">
        <v>4.09992E-2</v>
      </c>
    </row>
    <row r="6429" spans="18:20" x14ac:dyDescent="0.45">
      <c r="R6429" s="2">
        <v>81.05</v>
      </c>
      <c r="S6429" s="2">
        <v>7.587555E-2</v>
      </c>
      <c r="T6429" s="2">
        <v>4.1043250000000003E-2</v>
      </c>
    </row>
    <row r="6430" spans="18:20" x14ac:dyDescent="0.45">
      <c r="R6430" s="2">
        <v>81.06</v>
      </c>
      <c r="S6430" s="2">
        <v>7.5954460000000001E-2</v>
      </c>
      <c r="T6430" s="2">
        <v>4.10873E-2</v>
      </c>
    </row>
    <row r="6431" spans="18:20" x14ac:dyDescent="0.45">
      <c r="R6431" s="2">
        <v>81.069999999999993</v>
      </c>
      <c r="S6431" s="2">
        <v>7.6033370000000003E-2</v>
      </c>
      <c r="T6431" s="2">
        <v>4.1131349999999997E-2</v>
      </c>
    </row>
    <row r="6432" spans="18:20" x14ac:dyDescent="0.45">
      <c r="R6432" s="2">
        <v>81.08</v>
      </c>
      <c r="S6432" s="2">
        <v>7.6112280000000004E-2</v>
      </c>
      <c r="T6432" s="2">
        <v>4.1175400000000001E-2</v>
      </c>
    </row>
    <row r="6433" spans="18:20" x14ac:dyDescent="0.45">
      <c r="R6433" s="2">
        <v>81.09</v>
      </c>
      <c r="S6433" s="2">
        <v>7.6191190000000006E-2</v>
      </c>
      <c r="T6433" s="2">
        <v>4.1219449999999998E-2</v>
      </c>
    </row>
    <row r="6434" spans="18:20" x14ac:dyDescent="0.45">
      <c r="R6434" s="2">
        <v>81.099999999999994</v>
      </c>
      <c r="S6434" s="2">
        <v>7.6270099999999993E-2</v>
      </c>
      <c r="T6434" s="2">
        <v>4.1263500000000002E-2</v>
      </c>
    </row>
    <row r="6435" spans="18:20" x14ac:dyDescent="0.45">
      <c r="R6435" s="2">
        <v>81.11</v>
      </c>
      <c r="S6435" s="2">
        <v>7.6349009999999995E-2</v>
      </c>
      <c r="T6435" s="2">
        <v>4.1307549999999998E-2</v>
      </c>
    </row>
    <row r="6436" spans="18:20" x14ac:dyDescent="0.45">
      <c r="R6436" s="2">
        <v>81.12</v>
      </c>
      <c r="S6436" s="2">
        <v>7.6427919999999996E-2</v>
      </c>
      <c r="T6436" s="2">
        <v>4.1351600000000002E-2</v>
      </c>
    </row>
    <row r="6437" spans="18:20" x14ac:dyDescent="0.45">
      <c r="R6437" s="2">
        <v>81.13</v>
      </c>
      <c r="S6437" s="2">
        <v>7.6506829999999998E-2</v>
      </c>
      <c r="T6437" s="2">
        <v>4.1395649999999999E-2</v>
      </c>
    </row>
    <row r="6438" spans="18:20" x14ac:dyDescent="0.45">
      <c r="R6438" s="2">
        <v>81.14</v>
      </c>
      <c r="S6438" s="2">
        <v>7.6585739999999999E-2</v>
      </c>
      <c r="T6438" s="2">
        <v>4.1439700000000003E-2</v>
      </c>
    </row>
    <row r="6439" spans="18:20" x14ac:dyDescent="0.45">
      <c r="R6439" s="2">
        <v>81.150000000000006</v>
      </c>
      <c r="S6439" s="2">
        <v>7.6664650000000001E-2</v>
      </c>
      <c r="T6439" s="2">
        <v>4.148375E-2</v>
      </c>
    </row>
    <row r="6440" spans="18:20" x14ac:dyDescent="0.45">
      <c r="R6440" s="2">
        <v>81.16</v>
      </c>
      <c r="S6440" s="2">
        <v>7.6743560000000002E-2</v>
      </c>
      <c r="T6440" s="2">
        <v>4.1527799999999997E-2</v>
      </c>
    </row>
    <row r="6441" spans="18:20" x14ac:dyDescent="0.45">
      <c r="R6441" s="2">
        <v>81.17</v>
      </c>
      <c r="S6441" s="2">
        <v>7.6822470000000004E-2</v>
      </c>
      <c r="T6441" s="2">
        <v>4.157185E-2</v>
      </c>
    </row>
    <row r="6442" spans="18:20" x14ac:dyDescent="0.45">
      <c r="R6442" s="2">
        <v>81.180000000000007</v>
      </c>
      <c r="S6442" s="2">
        <v>7.6901380000000005E-2</v>
      </c>
      <c r="T6442" s="2">
        <v>4.1615899999999997E-2</v>
      </c>
    </row>
    <row r="6443" spans="18:20" x14ac:dyDescent="0.45">
      <c r="R6443" s="2">
        <v>81.19</v>
      </c>
      <c r="S6443" s="2">
        <v>7.6980290000000007E-2</v>
      </c>
      <c r="T6443" s="2">
        <v>4.1659950000000001E-2</v>
      </c>
    </row>
    <row r="6444" spans="18:20" x14ac:dyDescent="0.45">
      <c r="R6444" s="2">
        <v>81.2</v>
      </c>
      <c r="S6444" s="2">
        <v>7.7059199999999994E-2</v>
      </c>
      <c r="T6444" s="2">
        <v>4.1703999999999998E-2</v>
      </c>
    </row>
    <row r="6445" spans="18:20" x14ac:dyDescent="0.45">
      <c r="R6445" s="2">
        <v>81.209999999999994</v>
      </c>
      <c r="S6445" s="2">
        <v>7.7138109999999996E-2</v>
      </c>
      <c r="T6445" s="2">
        <v>4.1748050000000002E-2</v>
      </c>
    </row>
    <row r="6446" spans="18:20" x14ac:dyDescent="0.45">
      <c r="R6446" s="2">
        <v>81.22</v>
      </c>
      <c r="S6446" s="2">
        <v>7.7217019999999997E-2</v>
      </c>
      <c r="T6446" s="2">
        <v>4.1792099999999999E-2</v>
      </c>
    </row>
    <row r="6447" spans="18:20" x14ac:dyDescent="0.45">
      <c r="R6447" s="2">
        <v>81.23</v>
      </c>
      <c r="S6447" s="2">
        <v>7.7295929999999999E-2</v>
      </c>
      <c r="T6447" s="2">
        <v>4.1836150000000003E-2</v>
      </c>
    </row>
    <row r="6448" spans="18:20" x14ac:dyDescent="0.45">
      <c r="R6448" s="2">
        <v>81.239999999999995</v>
      </c>
      <c r="S6448" s="2">
        <v>7.737484E-2</v>
      </c>
      <c r="T6448" s="2">
        <v>4.1880199999999999E-2</v>
      </c>
    </row>
    <row r="6449" spans="18:20" x14ac:dyDescent="0.45">
      <c r="R6449" s="2">
        <v>81.25</v>
      </c>
      <c r="S6449" s="2">
        <v>7.7453750000000002E-2</v>
      </c>
      <c r="T6449" s="2">
        <v>4.1924250000000003E-2</v>
      </c>
    </row>
    <row r="6450" spans="18:20" x14ac:dyDescent="0.45">
      <c r="R6450" s="2">
        <v>81.260000000000005</v>
      </c>
      <c r="S6450" s="2">
        <v>7.7532660000000003E-2</v>
      </c>
      <c r="T6450" s="2">
        <v>4.19683E-2</v>
      </c>
    </row>
    <row r="6451" spans="18:20" x14ac:dyDescent="0.45">
      <c r="R6451" s="2">
        <v>81.27</v>
      </c>
      <c r="S6451" s="2">
        <v>7.7611570000000005E-2</v>
      </c>
      <c r="T6451" s="2">
        <v>4.2012349999999997E-2</v>
      </c>
    </row>
    <row r="6452" spans="18:20" x14ac:dyDescent="0.45">
      <c r="R6452" s="2">
        <v>81.28</v>
      </c>
      <c r="S6452" s="2">
        <v>7.7690480000000006E-2</v>
      </c>
      <c r="T6452" s="2">
        <v>4.2056400000000001E-2</v>
      </c>
    </row>
    <row r="6453" spans="18:20" x14ac:dyDescent="0.45">
      <c r="R6453" s="2">
        <v>81.290000000000006</v>
      </c>
      <c r="S6453" s="2">
        <v>7.7769389999999994E-2</v>
      </c>
      <c r="T6453" s="2">
        <v>4.2100449999999998E-2</v>
      </c>
    </row>
    <row r="6454" spans="18:20" x14ac:dyDescent="0.45">
      <c r="R6454" s="2">
        <v>81.3</v>
      </c>
      <c r="S6454" s="2">
        <v>7.7848299999999995E-2</v>
      </c>
      <c r="T6454" s="2">
        <v>4.2144500000000001E-2</v>
      </c>
    </row>
    <row r="6455" spans="18:20" x14ac:dyDescent="0.45">
      <c r="R6455" s="2">
        <v>81.31</v>
      </c>
      <c r="S6455" s="2">
        <v>7.7927209999999997E-2</v>
      </c>
      <c r="T6455" s="2">
        <v>4.2188549999999998E-2</v>
      </c>
    </row>
    <row r="6456" spans="18:20" x14ac:dyDescent="0.45">
      <c r="R6456" s="2">
        <v>81.319999999999993</v>
      </c>
      <c r="S6456" s="2">
        <v>7.8006119999999998E-2</v>
      </c>
      <c r="T6456" s="2">
        <v>4.2232600000000002E-2</v>
      </c>
    </row>
    <row r="6457" spans="18:20" x14ac:dyDescent="0.45">
      <c r="R6457" s="2">
        <v>81.33</v>
      </c>
      <c r="S6457" s="2">
        <v>7.808503E-2</v>
      </c>
      <c r="T6457" s="2">
        <v>4.2276649999999999E-2</v>
      </c>
    </row>
    <row r="6458" spans="18:20" x14ac:dyDescent="0.45">
      <c r="R6458" s="2">
        <v>81.34</v>
      </c>
      <c r="S6458" s="2">
        <v>7.8163940000000001E-2</v>
      </c>
      <c r="T6458" s="2">
        <v>4.2320700000000003E-2</v>
      </c>
    </row>
    <row r="6459" spans="18:20" x14ac:dyDescent="0.45">
      <c r="R6459" s="2">
        <v>81.349999999999994</v>
      </c>
      <c r="S6459" s="2">
        <v>7.8242850000000003E-2</v>
      </c>
      <c r="T6459" s="2">
        <v>4.236475E-2</v>
      </c>
    </row>
    <row r="6460" spans="18:20" x14ac:dyDescent="0.45">
      <c r="R6460" s="2">
        <v>81.36</v>
      </c>
      <c r="S6460" s="2">
        <v>7.8321760000000004E-2</v>
      </c>
      <c r="T6460" s="2">
        <v>4.2408800000000003E-2</v>
      </c>
    </row>
    <row r="6461" spans="18:20" x14ac:dyDescent="0.45">
      <c r="R6461" s="2">
        <v>81.37</v>
      </c>
      <c r="S6461" s="2">
        <v>7.8400670000000006E-2</v>
      </c>
      <c r="T6461" s="2">
        <v>4.245285E-2</v>
      </c>
    </row>
    <row r="6462" spans="18:20" x14ac:dyDescent="0.45">
      <c r="R6462" s="2">
        <v>81.38</v>
      </c>
      <c r="S6462" s="2">
        <v>7.8479579999999993E-2</v>
      </c>
      <c r="T6462" s="2">
        <v>4.2496899999999997E-2</v>
      </c>
    </row>
    <row r="6463" spans="18:20" x14ac:dyDescent="0.45">
      <c r="R6463" s="2">
        <v>81.39</v>
      </c>
      <c r="S6463" s="2">
        <v>7.8558489999999995E-2</v>
      </c>
      <c r="T6463" s="2">
        <v>4.2540950000000001E-2</v>
      </c>
    </row>
    <row r="6464" spans="18:20" x14ac:dyDescent="0.45">
      <c r="R6464" s="2">
        <v>81.400000000000006</v>
      </c>
      <c r="S6464" s="2">
        <v>7.8637399999999996E-2</v>
      </c>
      <c r="T6464" s="2">
        <v>4.2584999999999998E-2</v>
      </c>
    </row>
    <row r="6465" spans="18:20" x14ac:dyDescent="0.45">
      <c r="R6465" s="2">
        <v>81.41</v>
      </c>
      <c r="S6465" s="2">
        <v>7.8716309999999998E-2</v>
      </c>
      <c r="T6465" s="2">
        <v>4.2629050000000002E-2</v>
      </c>
    </row>
    <row r="6466" spans="18:20" x14ac:dyDescent="0.45">
      <c r="R6466" s="2">
        <v>81.42</v>
      </c>
      <c r="S6466" s="2">
        <v>7.8795219999999999E-2</v>
      </c>
      <c r="T6466" s="2">
        <v>4.2673099999999999E-2</v>
      </c>
    </row>
    <row r="6467" spans="18:20" x14ac:dyDescent="0.45">
      <c r="R6467" s="2">
        <v>81.430000000000007</v>
      </c>
      <c r="S6467" s="2">
        <v>7.8874130000000001E-2</v>
      </c>
      <c r="T6467" s="2">
        <v>4.2717150000000002E-2</v>
      </c>
    </row>
    <row r="6468" spans="18:20" x14ac:dyDescent="0.45">
      <c r="R6468" s="2">
        <v>81.44</v>
      </c>
      <c r="S6468" s="2">
        <v>7.8953040000000002E-2</v>
      </c>
      <c r="T6468" s="2">
        <v>4.2761199999999999E-2</v>
      </c>
    </row>
    <row r="6469" spans="18:20" x14ac:dyDescent="0.45">
      <c r="R6469" s="2">
        <v>81.45</v>
      </c>
      <c r="S6469" s="2">
        <v>7.9031950000000004E-2</v>
      </c>
      <c r="T6469" s="2">
        <v>4.2805250000000003E-2</v>
      </c>
    </row>
    <row r="6470" spans="18:20" x14ac:dyDescent="0.45">
      <c r="R6470" s="2">
        <v>81.459999999999994</v>
      </c>
      <c r="S6470" s="2">
        <v>7.9110860000000005E-2</v>
      </c>
      <c r="T6470" s="2">
        <v>4.28493E-2</v>
      </c>
    </row>
    <row r="6471" spans="18:20" x14ac:dyDescent="0.45">
      <c r="R6471" s="2">
        <v>81.47</v>
      </c>
      <c r="S6471" s="2">
        <v>7.9189770000000007E-2</v>
      </c>
      <c r="T6471" s="2">
        <v>4.2893349999999997E-2</v>
      </c>
    </row>
    <row r="6472" spans="18:20" x14ac:dyDescent="0.45">
      <c r="R6472" s="2">
        <v>81.48</v>
      </c>
      <c r="S6472" s="2">
        <v>7.9268679999999994E-2</v>
      </c>
      <c r="T6472" s="2">
        <v>4.2937400000000001E-2</v>
      </c>
    </row>
    <row r="6473" spans="18:20" x14ac:dyDescent="0.45">
      <c r="R6473" s="2">
        <v>81.489999999999995</v>
      </c>
      <c r="S6473" s="2">
        <v>7.9347589999999996E-2</v>
      </c>
      <c r="T6473" s="2">
        <v>4.2981449999999997E-2</v>
      </c>
    </row>
    <row r="6474" spans="18:20" x14ac:dyDescent="0.45">
      <c r="R6474" s="2">
        <v>81.5</v>
      </c>
      <c r="S6474" s="2">
        <v>7.9426499999999997E-2</v>
      </c>
      <c r="T6474" s="2">
        <v>4.3025500000000001E-2</v>
      </c>
    </row>
    <row r="6475" spans="18:20" x14ac:dyDescent="0.45">
      <c r="R6475" s="2">
        <v>81.510000000000005</v>
      </c>
      <c r="S6475" s="2">
        <v>7.9505409999999999E-2</v>
      </c>
      <c r="T6475" s="2">
        <v>4.3069549999999998E-2</v>
      </c>
    </row>
    <row r="6476" spans="18:20" x14ac:dyDescent="0.45">
      <c r="R6476" s="2">
        <v>81.52</v>
      </c>
      <c r="S6476" s="2">
        <v>7.958432E-2</v>
      </c>
      <c r="T6476" s="2">
        <v>4.3113600000000002E-2</v>
      </c>
    </row>
    <row r="6477" spans="18:20" x14ac:dyDescent="0.45">
      <c r="R6477" s="2">
        <v>81.53</v>
      </c>
      <c r="S6477" s="2">
        <v>7.9663230000000002E-2</v>
      </c>
      <c r="T6477" s="2">
        <v>4.3157649999999999E-2</v>
      </c>
    </row>
    <row r="6478" spans="18:20" x14ac:dyDescent="0.45">
      <c r="R6478" s="2">
        <v>81.540000000000006</v>
      </c>
      <c r="S6478" s="2">
        <v>7.9742140000000003E-2</v>
      </c>
      <c r="T6478" s="2">
        <v>4.3201700000000003E-2</v>
      </c>
    </row>
    <row r="6479" spans="18:20" x14ac:dyDescent="0.45">
      <c r="R6479" s="2">
        <v>81.55</v>
      </c>
      <c r="S6479" s="2">
        <v>7.9821050000000004E-2</v>
      </c>
      <c r="T6479" s="2">
        <v>4.3245749999999999E-2</v>
      </c>
    </row>
    <row r="6480" spans="18:20" x14ac:dyDescent="0.45">
      <c r="R6480" s="2">
        <v>81.56</v>
      </c>
      <c r="S6480" s="2">
        <v>7.9899960000000006E-2</v>
      </c>
      <c r="T6480" s="2">
        <v>4.3289800000000003E-2</v>
      </c>
    </row>
    <row r="6481" spans="18:20" x14ac:dyDescent="0.45">
      <c r="R6481" s="2">
        <v>81.569999999999993</v>
      </c>
      <c r="S6481" s="2">
        <v>7.9978869999999994E-2</v>
      </c>
      <c r="T6481" s="2">
        <v>4.333385E-2</v>
      </c>
    </row>
    <row r="6482" spans="18:20" x14ac:dyDescent="0.45">
      <c r="R6482" s="2">
        <v>81.58</v>
      </c>
      <c r="S6482" s="2">
        <v>8.0057779999999995E-2</v>
      </c>
      <c r="T6482" s="2">
        <v>4.3377899999999997E-2</v>
      </c>
    </row>
    <row r="6483" spans="18:20" x14ac:dyDescent="0.45">
      <c r="R6483" s="2">
        <v>81.59</v>
      </c>
      <c r="S6483" s="2">
        <v>8.0136689999999997E-2</v>
      </c>
      <c r="T6483" s="2">
        <v>4.3421950000000001E-2</v>
      </c>
    </row>
    <row r="6484" spans="18:20" x14ac:dyDescent="0.45">
      <c r="R6484" s="2">
        <v>81.599999999999994</v>
      </c>
      <c r="S6484" s="2">
        <v>8.0215599999999998E-2</v>
      </c>
      <c r="T6484" s="2">
        <v>4.3465999999999998E-2</v>
      </c>
    </row>
    <row r="6485" spans="18:20" x14ac:dyDescent="0.45">
      <c r="R6485" s="2">
        <v>81.61</v>
      </c>
      <c r="S6485" s="2">
        <v>8.0294509999999999E-2</v>
      </c>
      <c r="T6485" s="2">
        <v>4.3510050000000002E-2</v>
      </c>
    </row>
    <row r="6486" spans="18:20" x14ac:dyDescent="0.45">
      <c r="R6486" s="2">
        <v>81.62</v>
      </c>
      <c r="S6486" s="2">
        <v>8.0373420000000001E-2</v>
      </c>
      <c r="T6486" s="2">
        <v>4.3554099999999998E-2</v>
      </c>
    </row>
    <row r="6487" spans="18:20" x14ac:dyDescent="0.45">
      <c r="R6487" s="2">
        <v>81.63</v>
      </c>
      <c r="S6487" s="2">
        <v>8.0452330000000002E-2</v>
      </c>
      <c r="T6487" s="2">
        <v>4.3598150000000002E-2</v>
      </c>
    </row>
    <row r="6488" spans="18:20" x14ac:dyDescent="0.45">
      <c r="R6488" s="2">
        <v>81.64</v>
      </c>
      <c r="S6488" s="2">
        <v>8.0531240000000004E-2</v>
      </c>
      <c r="T6488" s="2">
        <v>4.3642199999999999E-2</v>
      </c>
    </row>
    <row r="6489" spans="18:20" x14ac:dyDescent="0.45">
      <c r="R6489" s="2">
        <v>81.650000000000006</v>
      </c>
      <c r="S6489" s="2">
        <v>8.0610150000000005E-2</v>
      </c>
      <c r="T6489" s="2">
        <v>4.3686250000000003E-2</v>
      </c>
    </row>
    <row r="6490" spans="18:20" x14ac:dyDescent="0.45">
      <c r="R6490" s="2">
        <v>81.66</v>
      </c>
      <c r="S6490" s="2">
        <v>8.0689060000000007E-2</v>
      </c>
      <c r="T6490" s="2">
        <v>4.37303E-2</v>
      </c>
    </row>
    <row r="6491" spans="18:20" x14ac:dyDescent="0.45">
      <c r="R6491" s="2">
        <v>81.67</v>
      </c>
      <c r="S6491" s="2">
        <v>8.0767969999999994E-2</v>
      </c>
      <c r="T6491" s="2">
        <v>4.3774349999999997E-2</v>
      </c>
    </row>
    <row r="6492" spans="18:20" x14ac:dyDescent="0.45">
      <c r="R6492" s="2">
        <v>81.680000000000007</v>
      </c>
      <c r="S6492" s="2">
        <v>8.0846879999999996E-2</v>
      </c>
      <c r="T6492" s="2">
        <v>4.38184E-2</v>
      </c>
    </row>
    <row r="6493" spans="18:20" x14ac:dyDescent="0.45">
      <c r="R6493" s="2">
        <v>81.69</v>
      </c>
      <c r="S6493" s="2">
        <v>8.0925789999999997E-2</v>
      </c>
      <c r="T6493" s="2">
        <v>4.3862449999999997E-2</v>
      </c>
    </row>
    <row r="6494" spans="18:20" x14ac:dyDescent="0.45">
      <c r="R6494" s="2">
        <v>81.7</v>
      </c>
      <c r="S6494" s="2">
        <v>8.1004699999999999E-2</v>
      </c>
      <c r="T6494" s="2">
        <v>4.3906500000000001E-2</v>
      </c>
    </row>
    <row r="6495" spans="18:20" x14ac:dyDescent="0.45">
      <c r="R6495" s="2">
        <v>81.709999999999994</v>
      </c>
      <c r="S6495" s="2">
        <v>8.108361E-2</v>
      </c>
      <c r="T6495" s="2">
        <v>4.3950549999999998E-2</v>
      </c>
    </row>
    <row r="6496" spans="18:20" x14ac:dyDescent="0.45">
      <c r="R6496" s="2">
        <v>81.72</v>
      </c>
      <c r="S6496" s="2">
        <v>8.1162520000000002E-2</v>
      </c>
      <c r="T6496" s="2">
        <v>4.3994600000000002E-2</v>
      </c>
    </row>
    <row r="6497" spans="18:20" x14ac:dyDescent="0.45">
      <c r="R6497" s="2">
        <v>81.73</v>
      </c>
      <c r="S6497" s="2">
        <v>8.1241430000000003E-2</v>
      </c>
      <c r="T6497" s="2">
        <v>4.4038649999999999E-2</v>
      </c>
    </row>
    <row r="6498" spans="18:20" x14ac:dyDescent="0.45">
      <c r="R6498" s="2">
        <v>81.739999999999995</v>
      </c>
      <c r="S6498" s="2">
        <v>8.1320340000000005E-2</v>
      </c>
      <c r="T6498" s="2">
        <v>4.4082700000000002E-2</v>
      </c>
    </row>
    <row r="6499" spans="18:20" x14ac:dyDescent="0.45">
      <c r="R6499" s="2">
        <v>81.75</v>
      </c>
      <c r="S6499" s="2">
        <v>8.1399250000000006E-2</v>
      </c>
      <c r="T6499" s="2">
        <v>4.4126749999999999E-2</v>
      </c>
    </row>
    <row r="6500" spans="18:20" x14ac:dyDescent="0.45">
      <c r="R6500" s="2">
        <v>81.760000000000005</v>
      </c>
      <c r="S6500" s="2">
        <v>8.1478159999999994E-2</v>
      </c>
      <c r="T6500" s="2">
        <v>4.4170800000000003E-2</v>
      </c>
    </row>
    <row r="6501" spans="18:20" x14ac:dyDescent="0.45">
      <c r="R6501" s="2">
        <v>81.77</v>
      </c>
      <c r="S6501" s="2">
        <v>8.1557069999999995E-2</v>
      </c>
      <c r="T6501" s="2">
        <v>4.421485E-2</v>
      </c>
    </row>
    <row r="6502" spans="18:20" x14ac:dyDescent="0.45">
      <c r="R6502" s="2">
        <v>81.78</v>
      </c>
      <c r="S6502" s="2">
        <v>8.1635979999999997E-2</v>
      </c>
      <c r="T6502" s="2">
        <v>4.4258899999999997E-2</v>
      </c>
    </row>
    <row r="6503" spans="18:20" x14ac:dyDescent="0.45">
      <c r="R6503" s="2">
        <v>81.790000000000006</v>
      </c>
      <c r="S6503" s="2">
        <v>8.1714889999999998E-2</v>
      </c>
      <c r="T6503" s="2">
        <v>4.4302950000000001E-2</v>
      </c>
    </row>
    <row r="6504" spans="18:20" x14ac:dyDescent="0.45">
      <c r="R6504" s="2">
        <v>81.8</v>
      </c>
      <c r="S6504" s="2">
        <v>8.17938E-2</v>
      </c>
      <c r="T6504" s="2">
        <v>4.4346999999999998E-2</v>
      </c>
    </row>
    <row r="6505" spans="18:20" x14ac:dyDescent="0.45">
      <c r="R6505" s="2">
        <v>81.81</v>
      </c>
      <c r="S6505" s="2">
        <v>8.1872710000000001E-2</v>
      </c>
      <c r="T6505" s="2">
        <v>4.4391050000000001E-2</v>
      </c>
    </row>
    <row r="6506" spans="18:20" x14ac:dyDescent="0.45">
      <c r="R6506" s="2">
        <v>81.819999999999993</v>
      </c>
      <c r="S6506" s="2">
        <v>8.1951620000000003E-2</v>
      </c>
      <c r="T6506" s="2">
        <v>4.4435099999999998E-2</v>
      </c>
    </row>
    <row r="6507" spans="18:20" x14ac:dyDescent="0.45">
      <c r="R6507" s="2">
        <v>81.83</v>
      </c>
      <c r="S6507" s="2">
        <v>8.2030530000000004E-2</v>
      </c>
      <c r="T6507" s="2">
        <v>4.4479150000000002E-2</v>
      </c>
    </row>
    <row r="6508" spans="18:20" x14ac:dyDescent="0.45">
      <c r="R6508" s="2">
        <v>81.84</v>
      </c>
      <c r="S6508" s="2">
        <v>8.2109440000000006E-2</v>
      </c>
      <c r="T6508" s="2">
        <v>4.4523199999999999E-2</v>
      </c>
    </row>
    <row r="6509" spans="18:20" x14ac:dyDescent="0.45">
      <c r="R6509" s="2">
        <v>81.849999999999994</v>
      </c>
      <c r="S6509" s="2">
        <v>8.2188349999999993E-2</v>
      </c>
      <c r="T6509" s="2">
        <v>4.4567250000000003E-2</v>
      </c>
    </row>
    <row r="6510" spans="18:20" x14ac:dyDescent="0.45">
      <c r="R6510" s="2">
        <v>81.86</v>
      </c>
      <c r="S6510" s="2">
        <v>8.2267259999999995E-2</v>
      </c>
      <c r="T6510" s="2">
        <v>4.46113E-2</v>
      </c>
    </row>
    <row r="6511" spans="18:20" x14ac:dyDescent="0.45">
      <c r="R6511" s="2">
        <v>81.87</v>
      </c>
      <c r="S6511" s="2">
        <v>8.2346169999999996E-2</v>
      </c>
      <c r="T6511" s="2">
        <v>4.4655350000000003E-2</v>
      </c>
    </row>
    <row r="6512" spans="18:20" x14ac:dyDescent="0.45">
      <c r="R6512" s="2">
        <v>81.88</v>
      </c>
      <c r="S6512" s="2">
        <v>8.2425079999999998E-2</v>
      </c>
      <c r="T6512" s="2">
        <v>4.46994E-2</v>
      </c>
    </row>
    <row r="6513" spans="18:20" x14ac:dyDescent="0.45">
      <c r="R6513" s="2">
        <v>81.89</v>
      </c>
      <c r="S6513" s="2">
        <v>8.2503989999999999E-2</v>
      </c>
      <c r="T6513" s="2">
        <v>4.4743449999999997E-2</v>
      </c>
    </row>
    <row r="6514" spans="18:20" x14ac:dyDescent="0.45">
      <c r="R6514" s="2">
        <v>81.900000000000006</v>
      </c>
      <c r="S6514" s="2">
        <v>8.2582900000000001E-2</v>
      </c>
      <c r="T6514" s="2">
        <v>4.4787500000000001E-2</v>
      </c>
    </row>
    <row r="6515" spans="18:20" x14ac:dyDescent="0.45">
      <c r="R6515" s="2">
        <v>81.91</v>
      </c>
      <c r="S6515" s="2">
        <v>8.2661810000000002E-2</v>
      </c>
      <c r="T6515" s="2">
        <v>4.4831549999999998E-2</v>
      </c>
    </row>
    <row r="6516" spans="18:20" x14ac:dyDescent="0.45">
      <c r="R6516" s="2">
        <v>81.92</v>
      </c>
      <c r="S6516" s="2">
        <v>8.2740720000000004E-2</v>
      </c>
      <c r="T6516" s="2">
        <v>4.4875600000000002E-2</v>
      </c>
    </row>
    <row r="6517" spans="18:20" x14ac:dyDescent="0.45">
      <c r="R6517" s="2">
        <v>81.93</v>
      </c>
      <c r="S6517" s="2">
        <v>8.2819630000000005E-2</v>
      </c>
      <c r="T6517" s="2">
        <v>4.4919649999999998E-2</v>
      </c>
    </row>
    <row r="6518" spans="18:20" x14ac:dyDescent="0.45">
      <c r="R6518" s="2">
        <v>81.94</v>
      </c>
      <c r="S6518" s="2">
        <v>8.2898540000000007E-2</v>
      </c>
      <c r="T6518" s="2">
        <v>4.4963700000000002E-2</v>
      </c>
    </row>
    <row r="6519" spans="18:20" x14ac:dyDescent="0.45">
      <c r="R6519" s="2">
        <v>81.95</v>
      </c>
      <c r="S6519" s="2">
        <v>8.2977449999999994E-2</v>
      </c>
      <c r="T6519" s="2">
        <v>4.5007749999999999E-2</v>
      </c>
    </row>
    <row r="6520" spans="18:20" x14ac:dyDescent="0.45">
      <c r="R6520" s="2">
        <v>81.96</v>
      </c>
      <c r="S6520" s="2">
        <v>8.3056359999999996E-2</v>
      </c>
      <c r="T6520" s="2">
        <v>4.5051800000000003E-2</v>
      </c>
    </row>
    <row r="6521" spans="18:20" x14ac:dyDescent="0.45">
      <c r="R6521" s="2">
        <v>81.97</v>
      </c>
      <c r="S6521" s="2">
        <v>8.3135269999999997E-2</v>
      </c>
      <c r="T6521" s="2">
        <v>4.509585E-2</v>
      </c>
    </row>
    <row r="6522" spans="18:20" x14ac:dyDescent="0.45">
      <c r="R6522" s="2">
        <v>81.98</v>
      </c>
      <c r="S6522" s="2">
        <v>8.3214179999999999E-2</v>
      </c>
      <c r="T6522" s="2">
        <v>4.5139899999999997E-2</v>
      </c>
    </row>
    <row r="6523" spans="18:20" x14ac:dyDescent="0.45">
      <c r="R6523" s="2">
        <v>81.99</v>
      </c>
      <c r="S6523" s="2">
        <v>8.329309E-2</v>
      </c>
      <c r="T6523" s="2">
        <v>4.5183950000000001E-2</v>
      </c>
    </row>
    <row r="6524" spans="18:20" x14ac:dyDescent="0.45">
      <c r="R6524" s="2">
        <v>82</v>
      </c>
      <c r="S6524" s="2">
        <v>8.3372000000000002E-2</v>
      </c>
      <c r="T6524" s="2">
        <v>4.5227999999999997E-2</v>
      </c>
    </row>
    <row r="6525" spans="18:20" x14ac:dyDescent="0.45">
      <c r="R6525" s="2">
        <v>82.01</v>
      </c>
      <c r="S6525" s="2">
        <v>8.3458270000000001E-2</v>
      </c>
      <c r="T6525" s="2">
        <v>4.5276799999999999E-2</v>
      </c>
    </row>
    <row r="6526" spans="18:20" x14ac:dyDescent="0.45">
      <c r="R6526" s="2">
        <v>82.02</v>
      </c>
      <c r="S6526" s="2">
        <v>8.354454E-2</v>
      </c>
      <c r="T6526" s="2">
        <v>4.5325600000000001E-2</v>
      </c>
    </row>
    <row r="6527" spans="18:20" x14ac:dyDescent="0.45">
      <c r="R6527" s="2">
        <v>82.03</v>
      </c>
      <c r="S6527" s="2">
        <v>8.363081E-2</v>
      </c>
      <c r="T6527" s="2">
        <v>4.5374400000000002E-2</v>
      </c>
    </row>
    <row r="6528" spans="18:20" x14ac:dyDescent="0.45">
      <c r="R6528" s="2">
        <v>82.04</v>
      </c>
      <c r="S6528" s="2">
        <v>8.3717079999999999E-2</v>
      </c>
      <c r="T6528" s="2">
        <v>4.5423199999999997E-2</v>
      </c>
    </row>
    <row r="6529" spans="18:20" x14ac:dyDescent="0.45">
      <c r="R6529" s="2">
        <v>82.05</v>
      </c>
      <c r="S6529" s="2">
        <v>8.3803349999999999E-2</v>
      </c>
      <c r="T6529" s="2">
        <v>4.5471999999999999E-2</v>
      </c>
    </row>
    <row r="6530" spans="18:20" x14ac:dyDescent="0.45">
      <c r="R6530" s="2">
        <v>82.06</v>
      </c>
      <c r="S6530" s="2">
        <v>8.3889619999999998E-2</v>
      </c>
      <c r="T6530" s="2">
        <v>4.55208E-2</v>
      </c>
    </row>
    <row r="6531" spans="18:20" x14ac:dyDescent="0.45">
      <c r="R6531" s="2">
        <v>82.07</v>
      </c>
      <c r="S6531" s="2">
        <v>8.3975889999999997E-2</v>
      </c>
      <c r="T6531" s="2">
        <v>4.5569600000000002E-2</v>
      </c>
    </row>
    <row r="6532" spans="18:20" x14ac:dyDescent="0.45">
      <c r="R6532" s="2">
        <v>82.08</v>
      </c>
      <c r="S6532" s="2">
        <v>8.4062159999999997E-2</v>
      </c>
      <c r="T6532" s="2">
        <v>4.5618400000000003E-2</v>
      </c>
    </row>
    <row r="6533" spans="18:20" x14ac:dyDescent="0.45">
      <c r="R6533" s="2">
        <v>82.09</v>
      </c>
      <c r="S6533" s="2">
        <v>8.4148429999999996E-2</v>
      </c>
      <c r="T6533" s="2">
        <v>4.5667199999999998E-2</v>
      </c>
    </row>
    <row r="6534" spans="18:20" x14ac:dyDescent="0.45">
      <c r="R6534" s="2">
        <v>82.1</v>
      </c>
      <c r="S6534" s="2">
        <v>8.4234699999999996E-2</v>
      </c>
      <c r="T6534" s="2">
        <v>4.5716E-2</v>
      </c>
    </row>
    <row r="6535" spans="18:20" x14ac:dyDescent="0.45">
      <c r="R6535" s="2">
        <v>82.11</v>
      </c>
      <c r="S6535" s="2">
        <v>8.4320969999999995E-2</v>
      </c>
      <c r="T6535" s="2">
        <v>4.5764800000000001E-2</v>
      </c>
    </row>
    <row r="6536" spans="18:20" x14ac:dyDescent="0.45">
      <c r="R6536" s="2">
        <v>82.12</v>
      </c>
      <c r="S6536" s="2">
        <v>8.4407239999999994E-2</v>
      </c>
      <c r="T6536" s="2">
        <v>4.5813600000000003E-2</v>
      </c>
    </row>
    <row r="6537" spans="18:20" x14ac:dyDescent="0.45">
      <c r="R6537" s="2">
        <v>82.13</v>
      </c>
      <c r="S6537" s="2">
        <v>8.4493509999999994E-2</v>
      </c>
      <c r="T6537" s="2">
        <v>4.5862399999999998E-2</v>
      </c>
    </row>
    <row r="6538" spans="18:20" x14ac:dyDescent="0.45">
      <c r="R6538" s="2">
        <v>82.14</v>
      </c>
      <c r="S6538" s="2">
        <v>8.4579779999999993E-2</v>
      </c>
      <c r="T6538" s="2">
        <v>4.5911199999999999E-2</v>
      </c>
    </row>
    <row r="6539" spans="18:20" x14ac:dyDescent="0.45">
      <c r="R6539" s="2">
        <v>82.15</v>
      </c>
      <c r="S6539" s="2">
        <v>8.4666050000000007E-2</v>
      </c>
      <c r="T6539" s="2">
        <v>4.5960000000000001E-2</v>
      </c>
    </row>
    <row r="6540" spans="18:20" x14ac:dyDescent="0.45">
      <c r="R6540" s="2">
        <v>82.16</v>
      </c>
      <c r="S6540" s="2">
        <v>8.4752320000000006E-2</v>
      </c>
      <c r="T6540" s="2">
        <v>4.6008800000000002E-2</v>
      </c>
    </row>
    <row r="6541" spans="18:20" x14ac:dyDescent="0.45">
      <c r="R6541" s="2">
        <v>82.17</v>
      </c>
      <c r="S6541" s="2">
        <v>8.4838590000000005E-2</v>
      </c>
      <c r="T6541" s="2">
        <v>4.6057599999999997E-2</v>
      </c>
    </row>
    <row r="6542" spans="18:20" x14ac:dyDescent="0.45">
      <c r="R6542" s="2">
        <v>82.18</v>
      </c>
      <c r="S6542" s="2">
        <v>8.4924860000000005E-2</v>
      </c>
      <c r="T6542" s="2">
        <v>4.6106399999999999E-2</v>
      </c>
    </row>
    <row r="6543" spans="18:20" x14ac:dyDescent="0.45">
      <c r="R6543" s="2">
        <v>82.19</v>
      </c>
      <c r="S6543" s="2">
        <v>8.5011130000000004E-2</v>
      </c>
      <c r="T6543" s="2">
        <v>4.61552E-2</v>
      </c>
    </row>
    <row r="6544" spans="18:20" x14ac:dyDescent="0.45">
      <c r="R6544" s="2">
        <v>82.2</v>
      </c>
      <c r="S6544" s="2">
        <v>8.5097400000000004E-2</v>
      </c>
      <c r="T6544" s="2">
        <v>4.6204000000000002E-2</v>
      </c>
    </row>
    <row r="6545" spans="18:20" x14ac:dyDescent="0.45">
      <c r="R6545" s="2">
        <v>82.21</v>
      </c>
      <c r="S6545" s="2">
        <v>8.5183670000000003E-2</v>
      </c>
      <c r="T6545" s="2">
        <v>4.6252799999999997E-2</v>
      </c>
    </row>
    <row r="6546" spans="18:20" x14ac:dyDescent="0.45">
      <c r="R6546" s="2">
        <v>82.22</v>
      </c>
      <c r="S6546" s="2">
        <v>8.5269940000000002E-2</v>
      </c>
      <c r="T6546" s="2">
        <v>4.6301599999999998E-2</v>
      </c>
    </row>
    <row r="6547" spans="18:20" x14ac:dyDescent="0.45">
      <c r="R6547" s="2">
        <v>82.23</v>
      </c>
      <c r="S6547" s="2">
        <v>8.5356210000000002E-2</v>
      </c>
      <c r="T6547" s="2">
        <v>4.63504E-2</v>
      </c>
    </row>
    <row r="6548" spans="18:20" x14ac:dyDescent="0.45">
      <c r="R6548" s="2">
        <v>82.24</v>
      </c>
      <c r="S6548" s="2">
        <v>8.5442480000000001E-2</v>
      </c>
      <c r="T6548" s="2">
        <v>4.6399200000000002E-2</v>
      </c>
    </row>
    <row r="6549" spans="18:20" x14ac:dyDescent="0.45">
      <c r="R6549" s="2">
        <v>82.25</v>
      </c>
      <c r="S6549" s="2">
        <v>8.5528750000000001E-2</v>
      </c>
      <c r="T6549" s="2">
        <v>4.6448000000000003E-2</v>
      </c>
    </row>
    <row r="6550" spans="18:20" x14ac:dyDescent="0.45">
      <c r="R6550" s="2">
        <v>82.26</v>
      </c>
      <c r="S6550" s="2">
        <v>8.561502E-2</v>
      </c>
      <c r="T6550" s="2">
        <v>4.6496799999999998E-2</v>
      </c>
    </row>
    <row r="6551" spans="18:20" x14ac:dyDescent="0.45">
      <c r="R6551" s="2">
        <v>82.27</v>
      </c>
      <c r="S6551" s="2">
        <v>8.5701289999999999E-2</v>
      </c>
      <c r="T6551" s="2">
        <v>4.6545599999999999E-2</v>
      </c>
    </row>
    <row r="6552" spans="18:20" x14ac:dyDescent="0.45">
      <c r="R6552" s="2">
        <v>82.28</v>
      </c>
      <c r="S6552" s="2">
        <v>8.5787559999999999E-2</v>
      </c>
      <c r="T6552" s="2">
        <v>4.6594400000000001E-2</v>
      </c>
    </row>
    <row r="6553" spans="18:20" x14ac:dyDescent="0.45">
      <c r="R6553" s="2">
        <v>82.29</v>
      </c>
      <c r="S6553" s="2">
        <v>8.5873829999999998E-2</v>
      </c>
      <c r="T6553" s="2">
        <v>4.6643200000000003E-2</v>
      </c>
    </row>
    <row r="6554" spans="18:20" x14ac:dyDescent="0.45">
      <c r="R6554" s="2">
        <v>82.3</v>
      </c>
      <c r="S6554" s="2">
        <v>8.5960099999999998E-2</v>
      </c>
      <c r="T6554" s="2">
        <v>4.6691999999999997E-2</v>
      </c>
    </row>
    <row r="6555" spans="18:20" x14ac:dyDescent="0.45">
      <c r="R6555" s="2">
        <v>82.31</v>
      </c>
      <c r="S6555" s="2">
        <v>8.6046369999999997E-2</v>
      </c>
      <c r="T6555" s="2">
        <v>4.6740799999999999E-2</v>
      </c>
    </row>
    <row r="6556" spans="18:20" x14ac:dyDescent="0.45">
      <c r="R6556" s="2">
        <v>82.32</v>
      </c>
      <c r="S6556" s="2">
        <v>8.6132639999999996E-2</v>
      </c>
      <c r="T6556" s="2">
        <v>4.6789600000000001E-2</v>
      </c>
    </row>
    <row r="6557" spans="18:20" x14ac:dyDescent="0.45">
      <c r="R6557" s="2">
        <v>82.33</v>
      </c>
      <c r="S6557" s="2">
        <v>8.6218909999999996E-2</v>
      </c>
      <c r="T6557" s="2">
        <v>4.6838400000000002E-2</v>
      </c>
    </row>
    <row r="6558" spans="18:20" x14ac:dyDescent="0.45">
      <c r="R6558" s="2">
        <v>82.34</v>
      </c>
      <c r="S6558" s="2">
        <v>8.6305179999999995E-2</v>
      </c>
      <c r="T6558" s="2">
        <v>4.6887199999999997E-2</v>
      </c>
    </row>
    <row r="6559" spans="18:20" x14ac:dyDescent="0.45">
      <c r="R6559" s="2">
        <v>82.35</v>
      </c>
      <c r="S6559" s="2">
        <v>8.6391449999999995E-2</v>
      </c>
      <c r="T6559" s="2">
        <v>4.6935999999999999E-2</v>
      </c>
    </row>
    <row r="6560" spans="18:20" x14ac:dyDescent="0.45">
      <c r="R6560" s="2">
        <v>82.36</v>
      </c>
      <c r="S6560" s="2">
        <v>8.6477719999999994E-2</v>
      </c>
      <c r="T6560" s="2">
        <v>4.69848E-2</v>
      </c>
    </row>
    <row r="6561" spans="18:20" x14ac:dyDescent="0.45">
      <c r="R6561" s="2">
        <v>82.37</v>
      </c>
      <c r="S6561" s="2">
        <v>8.6563989999999993E-2</v>
      </c>
      <c r="T6561" s="2">
        <v>4.7033600000000002E-2</v>
      </c>
    </row>
    <row r="6562" spans="18:20" x14ac:dyDescent="0.45">
      <c r="R6562" s="2">
        <v>82.38</v>
      </c>
      <c r="S6562" s="2">
        <v>8.6650260000000007E-2</v>
      </c>
      <c r="T6562" s="2">
        <v>4.7082400000000003E-2</v>
      </c>
    </row>
    <row r="6563" spans="18:20" x14ac:dyDescent="0.45">
      <c r="R6563" s="2">
        <v>82.39</v>
      </c>
      <c r="S6563" s="2">
        <v>8.6736530000000006E-2</v>
      </c>
      <c r="T6563" s="2">
        <v>4.7131199999999998E-2</v>
      </c>
    </row>
    <row r="6564" spans="18:20" x14ac:dyDescent="0.45">
      <c r="R6564" s="2">
        <v>82.4</v>
      </c>
      <c r="S6564" s="2">
        <v>8.6822800000000006E-2</v>
      </c>
      <c r="T6564" s="2">
        <v>4.718E-2</v>
      </c>
    </row>
    <row r="6565" spans="18:20" x14ac:dyDescent="0.45">
      <c r="R6565" s="2">
        <v>82.41</v>
      </c>
      <c r="S6565" s="2">
        <v>8.6909070000000005E-2</v>
      </c>
      <c r="T6565" s="2">
        <v>4.7228800000000001E-2</v>
      </c>
    </row>
    <row r="6566" spans="18:20" x14ac:dyDescent="0.45">
      <c r="R6566" s="2">
        <v>82.42</v>
      </c>
      <c r="S6566" s="2">
        <v>8.6995340000000004E-2</v>
      </c>
      <c r="T6566" s="2">
        <v>4.7277600000000003E-2</v>
      </c>
    </row>
    <row r="6567" spans="18:20" x14ac:dyDescent="0.45">
      <c r="R6567" s="2">
        <v>82.43</v>
      </c>
      <c r="S6567" s="2">
        <v>8.7081610000000004E-2</v>
      </c>
      <c r="T6567" s="2">
        <v>4.7326399999999998E-2</v>
      </c>
    </row>
    <row r="6568" spans="18:20" x14ac:dyDescent="0.45">
      <c r="R6568" s="2">
        <v>82.44</v>
      </c>
      <c r="S6568" s="2">
        <v>8.7167880000000003E-2</v>
      </c>
      <c r="T6568" s="2">
        <v>4.7375199999999999E-2</v>
      </c>
    </row>
    <row r="6569" spans="18:20" x14ac:dyDescent="0.45">
      <c r="R6569" s="2">
        <v>82.45</v>
      </c>
      <c r="S6569" s="2">
        <v>8.7254150000000003E-2</v>
      </c>
      <c r="T6569" s="2">
        <v>4.7424000000000001E-2</v>
      </c>
    </row>
    <row r="6570" spans="18:20" x14ac:dyDescent="0.45">
      <c r="R6570" s="2">
        <v>82.46</v>
      </c>
      <c r="S6570" s="2">
        <v>8.7340420000000002E-2</v>
      </c>
      <c r="T6570" s="2">
        <v>4.7472800000000002E-2</v>
      </c>
    </row>
    <row r="6571" spans="18:20" x14ac:dyDescent="0.45">
      <c r="R6571" s="2">
        <v>82.47</v>
      </c>
      <c r="S6571" s="2">
        <v>8.7426690000000001E-2</v>
      </c>
      <c r="T6571" s="2">
        <v>4.7521599999999997E-2</v>
      </c>
    </row>
    <row r="6572" spans="18:20" x14ac:dyDescent="0.45">
      <c r="R6572" s="2">
        <v>82.48</v>
      </c>
      <c r="S6572" s="2">
        <v>8.7512960000000001E-2</v>
      </c>
      <c r="T6572" s="2">
        <v>4.7570399999999999E-2</v>
      </c>
    </row>
    <row r="6573" spans="18:20" x14ac:dyDescent="0.45">
      <c r="R6573" s="2">
        <v>82.49</v>
      </c>
      <c r="S6573" s="2">
        <v>8.759923E-2</v>
      </c>
      <c r="T6573" s="2">
        <v>4.76192E-2</v>
      </c>
    </row>
    <row r="6574" spans="18:20" x14ac:dyDescent="0.45">
      <c r="R6574" s="2">
        <v>82.5</v>
      </c>
      <c r="S6574" s="2">
        <v>8.76855E-2</v>
      </c>
      <c r="T6574" s="2">
        <v>4.7668000000000002E-2</v>
      </c>
    </row>
    <row r="6575" spans="18:20" x14ac:dyDescent="0.45">
      <c r="R6575" s="2">
        <v>82.51</v>
      </c>
      <c r="S6575" s="2">
        <v>8.7771769999999999E-2</v>
      </c>
      <c r="T6575" s="2">
        <v>4.7716799999999997E-2</v>
      </c>
    </row>
    <row r="6576" spans="18:20" x14ac:dyDescent="0.45">
      <c r="R6576" s="2">
        <v>82.52</v>
      </c>
      <c r="S6576" s="2">
        <v>8.7858039999999998E-2</v>
      </c>
      <c r="T6576" s="2">
        <v>4.7765599999999998E-2</v>
      </c>
    </row>
    <row r="6577" spans="18:20" x14ac:dyDescent="0.45">
      <c r="R6577" s="2">
        <v>82.53</v>
      </c>
      <c r="S6577" s="2">
        <v>8.7944309999999998E-2</v>
      </c>
      <c r="T6577" s="2">
        <v>4.78144E-2</v>
      </c>
    </row>
    <row r="6578" spans="18:20" x14ac:dyDescent="0.45">
      <c r="R6578" s="2">
        <v>82.54</v>
      </c>
      <c r="S6578" s="2">
        <v>8.8030579999999997E-2</v>
      </c>
      <c r="T6578" s="2">
        <v>4.7863200000000002E-2</v>
      </c>
    </row>
    <row r="6579" spans="18:20" x14ac:dyDescent="0.45">
      <c r="R6579" s="2">
        <v>82.55</v>
      </c>
      <c r="S6579" s="2">
        <v>8.8116849999999997E-2</v>
      </c>
      <c r="T6579" s="2">
        <v>4.7912000000000003E-2</v>
      </c>
    </row>
    <row r="6580" spans="18:20" x14ac:dyDescent="0.45">
      <c r="R6580" s="2">
        <v>82.56</v>
      </c>
      <c r="S6580" s="2">
        <v>8.8203119999999996E-2</v>
      </c>
      <c r="T6580" s="2">
        <v>4.7960799999999998E-2</v>
      </c>
    </row>
    <row r="6581" spans="18:20" x14ac:dyDescent="0.45">
      <c r="R6581" s="2">
        <v>82.57</v>
      </c>
      <c r="S6581" s="2">
        <v>8.8289389999999995E-2</v>
      </c>
      <c r="T6581" s="2">
        <v>4.8009599999999999E-2</v>
      </c>
    </row>
    <row r="6582" spans="18:20" x14ac:dyDescent="0.45">
      <c r="R6582" s="2">
        <v>82.58</v>
      </c>
      <c r="S6582" s="2">
        <v>8.8375659999999995E-2</v>
      </c>
      <c r="T6582" s="2">
        <v>4.8058400000000001E-2</v>
      </c>
    </row>
    <row r="6583" spans="18:20" x14ac:dyDescent="0.45">
      <c r="R6583" s="2">
        <v>82.59</v>
      </c>
      <c r="S6583" s="2">
        <v>8.8461929999999994E-2</v>
      </c>
      <c r="T6583" s="2">
        <v>4.8107200000000003E-2</v>
      </c>
    </row>
    <row r="6584" spans="18:20" x14ac:dyDescent="0.45">
      <c r="R6584" s="2">
        <v>82.6</v>
      </c>
      <c r="S6584" s="2">
        <v>8.8548199999999994E-2</v>
      </c>
      <c r="T6584" s="2">
        <v>4.8155999999999997E-2</v>
      </c>
    </row>
    <row r="6585" spans="18:20" x14ac:dyDescent="0.45">
      <c r="R6585" s="2">
        <v>82.61</v>
      </c>
      <c r="S6585" s="2">
        <v>8.8634470000000007E-2</v>
      </c>
      <c r="T6585" s="2">
        <v>4.8204799999999999E-2</v>
      </c>
    </row>
    <row r="6586" spans="18:20" x14ac:dyDescent="0.45">
      <c r="R6586" s="2">
        <v>82.62</v>
      </c>
      <c r="S6586" s="2">
        <v>8.8720740000000006E-2</v>
      </c>
      <c r="T6586" s="2">
        <v>4.8253600000000001E-2</v>
      </c>
    </row>
    <row r="6587" spans="18:20" x14ac:dyDescent="0.45">
      <c r="R6587" s="2">
        <v>82.63</v>
      </c>
      <c r="S6587" s="2">
        <v>8.8807010000000006E-2</v>
      </c>
      <c r="T6587" s="2">
        <v>4.8302400000000002E-2</v>
      </c>
    </row>
    <row r="6588" spans="18:20" x14ac:dyDescent="0.45">
      <c r="R6588" s="2">
        <v>82.64</v>
      </c>
      <c r="S6588" s="2">
        <v>8.8893280000000005E-2</v>
      </c>
      <c r="T6588" s="2">
        <v>4.8351199999999997E-2</v>
      </c>
    </row>
    <row r="6589" spans="18:20" x14ac:dyDescent="0.45">
      <c r="R6589" s="2">
        <v>82.65</v>
      </c>
      <c r="S6589" s="2">
        <v>8.8979550000000004E-2</v>
      </c>
      <c r="T6589" s="2">
        <v>4.8399999999999999E-2</v>
      </c>
    </row>
    <row r="6590" spans="18:20" x14ac:dyDescent="0.45">
      <c r="R6590" s="2">
        <v>82.66</v>
      </c>
      <c r="S6590" s="2">
        <v>8.9065820000000004E-2</v>
      </c>
      <c r="T6590" s="2">
        <v>4.84488E-2</v>
      </c>
    </row>
    <row r="6591" spans="18:20" x14ac:dyDescent="0.45">
      <c r="R6591" s="2">
        <v>82.67</v>
      </c>
      <c r="S6591" s="2">
        <v>8.9152090000000003E-2</v>
      </c>
      <c r="T6591" s="2">
        <v>4.8497600000000002E-2</v>
      </c>
    </row>
    <row r="6592" spans="18:20" x14ac:dyDescent="0.45">
      <c r="R6592" s="2">
        <v>82.68</v>
      </c>
      <c r="S6592" s="2">
        <v>8.9238360000000003E-2</v>
      </c>
      <c r="T6592" s="2">
        <v>4.8546400000000003E-2</v>
      </c>
    </row>
    <row r="6593" spans="18:20" x14ac:dyDescent="0.45">
      <c r="R6593" s="2">
        <v>82.69</v>
      </c>
      <c r="S6593" s="2">
        <v>8.9324630000000002E-2</v>
      </c>
      <c r="T6593" s="2">
        <v>4.8595199999999998E-2</v>
      </c>
    </row>
    <row r="6594" spans="18:20" x14ac:dyDescent="0.45">
      <c r="R6594" s="2">
        <v>82.7</v>
      </c>
      <c r="S6594" s="2">
        <v>8.9410900000000001E-2</v>
      </c>
      <c r="T6594" s="2">
        <v>4.8644E-2</v>
      </c>
    </row>
    <row r="6595" spans="18:20" x14ac:dyDescent="0.45">
      <c r="R6595" s="2">
        <v>82.71</v>
      </c>
      <c r="S6595" s="2">
        <v>8.9497170000000001E-2</v>
      </c>
      <c r="T6595" s="2">
        <v>4.8692800000000001E-2</v>
      </c>
    </row>
    <row r="6596" spans="18:20" x14ac:dyDescent="0.45">
      <c r="R6596" s="2">
        <v>82.72</v>
      </c>
      <c r="S6596" s="2">
        <v>8.958344E-2</v>
      </c>
      <c r="T6596" s="2">
        <v>4.8741600000000003E-2</v>
      </c>
    </row>
    <row r="6597" spans="18:20" x14ac:dyDescent="0.45">
      <c r="R6597" s="2">
        <v>82.73</v>
      </c>
      <c r="S6597" s="2">
        <v>8.966971E-2</v>
      </c>
      <c r="T6597" s="2">
        <v>4.8790399999999998E-2</v>
      </c>
    </row>
    <row r="6598" spans="18:20" x14ac:dyDescent="0.45">
      <c r="R6598" s="2">
        <v>82.74</v>
      </c>
      <c r="S6598" s="2">
        <v>8.9755979999999999E-2</v>
      </c>
      <c r="T6598" s="2">
        <v>4.8839199999999999E-2</v>
      </c>
    </row>
    <row r="6599" spans="18:20" x14ac:dyDescent="0.45">
      <c r="R6599" s="2">
        <v>82.75</v>
      </c>
      <c r="S6599" s="2">
        <v>8.9842249999999998E-2</v>
      </c>
      <c r="T6599" s="2">
        <v>4.8888000000000001E-2</v>
      </c>
    </row>
    <row r="6600" spans="18:20" x14ac:dyDescent="0.45">
      <c r="R6600" s="2">
        <v>82.76</v>
      </c>
      <c r="S6600" s="2">
        <v>8.9928519999999998E-2</v>
      </c>
      <c r="T6600" s="2">
        <v>4.8936800000000003E-2</v>
      </c>
    </row>
    <row r="6601" spans="18:20" x14ac:dyDescent="0.45">
      <c r="R6601" s="2">
        <v>82.77</v>
      </c>
      <c r="S6601" s="2">
        <v>9.0014789999999997E-2</v>
      </c>
      <c r="T6601" s="2">
        <v>4.8985599999999997E-2</v>
      </c>
    </row>
    <row r="6602" spans="18:20" x14ac:dyDescent="0.45">
      <c r="R6602" s="2">
        <v>82.78</v>
      </c>
      <c r="S6602" s="2">
        <v>9.0101059999999997E-2</v>
      </c>
      <c r="T6602" s="2">
        <v>4.9034399999999999E-2</v>
      </c>
    </row>
    <row r="6603" spans="18:20" x14ac:dyDescent="0.45">
      <c r="R6603" s="2">
        <v>82.79</v>
      </c>
      <c r="S6603" s="2">
        <v>9.0187329999999996E-2</v>
      </c>
      <c r="T6603" s="2">
        <v>4.90832E-2</v>
      </c>
    </row>
    <row r="6604" spans="18:20" x14ac:dyDescent="0.45">
      <c r="R6604" s="2">
        <v>82.8</v>
      </c>
      <c r="S6604" s="2">
        <v>9.0273599999999996E-2</v>
      </c>
      <c r="T6604" s="2">
        <v>4.9132000000000002E-2</v>
      </c>
    </row>
    <row r="6605" spans="18:20" x14ac:dyDescent="0.45">
      <c r="R6605" s="2">
        <v>82.81</v>
      </c>
      <c r="S6605" s="2">
        <v>9.0359869999999995E-2</v>
      </c>
      <c r="T6605" s="2">
        <v>4.9180799999999997E-2</v>
      </c>
    </row>
    <row r="6606" spans="18:20" x14ac:dyDescent="0.45">
      <c r="R6606" s="2">
        <v>82.82</v>
      </c>
      <c r="S6606" s="2">
        <v>9.0446139999999994E-2</v>
      </c>
      <c r="T6606" s="2">
        <v>4.9229599999999998E-2</v>
      </c>
    </row>
    <row r="6607" spans="18:20" x14ac:dyDescent="0.45">
      <c r="R6607" s="2">
        <v>82.83</v>
      </c>
      <c r="S6607" s="2">
        <v>9.0532409999999994E-2</v>
      </c>
      <c r="T6607" s="2">
        <v>4.92784E-2</v>
      </c>
    </row>
    <row r="6608" spans="18:20" x14ac:dyDescent="0.45">
      <c r="R6608" s="2">
        <v>82.84</v>
      </c>
      <c r="S6608" s="2">
        <v>9.0618679999999993E-2</v>
      </c>
      <c r="T6608" s="2">
        <v>4.9327200000000002E-2</v>
      </c>
    </row>
    <row r="6609" spans="18:20" x14ac:dyDescent="0.45">
      <c r="R6609" s="2">
        <v>82.85</v>
      </c>
      <c r="S6609" s="2">
        <v>9.0704950000000006E-2</v>
      </c>
      <c r="T6609" s="2">
        <v>4.9376000000000003E-2</v>
      </c>
    </row>
    <row r="6610" spans="18:20" x14ac:dyDescent="0.45">
      <c r="R6610" s="2">
        <v>82.86</v>
      </c>
      <c r="S6610" s="2">
        <v>9.0791220000000006E-2</v>
      </c>
      <c r="T6610" s="2">
        <v>4.9424799999999998E-2</v>
      </c>
    </row>
    <row r="6611" spans="18:20" x14ac:dyDescent="0.45">
      <c r="R6611" s="2">
        <v>82.87</v>
      </c>
      <c r="S6611" s="2">
        <v>9.0877490000000005E-2</v>
      </c>
      <c r="T6611" s="2">
        <v>4.94736E-2</v>
      </c>
    </row>
    <row r="6612" spans="18:20" x14ac:dyDescent="0.45">
      <c r="R6612" s="2">
        <v>82.88</v>
      </c>
      <c r="S6612" s="2">
        <v>9.0963760000000005E-2</v>
      </c>
      <c r="T6612" s="2">
        <v>4.9522400000000001E-2</v>
      </c>
    </row>
    <row r="6613" spans="18:20" x14ac:dyDescent="0.45">
      <c r="R6613" s="2">
        <v>82.89</v>
      </c>
      <c r="S6613" s="2">
        <v>9.1050030000000004E-2</v>
      </c>
      <c r="T6613" s="2">
        <v>4.9571200000000003E-2</v>
      </c>
    </row>
    <row r="6614" spans="18:20" x14ac:dyDescent="0.45">
      <c r="R6614" s="2">
        <v>82.9</v>
      </c>
      <c r="S6614" s="2">
        <v>9.1136300000000003E-2</v>
      </c>
      <c r="T6614" s="2">
        <v>4.9619999999999997E-2</v>
      </c>
    </row>
    <row r="6615" spans="18:20" x14ac:dyDescent="0.45">
      <c r="R6615" s="2">
        <v>82.91</v>
      </c>
      <c r="S6615" s="2">
        <v>9.1222570000000003E-2</v>
      </c>
      <c r="T6615" s="2">
        <v>4.9668799999999999E-2</v>
      </c>
    </row>
    <row r="6616" spans="18:20" x14ac:dyDescent="0.45">
      <c r="R6616" s="2">
        <v>82.92</v>
      </c>
      <c r="S6616" s="2">
        <v>9.1308840000000002E-2</v>
      </c>
      <c r="T6616" s="2">
        <v>4.9717600000000001E-2</v>
      </c>
    </row>
    <row r="6617" spans="18:20" x14ac:dyDescent="0.45">
      <c r="R6617" s="2">
        <v>82.93</v>
      </c>
      <c r="S6617" s="2">
        <v>9.1395110000000002E-2</v>
      </c>
      <c r="T6617" s="2">
        <v>4.9766400000000002E-2</v>
      </c>
    </row>
    <row r="6618" spans="18:20" x14ac:dyDescent="0.45">
      <c r="R6618" s="2">
        <v>82.94</v>
      </c>
      <c r="S6618" s="2">
        <v>9.1481380000000001E-2</v>
      </c>
      <c r="T6618" s="2">
        <v>4.9815199999999997E-2</v>
      </c>
    </row>
    <row r="6619" spans="18:20" x14ac:dyDescent="0.45">
      <c r="R6619" s="2">
        <v>82.95</v>
      </c>
      <c r="S6619" s="2">
        <v>9.156765E-2</v>
      </c>
      <c r="T6619" s="2">
        <v>4.9863999999999999E-2</v>
      </c>
    </row>
    <row r="6620" spans="18:20" x14ac:dyDescent="0.45">
      <c r="R6620" s="2">
        <v>82.96</v>
      </c>
      <c r="S6620" s="2">
        <v>9.165392E-2</v>
      </c>
      <c r="T6620" s="2">
        <v>4.99128E-2</v>
      </c>
    </row>
    <row r="6621" spans="18:20" x14ac:dyDescent="0.45">
      <c r="R6621" s="2">
        <v>82.97</v>
      </c>
      <c r="S6621" s="2">
        <v>9.1740189999999999E-2</v>
      </c>
      <c r="T6621" s="2">
        <v>4.9961600000000002E-2</v>
      </c>
    </row>
    <row r="6622" spans="18:20" x14ac:dyDescent="0.45">
      <c r="R6622" s="2">
        <v>82.98</v>
      </c>
      <c r="S6622" s="2">
        <v>9.1826459999999999E-2</v>
      </c>
      <c r="T6622" s="2">
        <v>5.0010400000000003E-2</v>
      </c>
    </row>
    <row r="6623" spans="18:20" x14ac:dyDescent="0.45">
      <c r="R6623" s="2">
        <v>82.99</v>
      </c>
      <c r="S6623" s="2">
        <v>9.1912729999999998E-2</v>
      </c>
      <c r="T6623" s="2">
        <v>5.0059199999999998E-2</v>
      </c>
    </row>
    <row r="6624" spans="18:20" x14ac:dyDescent="0.45">
      <c r="R6624" s="2">
        <v>83</v>
      </c>
      <c r="S6624" s="2">
        <v>9.1998999999999997E-2</v>
      </c>
      <c r="T6624" s="2">
        <v>5.0108E-2</v>
      </c>
    </row>
    <row r="6625" spans="18:20" x14ac:dyDescent="0.45">
      <c r="R6625" s="2">
        <v>83.01</v>
      </c>
      <c r="S6625" s="2">
        <v>9.2093179999999997E-2</v>
      </c>
      <c r="T6625" s="2">
        <v>5.0162079999999998E-2</v>
      </c>
    </row>
    <row r="6626" spans="18:20" x14ac:dyDescent="0.45">
      <c r="R6626" s="2">
        <v>83.02</v>
      </c>
      <c r="S6626" s="2">
        <v>9.2187359999999996E-2</v>
      </c>
      <c r="T6626" s="2">
        <v>5.0216160000000003E-2</v>
      </c>
    </row>
    <row r="6627" spans="18:20" x14ac:dyDescent="0.45">
      <c r="R6627" s="2">
        <v>83.03</v>
      </c>
      <c r="S6627" s="2">
        <v>9.2281539999999995E-2</v>
      </c>
      <c r="T6627" s="2">
        <v>5.0270240000000001E-2</v>
      </c>
    </row>
    <row r="6628" spans="18:20" x14ac:dyDescent="0.45">
      <c r="R6628" s="2">
        <v>83.04</v>
      </c>
      <c r="S6628" s="2">
        <v>9.2375719999999995E-2</v>
      </c>
      <c r="T6628" s="2">
        <v>5.0324319999999999E-2</v>
      </c>
    </row>
    <row r="6629" spans="18:20" x14ac:dyDescent="0.45">
      <c r="R6629" s="2">
        <v>83.05</v>
      </c>
      <c r="S6629" s="2">
        <v>9.2469899999999994E-2</v>
      </c>
      <c r="T6629" s="2">
        <v>5.0378399999999997E-2</v>
      </c>
    </row>
    <row r="6630" spans="18:20" x14ac:dyDescent="0.45">
      <c r="R6630" s="2">
        <v>83.06</v>
      </c>
      <c r="S6630" s="2">
        <v>9.2564080000000007E-2</v>
      </c>
      <c r="T6630" s="2">
        <v>5.0432480000000002E-2</v>
      </c>
    </row>
    <row r="6631" spans="18:20" x14ac:dyDescent="0.45">
      <c r="R6631" s="2">
        <v>83.07</v>
      </c>
      <c r="S6631" s="2">
        <v>9.2658260000000006E-2</v>
      </c>
      <c r="T6631" s="2">
        <v>5.048656E-2</v>
      </c>
    </row>
    <row r="6632" spans="18:20" x14ac:dyDescent="0.45">
      <c r="R6632" s="2">
        <v>83.08</v>
      </c>
      <c r="S6632" s="2">
        <v>9.2752440000000005E-2</v>
      </c>
      <c r="T6632" s="2">
        <v>5.0540639999999998E-2</v>
      </c>
    </row>
    <row r="6633" spans="18:20" x14ac:dyDescent="0.45">
      <c r="R6633" s="2">
        <v>83.09</v>
      </c>
      <c r="S6633" s="2">
        <v>9.2846620000000005E-2</v>
      </c>
      <c r="T6633" s="2">
        <v>5.0594720000000003E-2</v>
      </c>
    </row>
    <row r="6634" spans="18:20" x14ac:dyDescent="0.45">
      <c r="R6634" s="2">
        <v>83.1</v>
      </c>
      <c r="S6634" s="2">
        <v>9.2940800000000004E-2</v>
      </c>
      <c r="T6634" s="2">
        <v>5.0648800000000001E-2</v>
      </c>
    </row>
    <row r="6635" spans="18:20" x14ac:dyDescent="0.45">
      <c r="R6635" s="2">
        <v>83.11</v>
      </c>
      <c r="S6635" s="2">
        <v>9.3034980000000003E-2</v>
      </c>
      <c r="T6635" s="2">
        <v>5.0702879999999999E-2</v>
      </c>
    </row>
    <row r="6636" spans="18:20" x14ac:dyDescent="0.45">
      <c r="R6636" s="2">
        <v>83.12</v>
      </c>
      <c r="S6636" s="2">
        <v>9.3129160000000002E-2</v>
      </c>
      <c r="T6636" s="2">
        <v>5.0756959999999997E-2</v>
      </c>
    </row>
    <row r="6637" spans="18:20" x14ac:dyDescent="0.45">
      <c r="R6637" s="2">
        <v>83.13</v>
      </c>
      <c r="S6637" s="2">
        <v>9.3223340000000002E-2</v>
      </c>
      <c r="T6637" s="2">
        <v>5.0811040000000002E-2</v>
      </c>
    </row>
    <row r="6638" spans="18:20" x14ac:dyDescent="0.45">
      <c r="R6638" s="2">
        <v>83.14</v>
      </c>
      <c r="S6638" s="2">
        <v>9.3317520000000001E-2</v>
      </c>
      <c r="T6638" s="2">
        <v>5.086512E-2</v>
      </c>
    </row>
    <row r="6639" spans="18:20" x14ac:dyDescent="0.45">
      <c r="R6639" s="2">
        <v>83.15</v>
      </c>
      <c r="S6639" s="2">
        <v>9.34117E-2</v>
      </c>
      <c r="T6639" s="2">
        <v>5.0919199999999998E-2</v>
      </c>
    </row>
    <row r="6640" spans="18:20" x14ac:dyDescent="0.45">
      <c r="R6640" s="2">
        <v>83.16</v>
      </c>
      <c r="S6640" s="2">
        <v>9.350588E-2</v>
      </c>
      <c r="T6640" s="2">
        <v>5.0973280000000003E-2</v>
      </c>
    </row>
    <row r="6641" spans="18:20" x14ac:dyDescent="0.45">
      <c r="R6641" s="2">
        <v>83.17</v>
      </c>
      <c r="S6641" s="2">
        <v>9.3600059999999999E-2</v>
      </c>
      <c r="T6641" s="2">
        <v>5.1027360000000001E-2</v>
      </c>
    </row>
    <row r="6642" spans="18:20" x14ac:dyDescent="0.45">
      <c r="R6642" s="2">
        <v>83.18</v>
      </c>
      <c r="S6642" s="2">
        <v>9.3694239999999998E-2</v>
      </c>
      <c r="T6642" s="2">
        <v>5.1081439999999999E-2</v>
      </c>
    </row>
    <row r="6643" spans="18:20" x14ac:dyDescent="0.45">
      <c r="R6643" s="2">
        <v>83.19</v>
      </c>
      <c r="S6643" s="2">
        <v>9.3788419999999997E-2</v>
      </c>
      <c r="T6643" s="2">
        <v>5.1135519999999997E-2</v>
      </c>
    </row>
    <row r="6644" spans="18:20" x14ac:dyDescent="0.45">
      <c r="R6644" s="2">
        <v>83.2</v>
      </c>
      <c r="S6644" s="2">
        <v>9.3882599999999997E-2</v>
      </c>
      <c r="T6644" s="2">
        <v>5.1189600000000002E-2</v>
      </c>
    </row>
    <row r="6645" spans="18:20" x14ac:dyDescent="0.45">
      <c r="R6645" s="2">
        <v>83.21</v>
      </c>
      <c r="S6645" s="2">
        <v>9.3976779999999996E-2</v>
      </c>
      <c r="T6645" s="2">
        <v>5.124368E-2</v>
      </c>
    </row>
    <row r="6646" spans="18:20" x14ac:dyDescent="0.45">
      <c r="R6646" s="2">
        <v>83.22</v>
      </c>
      <c r="S6646" s="2">
        <v>9.4070959999999995E-2</v>
      </c>
      <c r="T6646" s="2">
        <v>5.1297759999999998E-2</v>
      </c>
    </row>
    <row r="6647" spans="18:20" x14ac:dyDescent="0.45">
      <c r="R6647" s="2">
        <v>83.23</v>
      </c>
      <c r="S6647" s="2">
        <v>9.4165139999999994E-2</v>
      </c>
      <c r="T6647" s="2">
        <v>5.1351840000000003E-2</v>
      </c>
    </row>
    <row r="6648" spans="18:20" x14ac:dyDescent="0.45">
      <c r="R6648" s="2">
        <v>83.24</v>
      </c>
      <c r="S6648" s="2">
        <v>9.4259319999999994E-2</v>
      </c>
      <c r="T6648" s="2">
        <v>5.1405920000000001E-2</v>
      </c>
    </row>
    <row r="6649" spans="18:20" x14ac:dyDescent="0.45">
      <c r="R6649" s="2">
        <v>83.25</v>
      </c>
      <c r="S6649" s="2">
        <v>9.4353500000000007E-2</v>
      </c>
      <c r="T6649" s="2">
        <v>5.1459999999999999E-2</v>
      </c>
    </row>
    <row r="6650" spans="18:20" x14ac:dyDescent="0.45">
      <c r="R6650" s="2">
        <v>83.26</v>
      </c>
      <c r="S6650" s="2">
        <v>9.4447680000000006E-2</v>
      </c>
      <c r="T6650" s="2">
        <v>5.1514079999999997E-2</v>
      </c>
    </row>
    <row r="6651" spans="18:20" x14ac:dyDescent="0.45">
      <c r="R6651" s="2">
        <v>83.27</v>
      </c>
      <c r="S6651" s="2">
        <v>9.4541860000000005E-2</v>
      </c>
      <c r="T6651" s="2">
        <v>5.1568160000000002E-2</v>
      </c>
    </row>
    <row r="6652" spans="18:20" x14ac:dyDescent="0.45">
      <c r="R6652" s="2">
        <v>83.28</v>
      </c>
      <c r="S6652" s="2">
        <v>9.4636040000000005E-2</v>
      </c>
      <c r="T6652" s="2">
        <v>5.162224E-2</v>
      </c>
    </row>
    <row r="6653" spans="18:20" x14ac:dyDescent="0.45">
      <c r="R6653" s="2">
        <v>83.29</v>
      </c>
      <c r="S6653" s="2">
        <v>9.4730220000000004E-2</v>
      </c>
      <c r="T6653" s="2">
        <v>5.1676319999999998E-2</v>
      </c>
    </row>
    <row r="6654" spans="18:20" x14ac:dyDescent="0.45">
      <c r="R6654" s="2">
        <v>83.3</v>
      </c>
      <c r="S6654" s="2">
        <v>9.4824400000000003E-2</v>
      </c>
      <c r="T6654" s="2">
        <v>5.1730400000000003E-2</v>
      </c>
    </row>
    <row r="6655" spans="18:20" x14ac:dyDescent="0.45">
      <c r="R6655" s="2">
        <v>83.31</v>
      </c>
      <c r="S6655" s="2">
        <v>9.4918580000000002E-2</v>
      </c>
      <c r="T6655" s="2">
        <v>5.1784480000000001E-2</v>
      </c>
    </row>
    <row r="6656" spans="18:20" x14ac:dyDescent="0.45">
      <c r="R6656" s="2">
        <v>83.32</v>
      </c>
      <c r="S6656" s="2">
        <v>9.5012760000000002E-2</v>
      </c>
      <c r="T6656" s="2">
        <v>5.1838559999999999E-2</v>
      </c>
    </row>
    <row r="6657" spans="18:20" x14ac:dyDescent="0.45">
      <c r="R6657" s="2">
        <v>83.33</v>
      </c>
      <c r="S6657" s="2">
        <v>9.5106940000000001E-2</v>
      </c>
      <c r="T6657" s="2">
        <v>5.1892639999999997E-2</v>
      </c>
    </row>
    <row r="6658" spans="18:20" x14ac:dyDescent="0.45">
      <c r="R6658" s="2">
        <v>83.34</v>
      </c>
      <c r="S6658" s="2">
        <v>9.520112E-2</v>
      </c>
      <c r="T6658" s="2">
        <v>5.1946720000000002E-2</v>
      </c>
    </row>
    <row r="6659" spans="18:20" x14ac:dyDescent="0.45">
      <c r="R6659" s="2">
        <v>83.35</v>
      </c>
      <c r="S6659" s="2">
        <v>9.5295299999999999E-2</v>
      </c>
      <c r="T6659" s="2">
        <v>5.20008E-2</v>
      </c>
    </row>
    <row r="6660" spans="18:20" x14ac:dyDescent="0.45">
      <c r="R6660" s="2">
        <v>83.36</v>
      </c>
      <c r="S6660" s="2">
        <v>9.5389479999999999E-2</v>
      </c>
      <c r="T6660" s="2">
        <v>5.2054879999999998E-2</v>
      </c>
    </row>
    <row r="6661" spans="18:20" x14ac:dyDescent="0.45">
      <c r="R6661" s="2">
        <v>83.37</v>
      </c>
      <c r="S6661" s="2">
        <v>9.5483659999999998E-2</v>
      </c>
      <c r="T6661" s="2">
        <v>5.2108960000000003E-2</v>
      </c>
    </row>
    <row r="6662" spans="18:20" x14ac:dyDescent="0.45">
      <c r="R6662" s="2">
        <v>83.38</v>
      </c>
      <c r="S6662" s="2">
        <v>9.5577839999999997E-2</v>
      </c>
      <c r="T6662" s="2">
        <v>5.2163040000000001E-2</v>
      </c>
    </row>
    <row r="6663" spans="18:20" x14ac:dyDescent="0.45">
      <c r="R6663" s="2">
        <v>83.39</v>
      </c>
      <c r="S6663" s="2">
        <v>9.5672019999999997E-2</v>
      </c>
      <c r="T6663" s="2">
        <v>5.2217119999999999E-2</v>
      </c>
    </row>
    <row r="6664" spans="18:20" x14ac:dyDescent="0.45">
      <c r="R6664" s="2">
        <v>83.4</v>
      </c>
      <c r="S6664" s="2">
        <v>9.5766199999999996E-2</v>
      </c>
      <c r="T6664" s="2">
        <v>5.2271199999999997E-2</v>
      </c>
    </row>
    <row r="6665" spans="18:20" x14ac:dyDescent="0.45">
      <c r="R6665" s="2">
        <v>83.41</v>
      </c>
      <c r="S6665" s="2">
        <v>9.5860379999999995E-2</v>
      </c>
      <c r="T6665" s="2">
        <v>5.2325280000000002E-2</v>
      </c>
    </row>
    <row r="6666" spans="18:20" x14ac:dyDescent="0.45">
      <c r="R6666" s="2">
        <v>83.42</v>
      </c>
      <c r="S6666" s="2">
        <v>9.5954559999999994E-2</v>
      </c>
      <c r="T6666" s="2">
        <v>5.237936E-2</v>
      </c>
    </row>
    <row r="6667" spans="18:20" x14ac:dyDescent="0.45">
      <c r="R6667" s="2">
        <v>83.43</v>
      </c>
      <c r="S6667" s="2">
        <v>9.6048739999999994E-2</v>
      </c>
      <c r="T6667" s="2">
        <v>5.2433439999999998E-2</v>
      </c>
    </row>
    <row r="6668" spans="18:20" x14ac:dyDescent="0.45">
      <c r="R6668" s="2">
        <v>83.44</v>
      </c>
      <c r="S6668" s="2">
        <v>9.6142920000000007E-2</v>
      </c>
      <c r="T6668" s="2">
        <v>5.2487520000000003E-2</v>
      </c>
    </row>
    <row r="6669" spans="18:20" x14ac:dyDescent="0.45">
      <c r="R6669" s="2">
        <v>83.45</v>
      </c>
      <c r="S6669" s="2">
        <v>9.6237100000000006E-2</v>
      </c>
      <c r="T6669" s="2">
        <v>5.2541600000000001E-2</v>
      </c>
    </row>
    <row r="6670" spans="18:20" x14ac:dyDescent="0.45">
      <c r="R6670" s="2">
        <v>83.46</v>
      </c>
      <c r="S6670" s="2">
        <v>9.6331280000000005E-2</v>
      </c>
      <c r="T6670" s="2">
        <v>5.2595679999999999E-2</v>
      </c>
    </row>
    <row r="6671" spans="18:20" x14ac:dyDescent="0.45">
      <c r="R6671" s="2">
        <v>83.47</v>
      </c>
      <c r="S6671" s="2">
        <v>9.6425460000000005E-2</v>
      </c>
      <c r="T6671" s="2">
        <v>5.2649759999999997E-2</v>
      </c>
    </row>
    <row r="6672" spans="18:20" x14ac:dyDescent="0.45">
      <c r="R6672" s="2">
        <v>83.48</v>
      </c>
      <c r="S6672" s="2">
        <v>9.6519640000000004E-2</v>
      </c>
      <c r="T6672" s="2">
        <v>5.2703840000000002E-2</v>
      </c>
    </row>
    <row r="6673" spans="18:20" x14ac:dyDescent="0.45">
      <c r="R6673" s="2">
        <v>83.49</v>
      </c>
      <c r="S6673" s="2">
        <v>9.6613820000000003E-2</v>
      </c>
      <c r="T6673" s="2">
        <v>5.275792E-2</v>
      </c>
    </row>
    <row r="6674" spans="18:20" x14ac:dyDescent="0.45">
      <c r="R6674" s="2">
        <v>83.5</v>
      </c>
      <c r="S6674" s="2">
        <v>9.6708000000000002E-2</v>
      </c>
      <c r="T6674" s="2">
        <v>5.2811999999999998E-2</v>
      </c>
    </row>
    <row r="6675" spans="18:20" x14ac:dyDescent="0.45">
      <c r="R6675" s="2">
        <v>83.51</v>
      </c>
      <c r="S6675" s="2">
        <v>9.6802180000000002E-2</v>
      </c>
      <c r="T6675" s="2">
        <v>5.2866080000000003E-2</v>
      </c>
    </row>
    <row r="6676" spans="18:20" x14ac:dyDescent="0.45">
      <c r="R6676" s="2">
        <v>83.52</v>
      </c>
      <c r="S6676" s="2">
        <v>9.6896360000000001E-2</v>
      </c>
      <c r="T6676" s="2">
        <v>5.2920160000000001E-2</v>
      </c>
    </row>
    <row r="6677" spans="18:20" x14ac:dyDescent="0.45">
      <c r="R6677" s="2">
        <v>83.53</v>
      </c>
      <c r="S6677" s="2">
        <v>9.699054E-2</v>
      </c>
      <c r="T6677" s="2">
        <v>5.2974239999999999E-2</v>
      </c>
    </row>
    <row r="6678" spans="18:20" x14ac:dyDescent="0.45">
      <c r="R6678" s="2">
        <v>83.54</v>
      </c>
      <c r="S6678" s="2">
        <v>9.7084719999999999E-2</v>
      </c>
      <c r="T6678" s="2">
        <v>5.3028319999999997E-2</v>
      </c>
    </row>
    <row r="6679" spans="18:20" x14ac:dyDescent="0.45">
      <c r="R6679" s="2">
        <v>83.55</v>
      </c>
      <c r="S6679" s="2">
        <v>9.7178899999999999E-2</v>
      </c>
      <c r="T6679" s="2">
        <v>5.3082400000000002E-2</v>
      </c>
    </row>
    <row r="6680" spans="18:20" x14ac:dyDescent="0.45">
      <c r="R6680" s="2">
        <v>83.56</v>
      </c>
      <c r="S6680" s="2">
        <v>9.7273079999999998E-2</v>
      </c>
      <c r="T6680" s="2">
        <v>5.313648E-2</v>
      </c>
    </row>
    <row r="6681" spans="18:20" x14ac:dyDescent="0.45">
      <c r="R6681" s="2">
        <v>83.57</v>
      </c>
      <c r="S6681" s="2">
        <v>9.7367259999999997E-2</v>
      </c>
      <c r="T6681" s="2">
        <v>5.3190559999999998E-2</v>
      </c>
    </row>
    <row r="6682" spans="18:20" x14ac:dyDescent="0.45">
      <c r="R6682" s="2">
        <v>83.58</v>
      </c>
      <c r="S6682" s="2">
        <v>9.7461439999999996E-2</v>
      </c>
      <c r="T6682" s="2">
        <v>5.3244640000000003E-2</v>
      </c>
    </row>
    <row r="6683" spans="18:20" x14ac:dyDescent="0.45">
      <c r="R6683" s="2">
        <v>83.59</v>
      </c>
      <c r="S6683" s="2">
        <v>9.7555619999999996E-2</v>
      </c>
      <c r="T6683" s="2">
        <v>5.3298720000000001E-2</v>
      </c>
    </row>
    <row r="6684" spans="18:20" x14ac:dyDescent="0.45">
      <c r="R6684" s="2">
        <v>83.6</v>
      </c>
      <c r="S6684" s="2">
        <v>9.7649799999999995E-2</v>
      </c>
      <c r="T6684" s="2">
        <v>5.3352799999999999E-2</v>
      </c>
    </row>
    <row r="6685" spans="18:20" x14ac:dyDescent="0.45">
      <c r="R6685" s="2">
        <v>83.61</v>
      </c>
      <c r="S6685" s="2">
        <v>9.7743979999999994E-2</v>
      </c>
      <c r="T6685" s="2">
        <v>5.3406879999999997E-2</v>
      </c>
    </row>
    <row r="6686" spans="18:20" x14ac:dyDescent="0.45">
      <c r="R6686" s="2">
        <v>83.62</v>
      </c>
      <c r="S6686" s="2">
        <v>9.7838159999999993E-2</v>
      </c>
      <c r="T6686" s="2">
        <v>5.3460960000000002E-2</v>
      </c>
    </row>
    <row r="6687" spans="18:20" x14ac:dyDescent="0.45">
      <c r="R6687" s="2">
        <v>83.63</v>
      </c>
      <c r="S6687" s="2">
        <v>9.7932340000000007E-2</v>
      </c>
      <c r="T6687" s="2">
        <v>5.351504E-2</v>
      </c>
    </row>
    <row r="6688" spans="18:20" x14ac:dyDescent="0.45">
      <c r="R6688" s="2">
        <v>83.64</v>
      </c>
      <c r="S6688" s="2">
        <v>9.8026520000000006E-2</v>
      </c>
      <c r="T6688" s="2">
        <v>5.3569119999999998E-2</v>
      </c>
    </row>
    <row r="6689" spans="18:20" x14ac:dyDescent="0.45">
      <c r="R6689" s="2">
        <v>83.65</v>
      </c>
      <c r="S6689" s="2">
        <v>9.8120700000000005E-2</v>
      </c>
      <c r="T6689" s="2">
        <v>5.3623200000000003E-2</v>
      </c>
    </row>
    <row r="6690" spans="18:20" x14ac:dyDescent="0.45">
      <c r="R6690" s="2">
        <v>83.66</v>
      </c>
      <c r="S6690" s="2">
        <v>9.8214880000000004E-2</v>
      </c>
      <c r="T6690" s="2">
        <v>5.3677280000000001E-2</v>
      </c>
    </row>
    <row r="6691" spans="18:20" x14ac:dyDescent="0.45">
      <c r="R6691" s="2">
        <v>83.67</v>
      </c>
      <c r="S6691" s="2">
        <v>9.8309060000000004E-2</v>
      </c>
      <c r="T6691" s="2">
        <v>5.3731359999999999E-2</v>
      </c>
    </row>
    <row r="6692" spans="18:20" x14ac:dyDescent="0.45">
      <c r="R6692" s="2">
        <v>83.68</v>
      </c>
      <c r="S6692" s="2">
        <v>9.8403240000000003E-2</v>
      </c>
      <c r="T6692" s="2">
        <v>5.3785439999999997E-2</v>
      </c>
    </row>
    <row r="6693" spans="18:20" x14ac:dyDescent="0.45">
      <c r="R6693" s="2">
        <v>83.69</v>
      </c>
      <c r="S6693" s="2">
        <v>9.8497420000000002E-2</v>
      </c>
      <c r="T6693" s="2">
        <v>5.3839520000000002E-2</v>
      </c>
    </row>
    <row r="6694" spans="18:20" x14ac:dyDescent="0.45">
      <c r="R6694" s="2">
        <v>83.7</v>
      </c>
      <c r="S6694" s="2">
        <v>9.8591600000000001E-2</v>
      </c>
      <c r="T6694" s="2">
        <v>5.38936E-2</v>
      </c>
    </row>
    <row r="6695" spans="18:20" x14ac:dyDescent="0.45">
      <c r="R6695" s="2">
        <v>83.71</v>
      </c>
      <c r="S6695" s="2">
        <v>9.8685780000000001E-2</v>
      </c>
      <c r="T6695" s="2">
        <v>5.3947679999999998E-2</v>
      </c>
    </row>
    <row r="6696" spans="18:20" x14ac:dyDescent="0.45">
      <c r="R6696" s="2">
        <v>83.72</v>
      </c>
      <c r="S6696" s="2">
        <v>9.877996E-2</v>
      </c>
      <c r="T6696" s="2">
        <v>5.4001760000000003E-2</v>
      </c>
    </row>
    <row r="6697" spans="18:20" x14ac:dyDescent="0.45">
      <c r="R6697" s="2">
        <v>83.73</v>
      </c>
      <c r="S6697" s="2">
        <v>9.8874139999999999E-2</v>
      </c>
      <c r="T6697" s="2">
        <v>5.4055840000000001E-2</v>
      </c>
    </row>
    <row r="6698" spans="18:20" x14ac:dyDescent="0.45">
      <c r="R6698" s="2">
        <v>83.74</v>
      </c>
      <c r="S6698" s="2">
        <v>9.8968319999999999E-2</v>
      </c>
      <c r="T6698" s="2">
        <v>5.4109919999999999E-2</v>
      </c>
    </row>
    <row r="6699" spans="18:20" x14ac:dyDescent="0.45">
      <c r="R6699" s="2">
        <v>83.75</v>
      </c>
      <c r="S6699" s="2">
        <v>9.9062499999999998E-2</v>
      </c>
      <c r="T6699" s="2">
        <v>5.4163999999999997E-2</v>
      </c>
    </row>
    <row r="6700" spans="18:20" x14ac:dyDescent="0.45">
      <c r="R6700" s="2">
        <v>83.76</v>
      </c>
      <c r="S6700" s="2">
        <v>9.9156679999999997E-2</v>
      </c>
      <c r="T6700" s="2">
        <v>5.4218080000000002E-2</v>
      </c>
    </row>
    <row r="6701" spans="18:20" x14ac:dyDescent="0.45">
      <c r="R6701" s="2">
        <v>83.77</v>
      </c>
      <c r="S6701" s="2">
        <v>9.9250859999999996E-2</v>
      </c>
      <c r="T6701" s="2">
        <v>5.427216E-2</v>
      </c>
    </row>
    <row r="6702" spans="18:20" x14ac:dyDescent="0.45">
      <c r="R6702" s="2">
        <v>83.78</v>
      </c>
      <c r="S6702" s="2">
        <v>9.9345039999999996E-2</v>
      </c>
      <c r="T6702" s="2">
        <v>5.4326239999999998E-2</v>
      </c>
    </row>
    <row r="6703" spans="18:20" x14ac:dyDescent="0.45">
      <c r="R6703" s="2">
        <v>83.79</v>
      </c>
      <c r="S6703" s="2">
        <v>9.9439219999999995E-2</v>
      </c>
      <c r="T6703" s="2">
        <v>5.4380320000000003E-2</v>
      </c>
    </row>
    <row r="6704" spans="18:20" x14ac:dyDescent="0.45">
      <c r="R6704" s="2">
        <v>83.8</v>
      </c>
      <c r="S6704" s="2">
        <v>9.9533399999999994E-2</v>
      </c>
      <c r="T6704" s="2">
        <v>5.4434400000000001E-2</v>
      </c>
    </row>
    <row r="6705" spans="18:20" x14ac:dyDescent="0.45">
      <c r="R6705" s="2">
        <v>83.81</v>
      </c>
      <c r="S6705" s="2">
        <v>9.9627579999999993E-2</v>
      </c>
      <c r="T6705" s="2">
        <v>5.4488479999999999E-2</v>
      </c>
    </row>
    <row r="6706" spans="18:20" x14ac:dyDescent="0.45">
      <c r="R6706" s="2">
        <v>83.82</v>
      </c>
      <c r="S6706" s="2">
        <v>9.9721760000000007E-2</v>
      </c>
      <c r="T6706" s="2">
        <v>5.4542559999999997E-2</v>
      </c>
    </row>
    <row r="6707" spans="18:20" x14ac:dyDescent="0.45">
      <c r="R6707" s="2">
        <v>83.83</v>
      </c>
      <c r="S6707" s="2">
        <v>9.9815940000000006E-2</v>
      </c>
      <c r="T6707" s="2">
        <v>5.4596640000000002E-2</v>
      </c>
    </row>
    <row r="6708" spans="18:20" x14ac:dyDescent="0.45">
      <c r="R6708" s="2">
        <v>83.84</v>
      </c>
      <c r="S6708" s="2">
        <v>9.9910120000000005E-2</v>
      </c>
      <c r="T6708" s="2">
        <v>5.465072E-2</v>
      </c>
    </row>
    <row r="6709" spans="18:20" x14ac:dyDescent="0.45">
      <c r="R6709" s="2">
        <v>83.85</v>
      </c>
      <c r="S6709" s="2">
        <v>0.1000043</v>
      </c>
      <c r="T6709" s="2">
        <v>5.4704799999999998E-2</v>
      </c>
    </row>
    <row r="6710" spans="18:20" x14ac:dyDescent="0.45">
      <c r="R6710" s="2">
        <v>83.86</v>
      </c>
      <c r="S6710" s="2">
        <v>0.10009850000000001</v>
      </c>
      <c r="T6710" s="2">
        <v>5.4758880000000003E-2</v>
      </c>
    </row>
    <row r="6711" spans="18:20" x14ac:dyDescent="0.45">
      <c r="R6711" s="2">
        <v>83.87</v>
      </c>
      <c r="S6711" s="2">
        <v>0.1001927</v>
      </c>
      <c r="T6711" s="2">
        <v>5.4812960000000001E-2</v>
      </c>
    </row>
    <row r="6712" spans="18:20" x14ac:dyDescent="0.45">
      <c r="R6712" s="2">
        <v>83.88</v>
      </c>
      <c r="S6712" s="2">
        <v>0.1002868</v>
      </c>
      <c r="T6712" s="2">
        <v>5.4867039999999999E-2</v>
      </c>
    </row>
    <row r="6713" spans="18:20" x14ac:dyDescent="0.45">
      <c r="R6713" s="2">
        <v>83.89</v>
      </c>
      <c r="S6713" s="2">
        <v>0.100381</v>
      </c>
      <c r="T6713" s="2">
        <v>5.4921119999999997E-2</v>
      </c>
    </row>
    <row r="6714" spans="18:20" x14ac:dyDescent="0.45">
      <c r="R6714" s="2">
        <v>83.9</v>
      </c>
      <c r="S6714" s="2">
        <v>0.1004752</v>
      </c>
      <c r="T6714" s="2">
        <v>5.4975200000000002E-2</v>
      </c>
    </row>
    <row r="6715" spans="18:20" x14ac:dyDescent="0.45">
      <c r="R6715" s="2">
        <v>83.91</v>
      </c>
      <c r="S6715" s="2">
        <v>0.1005694</v>
      </c>
      <c r="T6715" s="2">
        <v>5.502928E-2</v>
      </c>
    </row>
    <row r="6716" spans="18:20" x14ac:dyDescent="0.45">
      <c r="R6716" s="2">
        <v>83.92</v>
      </c>
      <c r="S6716" s="2">
        <v>0.10066360000000001</v>
      </c>
      <c r="T6716" s="2">
        <v>5.5083359999999998E-2</v>
      </c>
    </row>
    <row r="6717" spans="18:20" x14ac:dyDescent="0.45">
      <c r="R6717" s="2">
        <v>83.93</v>
      </c>
      <c r="S6717" s="2">
        <v>0.10075770000000001</v>
      </c>
      <c r="T6717" s="2">
        <v>5.5137440000000003E-2</v>
      </c>
    </row>
    <row r="6718" spans="18:20" x14ac:dyDescent="0.45">
      <c r="R6718" s="2">
        <v>83.94</v>
      </c>
      <c r="S6718" s="2">
        <v>0.10085189999999999</v>
      </c>
      <c r="T6718" s="2">
        <v>5.5191520000000001E-2</v>
      </c>
    </row>
    <row r="6719" spans="18:20" x14ac:dyDescent="0.45">
      <c r="R6719" s="2">
        <v>83.95</v>
      </c>
      <c r="S6719" s="2">
        <v>0.1009461</v>
      </c>
      <c r="T6719" s="2">
        <v>5.5245599999999999E-2</v>
      </c>
    </row>
    <row r="6720" spans="18:20" x14ac:dyDescent="0.45">
      <c r="R6720" s="2">
        <v>83.96</v>
      </c>
      <c r="S6720" s="2">
        <v>0.1010403</v>
      </c>
      <c r="T6720" s="2">
        <v>5.5299679999999997E-2</v>
      </c>
    </row>
    <row r="6721" spans="18:20" x14ac:dyDescent="0.45">
      <c r="R6721" s="2">
        <v>83.97</v>
      </c>
      <c r="S6721" s="2">
        <v>0.1011345</v>
      </c>
      <c r="T6721" s="2">
        <v>5.5353760000000002E-2</v>
      </c>
    </row>
    <row r="6722" spans="18:20" x14ac:dyDescent="0.45">
      <c r="R6722" s="2">
        <v>83.98</v>
      </c>
      <c r="S6722" s="2">
        <v>0.1012286</v>
      </c>
      <c r="T6722" s="2">
        <v>5.540784E-2</v>
      </c>
    </row>
    <row r="6723" spans="18:20" x14ac:dyDescent="0.45">
      <c r="R6723" s="2">
        <v>83.99</v>
      </c>
      <c r="S6723" s="2">
        <v>0.1013228</v>
      </c>
      <c r="T6723" s="2">
        <v>5.5461919999999998E-2</v>
      </c>
    </row>
    <row r="6724" spans="18:20" x14ac:dyDescent="0.45">
      <c r="R6724" s="2">
        <v>84</v>
      </c>
      <c r="S6724" s="2">
        <v>0.10141699999999999</v>
      </c>
      <c r="T6724" s="2">
        <v>5.5516000000000003E-2</v>
      </c>
    </row>
    <row r="6725" spans="18:20" x14ac:dyDescent="0.45">
      <c r="R6725" s="2">
        <v>84.01</v>
      </c>
      <c r="S6725" s="2">
        <v>0.1015197</v>
      </c>
      <c r="T6725" s="2">
        <v>5.5575939999999997E-2</v>
      </c>
    </row>
    <row r="6726" spans="18:20" x14ac:dyDescent="0.45">
      <c r="R6726" s="2">
        <v>84.02</v>
      </c>
      <c r="S6726" s="2">
        <v>0.1016225</v>
      </c>
      <c r="T6726" s="2">
        <v>5.5635879999999999E-2</v>
      </c>
    </row>
    <row r="6727" spans="18:20" x14ac:dyDescent="0.45">
      <c r="R6727" s="2">
        <v>84.03</v>
      </c>
      <c r="S6727" s="2">
        <v>0.1017252</v>
      </c>
      <c r="T6727" s="2">
        <v>5.569582E-2</v>
      </c>
    </row>
    <row r="6728" spans="18:20" x14ac:dyDescent="0.45">
      <c r="R6728" s="2">
        <v>84.04</v>
      </c>
      <c r="S6728" s="2">
        <v>0.101828</v>
      </c>
      <c r="T6728" s="2">
        <v>5.5755760000000001E-2</v>
      </c>
    </row>
    <row r="6729" spans="18:20" x14ac:dyDescent="0.45">
      <c r="R6729" s="2">
        <v>84.05</v>
      </c>
      <c r="S6729" s="2">
        <v>0.1019307</v>
      </c>
      <c r="T6729" s="2">
        <v>5.5815700000000003E-2</v>
      </c>
    </row>
    <row r="6730" spans="18:20" x14ac:dyDescent="0.45">
      <c r="R6730" s="2">
        <v>84.06</v>
      </c>
      <c r="S6730" s="2">
        <v>0.1020334</v>
      </c>
      <c r="T6730" s="2">
        <v>5.5875639999999997E-2</v>
      </c>
    </row>
    <row r="6731" spans="18:20" x14ac:dyDescent="0.45">
      <c r="R6731" s="2">
        <v>84.07</v>
      </c>
      <c r="S6731" s="2">
        <v>0.1021362</v>
      </c>
      <c r="T6731" s="2">
        <v>5.5935579999999999E-2</v>
      </c>
    </row>
    <row r="6732" spans="18:20" x14ac:dyDescent="0.45">
      <c r="R6732" s="2">
        <v>84.08</v>
      </c>
      <c r="S6732" s="2">
        <v>0.10223889999999999</v>
      </c>
      <c r="T6732" s="2">
        <v>5.599552E-2</v>
      </c>
    </row>
    <row r="6733" spans="18:20" x14ac:dyDescent="0.45">
      <c r="R6733" s="2">
        <v>84.09</v>
      </c>
      <c r="S6733" s="2">
        <v>0.10234169999999999</v>
      </c>
      <c r="T6733" s="2">
        <v>5.6055460000000001E-2</v>
      </c>
    </row>
    <row r="6734" spans="18:20" x14ac:dyDescent="0.45">
      <c r="R6734" s="2">
        <v>84.1</v>
      </c>
      <c r="S6734" s="2">
        <v>0.1024444</v>
      </c>
      <c r="T6734" s="2">
        <v>5.6115400000000003E-2</v>
      </c>
    </row>
    <row r="6735" spans="18:20" x14ac:dyDescent="0.45">
      <c r="R6735" s="2">
        <v>84.11</v>
      </c>
      <c r="S6735" s="2">
        <v>0.1025471</v>
      </c>
      <c r="T6735" s="2">
        <v>5.6175339999999997E-2</v>
      </c>
    </row>
    <row r="6736" spans="18:20" x14ac:dyDescent="0.45">
      <c r="R6736" s="2">
        <v>84.12</v>
      </c>
      <c r="S6736" s="2">
        <v>0.1026499</v>
      </c>
      <c r="T6736" s="2">
        <v>5.6235279999999999E-2</v>
      </c>
    </row>
    <row r="6737" spans="18:20" x14ac:dyDescent="0.45">
      <c r="R6737" s="2">
        <v>84.13</v>
      </c>
      <c r="S6737" s="2">
        <v>0.1027526</v>
      </c>
      <c r="T6737" s="2">
        <v>5.629522E-2</v>
      </c>
    </row>
    <row r="6738" spans="18:20" x14ac:dyDescent="0.45">
      <c r="R6738" s="2">
        <v>84.14</v>
      </c>
      <c r="S6738" s="2">
        <v>0.1028554</v>
      </c>
      <c r="T6738" s="2">
        <v>5.6355160000000001E-2</v>
      </c>
    </row>
    <row r="6739" spans="18:20" x14ac:dyDescent="0.45">
      <c r="R6739" s="2">
        <v>84.15</v>
      </c>
      <c r="S6739" s="2">
        <v>0.1029581</v>
      </c>
      <c r="T6739" s="2">
        <v>5.6415100000000003E-2</v>
      </c>
    </row>
    <row r="6740" spans="18:20" x14ac:dyDescent="0.45">
      <c r="R6740" s="2">
        <v>84.16</v>
      </c>
      <c r="S6740" s="2">
        <v>0.10306079999999999</v>
      </c>
      <c r="T6740" s="2">
        <v>5.6475039999999997E-2</v>
      </c>
    </row>
    <row r="6741" spans="18:20" x14ac:dyDescent="0.45">
      <c r="R6741" s="2">
        <v>84.17</v>
      </c>
      <c r="S6741" s="2">
        <v>0.10316359999999999</v>
      </c>
      <c r="T6741" s="2">
        <v>5.6534979999999999E-2</v>
      </c>
    </row>
    <row r="6742" spans="18:20" x14ac:dyDescent="0.45">
      <c r="R6742" s="2">
        <v>84.18</v>
      </c>
      <c r="S6742" s="2">
        <v>0.10326630000000001</v>
      </c>
      <c r="T6742" s="2">
        <v>5.659492E-2</v>
      </c>
    </row>
    <row r="6743" spans="18:20" x14ac:dyDescent="0.45">
      <c r="R6743" s="2">
        <v>84.19</v>
      </c>
      <c r="S6743" s="2">
        <v>0.10336910000000001</v>
      </c>
      <c r="T6743" s="2">
        <v>5.6654860000000001E-2</v>
      </c>
    </row>
    <row r="6744" spans="18:20" x14ac:dyDescent="0.45">
      <c r="R6744" s="2">
        <v>84.2</v>
      </c>
      <c r="S6744" s="2">
        <v>0.1034718</v>
      </c>
      <c r="T6744" s="2">
        <v>5.6714800000000003E-2</v>
      </c>
    </row>
    <row r="6745" spans="18:20" x14ac:dyDescent="0.45">
      <c r="R6745" s="2">
        <v>84.21</v>
      </c>
      <c r="S6745" s="2">
        <v>0.1035745</v>
      </c>
      <c r="T6745" s="2">
        <v>5.6774739999999997E-2</v>
      </c>
    </row>
    <row r="6746" spans="18:20" x14ac:dyDescent="0.45">
      <c r="R6746" s="2">
        <v>84.22</v>
      </c>
      <c r="S6746" s="2">
        <v>0.1036773</v>
      </c>
      <c r="T6746" s="2">
        <v>5.6834679999999999E-2</v>
      </c>
    </row>
    <row r="6747" spans="18:20" x14ac:dyDescent="0.45">
      <c r="R6747" s="2">
        <v>84.23</v>
      </c>
      <c r="S6747" s="2">
        <v>0.10378</v>
      </c>
      <c r="T6747" s="2">
        <v>5.689462E-2</v>
      </c>
    </row>
    <row r="6748" spans="18:20" x14ac:dyDescent="0.45">
      <c r="R6748" s="2">
        <v>84.24</v>
      </c>
      <c r="S6748" s="2">
        <v>0.1038828</v>
      </c>
      <c r="T6748" s="2">
        <v>5.6954560000000001E-2</v>
      </c>
    </row>
    <row r="6749" spans="18:20" x14ac:dyDescent="0.45">
      <c r="R6749" s="2">
        <v>84.25</v>
      </c>
      <c r="S6749" s="2">
        <v>0.10398549999999999</v>
      </c>
      <c r="T6749" s="2">
        <v>5.7014500000000003E-2</v>
      </c>
    </row>
    <row r="6750" spans="18:20" x14ac:dyDescent="0.45">
      <c r="R6750" s="2">
        <v>84.26</v>
      </c>
      <c r="S6750" s="2">
        <v>0.10408820000000001</v>
      </c>
      <c r="T6750" s="2">
        <v>5.7074439999999997E-2</v>
      </c>
    </row>
    <row r="6751" spans="18:20" x14ac:dyDescent="0.45">
      <c r="R6751" s="2">
        <v>84.27</v>
      </c>
      <c r="S6751" s="2">
        <v>0.10419100000000001</v>
      </c>
      <c r="T6751" s="2">
        <v>5.7134379999999999E-2</v>
      </c>
    </row>
    <row r="6752" spans="18:20" x14ac:dyDescent="0.45">
      <c r="R6752" s="2">
        <v>84.28</v>
      </c>
      <c r="S6752" s="2">
        <v>0.1042937</v>
      </c>
      <c r="T6752" s="2">
        <v>5.719432E-2</v>
      </c>
    </row>
    <row r="6753" spans="18:20" x14ac:dyDescent="0.45">
      <c r="R6753" s="2">
        <v>84.29</v>
      </c>
      <c r="S6753" s="2">
        <v>0.1043965</v>
      </c>
      <c r="T6753" s="2">
        <v>5.7254260000000001E-2</v>
      </c>
    </row>
    <row r="6754" spans="18:20" x14ac:dyDescent="0.45">
      <c r="R6754" s="2">
        <v>84.3</v>
      </c>
      <c r="S6754" s="2">
        <v>0.1044992</v>
      </c>
      <c r="T6754" s="2">
        <v>5.7314200000000003E-2</v>
      </c>
    </row>
    <row r="6755" spans="18:20" x14ac:dyDescent="0.45">
      <c r="R6755" s="2">
        <v>84.31</v>
      </c>
      <c r="S6755" s="2">
        <v>0.1046019</v>
      </c>
      <c r="T6755" s="2">
        <v>5.7374139999999997E-2</v>
      </c>
    </row>
    <row r="6756" spans="18:20" x14ac:dyDescent="0.45">
      <c r="R6756" s="2">
        <v>84.32</v>
      </c>
      <c r="S6756" s="2">
        <v>0.1047047</v>
      </c>
      <c r="T6756" s="2">
        <v>5.7434079999999998E-2</v>
      </c>
    </row>
    <row r="6757" spans="18:20" x14ac:dyDescent="0.45">
      <c r="R6757" s="2">
        <v>84.33</v>
      </c>
      <c r="S6757" s="2">
        <v>0.1048074</v>
      </c>
      <c r="T6757" s="2">
        <v>5.749402E-2</v>
      </c>
    </row>
    <row r="6758" spans="18:20" x14ac:dyDescent="0.45">
      <c r="R6758" s="2">
        <v>84.34</v>
      </c>
      <c r="S6758" s="2">
        <v>0.1049102</v>
      </c>
      <c r="T6758" s="2">
        <v>5.7553960000000001E-2</v>
      </c>
    </row>
    <row r="6759" spans="18:20" x14ac:dyDescent="0.45">
      <c r="R6759" s="2">
        <v>84.35</v>
      </c>
      <c r="S6759" s="2">
        <v>0.10501290000000001</v>
      </c>
      <c r="T6759" s="2">
        <v>5.7613900000000003E-2</v>
      </c>
    </row>
    <row r="6760" spans="18:20" x14ac:dyDescent="0.45">
      <c r="R6760" s="2">
        <v>84.36</v>
      </c>
      <c r="S6760" s="2">
        <v>0.1051156</v>
      </c>
      <c r="T6760" s="2">
        <v>5.7673839999999997E-2</v>
      </c>
    </row>
    <row r="6761" spans="18:20" x14ac:dyDescent="0.45">
      <c r="R6761" s="2">
        <v>84.37</v>
      </c>
      <c r="S6761" s="2">
        <v>0.1052184</v>
      </c>
      <c r="T6761" s="2">
        <v>5.7733779999999998E-2</v>
      </c>
    </row>
    <row r="6762" spans="18:20" x14ac:dyDescent="0.45">
      <c r="R6762" s="2">
        <v>84.38</v>
      </c>
      <c r="S6762" s="2">
        <v>0.1053211</v>
      </c>
      <c r="T6762" s="2">
        <v>5.779372E-2</v>
      </c>
    </row>
    <row r="6763" spans="18:20" x14ac:dyDescent="0.45">
      <c r="R6763" s="2">
        <v>84.39</v>
      </c>
      <c r="S6763" s="2">
        <v>0.1054239</v>
      </c>
      <c r="T6763" s="2">
        <v>5.7853660000000001E-2</v>
      </c>
    </row>
    <row r="6764" spans="18:20" x14ac:dyDescent="0.45">
      <c r="R6764" s="2">
        <v>84.4</v>
      </c>
      <c r="S6764" s="2">
        <v>0.1055266</v>
      </c>
      <c r="T6764" s="2">
        <v>5.7913600000000003E-2</v>
      </c>
    </row>
    <row r="6765" spans="18:20" x14ac:dyDescent="0.45">
      <c r="R6765" s="2">
        <v>84.41</v>
      </c>
      <c r="S6765" s="2">
        <v>0.1056293</v>
      </c>
      <c r="T6765" s="2">
        <v>5.7973539999999997E-2</v>
      </c>
    </row>
    <row r="6766" spans="18:20" x14ac:dyDescent="0.45">
      <c r="R6766" s="2">
        <v>84.42</v>
      </c>
      <c r="S6766" s="2">
        <v>0.1057321</v>
      </c>
      <c r="T6766" s="2">
        <v>5.8033479999999998E-2</v>
      </c>
    </row>
    <row r="6767" spans="18:20" x14ac:dyDescent="0.45">
      <c r="R6767" s="2">
        <v>84.43</v>
      </c>
      <c r="S6767" s="2">
        <v>0.10583480000000001</v>
      </c>
      <c r="T6767" s="2">
        <v>5.809342E-2</v>
      </c>
    </row>
    <row r="6768" spans="18:20" x14ac:dyDescent="0.45">
      <c r="R6768" s="2">
        <v>84.44</v>
      </c>
      <c r="S6768" s="2">
        <v>0.10593760000000001</v>
      </c>
      <c r="T6768" s="2">
        <v>5.8153360000000001E-2</v>
      </c>
    </row>
    <row r="6769" spans="18:20" x14ac:dyDescent="0.45">
      <c r="R6769" s="2">
        <v>84.45</v>
      </c>
      <c r="S6769" s="2">
        <v>0.1060403</v>
      </c>
      <c r="T6769" s="2">
        <v>5.8213300000000003E-2</v>
      </c>
    </row>
    <row r="6770" spans="18:20" x14ac:dyDescent="0.45">
      <c r="R6770" s="2">
        <v>84.46</v>
      </c>
      <c r="S6770" s="2">
        <v>0.106143</v>
      </c>
      <c r="T6770" s="2">
        <v>5.8273239999999997E-2</v>
      </c>
    </row>
    <row r="6771" spans="18:20" x14ac:dyDescent="0.45">
      <c r="R6771" s="2">
        <v>84.47</v>
      </c>
      <c r="S6771" s="2">
        <v>0.1062458</v>
      </c>
      <c r="T6771" s="2">
        <v>5.8333179999999998E-2</v>
      </c>
    </row>
    <row r="6772" spans="18:20" x14ac:dyDescent="0.45">
      <c r="R6772" s="2">
        <v>84.48</v>
      </c>
      <c r="S6772" s="2">
        <v>0.1063485</v>
      </c>
      <c r="T6772" s="2">
        <v>5.839312E-2</v>
      </c>
    </row>
    <row r="6773" spans="18:20" x14ac:dyDescent="0.45">
      <c r="R6773" s="2">
        <v>84.49</v>
      </c>
      <c r="S6773" s="2">
        <v>0.1064513</v>
      </c>
      <c r="T6773" s="2">
        <v>5.8453060000000001E-2</v>
      </c>
    </row>
    <row r="6774" spans="18:20" x14ac:dyDescent="0.45">
      <c r="R6774" s="2">
        <v>84.5</v>
      </c>
      <c r="S6774" s="2">
        <v>0.106554</v>
      </c>
      <c r="T6774" s="2">
        <v>5.8513000000000003E-2</v>
      </c>
    </row>
    <row r="6775" spans="18:20" x14ac:dyDescent="0.45">
      <c r="R6775" s="2">
        <v>84.51</v>
      </c>
      <c r="S6775" s="2">
        <v>0.10665669999999999</v>
      </c>
      <c r="T6775" s="2">
        <v>5.8572939999999997E-2</v>
      </c>
    </row>
    <row r="6776" spans="18:20" x14ac:dyDescent="0.45">
      <c r="R6776" s="2">
        <v>84.52</v>
      </c>
      <c r="S6776" s="2">
        <v>0.10675949999999999</v>
      </c>
      <c r="T6776" s="2">
        <v>5.8632879999999998E-2</v>
      </c>
    </row>
    <row r="6777" spans="18:20" x14ac:dyDescent="0.45">
      <c r="R6777" s="2">
        <v>84.53</v>
      </c>
      <c r="S6777" s="2">
        <v>0.1068622</v>
      </c>
      <c r="T6777" s="2">
        <v>5.869282E-2</v>
      </c>
    </row>
    <row r="6778" spans="18:20" x14ac:dyDescent="0.45">
      <c r="R6778" s="2">
        <v>84.54</v>
      </c>
      <c r="S6778" s="2">
        <v>0.106965</v>
      </c>
      <c r="T6778" s="2">
        <v>5.8752760000000001E-2</v>
      </c>
    </row>
    <row r="6779" spans="18:20" x14ac:dyDescent="0.45">
      <c r="R6779" s="2">
        <v>84.55</v>
      </c>
      <c r="S6779" s="2">
        <v>0.1070677</v>
      </c>
      <c r="T6779" s="2">
        <v>5.8812700000000002E-2</v>
      </c>
    </row>
    <row r="6780" spans="18:20" x14ac:dyDescent="0.45">
      <c r="R6780" s="2">
        <v>84.56</v>
      </c>
      <c r="S6780" s="2">
        <v>0.1071704</v>
      </c>
      <c r="T6780" s="2">
        <v>5.8872639999999997E-2</v>
      </c>
    </row>
    <row r="6781" spans="18:20" x14ac:dyDescent="0.45">
      <c r="R6781" s="2">
        <v>84.57</v>
      </c>
      <c r="S6781" s="2">
        <v>0.1072732</v>
      </c>
      <c r="T6781" s="2">
        <v>5.8932579999999998E-2</v>
      </c>
    </row>
    <row r="6782" spans="18:20" x14ac:dyDescent="0.45">
      <c r="R6782" s="2">
        <v>84.58</v>
      </c>
      <c r="S6782" s="2">
        <v>0.1073759</v>
      </c>
      <c r="T6782" s="2">
        <v>5.899252E-2</v>
      </c>
    </row>
    <row r="6783" spans="18:20" x14ac:dyDescent="0.45">
      <c r="R6783" s="2">
        <v>84.59</v>
      </c>
      <c r="S6783" s="2">
        <v>0.1074787</v>
      </c>
      <c r="T6783" s="2">
        <v>5.9052460000000001E-2</v>
      </c>
    </row>
    <row r="6784" spans="18:20" x14ac:dyDescent="0.45">
      <c r="R6784" s="2">
        <v>84.6</v>
      </c>
      <c r="S6784" s="2">
        <v>0.10758139999999999</v>
      </c>
      <c r="T6784" s="2">
        <v>5.9112400000000002E-2</v>
      </c>
    </row>
    <row r="6785" spans="18:20" x14ac:dyDescent="0.45">
      <c r="R6785" s="2">
        <v>84.61</v>
      </c>
      <c r="S6785" s="2">
        <v>0.1076841</v>
      </c>
      <c r="T6785" s="2">
        <v>5.9172339999999997E-2</v>
      </c>
    </row>
    <row r="6786" spans="18:20" x14ac:dyDescent="0.45">
      <c r="R6786" s="2">
        <v>84.62</v>
      </c>
      <c r="S6786" s="2">
        <v>0.1077869</v>
      </c>
      <c r="T6786" s="2">
        <v>5.9232279999999998E-2</v>
      </c>
    </row>
    <row r="6787" spans="18:20" x14ac:dyDescent="0.45">
      <c r="R6787" s="2">
        <v>84.63</v>
      </c>
      <c r="S6787" s="2">
        <v>0.1078896</v>
      </c>
      <c r="T6787" s="2">
        <v>5.929222E-2</v>
      </c>
    </row>
    <row r="6788" spans="18:20" x14ac:dyDescent="0.45">
      <c r="R6788" s="2">
        <v>84.64</v>
      </c>
      <c r="S6788" s="2">
        <v>0.1079924</v>
      </c>
      <c r="T6788" s="2">
        <v>5.9352160000000001E-2</v>
      </c>
    </row>
    <row r="6789" spans="18:20" x14ac:dyDescent="0.45">
      <c r="R6789" s="2">
        <v>84.65</v>
      </c>
      <c r="S6789" s="2">
        <v>0.1080951</v>
      </c>
      <c r="T6789" s="2">
        <v>5.9412100000000002E-2</v>
      </c>
    </row>
    <row r="6790" spans="18:20" x14ac:dyDescent="0.45">
      <c r="R6790" s="2">
        <v>84.66</v>
      </c>
      <c r="S6790" s="2">
        <v>0.1081978</v>
      </c>
      <c r="T6790" s="2">
        <v>5.9472039999999997E-2</v>
      </c>
    </row>
    <row r="6791" spans="18:20" x14ac:dyDescent="0.45">
      <c r="R6791" s="2">
        <v>84.67</v>
      </c>
      <c r="S6791" s="2">
        <v>0.1083006</v>
      </c>
      <c r="T6791" s="2">
        <v>5.9531979999999998E-2</v>
      </c>
    </row>
    <row r="6792" spans="18:20" x14ac:dyDescent="0.45">
      <c r="R6792" s="2">
        <v>84.68</v>
      </c>
      <c r="S6792" s="2">
        <v>0.10840329999999999</v>
      </c>
      <c r="T6792" s="2">
        <v>5.959192E-2</v>
      </c>
    </row>
    <row r="6793" spans="18:20" x14ac:dyDescent="0.45">
      <c r="R6793" s="2">
        <v>84.69</v>
      </c>
      <c r="S6793" s="2">
        <v>0.10850609999999999</v>
      </c>
      <c r="T6793" s="2">
        <v>5.9651860000000001E-2</v>
      </c>
    </row>
    <row r="6794" spans="18:20" x14ac:dyDescent="0.45">
      <c r="R6794" s="2">
        <v>84.7</v>
      </c>
      <c r="S6794" s="2">
        <v>0.10860880000000001</v>
      </c>
      <c r="T6794" s="2">
        <v>5.9711800000000002E-2</v>
      </c>
    </row>
    <row r="6795" spans="18:20" x14ac:dyDescent="0.45">
      <c r="R6795" s="2">
        <v>84.71</v>
      </c>
      <c r="S6795" s="2">
        <v>0.1087115</v>
      </c>
      <c r="T6795" s="2">
        <v>5.9771739999999997E-2</v>
      </c>
    </row>
    <row r="6796" spans="18:20" x14ac:dyDescent="0.45">
      <c r="R6796" s="2">
        <v>84.72</v>
      </c>
      <c r="S6796" s="2">
        <v>0.1088143</v>
      </c>
      <c r="T6796" s="2">
        <v>5.9831679999999998E-2</v>
      </c>
    </row>
    <row r="6797" spans="18:20" x14ac:dyDescent="0.45">
      <c r="R6797" s="2">
        <v>84.73</v>
      </c>
      <c r="S6797" s="2">
        <v>0.108917</v>
      </c>
      <c r="T6797" s="2">
        <v>5.989162E-2</v>
      </c>
    </row>
    <row r="6798" spans="18:20" x14ac:dyDescent="0.45">
      <c r="R6798" s="2">
        <v>84.74</v>
      </c>
      <c r="S6798" s="2">
        <v>0.1090198</v>
      </c>
      <c r="T6798" s="2">
        <v>5.9951560000000001E-2</v>
      </c>
    </row>
    <row r="6799" spans="18:20" x14ac:dyDescent="0.45">
      <c r="R6799" s="2">
        <v>84.75</v>
      </c>
      <c r="S6799" s="2">
        <v>0.1091225</v>
      </c>
      <c r="T6799" s="2">
        <v>6.0011500000000002E-2</v>
      </c>
    </row>
    <row r="6800" spans="18:20" x14ac:dyDescent="0.45">
      <c r="R6800" s="2">
        <v>84.76</v>
      </c>
      <c r="S6800" s="2">
        <v>0.10922519999999999</v>
      </c>
      <c r="T6800" s="2">
        <v>6.0071439999999997E-2</v>
      </c>
    </row>
    <row r="6801" spans="18:20" x14ac:dyDescent="0.45">
      <c r="R6801" s="2">
        <v>84.77</v>
      </c>
      <c r="S6801" s="2">
        <v>0.10932799999999999</v>
      </c>
      <c r="T6801" s="2">
        <v>6.0131379999999998E-2</v>
      </c>
    </row>
    <row r="6802" spans="18:20" x14ac:dyDescent="0.45">
      <c r="R6802" s="2">
        <v>84.78</v>
      </c>
      <c r="S6802" s="2">
        <v>0.10943070000000001</v>
      </c>
      <c r="T6802" s="2">
        <v>6.019132E-2</v>
      </c>
    </row>
    <row r="6803" spans="18:20" x14ac:dyDescent="0.45">
      <c r="R6803" s="2">
        <v>84.79</v>
      </c>
      <c r="S6803" s="2">
        <v>0.10953350000000001</v>
      </c>
      <c r="T6803" s="2">
        <v>6.0251260000000001E-2</v>
      </c>
    </row>
    <row r="6804" spans="18:20" x14ac:dyDescent="0.45">
      <c r="R6804" s="2">
        <v>84.8</v>
      </c>
      <c r="S6804" s="2">
        <v>0.1096362</v>
      </c>
      <c r="T6804" s="2">
        <v>6.0311200000000002E-2</v>
      </c>
    </row>
    <row r="6805" spans="18:20" x14ac:dyDescent="0.45">
      <c r="R6805" s="2">
        <v>84.81</v>
      </c>
      <c r="S6805" s="2">
        <v>0.1097389</v>
      </c>
      <c r="T6805" s="2">
        <v>6.0371139999999997E-2</v>
      </c>
    </row>
    <row r="6806" spans="18:20" x14ac:dyDescent="0.45">
      <c r="R6806" s="2">
        <v>84.82</v>
      </c>
      <c r="S6806" s="2">
        <v>0.1098417</v>
      </c>
      <c r="T6806" s="2">
        <v>6.0431079999999998E-2</v>
      </c>
    </row>
    <row r="6807" spans="18:20" x14ac:dyDescent="0.45">
      <c r="R6807" s="2">
        <v>84.83</v>
      </c>
      <c r="S6807" s="2">
        <v>0.1099444</v>
      </c>
      <c r="T6807" s="2">
        <v>6.049102E-2</v>
      </c>
    </row>
    <row r="6808" spans="18:20" x14ac:dyDescent="0.45">
      <c r="R6808" s="2">
        <v>84.84</v>
      </c>
      <c r="S6808" s="2">
        <v>0.1100472</v>
      </c>
      <c r="T6808" s="2">
        <v>6.0550960000000001E-2</v>
      </c>
    </row>
    <row r="6809" spans="18:20" x14ac:dyDescent="0.45">
      <c r="R6809" s="2">
        <v>84.85</v>
      </c>
      <c r="S6809" s="2">
        <v>0.1101499</v>
      </c>
      <c r="T6809" s="2">
        <v>6.0610900000000002E-2</v>
      </c>
    </row>
    <row r="6810" spans="18:20" x14ac:dyDescent="0.45">
      <c r="R6810" s="2">
        <v>84.86</v>
      </c>
      <c r="S6810" s="2">
        <v>0.11025260000000001</v>
      </c>
      <c r="T6810" s="2">
        <v>6.0670839999999997E-2</v>
      </c>
    </row>
    <row r="6811" spans="18:20" x14ac:dyDescent="0.45">
      <c r="R6811" s="2">
        <v>84.87</v>
      </c>
      <c r="S6811" s="2">
        <v>0.11035540000000001</v>
      </c>
      <c r="T6811" s="2">
        <v>6.0730779999999998E-2</v>
      </c>
    </row>
    <row r="6812" spans="18:20" x14ac:dyDescent="0.45">
      <c r="R6812" s="2">
        <v>84.88</v>
      </c>
      <c r="S6812" s="2">
        <v>0.1104581</v>
      </c>
      <c r="T6812" s="2">
        <v>6.0790719999999999E-2</v>
      </c>
    </row>
    <row r="6813" spans="18:20" x14ac:dyDescent="0.45">
      <c r="R6813" s="2">
        <v>84.89</v>
      </c>
      <c r="S6813" s="2">
        <v>0.1105609</v>
      </c>
      <c r="T6813" s="2">
        <v>6.0850660000000001E-2</v>
      </c>
    </row>
    <row r="6814" spans="18:20" x14ac:dyDescent="0.45">
      <c r="R6814" s="2">
        <v>84.9</v>
      </c>
      <c r="S6814" s="2">
        <v>0.1106636</v>
      </c>
      <c r="T6814" s="2">
        <v>6.0910600000000002E-2</v>
      </c>
    </row>
    <row r="6815" spans="18:20" x14ac:dyDescent="0.45">
      <c r="R6815" s="2">
        <v>84.91</v>
      </c>
      <c r="S6815" s="2">
        <v>0.1107663</v>
      </c>
      <c r="T6815" s="2">
        <v>6.0970539999999997E-2</v>
      </c>
    </row>
    <row r="6816" spans="18:20" x14ac:dyDescent="0.45">
      <c r="R6816" s="2">
        <v>84.92</v>
      </c>
      <c r="S6816" s="2">
        <v>0.1108691</v>
      </c>
      <c r="T6816" s="2">
        <v>6.1030479999999998E-2</v>
      </c>
    </row>
    <row r="6817" spans="18:20" x14ac:dyDescent="0.45">
      <c r="R6817" s="2">
        <v>84.93</v>
      </c>
      <c r="S6817" s="2">
        <v>0.1109718</v>
      </c>
      <c r="T6817" s="2">
        <v>6.1090419999999999E-2</v>
      </c>
    </row>
    <row r="6818" spans="18:20" x14ac:dyDescent="0.45">
      <c r="R6818" s="2">
        <v>84.94</v>
      </c>
      <c r="S6818" s="2">
        <v>0.1110746</v>
      </c>
      <c r="T6818" s="2">
        <v>6.1150360000000001E-2</v>
      </c>
    </row>
    <row r="6819" spans="18:20" x14ac:dyDescent="0.45">
      <c r="R6819" s="2">
        <v>84.95</v>
      </c>
      <c r="S6819" s="2">
        <v>0.11117730000000001</v>
      </c>
      <c r="T6819" s="2">
        <v>6.1210300000000002E-2</v>
      </c>
    </row>
    <row r="6820" spans="18:20" x14ac:dyDescent="0.45">
      <c r="R6820" s="2">
        <v>84.96</v>
      </c>
      <c r="S6820" s="2">
        <v>0.11128</v>
      </c>
      <c r="T6820" s="2">
        <v>6.1270239999999997E-2</v>
      </c>
    </row>
    <row r="6821" spans="18:20" x14ac:dyDescent="0.45">
      <c r="R6821" s="2">
        <v>84.97</v>
      </c>
      <c r="S6821" s="2">
        <v>0.1113828</v>
      </c>
      <c r="T6821" s="2">
        <v>6.1330179999999998E-2</v>
      </c>
    </row>
    <row r="6822" spans="18:20" x14ac:dyDescent="0.45">
      <c r="R6822" s="2">
        <v>84.98</v>
      </c>
      <c r="S6822" s="2">
        <v>0.1114855</v>
      </c>
      <c r="T6822" s="2">
        <v>6.1390119999999999E-2</v>
      </c>
    </row>
    <row r="6823" spans="18:20" x14ac:dyDescent="0.45">
      <c r="R6823" s="2">
        <v>84.99</v>
      </c>
      <c r="S6823" s="2">
        <v>0.1115883</v>
      </c>
      <c r="T6823" s="2">
        <v>6.1450060000000001E-2</v>
      </c>
    </row>
    <row r="6824" spans="18:20" x14ac:dyDescent="0.45">
      <c r="R6824" s="2">
        <v>85</v>
      </c>
      <c r="S6824" s="2">
        <v>0.111691</v>
      </c>
      <c r="T6824" s="2">
        <v>6.1510000000000002E-2</v>
      </c>
    </row>
    <row r="6825" spans="18:20" x14ac:dyDescent="0.45">
      <c r="R6825" s="2">
        <v>85.01</v>
      </c>
      <c r="S6825" s="2">
        <v>0.1118029</v>
      </c>
      <c r="T6825" s="2">
        <v>6.157642E-2</v>
      </c>
    </row>
    <row r="6826" spans="18:20" x14ac:dyDescent="0.45">
      <c r="R6826" s="2">
        <v>85.02</v>
      </c>
      <c r="S6826" s="2">
        <v>0.1119149</v>
      </c>
      <c r="T6826" s="2">
        <v>6.1642839999999997E-2</v>
      </c>
    </row>
    <row r="6827" spans="18:20" x14ac:dyDescent="0.45">
      <c r="R6827" s="2">
        <v>85.03</v>
      </c>
      <c r="S6827" s="2">
        <v>0.1120268</v>
      </c>
      <c r="T6827" s="2">
        <v>6.1709260000000002E-2</v>
      </c>
    </row>
    <row r="6828" spans="18:20" x14ac:dyDescent="0.45">
      <c r="R6828" s="2">
        <v>85.04</v>
      </c>
      <c r="S6828" s="2">
        <v>0.11213869999999999</v>
      </c>
      <c r="T6828" s="2">
        <v>6.1775679999999999E-2</v>
      </c>
    </row>
    <row r="6829" spans="18:20" x14ac:dyDescent="0.45">
      <c r="R6829" s="2">
        <v>85.05</v>
      </c>
      <c r="S6829" s="2">
        <v>0.11225060000000001</v>
      </c>
      <c r="T6829" s="2">
        <v>6.1842099999999997E-2</v>
      </c>
    </row>
    <row r="6830" spans="18:20" x14ac:dyDescent="0.45">
      <c r="R6830" s="2">
        <v>85.06</v>
      </c>
      <c r="S6830" s="2">
        <v>0.11236260000000001</v>
      </c>
      <c r="T6830" s="2">
        <v>6.1908520000000002E-2</v>
      </c>
    </row>
    <row r="6831" spans="18:20" x14ac:dyDescent="0.45">
      <c r="R6831" s="2">
        <v>85.07</v>
      </c>
      <c r="S6831" s="2">
        <v>0.11247450000000001</v>
      </c>
      <c r="T6831" s="2">
        <v>6.1974939999999999E-2</v>
      </c>
    </row>
    <row r="6832" spans="18:20" x14ac:dyDescent="0.45">
      <c r="R6832" s="2">
        <v>85.08</v>
      </c>
      <c r="S6832" s="2">
        <v>0.1125864</v>
      </c>
      <c r="T6832" s="2">
        <v>6.2041359999999997E-2</v>
      </c>
    </row>
    <row r="6833" spans="18:20" x14ac:dyDescent="0.45">
      <c r="R6833" s="2">
        <v>85.09</v>
      </c>
      <c r="S6833" s="2">
        <v>0.1126984</v>
      </c>
      <c r="T6833" s="2">
        <v>6.2107780000000001E-2</v>
      </c>
    </row>
    <row r="6834" spans="18:20" x14ac:dyDescent="0.45">
      <c r="R6834" s="2">
        <v>85.1</v>
      </c>
      <c r="S6834" s="2">
        <v>0.1128103</v>
      </c>
      <c r="T6834" s="2">
        <v>6.2174199999999999E-2</v>
      </c>
    </row>
    <row r="6835" spans="18:20" x14ac:dyDescent="0.45">
      <c r="R6835" s="2">
        <v>85.11</v>
      </c>
      <c r="S6835" s="2">
        <v>0.1129222</v>
      </c>
      <c r="T6835" s="2">
        <v>6.2240620000000003E-2</v>
      </c>
    </row>
    <row r="6836" spans="18:20" x14ac:dyDescent="0.45">
      <c r="R6836" s="2">
        <v>85.12</v>
      </c>
      <c r="S6836" s="2">
        <v>0.1130342</v>
      </c>
      <c r="T6836" s="2">
        <v>6.2307040000000001E-2</v>
      </c>
    </row>
    <row r="6837" spans="18:20" x14ac:dyDescent="0.45">
      <c r="R6837" s="2">
        <v>85.13</v>
      </c>
      <c r="S6837" s="2">
        <v>0.1131461</v>
      </c>
      <c r="T6837" s="2">
        <v>6.2373459999999999E-2</v>
      </c>
    </row>
    <row r="6838" spans="18:20" x14ac:dyDescent="0.45">
      <c r="R6838" s="2">
        <v>85.14</v>
      </c>
      <c r="S6838" s="2">
        <v>0.113258</v>
      </c>
      <c r="T6838" s="2">
        <v>6.2439880000000003E-2</v>
      </c>
    </row>
    <row r="6839" spans="18:20" x14ac:dyDescent="0.45">
      <c r="R6839" s="2">
        <v>85.15</v>
      </c>
      <c r="S6839" s="2">
        <v>0.11337</v>
      </c>
      <c r="T6839" s="2">
        <v>6.2506300000000001E-2</v>
      </c>
    </row>
    <row r="6840" spans="18:20" x14ac:dyDescent="0.45">
      <c r="R6840" s="2">
        <v>85.16</v>
      </c>
      <c r="S6840" s="2">
        <v>0.1134819</v>
      </c>
      <c r="T6840" s="2">
        <v>6.2572719999999998E-2</v>
      </c>
    </row>
    <row r="6841" spans="18:20" x14ac:dyDescent="0.45">
      <c r="R6841" s="2">
        <v>85.17</v>
      </c>
      <c r="S6841" s="2">
        <v>0.11359379999999999</v>
      </c>
      <c r="T6841" s="2">
        <v>6.2639139999999996E-2</v>
      </c>
    </row>
    <row r="6842" spans="18:20" x14ac:dyDescent="0.45">
      <c r="R6842" s="2">
        <v>85.18</v>
      </c>
      <c r="S6842" s="2">
        <v>0.11370570000000001</v>
      </c>
      <c r="T6842" s="2">
        <v>6.2705559999999994E-2</v>
      </c>
    </row>
    <row r="6843" spans="18:20" x14ac:dyDescent="0.45">
      <c r="R6843" s="2">
        <v>85.19</v>
      </c>
      <c r="S6843" s="2">
        <v>0.11381769999999999</v>
      </c>
      <c r="T6843" s="2">
        <v>6.2771980000000005E-2</v>
      </c>
    </row>
    <row r="6844" spans="18:20" x14ac:dyDescent="0.45">
      <c r="R6844" s="2">
        <v>85.2</v>
      </c>
      <c r="S6844" s="2">
        <v>0.11392960000000001</v>
      </c>
      <c r="T6844" s="2">
        <v>6.2838400000000003E-2</v>
      </c>
    </row>
    <row r="6845" spans="18:20" x14ac:dyDescent="0.45">
      <c r="R6845" s="2">
        <v>85.21</v>
      </c>
      <c r="S6845" s="2">
        <v>0.1140415</v>
      </c>
      <c r="T6845" s="2">
        <v>6.290482E-2</v>
      </c>
    </row>
    <row r="6846" spans="18:20" x14ac:dyDescent="0.45">
      <c r="R6846" s="2">
        <v>85.22</v>
      </c>
      <c r="S6846" s="2">
        <v>0.1141535</v>
      </c>
      <c r="T6846" s="2">
        <v>6.2971239999999998E-2</v>
      </c>
    </row>
    <row r="6847" spans="18:20" x14ac:dyDescent="0.45">
      <c r="R6847" s="2">
        <v>85.23</v>
      </c>
      <c r="S6847" s="2">
        <v>0.1142654</v>
      </c>
      <c r="T6847" s="2">
        <v>6.3037659999999995E-2</v>
      </c>
    </row>
    <row r="6848" spans="18:20" x14ac:dyDescent="0.45">
      <c r="R6848" s="2">
        <v>85.24</v>
      </c>
      <c r="S6848" s="2">
        <v>0.1143773</v>
      </c>
      <c r="T6848" s="2">
        <v>6.3104080000000007E-2</v>
      </c>
    </row>
    <row r="6849" spans="18:20" x14ac:dyDescent="0.45">
      <c r="R6849" s="2">
        <v>85.25</v>
      </c>
      <c r="S6849" s="2">
        <v>0.1144893</v>
      </c>
      <c r="T6849" s="2">
        <v>6.3170500000000004E-2</v>
      </c>
    </row>
    <row r="6850" spans="18:20" x14ac:dyDescent="0.45">
      <c r="R6850" s="2">
        <v>85.26</v>
      </c>
      <c r="S6850" s="2">
        <v>0.1146012</v>
      </c>
      <c r="T6850" s="2">
        <v>6.3236920000000002E-2</v>
      </c>
    </row>
    <row r="6851" spans="18:20" x14ac:dyDescent="0.45">
      <c r="R6851" s="2">
        <v>85.27</v>
      </c>
      <c r="S6851" s="2">
        <v>0.1147131</v>
      </c>
      <c r="T6851" s="2">
        <v>6.330334E-2</v>
      </c>
    </row>
    <row r="6852" spans="18:20" x14ac:dyDescent="0.45">
      <c r="R6852" s="2">
        <v>85.28</v>
      </c>
      <c r="S6852" s="2">
        <v>0.114825</v>
      </c>
      <c r="T6852" s="2">
        <v>6.3369759999999997E-2</v>
      </c>
    </row>
    <row r="6853" spans="18:20" x14ac:dyDescent="0.45">
      <c r="R6853" s="2">
        <v>85.29</v>
      </c>
      <c r="S6853" s="2">
        <v>0.114937</v>
      </c>
      <c r="T6853" s="2">
        <v>6.3436179999999995E-2</v>
      </c>
    </row>
    <row r="6854" spans="18:20" x14ac:dyDescent="0.45">
      <c r="R6854" s="2">
        <v>85.3</v>
      </c>
      <c r="S6854" s="2">
        <v>0.1150489</v>
      </c>
      <c r="T6854" s="2">
        <v>6.3502600000000006E-2</v>
      </c>
    </row>
    <row r="6855" spans="18:20" x14ac:dyDescent="0.45">
      <c r="R6855" s="2">
        <v>85.31</v>
      </c>
      <c r="S6855" s="2">
        <v>0.11516079999999999</v>
      </c>
      <c r="T6855" s="2">
        <v>6.3569020000000004E-2</v>
      </c>
    </row>
    <row r="6856" spans="18:20" x14ac:dyDescent="0.45">
      <c r="R6856" s="2">
        <v>85.32</v>
      </c>
      <c r="S6856" s="2">
        <v>0.11527279999999999</v>
      </c>
      <c r="T6856" s="2">
        <v>6.3635440000000001E-2</v>
      </c>
    </row>
    <row r="6857" spans="18:20" x14ac:dyDescent="0.45">
      <c r="R6857" s="2">
        <v>85.33</v>
      </c>
      <c r="S6857" s="2">
        <v>0.11538470000000001</v>
      </c>
      <c r="T6857" s="2">
        <v>6.3701859999999999E-2</v>
      </c>
    </row>
    <row r="6858" spans="18:20" x14ac:dyDescent="0.45">
      <c r="R6858" s="2">
        <v>85.34</v>
      </c>
      <c r="S6858" s="2">
        <v>0.1154966</v>
      </c>
      <c r="T6858" s="2">
        <v>6.3768279999999997E-2</v>
      </c>
    </row>
    <row r="6859" spans="18:20" x14ac:dyDescent="0.45">
      <c r="R6859" s="2">
        <v>85.35</v>
      </c>
      <c r="S6859" s="2">
        <v>0.1156085</v>
      </c>
      <c r="T6859" s="2">
        <v>6.3834699999999994E-2</v>
      </c>
    </row>
    <row r="6860" spans="18:20" x14ac:dyDescent="0.45">
      <c r="R6860" s="2">
        <v>85.36</v>
      </c>
      <c r="S6860" s="2">
        <v>0.1157205</v>
      </c>
      <c r="T6860" s="2">
        <v>6.3901120000000006E-2</v>
      </c>
    </row>
    <row r="6861" spans="18:20" x14ac:dyDescent="0.45">
      <c r="R6861" s="2">
        <v>85.37</v>
      </c>
      <c r="S6861" s="2">
        <v>0.1158324</v>
      </c>
      <c r="T6861" s="2">
        <v>6.3967540000000003E-2</v>
      </c>
    </row>
    <row r="6862" spans="18:20" x14ac:dyDescent="0.45">
      <c r="R6862" s="2">
        <v>85.38</v>
      </c>
      <c r="S6862" s="2">
        <v>0.1159443</v>
      </c>
      <c r="T6862" s="2">
        <v>6.4033960000000001E-2</v>
      </c>
    </row>
    <row r="6863" spans="18:20" x14ac:dyDescent="0.45">
      <c r="R6863" s="2">
        <v>85.39</v>
      </c>
      <c r="S6863" s="2">
        <v>0.1160563</v>
      </c>
      <c r="T6863" s="2">
        <v>6.4100379999999998E-2</v>
      </c>
    </row>
    <row r="6864" spans="18:20" x14ac:dyDescent="0.45">
      <c r="R6864" s="2">
        <v>85.4</v>
      </c>
      <c r="S6864" s="2">
        <v>0.1161682</v>
      </c>
      <c r="T6864" s="2">
        <v>6.4166799999999996E-2</v>
      </c>
    </row>
    <row r="6865" spans="18:20" x14ac:dyDescent="0.45">
      <c r="R6865" s="2">
        <v>85.41</v>
      </c>
      <c r="S6865" s="2">
        <v>0.1162801</v>
      </c>
      <c r="T6865" s="2">
        <v>6.4233219999999994E-2</v>
      </c>
    </row>
    <row r="6866" spans="18:20" x14ac:dyDescent="0.45">
      <c r="R6866" s="2">
        <v>85.42</v>
      </c>
      <c r="S6866" s="2">
        <v>0.1163921</v>
      </c>
      <c r="T6866" s="2">
        <v>6.4299640000000005E-2</v>
      </c>
    </row>
    <row r="6867" spans="18:20" x14ac:dyDescent="0.45">
      <c r="R6867" s="2">
        <v>85.43</v>
      </c>
      <c r="S6867" s="2">
        <v>0.116504</v>
      </c>
      <c r="T6867" s="2">
        <v>6.4366060000000003E-2</v>
      </c>
    </row>
    <row r="6868" spans="18:20" x14ac:dyDescent="0.45">
      <c r="R6868" s="2">
        <v>85.44</v>
      </c>
      <c r="S6868" s="2">
        <v>0.11661589999999999</v>
      </c>
      <c r="T6868" s="2">
        <v>6.443248E-2</v>
      </c>
    </row>
    <row r="6869" spans="18:20" x14ac:dyDescent="0.45">
      <c r="R6869" s="2">
        <v>85.45</v>
      </c>
      <c r="S6869" s="2">
        <v>0.1167279</v>
      </c>
      <c r="T6869" s="2">
        <v>6.4498899999999998E-2</v>
      </c>
    </row>
    <row r="6870" spans="18:20" x14ac:dyDescent="0.45">
      <c r="R6870" s="2">
        <v>85.46</v>
      </c>
      <c r="S6870" s="2">
        <v>0.11683979999999999</v>
      </c>
      <c r="T6870" s="2">
        <v>6.4565319999999995E-2</v>
      </c>
    </row>
    <row r="6871" spans="18:20" x14ac:dyDescent="0.45">
      <c r="R6871" s="2">
        <v>85.47</v>
      </c>
      <c r="S6871" s="2">
        <v>0.11695170000000001</v>
      </c>
      <c r="T6871" s="2">
        <v>6.4631739999999993E-2</v>
      </c>
    </row>
    <row r="6872" spans="18:20" x14ac:dyDescent="0.45">
      <c r="R6872" s="2">
        <v>85.48</v>
      </c>
      <c r="S6872" s="2">
        <v>0.1170636</v>
      </c>
      <c r="T6872" s="2">
        <v>6.4698160000000005E-2</v>
      </c>
    </row>
    <row r="6873" spans="18:20" x14ac:dyDescent="0.45">
      <c r="R6873" s="2">
        <v>85.49</v>
      </c>
      <c r="S6873" s="2">
        <v>0.1171756</v>
      </c>
      <c r="T6873" s="2">
        <v>6.4764580000000002E-2</v>
      </c>
    </row>
    <row r="6874" spans="18:20" x14ac:dyDescent="0.45">
      <c r="R6874" s="2">
        <v>85.5</v>
      </c>
      <c r="S6874" s="2">
        <v>0.1172875</v>
      </c>
      <c r="T6874" s="2">
        <v>6.4831E-2</v>
      </c>
    </row>
    <row r="6875" spans="18:20" x14ac:dyDescent="0.45">
      <c r="R6875" s="2">
        <v>85.51</v>
      </c>
      <c r="S6875" s="2">
        <v>0.1173994</v>
      </c>
      <c r="T6875" s="2">
        <v>6.4897419999999997E-2</v>
      </c>
    </row>
    <row r="6876" spans="18:20" x14ac:dyDescent="0.45">
      <c r="R6876" s="2">
        <v>85.52</v>
      </c>
      <c r="S6876" s="2">
        <v>0.1175114</v>
      </c>
      <c r="T6876" s="2">
        <v>6.4963839999999995E-2</v>
      </c>
    </row>
    <row r="6877" spans="18:20" x14ac:dyDescent="0.45">
      <c r="R6877" s="2">
        <v>85.53</v>
      </c>
      <c r="S6877" s="2">
        <v>0.1176233</v>
      </c>
      <c r="T6877" s="2">
        <v>6.5030260000000006E-2</v>
      </c>
    </row>
    <row r="6878" spans="18:20" x14ac:dyDescent="0.45">
      <c r="R6878" s="2">
        <v>85.54</v>
      </c>
      <c r="S6878" s="2">
        <v>0.1177352</v>
      </c>
      <c r="T6878" s="2">
        <v>6.5096680000000004E-2</v>
      </c>
    </row>
    <row r="6879" spans="18:20" x14ac:dyDescent="0.45">
      <c r="R6879" s="2">
        <v>85.55</v>
      </c>
      <c r="S6879" s="2">
        <v>0.1178471</v>
      </c>
      <c r="T6879" s="2">
        <v>6.5163100000000002E-2</v>
      </c>
    </row>
    <row r="6880" spans="18:20" x14ac:dyDescent="0.45">
      <c r="R6880" s="2">
        <v>85.56</v>
      </c>
      <c r="S6880" s="2">
        <v>0.1179591</v>
      </c>
      <c r="T6880" s="2">
        <v>6.5229519999999999E-2</v>
      </c>
    </row>
    <row r="6881" spans="18:20" x14ac:dyDescent="0.45">
      <c r="R6881" s="2">
        <v>85.57</v>
      </c>
      <c r="S6881" s="2">
        <v>0.118071</v>
      </c>
      <c r="T6881" s="2">
        <v>6.5295939999999997E-2</v>
      </c>
    </row>
    <row r="6882" spans="18:20" x14ac:dyDescent="0.45">
      <c r="R6882" s="2">
        <v>85.58</v>
      </c>
      <c r="S6882" s="2">
        <v>0.11818289999999999</v>
      </c>
      <c r="T6882" s="2">
        <v>6.5362359999999994E-2</v>
      </c>
    </row>
    <row r="6883" spans="18:20" x14ac:dyDescent="0.45">
      <c r="R6883" s="2">
        <v>85.59</v>
      </c>
      <c r="S6883" s="2">
        <v>0.11829489999999999</v>
      </c>
      <c r="T6883" s="2">
        <v>6.5428780000000006E-2</v>
      </c>
    </row>
    <row r="6884" spans="18:20" x14ac:dyDescent="0.45">
      <c r="R6884" s="2">
        <v>85.6</v>
      </c>
      <c r="S6884" s="2">
        <v>0.11840680000000001</v>
      </c>
      <c r="T6884" s="2">
        <v>6.5495200000000003E-2</v>
      </c>
    </row>
    <row r="6885" spans="18:20" x14ac:dyDescent="0.45">
      <c r="R6885" s="2">
        <v>85.61</v>
      </c>
      <c r="S6885" s="2">
        <v>0.1185187</v>
      </c>
      <c r="T6885" s="2">
        <v>6.5561620000000001E-2</v>
      </c>
    </row>
    <row r="6886" spans="18:20" x14ac:dyDescent="0.45">
      <c r="R6886" s="2">
        <v>85.62</v>
      </c>
      <c r="S6886" s="2">
        <v>0.11863070000000001</v>
      </c>
      <c r="T6886" s="2">
        <v>6.5628039999999999E-2</v>
      </c>
    </row>
    <row r="6887" spans="18:20" x14ac:dyDescent="0.45">
      <c r="R6887" s="2">
        <v>85.63</v>
      </c>
      <c r="S6887" s="2">
        <v>0.1187426</v>
      </c>
      <c r="T6887" s="2">
        <v>6.5694459999999996E-2</v>
      </c>
    </row>
    <row r="6888" spans="18:20" x14ac:dyDescent="0.45">
      <c r="R6888" s="2">
        <v>85.64</v>
      </c>
      <c r="S6888" s="2">
        <v>0.1188545</v>
      </c>
      <c r="T6888" s="2">
        <v>6.5760879999999994E-2</v>
      </c>
    </row>
    <row r="6889" spans="18:20" x14ac:dyDescent="0.45">
      <c r="R6889" s="2">
        <v>85.65</v>
      </c>
      <c r="S6889" s="2">
        <v>0.1189665</v>
      </c>
      <c r="T6889" s="2">
        <v>6.5827300000000005E-2</v>
      </c>
    </row>
    <row r="6890" spans="18:20" x14ac:dyDescent="0.45">
      <c r="R6890" s="2">
        <v>85.66</v>
      </c>
      <c r="S6890" s="2">
        <v>0.1190784</v>
      </c>
      <c r="T6890" s="2">
        <v>6.5893720000000003E-2</v>
      </c>
    </row>
    <row r="6891" spans="18:20" x14ac:dyDescent="0.45">
      <c r="R6891" s="2">
        <v>85.67</v>
      </c>
      <c r="S6891" s="2">
        <v>0.1191903</v>
      </c>
      <c r="T6891" s="2">
        <v>6.596014E-2</v>
      </c>
    </row>
    <row r="6892" spans="18:20" x14ac:dyDescent="0.45">
      <c r="R6892" s="2">
        <v>85.68</v>
      </c>
      <c r="S6892" s="2">
        <v>0.1193022</v>
      </c>
      <c r="T6892" s="2">
        <v>6.6026559999999998E-2</v>
      </c>
    </row>
    <row r="6893" spans="18:20" x14ac:dyDescent="0.45">
      <c r="R6893" s="2">
        <v>85.69</v>
      </c>
      <c r="S6893" s="2">
        <v>0.1194142</v>
      </c>
      <c r="T6893" s="2">
        <v>6.6092979999999996E-2</v>
      </c>
    </row>
    <row r="6894" spans="18:20" x14ac:dyDescent="0.45">
      <c r="R6894" s="2">
        <v>85.7</v>
      </c>
      <c r="S6894" s="2">
        <v>0.1195261</v>
      </c>
      <c r="T6894" s="2">
        <v>6.6159399999999993E-2</v>
      </c>
    </row>
    <row r="6895" spans="18:20" x14ac:dyDescent="0.45">
      <c r="R6895" s="2">
        <v>85.71</v>
      </c>
      <c r="S6895" s="2">
        <v>0.11963799999999999</v>
      </c>
      <c r="T6895" s="2">
        <v>6.6225820000000005E-2</v>
      </c>
    </row>
    <row r="6896" spans="18:20" x14ac:dyDescent="0.45">
      <c r="R6896" s="2">
        <v>85.72</v>
      </c>
      <c r="S6896" s="2">
        <v>0.11975</v>
      </c>
      <c r="T6896" s="2">
        <v>6.6292240000000002E-2</v>
      </c>
    </row>
    <row r="6897" spans="18:20" x14ac:dyDescent="0.45">
      <c r="R6897" s="2">
        <v>85.73</v>
      </c>
      <c r="S6897" s="2">
        <v>0.11986189999999999</v>
      </c>
      <c r="T6897" s="2">
        <v>6.635866E-2</v>
      </c>
    </row>
    <row r="6898" spans="18:20" x14ac:dyDescent="0.45">
      <c r="R6898" s="2">
        <v>85.74</v>
      </c>
      <c r="S6898" s="2">
        <v>0.11997380000000001</v>
      </c>
      <c r="T6898" s="2">
        <v>6.6425079999999997E-2</v>
      </c>
    </row>
    <row r="6899" spans="18:20" x14ac:dyDescent="0.45">
      <c r="R6899" s="2">
        <v>85.75</v>
      </c>
      <c r="S6899" s="2">
        <v>0.1200857</v>
      </c>
      <c r="T6899" s="2">
        <v>6.6491499999999995E-2</v>
      </c>
    </row>
    <row r="6900" spans="18:20" x14ac:dyDescent="0.45">
      <c r="R6900" s="2">
        <v>85.76</v>
      </c>
      <c r="S6900" s="2">
        <v>0.1201977</v>
      </c>
      <c r="T6900" s="2">
        <v>6.6557920000000007E-2</v>
      </c>
    </row>
    <row r="6901" spans="18:20" x14ac:dyDescent="0.45">
      <c r="R6901" s="2">
        <v>85.77</v>
      </c>
      <c r="S6901" s="2">
        <v>0.1203096</v>
      </c>
      <c r="T6901" s="2">
        <v>6.6624340000000004E-2</v>
      </c>
    </row>
    <row r="6902" spans="18:20" x14ac:dyDescent="0.45">
      <c r="R6902" s="2">
        <v>85.78</v>
      </c>
      <c r="S6902" s="2">
        <v>0.1204215</v>
      </c>
      <c r="T6902" s="2">
        <v>6.6690760000000002E-2</v>
      </c>
    </row>
    <row r="6903" spans="18:20" x14ac:dyDescent="0.45">
      <c r="R6903" s="2">
        <v>85.79</v>
      </c>
      <c r="S6903" s="2">
        <v>0.1205335</v>
      </c>
      <c r="T6903" s="2">
        <v>6.6757179999999999E-2</v>
      </c>
    </row>
    <row r="6904" spans="18:20" x14ac:dyDescent="0.45">
      <c r="R6904" s="2">
        <v>85.8</v>
      </c>
      <c r="S6904" s="2">
        <v>0.1206454</v>
      </c>
      <c r="T6904" s="2">
        <v>6.6823599999999997E-2</v>
      </c>
    </row>
    <row r="6905" spans="18:20" x14ac:dyDescent="0.45">
      <c r="R6905" s="2">
        <v>85.81</v>
      </c>
      <c r="S6905" s="2">
        <v>0.1207573</v>
      </c>
      <c r="T6905" s="2">
        <v>6.6890019999999994E-2</v>
      </c>
    </row>
    <row r="6906" spans="18:20" x14ac:dyDescent="0.45">
      <c r="R6906" s="2">
        <v>85.82</v>
      </c>
      <c r="S6906" s="2">
        <v>0.1208693</v>
      </c>
      <c r="T6906" s="2">
        <v>6.6956440000000006E-2</v>
      </c>
    </row>
    <row r="6907" spans="18:20" x14ac:dyDescent="0.45">
      <c r="R6907" s="2">
        <v>85.83</v>
      </c>
      <c r="S6907" s="2">
        <v>0.1209812</v>
      </c>
      <c r="T6907" s="2">
        <v>6.7022860000000004E-2</v>
      </c>
    </row>
    <row r="6908" spans="18:20" x14ac:dyDescent="0.45">
      <c r="R6908" s="2">
        <v>85.84</v>
      </c>
      <c r="S6908" s="2">
        <v>0.1210931</v>
      </c>
      <c r="T6908" s="2">
        <v>6.7089280000000001E-2</v>
      </c>
    </row>
    <row r="6909" spans="18:20" x14ac:dyDescent="0.45">
      <c r="R6909" s="2">
        <v>85.85</v>
      </c>
      <c r="S6909" s="2">
        <v>0.12120499999999999</v>
      </c>
      <c r="T6909" s="2">
        <v>6.7155699999999999E-2</v>
      </c>
    </row>
    <row r="6910" spans="18:20" x14ac:dyDescent="0.45">
      <c r="R6910" s="2">
        <v>85.86</v>
      </c>
      <c r="S6910" s="2">
        <v>0.12131699999999999</v>
      </c>
      <c r="T6910" s="2">
        <v>6.7222119999999996E-2</v>
      </c>
    </row>
    <row r="6911" spans="18:20" x14ac:dyDescent="0.45">
      <c r="R6911" s="2">
        <v>85.87</v>
      </c>
      <c r="S6911" s="2">
        <v>0.12142890000000001</v>
      </c>
      <c r="T6911" s="2">
        <v>6.7288539999999994E-2</v>
      </c>
    </row>
    <row r="6912" spans="18:20" x14ac:dyDescent="0.45">
      <c r="R6912" s="2">
        <v>85.88</v>
      </c>
      <c r="S6912" s="2">
        <v>0.1215408</v>
      </c>
      <c r="T6912" s="2">
        <v>6.7354960000000005E-2</v>
      </c>
    </row>
    <row r="6913" spans="18:20" x14ac:dyDescent="0.45">
      <c r="R6913" s="2">
        <v>85.89</v>
      </c>
      <c r="S6913" s="2">
        <v>0.12165280000000001</v>
      </c>
      <c r="T6913" s="2">
        <v>6.7421380000000003E-2</v>
      </c>
    </row>
    <row r="6914" spans="18:20" x14ac:dyDescent="0.45">
      <c r="R6914" s="2">
        <v>85.9</v>
      </c>
      <c r="S6914" s="2">
        <v>0.1217647</v>
      </c>
      <c r="T6914" s="2">
        <v>6.7487800000000001E-2</v>
      </c>
    </row>
    <row r="6915" spans="18:20" x14ac:dyDescent="0.45">
      <c r="R6915" s="2">
        <v>85.91</v>
      </c>
      <c r="S6915" s="2">
        <v>0.1218766</v>
      </c>
      <c r="T6915" s="2">
        <v>6.7554219999999998E-2</v>
      </c>
    </row>
    <row r="6916" spans="18:20" x14ac:dyDescent="0.45">
      <c r="R6916" s="2">
        <v>85.92</v>
      </c>
      <c r="S6916" s="2">
        <v>0.1219886</v>
      </c>
      <c r="T6916" s="2">
        <v>6.7620639999999996E-2</v>
      </c>
    </row>
    <row r="6917" spans="18:20" x14ac:dyDescent="0.45">
      <c r="R6917" s="2">
        <v>85.93</v>
      </c>
      <c r="S6917" s="2">
        <v>0.1221005</v>
      </c>
      <c r="T6917" s="2">
        <v>6.7687059999999993E-2</v>
      </c>
    </row>
    <row r="6918" spans="18:20" x14ac:dyDescent="0.45">
      <c r="R6918" s="2">
        <v>85.94</v>
      </c>
      <c r="S6918" s="2">
        <v>0.1222124</v>
      </c>
      <c r="T6918" s="2">
        <v>6.7753480000000005E-2</v>
      </c>
    </row>
    <row r="6919" spans="18:20" x14ac:dyDescent="0.45">
      <c r="R6919" s="2">
        <v>85.95</v>
      </c>
      <c r="S6919" s="2">
        <v>0.1223244</v>
      </c>
      <c r="T6919" s="2">
        <v>6.7819900000000002E-2</v>
      </c>
    </row>
    <row r="6920" spans="18:20" x14ac:dyDescent="0.45">
      <c r="R6920" s="2">
        <v>85.96</v>
      </c>
      <c r="S6920" s="2">
        <v>0.1224363</v>
      </c>
      <c r="T6920" s="2">
        <v>6.788632E-2</v>
      </c>
    </row>
    <row r="6921" spans="18:20" x14ac:dyDescent="0.45">
      <c r="R6921" s="2">
        <v>85.97</v>
      </c>
      <c r="S6921" s="2">
        <v>0.1225482</v>
      </c>
      <c r="T6921" s="2">
        <v>6.7952739999999998E-2</v>
      </c>
    </row>
    <row r="6922" spans="18:20" x14ac:dyDescent="0.45">
      <c r="R6922" s="2">
        <v>85.98</v>
      </c>
      <c r="S6922" s="2">
        <v>0.12266009999999999</v>
      </c>
      <c r="T6922" s="2">
        <v>6.8019159999999995E-2</v>
      </c>
    </row>
    <row r="6923" spans="18:20" x14ac:dyDescent="0.45">
      <c r="R6923" s="2">
        <v>85.99</v>
      </c>
      <c r="S6923" s="2">
        <v>0.1227721</v>
      </c>
      <c r="T6923" s="2">
        <v>6.8085580000000007E-2</v>
      </c>
    </row>
    <row r="6924" spans="18:20" x14ac:dyDescent="0.45">
      <c r="R6924" s="2">
        <v>86</v>
      </c>
      <c r="S6924" s="2">
        <v>0.12288399999999999</v>
      </c>
      <c r="T6924" s="2">
        <v>6.8152000000000004E-2</v>
      </c>
    </row>
    <row r="6925" spans="18:20" x14ac:dyDescent="0.45">
      <c r="R6925" s="2">
        <v>86.01</v>
      </c>
      <c r="S6925" s="2">
        <v>0.1230058</v>
      </c>
      <c r="T6925" s="2">
        <v>6.8225599999999997E-2</v>
      </c>
    </row>
    <row r="6926" spans="18:20" x14ac:dyDescent="0.45">
      <c r="R6926" s="2">
        <v>86.02</v>
      </c>
      <c r="S6926" s="2">
        <v>0.1231276</v>
      </c>
      <c r="T6926" s="2">
        <v>6.8299200000000004E-2</v>
      </c>
    </row>
    <row r="6927" spans="18:20" x14ac:dyDescent="0.45">
      <c r="R6927" s="2">
        <v>86.03</v>
      </c>
      <c r="S6927" s="2">
        <v>0.1232495</v>
      </c>
      <c r="T6927" s="2">
        <v>6.8372799999999997E-2</v>
      </c>
    </row>
    <row r="6928" spans="18:20" x14ac:dyDescent="0.45">
      <c r="R6928" s="2">
        <v>86.04</v>
      </c>
      <c r="S6928" s="2">
        <v>0.1233713</v>
      </c>
      <c r="T6928" s="2">
        <v>6.8446400000000004E-2</v>
      </c>
    </row>
    <row r="6929" spans="18:20" x14ac:dyDescent="0.45">
      <c r="R6929" s="2">
        <v>86.05</v>
      </c>
      <c r="S6929" s="2">
        <v>0.12349309999999999</v>
      </c>
      <c r="T6929" s="2">
        <v>6.8519999999999998E-2</v>
      </c>
    </row>
    <row r="6930" spans="18:20" x14ac:dyDescent="0.45">
      <c r="R6930" s="2">
        <v>86.06</v>
      </c>
      <c r="S6930" s="2">
        <v>0.1236149</v>
      </c>
      <c r="T6930" s="2">
        <v>6.8593600000000005E-2</v>
      </c>
    </row>
    <row r="6931" spans="18:20" x14ac:dyDescent="0.45">
      <c r="R6931" s="2">
        <v>86.07</v>
      </c>
      <c r="S6931" s="2">
        <v>0.12373670000000001</v>
      </c>
      <c r="T6931" s="2">
        <v>6.8667199999999998E-2</v>
      </c>
    </row>
    <row r="6932" spans="18:20" x14ac:dyDescent="0.45">
      <c r="R6932" s="2">
        <v>86.08</v>
      </c>
      <c r="S6932" s="2">
        <v>0.1238586</v>
      </c>
      <c r="T6932" s="2">
        <v>6.8740800000000005E-2</v>
      </c>
    </row>
    <row r="6933" spans="18:20" x14ac:dyDescent="0.45">
      <c r="R6933" s="2">
        <v>86.09</v>
      </c>
      <c r="S6933" s="2">
        <v>0.1239804</v>
      </c>
      <c r="T6933" s="2">
        <v>6.8814399999999998E-2</v>
      </c>
    </row>
    <row r="6934" spans="18:20" x14ac:dyDescent="0.45">
      <c r="R6934" s="2">
        <v>86.1</v>
      </c>
      <c r="S6934" s="2">
        <v>0.1241022</v>
      </c>
      <c r="T6934" s="2">
        <v>6.8888000000000005E-2</v>
      </c>
    </row>
    <row r="6935" spans="18:20" x14ac:dyDescent="0.45">
      <c r="R6935" s="2">
        <v>86.11</v>
      </c>
      <c r="S6935" s="2">
        <v>0.124224</v>
      </c>
      <c r="T6935" s="2">
        <v>6.8961599999999998E-2</v>
      </c>
    </row>
    <row r="6936" spans="18:20" x14ac:dyDescent="0.45">
      <c r="R6936" s="2">
        <v>86.12</v>
      </c>
      <c r="S6936" s="2">
        <v>0.12434580000000001</v>
      </c>
      <c r="T6936" s="2">
        <v>6.9035200000000005E-2</v>
      </c>
    </row>
    <row r="6937" spans="18:20" x14ac:dyDescent="0.45">
      <c r="R6937" s="2">
        <v>86.13</v>
      </c>
      <c r="S6937" s="2">
        <v>0.1244677</v>
      </c>
      <c r="T6937" s="2">
        <v>6.9108799999999998E-2</v>
      </c>
    </row>
    <row r="6938" spans="18:20" x14ac:dyDescent="0.45">
      <c r="R6938" s="2">
        <v>86.14</v>
      </c>
      <c r="S6938" s="2">
        <v>0.12458950000000001</v>
      </c>
      <c r="T6938" s="2">
        <v>6.9182400000000005E-2</v>
      </c>
    </row>
    <row r="6939" spans="18:20" x14ac:dyDescent="0.45">
      <c r="R6939" s="2">
        <v>86.15</v>
      </c>
      <c r="S6939" s="2">
        <v>0.1247113</v>
      </c>
      <c r="T6939" s="2">
        <v>6.9255999999999998E-2</v>
      </c>
    </row>
    <row r="6940" spans="18:20" x14ac:dyDescent="0.45">
      <c r="R6940" s="2">
        <v>86.16</v>
      </c>
      <c r="S6940" s="2">
        <v>0.1248331</v>
      </c>
      <c r="T6940" s="2">
        <v>6.9329600000000005E-2</v>
      </c>
    </row>
    <row r="6941" spans="18:20" x14ac:dyDescent="0.45">
      <c r="R6941" s="2">
        <v>86.17</v>
      </c>
      <c r="S6941" s="2">
        <v>0.12495489999999999</v>
      </c>
      <c r="T6941" s="2">
        <v>6.9403199999999998E-2</v>
      </c>
    </row>
    <row r="6942" spans="18:20" x14ac:dyDescent="0.45">
      <c r="R6942" s="2">
        <v>86.18</v>
      </c>
      <c r="S6942" s="2">
        <v>0.12507679999999999</v>
      </c>
      <c r="T6942" s="2">
        <v>6.9476800000000005E-2</v>
      </c>
    </row>
    <row r="6943" spans="18:20" x14ac:dyDescent="0.45">
      <c r="R6943" s="2">
        <v>86.19</v>
      </c>
      <c r="S6943" s="2">
        <v>0.12519859999999999</v>
      </c>
      <c r="T6943" s="2">
        <v>6.9550399999999998E-2</v>
      </c>
    </row>
    <row r="6944" spans="18:20" x14ac:dyDescent="0.45">
      <c r="R6944" s="2">
        <v>86.2</v>
      </c>
      <c r="S6944" s="2">
        <v>0.1253204</v>
      </c>
      <c r="T6944" s="2">
        <v>6.9624000000000005E-2</v>
      </c>
    </row>
    <row r="6945" spans="18:20" x14ac:dyDescent="0.45">
      <c r="R6945" s="2">
        <v>86.21</v>
      </c>
      <c r="S6945" s="2">
        <v>0.1254422</v>
      </c>
      <c r="T6945" s="2">
        <v>6.9697599999999998E-2</v>
      </c>
    </row>
    <row r="6946" spans="18:20" x14ac:dyDescent="0.45">
      <c r="R6946" s="2">
        <v>86.22</v>
      </c>
      <c r="S6946" s="2">
        <v>0.12556400000000001</v>
      </c>
      <c r="T6946" s="2">
        <v>6.9771200000000005E-2</v>
      </c>
    </row>
    <row r="6947" spans="18:20" x14ac:dyDescent="0.45">
      <c r="R6947" s="2">
        <v>86.23</v>
      </c>
      <c r="S6947" s="2">
        <v>0.12568589999999999</v>
      </c>
      <c r="T6947" s="2">
        <v>6.9844799999999999E-2</v>
      </c>
    </row>
    <row r="6948" spans="18:20" x14ac:dyDescent="0.45">
      <c r="R6948" s="2">
        <v>86.24</v>
      </c>
      <c r="S6948" s="2">
        <v>0.12580769999999999</v>
      </c>
      <c r="T6948" s="2">
        <v>6.9918400000000006E-2</v>
      </c>
    </row>
    <row r="6949" spans="18:20" x14ac:dyDescent="0.45">
      <c r="R6949" s="2">
        <v>86.25</v>
      </c>
      <c r="S6949" s="2">
        <v>0.1259295</v>
      </c>
      <c r="T6949" s="2">
        <v>6.9991999999999999E-2</v>
      </c>
    </row>
    <row r="6950" spans="18:20" x14ac:dyDescent="0.45">
      <c r="R6950" s="2">
        <v>86.26</v>
      </c>
      <c r="S6950" s="2">
        <v>0.12605130000000001</v>
      </c>
      <c r="T6950" s="2">
        <v>7.0065600000000006E-2</v>
      </c>
    </row>
    <row r="6951" spans="18:20" x14ac:dyDescent="0.45">
      <c r="R6951" s="2">
        <v>86.27</v>
      </c>
      <c r="S6951" s="2">
        <v>0.12617310000000001</v>
      </c>
      <c r="T6951" s="2">
        <v>7.0139199999999999E-2</v>
      </c>
    </row>
    <row r="6952" spans="18:20" x14ac:dyDescent="0.45">
      <c r="R6952" s="2">
        <v>86.28</v>
      </c>
      <c r="S6952" s="2">
        <v>0.12629499999999999</v>
      </c>
      <c r="T6952" s="2">
        <v>7.0212800000000006E-2</v>
      </c>
    </row>
    <row r="6953" spans="18:20" x14ac:dyDescent="0.45">
      <c r="R6953" s="2">
        <v>86.29</v>
      </c>
      <c r="S6953" s="2">
        <v>0.1264168</v>
      </c>
      <c r="T6953" s="2">
        <v>7.0286399999999999E-2</v>
      </c>
    </row>
    <row r="6954" spans="18:20" x14ac:dyDescent="0.45">
      <c r="R6954" s="2">
        <v>86.3</v>
      </c>
      <c r="S6954" s="2">
        <v>0.1265386</v>
      </c>
      <c r="T6954" s="2">
        <v>7.0360000000000006E-2</v>
      </c>
    </row>
    <row r="6955" spans="18:20" x14ac:dyDescent="0.45">
      <c r="R6955" s="2">
        <v>86.31</v>
      </c>
      <c r="S6955" s="2">
        <v>0.12666040000000001</v>
      </c>
      <c r="T6955" s="2">
        <v>7.0433599999999999E-2</v>
      </c>
    </row>
    <row r="6956" spans="18:20" x14ac:dyDescent="0.45">
      <c r="R6956" s="2">
        <v>86.32</v>
      </c>
      <c r="S6956" s="2">
        <v>0.12678220000000001</v>
      </c>
      <c r="T6956" s="2">
        <v>7.0507200000000006E-2</v>
      </c>
    </row>
    <row r="6957" spans="18:20" x14ac:dyDescent="0.45">
      <c r="R6957" s="2">
        <v>86.33</v>
      </c>
      <c r="S6957" s="2">
        <v>0.12690409999999999</v>
      </c>
      <c r="T6957" s="2">
        <v>7.0580799999999999E-2</v>
      </c>
    </row>
    <row r="6958" spans="18:20" x14ac:dyDescent="0.45">
      <c r="R6958" s="2">
        <v>86.34</v>
      </c>
      <c r="S6958" s="2">
        <v>0.1270259</v>
      </c>
      <c r="T6958" s="2">
        <v>7.0654400000000006E-2</v>
      </c>
    </row>
    <row r="6959" spans="18:20" x14ac:dyDescent="0.45">
      <c r="R6959" s="2">
        <v>86.35</v>
      </c>
      <c r="S6959" s="2">
        <v>0.1271477</v>
      </c>
      <c r="T6959" s="2">
        <v>7.0727999999999999E-2</v>
      </c>
    </row>
    <row r="6960" spans="18:20" x14ac:dyDescent="0.45">
      <c r="R6960" s="2">
        <v>86.36</v>
      </c>
      <c r="S6960" s="2">
        <v>0.12726950000000001</v>
      </c>
      <c r="T6960" s="2">
        <v>7.0801600000000006E-2</v>
      </c>
    </row>
    <row r="6961" spans="18:20" x14ac:dyDescent="0.45">
      <c r="R6961" s="2">
        <v>86.37</v>
      </c>
      <c r="S6961" s="2">
        <v>0.12739130000000001</v>
      </c>
      <c r="T6961" s="2">
        <v>7.0875199999999999E-2</v>
      </c>
    </row>
    <row r="6962" spans="18:20" x14ac:dyDescent="0.45">
      <c r="R6962" s="2">
        <v>86.38</v>
      </c>
      <c r="S6962" s="2">
        <v>0.12751319999999999</v>
      </c>
      <c r="T6962" s="2">
        <v>7.0948800000000006E-2</v>
      </c>
    </row>
    <row r="6963" spans="18:20" x14ac:dyDescent="0.45">
      <c r="R6963" s="2">
        <v>86.39</v>
      </c>
      <c r="S6963" s="2">
        <v>0.127635</v>
      </c>
      <c r="T6963" s="2">
        <v>7.1022399999999999E-2</v>
      </c>
    </row>
    <row r="6964" spans="18:20" x14ac:dyDescent="0.45">
      <c r="R6964" s="2">
        <v>86.4</v>
      </c>
      <c r="S6964" s="2">
        <v>0.1277568</v>
      </c>
      <c r="T6964" s="2">
        <v>7.1096000000000006E-2</v>
      </c>
    </row>
    <row r="6965" spans="18:20" x14ac:dyDescent="0.45">
      <c r="R6965" s="2">
        <v>86.41</v>
      </c>
      <c r="S6965" s="2">
        <v>0.12787860000000001</v>
      </c>
      <c r="T6965" s="2">
        <v>7.11696E-2</v>
      </c>
    </row>
    <row r="6966" spans="18:20" x14ac:dyDescent="0.45">
      <c r="R6966" s="2">
        <v>86.42</v>
      </c>
      <c r="S6966" s="2">
        <v>0.12800039999999999</v>
      </c>
      <c r="T6966" s="2">
        <v>7.1243200000000007E-2</v>
      </c>
    </row>
    <row r="6967" spans="18:20" x14ac:dyDescent="0.45">
      <c r="R6967" s="2">
        <v>86.43</v>
      </c>
      <c r="S6967" s="2">
        <v>0.12812229999999999</v>
      </c>
      <c r="T6967" s="2">
        <v>7.13168E-2</v>
      </c>
    </row>
    <row r="6968" spans="18:20" x14ac:dyDescent="0.45">
      <c r="R6968" s="2">
        <v>86.44</v>
      </c>
      <c r="S6968" s="2">
        <v>0.1282441</v>
      </c>
      <c r="T6968" s="2">
        <v>7.1390400000000007E-2</v>
      </c>
    </row>
    <row r="6969" spans="18:20" x14ac:dyDescent="0.45">
      <c r="R6969" s="2">
        <v>86.45</v>
      </c>
      <c r="S6969" s="2">
        <v>0.1283659</v>
      </c>
      <c r="T6969" s="2">
        <v>7.1464E-2</v>
      </c>
    </row>
    <row r="6970" spans="18:20" x14ac:dyDescent="0.45">
      <c r="R6970" s="2">
        <v>86.46</v>
      </c>
      <c r="S6970" s="2">
        <v>0.12848770000000001</v>
      </c>
      <c r="T6970" s="2">
        <v>7.1537600000000007E-2</v>
      </c>
    </row>
    <row r="6971" spans="18:20" x14ac:dyDescent="0.45">
      <c r="R6971" s="2">
        <v>86.47</v>
      </c>
      <c r="S6971" s="2">
        <v>0.12860949999999999</v>
      </c>
      <c r="T6971" s="2">
        <v>7.16112E-2</v>
      </c>
    </row>
    <row r="6972" spans="18:20" x14ac:dyDescent="0.45">
      <c r="R6972" s="2">
        <v>86.48</v>
      </c>
      <c r="S6972" s="2">
        <v>0.1287314</v>
      </c>
      <c r="T6972" s="2">
        <v>7.1684800000000007E-2</v>
      </c>
    </row>
    <row r="6973" spans="18:20" x14ac:dyDescent="0.45">
      <c r="R6973" s="2">
        <v>86.49</v>
      </c>
      <c r="S6973" s="2">
        <v>0.1288532</v>
      </c>
      <c r="T6973" s="2">
        <v>7.17584E-2</v>
      </c>
    </row>
    <row r="6974" spans="18:20" x14ac:dyDescent="0.45">
      <c r="R6974" s="2">
        <v>86.5</v>
      </c>
      <c r="S6974" s="2">
        <v>0.12897500000000001</v>
      </c>
      <c r="T6974" s="2">
        <v>7.1831999999999993E-2</v>
      </c>
    </row>
    <row r="6975" spans="18:20" x14ac:dyDescent="0.45">
      <c r="R6975" s="2">
        <v>86.51</v>
      </c>
      <c r="S6975" s="2">
        <v>0.12909680000000001</v>
      </c>
      <c r="T6975" s="2">
        <v>7.19056E-2</v>
      </c>
    </row>
    <row r="6976" spans="18:20" x14ac:dyDescent="0.45">
      <c r="R6976" s="2">
        <v>86.52</v>
      </c>
      <c r="S6976" s="2">
        <v>0.12921859999999999</v>
      </c>
      <c r="T6976" s="2">
        <v>7.1979199999999993E-2</v>
      </c>
    </row>
    <row r="6977" spans="18:20" x14ac:dyDescent="0.45">
      <c r="R6977" s="2">
        <v>86.53</v>
      </c>
      <c r="S6977" s="2">
        <v>0.1293405</v>
      </c>
      <c r="T6977" s="2">
        <v>7.20528E-2</v>
      </c>
    </row>
    <row r="6978" spans="18:20" x14ac:dyDescent="0.45">
      <c r="R6978" s="2">
        <v>86.54</v>
      </c>
      <c r="S6978" s="2">
        <v>0.1294623</v>
      </c>
      <c r="T6978" s="2">
        <v>7.2126399999999993E-2</v>
      </c>
    </row>
    <row r="6979" spans="18:20" x14ac:dyDescent="0.45">
      <c r="R6979" s="2">
        <v>86.55</v>
      </c>
      <c r="S6979" s="2">
        <v>0.12958410000000001</v>
      </c>
      <c r="T6979" s="2">
        <v>7.22E-2</v>
      </c>
    </row>
    <row r="6980" spans="18:20" x14ac:dyDescent="0.45">
      <c r="R6980" s="2">
        <v>86.56</v>
      </c>
      <c r="S6980" s="2">
        <v>0.12970590000000001</v>
      </c>
      <c r="T6980" s="2">
        <v>7.2273599999999993E-2</v>
      </c>
    </row>
    <row r="6981" spans="18:20" x14ac:dyDescent="0.45">
      <c r="R6981" s="2">
        <v>86.57</v>
      </c>
      <c r="S6981" s="2">
        <v>0.12982769999999999</v>
      </c>
      <c r="T6981" s="2">
        <v>7.23472E-2</v>
      </c>
    </row>
    <row r="6982" spans="18:20" x14ac:dyDescent="0.45">
      <c r="R6982" s="2">
        <v>86.58</v>
      </c>
      <c r="S6982" s="2">
        <v>0.1299496</v>
      </c>
      <c r="T6982" s="2">
        <v>7.2420799999999994E-2</v>
      </c>
    </row>
    <row r="6983" spans="18:20" x14ac:dyDescent="0.45">
      <c r="R6983" s="2">
        <v>86.59</v>
      </c>
      <c r="S6983" s="2">
        <v>0.1300714</v>
      </c>
      <c r="T6983" s="2">
        <v>7.2494400000000001E-2</v>
      </c>
    </row>
    <row r="6984" spans="18:20" x14ac:dyDescent="0.45">
      <c r="R6984" s="2">
        <v>86.6</v>
      </c>
      <c r="S6984" s="2">
        <v>0.13019320000000001</v>
      </c>
      <c r="T6984" s="2">
        <v>7.2567999999999994E-2</v>
      </c>
    </row>
    <row r="6985" spans="18:20" x14ac:dyDescent="0.45">
      <c r="R6985" s="2">
        <v>86.61</v>
      </c>
      <c r="S6985" s="2">
        <v>0.13031499999999999</v>
      </c>
      <c r="T6985" s="2">
        <v>7.2641600000000001E-2</v>
      </c>
    </row>
    <row r="6986" spans="18:20" x14ac:dyDescent="0.45">
      <c r="R6986" s="2">
        <v>86.62</v>
      </c>
      <c r="S6986" s="2">
        <v>0.13043679999999999</v>
      </c>
      <c r="T6986" s="2">
        <v>7.2715199999999994E-2</v>
      </c>
    </row>
    <row r="6987" spans="18:20" x14ac:dyDescent="0.45">
      <c r="R6987" s="2">
        <v>86.63</v>
      </c>
      <c r="S6987" s="2">
        <v>0.1305587</v>
      </c>
      <c r="T6987" s="2">
        <v>7.2788800000000001E-2</v>
      </c>
    </row>
    <row r="6988" spans="18:20" x14ac:dyDescent="0.45">
      <c r="R6988" s="2">
        <v>86.64</v>
      </c>
      <c r="S6988" s="2">
        <v>0.1306805</v>
      </c>
      <c r="T6988" s="2">
        <v>7.2862399999999994E-2</v>
      </c>
    </row>
    <row r="6989" spans="18:20" x14ac:dyDescent="0.45">
      <c r="R6989" s="2">
        <v>86.65</v>
      </c>
      <c r="S6989" s="2">
        <v>0.13080230000000001</v>
      </c>
      <c r="T6989" s="2">
        <v>7.2936000000000001E-2</v>
      </c>
    </row>
    <row r="6990" spans="18:20" x14ac:dyDescent="0.45">
      <c r="R6990" s="2">
        <v>86.66</v>
      </c>
      <c r="S6990" s="2">
        <v>0.13092409999999999</v>
      </c>
      <c r="T6990" s="2">
        <v>7.3009599999999994E-2</v>
      </c>
    </row>
    <row r="6991" spans="18:20" x14ac:dyDescent="0.45">
      <c r="R6991" s="2">
        <v>86.67</v>
      </c>
      <c r="S6991" s="2">
        <v>0.13104589999999999</v>
      </c>
      <c r="T6991" s="2">
        <v>7.3083200000000001E-2</v>
      </c>
    </row>
    <row r="6992" spans="18:20" x14ac:dyDescent="0.45">
      <c r="R6992" s="2">
        <v>86.68</v>
      </c>
      <c r="S6992" s="2">
        <v>0.1311678</v>
      </c>
      <c r="T6992" s="2">
        <v>7.3156799999999994E-2</v>
      </c>
    </row>
    <row r="6993" spans="18:20" x14ac:dyDescent="0.45">
      <c r="R6993" s="2">
        <v>86.69</v>
      </c>
      <c r="S6993" s="2">
        <v>0.13128960000000001</v>
      </c>
      <c r="T6993" s="2">
        <v>7.3230400000000001E-2</v>
      </c>
    </row>
    <row r="6994" spans="18:20" x14ac:dyDescent="0.45">
      <c r="R6994" s="2">
        <v>86.7</v>
      </c>
      <c r="S6994" s="2">
        <v>0.13141140000000001</v>
      </c>
      <c r="T6994" s="2">
        <v>7.3303999999999994E-2</v>
      </c>
    </row>
    <row r="6995" spans="18:20" x14ac:dyDescent="0.45">
      <c r="R6995" s="2">
        <v>86.71</v>
      </c>
      <c r="S6995" s="2">
        <v>0.13153319999999999</v>
      </c>
      <c r="T6995" s="2">
        <v>7.3377600000000001E-2</v>
      </c>
    </row>
    <row r="6996" spans="18:20" x14ac:dyDescent="0.45">
      <c r="R6996" s="2">
        <v>86.72</v>
      </c>
      <c r="S6996" s="2">
        <v>0.13165499999999999</v>
      </c>
      <c r="T6996" s="2">
        <v>7.3451199999999994E-2</v>
      </c>
    </row>
    <row r="6997" spans="18:20" x14ac:dyDescent="0.45">
      <c r="R6997" s="2">
        <v>86.73</v>
      </c>
      <c r="S6997" s="2">
        <v>0.1317769</v>
      </c>
      <c r="T6997" s="2">
        <v>7.3524800000000001E-2</v>
      </c>
    </row>
    <row r="6998" spans="18:20" x14ac:dyDescent="0.45">
      <c r="R6998" s="2">
        <v>86.74</v>
      </c>
      <c r="S6998" s="2">
        <v>0.13189870000000001</v>
      </c>
      <c r="T6998" s="2">
        <v>7.3598399999999994E-2</v>
      </c>
    </row>
    <row r="6999" spans="18:20" x14ac:dyDescent="0.45">
      <c r="R6999" s="2">
        <v>86.75</v>
      </c>
      <c r="S6999" s="2">
        <v>0.13202050000000001</v>
      </c>
      <c r="T6999" s="2">
        <v>7.3672000000000001E-2</v>
      </c>
    </row>
    <row r="7000" spans="18:20" x14ac:dyDescent="0.45">
      <c r="R7000" s="2">
        <v>86.76</v>
      </c>
      <c r="S7000" s="2">
        <v>0.13214229999999999</v>
      </c>
      <c r="T7000" s="2">
        <v>7.3745599999999994E-2</v>
      </c>
    </row>
    <row r="7001" spans="18:20" x14ac:dyDescent="0.45">
      <c r="R7001" s="2">
        <v>86.77</v>
      </c>
      <c r="S7001" s="2">
        <v>0.1322641</v>
      </c>
      <c r="T7001" s="2">
        <v>7.3819200000000001E-2</v>
      </c>
    </row>
    <row r="7002" spans="18:20" x14ac:dyDescent="0.45">
      <c r="R7002" s="2">
        <v>86.78</v>
      </c>
      <c r="S7002" s="2">
        <v>0.132386</v>
      </c>
      <c r="T7002" s="2">
        <v>7.3892799999999995E-2</v>
      </c>
    </row>
    <row r="7003" spans="18:20" x14ac:dyDescent="0.45">
      <c r="R7003" s="2">
        <v>86.79</v>
      </c>
      <c r="S7003" s="2">
        <v>0.13250780000000001</v>
      </c>
      <c r="T7003" s="2">
        <v>7.3966400000000002E-2</v>
      </c>
    </row>
    <row r="7004" spans="18:20" x14ac:dyDescent="0.45">
      <c r="R7004" s="2">
        <v>86.8</v>
      </c>
      <c r="S7004" s="2">
        <v>0.13262959999999999</v>
      </c>
      <c r="T7004" s="2">
        <v>7.4039999999999995E-2</v>
      </c>
    </row>
    <row r="7005" spans="18:20" x14ac:dyDescent="0.45">
      <c r="R7005" s="2">
        <v>86.81</v>
      </c>
      <c r="S7005" s="2">
        <v>0.13275139999999999</v>
      </c>
      <c r="T7005" s="2">
        <v>7.4113600000000002E-2</v>
      </c>
    </row>
    <row r="7006" spans="18:20" x14ac:dyDescent="0.45">
      <c r="R7006" s="2">
        <v>86.82</v>
      </c>
      <c r="S7006" s="2">
        <v>0.1328732</v>
      </c>
      <c r="T7006" s="2">
        <v>7.4187199999999995E-2</v>
      </c>
    </row>
    <row r="7007" spans="18:20" x14ac:dyDescent="0.45">
      <c r="R7007" s="2">
        <v>86.83</v>
      </c>
      <c r="S7007" s="2">
        <v>0.1329951</v>
      </c>
      <c r="T7007" s="2">
        <v>7.4260800000000002E-2</v>
      </c>
    </row>
    <row r="7008" spans="18:20" x14ac:dyDescent="0.45">
      <c r="R7008" s="2">
        <v>86.84</v>
      </c>
      <c r="S7008" s="2">
        <v>0.13311690000000001</v>
      </c>
      <c r="T7008" s="2">
        <v>7.4334399999999995E-2</v>
      </c>
    </row>
    <row r="7009" spans="18:20" x14ac:dyDescent="0.45">
      <c r="R7009" s="2">
        <v>86.85</v>
      </c>
      <c r="S7009" s="2">
        <v>0.13323869999999999</v>
      </c>
      <c r="T7009" s="2">
        <v>7.4408000000000002E-2</v>
      </c>
    </row>
    <row r="7010" spans="18:20" x14ac:dyDescent="0.45">
      <c r="R7010" s="2">
        <v>86.86</v>
      </c>
      <c r="S7010" s="2">
        <v>0.13336049999999999</v>
      </c>
      <c r="T7010" s="2">
        <v>7.4481599999999995E-2</v>
      </c>
    </row>
    <row r="7011" spans="18:20" x14ac:dyDescent="0.45">
      <c r="R7011" s="2">
        <v>86.87</v>
      </c>
      <c r="S7011" s="2">
        <v>0.1334823</v>
      </c>
      <c r="T7011" s="2">
        <v>7.4555200000000002E-2</v>
      </c>
    </row>
    <row r="7012" spans="18:20" x14ac:dyDescent="0.45">
      <c r="R7012" s="2">
        <v>86.88</v>
      </c>
      <c r="S7012" s="2">
        <v>0.13360420000000001</v>
      </c>
      <c r="T7012" s="2">
        <v>7.4628799999999995E-2</v>
      </c>
    </row>
    <row r="7013" spans="18:20" x14ac:dyDescent="0.45">
      <c r="R7013" s="2">
        <v>86.89</v>
      </c>
      <c r="S7013" s="2">
        <v>0.13372600000000001</v>
      </c>
      <c r="T7013" s="2">
        <v>7.4702400000000002E-2</v>
      </c>
    </row>
    <row r="7014" spans="18:20" x14ac:dyDescent="0.45">
      <c r="R7014" s="2">
        <v>86.9</v>
      </c>
      <c r="S7014" s="2">
        <v>0.13384779999999999</v>
      </c>
      <c r="T7014" s="2">
        <v>7.4775999999999995E-2</v>
      </c>
    </row>
    <row r="7015" spans="18:20" x14ac:dyDescent="0.45">
      <c r="R7015" s="2">
        <v>86.91</v>
      </c>
      <c r="S7015" s="2">
        <v>0.13396959999999999</v>
      </c>
      <c r="T7015" s="2">
        <v>7.4849600000000002E-2</v>
      </c>
    </row>
    <row r="7016" spans="18:20" x14ac:dyDescent="0.45">
      <c r="R7016" s="2">
        <v>86.92</v>
      </c>
      <c r="S7016" s="2">
        <v>0.1340914</v>
      </c>
      <c r="T7016" s="2">
        <v>7.4923199999999995E-2</v>
      </c>
    </row>
    <row r="7017" spans="18:20" x14ac:dyDescent="0.45">
      <c r="R7017" s="2">
        <v>86.93</v>
      </c>
      <c r="S7017" s="2">
        <v>0.13421330000000001</v>
      </c>
      <c r="T7017" s="2">
        <v>7.4996800000000002E-2</v>
      </c>
    </row>
    <row r="7018" spans="18:20" x14ac:dyDescent="0.45">
      <c r="R7018" s="2">
        <v>86.94</v>
      </c>
      <c r="S7018" s="2">
        <v>0.13433510000000001</v>
      </c>
      <c r="T7018" s="2">
        <v>7.5070399999999995E-2</v>
      </c>
    </row>
    <row r="7019" spans="18:20" x14ac:dyDescent="0.45">
      <c r="R7019" s="2">
        <v>86.95</v>
      </c>
      <c r="S7019" s="2">
        <v>0.13445689999999999</v>
      </c>
      <c r="T7019" s="2">
        <v>7.5144000000000002E-2</v>
      </c>
    </row>
    <row r="7020" spans="18:20" x14ac:dyDescent="0.45">
      <c r="R7020" s="2">
        <v>86.96</v>
      </c>
      <c r="S7020" s="2">
        <v>0.1345787</v>
      </c>
      <c r="T7020" s="2">
        <v>7.5217599999999996E-2</v>
      </c>
    </row>
    <row r="7021" spans="18:20" x14ac:dyDescent="0.45">
      <c r="R7021" s="2">
        <v>86.97</v>
      </c>
      <c r="S7021" s="2">
        <v>0.1347005</v>
      </c>
      <c r="T7021" s="2">
        <v>7.5291200000000003E-2</v>
      </c>
    </row>
    <row r="7022" spans="18:20" x14ac:dyDescent="0.45">
      <c r="R7022" s="2">
        <v>86.98</v>
      </c>
      <c r="S7022" s="2">
        <v>0.13482240000000001</v>
      </c>
      <c r="T7022" s="2">
        <v>7.5364799999999996E-2</v>
      </c>
    </row>
    <row r="7023" spans="18:20" x14ac:dyDescent="0.45">
      <c r="R7023" s="2">
        <v>86.99</v>
      </c>
      <c r="S7023" s="2">
        <v>0.13494419999999999</v>
      </c>
      <c r="T7023" s="2">
        <v>7.5438400000000003E-2</v>
      </c>
    </row>
    <row r="7024" spans="18:20" x14ac:dyDescent="0.45">
      <c r="R7024" s="2">
        <v>87</v>
      </c>
      <c r="S7024" s="2">
        <v>0.13506599999999999</v>
      </c>
      <c r="T7024" s="2">
        <v>7.5511999999999996E-2</v>
      </c>
    </row>
    <row r="7025" spans="18:20" x14ac:dyDescent="0.45">
      <c r="R7025" s="2">
        <v>87.01</v>
      </c>
      <c r="S7025" s="2">
        <v>0.1351984</v>
      </c>
      <c r="T7025" s="2">
        <v>7.5593560000000004E-2</v>
      </c>
    </row>
    <row r="7026" spans="18:20" x14ac:dyDescent="0.45">
      <c r="R7026" s="2">
        <v>87.02</v>
      </c>
      <c r="S7026" s="2">
        <v>0.1353309</v>
      </c>
      <c r="T7026" s="2">
        <v>7.5675119999999998E-2</v>
      </c>
    </row>
    <row r="7027" spans="18:20" x14ac:dyDescent="0.45">
      <c r="R7027" s="2">
        <v>87.03</v>
      </c>
      <c r="S7027" s="2">
        <v>0.13546330000000001</v>
      </c>
      <c r="T7027" s="2">
        <v>7.5756680000000007E-2</v>
      </c>
    </row>
    <row r="7028" spans="18:20" x14ac:dyDescent="0.45">
      <c r="R7028" s="2">
        <v>87.04</v>
      </c>
      <c r="S7028" s="2">
        <v>0.13559570000000001</v>
      </c>
      <c r="T7028" s="2">
        <v>7.5838240000000001E-2</v>
      </c>
    </row>
    <row r="7029" spans="18:20" x14ac:dyDescent="0.45">
      <c r="R7029" s="2">
        <v>87.05</v>
      </c>
      <c r="S7029" s="2">
        <v>0.13572809999999999</v>
      </c>
      <c r="T7029" s="2">
        <v>7.5919799999999996E-2</v>
      </c>
    </row>
    <row r="7030" spans="18:20" x14ac:dyDescent="0.45">
      <c r="R7030" s="2">
        <v>87.06</v>
      </c>
      <c r="S7030" s="2">
        <v>0.1358606</v>
      </c>
      <c r="T7030" s="2">
        <v>7.6001360000000004E-2</v>
      </c>
    </row>
    <row r="7031" spans="18:20" x14ac:dyDescent="0.45">
      <c r="R7031" s="2">
        <v>87.07</v>
      </c>
      <c r="S7031" s="2">
        <v>0.135993</v>
      </c>
      <c r="T7031" s="2">
        <v>7.6082919999999998E-2</v>
      </c>
    </row>
    <row r="7032" spans="18:20" x14ac:dyDescent="0.45">
      <c r="R7032" s="2">
        <v>87.08</v>
      </c>
      <c r="S7032" s="2">
        <v>0.13612540000000001</v>
      </c>
      <c r="T7032" s="2">
        <v>7.6164480000000007E-2</v>
      </c>
    </row>
    <row r="7033" spans="18:20" x14ac:dyDescent="0.45">
      <c r="R7033" s="2">
        <v>87.09</v>
      </c>
      <c r="S7033" s="2">
        <v>0.13625789999999999</v>
      </c>
      <c r="T7033" s="2">
        <v>7.6246040000000001E-2</v>
      </c>
    </row>
    <row r="7034" spans="18:20" x14ac:dyDescent="0.45">
      <c r="R7034" s="2">
        <v>87.1</v>
      </c>
      <c r="S7034" s="2">
        <v>0.13639029999999999</v>
      </c>
      <c r="T7034" s="2">
        <v>7.6327599999999995E-2</v>
      </c>
    </row>
    <row r="7035" spans="18:20" x14ac:dyDescent="0.45">
      <c r="R7035" s="2">
        <v>87.11</v>
      </c>
      <c r="S7035" s="2">
        <v>0.1365227</v>
      </c>
      <c r="T7035" s="2">
        <v>7.6409160000000004E-2</v>
      </c>
    </row>
    <row r="7036" spans="18:20" x14ac:dyDescent="0.45">
      <c r="R7036" s="2">
        <v>87.12</v>
      </c>
      <c r="S7036" s="2">
        <v>0.1366552</v>
      </c>
      <c r="T7036" s="2">
        <v>7.6490719999999998E-2</v>
      </c>
    </row>
    <row r="7037" spans="18:20" x14ac:dyDescent="0.45">
      <c r="R7037" s="2">
        <v>87.13</v>
      </c>
      <c r="S7037" s="2">
        <v>0.13678760000000001</v>
      </c>
      <c r="T7037" s="2">
        <v>7.6572280000000006E-2</v>
      </c>
    </row>
    <row r="7038" spans="18:20" x14ac:dyDescent="0.45">
      <c r="R7038" s="2">
        <v>87.14</v>
      </c>
      <c r="S7038" s="2">
        <v>0.13691999999999999</v>
      </c>
      <c r="T7038" s="2">
        <v>7.6653840000000001E-2</v>
      </c>
    </row>
    <row r="7039" spans="18:20" x14ac:dyDescent="0.45">
      <c r="R7039" s="2">
        <v>87.15</v>
      </c>
      <c r="S7039" s="2">
        <v>0.13705249999999999</v>
      </c>
      <c r="T7039" s="2">
        <v>7.6735399999999995E-2</v>
      </c>
    </row>
    <row r="7040" spans="18:20" x14ac:dyDescent="0.45">
      <c r="R7040" s="2">
        <v>87.16</v>
      </c>
      <c r="S7040" s="2">
        <v>0.1371849</v>
      </c>
      <c r="T7040" s="2">
        <v>7.6816960000000004E-2</v>
      </c>
    </row>
    <row r="7041" spans="18:20" x14ac:dyDescent="0.45">
      <c r="R7041" s="2">
        <v>87.17</v>
      </c>
      <c r="S7041" s="2">
        <v>0.1373173</v>
      </c>
      <c r="T7041" s="2">
        <v>7.6898519999999998E-2</v>
      </c>
    </row>
    <row r="7042" spans="18:20" x14ac:dyDescent="0.45">
      <c r="R7042" s="2">
        <v>87.18</v>
      </c>
      <c r="S7042" s="2">
        <v>0.13744970000000001</v>
      </c>
      <c r="T7042" s="2">
        <v>7.6980080000000006E-2</v>
      </c>
    </row>
    <row r="7043" spans="18:20" x14ac:dyDescent="0.45">
      <c r="R7043" s="2">
        <v>87.19</v>
      </c>
      <c r="S7043" s="2">
        <v>0.13758219999999999</v>
      </c>
      <c r="T7043" s="2">
        <v>7.7061640000000001E-2</v>
      </c>
    </row>
    <row r="7044" spans="18:20" x14ac:dyDescent="0.45">
      <c r="R7044" s="2">
        <v>87.2</v>
      </c>
      <c r="S7044" s="2">
        <v>0.13771459999999999</v>
      </c>
      <c r="T7044" s="2">
        <v>7.7143199999999995E-2</v>
      </c>
    </row>
    <row r="7045" spans="18:20" x14ac:dyDescent="0.45">
      <c r="R7045" s="2">
        <v>87.21</v>
      </c>
      <c r="S7045" s="2">
        <v>0.137847</v>
      </c>
      <c r="T7045" s="2">
        <v>7.7224760000000003E-2</v>
      </c>
    </row>
    <row r="7046" spans="18:20" x14ac:dyDescent="0.45">
      <c r="R7046" s="2">
        <v>87.22</v>
      </c>
      <c r="S7046" s="2">
        <v>0.1379795</v>
      </c>
      <c r="T7046" s="2">
        <v>7.7306319999999998E-2</v>
      </c>
    </row>
    <row r="7047" spans="18:20" x14ac:dyDescent="0.45">
      <c r="R7047" s="2">
        <v>87.23</v>
      </c>
      <c r="S7047" s="2">
        <v>0.13811190000000001</v>
      </c>
      <c r="T7047" s="2">
        <v>7.7387880000000006E-2</v>
      </c>
    </row>
    <row r="7048" spans="18:20" x14ac:dyDescent="0.45">
      <c r="R7048" s="2">
        <v>87.24</v>
      </c>
      <c r="S7048" s="2">
        <v>0.13824429999999999</v>
      </c>
      <c r="T7048" s="2">
        <v>7.7469440000000001E-2</v>
      </c>
    </row>
    <row r="7049" spans="18:20" x14ac:dyDescent="0.45">
      <c r="R7049" s="2">
        <v>87.25</v>
      </c>
      <c r="S7049" s="2">
        <v>0.13837669999999999</v>
      </c>
      <c r="T7049" s="2">
        <v>7.7550999999999995E-2</v>
      </c>
    </row>
    <row r="7050" spans="18:20" x14ac:dyDescent="0.45">
      <c r="R7050" s="2">
        <v>87.26</v>
      </c>
      <c r="S7050" s="2">
        <v>0.1385092</v>
      </c>
      <c r="T7050" s="2">
        <v>7.7632560000000003E-2</v>
      </c>
    </row>
    <row r="7051" spans="18:20" x14ac:dyDescent="0.45">
      <c r="R7051" s="2">
        <v>87.27</v>
      </c>
      <c r="S7051" s="2">
        <v>0.1386416</v>
      </c>
      <c r="T7051" s="2">
        <v>7.7714119999999998E-2</v>
      </c>
    </row>
    <row r="7052" spans="18:20" x14ac:dyDescent="0.45">
      <c r="R7052" s="2">
        <v>87.28</v>
      </c>
      <c r="S7052" s="2">
        <v>0.13877400000000001</v>
      </c>
      <c r="T7052" s="2">
        <v>7.7795680000000006E-2</v>
      </c>
    </row>
    <row r="7053" spans="18:20" x14ac:dyDescent="0.45">
      <c r="R7053" s="2">
        <v>87.29</v>
      </c>
      <c r="S7053" s="2">
        <v>0.13890649999999999</v>
      </c>
      <c r="T7053" s="2">
        <v>7.787724E-2</v>
      </c>
    </row>
    <row r="7054" spans="18:20" x14ac:dyDescent="0.45">
      <c r="R7054" s="2">
        <v>87.3</v>
      </c>
      <c r="S7054" s="2">
        <v>0.13903889999999999</v>
      </c>
      <c r="T7054" s="2">
        <v>7.7958799999999995E-2</v>
      </c>
    </row>
    <row r="7055" spans="18:20" x14ac:dyDescent="0.45">
      <c r="R7055" s="2">
        <v>87.31</v>
      </c>
      <c r="S7055" s="2">
        <v>0.1391713</v>
      </c>
      <c r="T7055" s="2">
        <v>7.8040360000000003E-2</v>
      </c>
    </row>
    <row r="7056" spans="18:20" x14ac:dyDescent="0.45">
      <c r="R7056" s="2">
        <v>87.32</v>
      </c>
      <c r="S7056" s="2">
        <v>0.13930380000000001</v>
      </c>
      <c r="T7056" s="2">
        <v>7.8121919999999997E-2</v>
      </c>
    </row>
    <row r="7057" spans="18:20" x14ac:dyDescent="0.45">
      <c r="R7057" s="2">
        <v>87.33</v>
      </c>
      <c r="S7057" s="2">
        <v>0.13943620000000001</v>
      </c>
      <c r="T7057" s="2">
        <v>7.8203480000000006E-2</v>
      </c>
    </row>
    <row r="7058" spans="18:20" x14ac:dyDescent="0.45">
      <c r="R7058" s="2">
        <v>87.34</v>
      </c>
      <c r="S7058" s="2">
        <v>0.13956859999999999</v>
      </c>
      <c r="T7058" s="2">
        <v>7.828504E-2</v>
      </c>
    </row>
    <row r="7059" spans="18:20" x14ac:dyDescent="0.45">
      <c r="R7059" s="2">
        <v>87.35</v>
      </c>
      <c r="S7059" s="2">
        <v>0.13970099999999999</v>
      </c>
      <c r="T7059" s="2">
        <v>7.8366599999999995E-2</v>
      </c>
    </row>
    <row r="7060" spans="18:20" x14ac:dyDescent="0.45">
      <c r="R7060" s="2">
        <v>87.36</v>
      </c>
      <c r="S7060" s="2">
        <v>0.1398335</v>
      </c>
      <c r="T7060" s="2">
        <v>7.8448160000000003E-2</v>
      </c>
    </row>
    <row r="7061" spans="18:20" x14ac:dyDescent="0.45">
      <c r="R7061" s="2">
        <v>87.37</v>
      </c>
      <c r="S7061" s="2">
        <v>0.1399659</v>
      </c>
      <c r="T7061" s="2">
        <v>7.8529719999999997E-2</v>
      </c>
    </row>
    <row r="7062" spans="18:20" x14ac:dyDescent="0.45">
      <c r="R7062" s="2">
        <v>87.38</v>
      </c>
      <c r="S7062" s="2">
        <v>0.14009830000000001</v>
      </c>
      <c r="T7062" s="2">
        <v>7.8611280000000006E-2</v>
      </c>
    </row>
    <row r="7063" spans="18:20" x14ac:dyDescent="0.45">
      <c r="R7063" s="2">
        <v>87.39</v>
      </c>
      <c r="S7063" s="2">
        <v>0.14023079999999999</v>
      </c>
      <c r="T7063" s="2">
        <v>7.869284E-2</v>
      </c>
    </row>
    <row r="7064" spans="18:20" x14ac:dyDescent="0.45">
      <c r="R7064" s="2">
        <v>87.4</v>
      </c>
      <c r="S7064" s="2">
        <v>0.14036319999999999</v>
      </c>
      <c r="T7064" s="2">
        <v>7.8774399999999994E-2</v>
      </c>
    </row>
    <row r="7065" spans="18:20" x14ac:dyDescent="0.45">
      <c r="R7065" s="2">
        <v>87.41</v>
      </c>
      <c r="S7065" s="2">
        <v>0.1404956</v>
      </c>
      <c r="T7065" s="2">
        <v>7.8855960000000003E-2</v>
      </c>
    </row>
    <row r="7066" spans="18:20" x14ac:dyDescent="0.45">
      <c r="R7066" s="2">
        <v>87.42</v>
      </c>
      <c r="S7066" s="2">
        <v>0.14062810000000001</v>
      </c>
      <c r="T7066" s="2">
        <v>7.8937519999999997E-2</v>
      </c>
    </row>
    <row r="7067" spans="18:20" x14ac:dyDescent="0.45">
      <c r="R7067" s="2">
        <v>87.43</v>
      </c>
      <c r="S7067" s="2">
        <v>0.14076050000000001</v>
      </c>
      <c r="T7067" s="2">
        <v>7.9019080000000005E-2</v>
      </c>
    </row>
    <row r="7068" spans="18:20" x14ac:dyDescent="0.45">
      <c r="R7068" s="2">
        <v>87.44</v>
      </c>
      <c r="S7068" s="2">
        <v>0.14089289999999999</v>
      </c>
      <c r="T7068" s="2">
        <v>7.910064E-2</v>
      </c>
    </row>
    <row r="7069" spans="18:20" x14ac:dyDescent="0.45">
      <c r="R7069" s="2">
        <v>87.45</v>
      </c>
      <c r="S7069" s="2">
        <v>0.1410254</v>
      </c>
      <c r="T7069" s="2">
        <v>7.9182199999999994E-2</v>
      </c>
    </row>
    <row r="7070" spans="18:20" x14ac:dyDescent="0.45">
      <c r="R7070" s="2">
        <v>87.46</v>
      </c>
      <c r="S7070" s="2">
        <v>0.1411578</v>
      </c>
      <c r="T7070" s="2">
        <v>7.9263760000000003E-2</v>
      </c>
    </row>
    <row r="7071" spans="18:20" x14ac:dyDescent="0.45">
      <c r="R7071" s="2">
        <v>87.47</v>
      </c>
      <c r="S7071" s="2">
        <v>0.1412902</v>
      </c>
      <c r="T7071" s="2">
        <v>7.9345319999999997E-2</v>
      </c>
    </row>
    <row r="7072" spans="18:20" x14ac:dyDescent="0.45">
      <c r="R7072" s="2">
        <v>87.48</v>
      </c>
      <c r="S7072" s="2">
        <v>0.14142260000000001</v>
      </c>
      <c r="T7072" s="2">
        <v>7.9426880000000005E-2</v>
      </c>
    </row>
    <row r="7073" spans="18:20" x14ac:dyDescent="0.45">
      <c r="R7073" s="2">
        <v>87.49</v>
      </c>
      <c r="S7073" s="2">
        <v>0.14155509999999999</v>
      </c>
      <c r="T7073" s="2">
        <v>7.950844E-2</v>
      </c>
    </row>
    <row r="7074" spans="18:20" x14ac:dyDescent="0.45">
      <c r="R7074" s="2">
        <v>87.5</v>
      </c>
      <c r="S7074" s="2">
        <v>0.14168749999999999</v>
      </c>
      <c r="T7074" s="2">
        <v>7.9589999999999994E-2</v>
      </c>
    </row>
    <row r="7075" spans="18:20" x14ac:dyDescent="0.45">
      <c r="R7075" s="2">
        <v>87.51</v>
      </c>
      <c r="S7075" s="2">
        <v>0.1418199</v>
      </c>
      <c r="T7075" s="2">
        <v>7.9671560000000002E-2</v>
      </c>
    </row>
    <row r="7076" spans="18:20" x14ac:dyDescent="0.45">
      <c r="R7076" s="2">
        <v>87.52</v>
      </c>
      <c r="S7076" s="2">
        <v>0.14195240000000001</v>
      </c>
      <c r="T7076" s="2">
        <v>7.9753119999999997E-2</v>
      </c>
    </row>
    <row r="7077" spans="18:20" x14ac:dyDescent="0.45">
      <c r="R7077" s="2">
        <v>87.53</v>
      </c>
      <c r="S7077" s="2">
        <v>0.14208480000000001</v>
      </c>
      <c r="T7077" s="2">
        <v>7.9834680000000005E-2</v>
      </c>
    </row>
    <row r="7078" spans="18:20" x14ac:dyDescent="0.45">
      <c r="R7078" s="2">
        <v>87.54</v>
      </c>
      <c r="S7078" s="2">
        <v>0.14221719999999999</v>
      </c>
      <c r="T7078" s="2">
        <v>7.9916239999999999E-2</v>
      </c>
    </row>
    <row r="7079" spans="18:20" x14ac:dyDescent="0.45">
      <c r="R7079" s="2">
        <v>87.55</v>
      </c>
      <c r="S7079" s="2">
        <v>0.14234959999999999</v>
      </c>
      <c r="T7079" s="2">
        <v>7.9997799999999994E-2</v>
      </c>
    </row>
    <row r="7080" spans="18:20" x14ac:dyDescent="0.45">
      <c r="R7080" s="2">
        <v>87.56</v>
      </c>
      <c r="S7080" s="2">
        <v>0.1424821</v>
      </c>
      <c r="T7080" s="2">
        <v>8.0079360000000002E-2</v>
      </c>
    </row>
    <row r="7081" spans="18:20" x14ac:dyDescent="0.45">
      <c r="R7081" s="2">
        <v>87.57</v>
      </c>
      <c r="S7081" s="2">
        <v>0.14261450000000001</v>
      </c>
      <c r="T7081" s="2">
        <v>8.0160919999999997E-2</v>
      </c>
    </row>
    <row r="7082" spans="18:20" x14ac:dyDescent="0.45">
      <c r="R7082" s="2">
        <v>87.58</v>
      </c>
      <c r="S7082" s="2">
        <v>0.14274690000000001</v>
      </c>
      <c r="T7082" s="2">
        <v>8.0242480000000005E-2</v>
      </c>
    </row>
    <row r="7083" spans="18:20" x14ac:dyDescent="0.45">
      <c r="R7083" s="2">
        <v>87.59</v>
      </c>
      <c r="S7083" s="2">
        <v>0.14287939999999999</v>
      </c>
      <c r="T7083" s="2">
        <v>8.0324039999999999E-2</v>
      </c>
    </row>
    <row r="7084" spans="18:20" x14ac:dyDescent="0.45">
      <c r="R7084" s="2">
        <v>87.6</v>
      </c>
      <c r="S7084" s="2">
        <v>0.14301179999999999</v>
      </c>
      <c r="T7084" s="2">
        <v>8.0405599999999994E-2</v>
      </c>
    </row>
    <row r="7085" spans="18:20" x14ac:dyDescent="0.45">
      <c r="R7085" s="2">
        <v>87.61</v>
      </c>
      <c r="S7085" s="2">
        <v>0.1431442</v>
      </c>
      <c r="T7085" s="2">
        <v>8.0487160000000002E-2</v>
      </c>
    </row>
    <row r="7086" spans="18:20" x14ac:dyDescent="0.45">
      <c r="R7086" s="2">
        <v>87.62</v>
      </c>
      <c r="S7086" s="2">
        <v>0.14327670000000001</v>
      </c>
      <c r="T7086" s="2">
        <v>8.0568719999999996E-2</v>
      </c>
    </row>
    <row r="7087" spans="18:20" x14ac:dyDescent="0.45">
      <c r="R7087" s="2">
        <v>87.63</v>
      </c>
      <c r="S7087" s="2">
        <v>0.14340910000000001</v>
      </c>
      <c r="T7087" s="2">
        <v>8.0650280000000005E-2</v>
      </c>
    </row>
    <row r="7088" spans="18:20" x14ac:dyDescent="0.45">
      <c r="R7088" s="2">
        <v>87.64</v>
      </c>
      <c r="S7088" s="2">
        <v>0.14354149999999999</v>
      </c>
      <c r="T7088" s="2">
        <v>8.0731839999999999E-2</v>
      </c>
    </row>
    <row r="7089" spans="18:20" x14ac:dyDescent="0.45">
      <c r="R7089" s="2">
        <v>87.65</v>
      </c>
      <c r="S7089" s="2">
        <v>0.143674</v>
      </c>
      <c r="T7089" s="2">
        <v>8.0813399999999994E-2</v>
      </c>
    </row>
    <row r="7090" spans="18:20" x14ac:dyDescent="0.45">
      <c r="R7090" s="2">
        <v>87.66</v>
      </c>
      <c r="S7090" s="2">
        <v>0.1438064</v>
      </c>
      <c r="T7090" s="2">
        <v>8.0894960000000002E-2</v>
      </c>
    </row>
    <row r="7091" spans="18:20" x14ac:dyDescent="0.45">
      <c r="R7091" s="2">
        <v>87.67</v>
      </c>
      <c r="S7091" s="2">
        <v>0.14393880000000001</v>
      </c>
      <c r="T7091" s="2">
        <v>8.0976519999999996E-2</v>
      </c>
    </row>
    <row r="7092" spans="18:20" x14ac:dyDescent="0.45">
      <c r="R7092" s="2">
        <v>87.68</v>
      </c>
      <c r="S7092" s="2">
        <v>0.14407120000000001</v>
      </c>
      <c r="T7092" s="2">
        <v>8.1058080000000005E-2</v>
      </c>
    </row>
    <row r="7093" spans="18:20" x14ac:dyDescent="0.45">
      <c r="R7093" s="2">
        <v>87.69</v>
      </c>
      <c r="S7093" s="2">
        <v>0.14420369999999999</v>
      </c>
      <c r="T7093" s="2">
        <v>8.1139639999999999E-2</v>
      </c>
    </row>
    <row r="7094" spans="18:20" x14ac:dyDescent="0.45">
      <c r="R7094" s="2">
        <v>87.7</v>
      </c>
      <c r="S7094" s="2">
        <v>0.14433609999999999</v>
      </c>
      <c r="T7094" s="2">
        <v>8.1221199999999993E-2</v>
      </c>
    </row>
    <row r="7095" spans="18:20" x14ac:dyDescent="0.45">
      <c r="R7095" s="2">
        <v>87.71</v>
      </c>
      <c r="S7095" s="2">
        <v>0.1444685</v>
      </c>
      <c r="T7095" s="2">
        <v>8.1302760000000002E-2</v>
      </c>
    </row>
    <row r="7096" spans="18:20" x14ac:dyDescent="0.45">
      <c r="R7096" s="2">
        <v>87.72</v>
      </c>
      <c r="S7096" s="2">
        <v>0.14460100000000001</v>
      </c>
      <c r="T7096" s="2">
        <v>8.1384319999999996E-2</v>
      </c>
    </row>
    <row r="7097" spans="18:20" x14ac:dyDescent="0.45">
      <c r="R7097" s="2">
        <v>87.73</v>
      </c>
      <c r="S7097" s="2">
        <v>0.14473340000000001</v>
      </c>
      <c r="T7097" s="2">
        <v>8.1465880000000004E-2</v>
      </c>
    </row>
    <row r="7098" spans="18:20" x14ac:dyDescent="0.45">
      <c r="R7098" s="2">
        <v>87.74</v>
      </c>
      <c r="S7098" s="2">
        <v>0.14486579999999999</v>
      </c>
      <c r="T7098" s="2">
        <v>8.1547439999999999E-2</v>
      </c>
    </row>
    <row r="7099" spans="18:20" x14ac:dyDescent="0.45">
      <c r="R7099" s="2">
        <v>87.75</v>
      </c>
      <c r="S7099" s="2">
        <v>0.1449983</v>
      </c>
      <c r="T7099" s="2">
        <v>8.1628999999999993E-2</v>
      </c>
    </row>
    <row r="7100" spans="18:20" x14ac:dyDescent="0.45">
      <c r="R7100" s="2">
        <v>87.76</v>
      </c>
      <c r="S7100" s="2">
        <v>0.1451307</v>
      </c>
      <c r="T7100" s="2">
        <v>8.1710560000000002E-2</v>
      </c>
    </row>
    <row r="7101" spans="18:20" x14ac:dyDescent="0.45">
      <c r="R7101" s="2">
        <v>87.77</v>
      </c>
      <c r="S7101" s="2">
        <v>0.14526310000000001</v>
      </c>
      <c r="T7101" s="2">
        <v>8.1792119999999996E-2</v>
      </c>
    </row>
    <row r="7102" spans="18:20" x14ac:dyDescent="0.45">
      <c r="R7102" s="2">
        <v>87.78</v>
      </c>
      <c r="S7102" s="2">
        <v>0.14539550000000001</v>
      </c>
      <c r="T7102" s="2">
        <v>8.1873680000000004E-2</v>
      </c>
    </row>
    <row r="7103" spans="18:20" x14ac:dyDescent="0.45">
      <c r="R7103" s="2">
        <v>87.79</v>
      </c>
      <c r="S7103" s="2">
        <v>0.14552799999999999</v>
      </c>
      <c r="T7103" s="2">
        <v>8.1955239999999999E-2</v>
      </c>
    </row>
    <row r="7104" spans="18:20" x14ac:dyDescent="0.45">
      <c r="R7104" s="2">
        <v>87.8</v>
      </c>
      <c r="S7104" s="2">
        <v>0.1456604</v>
      </c>
      <c r="T7104" s="2">
        <v>8.2036799999999993E-2</v>
      </c>
    </row>
    <row r="7105" spans="18:20" x14ac:dyDescent="0.45">
      <c r="R7105" s="2">
        <v>87.81</v>
      </c>
      <c r="S7105" s="2">
        <v>0.1457928</v>
      </c>
      <c r="T7105" s="2">
        <v>8.2118360000000001E-2</v>
      </c>
    </row>
    <row r="7106" spans="18:20" x14ac:dyDescent="0.45">
      <c r="R7106" s="2">
        <v>87.82</v>
      </c>
      <c r="S7106" s="2">
        <v>0.14592530000000001</v>
      </c>
      <c r="T7106" s="2">
        <v>8.2199919999999996E-2</v>
      </c>
    </row>
    <row r="7107" spans="18:20" x14ac:dyDescent="0.45">
      <c r="R7107" s="2">
        <v>87.83</v>
      </c>
      <c r="S7107" s="2">
        <v>0.14605770000000001</v>
      </c>
      <c r="T7107" s="2">
        <v>8.2281480000000004E-2</v>
      </c>
    </row>
    <row r="7108" spans="18:20" x14ac:dyDescent="0.45">
      <c r="R7108" s="2">
        <v>87.84</v>
      </c>
      <c r="S7108" s="2">
        <v>0.14619009999999999</v>
      </c>
      <c r="T7108" s="2">
        <v>8.2363039999999998E-2</v>
      </c>
    </row>
    <row r="7109" spans="18:20" x14ac:dyDescent="0.45">
      <c r="R7109" s="2">
        <v>87.85</v>
      </c>
      <c r="S7109" s="2">
        <v>0.14632249999999999</v>
      </c>
      <c r="T7109" s="2">
        <v>8.2444600000000007E-2</v>
      </c>
    </row>
    <row r="7110" spans="18:20" x14ac:dyDescent="0.45">
      <c r="R7110" s="2">
        <v>87.86</v>
      </c>
      <c r="S7110" s="2">
        <v>0.146455</v>
      </c>
      <c r="T7110" s="2">
        <v>8.2526160000000001E-2</v>
      </c>
    </row>
    <row r="7111" spans="18:20" x14ac:dyDescent="0.45">
      <c r="R7111" s="2">
        <v>87.87</v>
      </c>
      <c r="S7111" s="2">
        <v>0.14658740000000001</v>
      </c>
      <c r="T7111" s="2">
        <v>8.2607719999999996E-2</v>
      </c>
    </row>
    <row r="7112" spans="18:20" x14ac:dyDescent="0.45">
      <c r="R7112" s="2">
        <v>87.88</v>
      </c>
      <c r="S7112" s="2">
        <v>0.14671980000000001</v>
      </c>
      <c r="T7112" s="2">
        <v>8.2689280000000004E-2</v>
      </c>
    </row>
    <row r="7113" spans="18:20" x14ac:dyDescent="0.45">
      <c r="R7113" s="2">
        <v>87.89</v>
      </c>
      <c r="S7113" s="2">
        <v>0.14685229999999999</v>
      </c>
      <c r="T7113" s="2">
        <v>8.2770839999999998E-2</v>
      </c>
    </row>
    <row r="7114" spans="18:20" x14ac:dyDescent="0.45">
      <c r="R7114" s="2">
        <v>87.9</v>
      </c>
      <c r="S7114" s="2">
        <v>0.1469847</v>
      </c>
      <c r="T7114" s="2">
        <v>8.2852400000000007E-2</v>
      </c>
    </row>
    <row r="7115" spans="18:20" x14ac:dyDescent="0.45">
      <c r="R7115" s="2">
        <v>87.91</v>
      </c>
      <c r="S7115" s="2">
        <v>0.1471171</v>
      </c>
      <c r="T7115" s="2">
        <v>8.2933960000000001E-2</v>
      </c>
    </row>
    <row r="7116" spans="18:20" x14ac:dyDescent="0.45">
      <c r="R7116" s="2">
        <v>87.92</v>
      </c>
      <c r="S7116" s="2">
        <v>0.14724960000000001</v>
      </c>
      <c r="T7116" s="2">
        <v>8.3015519999999995E-2</v>
      </c>
    </row>
    <row r="7117" spans="18:20" x14ac:dyDescent="0.45">
      <c r="R7117" s="2">
        <v>87.93</v>
      </c>
      <c r="S7117" s="2">
        <v>0.14738200000000001</v>
      </c>
      <c r="T7117" s="2">
        <v>8.3097080000000004E-2</v>
      </c>
    </row>
    <row r="7118" spans="18:20" x14ac:dyDescent="0.45">
      <c r="R7118" s="2">
        <v>87.94</v>
      </c>
      <c r="S7118" s="2">
        <v>0.14751439999999999</v>
      </c>
      <c r="T7118" s="2">
        <v>8.3178639999999998E-2</v>
      </c>
    </row>
    <row r="7119" spans="18:20" x14ac:dyDescent="0.45">
      <c r="R7119" s="2">
        <v>87.95</v>
      </c>
      <c r="S7119" s="2">
        <v>0.1476469</v>
      </c>
      <c r="T7119" s="2">
        <v>8.3260200000000006E-2</v>
      </c>
    </row>
    <row r="7120" spans="18:20" x14ac:dyDescent="0.45">
      <c r="R7120" s="2">
        <v>87.96</v>
      </c>
      <c r="S7120" s="2">
        <v>0.1477793</v>
      </c>
      <c r="T7120" s="2">
        <v>8.3341760000000001E-2</v>
      </c>
    </row>
    <row r="7121" spans="18:20" x14ac:dyDescent="0.45">
      <c r="R7121" s="2">
        <v>87.97</v>
      </c>
      <c r="S7121" s="2">
        <v>0.14791170000000001</v>
      </c>
      <c r="T7121" s="2">
        <v>8.3423319999999995E-2</v>
      </c>
    </row>
    <row r="7122" spans="18:20" x14ac:dyDescent="0.45">
      <c r="R7122" s="2">
        <v>87.98</v>
      </c>
      <c r="S7122" s="2">
        <v>0.14804410000000001</v>
      </c>
      <c r="T7122" s="2">
        <v>8.3504880000000004E-2</v>
      </c>
    </row>
    <row r="7123" spans="18:20" x14ac:dyDescent="0.45">
      <c r="R7123" s="2">
        <v>87.99</v>
      </c>
      <c r="S7123" s="2">
        <v>0.14817659999999999</v>
      </c>
      <c r="T7123" s="2">
        <v>8.3586439999999998E-2</v>
      </c>
    </row>
    <row r="7124" spans="18:20" x14ac:dyDescent="0.45">
      <c r="R7124" s="2">
        <v>88</v>
      </c>
      <c r="S7124" s="2">
        <v>0.148309</v>
      </c>
      <c r="T7124" s="2">
        <v>8.3668000000000006E-2</v>
      </c>
    </row>
    <row r="7125" spans="18:20" x14ac:dyDescent="0.45">
      <c r="R7125" s="2">
        <v>88.01</v>
      </c>
      <c r="S7125" s="2">
        <v>0.1484528</v>
      </c>
      <c r="T7125" s="2">
        <v>8.3758390000000002E-2</v>
      </c>
    </row>
    <row r="7126" spans="18:20" x14ac:dyDescent="0.45">
      <c r="R7126" s="2">
        <v>88.02</v>
      </c>
      <c r="S7126" s="2">
        <v>0.1485966</v>
      </c>
      <c r="T7126" s="2">
        <v>8.3848779999999998E-2</v>
      </c>
    </row>
    <row r="7127" spans="18:20" x14ac:dyDescent="0.45">
      <c r="R7127" s="2">
        <v>88.03</v>
      </c>
      <c r="S7127" s="2">
        <v>0.1487405</v>
      </c>
      <c r="T7127" s="2">
        <v>8.3939169999999994E-2</v>
      </c>
    </row>
    <row r="7128" spans="18:20" x14ac:dyDescent="0.45">
      <c r="R7128" s="2">
        <v>88.04</v>
      </c>
      <c r="S7128" s="2">
        <v>0.1488843</v>
      </c>
      <c r="T7128" s="2">
        <v>8.4029560000000003E-2</v>
      </c>
    </row>
    <row r="7129" spans="18:20" x14ac:dyDescent="0.45">
      <c r="R7129" s="2">
        <v>88.05</v>
      </c>
      <c r="S7129" s="2">
        <v>0.1490281</v>
      </c>
      <c r="T7129" s="2">
        <v>8.4119949999999999E-2</v>
      </c>
    </row>
    <row r="7130" spans="18:20" x14ac:dyDescent="0.45">
      <c r="R7130" s="2">
        <v>88.06</v>
      </c>
      <c r="S7130" s="2">
        <v>0.1491719</v>
      </c>
      <c r="T7130" s="2">
        <v>8.4210339999999995E-2</v>
      </c>
    </row>
    <row r="7131" spans="18:20" x14ac:dyDescent="0.45">
      <c r="R7131" s="2">
        <v>88.07</v>
      </c>
      <c r="S7131" s="2">
        <v>0.1493157</v>
      </c>
      <c r="T7131" s="2">
        <v>8.4300730000000004E-2</v>
      </c>
    </row>
    <row r="7132" spans="18:20" x14ac:dyDescent="0.45">
      <c r="R7132" s="2">
        <v>88.08</v>
      </c>
      <c r="S7132" s="2">
        <v>0.1494596</v>
      </c>
      <c r="T7132" s="2">
        <v>8.439112E-2</v>
      </c>
    </row>
    <row r="7133" spans="18:20" x14ac:dyDescent="0.45">
      <c r="R7133" s="2">
        <v>88.09</v>
      </c>
      <c r="S7133" s="2">
        <v>0.1496034</v>
      </c>
      <c r="T7133" s="2">
        <v>8.4481509999999996E-2</v>
      </c>
    </row>
    <row r="7134" spans="18:20" x14ac:dyDescent="0.45">
      <c r="R7134" s="2">
        <v>88.1</v>
      </c>
      <c r="S7134" s="2">
        <v>0.1497472</v>
      </c>
      <c r="T7134" s="2">
        <v>8.4571900000000005E-2</v>
      </c>
    </row>
    <row r="7135" spans="18:20" x14ac:dyDescent="0.45">
      <c r="R7135" s="2">
        <v>88.11</v>
      </c>
      <c r="S7135" s="2">
        <v>0.149891</v>
      </c>
      <c r="T7135" s="2">
        <v>8.4662290000000001E-2</v>
      </c>
    </row>
    <row r="7136" spans="18:20" x14ac:dyDescent="0.45">
      <c r="R7136" s="2">
        <v>88.12</v>
      </c>
      <c r="S7136" s="2">
        <v>0.1500348</v>
      </c>
      <c r="T7136" s="2">
        <v>8.4752679999999997E-2</v>
      </c>
    </row>
    <row r="7137" spans="18:20" x14ac:dyDescent="0.45">
      <c r="R7137" s="2">
        <v>88.13</v>
      </c>
      <c r="S7137" s="2">
        <v>0.1501787</v>
      </c>
      <c r="T7137" s="2">
        <v>8.4843070000000007E-2</v>
      </c>
    </row>
    <row r="7138" spans="18:20" x14ac:dyDescent="0.45">
      <c r="R7138" s="2">
        <v>88.14</v>
      </c>
      <c r="S7138" s="2">
        <v>0.1503225</v>
      </c>
      <c r="T7138" s="2">
        <v>8.4933460000000002E-2</v>
      </c>
    </row>
    <row r="7139" spans="18:20" x14ac:dyDescent="0.45">
      <c r="R7139" s="2">
        <v>88.15</v>
      </c>
      <c r="S7139" s="2">
        <v>0.1504663</v>
      </c>
      <c r="T7139" s="2">
        <v>8.5023849999999998E-2</v>
      </c>
    </row>
    <row r="7140" spans="18:20" x14ac:dyDescent="0.45">
      <c r="R7140" s="2">
        <v>88.16</v>
      </c>
      <c r="S7140" s="2">
        <v>0.1506101</v>
      </c>
      <c r="T7140" s="2">
        <v>8.5114239999999994E-2</v>
      </c>
    </row>
    <row r="7141" spans="18:20" x14ac:dyDescent="0.45">
      <c r="R7141" s="2">
        <v>88.17</v>
      </c>
      <c r="S7141" s="2">
        <v>0.1507539</v>
      </c>
      <c r="T7141" s="2">
        <v>8.5204630000000003E-2</v>
      </c>
    </row>
    <row r="7142" spans="18:20" x14ac:dyDescent="0.45">
      <c r="R7142" s="2">
        <v>88.18</v>
      </c>
      <c r="S7142" s="2">
        <v>0.1508978</v>
      </c>
      <c r="T7142" s="2">
        <v>8.5295019999999999E-2</v>
      </c>
    </row>
    <row r="7143" spans="18:20" x14ac:dyDescent="0.45">
      <c r="R7143" s="2">
        <v>88.19</v>
      </c>
      <c r="S7143" s="2">
        <v>0.1510416</v>
      </c>
      <c r="T7143" s="2">
        <v>8.5385409999999995E-2</v>
      </c>
    </row>
    <row r="7144" spans="18:20" x14ac:dyDescent="0.45">
      <c r="R7144" s="2">
        <v>88.2</v>
      </c>
      <c r="S7144" s="2">
        <v>0.1511854</v>
      </c>
      <c r="T7144" s="2">
        <v>8.5475800000000005E-2</v>
      </c>
    </row>
    <row r="7145" spans="18:20" x14ac:dyDescent="0.45">
      <c r="R7145" s="2">
        <v>88.21</v>
      </c>
      <c r="S7145" s="2">
        <v>0.1513292</v>
      </c>
      <c r="T7145" s="2">
        <v>8.556619E-2</v>
      </c>
    </row>
    <row r="7146" spans="18:20" x14ac:dyDescent="0.45">
      <c r="R7146" s="2">
        <v>88.22</v>
      </c>
      <c r="S7146" s="2">
        <v>0.151473</v>
      </c>
      <c r="T7146" s="2">
        <v>8.5656579999999996E-2</v>
      </c>
    </row>
    <row r="7147" spans="18:20" x14ac:dyDescent="0.45">
      <c r="R7147" s="2">
        <v>88.23</v>
      </c>
      <c r="S7147" s="2">
        <v>0.1516169</v>
      </c>
      <c r="T7147" s="2">
        <v>8.5746970000000006E-2</v>
      </c>
    </row>
    <row r="7148" spans="18:20" x14ac:dyDescent="0.45">
      <c r="R7148" s="2">
        <v>88.24</v>
      </c>
      <c r="S7148" s="2">
        <v>0.1517607</v>
      </c>
      <c r="T7148" s="2">
        <v>8.5837360000000001E-2</v>
      </c>
    </row>
    <row r="7149" spans="18:20" x14ac:dyDescent="0.45">
      <c r="R7149" s="2">
        <v>88.25</v>
      </c>
      <c r="S7149" s="2">
        <v>0.1519045</v>
      </c>
      <c r="T7149" s="2">
        <v>8.5927749999999997E-2</v>
      </c>
    </row>
    <row r="7150" spans="18:20" x14ac:dyDescent="0.45">
      <c r="R7150" s="2">
        <v>88.26</v>
      </c>
      <c r="S7150" s="2">
        <v>0.1520483</v>
      </c>
      <c r="T7150" s="2">
        <v>8.6018140000000007E-2</v>
      </c>
    </row>
    <row r="7151" spans="18:20" x14ac:dyDescent="0.45">
      <c r="R7151" s="2">
        <v>88.27</v>
      </c>
      <c r="S7151" s="2">
        <v>0.1521921</v>
      </c>
      <c r="T7151" s="2">
        <v>8.6108530000000003E-2</v>
      </c>
    </row>
    <row r="7152" spans="18:20" x14ac:dyDescent="0.45">
      <c r="R7152" s="2">
        <v>88.28</v>
      </c>
      <c r="S7152" s="2">
        <v>0.152336</v>
      </c>
      <c r="T7152" s="2">
        <v>8.6198919999999998E-2</v>
      </c>
    </row>
    <row r="7153" spans="18:20" x14ac:dyDescent="0.45">
      <c r="R7153" s="2">
        <v>88.29</v>
      </c>
      <c r="S7153" s="2">
        <v>0.1524798</v>
      </c>
      <c r="T7153" s="2">
        <v>8.6289309999999994E-2</v>
      </c>
    </row>
    <row r="7154" spans="18:20" x14ac:dyDescent="0.45">
      <c r="R7154" s="2">
        <v>88.3</v>
      </c>
      <c r="S7154" s="2">
        <v>0.1526236</v>
      </c>
      <c r="T7154" s="2">
        <v>8.6379700000000004E-2</v>
      </c>
    </row>
    <row r="7155" spans="18:20" x14ac:dyDescent="0.45">
      <c r="R7155" s="2">
        <v>88.31</v>
      </c>
      <c r="S7155" s="2">
        <v>0.1527674</v>
      </c>
      <c r="T7155" s="2">
        <v>8.6470089999999999E-2</v>
      </c>
    </row>
    <row r="7156" spans="18:20" x14ac:dyDescent="0.45">
      <c r="R7156" s="2">
        <v>88.32</v>
      </c>
      <c r="S7156" s="2">
        <v>0.1529112</v>
      </c>
      <c r="T7156" s="2">
        <v>8.6560479999999995E-2</v>
      </c>
    </row>
    <row r="7157" spans="18:20" x14ac:dyDescent="0.45">
      <c r="R7157" s="2">
        <v>88.33</v>
      </c>
      <c r="S7157" s="2">
        <v>0.1530551</v>
      </c>
      <c r="T7157" s="2">
        <v>8.6650870000000005E-2</v>
      </c>
    </row>
    <row r="7158" spans="18:20" x14ac:dyDescent="0.45">
      <c r="R7158" s="2">
        <v>88.34</v>
      </c>
      <c r="S7158" s="2">
        <v>0.1531989</v>
      </c>
      <c r="T7158" s="2">
        <v>8.6741260000000001E-2</v>
      </c>
    </row>
    <row r="7159" spans="18:20" x14ac:dyDescent="0.45">
      <c r="R7159" s="2">
        <v>88.35</v>
      </c>
      <c r="S7159" s="2">
        <v>0.1533427</v>
      </c>
      <c r="T7159" s="2">
        <v>8.6831649999999996E-2</v>
      </c>
    </row>
    <row r="7160" spans="18:20" x14ac:dyDescent="0.45">
      <c r="R7160" s="2">
        <v>88.36</v>
      </c>
      <c r="S7160" s="2">
        <v>0.1534865</v>
      </c>
      <c r="T7160" s="2">
        <v>8.6922040000000006E-2</v>
      </c>
    </row>
    <row r="7161" spans="18:20" x14ac:dyDescent="0.45">
      <c r="R7161" s="2">
        <v>88.37</v>
      </c>
      <c r="S7161" s="2">
        <v>0.1536303</v>
      </c>
      <c r="T7161" s="2">
        <v>8.7012430000000002E-2</v>
      </c>
    </row>
    <row r="7162" spans="18:20" x14ac:dyDescent="0.45">
      <c r="R7162" s="2">
        <v>88.38</v>
      </c>
      <c r="S7162" s="2">
        <v>0.1537742</v>
      </c>
      <c r="T7162" s="2">
        <v>8.7102819999999997E-2</v>
      </c>
    </row>
    <row r="7163" spans="18:20" x14ac:dyDescent="0.45">
      <c r="R7163" s="2">
        <v>88.39</v>
      </c>
      <c r="S7163" s="2">
        <v>0.153918</v>
      </c>
      <c r="T7163" s="2">
        <v>8.7193209999999993E-2</v>
      </c>
    </row>
    <row r="7164" spans="18:20" x14ac:dyDescent="0.45">
      <c r="R7164" s="2">
        <v>88.4</v>
      </c>
      <c r="S7164" s="2">
        <v>0.1540618</v>
      </c>
      <c r="T7164" s="2">
        <v>8.7283600000000003E-2</v>
      </c>
    </row>
    <row r="7165" spans="18:20" x14ac:dyDescent="0.45">
      <c r="R7165" s="2">
        <v>88.41</v>
      </c>
      <c r="S7165" s="2">
        <v>0.1542056</v>
      </c>
      <c r="T7165" s="2">
        <v>8.7373989999999999E-2</v>
      </c>
    </row>
    <row r="7166" spans="18:20" x14ac:dyDescent="0.45">
      <c r="R7166" s="2">
        <v>88.42</v>
      </c>
      <c r="S7166" s="2">
        <v>0.1543494</v>
      </c>
      <c r="T7166" s="2">
        <v>8.7464379999999994E-2</v>
      </c>
    </row>
    <row r="7167" spans="18:20" x14ac:dyDescent="0.45">
      <c r="R7167" s="2">
        <v>88.43</v>
      </c>
      <c r="S7167" s="2">
        <v>0.1544933</v>
      </c>
      <c r="T7167" s="2">
        <v>8.7554770000000004E-2</v>
      </c>
    </row>
    <row r="7168" spans="18:20" x14ac:dyDescent="0.45">
      <c r="R7168" s="2">
        <v>88.44</v>
      </c>
      <c r="S7168" s="2">
        <v>0.1546371</v>
      </c>
      <c r="T7168" s="2">
        <v>8.764516E-2</v>
      </c>
    </row>
    <row r="7169" spans="18:20" x14ac:dyDescent="0.45">
      <c r="R7169" s="2">
        <v>88.45</v>
      </c>
      <c r="S7169" s="2">
        <v>0.1547809</v>
      </c>
      <c r="T7169" s="2">
        <v>8.7735549999999995E-2</v>
      </c>
    </row>
    <row r="7170" spans="18:20" x14ac:dyDescent="0.45">
      <c r="R7170" s="2">
        <v>88.46</v>
      </c>
      <c r="S7170" s="2">
        <v>0.1549247</v>
      </c>
      <c r="T7170" s="2">
        <v>8.7825940000000005E-2</v>
      </c>
    </row>
    <row r="7171" spans="18:20" x14ac:dyDescent="0.45">
      <c r="R7171" s="2">
        <v>88.47</v>
      </c>
      <c r="S7171" s="2">
        <v>0.1550685</v>
      </c>
      <c r="T7171" s="2">
        <v>8.7916330000000001E-2</v>
      </c>
    </row>
    <row r="7172" spans="18:20" x14ac:dyDescent="0.45">
      <c r="R7172" s="2">
        <v>88.48</v>
      </c>
      <c r="S7172" s="2">
        <v>0.1552124</v>
      </c>
      <c r="T7172" s="2">
        <v>8.8006719999999997E-2</v>
      </c>
    </row>
    <row r="7173" spans="18:20" x14ac:dyDescent="0.45">
      <c r="R7173" s="2">
        <v>88.49</v>
      </c>
      <c r="S7173" s="2">
        <v>0.1553562</v>
      </c>
      <c r="T7173" s="2">
        <v>8.8097110000000006E-2</v>
      </c>
    </row>
    <row r="7174" spans="18:20" x14ac:dyDescent="0.45">
      <c r="R7174" s="2">
        <v>88.5</v>
      </c>
      <c r="S7174" s="2">
        <v>0.1555</v>
      </c>
      <c r="T7174" s="2">
        <v>8.8187500000000002E-2</v>
      </c>
    </row>
    <row r="7175" spans="18:20" x14ac:dyDescent="0.45">
      <c r="R7175" s="2">
        <v>88.51</v>
      </c>
      <c r="S7175" s="2">
        <v>0.1556438</v>
      </c>
      <c r="T7175" s="2">
        <v>8.8277889999999998E-2</v>
      </c>
    </row>
    <row r="7176" spans="18:20" x14ac:dyDescent="0.45">
      <c r="R7176" s="2">
        <v>88.52</v>
      </c>
      <c r="S7176" s="2">
        <v>0.1557876</v>
      </c>
      <c r="T7176" s="2">
        <v>8.8368279999999994E-2</v>
      </c>
    </row>
    <row r="7177" spans="18:20" x14ac:dyDescent="0.45">
      <c r="R7177" s="2">
        <v>88.53</v>
      </c>
      <c r="S7177" s="2">
        <v>0.1559315</v>
      </c>
      <c r="T7177" s="2">
        <v>8.8458670000000003E-2</v>
      </c>
    </row>
    <row r="7178" spans="18:20" x14ac:dyDescent="0.45">
      <c r="R7178" s="2">
        <v>88.54</v>
      </c>
      <c r="S7178" s="2">
        <v>0.1560753</v>
      </c>
      <c r="T7178" s="2">
        <v>8.8549059999999999E-2</v>
      </c>
    </row>
    <row r="7179" spans="18:20" x14ac:dyDescent="0.45">
      <c r="R7179" s="2">
        <v>88.55</v>
      </c>
      <c r="S7179" s="2">
        <v>0.1562191</v>
      </c>
      <c r="T7179" s="2">
        <v>8.8639449999999995E-2</v>
      </c>
    </row>
    <row r="7180" spans="18:20" x14ac:dyDescent="0.45">
      <c r="R7180" s="2">
        <v>88.56</v>
      </c>
      <c r="S7180" s="2">
        <v>0.1563629</v>
      </c>
      <c r="T7180" s="2">
        <v>8.8729840000000004E-2</v>
      </c>
    </row>
    <row r="7181" spans="18:20" x14ac:dyDescent="0.45">
      <c r="R7181" s="2">
        <v>88.57</v>
      </c>
      <c r="S7181" s="2">
        <v>0.1565067</v>
      </c>
      <c r="T7181" s="2">
        <v>8.882023E-2</v>
      </c>
    </row>
    <row r="7182" spans="18:20" x14ac:dyDescent="0.45">
      <c r="R7182" s="2">
        <v>88.58</v>
      </c>
      <c r="S7182" s="2">
        <v>0.1566506</v>
      </c>
      <c r="T7182" s="2">
        <v>8.8910619999999996E-2</v>
      </c>
    </row>
    <row r="7183" spans="18:20" x14ac:dyDescent="0.45">
      <c r="R7183" s="2">
        <v>88.59</v>
      </c>
      <c r="S7183" s="2">
        <v>0.1567944</v>
      </c>
      <c r="T7183" s="2">
        <v>8.9001010000000005E-2</v>
      </c>
    </row>
    <row r="7184" spans="18:20" x14ac:dyDescent="0.45">
      <c r="R7184" s="2">
        <v>88.6</v>
      </c>
      <c r="S7184" s="2">
        <v>0.1569382</v>
      </c>
      <c r="T7184" s="2">
        <v>8.9091400000000001E-2</v>
      </c>
    </row>
    <row r="7185" spans="18:20" x14ac:dyDescent="0.45">
      <c r="R7185" s="2">
        <v>88.61</v>
      </c>
      <c r="S7185" s="2">
        <v>0.157082</v>
      </c>
      <c r="T7185" s="2">
        <v>8.9181789999999997E-2</v>
      </c>
    </row>
    <row r="7186" spans="18:20" x14ac:dyDescent="0.45">
      <c r="R7186" s="2">
        <v>88.62</v>
      </c>
      <c r="S7186" s="2">
        <v>0.1572258</v>
      </c>
      <c r="T7186" s="2">
        <v>8.9272180000000007E-2</v>
      </c>
    </row>
    <row r="7187" spans="18:20" x14ac:dyDescent="0.45">
      <c r="R7187" s="2">
        <v>88.63</v>
      </c>
      <c r="S7187" s="2">
        <v>0.1573697</v>
      </c>
      <c r="T7187" s="2">
        <v>8.9362570000000002E-2</v>
      </c>
    </row>
    <row r="7188" spans="18:20" x14ac:dyDescent="0.45">
      <c r="R7188" s="2">
        <v>88.64</v>
      </c>
      <c r="S7188" s="2">
        <v>0.1575135</v>
      </c>
      <c r="T7188" s="2">
        <v>8.9452959999999998E-2</v>
      </c>
    </row>
    <row r="7189" spans="18:20" x14ac:dyDescent="0.45">
      <c r="R7189" s="2">
        <v>88.65</v>
      </c>
      <c r="S7189" s="2">
        <v>0.1576573</v>
      </c>
      <c r="T7189" s="2">
        <v>8.9543349999999994E-2</v>
      </c>
    </row>
    <row r="7190" spans="18:20" x14ac:dyDescent="0.45">
      <c r="R7190" s="2">
        <v>88.66</v>
      </c>
      <c r="S7190" s="2">
        <v>0.1578011</v>
      </c>
      <c r="T7190" s="2">
        <v>8.9633740000000003E-2</v>
      </c>
    </row>
    <row r="7191" spans="18:20" x14ac:dyDescent="0.45">
      <c r="R7191" s="2">
        <v>88.67</v>
      </c>
      <c r="S7191" s="2">
        <v>0.1579449</v>
      </c>
      <c r="T7191" s="2">
        <v>8.9724129999999999E-2</v>
      </c>
    </row>
    <row r="7192" spans="18:20" x14ac:dyDescent="0.45">
      <c r="R7192" s="2">
        <v>88.68</v>
      </c>
      <c r="S7192" s="2">
        <v>0.1580888</v>
      </c>
      <c r="T7192" s="2">
        <v>8.9814519999999995E-2</v>
      </c>
    </row>
    <row r="7193" spans="18:20" x14ac:dyDescent="0.45">
      <c r="R7193" s="2">
        <v>88.69</v>
      </c>
      <c r="S7193" s="2">
        <v>0.1582326</v>
      </c>
      <c r="T7193" s="2">
        <v>8.9904910000000005E-2</v>
      </c>
    </row>
    <row r="7194" spans="18:20" x14ac:dyDescent="0.45">
      <c r="R7194" s="2">
        <v>88.7</v>
      </c>
      <c r="S7194" s="2">
        <v>0.1583764</v>
      </c>
      <c r="T7194" s="2">
        <v>8.99953E-2</v>
      </c>
    </row>
    <row r="7195" spans="18:20" x14ac:dyDescent="0.45">
      <c r="R7195" s="2">
        <v>88.71</v>
      </c>
      <c r="S7195" s="2">
        <v>0.1585202</v>
      </c>
      <c r="T7195" s="2">
        <v>9.0085689999999996E-2</v>
      </c>
    </row>
    <row r="7196" spans="18:20" x14ac:dyDescent="0.45">
      <c r="R7196" s="2">
        <v>88.72</v>
      </c>
      <c r="S7196" s="2">
        <v>0.158664</v>
      </c>
      <c r="T7196" s="2">
        <v>9.0176080000000006E-2</v>
      </c>
    </row>
    <row r="7197" spans="18:20" x14ac:dyDescent="0.45">
      <c r="R7197" s="2">
        <v>88.73</v>
      </c>
      <c r="S7197" s="2">
        <v>0.1588079</v>
      </c>
      <c r="T7197" s="2">
        <v>9.0266470000000001E-2</v>
      </c>
    </row>
    <row r="7198" spans="18:20" x14ac:dyDescent="0.45">
      <c r="R7198" s="2">
        <v>88.74</v>
      </c>
      <c r="S7198" s="2">
        <v>0.1589517</v>
      </c>
      <c r="T7198" s="2">
        <v>9.0356859999999997E-2</v>
      </c>
    </row>
    <row r="7199" spans="18:20" x14ac:dyDescent="0.45">
      <c r="R7199" s="2">
        <v>88.75</v>
      </c>
      <c r="S7199" s="2">
        <v>0.1590955</v>
      </c>
      <c r="T7199" s="2">
        <v>9.0447250000000007E-2</v>
      </c>
    </row>
    <row r="7200" spans="18:20" x14ac:dyDescent="0.45">
      <c r="R7200" s="2">
        <v>88.76</v>
      </c>
      <c r="S7200" s="2">
        <v>0.1592393</v>
      </c>
      <c r="T7200" s="2">
        <v>9.0537640000000003E-2</v>
      </c>
    </row>
    <row r="7201" spans="18:20" x14ac:dyDescent="0.45">
      <c r="R7201" s="2">
        <v>88.77</v>
      </c>
      <c r="S7201" s="2">
        <v>0.1593831</v>
      </c>
      <c r="T7201" s="2">
        <v>9.0628029999999998E-2</v>
      </c>
    </row>
    <row r="7202" spans="18:20" x14ac:dyDescent="0.45">
      <c r="R7202" s="2">
        <v>88.78</v>
      </c>
      <c r="S7202" s="2">
        <v>0.159527</v>
      </c>
      <c r="T7202" s="2">
        <v>9.0718419999999994E-2</v>
      </c>
    </row>
    <row r="7203" spans="18:20" x14ac:dyDescent="0.45">
      <c r="R7203" s="2">
        <v>88.79</v>
      </c>
      <c r="S7203" s="2">
        <v>0.1596708</v>
      </c>
      <c r="T7203" s="2">
        <v>9.0808810000000004E-2</v>
      </c>
    </row>
    <row r="7204" spans="18:20" x14ac:dyDescent="0.45">
      <c r="R7204" s="2">
        <v>88.8</v>
      </c>
      <c r="S7204" s="2">
        <v>0.1598146</v>
      </c>
      <c r="T7204" s="2">
        <v>9.0899199999999999E-2</v>
      </c>
    </row>
    <row r="7205" spans="18:20" x14ac:dyDescent="0.45">
      <c r="R7205" s="2">
        <v>88.81</v>
      </c>
      <c r="S7205" s="2">
        <v>0.1599584</v>
      </c>
      <c r="T7205" s="2">
        <v>9.0989589999999995E-2</v>
      </c>
    </row>
    <row r="7206" spans="18:20" x14ac:dyDescent="0.45">
      <c r="R7206" s="2">
        <v>88.82</v>
      </c>
      <c r="S7206" s="2">
        <v>0.1601022</v>
      </c>
      <c r="T7206" s="2">
        <v>9.1079980000000005E-2</v>
      </c>
    </row>
    <row r="7207" spans="18:20" x14ac:dyDescent="0.45">
      <c r="R7207" s="2">
        <v>88.83</v>
      </c>
      <c r="S7207" s="2">
        <v>0.1602461</v>
      </c>
      <c r="T7207" s="2">
        <v>9.1170370000000001E-2</v>
      </c>
    </row>
    <row r="7208" spans="18:20" x14ac:dyDescent="0.45">
      <c r="R7208" s="2">
        <v>88.84</v>
      </c>
      <c r="S7208" s="2">
        <v>0.1603899</v>
      </c>
      <c r="T7208" s="2">
        <v>9.1260759999999996E-2</v>
      </c>
    </row>
    <row r="7209" spans="18:20" x14ac:dyDescent="0.45">
      <c r="R7209" s="2">
        <v>88.85</v>
      </c>
      <c r="S7209" s="2">
        <v>0.1605337</v>
      </c>
      <c r="T7209" s="2">
        <v>9.1351150000000006E-2</v>
      </c>
    </row>
    <row r="7210" spans="18:20" x14ac:dyDescent="0.45">
      <c r="R7210" s="2">
        <v>88.86</v>
      </c>
      <c r="S7210" s="2">
        <v>0.1606775</v>
      </c>
      <c r="T7210" s="2">
        <v>9.1441540000000002E-2</v>
      </c>
    </row>
    <row r="7211" spans="18:20" x14ac:dyDescent="0.45">
      <c r="R7211" s="2">
        <v>88.87</v>
      </c>
      <c r="S7211" s="2">
        <v>0.1608213</v>
      </c>
      <c r="T7211" s="2">
        <v>9.1531929999999997E-2</v>
      </c>
    </row>
    <row r="7212" spans="18:20" x14ac:dyDescent="0.45">
      <c r="R7212" s="2">
        <v>88.88</v>
      </c>
      <c r="S7212" s="2">
        <v>0.1609652</v>
      </c>
      <c r="T7212" s="2">
        <v>9.1622319999999993E-2</v>
      </c>
    </row>
    <row r="7213" spans="18:20" x14ac:dyDescent="0.45">
      <c r="R7213" s="2">
        <v>88.89</v>
      </c>
      <c r="S7213" s="2">
        <v>0.161109</v>
      </c>
      <c r="T7213" s="2">
        <v>9.1712710000000003E-2</v>
      </c>
    </row>
    <row r="7214" spans="18:20" x14ac:dyDescent="0.45">
      <c r="R7214" s="2">
        <v>88.9</v>
      </c>
      <c r="S7214" s="2">
        <v>0.1612528</v>
      </c>
      <c r="T7214" s="2">
        <v>9.1803099999999999E-2</v>
      </c>
    </row>
    <row r="7215" spans="18:20" x14ac:dyDescent="0.45">
      <c r="R7215" s="2">
        <v>88.91</v>
      </c>
      <c r="S7215" s="2">
        <v>0.1613966</v>
      </c>
      <c r="T7215" s="2">
        <v>9.1893489999999994E-2</v>
      </c>
    </row>
    <row r="7216" spans="18:20" x14ac:dyDescent="0.45">
      <c r="R7216" s="2">
        <v>88.92</v>
      </c>
      <c r="S7216" s="2">
        <v>0.1615404</v>
      </c>
      <c r="T7216" s="2">
        <v>9.1983880000000004E-2</v>
      </c>
    </row>
    <row r="7217" spans="18:20" x14ac:dyDescent="0.45">
      <c r="R7217" s="2">
        <v>88.93</v>
      </c>
      <c r="S7217" s="2">
        <v>0.1616843</v>
      </c>
      <c r="T7217" s="2">
        <v>9.207427E-2</v>
      </c>
    </row>
    <row r="7218" spans="18:20" x14ac:dyDescent="0.45">
      <c r="R7218" s="2">
        <v>88.94</v>
      </c>
      <c r="S7218" s="2">
        <v>0.1618281</v>
      </c>
      <c r="T7218" s="2">
        <v>9.2164659999999995E-2</v>
      </c>
    </row>
    <row r="7219" spans="18:20" x14ac:dyDescent="0.45">
      <c r="R7219" s="2">
        <v>88.95</v>
      </c>
      <c r="S7219" s="2">
        <v>0.1619719</v>
      </c>
      <c r="T7219" s="2">
        <v>9.2255050000000005E-2</v>
      </c>
    </row>
    <row r="7220" spans="18:20" x14ac:dyDescent="0.45">
      <c r="R7220" s="2">
        <v>88.96</v>
      </c>
      <c r="S7220" s="2">
        <v>0.1621157</v>
      </c>
      <c r="T7220" s="2">
        <v>9.2345440000000001E-2</v>
      </c>
    </row>
    <row r="7221" spans="18:20" x14ac:dyDescent="0.45">
      <c r="R7221" s="2">
        <v>88.97</v>
      </c>
      <c r="S7221" s="2">
        <v>0.1622595</v>
      </c>
      <c r="T7221" s="2">
        <v>9.2435829999999997E-2</v>
      </c>
    </row>
    <row r="7222" spans="18:20" x14ac:dyDescent="0.45">
      <c r="R7222" s="2">
        <v>88.98</v>
      </c>
      <c r="S7222" s="2">
        <v>0.1624034</v>
      </c>
      <c r="T7222" s="2">
        <v>9.2526220000000006E-2</v>
      </c>
    </row>
    <row r="7223" spans="18:20" x14ac:dyDescent="0.45">
      <c r="R7223" s="2">
        <v>88.99</v>
      </c>
      <c r="S7223" s="2">
        <v>0.1625472</v>
      </c>
      <c r="T7223" s="2">
        <v>9.2616610000000002E-2</v>
      </c>
    </row>
    <row r="7224" spans="18:20" x14ac:dyDescent="0.45">
      <c r="R7224" s="2">
        <v>89</v>
      </c>
      <c r="S7224" s="2">
        <v>0.162691</v>
      </c>
      <c r="T7224" s="2">
        <v>9.2706999999999998E-2</v>
      </c>
    </row>
    <row r="7225" spans="18:20" x14ac:dyDescent="0.45">
      <c r="R7225" s="2">
        <v>89.01</v>
      </c>
      <c r="S7225" s="2">
        <v>0.16284699999999999</v>
      </c>
      <c r="T7225" s="2">
        <v>9.2807169999999994E-2</v>
      </c>
    </row>
    <row r="7226" spans="18:20" x14ac:dyDescent="0.45">
      <c r="R7226" s="2">
        <v>89.02</v>
      </c>
      <c r="S7226" s="2">
        <v>0.16300300000000001</v>
      </c>
      <c r="T7226" s="2">
        <v>9.2907340000000005E-2</v>
      </c>
    </row>
    <row r="7227" spans="18:20" x14ac:dyDescent="0.45">
      <c r="R7227" s="2">
        <v>89.03</v>
      </c>
      <c r="S7227" s="2">
        <v>0.1631589</v>
      </c>
      <c r="T7227" s="2">
        <v>9.3007510000000002E-2</v>
      </c>
    </row>
    <row r="7228" spans="18:20" x14ac:dyDescent="0.45">
      <c r="R7228" s="2">
        <v>89.04</v>
      </c>
      <c r="S7228" s="2">
        <v>0.16331490000000001</v>
      </c>
      <c r="T7228" s="2">
        <v>9.3107679999999998E-2</v>
      </c>
    </row>
    <row r="7229" spans="18:20" x14ac:dyDescent="0.45">
      <c r="R7229" s="2">
        <v>89.05</v>
      </c>
      <c r="S7229" s="2">
        <v>0.1634709</v>
      </c>
      <c r="T7229" s="2">
        <v>9.3207849999999995E-2</v>
      </c>
    </row>
    <row r="7230" spans="18:20" x14ac:dyDescent="0.45">
      <c r="R7230" s="2">
        <v>89.06</v>
      </c>
      <c r="S7230" s="2">
        <v>0.16362689999999999</v>
      </c>
      <c r="T7230" s="2">
        <v>9.3308020000000005E-2</v>
      </c>
    </row>
    <row r="7231" spans="18:20" x14ac:dyDescent="0.45">
      <c r="R7231" s="2">
        <v>89.07</v>
      </c>
      <c r="S7231" s="2">
        <v>0.16378290000000001</v>
      </c>
      <c r="T7231" s="2">
        <v>9.3408190000000002E-2</v>
      </c>
    </row>
    <row r="7232" spans="18:20" x14ac:dyDescent="0.45">
      <c r="R7232" s="2">
        <v>89.08</v>
      </c>
      <c r="S7232" s="2">
        <v>0.1639388</v>
      </c>
      <c r="T7232" s="2">
        <v>9.3508359999999999E-2</v>
      </c>
    </row>
    <row r="7233" spans="18:20" x14ac:dyDescent="0.45">
      <c r="R7233" s="2">
        <v>89.09</v>
      </c>
      <c r="S7233" s="2">
        <v>0.16409480000000001</v>
      </c>
      <c r="T7233" s="2">
        <v>9.3608529999999995E-2</v>
      </c>
    </row>
    <row r="7234" spans="18:20" x14ac:dyDescent="0.45">
      <c r="R7234" s="2">
        <v>89.1</v>
      </c>
      <c r="S7234" s="2">
        <v>0.1642508</v>
      </c>
      <c r="T7234" s="2">
        <v>9.3708700000000006E-2</v>
      </c>
    </row>
    <row r="7235" spans="18:20" x14ac:dyDescent="0.45">
      <c r="R7235" s="2">
        <v>89.11</v>
      </c>
      <c r="S7235" s="2">
        <v>0.16440679999999999</v>
      </c>
      <c r="T7235" s="2">
        <v>9.3808870000000003E-2</v>
      </c>
    </row>
    <row r="7236" spans="18:20" x14ac:dyDescent="0.45">
      <c r="R7236" s="2">
        <v>89.12</v>
      </c>
      <c r="S7236" s="2">
        <v>0.16456280000000001</v>
      </c>
      <c r="T7236" s="2">
        <v>9.3909039999999999E-2</v>
      </c>
    </row>
    <row r="7237" spans="18:20" x14ac:dyDescent="0.45">
      <c r="R7237" s="2">
        <v>89.13</v>
      </c>
      <c r="S7237" s="2">
        <v>0.1647187</v>
      </c>
      <c r="T7237" s="2">
        <v>9.4009209999999996E-2</v>
      </c>
    </row>
    <row r="7238" spans="18:20" x14ac:dyDescent="0.45">
      <c r="R7238" s="2">
        <v>89.14</v>
      </c>
      <c r="S7238" s="2">
        <v>0.16487470000000001</v>
      </c>
      <c r="T7238" s="2">
        <v>9.4109380000000006E-2</v>
      </c>
    </row>
    <row r="7239" spans="18:20" x14ac:dyDescent="0.45">
      <c r="R7239" s="2">
        <v>89.15</v>
      </c>
      <c r="S7239" s="2">
        <v>0.1650307</v>
      </c>
      <c r="T7239" s="2">
        <v>9.4209550000000003E-2</v>
      </c>
    </row>
    <row r="7240" spans="18:20" x14ac:dyDescent="0.45">
      <c r="R7240" s="2">
        <v>89.16</v>
      </c>
      <c r="S7240" s="2">
        <v>0.16518669999999999</v>
      </c>
      <c r="T7240" s="2">
        <v>9.430972E-2</v>
      </c>
    </row>
    <row r="7241" spans="18:20" x14ac:dyDescent="0.45">
      <c r="R7241" s="2">
        <v>89.17</v>
      </c>
      <c r="S7241" s="2">
        <v>0.16534270000000001</v>
      </c>
      <c r="T7241" s="2">
        <v>9.4409889999999996E-2</v>
      </c>
    </row>
    <row r="7242" spans="18:20" x14ac:dyDescent="0.45">
      <c r="R7242" s="2">
        <v>89.18</v>
      </c>
      <c r="S7242" s="2">
        <v>0.1654986</v>
      </c>
      <c r="T7242" s="2">
        <v>9.4510060000000007E-2</v>
      </c>
    </row>
    <row r="7243" spans="18:20" x14ac:dyDescent="0.45">
      <c r="R7243" s="2">
        <v>89.19</v>
      </c>
      <c r="S7243" s="2">
        <v>0.16565460000000001</v>
      </c>
      <c r="T7243" s="2">
        <v>9.4610230000000003E-2</v>
      </c>
    </row>
    <row r="7244" spans="18:20" x14ac:dyDescent="0.45">
      <c r="R7244" s="2">
        <v>89.2</v>
      </c>
      <c r="S7244" s="2">
        <v>0.1658106</v>
      </c>
      <c r="T7244" s="2">
        <v>9.47104E-2</v>
      </c>
    </row>
    <row r="7245" spans="18:20" x14ac:dyDescent="0.45">
      <c r="R7245" s="2">
        <v>89.21</v>
      </c>
      <c r="S7245" s="2">
        <v>0.16596659999999999</v>
      </c>
      <c r="T7245" s="2">
        <v>9.4810569999999997E-2</v>
      </c>
    </row>
    <row r="7246" spans="18:20" x14ac:dyDescent="0.45">
      <c r="R7246" s="2">
        <v>89.22</v>
      </c>
      <c r="S7246" s="2">
        <v>0.16612260000000001</v>
      </c>
      <c r="T7246" s="2">
        <v>9.4910739999999993E-2</v>
      </c>
    </row>
    <row r="7247" spans="18:20" x14ac:dyDescent="0.45">
      <c r="R7247" s="2">
        <v>89.23</v>
      </c>
      <c r="S7247" s="2">
        <v>0.1662785</v>
      </c>
      <c r="T7247" s="2">
        <v>9.5010910000000004E-2</v>
      </c>
    </row>
    <row r="7248" spans="18:20" x14ac:dyDescent="0.45">
      <c r="R7248" s="2">
        <v>89.24</v>
      </c>
      <c r="S7248" s="2">
        <v>0.16643450000000001</v>
      </c>
      <c r="T7248" s="2">
        <v>9.5111080000000001E-2</v>
      </c>
    </row>
    <row r="7249" spans="18:20" x14ac:dyDescent="0.45">
      <c r="R7249" s="2">
        <v>89.25</v>
      </c>
      <c r="S7249" s="2">
        <v>0.1665905</v>
      </c>
      <c r="T7249" s="2">
        <v>9.5211249999999997E-2</v>
      </c>
    </row>
    <row r="7250" spans="18:20" x14ac:dyDescent="0.45">
      <c r="R7250" s="2">
        <v>89.26</v>
      </c>
      <c r="S7250" s="2">
        <v>0.16674649999999999</v>
      </c>
      <c r="T7250" s="2">
        <v>9.5311419999999994E-2</v>
      </c>
    </row>
    <row r="7251" spans="18:20" x14ac:dyDescent="0.45">
      <c r="R7251" s="2">
        <v>89.27</v>
      </c>
      <c r="S7251" s="2">
        <v>0.16690250000000001</v>
      </c>
      <c r="T7251" s="2">
        <v>9.5411590000000004E-2</v>
      </c>
    </row>
    <row r="7252" spans="18:20" x14ac:dyDescent="0.45">
      <c r="R7252" s="2">
        <v>89.28</v>
      </c>
      <c r="S7252" s="2">
        <v>0.1670584</v>
      </c>
      <c r="T7252" s="2">
        <v>9.5511760000000001E-2</v>
      </c>
    </row>
    <row r="7253" spans="18:20" x14ac:dyDescent="0.45">
      <c r="R7253" s="2">
        <v>89.29</v>
      </c>
      <c r="S7253" s="2">
        <v>0.16721440000000001</v>
      </c>
      <c r="T7253" s="2">
        <v>9.5611929999999998E-2</v>
      </c>
    </row>
    <row r="7254" spans="18:20" x14ac:dyDescent="0.45">
      <c r="R7254" s="2">
        <v>89.3</v>
      </c>
      <c r="S7254" s="2">
        <v>0.1673704</v>
      </c>
      <c r="T7254" s="2">
        <v>9.5712099999999994E-2</v>
      </c>
    </row>
    <row r="7255" spans="18:20" x14ac:dyDescent="0.45">
      <c r="R7255" s="2">
        <v>89.31</v>
      </c>
      <c r="S7255" s="2">
        <v>0.16752639999999999</v>
      </c>
      <c r="T7255" s="2">
        <v>9.5812270000000005E-2</v>
      </c>
    </row>
    <row r="7256" spans="18:20" x14ac:dyDescent="0.45">
      <c r="R7256" s="2">
        <v>89.32</v>
      </c>
      <c r="S7256" s="2">
        <v>0.16768240000000001</v>
      </c>
      <c r="T7256" s="2">
        <v>9.5912440000000002E-2</v>
      </c>
    </row>
    <row r="7257" spans="18:20" x14ac:dyDescent="0.45">
      <c r="R7257" s="2">
        <v>89.33</v>
      </c>
      <c r="S7257" s="2">
        <v>0.1678383</v>
      </c>
      <c r="T7257" s="2">
        <v>9.6012609999999998E-2</v>
      </c>
    </row>
    <row r="7258" spans="18:20" x14ac:dyDescent="0.45">
      <c r="R7258" s="2">
        <v>89.34</v>
      </c>
      <c r="S7258" s="2">
        <v>0.16799430000000001</v>
      </c>
      <c r="T7258" s="2">
        <v>9.6112779999999995E-2</v>
      </c>
    </row>
    <row r="7259" spans="18:20" x14ac:dyDescent="0.45">
      <c r="R7259" s="2">
        <v>89.35</v>
      </c>
      <c r="S7259" s="2">
        <v>0.1681503</v>
      </c>
      <c r="T7259" s="2">
        <v>9.6212950000000005E-2</v>
      </c>
    </row>
    <row r="7260" spans="18:20" x14ac:dyDescent="0.45">
      <c r="R7260" s="2">
        <v>89.36</v>
      </c>
      <c r="S7260" s="2">
        <v>0.16830629999999999</v>
      </c>
      <c r="T7260" s="2">
        <v>9.6313120000000002E-2</v>
      </c>
    </row>
    <row r="7261" spans="18:20" x14ac:dyDescent="0.45">
      <c r="R7261" s="2">
        <v>89.37</v>
      </c>
      <c r="S7261" s="2">
        <v>0.16846230000000001</v>
      </c>
      <c r="T7261" s="2">
        <v>9.6413289999999999E-2</v>
      </c>
    </row>
    <row r="7262" spans="18:20" x14ac:dyDescent="0.45">
      <c r="R7262" s="2">
        <v>89.38</v>
      </c>
      <c r="S7262" s="2">
        <v>0.1686182</v>
      </c>
      <c r="T7262" s="2">
        <v>9.6513459999999995E-2</v>
      </c>
    </row>
    <row r="7263" spans="18:20" x14ac:dyDescent="0.45">
      <c r="R7263" s="2">
        <v>89.39</v>
      </c>
      <c r="S7263" s="2">
        <v>0.16877420000000001</v>
      </c>
      <c r="T7263" s="2">
        <v>9.6613630000000006E-2</v>
      </c>
    </row>
    <row r="7264" spans="18:20" x14ac:dyDescent="0.45">
      <c r="R7264" s="2">
        <v>89.4</v>
      </c>
      <c r="S7264" s="2">
        <v>0.1689302</v>
      </c>
      <c r="T7264" s="2">
        <v>9.6713800000000003E-2</v>
      </c>
    </row>
    <row r="7265" spans="18:20" x14ac:dyDescent="0.45">
      <c r="R7265" s="2">
        <v>89.41</v>
      </c>
      <c r="S7265" s="2">
        <v>0.16908619999999999</v>
      </c>
      <c r="T7265" s="2">
        <v>9.6813969999999999E-2</v>
      </c>
    </row>
    <row r="7266" spans="18:20" x14ac:dyDescent="0.45">
      <c r="R7266" s="2">
        <v>89.42</v>
      </c>
      <c r="S7266" s="2">
        <v>0.16924220000000001</v>
      </c>
      <c r="T7266" s="2">
        <v>9.6914139999999996E-2</v>
      </c>
    </row>
    <row r="7267" spans="18:20" x14ac:dyDescent="0.45">
      <c r="R7267" s="2">
        <v>89.43</v>
      </c>
      <c r="S7267" s="2">
        <v>0.1693981</v>
      </c>
      <c r="T7267" s="2">
        <v>9.7014310000000006E-2</v>
      </c>
    </row>
    <row r="7268" spans="18:20" x14ac:dyDescent="0.45">
      <c r="R7268" s="2">
        <v>89.44</v>
      </c>
      <c r="S7268" s="2">
        <v>0.16955410000000001</v>
      </c>
      <c r="T7268" s="2">
        <v>9.7114480000000003E-2</v>
      </c>
    </row>
    <row r="7269" spans="18:20" x14ac:dyDescent="0.45">
      <c r="R7269" s="2">
        <v>89.45</v>
      </c>
      <c r="S7269" s="2">
        <v>0.1697101</v>
      </c>
      <c r="T7269" s="2">
        <v>9.721465E-2</v>
      </c>
    </row>
    <row r="7270" spans="18:20" x14ac:dyDescent="0.45">
      <c r="R7270" s="2">
        <v>89.46</v>
      </c>
      <c r="S7270" s="2">
        <v>0.16986609999999999</v>
      </c>
      <c r="T7270" s="2">
        <v>9.7314819999999996E-2</v>
      </c>
    </row>
    <row r="7271" spans="18:20" x14ac:dyDescent="0.45">
      <c r="R7271" s="2">
        <v>89.47</v>
      </c>
      <c r="S7271" s="2">
        <v>0.17002210000000001</v>
      </c>
      <c r="T7271" s="2">
        <v>9.7414990000000007E-2</v>
      </c>
    </row>
    <row r="7272" spans="18:20" x14ac:dyDescent="0.45">
      <c r="R7272" s="2">
        <v>89.48</v>
      </c>
      <c r="S7272" s="2">
        <v>0.170178</v>
      </c>
      <c r="T7272" s="2">
        <v>9.7515160000000004E-2</v>
      </c>
    </row>
    <row r="7273" spans="18:20" x14ac:dyDescent="0.45">
      <c r="R7273" s="2">
        <v>89.49</v>
      </c>
      <c r="S7273" s="2">
        <v>0.17033400000000001</v>
      </c>
      <c r="T7273" s="2">
        <v>9.761533E-2</v>
      </c>
    </row>
    <row r="7274" spans="18:20" x14ac:dyDescent="0.45">
      <c r="R7274" s="2">
        <v>89.5</v>
      </c>
      <c r="S7274" s="2">
        <v>0.17049</v>
      </c>
      <c r="T7274" s="2">
        <v>9.7715499999999997E-2</v>
      </c>
    </row>
    <row r="7275" spans="18:20" x14ac:dyDescent="0.45">
      <c r="R7275" s="2">
        <v>89.51</v>
      </c>
      <c r="S7275" s="2">
        <v>0.17064599999999999</v>
      </c>
      <c r="T7275" s="2">
        <v>9.7815669999999993E-2</v>
      </c>
    </row>
    <row r="7276" spans="18:20" x14ac:dyDescent="0.45">
      <c r="R7276" s="2">
        <v>89.52</v>
      </c>
      <c r="S7276" s="2">
        <v>0.17080200000000001</v>
      </c>
      <c r="T7276" s="2">
        <v>9.7915840000000004E-2</v>
      </c>
    </row>
    <row r="7277" spans="18:20" x14ac:dyDescent="0.45">
      <c r="R7277" s="2">
        <v>89.53</v>
      </c>
      <c r="S7277" s="2">
        <v>0.1709579</v>
      </c>
      <c r="T7277" s="2">
        <v>9.8016010000000001E-2</v>
      </c>
    </row>
    <row r="7278" spans="18:20" x14ac:dyDescent="0.45">
      <c r="R7278" s="2">
        <v>89.54</v>
      </c>
      <c r="S7278" s="2">
        <v>0.17111390000000001</v>
      </c>
      <c r="T7278" s="2">
        <v>9.8116179999999997E-2</v>
      </c>
    </row>
    <row r="7279" spans="18:20" x14ac:dyDescent="0.45">
      <c r="R7279" s="2">
        <v>89.55</v>
      </c>
      <c r="S7279" s="2">
        <v>0.1712699</v>
      </c>
      <c r="T7279" s="2">
        <v>9.8216349999999994E-2</v>
      </c>
    </row>
    <row r="7280" spans="18:20" x14ac:dyDescent="0.45">
      <c r="R7280" s="2">
        <v>89.56</v>
      </c>
      <c r="S7280" s="2">
        <v>0.17142589999999999</v>
      </c>
      <c r="T7280" s="2">
        <v>9.8316520000000004E-2</v>
      </c>
    </row>
    <row r="7281" spans="18:20" x14ac:dyDescent="0.45">
      <c r="R7281" s="2">
        <v>89.57</v>
      </c>
      <c r="S7281" s="2">
        <v>0.17158190000000001</v>
      </c>
      <c r="T7281" s="2">
        <v>9.8416690000000001E-2</v>
      </c>
    </row>
    <row r="7282" spans="18:20" x14ac:dyDescent="0.45">
      <c r="R7282" s="2">
        <v>89.58</v>
      </c>
      <c r="S7282" s="2">
        <v>0.1717378</v>
      </c>
      <c r="T7282" s="2">
        <v>9.8516859999999998E-2</v>
      </c>
    </row>
    <row r="7283" spans="18:20" x14ac:dyDescent="0.45">
      <c r="R7283" s="2">
        <v>89.59</v>
      </c>
      <c r="S7283" s="2">
        <v>0.17189380000000001</v>
      </c>
      <c r="T7283" s="2">
        <v>9.8617029999999994E-2</v>
      </c>
    </row>
    <row r="7284" spans="18:20" x14ac:dyDescent="0.45">
      <c r="R7284" s="2">
        <v>89.6</v>
      </c>
      <c r="S7284" s="2">
        <v>0.1720498</v>
      </c>
      <c r="T7284" s="2">
        <v>9.8717200000000005E-2</v>
      </c>
    </row>
    <row r="7285" spans="18:20" x14ac:dyDescent="0.45">
      <c r="R7285" s="2">
        <v>89.61</v>
      </c>
      <c r="S7285" s="2">
        <v>0.17220579999999999</v>
      </c>
      <c r="T7285" s="2">
        <v>9.8817370000000002E-2</v>
      </c>
    </row>
    <row r="7286" spans="18:20" x14ac:dyDescent="0.45">
      <c r="R7286" s="2">
        <v>89.62</v>
      </c>
      <c r="S7286" s="2">
        <v>0.17236180000000001</v>
      </c>
      <c r="T7286" s="2">
        <v>9.8917539999999998E-2</v>
      </c>
    </row>
    <row r="7287" spans="18:20" x14ac:dyDescent="0.45">
      <c r="R7287" s="2">
        <v>89.63</v>
      </c>
      <c r="S7287" s="2">
        <v>0.1725177</v>
      </c>
      <c r="T7287" s="2">
        <v>9.9017709999999995E-2</v>
      </c>
    </row>
    <row r="7288" spans="18:20" x14ac:dyDescent="0.45">
      <c r="R7288" s="2">
        <v>89.64</v>
      </c>
      <c r="S7288" s="2">
        <v>0.17267370000000001</v>
      </c>
      <c r="T7288" s="2">
        <v>9.9117880000000005E-2</v>
      </c>
    </row>
    <row r="7289" spans="18:20" x14ac:dyDescent="0.45">
      <c r="R7289" s="2">
        <v>89.65</v>
      </c>
      <c r="S7289" s="2">
        <v>0.1728297</v>
      </c>
      <c r="T7289" s="2">
        <v>9.9218050000000002E-2</v>
      </c>
    </row>
    <row r="7290" spans="18:20" x14ac:dyDescent="0.45">
      <c r="R7290" s="2">
        <v>89.66</v>
      </c>
      <c r="S7290" s="2">
        <v>0.17298569999999999</v>
      </c>
      <c r="T7290" s="2">
        <v>9.9318219999999999E-2</v>
      </c>
    </row>
    <row r="7291" spans="18:20" x14ac:dyDescent="0.45">
      <c r="R7291" s="2">
        <v>89.67</v>
      </c>
      <c r="S7291" s="2">
        <v>0.17314170000000001</v>
      </c>
      <c r="T7291" s="2">
        <v>9.9418389999999995E-2</v>
      </c>
    </row>
    <row r="7292" spans="18:20" x14ac:dyDescent="0.45">
      <c r="R7292" s="2">
        <v>89.68</v>
      </c>
      <c r="S7292" s="2">
        <v>0.1732976</v>
      </c>
      <c r="T7292" s="2">
        <v>9.9518560000000006E-2</v>
      </c>
    </row>
    <row r="7293" spans="18:20" x14ac:dyDescent="0.45">
      <c r="R7293" s="2">
        <v>89.69</v>
      </c>
      <c r="S7293" s="2">
        <v>0.17345360000000001</v>
      </c>
      <c r="T7293" s="2">
        <v>9.9618730000000003E-2</v>
      </c>
    </row>
    <row r="7294" spans="18:20" x14ac:dyDescent="0.45">
      <c r="R7294" s="2">
        <v>89.7</v>
      </c>
      <c r="S7294" s="2">
        <v>0.1736096</v>
      </c>
      <c r="T7294" s="2">
        <v>9.9718899999999999E-2</v>
      </c>
    </row>
    <row r="7295" spans="18:20" x14ac:dyDescent="0.45">
      <c r="R7295" s="2">
        <v>89.71</v>
      </c>
      <c r="S7295" s="2">
        <v>0.17376559999999999</v>
      </c>
      <c r="T7295" s="2">
        <v>9.9819069999999996E-2</v>
      </c>
    </row>
    <row r="7296" spans="18:20" x14ac:dyDescent="0.45">
      <c r="R7296" s="2">
        <v>89.72</v>
      </c>
      <c r="S7296" s="2">
        <v>0.17392160000000001</v>
      </c>
      <c r="T7296" s="2">
        <v>9.9919240000000006E-2</v>
      </c>
    </row>
    <row r="7297" spans="18:20" x14ac:dyDescent="0.45">
      <c r="R7297" s="2">
        <v>89.73</v>
      </c>
      <c r="S7297" s="2">
        <v>0.1740775</v>
      </c>
      <c r="T7297" s="2">
        <v>0.10001939999999999</v>
      </c>
    </row>
    <row r="7298" spans="18:20" x14ac:dyDescent="0.45">
      <c r="R7298" s="2">
        <v>89.74</v>
      </c>
      <c r="S7298" s="2">
        <v>0.17423350000000001</v>
      </c>
      <c r="T7298" s="2">
        <v>0.1001196</v>
      </c>
    </row>
    <row r="7299" spans="18:20" x14ac:dyDescent="0.45">
      <c r="R7299" s="2">
        <v>89.75</v>
      </c>
      <c r="S7299" s="2">
        <v>0.1743895</v>
      </c>
      <c r="T7299" s="2">
        <v>0.1002198</v>
      </c>
    </row>
    <row r="7300" spans="18:20" x14ac:dyDescent="0.45">
      <c r="R7300" s="2">
        <v>89.76</v>
      </c>
      <c r="S7300" s="2">
        <v>0.17454549999999999</v>
      </c>
      <c r="T7300" s="2">
        <v>0.1003199</v>
      </c>
    </row>
    <row r="7301" spans="18:20" x14ac:dyDescent="0.45">
      <c r="R7301" s="2">
        <v>89.77</v>
      </c>
      <c r="S7301" s="2">
        <v>0.17470150000000001</v>
      </c>
      <c r="T7301" s="2">
        <v>0.1004201</v>
      </c>
    </row>
    <row r="7302" spans="18:20" x14ac:dyDescent="0.45">
      <c r="R7302" s="2">
        <v>89.78</v>
      </c>
      <c r="S7302" s="2">
        <v>0.1748574</v>
      </c>
      <c r="T7302" s="2">
        <v>0.10052030000000001</v>
      </c>
    </row>
    <row r="7303" spans="18:20" x14ac:dyDescent="0.45">
      <c r="R7303" s="2">
        <v>89.79</v>
      </c>
      <c r="S7303" s="2">
        <v>0.17501340000000001</v>
      </c>
      <c r="T7303" s="2">
        <v>0.1006204</v>
      </c>
    </row>
    <row r="7304" spans="18:20" x14ac:dyDescent="0.45">
      <c r="R7304" s="2">
        <v>89.8</v>
      </c>
      <c r="S7304" s="2">
        <v>0.1751694</v>
      </c>
      <c r="T7304" s="2">
        <v>0.10072059999999999</v>
      </c>
    </row>
    <row r="7305" spans="18:20" x14ac:dyDescent="0.45">
      <c r="R7305" s="2">
        <v>89.81</v>
      </c>
      <c r="S7305" s="2">
        <v>0.17532539999999999</v>
      </c>
      <c r="T7305" s="2">
        <v>0.1008208</v>
      </c>
    </row>
    <row r="7306" spans="18:20" x14ac:dyDescent="0.45">
      <c r="R7306" s="2">
        <v>89.82</v>
      </c>
      <c r="S7306" s="2">
        <v>0.17548140000000001</v>
      </c>
      <c r="T7306" s="2">
        <v>0.10092089999999999</v>
      </c>
    </row>
    <row r="7307" spans="18:20" x14ac:dyDescent="0.45">
      <c r="R7307" s="2">
        <v>89.83</v>
      </c>
      <c r="S7307" s="2">
        <v>0.1756373</v>
      </c>
      <c r="T7307" s="2">
        <v>0.1010211</v>
      </c>
    </row>
    <row r="7308" spans="18:20" x14ac:dyDescent="0.45">
      <c r="R7308" s="2">
        <v>89.84</v>
      </c>
      <c r="S7308" s="2">
        <v>0.17579330000000001</v>
      </c>
      <c r="T7308" s="2">
        <v>0.1011213</v>
      </c>
    </row>
    <row r="7309" spans="18:20" x14ac:dyDescent="0.45">
      <c r="R7309" s="2">
        <v>89.85</v>
      </c>
      <c r="S7309" s="2">
        <v>0.1759493</v>
      </c>
      <c r="T7309" s="2">
        <v>0.1012214</v>
      </c>
    </row>
    <row r="7310" spans="18:20" x14ac:dyDescent="0.45">
      <c r="R7310" s="2">
        <v>89.86</v>
      </c>
      <c r="S7310" s="2">
        <v>0.17610529999999999</v>
      </c>
      <c r="T7310" s="2">
        <v>0.1013216</v>
      </c>
    </row>
    <row r="7311" spans="18:20" x14ac:dyDescent="0.45">
      <c r="R7311" s="2">
        <v>89.87</v>
      </c>
      <c r="S7311" s="2">
        <v>0.17626130000000001</v>
      </c>
      <c r="T7311" s="2">
        <v>0.10142180000000001</v>
      </c>
    </row>
    <row r="7312" spans="18:20" x14ac:dyDescent="0.45">
      <c r="R7312" s="2">
        <v>89.88</v>
      </c>
      <c r="S7312" s="2">
        <v>0.1764172</v>
      </c>
      <c r="T7312" s="2">
        <v>0.101522</v>
      </c>
    </row>
    <row r="7313" spans="18:20" x14ac:dyDescent="0.45">
      <c r="R7313" s="2">
        <v>89.89</v>
      </c>
      <c r="S7313" s="2">
        <v>0.17657320000000001</v>
      </c>
      <c r="T7313" s="2">
        <v>0.10162210000000001</v>
      </c>
    </row>
    <row r="7314" spans="18:20" x14ac:dyDescent="0.45">
      <c r="R7314" s="2">
        <v>89.9</v>
      </c>
      <c r="S7314" s="2">
        <v>0.1767292</v>
      </c>
      <c r="T7314" s="2">
        <v>0.1017223</v>
      </c>
    </row>
    <row r="7315" spans="18:20" x14ac:dyDescent="0.45">
      <c r="R7315" s="2">
        <v>89.91</v>
      </c>
      <c r="S7315" s="2">
        <v>0.17688519999999999</v>
      </c>
      <c r="T7315" s="2">
        <v>0.1018225</v>
      </c>
    </row>
    <row r="7316" spans="18:20" x14ac:dyDescent="0.45">
      <c r="R7316" s="2">
        <v>89.92</v>
      </c>
      <c r="S7316" s="2">
        <v>0.17704120000000001</v>
      </c>
      <c r="T7316" s="2">
        <v>0.1019226</v>
      </c>
    </row>
    <row r="7317" spans="18:20" x14ac:dyDescent="0.45">
      <c r="R7317" s="2">
        <v>89.93</v>
      </c>
      <c r="S7317" s="2">
        <v>0.1771971</v>
      </c>
      <c r="T7317" s="2">
        <v>0.1020228</v>
      </c>
    </row>
    <row r="7318" spans="18:20" x14ac:dyDescent="0.45">
      <c r="R7318" s="2">
        <v>89.94</v>
      </c>
      <c r="S7318" s="2">
        <v>0.17735310000000001</v>
      </c>
      <c r="T7318" s="2">
        <v>0.10212300000000001</v>
      </c>
    </row>
    <row r="7319" spans="18:20" x14ac:dyDescent="0.45">
      <c r="R7319" s="2">
        <v>89.95</v>
      </c>
      <c r="S7319" s="2">
        <v>0.1775091</v>
      </c>
      <c r="T7319" s="2">
        <v>0.1022232</v>
      </c>
    </row>
    <row r="7320" spans="18:20" x14ac:dyDescent="0.45">
      <c r="R7320" s="2">
        <v>89.96</v>
      </c>
      <c r="S7320" s="2">
        <v>0.17766509999999999</v>
      </c>
      <c r="T7320" s="2">
        <v>0.10232330000000001</v>
      </c>
    </row>
    <row r="7321" spans="18:20" x14ac:dyDescent="0.45">
      <c r="R7321" s="2">
        <v>89.97</v>
      </c>
      <c r="S7321" s="2">
        <v>0.17782110000000001</v>
      </c>
      <c r="T7321" s="2">
        <v>0.1024235</v>
      </c>
    </row>
    <row r="7322" spans="18:20" x14ac:dyDescent="0.45">
      <c r="R7322" s="2">
        <v>89.98</v>
      </c>
      <c r="S7322" s="2">
        <v>0.177977</v>
      </c>
      <c r="T7322" s="2">
        <v>0.1025237</v>
      </c>
    </row>
    <row r="7323" spans="18:20" x14ac:dyDescent="0.45">
      <c r="R7323" s="2">
        <v>89.99</v>
      </c>
      <c r="S7323" s="2">
        <v>0.17813300000000001</v>
      </c>
      <c r="T7323" s="2">
        <v>0.1026238</v>
      </c>
    </row>
    <row r="7324" spans="18:20" x14ac:dyDescent="0.45">
      <c r="R7324" s="2">
        <v>90</v>
      </c>
      <c r="S7324" s="2">
        <v>0.178289</v>
      </c>
      <c r="T7324" s="2">
        <v>0.102724</v>
      </c>
    </row>
    <row r="7325" spans="18:20" x14ac:dyDescent="0.45">
      <c r="R7325" s="2">
        <v>90.01</v>
      </c>
      <c r="S7325" s="2">
        <v>0.17845800000000001</v>
      </c>
      <c r="T7325" s="2">
        <v>0.102835</v>
      </c>
    </row>
    <row r="7326" spans="18:20" x14ac:dyDescent="0.45">
      <c r="R7326" s="2">
        <v>90.02</v>
      </c>
      <c r="S7326" s="2">
        <v>0.17862700000000001</v>
      </c>
      <c r="T7326" s="2">
        <v>0.102946</v>
      </c>
    </row>
    <row r="7327" spans="18:20" x14ac:dyDescent="0.45">
      <c r="R7327" s="2">
        <v>90.03</v>
      </c>
      <c r="S7327" s="2">
        <v>0.17879600000000001</v>
      </c>
      <c r="T7327" s="2">
        <v>0.103057</v>
      </c>
    </row>
    <row r="7328" spans="18:20" x14ac:dyDescent="0.45">
      <c r="R7328" s="2">
        <v>90.04</v>
      </c>
      <c r="S7328" s="2">
        <v>0.17896500000000001</v>
      </c>
      <c r="T7328" s="2">
        <v>0.103168</v>
      </c>
    </row>
    <row r="7329" spans="18:20" x14ac:dyDescent="0.45">
      <c r="R7329" s="2">
        <v>90.05</v>
      </c>
      <c r="S7329" s="2">
        <v>0.17913399999999999</v>
      </c>
      <c r="T7329" s="2">
        <v>0.103279</v>
      </c>
    </row>
    <row r="7330" spans="18:20" x14ac:dyDescent="0.45">
      <c r="R7330" s="2">
        <v>90.06</v>
      </c>
      <c r="S7330" s="2">
        <v>0.17930309999999999</v>
      </c>
      <c r="T7330" s="2">
        <v>0.10339</v>
      </c>
    </row>
    <row r="7331" spans="18:20" x14ac:dyDescent="0.45">
      <c r="R7331" s="2">
        <v>90.07</v>
      </c>
      <c r="S7331" s="2">
        <v>0.1794721</v>
      </c>
      <c r="T7331" s="2">
        <v>0.103501</v>
      </c>
    </row>
    <row r="7332" spans="18:20" x14ac:dyDescent="0.45">
      <c r="R7332" s="2">
        <v>90.08</v>
      </c>
      <c r="S7332" s="2">
        <v>0.1796411</v>
      </c>
      <c r="T7332" s="2">
        <v>0.103612</v>
      </c>
    </row>
    <row r="7333" spans="18:20" x14ac:dyDescent="0.45">
      <c r="R7333" s="2">
        <v>90.09</v>
      </c>
      <c r="S7333" s="2">
        <v>0.1798101</v>
      </c>
      <c r="T7333" s="2">
        <v>0.103723</v>
      </c>
    </row>
    <row r="7334" spans="18:20" x14ac:dyDescent="0.45">
      <c r="R7334" s="2">
        <v>90.1</v>
      </c>
      <c r="S7334" s="2">
        <v>0.1799791</v>
      </c>
      <c r="T7334" s="2">
        <v>0.103834</v>
      </c>
    </row>
    <row r="7335" spans="18:20" x14ac:dyDescent="0.45">
      <c r="R7335" s="2">
        <v>90.11</v>
      </c>
      <c r="S7335" s="2">
        <v>0.18014810000000001</v>
      </c>
      <c r="T7335" s="2">
        <v>0.103945</v>
      </c>
    </row>
    <row r="7336" spans="18:20" x14ac:dyDescent="0.45">
      <c r="R7336" s="2">
        <v>90.12</v>
      </c>
      <c r="S7336" s="2">
        <v>0.18031710000000001</v>
      </c>
      <c r="T7336" s="2">
        <v>0.104056</v>
      </c>
    </row>
    <row r="7337" spans="18:20" x14ac:dyDescent="0.45">
      <c r="R7337" s="2">
        <v>90.13</v>
      </c>
      <c r="S7337" s="2">
        <v>0.18048610000000001</v>
      </c>
      <c r="T7337" s="2">
        <v>0.104167</v>
      </c>
    </row>
    <row r="7338" spans="18:20" x14ac:dyDescent="0.45">
      <c r="R7338" s="2">
        <v>90.14</v>
      </c>
      <c r="S7338" s="2">
        <v>0.18065510000000001</v>
      </c>
      <c r="T7338" s="2">
        <v>0.104278</v>
      </c>
    </row>
    <row r="7339" spans="18:20" x14ac:dyDescent="0.45">
      <c r="R7339" s="2">
        <v>90.15</v>
      </c>
      <c r="S7339" s="2">
        <v>0.18082419999999999</v>
      </c>
      <c r="T7339" s="2">
        <v>0.104389</v>
      </c>
    </row>
    <row r="7340" spans="18:20" x14ac:dyDescent="0.45">
      <c r="R7340" s="2">
        <v>90.16</v>
      </c>
      <c r="S7340" s="2">
        <v>0.18099319999999999</v>
      </c>
      <c r="T7340" s="2">
        <v>0.1045</v>
      </c>
    </row>
    <row r="7341" spans="18:20" x14ac:dyDescent="0.45">
      <c r="R7341" s="2">
        <v>90.17</v>
      </c>
      <c r="S7341" s="2">
        <v>0.1811622</v>
      </c>
      <c r="T7341" s="2">
        <v>0.104611</v>
      </c>
    </row>
    <row r="7342" spans="18:20" x14ac:dyDescent="0.45">
      <c r="R7342" s="2">
        <v>90.18</v>
      </c>
      <c r="S7342" s="2">
        <v>0.1813312</v>
      </c>
      <c r="T7342" s="2">
        <v>0.104722</v>
      </c>
    </row>
    <row r="7343" spans="18:20" x14ac:dyDescent="0.45">
      <c r="R7343" s="2">
        <v>90.19</v>
      </c>
      <c r="S7343" s="2">
        <v>0.1815002</v>
      </c>
      <c r="T7343" s="2">
        <v>0.104833</v>
      </c>
    </row>
    <row r="7344" spans="18:20" x14ac:dyDescent="0.45">
      <c r="R7344" s="2">
        <v>90.2</v>
      </c>
      <c r="S7344" s="2">
        <v>0.1816692</v>
      </c>
      <c r="T7344" s="2">
        <v>0.104944</v>
      </c>
    </row>
    <row r="7345" spans="18:20" x14ac:dyDescent="0.45">
      <c r="R7345" s="2">
        <v>90.21</v>
      </c>
      <c r="S7345" s="2">
        <v>0.18183820000000001</v>
      </c>
      <c r="T7345" s="2">
        <v>0.105055</v>
      </c>
    </row>
    <row r="7346" spans="18:20" x14ac:dyDescent="0.45">
      <c r="R7346" s="2">
        <v>90.22</v>
      </c>
      <c r="S7346" s="2">
        <v>0.18200720000000001</v>
      </c>
      <c r="T7346" s="2">
        <v>0.105166</v>
      </c>
    </row>
    <row r="7347" spans="18:20" x14ac:dyDescent="0.45">
      <c r="R7347" s="2">
        <v>90.23</v>
      </c>
      <c r="S7347" s="2">
        <v>0.18217620000000001</v>
      </c>
      <c r="T7347" s="2">
        <v>0.105277</v>
      </c>
    </row>
    <row r="7348" spans="18:20" x14ac:dyDescent="0.45">
      <c r="R7348" s="2">
        <v>90.24</v>
      </c>
      <c r="S7348" s="2">
        <v>0.18234520000000001</v>
      </c>
      <c r="T7348" s="2">
        <v>0.105388</v>
      </c>
    </row>
    <row r="7349" spans="18:20" x14ac:dyDescent="0.45">
      <c r="R7349" s="2">
        <v>90.25</v>
      </c>
      <c r="S7349" s="2">
        <v>0.18251419999999999</v>
      </c>
      <c r="T7349" s="2">
        <v>0.105499</v>
      </c>
    </row>
    <row r="7350" spans="18:20" x14ac:dyDescent="0.45">
      <c r="R7350" s="2">
        <v>90.26</v>
      </c>
      <c r="S7350" s="2">
        <v>0.18268329999999999</v>
      </c>
      <c r="T7350" s="2">
        <v>0.10561</v>
      </c>
    </row>
    <row r="7351" spans="18:20" x14ac:dyDescent="0.45">
      <c r="R7351" s="2">
        <v>90.27</v>
      </c>
      <c r="S7351" s="2">
        <v>0.1828523</v>
      </c>
      <c r="T7351" s="2">
        <v>0.105721</v>
      </c>
    </row>
    <row r="7352" spans="18:20" x14ac:dyDescent="0.45">
      <c r="R7352" s="2">
        <v>90.28</v>
      </c>
      <c r="S7352" s="2">
        <v>0.1830213</v>
      </c>
      <c r="T7352" s="2">
        <v>0.105832</v>
      </c>
    </row>
    <row r="7353" spans="18:20" x14ac:dyDescent="0.45">
      <c r="R7353" s="2">
        <v>90.29</v>
      </c>
      <c r="S7353" s="2">
        <v>0.1831903</v>
      </c>
      <c r="T7353" s="2">
        <v>0.105943</v>
      </c>
    </row>
    <row r="7354" spans="18:20" x14ac:dyDescent="0.45">
      <c r="R7354" s="2">
        <v>90.3</v>
      </c>
      <c r="S7354" s="2">
        <v>0.1833593</v>
      </c>
      <c r="T7354" s="2">
        <v>0.106054</v>
      </c>
    </row>
    <row r="7355" spans="18:20" x14ac:dyDescent="0.45">
      <c r="R7355" s="2">
        <v>90.31</v>
      </c>
      <c r="S7355" s="2">
        <v>0.18352830000000001</v>
      </c>
      <c r="T7355" s="2">
        <v>0.106165</v>
      </c>
    </row>
    <row r="7356" spans="18:20" x14ac:dyDescent="0.45">
      <c r="R7356" s="2">
        <v>90.32</v>
      </c>
      <c r="S7356" s="2">
        <v>0.18369730000000001</v>
      </c>
      <c r="T7356" s="2">
        <v>0.106276</v>
      </c>
    </row>
    <row r="7357" spans="18:20" x14ac:dyDescent="0.45">
      <c r="R7357" s="2">
        <v>90.33</v>
      </c>
      <c r="S7357" s="2">
        <v>0.18386630000000001</v>
      </c>
      <c r="T7357" s="2">
        <v>0.106387</v>
      </c>
    </row>
    <row r="7358" spans="18:20" x14ac:dyDescent="0.45">
      <c r="R7358" s="2">
        <v>90.34</v>
      </c>
      <c r="S7358" s="2">
        <v>0.18403530000000001</v>
      </c>
      <c r="T7358" s="2">
        <v>0.106498</v>
      </c>
    </row>
    <row r="7359" spans="18:20" x14ac:dyDescent="0.45">
      <c r="R7359" s="2">
        <v>90.35</v>
      </c>
      <c r="S7359" s="2">
        <v>0.18420429999999999</v>
      </c>
      <c r="T7359" s="2">
        <v>0.106609</v>
      </c>
    </row>
    <row r="7360" spans="18:20" x14ac:dyDescent="0.45">
      <c r="R7360" s="2">
        <v>90.36</v>
      </c>
      <c r="S7360" s="2">
        <v>0.18437339999999999</v>
      </c>
      <c r="T7360" s="2">
        <v>0.10672</v>
      </c>
    </row>
    <row r="7361" spans="18:20" x14ac:dyDescent="0.45">
      <c r="R7361" s="2">
        <v>90.37</v>
      </c>
      <c r="S7361" s="2">
        <v>0.1845424</v>
      </c>
      <c r="T7361" s="2">
        <v>0.106831</v>
      </c>
    </row>
    <row r="7362" spans="18:20" x14ac:dyDescent="0.45">
      <c r="R7362" s="2">
        <v>90.38</v>
      </c>
      <c r="S7362" s="2">
        <v>0.1847114</v>
      </c>
      <c r="T7362" s="2">
        <v>0.106942</v>
      </c>
    </row>
    <row r="7363" spans="18:20" x14ac:dyDescent="0.45">
      <c r="R7363" s="2">
        <v>90.39</v>
      </c>
      <c r="S7363" s="2">
        <v>0.1848804</v>
      </c>
      <c r="T7363" s="2">
        <v>0.107053</v>
      </c>
    </row>
    <row r="7364" spans="18:20" x14ac:dyDescent="0.45">
      <c r="R7364" s="2">
        <v>90.4</v>
      </c>
      <c r="S7364" s="2">
        <v>0.1850494</v>
      </c>
      <c r="T7364" s="2">
        <v>0.107164</v>
      </c>
    </row>
    <row r="7365" spans="18:20" x14ac:dyDescent="0.45">
      <c r="R7365" s="2">
        <v>90.41</v>
      </c>
      <c r="S7365" s="2">
        <v>0.18521840000000001</v>
      </c>
      <c r="T7365" s="2">
        <v>0.107275</v>
      </c>
    </row>
    <row r="7366" spans="18:20" x14ac:dyDescent="0.45">
      <c r="R7366" s="2">
        <v>90.42</v>
      </c>
      <c r="S7366" s="2">
        <v>0.18538740000000001</v>
      </c>
      <c r="T7366" s="2">
        <v>0.107386</v>
      </c>
    </row>
    <row r="7367" spans="18:20" x14ac:dyDescent="0.45">
      <c r="R7367" s="2">
        <v>90.43</v>
      </c>
      <c r="S7367" s="2">
        <v>0.18555640000000001</v>
      </c>
      <c r="T7367" s="2">
        <v>0.107497</v>
      </c>
    </row>
    <row r="7368" spans="18:20" x14ac:dyDescent="0.45">
      <c r="R7368" s="2">
        <v>90.44</v>
      </c>
      <c r="S7368" s="2">
        <v>0.18572540000000001</v>
      </c>
      <c r="T7368" s="2">
        <v>0.107608</v>
      </c>
    </row>
    <row r="7369" spans="18:20" x14ac:dyDescent="0.45">
      <c r="R7369" s="2">
        <v>90.45</v>
      </c>
      <c r="S7369" s="2">
        <v>0.18589449999999999</v>
      </c>
      <c r="T7369" s="2">
        <v>0.107719</v>
      </c>
    </row>
    <row r="7370" spans="18:20" x14ac:dyDescent="0.45">
      <c r="R7370" s="2">
        <v>90.46</v>
      </c>
      <c r="S7370" s="2">
        <v>0.18606349999999999</v>
      </c>
      <c r="T7370" s="2">
        <v>0.10783</v>
      </c>
    </row>
    <row r="7371" spans="18:20" x14ac:dyDescent="0.45">
      <c r="R7371" s="2">
        <v>90.47</v>
      </c>
      <c r="S7371" s="2">
        <v>0.1862325</v>
      </c>
      <c r="T7371" s="2">
        <v>0.107941</v>
      </c>
    </row>
    <row r="7372" spans="18:20" x14ac:dyDescent="0.45">
      <c r="R7372" s="2">
        <v>90.48</v>
      </c>
      <c r="S7372" s="2">
        <v>0.1864015</v>
      </c>
      <c r="T7372" s="2">
        <v>0.108052</v>
      </c>
    </row>
    <row r="7373" spans="18:20" x14ac:dyDescent="0.45">
      <c r="R7373" s="2">
        <v>90.49</v>
      </c>
      <c r="S7373" s="2">
        <v>0.1865705</v>
      </c>
      <c r="T7373" s="2">
        <v>0.108163</v>
      </c>
    </row>
    <row r="7374" spans="18:20" x14ac:dyDescent="0.45">
      <c r="R7374" s="2">
        <v>90.5</v>
      </c>
      <c r="S7374" s="2">
        <v>0.1867395</v>
      </c>
      <c r="T7374" s="2">
        <v>0.108274</v>
      </c>
    </row>
    <row r="7375" spans="18:20" x14ac:dyDescent="0.45">
      <c r="R7375" s="2">
        <v>90.51</v>
      </c>
      <c r="S7375" s="2">
        <v>0.18690850000000001</v>
      </c>
      <c r="T7375" s="2">
        <v>0.108385</v>
      </c>
    </row>
    <row r="7376" spans="18:20" x14ac:dyDescent="0.45">
      <c r="R7376" s="2">
        <v>90.52</v>
      </c>
      <c r="S7376" s="2">
        <v>0.18707750000000001</v>
      </c>
      <c r="T7376" s="2">
        <v>0.108496</v>
      </c>
    </row>
    <row r="7377" spans="18:20" x14ac:dyDescent="0.45">
      <c r="R7377" s="2">
        <v>90.53</v>
      </c>
      <c r="S7377" s="2">
        <v>0.18724650000000001</v>
      </c>
      <c r="T7377" s="2">
        <v>0.108607</v>
      </c>
    </row>
    <row r="7378" spans="18:20" x14ac:dyDescent="0.45">
      <c r="R7378" s="2">
        <v>90.54</v>
      </c>
      <c r="S7378" s="2">
        <v>0.18741550000000001</v>
      </c>
      <c r="T7378" s="2">
        <v>0.108718</v>
      </c>
    </row>
    <row r="7379" spans="18:20" x14ac:dyDescent="0.45">
      <c r="R7379" s="2">
        <v>90.55</v>
      </c>
      <c r="S7379" s="2">
        <v>0.18758449999999999</v>
      </c>
      <c r="T7379" s="2">
        <v>0.108829</v>
      </c>
    </row>
    <row r="7380" spans="18:20" x14ac:dyDescent="0.45">
      <c r="R7380" s="2">
        <v>90.56</v>
      </c>
      <c r="S7380" s="2">
        <v>0.18775359999999999</v>
      </c>
      <c r="T7380" s="2">
        <v>0.10894</v>
      </c>
    </row>
    <row r="7381" spans="18:20" x14ac:dyDescent="0.45">
      <c r="R7381" s="2">
        <v>90.57</v>
      </c>
      <c r="S7381" s="2">
        <v>0.1879226</v>
      </c>
      <c r="T7381" s="2">
        <v>0.109051</v>
      </c>
    </row>
    <row r="7382" spans="18:20" x14ac:dyDescent="0.45">
      <c r="R7382" s="2">
        <v>90.58</v>
      </c>
      <c r="S7382" s="2">
        <v>0.1880916</v>
      </c>
      <c r="T7382" s="2">
        <v>0.109162</v>
      </c>
    </row>
    <row r="7383" spans="18:20" x14ac:dyDescent="0.45">
      <c r="R7383" s="2">
        <v>90.59</v>
      </c>
      <c r="S7383" s="2">
        <v>0.1882606</v>
      </c>
      <c r="T7383" s="2">
        <v>0.109273</v>
      </c>
    </row>
    <row r="7384" spans="18:20" x14ac:dyDescent="0.45">
      <c r="R7384" s="2">
        <v>90.6</v>
      </c>
      <c r="S7384" s="2">
        <v>0.1884296</v>
      </c>
      <c r="T7384" s="2">
        <v>0.109384</v>
      </c>
    </row>
    <row r="7385" spans="18:20" x14ac:dyDescent="0.45">
      <c r="R7385" s="2">
        <v>90.61</v>
      </c>
      <c r="S7385" s="2">
        <v>0.18859860000000001</v>
      </c>
      <c r="T7385" s="2">
        <v>0.109495</v>
      </c>
    </row>
    <row r="7386" spans="18:20" x14ac:dyDescent="0.45">
      <c r="R7386" s="2">
        <v>90.62</v>
      </c>
      <c r="S7386" s="2">
        <v>0.18876760000000001</v>
      </c>
      <c r="T7386" s="2">
        <v>0.109606</v>
      </c>
    </row>
    <row r="7387" spans="18:20" x14ac:dyDescent="0.45">
      <c r="R7387" s="2">
        <v>90.63</v>
      </c>
      <c r="S7387" s="2">
        <v>0.18893660000000001</v>
      </c>
      <c r="T7387" s="2">
        <v>0.109717</v>
      </c>
    </row>
    <row r="7388" spans="18:20" x14ac:dyDescent="0.45">
      <c r="R7388" s="2">
        <v>90.64</v>
      </c>
      <c r="S7388" s="2">
        <v>0.18910560000000001</v>
      </c>
      <c r="T7388" s="2">
        <v>0.109828</v>
      </c>
    </row>
    <row r="7389" spans="18:20" x14ac:dyDescent="0.45">
      <c r="R7389" s="2">
        <v>90.65</v>
      </c>
      <c r="S7389" s="2">
        <v>0.18927469999999999</v>
      </c>
      <c r="T7389" s="2">
        <v>0.109939</v>
      </c>
    </row>
    <row r="7390" spans="18:20" x14ac:dyDescent="0.45">
      <c r="R7390" s="2">
        <v>90.66</v>
      </c>
      <c r="S7390" s="2">
        <v>0.18944369999999999</v>
      </c>
      <c r="T7390" s="2">
        <v>0.11005</v>
      </c>
    </row>
    <row r="7391" spans="18:20" x14ac:dyDescent="0.45">
      <c r="R7391" s="2">
        <v>90.67</v>
      </c>
      <c r="S7391" s="2">
        <v>0.1896127</v>
      </c>
      <c r="T7391" s="2">
        <v>0.110161</v>
      </c>
    </row>
    <row r="7392" spans="18:20" x14ac:dyDescent="0.45">
      <c r="R7392" s="2">
        <v>90.68</v>
      </c>
      <c r="S7392" s="2">
        <v>0.1897817</v>
      </c>
      <c r="T7392" s="2">
        <v>0.110272</v>
      </c>
    </row>
    <row r="7393" spans="18:20" x14ac:dyDescent="0.45">
      <c r="R7393" s="2">
        <v>90.69</v>
      </c>
      <c r="S7393" s="2">
        <v>0.1899507</v>
      </c>
      <c r="T7393" s="2">
        <v>0.110383</v>
      </c>
    </row>
    <row r="7394" spans="18:20" x14ac:dyDescent="0.45">
      <c r="R7394" s="2">
        <v>90.7</v>
      </c>
      <c r="S7394" s="2">
        <v>0.1901197</v>
      </c>
      <c r="T7394" s="2">
        <v>0.11049399999999999</v>
      </c>
    </row>
    <row r="7395" spans="18:20" x14ac:dyDescent="0.45">
      <c r="R7395" s="2">
        <v>90.71</v>
      </c>
      <c r="S7395" s="2">
        <v>0.19028870000000001</v>
      </c>
      <c r="T7395" s="2">
        <v>0.11060499999999999</v>
      </c>
    </row>
    <row r="7396" spans="18:20" x14ac:dyDescent="0.45">
      <c r="R7396" s="2">
        <v>90.72</v>
      </c>
      <c r="S7396" s="2">
        <v>0.19045770000000001</v>
      </c>
      <c r="T7396" s="2">
        <v>0.11071599999999999</v>
      </c>
    </row>
    <row r="7397" spans="18:20" x14ac:dyDescent="0.45">
      <c r="R7397" s="2">
        <v>90.73</v>
      </c>
      <c r="S7397" s="2">
        <v>0.19062670000000001</v>
      </c>
      <c r="T7397" s="2">
        <v>0.11082699999999999</v>
      </c>
    </row>
    <row r="7398" spans="18:20" x14ac:dyDescent="0.45">
      <c r="R7398" s="2">
        <v>90.74</v>
      </c>
      <c r="S7398" s="2">
        <v>0.19079570000000001</v>
      </c>
      <c r="T7398" s="2">
        <v>0.11093799999999999</v>
      </c>
    </row>
    <row r="7399" spans="18:20" x14ac:dyDescent="0.45">
      <c r="R7399" s="2">
        <v>90.75</v>
      </c>
      <c r="S7399" s="2">
        <v>0.19096479999999999</v>
      </c>
      <c r="T7399" s="2">
        <v>0.11104899999999999</v>
      </c>
    </row>
    <row r="7400" spans="18:20" x14ac:dyDescent="0.45">
      <c r="R7400" s="2">
        <v>90.76</v>
      </c>
      <c r="S7400" s="2">
        <v>0.19113379999999999</v>
      </c>
      <c r="T7400" s="2">
        <v>0.11115999999999999</v>
      </c>
    </row>
    <row r="7401" spans="18:20" x14ac:dyDescent="0.45">
      <c r="R7401" s="2">
        <v>90.77</v>
      </c>
      <c r="S7401" s="2">
        <v>0.1913028</v>
      </c>
      <c r="T7401" s="2">
        <v>0.11127099999999999</v>
      </c>
    </row>
    <row r="7402" spans="18:20" x14ac:dyDescent="0.45">
      <c r="R7402" s="2">
        <v>90.78</v>
      </c>
      <c r="S7402" s="2">
        <v>0.1914718</v>
      </c>
      <c r="T7402" s="2">
        <v>0.11138199999999999</v>
      </c>
    </row>
    <row r="7403" spans="18:20" x14ac:dyDescent="0.45">
      <c r="R7403" s="2">
        <v>90.79</v>
      </c>
      <c r="S7403" s="2">
        <v>0.1916408</v>
      </c>
      <c r="T7403" s="2">
        <v>0.11149299999999999</v>
      </c>
    </row>
    <row r="7404" spans="18:20" x14ac:dyDescent="0.45">
      <c r="R7404" s="2">
        <v>90.8</v>
      </c>
      <c r="S7404" s="2">
        <v>0.1918098</v>
      </c>
      <c r="T7404" s="2">
        <v>0.11160399999999999</v>
      </c>
    </row>
    <row r="7405" spans="18:20" x14ac:dyDescent="0.45">
      <c r="R7405" s="2">
        <v>90.81</v>
      </c>
      <c r="S7405" s="2">
        <v>0.1919788</v>
      </c>
      <c r="T7405" s="2">
        <v>0.11171499999999999</v>
      </c>
    </row>
    <row r="7406" spans="18:20" x14ac:dyDescent="0.45">
      <c r="R7406" s="2">
        <v>90.82</v>
      </c>
      <c r="S7406" s="2">
        <v>0.19214780000000001</v>
      </c>
      <c r="T7406" s="2">
        <v>0.11182599999999999</v>
      </c>
    </row>
    <row r="7407" spans="18:20" x14ac:dyDescent="0.45">
      <c r="R7407" s="2">
        <v>90.83</v>
      </c>
      <c r="S7407" s="2">
        <v>0.19231680000000001</v>
      </c>
      <c r="T7407" s="2">
        <v>0.11193699999999999</v>
      </c>
    </row>
    <row r="7408" spans="18:20" x14ac:dyDescent="0.45">
      <c r="R7408" s="2">
        <v>90.84</v>
      </c>
      <c r="S7408" s="2">
        <v>0.19248580000000001</v>
      </c>
      <c r="T7408" s="2">
        <v>0.11204799999999999</v>
      </c>
    </row>
    <row r="7409" spans="18:20" x14ac:dyDescent="0.45">
      <c r="R7409" s="2">
        <v>90.85</v>
      </c>
      <c r="S7409" s="2">
        <v>0.19265479999999999</v>
      </c>
      <c r="T7409" s="2">
        <v>0.11215899999999999</v>
      </c>
    </row>
    <row r="7410" spans="18:20" x14ac:dyDescent="0.45">
      <c r="R7410" s="2">
        <v>90.86</v>
      </c>
      <c r="S7410" s="2">
        <v>0.19282389999999999</v>
      </c>
      <c r="T7410" s="2">
        <v>0.11226999999999999</v>
      </c>
    </row>
    <row r="7411" spans="18:20" x14ac:dyDescent="0.45">
      <c r="R7411" s="2">
        <v>90.87</v>
      </c>
      <c r="S7411" s="2">
        <v>0.1929929</v>
      </c>
      <c r="T7411" s="2">
        <v>0.11238099999999999</v>
      </c>
    </row>
    <row r="7412" spans="18:20" x14ac:dyDescent="0.45">
      <c r="R7412" s="2">
        <v>90.88</v>
      </c>
      <c r="S7412" s="2">
        <v>0.1931619</v>
      </c>
      <c r="T7412" s="2">
        <v>0.11249199999999999</v>
      </c>
    </row>
    <row r="7413" spans="18:20" x14ac:dyDescent="0.45">
      <c r="R7413" s="2">
        <v>90.89</v>
      </c>
      <c r="S7413" s="2">
        <v>0.1933309</v>
      </c>
      <c r="T7413" s="2">
        <v>0.11260299999999999</v>
      </c>
    </row>
    <row r="7414" spans="18:20" x14ac:dyDescent="0.45">
      <c r="R7414" s="2">
        <v>90.9</v>
      </c>
      <c r="S7414" s="2">
        <v>0.1934999</v>
      </c>
      <c r="T7414" s="2">
        <v>0.11271399999999999</v>
      </c>
    </row>
    <row r="7415" spans="18:20" x14ac:dyDescent="0.45">
      <c r="R7415" s="2">
        <v>90.91</v>
      </c>
      <c r="S7415" s="2">
        <v>0.1936689</v>
      </c>
      <c r="T7415" s="2">
        <v>0.11282499999999999</v>
      </c>
    </row>
    <row r="7416" spans="18:20" x14ac:dyDescent="0.45">
      <c r="R7416" s="2">
        <v>90.92</v>
      </c>
      <c r="S7416" s="2">
        <v>0.19383790000000001</v>
      </c>
      <c r="T7416" s="2">
        <v>0.11293599999999999</v>
      </c>
    </row>
    <row r="7417" spans="18:20" x14ac:dyDescent="0.45">
      <c r="R7417" s="2">
        <v>90.93</v>
      </c>
      <c r="S7417" s="2">
        <v>0.19400690000000001</v>
      </c>
      <c r="T7417" s="2">
        <v>0.11304699999999999</v>
      </c>
    </row>
    <row r="7418" spans="18:20" x14ac:dyDescent="0.45">
      <c r="R7418" s="2">
        <v>90.94</v>
      </c>
      <c r="S7418" s="2">
        <v>0.19417590000000001</v>
      </c>
      <c r="T7418" s="2">
        <v>0.11315799999999999</v>
      </c>
    </row>
    <row r="7419" spans="18:20" x14ac:dyDescent="0.45">
      <c r="R7419" s="2">
        <v>90.95</v>
      </c>
      <c r="S7419" s="2">
        <v>0.19434499999999999</v>
      </c>
      <c r="T7419" s="2">
        <v>0.11326899999999999</v>
      </c>
    </row>
    <row r="7420" spans="18:20" x14ac:dyDescent="0.45">
      <c r="R7420" s="2">
        <v>90.96</v>
      </c>
      <c r="S7420" s="2">
        <v>0.19451399999999999</v>
      </c>
      <c r="T7420" s="2">
        <v>0.11337999999999999</v>
      </c>
    </row>
    <row r="7421" spans="18:20" x14ac:dyDescent="0.45">
      <c r="R7421" s="2">
        <v>90.97</v>
      </c>
      <c r="S7421" s="2">
        <v>0.19468299999999999</v>
      </c>
      <c r="T7421" s="2">
        <v>0.11349099999999999</v>
      </c>
    </row>
    <row r="7422" spans="18:20" x14ac:dyDescent="0.45">
      <c r="R7422" s="2">
        <v>90.98</v>
      </c>
      <c r="S7422" s="2">
        <v>0.194852</v>
      </c>
      <c r="T7422" s="2">
        <v>0.11360199999999999</v>
      </c>
    </row>
    <row r="7423" spans="18:20" x14ac:dyDescent="0.45">
      <c r="R7423" s="2">
        <v>90.99</v>
      </c>
      <c r="S7423" s="2">
        <v>0.195021</v>
      </c>
      <c r="T7423" s="2">
        <v>0.11371299999999999</v>
      </c>
    </row>
    <row r="7424" spans="18:20" x14ac:dyDescent="0.45">
      <c r="R7424" s="2">
        <v>91</v>
      </c>
      <c r="S7424" s="2">
        <v>0.19519</v>
      </c>
      <c r="T7424" s="2">
        <v>0.11382399999999999</v>
      </c>
    </row>
    <row r="7425" spans="18:20" x14ac:dyDescent="0.45">
      <c r="R7425" s="2">
        <v>91.01</v>
      </c>
      <c r="S7425" s="2">
        <v>0.19537289999999999</v>
      </c>
      <c r="T7425" s="2">
        <v>0.11394700000000001</v>
      </c>
    </row>
    <row r="7426" spans="18:20" x14ac:dyDescent="0.45">
      <c r="R7426" s="2">
        <v>91.02</v>
      </c>
      <c r="S7426" s="2">
        <v>0.1955558</v>
      </c>
      <c r="T7426" s="2">
        <v>0.11407</v>
      </c>
    </row>
    <row r="7427" spans="18:20" x14ac:dyDescent="0.45">
      <c r="R7427" s="2">
        <v>91.03</v>
      </c>
      <c r="S7427" s="2">
        <v>0.19573879999999999</v>
      </c>
      <c r="T7427" s="2">
        <v>0.114193</v>
      </c>
    </row>
    <row r="7428" spans="18:20" x14ac:dyDescent="0.45">
      <c r="R7428" s="2">
        <v>91.04</v>
      </c>
      <c r="S7428" s="2">
        <v>0.1959217</v>
      </c>
      <c r="T7428" s="2">
        <v>0.114316</v>
      </c>
    </row>
    <row r="7429" spans="18:20" x14ac:dyDescent="0.45">
      <c r="R7429" s="2">
        <v>91.05</v>
      </c>
      <c r="S7429" s="2">
        <v>0.19610459999999999</v>
      </c>
      <c r="T7429" s="2">
        <v>0.114439</v>
      </c>
    </row>
    <row r="7430" spans="18:20" x14ac:dyDescent="0.45">
      <c r="R7430" s="2">
        <v>91.06</v>
      </c>
      <c r="S7430" s="2">
        <v>0.1962875</v>
      </c>
      <c r="T7430" s="2">
        <v>0.1145621</v>
      </c>
    </row>
    <row r="7431" spans="18:20" x14ac:dyDescent="0.45">
      <c r="R7431" s="2">
        <v>91.07</v>
      </c>
      <c r="S7431" s="2">
        <v>0.19647039999999999</v>
      </c>
      <c r="T7431" s="2">
        <v>0.1146851</v>
      </c>
    </row>
    <row r="7432" spans="18:20" x14ac:dyDescent="0.45">
      <c r="R7432" s="2">
        <v>91.08</v>
      </c>
      <c r="S7432" s="2">
        <v>0.19665340000000001</v>
      </c>
      <c r="T7432" s="2">
        <v>0.1148081</v>
      </c>
    </row>
    <row r="7433" spans="18:20" x14ac:dyDescent="0.45">
      <c r="R7433" s="2">
        <v>91.09</v>
      </c>
      <c r="S7433" s="2">
        <v>0.19683629999999999</v>
      </c>
      <c r="T7433" s="2">
        <v>0.11493109999999999</v>
      </c>
    </row>
    <row r="7434" spans="18:20" x14ac:dyDescent="0.45">
      <c r="R7434" s="2">
        <v>91.1</v>
      </c>
      <c r="S7434" s="2">
        <v>0.19701920000000001</v>
      </c>
      <c r="T7434" s="2">
        <v>0.11505410000000001</v>
      </c>
    </row>
    <row r="7435" spans="18:20" x14ac:dyDescent="0.45">
      <c r="R7435" s="2">
        <v>91.11</v>
      </c>
      <c r="S7435" s="2">
        <v>0.19720209999999999</v>
      </c>
      <c r="T7435" s="2">
        <v>0.1151771</v>
      </c>
    </row>
    <row r="7436" spans="18:20" x14ac:dyDescent="0.45">
      <c r="R7436" s="2">
        <v>91.12</v>
      </c>
      <c r="S7436" s="2">
        <v>0.197385</v>
      </c>
      <c r="T7436" s="2">
        <v>0.1153001</v>
      </c>
    </row>
    <row r="7437" spans="18:20" x14ac:dyDescent="0.45">
      <c r="R7437" s="2">
        <v>91.13</v>
      </c>
      <c r="S7437" s="2">
        <v>0.19756799999999999</v>
      </c>
      <c r="T7437" s="2">
        <v>0.1154231</v>
      </c>
    </row>
    <row r="7438" spans="18:20" x14ac:dyDescent="0.45">
      <c r="R7438" s="2">
        <v>91.14</v>
      </c>
      <c r="S7438" s="2">
        <v>0.19775090000000001</v>
      </c>
      <c r="T7438" s="2">
        <v>0.1155461</v>
      </c>
    </row>
    <row r="7439" spans="18:20" x14ac:dyDescent="0.45">
      <c r="R7439" s="2">
        <v>91.15</v>
      </c>
      <c r="S7439" s="2">
        <v>0.19793379999999999</v>
      </c>
      <c r="T7439" s="2">
        <v>0.1156692</v>
      </c>
    </row>
    <row r="7440" spans="18:20" x14ac:dyDescent="0.45">
      <c r="R7440" s="2">
        <v>91.16</v>
      </c>
      <c r="S7440" s="2">
        <v>0.19811670000000001</v>
      </c>
      <c r="T7440" s="2">
        <v>0.1157922</v>
      </c>
    </row>
    <row r="7441" spans="18:20" x14ac:dyDescent="0.45">
      <c r="R7441" s="2">
        <v>91.17</v>
      </c>
      <c r="S7441" s="2">
        <v>0.19829959999999999</v>
      </c>
      <c r="T7441" s="2">
        <v>0.1159152</v>
      </c>
    </row>
    <row r="7442" spans="18:20" x14ac:dyDescent="0.45">
      <c r="R7442" s="2">
        <v>91.18</v>
      </c>
      <c r="S7442" s="2">
        <v>0.19848260000000001</v>
      </c>
      <c r="T7442" s="2">
        <v>0.11603819999999999</v>
      </c>
    </row>
    <row r="7443" spans="18:20" x14ac:dyDescent="0.45">
      <c r="R7443" s="2">
        <v>91.19</v>
      </c>
      <c r="S7443" s="2">
        <v>0.19866549999999999</v>
      </c>
      <c r="T7443" s="2">
        <v>0.11616120000000001</v>
      </c>
    </row>
    <row r="7444" spans="18:20" x14ac:dyDescent="0.45">
      <c r="R7444" s="2">
        <v>91.2</v>
      </c>
      <c r="S7444" s="2">
        <v>0.19884840000000001</v>
      </c>
      <c r="T7444" s="2">
        <v>0.1162842</v>
      </c>
    </row>
    <row r="7445" spans="18:20" x14ac:dyDescent="0.45">
      <c r="R7445" s="2">
        <v>91.21</v>
      </c>
      <c r="S7445" s="2">
        <v>0.19903129999999999</v>
      </c>
      <c r="T7445" s="2">
        <v>0.1164072</v>
      </c>
    </row>
    <row r="7446" spans="18:20" x14ac:dyDescent="0.45">
      <c r="R7446" s="2">
        <v>91.22</v>
      </c>
      <c r="S7446" s="2">
        <v>0.19921420000000001</v>
      </c>
      <c r="T7446" s="2">
        <v>0.1165302</v>
      </c>
    </row>
    <row r="7447" spans="18:20" x14ac:dyDescent="0.45">
      <c r="R7447" s="2">
        <v>91.23</v>
      </c>
      <c r="S7447" s="2">
        <v>0.1993972</v>
      </c>
      <c r="T7447" s="2">
        <v>0.1166532</v>
      </c>
    </row>
    <row r="7448" spans="18:20" x14ac:dyDescent="0.45">
      <c r="R7448" s="2">
        <v>91.24</v>
      </c>
      <c r="S7448" s="2">
        <v>0.19958010000000001</v>
      </c>
      <c r="T7448" s="2">
        <v>0.1167762</v>
      </c>
    </row>
    <row r="7449" spans="18:20" x14ac:dyDescent="0.45">
      <c r="R7449" s="2">
        <v>91.25</v>
      </c>
      <c r="S7449" s="2">
        <v>0.199763</v>
      </c>
      <c r="T7449" s="2">
        <v>0.1168993</v>
      </c>
    </row>
    <row r="7450" spans="18:20" x14ac:dyDescent="0.45">
      <c r="R7450" s="2">
        <v>91.26</v>
      </c>
      <c r="S7450" s="2">
        <v>0.19994590000000001</v>
      </c>
      <c r="T7450" s="2">
        <v>0.1170223</v>
      </c>
    </row>
    <row r="7451" spans="18:20" x14ac:dyDescent="0.45">
      <c r="R7451" s="2">
        <v>91.27</v>
      </c>
      <c r="S7451" s="2">
        <v>0.2001288</v>
      </c>
      <c r="T7451" s="2">
        <v>0.11714529999999999</v>
      </c>
    </row>
    <row r="7452" spans="18:20" x14ac:dyDescent="0.45">
      <c r="R7452" s="2">
        <v>91.28</v>
      </c>
      <c r="S7452" s="2">
        <v>0.20031180000000001</v>
      </c>
      <c r="T7452" s="2">
        <v>0.11726830000000001</v>
      </c>
    </row>
    <row r="7453" spans="18:20" x14ac:dyDescent="0.45">
      <c r="R7453" s="2">
        <v>91.29</v>
      </c>
      <c r="S7453" s="2">
        <v>0.2004947</v>
      </c>
      <c r="T7453" s="2">
        <v>0.1173913</v>
      </c>
    </row>
    <row r="7454" spans="18:20" x14ac:dyDescent="0.45">
      <c r="R7454" s="2">
        <v>91.3</v>
      </c>
      <c r="S7454" s="2">
        <v>0.20067760000000001</v>
      </c>
      <c r="T7454" s="2">
        <v>0.1175143</v>
      </c>
    </row>
    <row r="7455" spans="18:20" x14ac:dyDescent="0.45">
      <c r="R7455" s="2">
        <v>91.31</v>
      </c>
      <c r="S7455" s="2">
        <v>0.2008605</v>
      </c>
      <c r="T7455" s="2">
        <v>0.1176373</v>
      </c>
    </row>
    <row r="7456" spans="18:20" x14ac:dyDescent="0.45">
      <c r="R7456" s="2">
        <v>91.32</v>
      </c>
      <c r="S7456" s="2">
        <v>0.20104340000000001</v>
      </c>
      <c r="T7456" s="2">
        <v>0.1177603</v>
      </c>
    </row>
    <row r="7457" spans="18:20" x14ac:dyDescent="0.45">
      <c r="R7457" s="2">
        <v>91.33</v>
      </c>
      <c r="S7457" s="2">
        <v>0.2012264</v>
      </c>
      <c r="T7457" s="2">
        <v>0.1178833</v>
      </c>
    </row>
    <row r="7458" spans="18:20" x14ac:dyDescent="0.45">
      <c r="R7458" s="2">
        <v>91.34</v>
      </c>
      <c r="S7458" s="2">
        <v>0.20140930000000001</v>
      </c>
      <c r="T7458" s="2">
        <v>0.11800629999999999</v>
      </c>
    </row>
    <row r="7459" spans="18:20" x14ac:dyDescent="0.45">
      <c r="R7459" s="2">
        <v>91.35</v>
      </c>
      <c r="S7459" s="2">
        <v>0.2015922</v>
      </c>
      <c r="T7459" s="2">
        <v>0.11812930000000001</v>
      </c>
    </row>
    <row r="7460" spans="18:20" x14ac:dyDescent="0.45">
      <c r="R7460" s="2">
        <v>91.36</v>
      </c>
      <c r="S7460" s="2">
        <v>0.20177510000000001</v>
      </c>
      <c r="T7460" s="2">
        <v>0.11825239999999999</v>
      </c>
    </row>
    <row r="7461" spans="18:20" x14ac:dyDescent="0.45">
      <c r="R7461" s="2">
        <v>91.37</v>
      </c>
      <c r="S7461" s="2">
        <v>0.201958</v>
      </c>
      <c r="T7461" s="2">
        <v>0.11837540000000001</v>
      </c>
    </row>
    <row r="7462" spans="18:20" x14ac:dyDescent="0.45">
      <c r="R7462" s="2">
        <v>91.38</v>
      </c>
      <c r="S7462" s="2">
        <v>0.20214099999999999</v>
      </c>
      <c r="T7462" s="2">
        <v>0.1184984</v>
      </c>
    </row>
    <row r="7463" spans="18:20" x14ac:dyDescent="0.45">
      <c r="R7463" s="2">
        <v>91.39</v>
      </c>
      <c r="S7463" s="2">
        <v>0.2023239</v>
      </c>
      <c r="T7463" s="2">
        <v>0.1186214</v>
      </c>
    </row>
    <row r="7464" spans="18:20" x14ac:dyDescent="0.45">
      <c r="R7464" s="2">
        <v>91.4</v>
      </c>
      <c r="S7464" s="2">
        <v>0.20250679999999999</v>
      </c>
      <c r="T7464" s="2">
        <v>0.1187444</v>
      </c>
    </row>
    <row r="7465" spans="18:20" x14ac:dyDescent="0.45">
      <c r="R7465" s="2">
        <v>91.41</v>
      </c>
      <c r="S7465" s="2">
        <v>0.2026897</v>
      </c>
      <c r="T7465" s="2">
        <v>0.1188674</v>
      </c>
    </row>
    <row r="7466" spans="18:20" x14ac:dyDescent="0.45">
      <c r="R7466" s="2">
        <v>91.42</v>
      </c>
      <c r="S7466" s="2">
        <v>0.20287259999999999</v>
      </c>
      <c r="T7466" s="2">
        <v>0.1189904</v>
      </c>
    </row>
    <row r="7467" spans="18:20" x14ac:dyDescent="0.45">
      <c r="R7467" s="2">
        <v>91.43</v>
      </c>
      <c r="S7467" s="2">
        <v>0.2030556</v>
      </c>
      <c r="T7467" s="2">
        <v>0.11911339999999999</v>
      </c>
    </row>
    <row r="7468" spans="18:20" x14ac:dyDescent="0.45">
      <c r="R7468" s="2">
        <v>91.44</v>
      </c>
      <c r="S7468" s="2">
        <v>0.20323849999999999</v>
      </c>
      <c r="T7468" s="2">
        <v>0.11923640000000001</v>
      </c>
    </row>
    <row r="7469" spans="18:20" x14ac:dyDescent="0.45">
      <c r="R7469" s="2">
        <v>91.45</v>
      </c>
      <c r="S7469" s="2">
        <v>0.2034214</v>
      </c>
      <c r="T7469" s="2">
        <v>0.11935949999999999</v>
      </c>
    </row>
    <row r="7470" spans="18:20" x14ac:dyDescent="0.45">
      <c r="R7470" s="2">
        <v>91.46</v>
      </c>
      <c r="S7470" s="2">
        <v>0.20360429999999999</v>
      </c>
      <c r="T7470" s="2">
        <v>0.11948250000000001</v>
      </c>
    </row>
    <row r="7471" spans="18:20" x14ac:dyDescent="0.45">
      <c r="R7471" s="2">
        <v>91.47</v>
      </c>
      <c r="S7471" s="2">
        <v>0.2037872</v>
      </c>
      <c r="T7471" s="2">
        <v>0.1196055</v>
      </c>
    </row>
    <row r="7472" spans="18:20" x14ac:dyDescent="0.45">
      <c r="R7472" s="2">
        <v>91.48</v>
      </c>
      <c r="S7472" s="2">
        <v>0.20397019999999999</v>
      </c>
      <c r="T7472" s="2">
        <v>0.1197285</v>
      </c>
    </row>
    <row r="7473" spans="18:20" x14ac:dyDescent="0.45">
      <c r="R7473" s="2">
        <v>91.49</v>
      </c>
      <c r="S7473" s="2">
        <v>0.2041531</v>
      </c>
      <c r="T7473" s="2">
        <v>0.1198515</v>
      </c>
    </row>
    <row r="7474" spans="18:20" x14ac:dyDescent="0.45">
      <c r="R7474" s="2">
        <v>91.5</v>
      </c>
      <c r="S7474" s="2">
        <v>0.20433599999999999</v>
      </c>
      <c r="T7474" s="2">
        <v>0.1199745</v>
      </c>
    </row>
    <row r="7475" spans="18:20" x14ac:dyDescent="0.45">
      <c r="R7475" s="2">
        <v>91.51</v>
      </c>
      <c r="S7475" s="2">
        <v>0.2045189</v>
      </c>
      <c r="T7475" s="2">
        <v>0.1200975</v>
      </c>
    </row>
    <row r="7476" spans="18:20" x14ac:dyDescent="0.45">
      <c r="R7476" s="2">
        <v>91.52</v>
      </c>
      <c r="S7476" s="2">
        <v>0.20470179999999999</v>
      </c>
      <c r="T7476" s="2">
        <v>0.12022049999999999</v>
      </c>
    </row>
    <row r="7477" spans="18:20" x14ac:dyDescent="0.45">
      <c r="R7477" s="2">
        <v>91.53</v>
      </c>
      <c r="S7477" s="2">
        <v>0.20488480000000001</v>
      </c>
      <c r="T7477" s="2">
        <v>0.12034350000000001</v>
      </c>
    </row>
    <row r="7478" spans="18:20" x14ac:dyDescent="0.45">
      <c r="R7478" s="2">
        <v>91.54</v>
      </c>
      <c r="S7478" s="2">
        <v>0.20506769999999999</v>
      </c>
      <c r="T7478" s="2">
        <v>0.1204665</v>
      </c>
    </row>
    <row r="7479" spans="18:20" x14ac:dyDescent="0.45">
      <c r="R7479" s="2">
        <v>91.55</v>
      </c>
      <c r="S7479" s="2">
        <v>0.20525060000000001</v>
      </c>
      <c r="T7479" s="2">
        <v>0.1205895</v>
      </c>
    </row>
    <row r="7480" spans="18:20" x14ac:dyDescent="0.45">
      <c r="R7480" s="2">
        <v>91.56</v>
      </c>
      <c r="S7480" s="2">
        <v>0.20543349999999999</v>
      </c>
      <c r="T7480" s="2">
        <v>0.1207126</v>
      </c>
    </row>
    <row r="7481" spans="18:20" x14ac:dyDescent="0.45">
      <c r="R7481" s="2">
        <v>91.57</v>
      </c>
      <c r="S7481" s="2">
        <v>0.2056164</v>
      </c>
      <c r="T7481" s="2">
        <v>0.1208356</v>
      </c>
    </row>
    <row r="7482" spans="18:20" x14ac:dyDescent="0.45">
      <c r="R7482" s="2">
        <v>91.58</v>
      </c>
      <c r="S7482" s="2">
        <v>0.20579939999999999</v>
      </c>
      <c r="T7482" s="2">
        <v>0.1209586</v>
      </c>
    </row>
    <row r="7483" spans="18:20" x14ac:dyDescent="0.45">
      <c r="R7483" s="2">
        <v>91.59</v>
      </c>
      <c r="S7483" s="2">
        <v>0.20598230000000001</v>
      </c>
      <c r="T7483" s="2">
        <v>0.1210816</v>
      </c>
    </row>
    <row r="7484" spans="18:20" x14ac:dyDescent="0.45">
      <c r="R7484" s="2">
        <v>91.6</v>
      </c>
      <c r="S7484" s="2">
        <v>0.20616519999999999</v>
      </c>
      <c r="T7484" s="2">
        <v>0.1212046</v>
      </c>
    </row>
    <row r="7485" spans="18:20" x14ac:dyDescent="0.45">
      <c r="R7485" s="2">
        <v>91.61</v>
      </c>
      <c r="S7485" s="2">
        <v>0.20634810000000001</v>
      </c>
      <c r="T7485" s="2">
        <v>0.12132759999999999</v>
      </c>
    </row>
    <row r="7486" spans="18:20" x14ac:dyDescent="0.45">
      <c r="R7486" s="2">
        <v>91.62</v>
      </c>
      <c r="S7486" s="2">
        <v>0.20653099999999999</v>
      </c>
      <c r="T7486" s="2">
        <v>0.12145060000000001</v>
      </c>
    </row>
    <row r="7487" spans="18:20" x14ac:dyDescent="0.45">
      <c r="R7487" s="2">
        <v>91.63</v>
      </c>
      <c r="S7487" s="2">
        <v>0.20671400000000001</v>
      </c>
      <c r="T7487" s="2">
        <v>0.1215736</v>
      </c>
    </row>
    <row r="7488" spans="18:20" x14ac:dyDescent="0.45">
      <c r="R7488" s="2">
        <v>91.64</v>
      </c>
      <c r="S7488" s="2">
        <v>0.20689689999999999</v>
      </c>
      <c r="T7488" s="2">
        <v>0.1216966</v>
      </c>
    </row>
    <row r="7489" spans="18:20" x14ac:dyDescent="0.45">
      <c r="R7489" s="2">
        <v>91.65</v>
      </c>
      <c r="S7489" s="2">
        <v>0.20707980000000001</v>
      </c>
      <c r="T7489" s="2">
        <v>0.1218197</v>
      </c>
    </row>
    <row r="7490" spans="18:20" x14ac:dyDescent="0.45">
      <c r="R7490" s="2">
        <v>91.66</v>
      </c>
      <c r="S7490" s="2">
        <v>0.20726269999999999</v>
      </c>
      <c r="T7490" s="2">
        <v>0.1219427</v>
      </c>
    </row>
    <row r="7491" spans="18:20" x14ac:dyDescent="0.45">
      <c r="R7491" s="2">
        <v>91.67</v>
      </c>
      <c r="S7491" s="2">
        <v>0.20744560000000001</v>
      </c>
      <c r="T7491" s="2">
        <v>0.1220657</v>
      </c>
    </row>
    <row r="7492" spans="18:20" x14ac:dyDescent="0.45">
      <c r="R7492" s="2">
        <v>91.68</v>
      </c>
      <c r="S7492" s="2">
        <v>0.2076286</v>
      </c>
      <c r="T7492" s="2">
        <v>0.1221887</v>
      </c>
    </row>
    <row r="7493" spans="18:20" x14ac:dyDescent="0.45">
      <c r="R7493" s="2">
        <v>91.69</v>
      </c>
      <c r="S7493" s="2">
        <v>0.20781150000000001</v>
      </c>
      <c r="T7493" s="2">
        <v>0.1223117</v>
      </c>
    </row>
    <row r="7494" spans="18:20" x14ac:dyDescent="0.45">
      <c r="R7494" s="2">
        <v>91.7</v>
      </c>
      <c r="S7494" s="2">
        <v>0.2079944</v>
      </c>
      <c r="T7494" s="2">
        <v>0.12243469999999999</v>
      </c>
    </row>
    <row r="7495" spans="18:20" x14ac:dyDescent="0.45">
      <c r="R7495" s="2">
        <v>91.71</v>
      </c>
      <c r="S7495" s="2">
        <v>0.20817730000000001</v>
      </c>
      <c r="T7495" s="2">
        <v>0.12255770000000001</v>
      </c>
    </row>
    <row r="7496" spans="18:20" x14ac:dyDescent="0.45">
      <c r="R7496" s="2">
        <v>91.72</v>
      </c>
      <c r="S7496" s="2">
        <v>0.2083602</v>
      </c>
      <c r="T7496" s="2">
        <v>0.1226807</v>
      </c>
    </row>
    <row r="7497" spans="18:20" x14ac:dyDescent="0.45">
      <c r="R7497" s="2">
        <v>91.73</v>
      </c>
      <c r="S7497" s="2">
        <v>0.20854320000000001</v>
      </c>
      <c r="T7497" s="2">
        <v>0.1228037</v>
      </c>
    </row>
    <row r="7498" spans="18:20" x14ac:dyDescent="0.45">
      <c r="R7498" s="2">
        <v>91.74</v>
      </c>
      <c r="S7498" s="2">
        <v>0.2087261</v>
      </c>
      <c r="T7498" s="2">
        <v>0.1229267</v>
      </c>
    </row>
    <row r="7499" spans="18:20" x14ac:dyDescent="0.45">
      <c r="R7499" s="2">
        <v>91.75</v>
      </c>
      <c r="S7499" s="2">
        <v>0.20890900000000001</v>
      </c>
      <c r="T7499" s="2">
        <v>0.1230497</v>
      </c>
    </row>
    <row r="7500" spans="18:20" x14ac:dyDescent="0.45">
      <c r="R7500" s="2">
        <v>91.76</v>
      </c>
      <c r="S7500" s="2">
        <v>0.2090919</v>
      </c>
      <c r="T7500" s="2">
        <v>0.1231728</v>
      </c>
    </row>
    <row r="7501" spans="18:20" x14ac:dyDescent="0.45">
      <c r="R7501" s="2">
        <v>91.77</v>
      </c>
      <c r="S7501" s="2">
        <v>0.20927480000000001</v>
      </c>
      <c r="T7501" s="2">
        <v>0.1232958</v>
      </c>
    </row>
    <row r="7502" spans="18:20" x14ac:dyDescent="0.45">
      <c r="R7502" s="2">
        <v>91.78</v>
      </c>
      <c r="S7502" s="2">
        <v>0.2094578</v>
      </c>
      <c r="T7502" s="2">
        <v>0.1234188</v>
      </c>
    </row>
    <row r="7503" spans="18:20" x14ac:dyDescent="0.45">
      <c r="R7503" s="2">
        <v>91.79</v>
      </c>
      <c r="S7503" s="2">
        <v>0.20964070000000001</v>
      </c>
      <c r="T7503" s="2">
        <v>0.12354179999999999</v>
      </c>
    </row>
    <row r="7504" spans="18:20" x14ac:dyDescent="0.45">
      <c r="R7504" s="2">
        <v>91.8</v>
      </c>
      <c r="S7504" s="2">
        <v>0.2098236</v>
      </c>
      <c r="T7504" s="2">
        <v>0.12366480000000001</v>
      </c>
    </row>
    <row r="7505" spans="18:20" x14ac:dyDescent="0.45">
      <c r="R7505" s="2">
        <v>91.81</v>
      </c>
      <c r="S7505" s="2">
        <v>0.21000650000000001</v>
      </c>
      <c r="T7505" s="2">
        <v>0.1237878</v>
      </c>
    </row>
    <row r="7506" spans="18:20" x14ac:dyDescent="0.45">
      <c r="R7506" s="2">
        <v>91.82</v>
      </c>
      <c r="S7506" s="2">
        <v>0.2101894</v>
      </c>
      <c r="T7506" s="2">
        <v>0.1239108</v>
      </c>
    </row>
    <row r="7507" spans="18:20" x14ac:dyDescent="0.45">
      <c r="R7507" s="2">
        <v>91.83</v>
      </c>
      <c r="S7507" s="2">
        <v>0.21037239999999999</v>
      </c>
      <c r="T7507" s="2">
        <v>0.1240338</v>
      </c>
    </row>
    <row r="7508" spans="18:20" x14ac:dyDescent="0.45">
      <c r="R7508" s="2">
        <v>91.84</v>
      </c>
      <c r="S7508" s="2">
        <v>0.2105553</v>
      </c>
      <c r="T7508" s="2">
        <v>0.1241568</v>
      </c>
    </row>
    <row r="7509" spans="18:20" x14ac:dyDescent="0.45">
      <c r="R7509" s="2">
        <v>91.85</v>
      </c>
      <c r="S7509" s="2">
        <v>0.21073819999999999</v>
      </c>
      <c r="T7509" s="2">
        <v>0.1242798</v>
      </c>
    </row>
    <row r="7510" spans="18:20" x14ac:dyDescent="0.45">
      <c r="R7510" s="2">
        <v>91.86</v>
      </c>
      <c r="S7510" s="2">
        <v>0.2109211</v>
      </c>
      <c r="T7510" s="2">
        <v>0.1244029</v>
      </c>
    </row>
    <row r="7511" spans="18:20" x14ac:dyDescent="0.45">
      <c r="R7511" s="2">
        <v>91.87</v>
      </c>
      <c r="S7511" s="2">
        <v>0.21110400000000001</v>
      </c>
      <c r="T7511" s="2">
        <v>0.12452589999999999</v>
      </c>
    </row>
    <row r="7512" spans="18:20" x14ac:dyDescent="0.45">
      <c r="R7512" s="2">
        <v>91.88</v>
      </c>
      <c r="S7512" s="2">
        <v>0.211287</v>
      </c>
      <c r="T7512" s="2">
        <v>0.12464890000000001</v>
      </c>
    </row>
    <row r="7513" spans="18:20" x14ac:dyDescent="0.45">
      <c r="R7513" s="2">
        <v>91.89</v>
      </c>
      <c r="S7513" s="2">
        <v>0.21146989999999999</v>
      </c>
      <c r="T7513" s="2">
        <v>0.12477190000000001</v>
      </c>
    </row>
    <row r="7514" spans="18:20" x14ac:dyDescent="0.45">
      <c r="R7514" s="2">
        <v>91.9</v>
      </c>
      <c r="S7514" s="2">
        <v>0.2116528</v>
      </c>
      <c r="T7514" s="2">
        <v>0.1248949</v>
      </c>
    </row>
    <row r="7515" spans="18:20" x14ac:dyDescent="0.45">
      <c r="R7515" s="2">
        <v>91.91</v>
      </c>
      <c r="S7515" s="2">
        <v>0.21183569999999999</v>
      </c>
      <c r="T7515" s="2">
        <v>0.12501789999999999</v>
      </c>
    </row>
    <row r="7516" spans="18:20" x14ac:dyDescent="0.45">
      <c r="R7516" s="2">
        <v>91.92</v>
      </c>
      <c r="S7516" s="2">
        <v>0.2120186</v>
      </c>
      <c r="T7516" s="2">
        <v>0.1251409</v>
      </c>
    </row>
    <row r="7517" spans="18:20" x14ac:dyDescent="0.45">
      <c r="R7517" s="2">
        <v>91.93</v>
      </c>
      <c r="S7517" s="2">
        <v>0.21220159999999999</v>
      </c>
      <c r="T7517" s="2">
        <v>0.12526390000000001</v>
      </c>
    </row>
    <row r="7518" spans="18:20" x14ac:dyDescent="0.45">
      <c r="R7518" s="2">
        <v>91.94</v>
      </c>
      <c r="S7518" s="2">
        <v>0.2123845</v>
      </c>
      <c r="T7518" s="2">
        <v>0.1253869</v>
      </c>
    </row>
    <row r="7519" spans="18:20" x14ac:dyDescent="0.45">
      <c r="R7519" s="2">
        <v>91.95</v>
      </c>
      <c r="S7519" s="2">
        <v>0.21256739999999999</v>
      </c>
      <c r="T7519" s="2">
        <v>0.12551000000000001</v>
      </c>
    </row>
    <row r="7520" spans="18:20" x14ac:dyDescent="0.45">
      <c r="R7520" s="2">
        <v>91.96</v>
      </c>
      <c r="S7520" s="2">
        <v>0.2127503</v>
      </c>
      <c r="T7520" s="2">
        <v>0.12563299999999999</v>
      </c>
    </row>
    <row r="7521" spans="18:20" x14ac:dyDescent="0.45">
      <c r="R7521" s="2">
        <v>91.97</v>
      </c>
      <c r="S7521" s="2">
        <v>0.21293319999999999</v>
      </c>
      <c r="T7521" s="2">
        <v>0.12575600000000001</v>
      </c>
    </row>
    <row r="7522" spans="18:20" x14ac:dyDescent="0.45">
      <c r="R7522" s="2">
        <v>91.98</v>
      </c>
      <c r="S7522" s="2">
        <v>0.21311620000000001</v>
      </c>
      <c r="T7522" s="2">
        <v>0.12587899999999999</v>
      </c>
    </row>
    <row r="7523" spans="18:20" x14ac:dyDescent="0.45">
      <c r="R7523" s="2">
        <v>91.99</v>
      </c>
      <c r="S7523" s="2">
        <v>0.21329909999999999</v>
      </c>
      <c r="T7523" s="2">
        <v>0.126002</v>
      </c>
    </row>
    <row r="7524" spans="18:20" x14ac:dyDescent="0.45">
      <c r="R7524" s="2">
        <v>92</v>
      </c>
      <c r="S7524" s="2">
        <v>0.21348200000000001</v>
      </c>
      <c r="T7524" s="2">
        <v>0.12612499999999999</v>
      </c>
    </row>
    <row r="7525" spans="18:20" x14ac:dyDescent="0.45">
      <c r="R7525" s="2">
        <v>92.01</v>
      </c>
      <c r="S7525" s="2">
        <v>0.2136798</v>
      </c>
      <c r="T7525" s="2">
        <v>0.12626129999999999</v>
      </c>
    </row>
    <row r="7526" spans="18:20" x14ac:dyDescent="0.45">
      <c r="R7526" s="2">
        <v>92.02</v>
      </c>
      <c r="S7526" s="2">
        <v>0.2138775</v>
      </c>
      <c r="T7526" s="2">
        <v>0.1263976</v>
      </c>
    </row>
    <row r="7527" spans="18:20" x14ac:dyDescent="0.45">
      <c r="R7527" s="2">
        <v>92.03</v>
      </c>
      <c r="S7527" s="2">
        <v>0.2140753</v>
      </c>
      <c r="T7527" s="2">
        <v>0.1265339</v>
      </c>
    </row>
    <row r="7528" spans="18:20" x14ac:dyDescent="0.45">
      <c r="R7528" s="2">
        <v>92.04</v>
      </c>
      <c r="S7528" s="2">
        <v>0.21427299999999999</v>
      </c>
      <c r="T7528" s="2">
        <v>0.12667020000000001</v>
      </c>
    </row>
    <row r="7529" spans="18:20" x14ac:dyDescent="0.45">
      <c r="R7529" s="2">
        <v>92.05</v>
      </c>
      <c r="S7529" s="2">
        <v>0.21447069999999999</v>
      </c>
      <c r="T7529" s="2">
        <v>0.12680649999999999</v>
      </c>
    </row>
    <row r="7530" spans="18:20" x14ac:dyDescent="0.45">
      <c r="R7530" s="2">
        <v>92.06</v>
      </c>
      <c r="S7530" s="2">
        <v>0.21466850000000001</v>
      </c>
      <c r="T7530" s="2">
        <v>0.1269429</v>
      </c>
    </row>
    <row r="7531" spans="18:20" x14ac:dyDescent="0.45">
      <c r="R7531" s="2">
        <v>92.07</v>
      </c>
      <c r="S7531" s="2">
        <v>0.21486620000000001</v>
      </c>
      <c r="T7531" s="2">
        <v>0.1270792</v>
      </c>
    </row>
    <row r="7532" spans="18:20" x14ac:dyDescent="0.45">
      <c r="R7532" s="2">
        <v>92.08</v>
      </c>
      <c r="S7532" s="2">
        <v>0.21506400000000001</v>
      </c>
      <c r="T7532" s="2">
        <v>0.12721550000000001</v>
      </c>
    </row>
    <row r="7533" spans="18:20" x14ac:dyDescent="0.45">
      <c r="R7533" s="2">
        <v>92.09</v>
      </c>
      <c r="S7533" s="2">
        <v>0.2152618</v>
      </c>
      <c r="T7533" s="2">
        <v>0.12735179999999999</v>
      </c>
    </row>
    <row r="7534" spans="18:20" x14ac:dyDescent="0.45">
      <c r="R7534" s="2">
        <v>92.1</v>
      </c>
      <c r="S7534" s="2">
        <v>0.2154595</v>
      </c>
      <c r="T7534" s="2">
        <v>0.12748809999999999</v>
      </c>
    </row>
    <row r="7535" spans="18:20" x14ac:dyDescent="0.45">
      <c r="R7535" s="2">
        <v>92.11</v>
      </c>
      <c r="S7535" s="2">
        <v>0.21565719999999999</v>
      </c>
      <c r="T7535" s="2">
        <v>0.1276244</v>
      </c>
    </row>
    <row r="7536" spans="18:20" x14ac:dyDescent="0.45">
      <c r="R7536" s="2">
        <v>92.12</v>
      </c>
      <c r="S7536" s="2">
        <v>0.21585499999999999</v>
      </c>
      <c r="T7536" s="2">
        <v>0.1277607</v>
      </c>
    </row>
    <row r="7537" spans="18:20" x14ac:dyDescent="0.45">
      <c r="R7537" s="2">
        <v>92.13</v>
      </c>
      <c r="S7537" s="2">
        <v>0.21605269999999999</v>
      </c>
      <c r="T7537" s="2">
        <v>0.12789700000000001</v>
      </c>
    </row>
    <row r="7538" spans="18:20" x14ac:dyDescent="0.45">
      <c r="R7538" s="2">
        <v>92.14</v>
      </c>
      <c r="S7538" s="2">
        <v>0.21625050000000001</v>
      </c>
      <c r="T7538" s="2">
        <v>0.12803329999999999</v>
      </c>
    </row>
    <row r="7539" spans="18:20" x14ac:dyDescent="0.45">
      <c r="R7539" s="2">
        <v>92.15</v>
      </c>
      <c r="S7539" s="2">
        <v>0.21644830000000001</v>
      </c>
      <c r="T7539" s="2">
        <v>0.1281697</v>
      </c>
    </row>
    <row r="7540" spans="18:20" x14ac:dyDescent="0.45">
      <c r="R7540" s="2">
        <v>92.16</v>
      </c>
      <c r="S7540" s="2">
        <v>0.21664600000000001</v>
      </c>
      <c r="T7540" s="2">
        <v>0.128306</v>
      </c>
    </row>
    <row r="7541" spans="18:20" x14ac:dyDescent="0.45">
      <c r="R7541" s="2">
        <v>92.17</v>
      </c>
      <c r="S7541" s="2">
        <v>0.2168438</v>
      </c>
      <c r="T7541" s="2">
        <v>0.12844230000000001</v>
      </c>
    </row>
    <row r="7542" spans="18:20" x14ac:dyDescent="0.45">
      <c r="R7542" s="2">
        <v>92.18</v>
      </c>
      <c r="S7542" s="2">
        <v>0.2170415</v>
      </c>
      <c r="T7542" s="2">
        <v>0.12857859999999999</v>
      </c>
    </row>
    <row r="7543" spans="18:20" x14ac:dyDescent="0.45">
      <c r="R7543" s="2">
        <v>92.19</v>
      </c>
      <c r="S7543" s="2">
        <v>0.21723919999999999</v>
      </c>
      <c r="T7543" s="2">
        <v>0.12871489999999999</v>
      </c>
    </row>
    <row r="7544" spans="18:20" x14ac:dyDescent="0.45">
      <c r="R7544" s="2">
        <v>92.2</v>
      </c>
      <c r="S7544" s="2">
        <v>0.21743699999999999</v>
      </c>
      <c r="T7544" s="2">
        <v>0.1288512</v>
      </c>
    </row>
    <row r="7545" spans="18:20" x14ac:dyDescent="0.45">
      <c r="R7545" s="2">
        <v>92.21</v>
      </c>
      <c r="S7545" s="2">
        <v>0.21763469999999999</v>
      </c>
      <c r="T7545" s="2">
        <v>0.1289875</v>
      </c>
    </row>
    <row r="7546" spans="18:20" x14ac:dyDescent="0.45">
      <c r="R7546" s="2">
        <v>92.22</v>
      </c>
      <c r="S7546" s="2">
        <v>0.21783250000000001</v>
      </c>
      <c r="T7546" s="2">
        <v>0.12912380000000001</v>
      </c>
    </row>
    <row r="7547" spans="18:20" x14ac:dyDescent="0.45">
      <c r="R7547" s="2">
        <v>92.23</v>
      </c>
      <c r="S7547" s="2">
        <v>0.21803030000000001</v>
      </c>
      <c r="T7547" s="2">
        <v>0.12926009999999999</v>
      </c>
    </row>
    <row r="7548" spans="18:20" x14ac:dyDescent="0.45">
      <c r="R7548" s="2">
        <v>92.24</v>
      </c>
      <c r="S7548" s="2">
        <v>0.21822800000000001</v>
      </c>
      <c r="T7548" s="2">
        <v>0.12939639999999999</v>
      </c>
    </row>
    <row r="7549" spans="18:20" x14ac:dyDescent="0.45">
      <c r="R7549" s="2">
        <v>92.25</v>
      </c>
      <c r="S7549" s="2">
        <v>0.2184258</v>
      </c>
      <c r="T7549" s="2">
        <v>0.1295327</v>
      </c>
    </row>
    <row r="7550" spans="18:20" x14ac:dyDescent="0.45">
      <c r="R7550" s="2">
        <v>92.26</v>
      </c>
      <c r="S7550" s="2">
        <v>0.2186235</v>
      </c>
      <c r="T7550" s="2">
        <v>0.12966910000000001</v>
      </c>
    </row>
    <row r="7551" spans="18:20" x14ac:dyDescent="0.45">
      <c r="R7551" s="2">
        <v>92.27</v>
      </c>
      <c r="S7551" s="2">
        <v>0.21882119999999999</v>
      </c>
      <c r="T7551" s="2">
        <v>0.12980539999999999</v>
      </c>
    </row>
    <row r="7552" spans="18:20" x14ac:dyDescent="0.45">
      <c r="R7552" s="2">
        <v>92.28</v>
      </c>
      <c r="S7552" s="2">
        <v>0.21901899999999999</v>
      </c>
      <c r="T7552" s="2">
        <v>0.12994169999999999</v>
      </c>
    </row>
    <row r="7553" spans="18:20" x14ac:dyDescent="0.45">
      <c r="R7553" s="2">
        <v>92.29</v>
      </c>
      <c r="S7553" s="2">
        <v>0.21921679999999999</v>
      </c>
      <c r="T7553" s="2">
        <v>0.130078</v>
      </c>
    </row>
    <row r="7554" spans="18:20" x14ac:dyDescent="0.45">
      <c r="R7554" s="2">
        <v>92.3</v>
      </c>
      <c r="S7554" s="2">
        <v>0.21941450000000001</v>
      </c>
      <c r="T7554" s="2">
        <v>0.13021430000000001</v>
      </c>
    </row>
    <row r="7555" spans="18:20" x14ac:dyDescent="0.45">
      <c r="R7555" s="2">
        <v>92.31</v>
      </c>
      <c r="S7555" s="2">
        <v>0.21961230000000001</v>
      </c>
      <c r="T7555" s="2">
        <v>0.13035060000000001</v>
      </c>
    </row>
    <row r="7556" spans="18:20" x14ac:dyDescent="0.45">
      <c r="R7556" s="2">
        <v>92.32</v>
      </c>
      <c r="S7556" s="2">
        <v>0.21981000000000001</v>
      </c>
      <c r="T7556" s="2">
        <v>0.13048689999999999</v>
      </c>
    </row>
    <row r="7557" spans="18:20" x14ac:dyDescent="0.45">
      <c r="R7557" s="2">
        <v>92.33</v>
      </c>
      <c r="S7557" s="2">
        <v>0.2200077</v>
      </c>
      <c r="T7557" s="2">
        <v>0.13062319999999999</v>
      </c>
    </row>
    <row r="7558" spans="18:20" x14ac:dyDescent="0.45">
      <c r="R7558" s="2">
        <v>92.34</v>
      </c>
      <c r="S7558" s="2">
        <v>0.2202055</v>
      </c>
      <c r="T7558" s="2">
        <v>0.1307595</v>
      </c>
    </row>
    <row r="7559" spans="18:20" x14ac:dyDescent="0.45">
      <c r="R7559" s="2">
        <v>92.35</v>
      </c>
      <c r="S7559" s="2">
        <v>0.22040319999999999</v>
      </c>
      <c r="T7559" s="2">
        <v>0.13089580000000001</v>
      </c>
    </row>
    <row r="7560" spans="18:20" x14ac:dyDescent="0.45">
      <c r="R7560" s="2">
        <v>92.36</v>
      </c>
      <c r="S7560" s="2">
        <v>0.22060099999999999</v>
      </c>
      <c r="T7560" s="2">
        <v>0.13103219999999999</v>
      </c>
    </row>
    <row r="7561" spans="18:20" x14ac:dyDescent="0.45">
      <c r="R7561" s="2">
        <v>92.37</v>
      </c>
      <c r="S7561" s="2">
        <v>0.22079879999999999</v>
      </c>
      <c r="T7561" s="2">
        <v>0.13116849999999999</v>
      </c>
    </row>
    <row r="7562" spans="18:20" x14ac:dyDescent="0.45">
      <c r="R7562" s="2">
        <v>92.38</v>
      </c>
      <c r="S7562" s="2">
        <v>0.22099650000000001</v>
      </c>
      <c r="T7562" s="2">
        <v>0.1313048</v>
      </c>
    </row>
    <row r="7563" spans="18:20" x14ac:dyDescent="0.45">
      <c r="R7563" s="2">
        <v>92.39</v>
      </c>
      <c r="S7563" s="2">
        <v>0.22119430000000001</v>
      </c>
      <c r="T7563" s="2">
        <v>0.13144110000000001</v>
      </c>
    </row>
    <row r="7564" spans="18:20" x14ac:dyDescent="0.45">
      <c r="R7564" s="2">
        <v>92.4</v>
      </c>
      <c r="S7564" s="2">
        <v>0.22139200000000001</v>
      </c>
      <c r="T7564" s="2">
        <v>0.13157740000000001</v>
      </c>
    </row>
    <row r="7565" spans="18:20" x14ac:dyDescent="0.45">
      <c r="R7565" s="2">
        <v>92.41</v>
      </c>
      <c r="S7565" s="2">
        <v>0.2215897</v>
      </c>
      <c r="T7565" s="2">
        <v>0.13171369999999999</v>
      </c>
    </row>
    <row r="7566" spans="18:20" x14ac:dyDescent="0.45">
      <c r="R7566" s="2">
        <v>92.42</v>
      </c>
      <c r="S7566" s="2">
        <v>0.2217875</v>
      </c>
      <c r="T7566" s="2">
        <v>0.13184999999999999</v>
      </c>
    </row>
    <row r="7567" spans="18:20" x14ac:dyDescent="0.45">
      <c r="R7567" s="2">
        <v>92.43</v>
      </c>
      <c r="S7567" s="2">
        <v>0.2219853</v>
      </c>
      <c r="T7567" s="2">
        <v>0.1319863</v>
      </c>
    </row>
    <row r="7568" spans="18:20" x14ac:dyDescent="0.45">
      <c r="R7568" s="2">
        <v>92.44</v>
      </c>
      <c r="S7568" s="2">
        <v>0.22218299999999999</v>
      </c>
      <c r="T7568" s="2">
        <v>0.13212260000000001</v>
      </c>
    </row>
    <row r="7569" spans="18:20" x14ac:dyDescent="0.45">
      <c r="R7569" s="2">
        <v>92.45</v>
      </c>
      <c r="S7569" s="2">
        <v>0.22238079999999999</v>
      </c>
      <c r="T7569" s="2">
        <v>0.13225899999999999</v>
      </c>
    </row>
    <row r="7570" spans="18:20" x14ac:dyDescent="0.45">
      <c r="R7570" s="2">
        <v>92.46</v>
      </c>
      <c r="S7570" s="2">
        <v>0.22257850000000001</v>
      </c>
      <c r="T7570" s="2">
        <v>0.13239529999999999</v>
      </c>
    </row>
    <row r="7571" spans="18:20" x14ac:dyDescent="0.45">
      <c r="R7571" s="2">
        <v>92.47</v>
      </c>
      <c r="S7571" s="2">
        <v>0.22277620000000001</v>
      </c>
      <c r="T7571" s="2">
        <v>0.1325316</v>
      </c>
    </row>
    <row r="7572" spans="18:20" x14ac:dyDescent="0.45">
      <c r="R7572" s="2">
        <v>92.48</v>
      </c>
      <c r="S7572" s="2">
        <v>0.22297400000000001</v>
      </c>
      <c r="T7572" s="2">
        <v>0.13266790000000001</v>
      </c>
    </row>
    <row r="7573" spans="18:20" x14ac:dyDescent="0.45">
      <c r="R7573" s="2">
        <v>92.49</v>
      </c>
      <c r="S7573" s="2">
        <v>0.2231717</v>
      </c>
      <c r="T7573" s="2">
        <v>0.13280420000000001</v>
      </c>
    </row>
    <row r="7574" spans="18:20" x14ac:dyDescent="0.45">
      <c r="R7574" s="2">
        <v>92.5</v>
      </c>
      <c r="S7574" s="2">
        <v>0.2233695</v>
      </c>
      <c r="T7574" s="2">
        <v>0.13294049999999999</v>
      </c>
    </row>
    <row r="7575" spans="18:20" x14ac:dyDescent="0.45">
      <c r="R7575" s="2">
        <v>92.51</v>
      </c>
      <c r="S7575" s="2">
        <v>0.2235673</v>
      </c>
      <c r="T7575" s="2">
        <v>0.1330768</v>
      </c>
    </row>
    <row r="7576" spans="18:20" x14ac:dyDescent="0.45">
      <c r="R7576" s="2">
        <v>92.52</v>
      </c>
      <c r="S7576" s="2">
        <v>0.22376499999999999</v>
      </c>
      <c r="T7576" s="2">
        <v>0.1332131</v>
      </c>
    </row>
    <row r="7577" spans="18:20" x14ac:dyDescent="0.45">
      <c r="R7577" s="2">
        <v>92.53</v>
      </c>
      <c r="S7577" s="2">
        <v>0.22396279999999999</v>
      </c>
      <c r="T7577" s="2">
        <v>0.13334940000000001</v>
      </c>
    </row>
    <row r="7578" spans="18:20" x14ac:dyDescent="0.45">
      <c r="R7578" s="2">
        <v>92.54</v>
      </c>
      <c r="S7578" s="2">
        <v>0.22416050000000001</v>
      </c>
      <c r="T7578" s="2">
        <v>0.13348570000000001</v>
      </c>
    </row>
    <row r="7579" spans="18:20" x14ac:dyDescent="0.45">
      <c r="R7579" s="2">
        <v>92.55</v>
      </c>
      <c r="S7579" s="2">
        <v>0.22435820000000001</v>
      </c>
      <c r="T7579" s="2">
        <v>0.13362199999999999</v>
      </c>
    </row>
    <row r="7580" spans="18:20" x14ac:dyDescent="0.45">
      <c r="R7580" s="2">
        <v>92.56</v>
      </c>
      <c r="S7580" s="2">
        <v>0.22455600000000001</v>
      </c>
      <c r="T7580" s="2">
        <v>0.1337584</v>
      </c>
    </row>
    <row r="7581" spans="18:20" x14ac:dyDescent="0.45">
      <c r="R7581" s="2">
        <v>92.57</v>
      </c>
      <c r="S7581" s="2">
        <v>0.2247537</v>
      </c>
      <c r="T7581" s="2">
        <v>0.13389470000000001</v>
      </c>
    </row>
    <row r="7582" spans="18:20" x14ac:dyDescent="0.45">
      <c r="R7582" s="2">
        <v>92.58</v>
      </c>
      <c r="S7582" s="2">
        <v>0.2249515</v>
      </c>
      <c r="T7582" s="2">
        <v>0.13403100000000001</v>
      </c>
    </row>
    <row r="7583" spans="18:20" x14ac:dyDescent="0.45">
      <c r="R7583" s="2">
        <v>92.59</v>
      </c>
      <c r="S7583" s="2">
        <v>0.2251493</v>
      </c>
      <c r="T7583" s="2">
        <v>0.13416729999999999</v>
      </c>
    </row>
    <row r="7584" spans="18:20" x14ac:dyDescent="0.45">
      <c r="R7584" s="2">
        <v>92.6</v>
      </c>
      <c r="S7584" s="2">
        <v>0.22534699999999999</v>
      </c>
      <c r="T7584" s="2">
        <v>0.1343036</v>
      </c>
    </row>
    <row r="7585" spans="18:20" x14ac:dyDescent="0.45">
      <c r="R7585" s="2">
        <v>92.61</v>
      </c>
      <c r="S7585" s="2">
        <v>0.22554469999999999</v>
      </c>
      <c r="T7585" s="2">
        <v>0.1344399</v>
      </c>
    </row>
    <row r="7586" spans="18:20" x14ac:dyDescent="0.45">
      <c r="R7586" s="2">
        <v>92.62</v>
      </c>
      <c r="S7586" s="2">
        <v>0.22574250000000001</v>
      </c>
      <c r="T7586" s="2">
        <v>0.13457620000000001</v>
      </c>
    </row>
    <row r="7587" spans="18:20" x14ac:dyDescent="0.45">
      <c r="R7587" s="2">
        <v>92.63</v>
      </c>
      <c r="S7587" s="2">
        <v>0.22594020000000001</v>
      </c>
      <c r="T7587" s="2">
        <v>0.13471250000000001</v>
      </c>
    </row>
    <row r="7588" spans="18:20" x14ac:dyDescent="0.45">
      <c r="R7588" s="2">
        <v>92.64</v>
      </c>
      <c r="S7588" s="2">
        <v>0.22613800000000001</v>
      </c>
      <c r="T7588" s="2">
        <v>0.13484879999999999</v>
      </c>
    </row>
    <row r="7589" spans="18:20" x14ac:dyDescent="0.45">
      <c r="R7589" s="2">
        <v>92.65</v>
      </c>
      <c r="S7589" s="2">
        <v>0.2263358</v>
      </c>
      <c r="T7589" s="2">
        <v>0.1349852</v>
      </c>
    </row>
    <row r="7590" spans="18:20" x14ac:dyDescent="0.45">
      <c r="R7590" s="2">
        <v>92.66</v>
      </c>
      <c r="S7590" s="2">
        <v>0.2265335</v>
      </c>
      <c r="T7590" s="2">
        <v>0.13512150000000001</v>
      </c>
    </row>
    <row r="7591" spans="18:20" x14ac:dyDescent="0.45">
      <c r="R7591" s="2">
        <v>92.67</v>
      </c>
      <c r="S7591" s="2">
        <v>0.2267313</v>
      </c>
      <c r="T7591" s="2">
        <v>0.13525780000000001</v>
      </c>
    </row>
    <row r="7592" spans="18:20" x14ac:dyDescent="0.45">
      <c r="R7592" s="2">
        <v>92.68</v>
      </c>
      <c r="S7592" s="2">
        <v>0.22692899999999999</v>
      </c>
      <c r="T7592" s="2">
        <v>0.13539409999999999</v>
      </c>
    </row>
    <row r="7593" spans="18:20" x14ac:dyDescent="0.45">
      <c r="R7593" s="2">
        <v>92.69</v>
      </c>
      <c r="S7593" s="2">
        <v>0.22712669999999999</v>
      </c>
      <c r="T7593" s="2">
        <v>0.1355304</v>
      </c>
    </row>
    <row r="7594" spans="18:20" x14ac:dyDescent="0.45">
      <c r="R7594" s="2">
        <v>92.7</v>
      </c>
      <c r="S7594" s="2">
        <v>0.22732450000000001</v>
      </c>
      <c r="T7594" s="2">
        <v>0.1356667</v>
      </c>
    </row>
    <row r="7595" spans="18:20" x14ac:dyDescent="0.45">
      <c r="R7595" s="2">
        <v>92.71</v>
      </c>
      <c r="S7595" s="2">
        <v>0.22752220000000001</v>
      </c>
      <c r="T7595" s="2">
        <v>0.13580300000000001</v>
      </c>
    </row>
    <row r="7596" spans="18:20" x14ac:dyDescent="0.45">
      <c r="R7596" s="2">
        <v>92.72</v>
      </c>
      <c r="S7596" s="2">
        <v>0.22772000000000001</v>
      </c>
      <c r="T7596" s="2">
        <v>0.13593930000000001</v>
      </c>
    </row>
    <row r="7597" spans="18:20" x14ac:dyDescent="0.45">
      <c r="R7597" s="2">
        <v>92.73</v>
      </c>
      <c r="S7597" s="2">
        <v>0.2279178</v>
      </c>
      <c r="T7597" s="2">
        <v>0.13607559999999999</v>
      </c>
    </row>
    <row r="7598" spans="18:20" x14ac:dyDescent="0.45">
      <c r="R7598" s="2">
        <v>92.74</v>
      </c>
      <c r="S7598" s="2">
        <v>0.2281155</v>
      </c>
      <c r="T7598" s="2">
        <v>0.1362119</v>
      </c>
    </row>
    <row r="7599" spans="18:20" x14ac:dyDescent="0.45">
      <c r="R7599" s="2">
        <v>92.75</v>
      </c>
      <c r="S7599" s="2">
        <v>0.22831319999999999</v>
      </c>
      <c r="T7599" s="2">
        <v>0.13634830000000001</v>
      </c>
    </row>
    <row r="7600" spans="18:20" x14ac:dyDescent="0.45">
      <c r="R7600" s="2">
        <v>92.76</v>
      </c>
      <c r="S7600" s="2">
        <v>0.22851099999999999</v>
      </c>
      <c r="T7600" s="2">
        <v>0.13648460000000001</v>
      </c>
    </row>
    <row r="7601" spans="18:20" x14ac:dyDescent="0.45">
      <c r="R7601" s="2">
        <v>92.77</v>
      </c>
      <c r="S7601" s="2">
        <v>0.22870869999999999</v>
      </c>
      <c r="T7601" s="2">
        <v>0.13662089999999999</v>
      </c>
    </row>
    <row r="7602" spans="18:20" x14ac:dyDescent="0.45">
      <c r="R7602" s="2">
        <v>92.78</v>
      </c>
      <c r="S7602" s="2">
        <v>0.22890650000000001</v>
      </c>
      <c r="T7602" s="2">
        <v>0.1367572</v>
      </c>
    </row>
    <row r="7603" spans="18:20" x14ac:dyDescent="0.45">
      <c r="R7603" s="2">
        <v>92.79</v>
      </c>
      <c r="S7603" s="2">
        <v>0.22910430000000001</v>
      </c>
      <c r="T7603" s="2">
        <v>0.1368935</v>
      </c>
    </row>
    <row r="7604" spans="18:20" x14ac:dyDescent="0.45">
      <c r="R7604" s="2">
        <v>92.8</v>
      </c>
      <c r="S7604" s="2">
        <v>0.22930200000000001</v>
      </c>
      <c r="T7604" s="2">
        <v>0.13702980000000001</v>
      </c>
    </row>
    <row r="7605" spans="18:20" x14ac:dyDescent="0.45">
      <c r="R7605" s="2">
        <v>92.81</v>
      </c>
      <c r="S7605" s="2">
        <v>0.2294998</v>
      </c>
      <c r="T7605" s="2">
        <v>0.13716610000000001</v>
      </c>
    </row>
    <row r="7606" spans="18:20" x14ac:dyDescent="0.45">
      <c r="R7606" s="2">
        <v>92.82</v>
      </c>
      <c r="S7606" s="2">
        <v>0.2296975</v>
      </c>
      <c r="T7606" s="2">
        <v>0.13730239999999999</v>
      </c>
    </row>
    <row r="7607" spans="18:20" x14ac:dyDescent="0.45">
      <c r="R7607" s="2">
        <v>92.83</v>
      </c>
      <c r="S7607" s="2">
        <v>0.22989519999999999</v>
      </c>
      <c r="T7607" s="2">
        <v>0.1374387</v>
      </c>
    </row>
    <row r="7608" spans="18:20" x14ac:dyDescent="0.45">
      <c r="R7608" s="2">
        <v>92.84</v>
      </c>
      <c r="S7608" s="2">
        <v>0.23009299999999999</v>
      </c>
      <c r="T7608" s="2">
        <v>0.137575</v>
      </c>
    </row>
    <row r="7609" spans="18:20" x14ac:dyDescent="0.45">
      <c r="R7609" s="2">
        <v>92.85</v>
      </c>
      <c r="S7609" s="2">
        <v>0.23029069999999999</v>
      </c>
      <c r="T7609" s="2">
        <v>0.13771130000000001</v>
      </c>
    </row>
    <row r="7610" spans="18:20" x14ac:dyDescent="0.45">
      <c r="R7610" s="2">
        <v>92.86</v>
      </c>
      <c r="S7610" s="2">
        <v>0.23048850000000001</v>
      </c>
      <c r="T7610" s="2">
        <v>0.13784769999999999</v>
      </c>
    </row>
    <row r="7611" spans="18:20" x14ac:dyDescent="0.45">
      <c r="R7611" s="2">
        <v>92.87</v>
      </c>
      <c r="S7611" s="2">
        <v>0.23068630000000001</v>
      </c>
      <c r="T7611" s="2">
        <v>0.137984</v>
      </c>
    </row>
    <row r="7612" spans="18:20" x14ac:dyDescent="0.45">
      <c r="R7612" s="2">
        <v>92.88</v>
      </c>
      <c r="S7612" s="2">
        <v>0.23088400000000001</v>
      </c>
      <c r="T7612" s="2">
        <v>0.1381203</v>
      </c>
    </row>
    <row r="7613" spans="18:20" x14ac:dyDescent="0.45">
      <c r="R7613" s="2">
        <v>92.89</v>
      </c>
      <c r="S7613" s="2">
        <v>0.2310818</v>
      </c>
      <c r="T7613" s="2">
        <v>0.13825660000000001</v>
      </c>
    </row>
    <row r="7614" spans="18:20" x14ac:dyDescent="0.45">
      <c r="R7614" s="2">
        <v>92.9</v>
      </c>
      <c r="S7614" s="2">
        <v>0.2312795</v>
      </c>
      <c r="T7614" s="2">
        <v>0.13839290000000001</v>
      </c>
    </row>
    <row r="7615" spans="18:20" x14ac:dyDescent="0.45">
      <c r="R7615" s="2">
        <v>92.91</v>
      </c>
      <c r="S7615" s="2">
        <v>0.23147719999999999</v>
      </c>
      <c r="T7615" s="2">
        <v>0.13852919999999999</v>
      </c>
    </row>
    <row r="7616" spans="18:20" x14ac:dyDescent="0.45">
      <c r="R7616" s="2">
        <v>92.92</v>
      </c>
      <c r="S7616" s="2">
        <v>0.23167499999999999</v>
      </c>
      <c r="T7616" s="2">
        <v>0.1386655</v>
      </c>
    </row>
    <row r="7617" spans="18:20" x14ac:dyDescent="0.45">
      <c r="R7617" s="2">
        <v>92.93</v>
      </c>
      <c r="S7617" s="2">
        <v>0.23187279999999999</v>
      </c>
      <c r="T7617" s="2">
        <v>0.1388018</v>
      </c>
    </row>
    <row r="7618" spans="18:20" x14ac:dyDescent="0.45">
      <c r="R7618" s="2">
        <v>92.94</v>
      </c>
      <c r="S7618" s="2">
        <v>0.23207050000000001</v>
      </c>
      <c r="T7618" s="2">
        <v>0.13893810000000001</v>
      </c>
    </row>
    <row r="7619" spans="18:20" x14ac:dyDescent="0.45">
      <c r="R7619" s="2">
        <v>92.95</v>
      </c>
      <c r="S7619" s="2">
        <v>0.23226830000000001</v>
      </c>
      <c r="T7619" s="2">
        <v>0.13907449999999999</v>
      </c>
    </row>
    <row r="7620" spans="18:20" x14ac:dyDescent="0.45">
      <c r="R7620" s="2">
        <v>92.96</v>
      </c>
      <c r="S7620" s="2">
        <v>0.23246600000000001</v>
      </c>
      <c r="T7620" s="2">
        <v>0.1392108</v>
      </c>
    </row>
    <row r="7621" spans="18:20" x14ac:dyDescent="0.45">
      <c r="R7621" s="2">
        <v>92.97</v>
      </c>
      <c r="S7621" s="2">
        <v>0.2326637</v>
      </c>
      <c r="T7621" s="2">
        <v>0.1393471</v>
      </c>
    </row>
    <row r="7622" spans="18:20" x14ac:dyDescent="0.45">
      <c r="R7622" s="2">
        <v>92.98</v>
      </c>
      <c r="S7622" s="2">
        <v>0.2328615</v>
      </c>
      <c r="T7622" s="2">
        <v>0.13948340000000001</v>
      </c>
    </row>
    <row r="7623" spans="18:20" x14ac:dyDescent="0.45">
      <c r="R7623" s="2">
        <v>92.99</v>
      </c>
      <c r="S7623" s="2">
        <v>0.23305919999999999</v>
      </c>
      <c r="T7623" s="2">
        <v>0.13961970000000001</v>
      </c>
    </row>
    <row r="7624" spans="18:20" x14ac:dyDescent="0.45">
      <c r="R7624" s="2">
        <v>93</v>
      </c>
      <c r="S7624" s="2">
        <v>0.23325699999999999</v>
      </c>
      <c r="T7624" s="2">
        <v>0.13975599999999999</v>
      </c>
    </row>
    <row r="7625" spans="18:20" x14ac:dyDescent="0.45">
      <c r="R7625" s="2">
        <v>93.01</v>
      </c>
      <c r="S7625" s="2">
        <v>0.2334705</v>
      </c>
      <c r="T7625" s="2">
        <v>0.13990710000000001</v>
      </c>
    </row>
    <row r="7626" spans="18:20" x14ac:dyDescent="0.45">
      <c r="R7626" s="2">
        <v>93.02</v>
      </c>
      <c r="S7626" s="2">
        <v>0.23368410000000001</v>
      </c>
      <c r="T7626" s="2">
        <v>0.14005809999999999</v>
      </c>
    </row>
    <row r="7627" spans="18:20" x14ac:dyDescent="0.45">
      <c r="R7627" s="2">
        <v>93.03</v>
      </c>
      <c r="S7627" s="2">
        <v>0.23389760000000001</v>
      </c>
      <c r="T7627" s="2">
        <v>0.14020920000000001</v>
      </c>
    </row>
    <row r="7628" spans="18:20" x14ac:dyDescent="0.45">
      <c r="R7628" s="2">
        <v>93.04</v>
      </c>
      <c r="S7628" s="2">
        <v>0.23411109999999999</v>
      </c>
      <c r="T7628" s="2">
        <v>0.14036029999999999</v>
      </c>
    </row>
    <row r="7629" spans="18:20" x14ac:dyDescent="0.45">
      <c r="R7629" s="2">
        <v>93.05</v>
      </c>
      <c r="S7629" s="2">
        <v>0.23432459999999999</v>
      </c>
      <c r="T7629" s="2">
        <v>0.14051130000000001</v>
      </c>
    </row>
    <row r="7630" spans="18:20" x14ac:dyDescent="0.45">
      <c r="R7630" s="2">
        <v>93.06</v>
      </c>
      <c r="S7630" s="2">
        <v>0.2345382</v>
      </c>
      <c r="T7630" s="2">
        <v>0.14066239999999999</v>
      </c>
    </row>
    <row r="7631" spans="18:20" x14ac:dyDescent="0.45">
      <c r="R7631" s="2">
        <v>93.07</v>
      </c>
      <c r="S7631" s="2">
        <v>0.23475170000000001</v>
      </c>
      <c r="T7631" s="2">
        <v>0.14081350000000001</v>
      </c>
    </row>
    <row r="7632" spans="18:20" x14ac:dyDescent="0.45">
      <c r="R7632" s="2">
        <v>93.08</v>
      </c>
      <c r="S7632" s="2">
        <v>0.23496520000000001</v>
      </c>
      <c r="T7632" s="2">
        <v>0.1409646</v>
      </c>
    </row>
    <row r="7633" spans="18:20" x14ac:dyDescent="0.45">
      <c r="R7633" s="2">
        <v>93.09</v>
      </c>
      <c r="S7633" s="2">
        <v>0.23517879999999999</v>
      </c>
      <c r="T7633" s="2">
        <v>0.14111560000000001</v>
      </c>
    </row>
    <row r="7634" spans="18:20" x14ac:dyDescent="0.45">
      <c r="R7634" s="2">
        <v>93.1</v>
      </c>
      <c r="S7634" s="2">
        <v>0.2353923</v>
      </c>
      <c r="T7634" s="2">
        <v>0.1412667</v>
      </c>
    </row>
    <row r="7635" spans="18:20" x14ac:dyDescent="0.45">
      <c r="R7635" s="2">
        <v>93.11</v>
      </c>
      <c r="S7635" s="2">
        <v>0.2356058</v>
      </c>
      <c r="T7635" s="2">
        <v>0.14141780000000001</v>
      </c>
    </row>
    <row r="7636" spans="18:20" x14ac:dyDescent="0.45">
      <c r="R7636" s="2">
        <v>93.12</v>
      </c>
      <c r="S7636" s="2">
        <v>0.23581940000000001</v>
      </c>
      <c r="T7636" s="2">
        <v>0.14156879999999999</v>
      </c>
    </row>
    <row r="7637" spans="18:20" x14ac:dyDescent="0.45">
      <c r="R7637" s="2">
        <v>93.13</v>
      </c>
      <c r="S7637" s="2">
        <v>0.23603289999999999</v>
      </c>
      <c r="T7637" s="2">
        <v>0.14171990000000001</v>
      </c>
    </row>
    <row r="7638" spans="18:20" x14ac:dyDescent="0.45">
      <c r="R7638" s="2">
        <v>93.14</v>
      </c>
      <c r="S7638" s="2">
        <v>0.2362464</v>
      </c>
      <c r="T7638" s="2">
        <v>0.141871</v>
      </c>
    </row>
    <row r="7639" spans="18:20" x14ac:dyDescent="0.45">
      <c r="R7639" s="2">
        <v>93.15</v>
      </c>
      <c r="S7639" s="2">
        <v>0.23646</v>
      </c>
      <c r="T7639" s="2">
        <v>0.14202210000000001</v>
      </c>
    </row>
    <row r="7640" spans="18:20" x14ac:dyDescent="0.45">
      <c r="R7640" s="2">
        <v>93.16</v>
      </c>
      <c r="S7640" s="2">
        <v>0.23667350000000001</v>
      </c>
      <c r="T7640" s="2">
        <v>0.1421731</v>
      </c>
    </row>
    <row r="7641" spans="18:20" x14ac:dyDescent="0.45">
      <c r="R7641" s="2">
        <v>93.17</v>
      </c>
      <c r="S7641" s="2">
        <v>0.23688699999999999</v>
      </c>
      <c r="T7641" s="2">
        <v>0.14232420000000001</v>
      </c>
    </row>
    <row r="7642" spans="18:20" x14ac:dyDescent="0.45">
      <c r="R7642" s="2">
        <v>93.18</v>
      </c>
      <c r="S7642" s="2">
        <v>0.23710049999999999</v>
      </c>
      <c r="T7642" s="2">
        <v>0.1424753</v>
      </c>
    </row>
    <row r="7643" spans="18:20" x14ac:dyDescent="0.45">
      <c r="R7643" s="2">
        <v>93.19</v>
      </c>
      <c r="S7643" s="2">
        <v>0.2373141</v>
      </c>
      <c r="T7643" s="2">
        <v>0.14262630000000001</v>
      </c>
    </row>
    <row r="7644" spans="18:20" x14ac:dyDescent="0.45">
      <c r="R7644" s="2">
        <v>93.2</v>
      </c>
      <c r="S7644" s="2">
        <v>0.23752760000000001</v>
      </c>
      <c r="T7644" s="2">
        <v>0.1427774</v>
      </c>
    </row>
    <row r="7645" spans="18:20" x14ac:dyDescent="0.45">
      <c r="R7645" s="2">
        <v>93.21</v>
      </c>
      <c r="S7645" s="2">
        <v>0.23774110000000001</v>
      </c>
      <c r="T7645" s="2">
        <v>0.14292850000000001</v>
      </c>
    </row>
    <row r="7646" spans="18:20" x14ac:dyDescent="0.45">
      <c r="R7646" s="2">
        <v>93.22</v>
      </c>
      <c r="S7646" s="2">
        <v>0.23795469999999999</v>
      </c>
      <c r="T7646" s="2">
        <v>0.1430795</v>
      </c>
    </row>
    <row r="7647" spans="18:20" x14ac:dyDescent="0.45">
      <c r="R7647" s="2">
        <v>93.23</v>
      </c>
      <c r="S7647" s="2">
        <v>0.2381682</v>
      </c>
      <c r="T7647" s="2">
        <v>0.14323060000000001</v>
      </c>
    </row>
    <row r="7648" spans="18:20" x14ac:dyDescent="0.45">
      <c r="R7648" s="2">
        <v>93.24</v>
      </c>
      <c r="S7648" s="2">
        <v>0.2383817</v>
      </c>
      <c r="T7648" s="2">
        <v>0.1433817</v>
      </c>
    </row>
    <row r="7649" spans="18:20" x14ac:dyDescent="0.45">
      <c r="R7649" s="2">
        <v>93.25</v>
      </c>
      <c r="S7649" s="2">
        <v>0.23859520000000001</v>
      </c>
      <c r="T7649" s="2">
        <v>0.14353270000000001</v>
      </c>
    </row>
    <row r="7650" spans="18:20" x14ac:dyDescent="0.45">
      <c r="R7650" s="2">
        <v>93.26</v>
      </c>
      <c r="S7650" s="2">
        <v>0.23880879999999999</v>
      </c>
      <c r="T7650" s="2">
        <v>0.1436838</v>
      </c>
    </row>
    <row r="7651" spans="18:20" x14ac:dyDescent="0.45">
      <c r="R7651" s="2">
        <v>93.27</v>
      </c>
      <c r="S7651" s="2">
        <v>0.23902229999999999</v>
      </c>
      <c r="T7651" s="2">
        <v>0.14383489999999999</v>
      </c>
    </row>
    <row r="7652" spans="18:20" x14ac:dyDescent="0.45">
      <c r="R7652" s="2">
        <v>93.28</v>
      </c>
      <c r="S7652" s="2">
        <v>0.2392358</v>
      </c>
      <c r="T7652" s="2">
        <v>0.143986</v>
      </c>
    </row>
    <row r="7653" spans="18:20" x14ac:dyDescent="0.45">
      <c r="R7653" s="2">
        <v>93.29</v>
      </c>
      <c r="S7653" s="2">
        <v>0.23944940000000001</v>
      </c>
      <c r="T7653" s="2">
        <v>0.14413699999999999</v>
      </c>
    </row>
    <row r="7654" spans="18:20" x14ac:dyDescent="0.45">
      <c r="R7654" s="2">
        <v>93.3</v>
      </c>
      <c r="S7654" s="2">
        <v>0.23966290000000001</v>
      </c>
      <c r="T7654" s="2">
        <v>0.1442881</v>
      </c>
    </row>
    <row r="7655" spans="18:20" x14ac:dyDescent="0.45">
      <c r="R7655" s="2">
        <v>93.31</v>
      </c>
      <c r="S7655" s="2">
        <v>0.23987639999999999</v>
      </c>
      <c r="T7655" s="2">
        <v>0.14443919999999999</v>
      </c>
    </row>
    <row r="7656" spans="18:20" x14ac:dyDescent="0.45">
      <c r="R7656" s="2">
        <v>93.32</v>
      </c>
      <c r="S7656" s="2">
        <v>0.24009</v>
      </c>
      <c r="T7656" s="2">
        <v>0.1445902</v>
      </c>
    </row>
    <row r="7657" spans="18:20" x14ac:dyDescent="0.45">
      <c r="R7657" s="2">
        <v>93.33</v>
      </c>
      <c r="S7657" s="2">
        <v>0.2403035</v>
      </c>
      <c r="T7657" s="2">
        <v>0.14474129999999999</v>
      </c>
    </row>
    <row r="7658" spans="18:20" x14ac:dyDescent="0.45">
      <c r="R7658" s="2">
        <v>93.34</v>
      </c>
      <c r="S7658" s="2">
        <v>0.24051700000000001</v>
      </c>
      <c r="T7658" s="2">
        <v>0.1448924</v>
      </c>
    </row>
    <row r="7659" spans="18:20" x14ac:dyDescent="0.45">
      <c r="R7659" s="2">
        <v>93.35</v>
      </c>
      <c r="S7659" s="2">
        <v>0.24073049999999999</v>
      </c>
      <c r="T7659" s="2">
        <v>0.14504339999999999</v>
      </c>
    </row>
    <row r="7660" spans="18:20" x14ac:dyDescent="0.45">
      <c r="R7660" s="2">
        <v>93.36</v>
      </c>
      <c r="S7660" s="2">
        <v>0.24094409999999999</v>
      </c>
      <c r="T7660" s="2">
        <v>0.1451945</v>
      </c>
    </row>
    <row r="7661" spans="18:20" x14ac:dyDescent="0.45">
      <c r="R7661" s="2">
        <v>93.37</v>
      </c>
      <c r="S7661" s="2">
        <v>0.2411576</v>
      </c>
      <c r="T7661" s="2">
        <v>0.14534559999999999</v>
      </c>
    </row>
    <row r="7662" spans="18:20" x14ac:dyDescent="0.45">
      <c r="R7662" s="2">
        <v>93.38</v>
      </c>
      <c r="S7662" s="2">
        <v>0.24137110000000001</v>
      </c>
      <c r="T7662" s="2">
        <v>0.14549670000000001</v>
      </c>
    </row>
    <row r="7663" spans="18:20" x14ac:dyDescent="0.45">
      <c r="R7663" s="2">
        <v>93.39</v>
      </c>
      <c r="S7663" s="2">
        <v>0.24158470000000001</v>
      </c>
      <c r="T7663" s="2">
        <v>0.14564769999999999</v>
      </c>
    </row>
    <row r="7664" spans="18:20" x14ac:dyDescent="0.45">
      <c r="R7664" s="2">
        <v>93.4</v>
      </c>
      <c r="S7664" s="2">
        <v>0.24179819999999999</v>
      </c>
      <c r="T7664" s="2">
        <v>0.14579880000000001</v>
      </c>
    </row>
    <row r="7665" spans="18:20" x14ac:dyDescent="0.45">
      <c r="R7665" s="2">
        <v>93.41</v>
      </c>
      <c r="S7665" s="2">
        <v>0.2420117</v>
      </c>
      <c r="T7665" s="2">
        <v>0.14594989999999999</v>
      </c>
    </row>
    <row r="7666" spans="18:20" x14ac:dyDescent="0.45">
      <c r="R7666" s="2">
        <v>93.42</v>
      </c>
      <c r="S7666" s="2">
        <v>0.2422253</v>
      </c>
      <c r="T7666" s="2">
        <v>0.14610090000000001</v>
      </c>
    </row>
    <row r="7667" spans="18:20" x14ac:dyDescent="0.45">
      <c r="R7667" s="2">
        <v>93.43</v>
      </c>
      <c r="S7667" s="2">
        <v>0.24243880000000001</v>
      </c>
      <c r="T7667" s="2">
        <v>0.14625199999999999</v>
      </c>
    </row>
    <row r="7668" spans="18:20" x14ac:dyDescent="0.45">
      <c r="R7668" s="2">
        <v>93.44</v>
      </c>
      <c r="S7668" s="2">
        <v>0.24265229999999999</v>
      </c>
      <c r="T7668" s="2">
        <v>0.14640310000000001</v>
      </c>
    </row>
    <row r="7669" spans="18:20" x14ac:dyDescent="0.45">
      <c r="R7669" s="2">
        <v>93.45</v>
      </c>
      <c r="S7669" s="2">
        <v>0.2428659</v>
      </c>
      <c r="T7669" s="2">
        <v>0.1465542</v>
      </c>
    </row>
    <row r="7670" spans="18:20" x14ac:dyDescent="0.45">
      <c r="R7670" s="2">
        <v>93.46</v>
      </c>
      <c r="S7670" s="2">
        <v>0.2430794</v>
      </c>
      <c r="T7670" s="2">
        <v>0.14670520000000001</v>
      </c>
    </row>
    <row r="7671" spans="18:20" x14ac:dyDescent="0.45">
      <c r="R7671" s="2">
        <v>93.47</v>
      </c>
      <c r="S7671" s="2">
        <v>0.24329290000000001</v>
      </c>
      <c r="T7671" s="2">
        <v>0.1468563</v>
      </c>
    </row>
    <row r="7672" spans="18:20" x14ac:dyDescent="0.45">
      <c r="R7672" s="2">
        <v>93.48</v>
      </c>
      <c r="S7672" s="2">
        <v>0.24350640000000001</v>
      </c>
      <c r="T7672" s="2">
        <v>0.14700740000000001</v>
      </c>
    </row>
    <row r="7673" spans="18:20" x14ac:dyDescent="0.45">
      <c r="R7673" s="2">
        <v>93.49</v>
      </c>
      <c r="S7673" s="2">
        <v>0.24371999999999999</v>
      </c>
      <c r="T7673" s="2">
        <v>0.14715839999999999</v>
      </c>
    </row>
    <row r="7674" spans="18:20" x14ac:dyDescent="0.45">
      <c r="R7674" s="2">
        <v>93.5</v>
      </c>
      <c r="S7674" s="2">
        <v>0.2439335</v>
      </c>
      <c r="T7674" s="2">
        <v>0.14730950000000001</v>
      </c>
    </row>
    <row r="7675" spans="18:20" x14ac:dyDescent="0.45">
      <c r="R7675" s="2">
        <v>93.51</v>
      </c>
      <c r="S7675" s="2">
        <v>0.244147</v>
      </c>
      <c r="T7675" s="2">
        <v>0.1474606</v>
      </c>
    </row>
    <row r="7676" spans="18:20" x14ac:dyDescent="0.45">
      <c r="R7676" s="2">
        <v>93.52</v>
      </c>
      <c r="S7676" s="2">
        <v>0.24436060000000001</v>
      </c>
      <c r="T7676" s="2">
        <v>0.14761160000000001</v>
      </c>
    </row>
    <row r="7677" spans="18:20" x14ac:dyDescent="0.45">
      <c r="R7677" s="2">
        <v>93.53</v>
      </c>
      <c r="S7677" s="2">
        <v>0.24457409999999999</v>
      </c>
      <c r="T7677" s="2">
        <v>0.1477627</v>
      </c>
    </row>
    <row r="7678" spans="18:20" x14ac:dyDescent="0.45">
      <c r="R7678" s="2">
        <v>93.54</v>
      </c>
      <c r="S7678" s="2">
        <v>0.24478759999999999</v>
      </c>
      <c r="T7678" s="2">
        <v>0.14791380000000001</v>
      </c>
    </row>
    <row r="7679" spans="18:20" x14ac:dyDescent="0.45">
      <c r="R7679" s="2">
        <v>93.55</v>
      </c>
      <c r="S7679" s="2">
        <v>0.2450011</v>
      </c>
      <c r="T7679" s="2">
        <v>0.1480648</v>
      </c>
    </row>
    <row r="7680" spans="18:20" x14ac:dyDescent="0.45">
      <c r="R7680" s="2">
        <v>93.56</v>
      </c>
      <c r="S7680" s="2">
        <v>0.24521470000000001</v>
      </c>
      <c r="T7680" s="2">
        <v>0.14821590000000001</v>
      </c>
    </row>
    <row r="7681" spans="18:20" x14ac:dyDescent="0.45">
      <c r="R7681" s="2">
        <v>93.57</v>
      </c>
      <c r="S7681" s="2">
        <v>0.24542820000000001</v>
      </c>
      <c r="T7681" s="2">
        <v>0.148367</v>
      </c>
    </row>
    <row r="7682" spans="18:20" x14ac:dyDescent="0.45">
      <c r="R7682" s="2">
        <v>93.58</v>
      </c>
      <c r="S7682" s="2">
        <v>0.24564169999999999</v>
      </c>
      <c r="T7682" s="2">
        <v>0.14851809999999999</v>
      </c>
    </row>
    <row r="7683" spans="18:20" x14ac:dyDescent="0.45">
      <c r="R7683" s="2">
        <v>93.59</v>
      </c>
      <c r="S7683" s="2">
        <v>0.2458553</v>
      </c>
      <c r="T7683" s="2">
        <v>0.1486691</v>
      </c>
    </row>
    <row r="7684" spans="18:20" x14ac:dyDescent="0.45">
      <c r="R7684" s="2">
        <v>93.6</v>
      </c>
      <c r="S7684" s="2">
        <v>0.2460688</v>
      </c>
      <c r="T7684" s="2">
        <v>0.14882020000000001</v>
      </c>
    </row>
    <row r="7685" spans="18:20" x14ac:dyDescent="0.45">
      <c r="R7685" s="2">
        <v>93.61</v>
      </c>
      <c r="S7685" s="2">
        <v>0.24628230000000001</v>
      </c>
      <c r="T7685" s="2">
        <v>0.1489713</v>
      </c>
    </row>
    <row r="7686" spans="18:20" x14ac:dyDescent="0.45">
      <c r="R7686" s="2">
        <v>93.62</v>
      </c>
      <c r="S7686" s="2">
        <v>0.24649589999999999</v>
      </c>
      <c r="T7686" s="2">
        <v>0.14912230000000001</v>
      </c>
    </row>
    <row r="7687" spans="18:20" x14ac:dyDescent="0.45">
      <c r="R7687" s="2">
        <v>93.63</v>
      </c>
      <c r="S7687" s="2">
        <v>0.2467094</v>
      </c>
      <c r="T7687" s="2">
        <v>0.1492734</v>
      </c>
    </row>
    <row r="7688" spans="18:20" x14ac:dyDescent="0.45">
      <c r="R7688" s="2">
        <v>93.64</v>
      </c>
      <c r="S7688" s="2">
        <v>0.2469229</v>
      </c>
      <c r="T7688" s="2">
        <v>0.14942449999999999</v>
      </c>
    </row>
    <row r="7689" spans="18:20" x14ac:dyDescent="0.45">
      <c r="R7689" s="2">
        <v>93.65</v>
      </c>
      <c r="S7689" s="2">
        <v>0.24713650000000001</v>
      </c>
      <c r="T7689" s="2">
        <v>0.1495756</v>
      </c>
    </row>
    <row r="7690" spans="18:20" x14ac:dyDescent="0.45">
      <c r="R7690" s="2">
        <v>93.66</v>
      </c>
      <c r="S7690" s="2">
        <v>0.24734999999999999</v>
      </c>
      <c r="T7690" s="2">
        <v>0.14972659999999999</v>
      </c>
    </row>
    <row r="7691" spans="18:20" x14ac:dyDescent="0.45">
      <c r="R7691" s="2">
        <v>93.67</v>
      </c>
      <c r="S7691" s="2">
        <v>0.24756349999999999</v>
      </c>
      <c r="T7691" s="2">
        <v>0.1498777</v>
      </c>
    </row>
    <row r="7692" spans="18:20" x14ac:dyDescent="0.45">
      <c r="R7692" s="2">
        <v>93.68</v>
      </c>
      <c r="S7692" s="2">
        <v>0.247777</v>
      </c>
      <c r="T7692" s="2">
        <v>0.15002879999999999</v>
      </c>
    </row>
    <row r="7693" spans="18:20" x14ac:dyDescent="0.45">
      <c r="R7693" s="2">
        <v>93.69</v>
      </c>
      <c r="S7693" s="2">
        <v>0.24799060000000001</v>
      </c>
      <c r="T7693" s="2">
        <v>0.1501798</v>
      </c>
    </row>
    <row r="7694" spans="18:20" x14ac:dyDescent="0.45">
      <c r="R7694" s="2">
        <v>93.7</v>
      </c>
      <c r="S7694" s="2">
        <v>0.24820410000000001</v>
      </c>
      <c r="T7694" s="2">
        <v>0.15033089999999999</v>
      </c>
    </row>
    <row r="7695" spans="18:20" x14ac:dyDescent="0.45">
      <c r="R7695" s="2">
        <v>93.71</v>
      </c>
      <c r="S7695" s="2">
        <v>0.24841759999999999</v>
      </c>
      <c r="T7695" s="2">
        <v>0.150482</v>
      </c>
    </row>
    <row r="7696" spans="18:20" x14ac:dyDescent="0.45">
      <c r="R7696" s="2">
        <v>93.72</v>
      </c>
      <c r="S7696" s="2">
        <v>0.2486312</v>
      </c>
      <c r="T7696" s="2">
        <v>0.15063299999999999</v>
      </c>
    </row>
    <row r="7697" spans="18:20" x14ac:dyDescent="0.45">
      <c r="R7697" s="2">
        <v>93.73</v>
      </c>
      <c r="S7697" s="2">
        <v>0.2488447</v>
      </c>
      <c r="T7697" s="2">
        <v>0.1507841</v>
      </c>
    </row>
    <row r="7698" spans="18:20" x14ac:dyDescent="0.45">
      <c r="R7698" s="2">
        <v>93.74</v>
      </c>
      <c r="S7698" s="2">
        <v>0.24905820000000001</v>
      </c>
      <c r="T7698" s="2">
        <v>0.15093519999999999</v>
      </c>
    </row>
    <row r="7699" spans="18:20" x14ac:dyDescent="0.45">
      <c r="R7699" s="2">
        <v>93.75</v>
      </c>
      <c r="S7699" s="2">
        <v>0.24927179999999999</v>
      </c>
      <c r="T7699" s="2">
        <v>0.15108630000000001</v>
      </c>
    </row>
    <row r="7700" spans="18:20" x14ac:dyDescent="0.45">
      <c r="R7700" s="2">
        <v>93.76</v>
      </c>
      <c r="S7700" s="2">
        <v>0.24948529999999999</v>
      </c>
      <c r="T7700" s="2">
        <v>0.15123729999999999</v>
      </c>
    </row>
    <row r="7701" spans="18:20" x14ac:dyDescent="0.45">
      <c r="R7701" s="2">
        <v>93.77</v>
      </c>
      <c r="S7701" s="2">
        <v>0.2496988</v>
      </c>
      <c r="T7701" s="2">
        <v>0.15138840000000001</v>
      </c>
    </row>
    <row r="7702" spans="18:20" x14ac:dyDescent="0.45">
      <c r="R7702" s="2">
        <v>93.78</v>
      </c>
      <c r="S7702" s="2">
        <v>0.2499123</v>
      </c>
      <c r="T7702" s="2">
        <v>0.15153949999999999</v>
      </c>
    </row>
    <row r="7703" spans="18:20" x14ac:dyDescent="0.45">
      <c r="R7703" s="2">
        <v>93.79</v>
      </c>
      <c r="S7703" s="2">
        <v>0.25012590000000001</v>
      </c>
      <c r="T7703" s="2">
        <v>0.15169050000000001</v>
      </c>
    </row>
    <row r="7704" spans="18:20" x14ac:dyDescent="0.45">
      <c r="R7704" s="2">
        <v>93.8</v>
      </c>
      <c r="S7704" s="2">
        <v>0.25033939999999999</v>
      </c>
      <c r="T7704" s="2">
        <v>0.15184159999999999</v>
      </c>
    </row>
    <row r="7705" spans="18:20" x14ac:dyDescent="0.45">
      <c r="R7705" s="2">
        <v>93.81</v>
      </c>
      <c r="S7705" s="2">
        <v>0.25055290000000002</v>
      </c>
      <c r="T7705" s="2">
        <v>0.15199270000000001</v>
      </c>
    </row>
    <row r="7706" spans="18:20" x14ac:dyDescent="0.45">
      <c r="R7706" s="2">
        <v>93.82</v>
      </c>
      <c r="S7706" s="2">
        <v>0.2507665</v>
      </c>
      <c r="T7706" s="2">
        <v>0.15214369999999999</v>
      </c>
    </row>
    <row r="7707" spans="18:20" x14ac:dyDescent="0.45">
      <c r="R7707" s="2">
        <v>93.83</v>
      </c>
      <c r="S7707" s="2">
        <v>0.25097999999999998</v>
      </c>
      <c r="T7707" s="2">
        <v>0.15229480000000001</v>
      </c>
    </row>
    <row r="7708" spans="18:20" x14ac:dyDescent="0.45">
      <c r="R7708" s="2">
        <v>93.84</v>
      </c>
      <c r="S7708" s="2">
        <v>0.25119350000000001</v>
      </c>
      <c r="T7708" s="2">
        <v>0.1524459</v>
      </c>
    </row>
    <row r="7709" spans="18:20" x14ac:dyDescent="0.45">
      <c r="R7709" s="2">
        <v>93.85</v>
      </c>
      <c r="S7709" s="2">
        <v>0.25140699999999999</v>
      </c>
      <c r="T7709" s="2">
        <v>0.15259690000000001</v>
      </c>
    </row>
    <row r="7710" spans="18:20" x14ac:dyDescent="0.45">
      <c r="R7710" s="2">
        <v>93.86</v>
      </c>
      <c r="S7710" s="2">
        <v>0.25162060000000003</v>
      </c>
      <c r="T7710" s="2">
        <v>0.15274799999999999</v>
      </c>
    </row>
    <row r="7711" spans="18:20" x14ac:dyDescent="0.45">
      <c r="R7711" s="2">
        <v>93.87</v>
      </c>
      <c r="S7711" s="2">
        <v>0.25183410000000001</v>
      </c>
      <c r="T7711" s="2">
        <v>0.15289910000000001</v>
      </c>
    </row>
    <row r="7712" spans="18:20" x14ac:dyDescent="0.45">
      <c r="R7712" s="2">
        <v>93.88</v>
      </c>
      <c r="S7712" s="2">
        <v>0.25204759999999998</v>
      </c>
      <c r="T7712" s="2">
        <v>0.1530502</v>
      </c>
    </row>
    <row r="7713" spans="18:20" x14ac:dyDescent="0.45">
      <c r="R7713" s="2">
        <v>93.89</v>
      </c>
      <c r="S7713" s="2">
        <v>0.25226120000000002</v>
      </c>
      <c r="T7713" s="2">
        <v>0.15320120000000001</v>
      </c>
    </row>
    <row r="7714" spans="18:20" x14ac:dyDescent="0.45">
      <c r="R7714" s="2">
        <v>93.9</v>
      </c>
      <c r="S7714" s="2">
        <v>0.2524747</v>
      </c>
      <c r="T7714" s="2">
        <v>0.1533523</v>
      </c>
    </row>
    <row r="7715" spans="18:20" x14ac:dyDescent="0.45">
      <c r="R7715" s="2">
        <v>93.91</v>
      </c>
      <c r="S7715" s="2">
        <v>0.25268819999999997</v>
      </c>
      <c r="T7715" s="2">
        <v>0.15350340000000001</v>
      </c>
    </row>
    <row r="7716" spans="18:20" x14ac:dyDescent="0.45">
      <c r="R7716" s="2">
        <v>93.92</v>
      </c>
      <c r="S7716" s="2">
        <v>0.25290180000000001</v>
      </c>
      <c r="T7716" s="2">
        <v>0.1536544</v>
      </c>
    </row>
    <row r="7717" spans="18:20" x14ac:dyDescent="0.45">
      <c r="R7717" s="2">
        <v>93.93</v>
      </c>
      <c r="S7717" s="2">
        <v>0.25311529999999999</v>
      </c>
      <c r="T7717" s="2">
        <v>0.15380550000000001</v>
      </c>
    </row>
    <row r="7718" spans="18:20" x14ac:dyDescent="0.45">
      <c r="R7718" s="2">
        <v>93.94</v>
      </c>
      <c r="S7718" s="2">
        <v>0.25332880000000002</v>
      </c>
      <c r="T7718" s="2">
        <v>0.1539566</v>
      </c>
    </row>
    <row r="7719" spans="18:20" x14ac:dyDescent="0.45">
      <c r="R7719" s="2">
        <v>93.95</v>
      </c>
      <c r="S7719" s="2">
        <v>0.2535424</v>
      </c>
      <c r="T7719" s="2">
        <v>0.15410769999999999</v>
      </c>
    </row>
    <row r="7720" spans="18:20" x14ac:dyDescent="0.45">
      <c r="R7720" s="2">
        <v>93.96</v>
      </c>
      <c r="S7720" s="2">
        <v>0.25375589999999998</v>
      </c>
      <c r="T7720" s="2">
        <v>0.1542587</v>
      </c>
    </row>
    <row r="7721" spans="18:20" x14ac:dyDescent="0.45">
      <c r="R7721" s="2">
        <v>93.97</v>
      </c>
      <c r="S7721" s="2">
        <v>0.25396940000000001</v>
      </c>
      <c r="T7721" s="2">
        <v>0.15440980000000001</v>
      </c>
    </row>
    <row r="7722" spans="18:20" x14ac:dyDescent="0.45">
      <c r="R7722" s="2">
        <v>93.98</v>
      </c>
      <c r="S7722" s="2">
        <v>0.25418289999999999</v>
      </c>
      <c r="T7722" s="2">
        <v>0.1545609</v>
      </c>
    </row>
    <row r="7723" spans="18:20" x14ac:dyDescent="0.45">
      <c r="R7723" s="2">
        <v>93.99</v>
      </c>
      <c r="S7723" s="2">
        <v>0.25439650000000003</v>
      </c>
      <c r="T7723" s="2">
        <v>0.15471190000000001</v>
      </c>
    </row>
    <row r="7724" spans="18:20" x14ac:dyDescent="0.45">
      <c r="R7724" s="2">
        <v>94</v>
      </c>
      <c r="S7724" s="2">
        <v>0.25461</v>
      </c>
      <c r="T7724" s="2">
        <v>0.154863</v>
      </c>
    </row>
    <row r="7725" spans="18:20" x14ac:dyDescent="0.45">
      <c r="R7725" s="2">
        <v>94.01</v>
      </c>
      <c r="S7725" s="2">
        <v>0.25484040000000002</v>
      </c>
      <c r="T7725" s="2">
        <v>0.15503040000000001</v>
      </c>
    </row>
    <row r="7726" spans="18:20" x14ac:dyDescent="0.45">
      <c r="R7726" s="2">
        <v>94.02</v>
      </c>
      <c r="S7726" s="2">
        <v>0.25507069999999998</v>
      </c>
      <c r="T7726" s="2">
        <v>0.1551978</v>
      </c>
    </row>
    <row r="7727" spans="18:20" x14ac:dyDescent="0.45">
      <c r="R7727" s="2">
        <v>94.03</v>
      </c>
      <c r="S7727" s="2">
        <v>0.2553011</v>
      </c>
      <c r="T7727" s="2">
        <v>0.15536520000000001</v>
      </c>
    </row>
    <row r="7728" spans="18:20" x14ac:dyDescent="0.45">
      <c r="R7728" s="2">
        <v>94.04</v>
      </c>
      <c r="S7728" s="2">
        <v>0.25553140000000002</v>
      </c>
      <c r="T7728" s="2">
        <v>0.15553259999999999</v>
      </c>
    </row>
    <row r="7729" spans="18:20" x14ac:dyDescent="0.45">
      <c r="R7729" s="2">
        <v>94.05</v>
      </c>
      <c r="S7729" s="2">
        <v>0.25576169999999998</v>
      </c>
      <c r="T7729" s="2">
        <v>0.15570000000000001</v>
      </c>
    </row>
    <row r="7730" spans="18:20" x14ac:dyDescent="0.45">
      <c r="R7730" s="2">
        <v>94.06</v>
      </c>
      <c r="S7730" s="2">
        <v>0.2559921</v>
      </c>
      <c r="T7730" s="2">
        <v>0.15586749999999999</v>
      </c>
    </row>
    <row r="7731" spans="18:20" x14ac:dyDescent="0.45">
      <c r="R7731" s="2">
        <v>94.07</v>
      </c>
      <c r="S7731" s="2">
        <v>0.25622240000000002</v>
      </c>
      <c r="T7731" s="2">
        <v>0.1560349</v>
      </c>
    </row>
    <row r="7732" spans="18:20" x14ac:dyDescent="0.45">
      <c r="R7732" s="2">
        <v>94.08</v>
      </c>
      <c r="S7732" s="2">
        <v>0.25645279999999998</v>
      </c>
      <c r="T7732" s="2">
        <v>0.15620229999999999</v>
      </c>
    </row>
    <row r="7733" spans="18:20" x14ac:dyDescent="0.45">
      <c r="R7733" s="2">
        <v>94.09</v>
      </c>
      <c r="S7733" s="2">
        <v>0.2566832</v>
      </c>
      <c r="T7733" s="2">
        <v>0.1563697</v>
      </c>
    </row>
    <row r="7734" spans="18:20" x14ac:dyDescent="0.45">
      <c r="R7734" s="2">
        <v>94.1</v>
      </c>
      <c r="S7734" s="2">
        <v>0.25691350000000002</v>
      </c>
      <c r="T7734" s="2">
        <v>0.15653710000000001</v>
      </c>
    </row>
    <row r="7735" spans="18:20" x14ac:dyDescent="0.45">
      <c r="R7735" s="2">
        <v>94.11</v>
      </c>
      <c r="S7735" s="2">
        <v>0.25714379999999998</v>
      </c>
      <c r="T7735" s="2">
        <v>0.1567045</v>
      </c>
    </row>
    <row r="7736" spans="18:20" x14ac:dyDescent="0.45">
      <c r="R7736" s="2">
        <v>94.12</v>
      </c>
      <c r="S7736" s="2">
        <v>0.2573742</v>
      </c>
      <c r="T7736" s="2">
        <v>0.15687190000000001</v>
      </c>
    </row>
    <row r="7737" spans="18:20" x14ac:dyDescent="0.45">
      <c r="R7737" s="2">
        <v>94.13</v>
      </c>
      <c r="S7737" s="2">
        <v>0.25760450000000001</v>
      </c>
      <c r="T7737" s="2">
        <v>0.15703929999999999</v>
      </c>
    </row>
    <row r="7738" spans="18:20" x14ac:dyDescent="0.45">
      <c r="R7738" s="2">
        <v>94.14</v>
      </c>
      <c r="S7738" s="2">
        <v>0.25783489999999998</v>
      </c>
      <c r="T7738" s="2">
        <v>0.1572067</v>
      </c>
    </row>
    <row r="7739" spans="18:20" x14ac:dyDescent="0.45">
      <c r="R7739" s="2">
        <v>94.15</v>
      </c>
      <c r="S7739" s="2">
        <v>0.2580653</v>
      </c>
      <c r="T7739" s="2">
        <v>0.15737419999999999</v>
      </c>
    </row>
    <row r="7740" spans="18:20" x14ac:dyDescent="0.45">
      <c r="R7740" s="2">
        <v>94.16</v>
      </c>
      <c r="S7740" s="2">
        <v>0.25829560000000001</v>
      </c>
      <c r="T7740" s="2">
        <v>0.1575416</v>
      </c>
    </row>
    <row r="7741" spans="18:20" x14ac:dyDescent="0.45">
      <c r="R7741" s="2">
        <v>94.17</v>
      </c>
      <c r="S7741" s="2">
        <v>0.25852599999999998</v>
      </c>
      <c r="T7741" s="2">
        <v>0.15770899999999999</v>
      </c>
    </row>
    <row r="7742" spans="18:20" x14ac:dyDescent="0.45">
      <c r="R7742" s="2">
        <v>94.18</v>
      </c>
      <c r="S7742" s="2">
        <v>0.25875629999999999</v>
      </c>
      <c r="T7742" s="2">
        <v>0.1578764</v>
      </c>
    </row>
    <row r="7743" spans="18:20" x14ac:dyDescent="0.45">
      <c r="R7743" s="2">
        <v>94.19</v>
      </c>
      <c r="S7743" s="2">
        <v>0.25898660000000001</v>
      </c>
      <c r="T7743" s="2">
        <v>0.15804380000000001</v>
      </c>
    </row>
    <row r="7744" spans="18:20" x14ac:dyDescent="0.45">
      <c r="R7744" s="2">
        <v>94.2</v>
      </c>
      <c r="S7744" s="2">
        <v>0.25921699999999998</v>
      </c>
      <c r="T7744" s="2">
        <v>0.1582112</v>
      </c>
    </row>
    <row r="7745" spans="18:20" x14ac:dyDescent="0.45">
      <c r="R7745" s="2">
        <v>94.21</v>
      </c>
      <c r="S7745" s="2">
        <v>0.25944729999999999</v>
      </c>
      <c r="T7745" s="2">
        <v>0.15837860000000001</v>
      </c>
    </row>
    <row r="7746" spans="18:20" x14ac:dyDescent="0.45">
      <c r="R7746" s="2">
        <v>94.22</v>
      </c>
      <c r="S7746" s="2">
        <v>0.25967770000000001</v>
      </c>
      <c r="T7746" s="2">
        <v>0.15854599999999999</v>
      </c>
    </row>
    <row r="7747" spans="18:20" x14ac:dyDescent="0.45">
      <c r="R7747" s="2">
        <v>94.23</v>
      </c>
      <c r="S7747" s="2">
        <v>0.25990809999999998</v>
      </c>
      <c r="T7747" s="2">
        <v>0.1587134</v>
      </c>
    </row>
    <row r="7748" spans="18:20" x14ac:dyDescent="0.45">
      <c r="R7748" s="2">
        <v>94.24</v>
      </c>
      <c r="S7748" s="2">
        <v>0.26013839999999999</v>
      </c>
      <c r="T7748" s="2">
        <v>0.15888079999999999</v>
      </c>
    </row>
    <row r="7749" spans="18:20" x14ac:dyDescent="0.45">
      <c r="R7749" s="2">
        <v>94.25</v>
      </c>
      <c r="S7749" s="2">
        <v>0.26036870000000001</v>
      </c>
      <c r="T7749" s="2">
        <v>0.1590483</v>
      </c>
    </row>
    <row r="7750" spans="18:20" x14ac:dyDescent="0.45">
      <c r="R7750" s="2">
        <v>94.26</v>
      </c>
      <c r="S7750" s="2">
        <v>0.26059909999999997</v>
      </c>
      <c r="T7750" s="2">
        <v>0.15921569999999999</v>
      </c>
    </row>
    <row r="7751" spans="18:20" x14ac:dyDescent="0.45">
      <c r="R7751" s="2">
        <v>94.27</v>
      </c>
      <c r="S7751" s="2">
        <v>0.26082939999999999</v>
      </c>
      <c r="T7751" s="2">
        <v>0.1593831</v>
      </c>
    </row>
    <row r="7752" spans="18:20" x14ac:dyDescent="0.45">
      <c r="R7752" s="2">
        <v>94.28</v>
      </c>
      <c r="S7752" s="2">
        <v>0.26105980000000001</v>
      </c>
      <c r="T7752" s="2">
        <v>0.15955050000000001</v>
      </c>
    </row>
    <row r="7753" spans="18:20" x14ac:dyDescent="0.45">
      <c r="R7753" s="2">
        <v>94.29</v>
      </c>
      <c r="S7753" s="2">
        <v>0.26129019999999997</v>
      </c>
      <c r="T7753" s="2">
        <v>0.1597179</v>
      </c>
    </row>
    <row r="7754" spans="18:20" x14ac:dyDescent="0.45">
      <c r="R7754" s="2">
        <v>94.3</v>
      </c>
      <c r="S7754" s="2">
        <v>0.26152049999999999</v>
      </c>
      <c r="T7754" s="2">
        <v>0.15988530000000001</v>
      </c>
    </row>
    <row r="7755" spans="18:20" x14ac:dyDescent="0.45">
      <c r="R7755" s="2">
        <v>94.31</v>
      </c>
      <c r="S7755" s="2">
        <v>0.26175090000000001</v>
      </c>
      <c r="T7755" s="2">
        <v>0.16005269999999999</v>
      </c>
    </row>
    <row r="7756" spans="18:20" x14ac:dyDescent="0.45">
      <c r="R7756" s="2">
        <v>94.32</v>
      </c>
      <c r="S7756" s="2">
        <v>0.26198120000000003</v>
      </c>
      <c r="T7756" s="2">
        <v>0.1602201</v>
      </c>
    </row>
    <row r="7757" spans="18:20" x14ac:dyDescent="0.45">
      <c r="R7757" s="2">
        <v>94.33</v>
      </c>
      <c r="S7757" s="2">
        <v>0.26221149999999999</v>
      </c>
      <c r="T7757" s="2">
        <v>0.16038749999999999</v>
      </c>
    </row>
    <row r="7758" spans="18:20" x14ac:dyDescent="0.45">
      <c r="R7758" s="2">
        <v>94.34</v>
      </c>
      <c r="S7758" s="2">
        <v>0.26244190000000001</v>
      </c>
      <c r="T7758" s="2">
        <v>0.1605549</v>
      </c>
    </row>
    <row r="7759" spans="18:20" x14ac:dyDescent="0.45">
      <c r="R7759" s="2">
        <v>94.35</v>
      </c>
      <c r="S7759" s="2">
        <v>0.26267220000000002</v>
      </c>
      <c r="T7759" s="2">
        <v>0.16072230000000001</v>
      </c>
    </row>
    <row r="7760" spans="18:20" x14ac:dyDescent="0.45">
      <c r="R7760" s="2">
        <v>94.36</v>
      </c>
      <c r="S7760" s="2">
        <v>0.26290259999999999</v>
      </c>
      <c r="T7760" s="2">
        <v>0.1608898</v>
      </c>
    </row>
    <row r="7761" spans="18:20" x14ac:dyDescent="0.45">
      <c r="R7761" s="2">
        <v>94.37</v>
      </c>
      <c r="S7761" s="2">
        <v>0.26313300000000001</v>
      </c>
      <c r="T7761" s="2">
        <v>0.16105720000000001</v>
      </c>
    </row>
    <row r="7762" spans="18:20" x14ac:dyDescent="0.45">
      <c r="R7762" s="2">
        <v>94.38</v>
      </c>
      <c r="S7762" s="2">
        <v>0.26336330000000002</v>
      </c>
      <c r="T7762" s="2">
        <v>0.1612246</v>
      </c>
    </row>
    <row r="7763" spans="18:20" x14ac:dyDescent="0.45">
      <c r="R7763" s="2">
        <v>94.39</v>
      </c>
      <c r="S7763" s="2">
        <v>0.26359369999999999</v>
      </c>
      <c r="T7763" s="2">
        <v>0.16139200000000001</v>
      </c>
    </row>
    <row r="7764" spans="18:20" x14ac:dyDescent="0.45">
      <c r="R7764" s="2">
        <v>94.4</v>
      </c>
      <c r="S7764" s="2">
        <v>0.263824</v>
      </c>
      <c r="T7764" s="2">
        <v>0.16155939999999999</v>
      </c>
    </row>
    <row r="7765" spans="18:20" x14ac:dyDescent="0.45">
      <c r="R7765" s="2">
        <v>94.41</v>
      </c>
      <c r="S7765" s="2">
        <v>0.26405430000000002</v>
      </c>
      <c r="T7765" s="2">
        <v>0.1617268</v>
      </c>
    </row>
    <row r="7766" spans="18:20" x14ac:dyDescent="0.45">
      <c r="R7766" s="2">
        <v>94.42</v>
      </c>
      <c r="S7766" s="2">
        <v>0.26428469999999998</v>
      </c>
      <c r="T7766" s="2">
        <v>0.16189419999999999</v>
      </c>
    </row>
    <row r="7767" spans="18:20" x14ac:dyDescent="0.45">
      <c r="R7767" s="2">
        <v>94.43</v>
      </c>
      <c r="S7767" s="2">
        <v>0.2645151</v>
      </c>
      <c r="T7767" s="2">
        <v>0.1620616</v>
      </c>
    </row>
    <row r="7768" spans="18:20" x14ac:dyDescent="0.45">
      <c r="R7768" s="2">
        <v>94.44</v>
      </c>
      <c r="S7768" s="2">
        <v>0.26474540000000002</v>
      </c>
      <c r="T7768" s="2">
        <v>0.16222900000000001</v>
      </c>
    </row>
    <row r="7769" spans="18:20" x14ac:dyDescent="0.45">
      <c r="R7769" s="2">
        <v>94.45</v>
      </c>
      <c r="S7769" s="2">
        <v>0.26497579999999998</v>
      </c>
      <c r="T7769" s="2">
        <v>0.1623965</v>
      </c>
    </row>
    <row r="7770" spans="18:20" x14ac:dyDescent="0.45">
      <c r="R7770" s="2">
        <v>94.46</v>
      </c>
      <c r="S7770" s="2">
        <v>0.2652061</v>
      </c>
      <c r="T7770" s="2">
        <v>0.16256390000000001</v>
      </c>
    </row>
    <row r="7771" spans="18:20" x14ac:dyDescent="0.45">
      <c r="R7771" s="2">
        <v>94.47</v>
      </c>
      <c r="S7771" s="2">
        <v>0.26543640000000002</v>
      </c>
      <c r="T7771" s="2">
        <v>0.1627313</v>
      </c>
    </row>
    <row r="7772" spans="18:20" x14ac:dyDescent="0.45">
      <c r="R7772" s="2">
        <v>94.48</v>
      </c>
      <c r="S7772" s="2">
        <v>0.26566679999999998</v>
      </c>
      <c r="T7772" s="2">
        <v>0.16289870000000001</v>
      </c>
    </row>
    <row r="7773" spans="18:20" x14ac:dyDescent="0.45">
      <c r="R7773" s="2">
        <v>94.49</v>
      </c>
      <c r="S7773" s="2">
        <v>0.2658971</v>
      </c>
      <c r="T7773" s="2">
        <v>0.16306609999999999</v>
      </c>
    </row>
    <row r="7774" spans="18:20" x14ac:dyDescent="0.45">
      <c r="R7774" s="2">
        <v>94.5</v>
      </c>
      <c r="S7774" s="2">
        <v>0.26612750000000002</v>
      </c>
      <c r="T7774" s="2">
        <v>0.1632335</v>
      </c>
    </row>
    <row r="7775" spans="18:20" x14ac:dyDescent="0.45">
      <c r="R7775" s="2">
        <v>94.51</v>
      </c>
      <c r="S7775" s="2">
        <v>0.26635789999999998</v>
      </c>
      <c r="T7775" s="2">
        <v>0.16340089999999999</v>
      </c>
    </row>
    <row r="7776" spans="18:20" x14ac:dyDescent="0.45">
      <c r="R7776" s="2">
        <v>94.52</v>
      </c>
      <c r="S7776" s="2">
        <v>0.2665882</v>
      </c>
      <c r="T7776" s="2">
        <v>0.1635683</v>
      </c>
    </row>
    <row r="7777" spans="18:20" x14ac:dyDescent="0.45">
      <c r="R7777" s="2">
        <v>94.53</v>
      </c>
      <c r="S7777" s="2">
        <v>0.26681850000000001</v>
      </c>
      <c r="T7777" s="2">
        <v>0.16373570000000001</v>
      </c>
    </row>
    <row r="7778" spans="18:20" x14ac:dyDescent="0.45">
      <c r="R7778" s="2">
        <v>94.54</v>
      </c>
      <c r="S7778" s="2">
        <v>0.26704889999999998</v>
      </c>
      <c r="T7778" s="2">
        <v>0.1639031</v>
      </c>
    </row>
    <row r="7779" spans="18:20" x14ac:dyDescent="0.45">
      <c r="R7779" s="2">
        <v>94.55</v>
      </c>
      <c r="S7779" s="2">
        <v>0.26727919999999999</v>
      </c>
      <c r="T7779" s="2">
        <v>0.16407050000000001</v>
      </c>
    </row>
    <row r="7780" spans="18:20" x14ac:dyDescent="0.45">
      <c r="R7780" s="2">
        <v>94.56</v>
      </c>
      <c r="S7780" s="2">
        <v>0.26750960000000001</v>
      </c>
      <c r="T7780" s="2">
        <v>0.164238</v>
      </c>
    </row>
    <row r="7781" spans="18:20" x14ac:dyDescent="0.45">
      <c r="R7781" s="2">
        <v>94.57</v>
      </c>
      <c r="S7781" s="2">
        <v>0.26773989999999998</v>
      </c>
      <c r="T7781" s="2">
        <v>0.16440540000000001</v>
      </c>
    </row>
    <row r="7782" spans="18:20" x14ac:dyDescent="0.45">
      <c r="R7782" s="2">
        <v>94.58</v>
      </c>
      <c r="S7782" s="2">
        <v>0.26797029999999999</v>
      </c>
      <c r="T7782" s="2">
        <v>0.16457279999999999</v>
      </c>
    </row>
    <row r="7783" spans="18:20" x14ac:dyDescent="0.45">
      <c r="R7783" s="2">
        <v>94.59</v>
      </c>
      <c r="S7783" s="2">
        <v>0.26820070000000001</v>
      </c>
      <c r="T7783" s="2">
        <v>0.1647402</v>
      </c>
    </row>
    <row r="7784" spans="18:20" x14ac:dyDescent="0.45">
      <c r="R7784" s="2">
        <v>94.6</v>
      </c>
      <c r="S7784" s="2">
        <v>0.26843099999999998</v>
      </c>
      <c r="T7784" s="2">
        <v>0.16490759999999999</v>
      </c>
    </row>
    <row r="7785" spans="18:20" x14ac:dyDescent="0.45">
      <c r="R7785" s="2">
        <v>94.61</v>
      </c>
      <c r="S7785" s="2">
        <v>0.26866129999999999</v>
      </c>
      <c r="T7785" s="2">
        <v>0.165075</v>
      </c>
    </row>
    <row r="7786" spans="18:20" x14ac:dyDescent="0.45">
      <c r="R7786" s="2">
        <v>94.62</v>
      </c>
      <c r="S7786" s="2">
        <v>0.26889170000000001</v>
      </c>
      <c r="T7786" s="2">
        <v>0.16524240000000001</v>
      </c>
    </row>
    <row r="7787" spans="18:20" x14ac:dyDescent="0.45">
      <c r="R7787" s="2">
        <v>94.63</v>
      </c>
      <c r="S7787" s="2">
        <v>0.26912199999999997</v>
      </c>
      <c r="T7787" s="2">
        <v>0.1654098</v>
      </c>
    </row>
    <row r="7788" spans="18:20" x14ac:dyDescent="0.45">
      <c r="R7788" s="2">
        <v>94.64</v>
      </c>
      <c r="S7788" s="2">
        <v>0.26935239999999999</v>
      </c>
      <c r="T7788" s="2">
        <v>0.16557720000000001</v>
      </c>
    </row>
    <row r="7789" spans="18:20" x14ac:dyDescent="0.45">
      <c r="R7789" s="2">
        <v>94.65</v>
      </c>
      <c r="S7789" s="2">
        <v>0.26958280000000001</v>
      </c>
      <c r="T7789" s="2">
        <v>0.16574469999999999</v>
      </c>
    </row>
    <row r="7790" spans="18:20" x14ac:dyDescent="0.45">
      <c r="R7790" s="2">
        <v>94.66</v>
      </c>
      <c r="S7790" s="2">
        <v>0.26981309999999997</v>
      </c>
      <c r="T7790" s="2">
        <v>0.16591210000000001</v>
      </c>
    </row>
    <row r="7791" spans="18:20" x14ac:dyDescent="0.45">
      <c r="R7791" s="2">
        <v>94.67</v>
      </c>
      <c r="S7791" s="2">
        <v>0.27004349999999999</v>
      </c>
      <c r="T7791" s="2">
        <v>0.16607949999999999</v>
      </c>
    </row>
    <row r="7792" spans="18:20" x14ac:dyDescent="0.45">
      <c r="R7792" s="2">
        <v>94.68</v>
      </c>
      <c r="S7792" s="2">
        <v>0.27027380000000001</v>
      </c>
      <c r="T7792" s="2">
        <v>0.1662469</v>
      </c>
    </row>
    <row r="7793" spans="18:20" x14ac:dyDescent="0.45">
      <c r="R7793" s="2">
        <v>94.69</v>
      </c>
      <c r="S7793" s="2">
        <v>0.27050410000000003</v>
      </c>
      <c r="T7793" s="2">
        <v>0.16641429999999999</v>
      </c>
    </row>
    <row r="7794" spans="18:20" x14ac:dyDescent="0.45">
      <c r="R7794" s="2">
        <v>94.7</v>
      </c>
      <c r="S7794" s="2">
        <v>0.27073449999999999</v>
      </c>
      <c r="T7794" s="2">
        <v>0.1665817</v>
      </c>
    </row>
    <row r="7795" spans="18:20" x14ac:dyDescent="0.45">
      <c r="R7795" s="2">
        <v>94.71</v>
      </c>
      <c r="S7795" s="2">
        <v>0.27096480000000001</v>
      </c>
      <c r="T7795" s="2">
        <v>0.16674910000000001</v>
      </c>
    </row>
    <row r="7796" spans="18:20" x14ac:dyDescent="0.45">
      <c r="R7796" s="2">
        <v>94.72</v>
      </c>
      <c r="S7796" s="2">
        <v>0.27119520000000003</v>
      </c>
      <c r="T7796" s="2">
        <v>0.1669165</v>
      </c>
    </row>
    <row r="7797" spans="18:20" x14ac:dyDescent="0.45">
      <c r="R7797" s="2">
        <v>94.73</v>
      </c>
      <c r="S7797" s="2">
        <v>0.27142559999999999</v>
      </c>
      <c r="T7797" s="2">
        <v>0.16708390000000001</v>
      </c>
    </row>
    <row r="7798" spans="18:20" x14ac:dyDescent="0.45">
      <c r="R7798" s="2">
        <v>94.74</v>
      </c>
      <c r="S7798" s="2">
        <v>0.27165590000000001</v>
      </c>
      <c r="T7798" s="2">
        <v>0.16725129999999999</v>
      </c>
    </row>
    <row r="7799" spans="18:20" x14ac:dyDescent="0.45">
      <c r="R7799" s="2">
        <v>94.75</v>
      </c>
      <c r="S7799" s="2">
        <v>0.27188630000000003</v>
      </c>
      <c r="T7799" s="2">
        <v>0.16741880000000001</v>
      </c>
    </row>
    <row r="7800" spans="18:20" x14ac:dyDescent="0.45">
      <c r="R7800" s="2">
        <v>94.76</v>
      </c>
      <c r="S7800" s="2">
        <v>0.27211659999999999</v>
      </c>
      <c r="T7800" s="2">
        <v>0.16758619999999999</v>
      </c>
    </row>
    <row r="7801" spans="18:20" x14ac:dyDescent="0.45">
      <c r="R7801" s="2">
        <v>94.77</v>
      </c>
      <c r="S7801" s="2">
        <v>0.2723469</v>
      </c>
      <c r="T7801" s="2">
        <v>0.1677536</v>
      </c>
    </row>
    <row r="7802" spans="18:20" x14ac:dyDescent="0.45">
      <c r="R7802" s="2">
        <v>94.78</v>
      </c>
      <c r="S7802" s="2">
        <v>0.27257730000000002</v>
      </c>
      <c r="T7802" s="2">
        <v>0.16792099999999999</v>
      </c>
    </row>
    <row r="7803" spans="18:20" x14ac:dyDescent="0.45">
      <c r="R7803" s="2">
        <v>94.79</v>
      </c>
      <c r="S7803" s="2">
        <v>0.27280769999999999</v>
      </c>
      <c r="T7803" s="2">
        <v>0.1680884</v>
      </c>
    </row>
    <row r="7804" spans="18:20" x14ac:dyDescent="0.45">
      <c r="R7804" s="2">
        <v>94.8</v>
      </c>
      <c r="S7804" s="2">
        <v>0.273038</v>
      </c>
      <c r="T7804" s="2">
        <v>0.16825580000000001</v>
      </c>
    </row>
    <row r="7805" spans="18:20" x14ac:dyDescent="0.45">
      <c r="R7805" s="2">
        <v>94.81</v>
      </c>
      <c r="S7805" s="2">
        <v>0.27326840000000002</v>
      </c>
      <c r="T7805" s="2">
        <v>0.1684232</v>
      </c>
    </row>
    <row r="7806" spans="18:20" x14ac:dyDescent="0.45">
      <c r="R7806" s="2">
        <v>94.82</v>
      </c>
      <c r="S7806" s="2">
        <v>0.27349869999999998</v>
      </c>
      <c r="T7806" s="2">
        <v>0.16859060000000001</v>
      </c>
    </row>
    <row r="7807" spans="18:20" x14ac:dyDescent="0.45">
      <c r="R7807" s="2">
        <v>94.83</v>
      </c>
      <c r="S7807" s="2">
        <v>0.273729</v>
      </c>
      <c r="T7807" s="2">
        <v>0.16875799999999999</v>
      </c>
    </row>
    <row r="7808" spans="18:20" x14ac:dyDescent="0.45">
      <c r="R7808" s="2">
        <v>94.84</v>
      </c>
      <c r="S7808" s="2">
        <v>0.27395940000000002</v>
      </c>
      <c r="T7808" s="2">
        <v>0.1689254</v>
      </c>
    </row>
    <row r="7809" spans="18:20" x14ac:dyDescent="0.45">
      <c r="R7809" s="2">
        <v>94.85</v>
      </c>
      <c r="S7809" s="2">
        <v>0.27418969999999998</v>
      </c>
      <c r="T7809" s="2">
        <v>0.16909279999999999</v>
      </c>
    </row>
    <row r="7810" spans="18:20" x14ac:dyDescent="0.45">
      <c r="R7810" s="2">
        <v>94.86</v>
      </c>
      <c r="S7810" s="2">
        <v>0.2744201</v>
      </c>
      <c r="T7810" s="2">
        <v>0.1692603</v>
      </c>
    </row>
    <row r="7811" spans="18:20" x14ac:dyDescent="0.45">
      <c r="R7811" s="2">
        <v>94.87</v>
      </c>
      <c r="S7811" s="2">
        <v>0.27465050000000002</v>
      </c>
      <c r="T7811" s="2">
        <v>0.16942769999999999</v>
      </c>
    </row>
    <row r="7812" spans="18:20" x14ac:dyDescent="0.45">
      <c r="R7812" s="2">
        <v>94.88</v>
      </c>
      <c r="S7812" s="2">
        <v>0.27488079999999998</v>
      </c>
      <c r="T7812" s="2">
        <v>0.1695951</v>
      </c>
    </row>
    <row r="7813" spans="18:20" x14ac:dyDescent="0.45">
      <c r="R7813" s="2">
        <v>94.89</v>
      </c>
      <c r="S7813" s="2">
        <v>0.2751111</v>
      </c>
      <c r="T7813" s="2">
        <v>0.16976250000000001</v>
      </c>
    </row>
    <row r="7814" spans="18:20" x14ac:dyDescent="0.45">
      <c r="R7814" s="2">
        <v>94.9</v>
      </c>
      <c r="S7814" s="2">
        <v>0.27534150000000002</v>
      </c>
      <c r="T7814" s="2">
        <v>0.16992989999999999</v>
      </c>
    </row>
    <row r="7815" spans="18:20" x14ac:dyDescent="0.45">
      <c r="R7815" s="2">
        <v>94.91</v>
      </c>
      <c r="S7815" s="2">
        <v>0.27557179999999998</v>
      </c>
      <c r="T7815" s="2">
        <v>0.17009730000000001</v>
      </c>
    </row>
    <row r="7816" spans="18:20" x14ac:dyDescent="0.45">
      <c r="R7816" s="2">
        <v>94.92</v>
      </c>
      <c r="S7816" s="2">
        <v>0.2758022</v>
      </c>
      <c r="T7816" s="2">
        <v>0.17026469999999999</v>
      </c>
    </row>
    <row r="7817" spans="18:20" x14ac:dyDescent="0.45">
      <c r="R7817" s="2">
        <v>94.93</v>
      </c>
      <c r="S7817" s="2">
        <v>0.27603260000000002</v>
      </c>
      <c r="T7817" s="2">
        <v>0.1704321</v>
      </c>
    </row>
    <row r="7818" spans="18:20" x14ac:dyDescent="0.45">
      <c r="R7818" s="2">
        <v>94.94</v>
      </c>
      <c r="S7818" s="2">
        <v>0.27626289999999998</v>
      </c>
      <c r="T7818" s="2">
        <v>0.17059949999999999</v>
      </c>
    </row>
    <row r="7819" spans="18:20" x14ac:dyDescent="0.45">
      <c r="R7819" s="2">
        <v>94.95</v>
      </c>
      <c r="S7819" s="2">
        <v>0.2764933</v>
      </c>
      <c r="T7819" s="2">
        <v>0.170767</v>
      </c>
    </row>
    <row r="7820" spans="18:20" x14ac:dyDescent="0.45">
      <c r="R7820" s="2">
        <v>94.96</v>
      </c>
      <c r="S7820" s="2">
        <v>0.27672360000000001</v>
      </c>
      <c r="T7820" s="2">
        <v>0.17093439999999999</v>
      </c>
    </row>
    <row r="7821" spans="18:20" x14ac:dyDescent="0.45">
      <c r="R7821" s="2">
        <v>94.97</v>
      </c>
      <c r="S7821" s="2">
        <v>0.27695389999999998</v>
      </c>
      <c r="T7821" s="2">
        <v>0.1711018</v>
      </c>
    </row>
    <row r="7822" spans="18:20" x14ac:dyDescent="0.45">
      <c r="R7822" s="2">
        <v>94.98</v>
      </c>
      <c r="S7822" s="2">
        <v>0.27718429999999999</v>
      </c>
      <c r="T7822" s="2">
        <v>0.17126920000000001</v>
      </c>
    </row>
    <row r="7823" spans="18:20" x14ac:dyDescent="0.45">
      <c r="R7823" s="2">
        <v>94.99</v>
      </c>
      <c r="S7823" s="2">
        <v>0.27741460000000001</v>
      </c>
      <c r="T7823" s="2">
        <v>0.17143659999999999</v>
      </c>
    </row>
    <row r="7824" spans="18:20" x14ac:dyDescent="0.45">
      <c r="R7824" s="2">
        <v>95</v>
      </c>
      <c r="S7824" s="2">
        <v>0.27764499999999998</v>
      </c>
      <c r="T7824" s="2">
        <v>0.17160400000000001</v>
      </c>
    </row>
    <row r="7825" spans="18:20" x14ac:dyDescent="0.45">
      <c r="R7825" s="2">
        <v>95.01</v>
      </c>
      <c r="S7825" s="2">
        <v>0.27789320000000001</v>
      </c>
      <c r="T7825" s="2">
        <v>0.17178950000000001</v>
      </c>
    </row>
    <row r="7826" spans="18:20" x14ac:dyDescent="0.45">
      <c r="R7826" s="2">
        <v>95.02</v>
      </c>
      <c r="S7826" s="2">
        <v>0.27814129999999998</v>
      </c>
      <c r="T7826" s="2">
        <v>0.17197499999999999</v>
      </c>
    </row>
    <row r="7827" spans="18:20" x14ac:dyDescent="0.45">
      <c r="R7827" s="2">
        <v>95.03</v>
      </c>
      <c r="S7827" s="2">
        <v>0.27838950000000001</v>
      </c>
      <c r="T7827" s="2">
        <v>0.17216049999999999</v>
      </c>
    </row>
    <row r="7828" spans="18:20" x14ac:dyDescent="0.45">
      <c r="R7828" s="2">
        <v>95.04</v>
      </c>
      <c r="S7828" s="2">
        <v>0.27863769999999999</v>
      </c>
      <c r="T7828" s="2">
        <v>0.172346</v>
      </c>
    </row>
    <row r="7829" spans="18:20" x14ac:dyDescent="0.45">
      <c r="R7829" s="2">
        <v>95.05</v>
      </c>
      <c r="S7829" s="2">
        <v>0.27888580000000002</v>
      </c>
      <c r="T7829" s="2">
        <v>0.1725315</v>
      </c>
    </row>
    <row r="7830" spans="18:20" x14ac:dyDescent="0.45">
      <c r="R7830" s="2">
        <v>95.06</v>
      </c>
      <c r="S7830" s="2">
        <v>0.27913399999999999</v>
      </c>
      <c r="T7830" s="2">
        <v>0.17271710000000001</v>
      </c>
    </row>
    <row r="7831" spans="18:20" x14ac:dyDescent="0.45">
      <c r="R7831" s="2">
        <v>95.07</v>
      </c>
      <c r="S7831" s="2">
        <v>0.27938220000000002</v>
      </c>
      <c r="T7831" s="2">
        <v>0.17290259999999999</v>
      </c>
    </row>
    <row r="7832" spans="18:20" x14ac:dyDescent="0.45">
      <c r="R7832" s="2">
        <v>95.08</v>
      </c>
      <c r="S7832" s="2">
        <v>0.2796304</v>
      </c>
      <c r="T7832" s="2">
        <v>0.17308809999999999</v>
      </c>
    </row>
    <row r="7833" spans="18:20" x14ac:dyDescent="0.45">
      <c r="R7833" s="2">
        <v>95.09</v>
      </c>
      <c r="S7833" s="2">
        <v>0.27987849999999997</v>
      </c>
      <c r="T7833" s="2">
        <v>0.1732736</v>
      </c>
    </row>
    <row r="7834" spans="18:20" x14ac:dyDescent="0.45">
      <c r="R7834" s="2">
        <v>95.1</v>
      </c>
      <c r="S7834" s="2">
        <v>0.28012670000000001</v>
      </c>
      <c r="T7834" s="2">
        <v>0.1734591</v>
      </c>
    </row>
    <row r="7835" spans="18:20" x14ac:dyDescent="0.45">
      <c r="R7835" s="2">
        <v>95.11</v>
      </c>
      <c r="S7835" s="2">
        <v>0.28037489999999998</v>
      </c>
      <c r="T7835" s="2">
        <v>0.17364460000000001</v>
      </c>
    </row>
    <row r="7836" spans="18:20" x14ac:dyDescent="0.45">
      <c r="R7836" s="2">
        <v>95.12</v>
      </c>
      <c r="S7836" s="2">
        <v>0.28062300000000001</v>
      </c>
      <c r="T7836" s="2">
        <v>0.17383009999999999</v>
      </c>
    </row>
    <row r="7837" spans="18:20" x14ac:dyDescent="0.45">
      <c r="R7837" s="2">
        <v>95.13</v>
      </c>
      <c r="S7837" s="2">
        <v>0.28087119999999999</v>
      </c>
      <c r="T7837" s="2">
        <v>0.17401559999999999</v>
      </c>
    </row>
    <row r="7838" spans="18:20" x14ac:dyDescent="0.45">
      <c r="R7838" s="2">
        <v>95.14</v>
      </c>
      <c r="S7838" s="2">
        <v>0.28111940000000002</v>
      </c>
      <c r="T7838" s="2">
        <v>0.1742011</v>
      </c>
    </row>
    <row r="7839" spans="18:20" x14ac:dyDescent="0.45">
      <c r="R7839" s="2">
        <v>95.15</v>
      </c>
      <c r="S7839" s="2">
        <v>0.2813676</v>
      </c>
      <c r="T7839" s="2">
        <v>0.17438670000000001</v>
      </c>
    </row>
    <row r="7840" spans="18:20" x14ac:dyDescent="0.45">
      <c r="R7840" s="2">
        <v>95.16</v>
      </c>
      <c r="S7840" s="2">
        <v>0.28161570000000002</v>
      </c>
      <c r="T7840" s="2">
        <v>0.17457220000000001</v>
      </c>
    </row>
    <row r="7841" spans="18:20" x14ac:dyDescent="0.45">
      <c r="R7841" s="2">
        <v>95.17</v>
      </c>
      <c r="S7841" s="2">
        <v>0.2818639</v>
      </c>
      <c r="T7841" s="2">
        <v>0.17475769999999999</v>
      </c>
    </row>
    <row r="7842" spans="18:20" x14ac:dyDescent="0.45">
      <c r="R7842" s="2">
        <v>95.18</v>
      </c>
      <c r="S7842" s="2">
        <v>0.28211209999999998</v>
      </c>
      <c r="T7842" s="2">
        <v>0.17494319999999999</v>
      </c>
    </row>
    <row r="7843" spans="18:20" x14ac:dyDescent="0.45">
      <c r="R7843" s="2">
        <v>95.19</v>
      </c>
      <c r="S7843" s="2">
        <v>0.28236020000000001</v>
      </c>
      <c r="T7843" s="2">
        <v>0.1751287</v>
      </c>
    </row>
    <row r="7844" spans="18:20" x14ac:dyDescent="0.45">
      <c r="R7844" s="2">
        <v>95.2</v>
      </c>
      <c r="S7844" s="2">
        <v>0.28260839999999998</v>
      </c>
      <c r="T7844" s="2">
        <v>0.1753142</v>
      </c>
    </row>
    <row r="7845" spans="18:20" x14ac:dyDescent="0.45">
      <c r="R7845" s="2">
        <v>95.21</v>
      </c>
      <c r="S7845" s="2">
        <v>0.28285660000000001</v>
      </c>
      <c r="T7845" s="2">
        <v>0.17549970000000001</v>
      </c>
    </row>
    <row r="7846" spans="18:20" x14ac:dyDescent="0.45">
      <c r="R7846" s="2">
        <v>95.22</v>
      </c>
      <c r="S7846" s="2">
        <v>0.28310469999999999</v>
      </c>
      <c r="T7846" s="2">
        <v>0.17568520000000001</v>
      </c>
    </row>
    <row r="7847" spans="18:20" x14ac:dyDescent="0.45">
      <c r="R7847" s="2">
        <v>95.23</v>
      </c>
      <c r="S7847" s="2">
        <v>0.28335290000000002</v>
      </c>
      <c r="T7847" s="2">
        <v>0.17587069999999999</v>
      </c>
    </row>
    <row r="7848" spans="18:20" x14ac:dyDescent="0.45">
      <c r="R7848" s="2">
        <v>95.24</v>
      </c>
      <c r="S7848" s="2">
        <v>0.28360109999999999</v>
      </c>
      <c r="T7848" s="2">
        <v>0.1760562</v>
      </c>
    </row>
    <row r="7849" spans="18:20" x14ac:dyDescent="0.45">
      <c r="R7849" s="2">
        <v>95.25</v>
      </c>
      <c r="S7849" s="2">
        <v>0.28384930000000003</v>
      </c>
      <c r="T7849" s="2">
        <v>0.1762418</v>
      </c>
    </row>
    <row r="7850" spans="18:20" x14ac:dyDescent="0.45">
      <c r="R7850" s="2">
        <v>95.26</v>
      </c>
      <c r="S7850" s="2">
        <v>0.2840974</v>
      </c>
      <c r="T7850" s="2">
        <v>0.17642730000000001</v>
      </c>
    </row>
    <row r="7851" spans="18:20" x14ac:dyDescent="0.45">
      <c r="R7851" s="2">
        <v>95.27</v>
      </c>
      <c r="S7851" s="2">
        <v>0.28434559999999998</v>
      </c>
      <c r="T7851" s="2">
        <v>0.17661279999999999</v>
      </c>
    </row>
    <row r="7852" spans="18:20" x14ac:dyDescent="0.45">
      <c r="R7852" s="2">
        <v>95.28</v>
      </c>
      <c r="S7852" s="2">
        <v>0.28459380000000001</v>
      </c>
      <c r="T7852" s="2">
        <v>0.17679829999999999</v>
      </c>
    </row>
    <row r="7853" spans="18:20" x14ac:dyDescent="0.45">
      <c r="R7853" s="2">
        <v>95.29</v>
      </c>
      <c r="S7853" s="2">
        <v>0.28484189999999998</v>
      </c>
      <c r="T7853" s="2">
        <v>0.1769838</v>
      </c>
    </row>
    <row r="7854" spans="18:20" x14ac:dyDescent="0.45">
      <c r="R7854" s="2">
        <v>95.3</v>
      </c>
      <c r="S7854" s="2">
        <v>0.28509010000000001</v>
      </c>
      <c r="T7854" s="2">
        <v>0.1771693</v>
      </c>
    </row>
    <row r="7855" spans="18:20" x14ac:dyDescent="0.45">
      <c r="R7855" s="2">
        <v>95.31</v>
      </c>
      <c r="S7855" s="2">
        <v>0.28533829999999999</v>
      </c>
      <c r="T7855" s="2">
        <v>0.17735480000000001</v>
      </c>
    </row>
    <row r="7856" spans="18:20" x14ac:dyDescent="0.45">
      <c r="R7856" s="2">
        <v>95.32</v>
      </c>
      <c r="S7856" s="2">
        <v>0.28558640000000002</v>
      </c>
      <c r="T7856" s="2">
        <v>0.17754030000000001</v>
      </c>
    </row>
    <row r="7857" spans="18:20" x14ac:dyDescent="0.45">
      <c r="R7857" s="2">
        <v>95.33</v>
      </c>
      <c r="S7857" s="2">
        <v>0.28583459999999999</v>
      </c>
      <c r="T7857" s="2">
        <v>0.17772579999999999</v>
      </c>
    </row>
    <row r="7858" spans="18:20" x14ac:dyDescent="0.45">
      <c r="R7858" s="2">
        <v>95.34</v>
      </c>
      <c r="S7858" s="2">
        <v>0.28608280000000003</v>
      </c>
      <c r="T7858" s="2">
        <v>0.17791129999999999</v>
      </c>
    </row>
    <row r="7859" spans="18:20" x14ac:dyDescent="0.45">
      <c r="R7859" s="2">
        <v>95.35</v>
      </c>
      <c r="S7859" s="2">
        <v>0.2863309</v>
      </c>
      <c r="T7859" s="2">
        <v>0.1780968</v>
      </c>
    </row>
    <row r="7860" spans="18:20" x14ac:dyDescent="0.45">
      <c r="R7860" s="2">
        <v>95.36</v>
      </c>
      <c r="S7860" s="2">
        <v>0.28657909999999998</v>
      </c>
      <c r="T7860" s="2">
        <v>0.17828240000000001</v>
      </c>
    </row>
    <row r="7861" spans="18:20" x14ac:dyDescent="0.45">
      <c r="R7861" s="2">
        <v>95.37</v>
      </c>
      <c r="S7861" s="2">
        <v>0.28682730000000001</v>
      </c>
      <c r="T7861" s="2">
        <v>0.17846790000000001</v>
      </c>
    </row>
    <row r="7862" spans="18:20" x14ac:dyDescent="0.45">
      <c r="R7862" s="2">
        <v>95.38</v>
      </c>
      <c r="S7862" s="2">
        <v>0.28707549999999998</v>
      </c>
      <c r="T7862" s="2">
        <v>0.17865339999999999</v>
      </c>
    </row>
    <row r="7863" spans="18:20" x14ac:dyDescent="0.45">
      <c r="R7863" s="2">
        <v>95.39</v>
      </c>
      <c r="S7863" s="2">
        <v>0.28732360000000001</v>
      </c>
      <c r="T7863" s="2">
        <v>0.1788389</v>
      </c>
    </row>
    <row r="7864" spans="18:20" x14ac:dyDescent="0.45">
      <c r="R7864" s="2">
        <v>95.4</v>
      </c>
      <c r="S7864" s="2">
        <v>0.28757179999999999</v>
      </c>
      <c r="T7864" s="2">
        <v>0.1790244</v>
      </c>
    </row>
    <row r="7865" spans="18:20" x14ac:dyDescent="0.45">
      <c r="R7865" s="2">
        <v>95.41</v>
      </c>
      <c r="S7865" s="2">
        <v>0.28782000000000002</v>
      </c>
      <c r="T7865" s="2">
        <v>0.17920990000000001</v>
      </c>
    </row>
    <row r="7866" spans="18:20" x14ac:dyDescent="0.45">
      <c r="R7866" s="2">
        <v>95.42</v>
      </c>
      <c r="S7866" s="2">
        <v>0.28806809999999999</v>
      </c>
      <c r="T7866" s="2">
        <v>0.17939540000000001</v>
      </c>
    </row>
    <row r="7867" spans="18:20" x14ac:dyDescent="0.45">
      <c r="R7867" s="2">
        <v>95.43</v>
      </c>
      <c r="S7867" s="2">
        <v>0.28831630000000003</v>
      </c>
      <c r="T7867" s="2">
        <v>0.17958089999999999</v>
      </c>
    </row>
    <row r="7868" spans="18:20" x14ac:dyDescent="0.45">
      <c r="R7868" s="2">
        <v>95.44</v>
      </c>
      <c r="S7868" s="2">
        <v>0.2885645</v>
      </c>
      <c r="T7868" s="2">
        <v>0.17976639999999999</v>
      </c>
    </row>
    <row r="7869" spans="18:20" x14ac:dyDescent="0.45">
      <c r="R7869" s="2">
        <v>95.45</v>
      </c>
      <c r="S7869" s="2">
        <v>0.28881269999999998</v>
      </c>
      <c r="T7869" s="2">
        <v>0.179952</v>
      </c>
    </row>
    <row r="7870" spans="18:20" x14ac:dyDescent="0.45">
      <c r="R7870" s="2">
        <v>95.46</v>
      </c>
      <c r="S7870" s="2">
        <v>0.28906080000000001</v>
      </c>
      <c r="T7870" s="2">
        <v>0.18013750000000001</v>
      </c>
    </row>
    <row r="7871" spans="18:20" x14ac:dyDescent="0.45">
      <c r="R7871" s="2">
        <v>95.47</v>
      </c>
      <c r="S7871" s="2">
        <v>0.28930899999999998</v>
      </c>
      <c r="T7871" s="2">
        <v>0.18032300000000001</v>
      </c>
    </row>
    <row r="7872" spans="18:20" x14ac:dyDescent="0.45">
      <c r="R7872" s="2">
        <v>95.48</v>
      </c>
      <c r="S7872" s="2">
        <v>0.28955720000000001</v>
      </c>
      <c r="T7872" s="2">
        <v>0.18050849999999999</v>
      </c>
    </row>
    <row r="7873" spans="18:20" x14ac:dyDescent="0.45">
      <c r="R7873" s="2">
        <v>95.49</v>
      </c>
      <c r="S7873" s="2">
        <v>0.28980529999999999</v>
      </c>
      <c r="T7873" s="2">
        <v>0.18069399999999999</v>
      </c>
    </row>
    <row r="7874" spans="18:20" x14ac:dyDescent="0.45">
      <c r="R7874" s="2">
        <v>95.5</v>
      </c>
      <c r="S7874" s="2">
        <v>0.29005350000000002</v>
      </c>
      <c r="T7874" s="2">
        <v>0.1808795</v>
      </c>
    </row>
    <row r="7875" spans="18:20" x14ac:dyDescent="0.45">
      <c r="R7875" s="2">
        <v>95.51</v>
      </c>
      <c r="S7875" s="2">
        <v>0.2903017</v>
      </c>
      <c r="T7875" s="2">
        <v>0.181065</v>
      </c>
    </row>
    <row r="7876" spans="18:20" x14ac:dyDescent="0.45">
      <c r="R7876" s="2">
        <v>95.52</v>
      </c>
      <c r="S7876" s="2">
        <v>0.29054980000000002</v>
      </c>
      <c r="T7876" s="2">
        <v>0.18125050000000001</v>
      </c>
    </row>
    <row r="7877" spans="18:20" x14ac:dyDescent="0.45">
      <c r="R7877" s="2">
        <v>95.53</v>
      </c>
      <c r="S7877" s="2">
        <v>0.290798</v>
      </c>
      <c r="T7877" s="2">
        <v>0.18143599999999999</v>
      </c>
    </row>
    <row r="7878" spans="18:20" x14ac:dyDescent="0.45">
      <c r="R7878" s="2">
        <v>95.54</v>
      </c>
      <c r="S7878" s="2">
        <v>0.29104619999999998</v>
      </c>
      <c r="T7878" s="2">
        <v>0.18162149999999999</v>
      </c>
    </row>
    <row r="7879" spans="18:20" x14ac:dyDescent="0.45">
      <c r="R7879" s="2">
        <v>95.55</v>
      </c>
      <c r="S7879" s="2">
        <v>0.29129430000000001</v>
      </c>
      <c r="T7879" s="2">
        <v>0.181807</v>
      </c>
    </row>
    <row r="7880" spans="18:20" x14ac:dyDescent="0.45">
      <c r="R7880" s="2">
        <v>95.56</v>
      </c>
      <c r="S7880" s="2">
        <v>0.29154249999999998</v>
      </c>
      <c r="T7880" s="2">
        <v>0.1819926</v>
      </c>
    </row>
    <row r="7881" spans="18:20" x14ac:dyDescent="0.45">
      <c r="R7881" s="2">
        <v>95.57</v>
      </c>
      <c r="S7881" s="2">
        <v>0.29179070000000001</v>
      </c>
      <c r="T7881" s="2">
        <v>0.18217810000000001</v>
      </c>
    </row>
    <row r="7882" spans="18:20" x14ac:dyDescent="0.45">
      <c r="R7882" s="2">
        <v>95.58</v>
      </c>
      <c r="S7882" s="2">
        <v>0.29203889999999999</v>
      </c>
      <c r="T7882" s="2">
        <v>0.18236359999999999</v>
      </c>
    </row>
    <row r="7883" spans="18:20" x14ac:dyDescent="0.45">
      <c r="R7883" s="2">
        <v>95.59</v>
      </c>
      <c r="S7883" s="2">
        <v>0.29228700000000002</v>
      </c>
      <c r="T7883" s="2">
        <v>0.18254909999999999</v>
      </c>
    </row>
    <row r="7884" spans="18:20" x14ac:dyDescent="0.45">
      <c r="R7884" s="2">
        <v>95.6</v>
      </c>
      <c r="S7884" s="2">
        <v>0.2925352</v>
      </c>
      <c r="T7884" s="2">
        <v>0.1827346</v>
      </c>
    </row>
    <row r="7885" spans="18:20" x14ac:dyDescent="0.45">
      <c r="R7885" s="2">
        <v>95.61</v>
      </c>
      <c r="S7885" s="2">
        <v>0.29278340000000003</v>
      </c>
      <c r="T7885" s="2">
        <v>0.1829201</v>
      </c>
    </row>
    <row r="7886" spans="18:20" x14ac:dyDescent="0.45">
      <c r="R7886" s="2">
        <v>95.62</v>
      </c>
      <c r="S7886" s="2">
        <v>0.2930315</v>
      </c>
      <c r="T7886" s="2">
        <v>0.18310560000000001</v>
      </c>
    </row>
    <row r="7887" spans="18:20" x14ac:dyDescent="0.45">
      <c r="R7887" s="2">
        <v>95.63</v>
      </c>
      <c r="S7887" s="2">
        <v>0.29327969999999998</v>
      </c>
      <c r="T7887" s="2">
        <v>0.18329110000000001</v>
      </c>
    </row>
    <row r="7888" spans="18:20" x14ac:dyDescent="0.45">
      <c r="R7888" s="2">
        <v>95.64</v>
      </c>
      <c r="S7888" s="2">
        <v>0.29352790000000001</v>
      </c>
      <c r="T7888" s="2">
        <v>0.18347659999999999</v>
      </c>
    </row>
    <row r="7889" spans="18:20" x14ac:dyDescent="0.45">
      <c r="R7889" s="2">
        <v>95.65</v>
      </c>
      <c r="S7889" s="2">
        <v>0.29377609999999998</v>
      </c>
      <c r="T7889" s="2">
        <v>0.1836622</v>
      </c>
    </row>
    <row r="7890" spans="18:20" x14ac:dyDescent="0.45">
      <c r="R7890" s="2">
        <v>95.66</v>
      </c>
      <c r="S7890" s="2">
        <v>0.29402420000000001</v>
      </c>
      <c r="T7890" s="2">
        <v>0.1838477</v>
      </c>
    </row>
    <row r="7891" spans="18:20" x14ac:dyDescent="0.45">
      <c r="R7891" s="2">
        <v>95.67</v>
      </c>
      <c r="S7891" s="2">
        <v>0.29427239999999999</v>
      </c>
      <c r="T7891" s="2">
        <v>0.18403320000000001</v>
      </c>
    </row>
    <row r="7892" spans="18:20" x14ac:dyDescent="0.45">
      <c r="R7892" s="2">
        <v>95.68</v>
      </c>
      <c r="S7892" s="2">
        <v>0.29452060000000002</v>
      </c>
      <c r="T7892" s="2">
        <v>0.18421870000000001</v>
      </c>
    </row>
    <row r="7893" spans="18:20" x14ac:dyDescent="0.45">
      <c r="R7893" s="2">
        <v>95.69</v>
      </c>
      <c r="S7893" s="2">
        <v>0.29476869999999999</v>
      </c>
      <c r="T7893" s="2">
        <v>0.18440419999999999</v>
      </c>
    </row>
    <row r="7894" spans="18:20" x14ac:dyDescent="0.45">
      <c r="R7894" s="2">
        <v>95.7</v>
      </c>
      <c r="S7894" s="2">
        <v>0.29501690000000003</v>
      </c>
      <c r="T7894" s="2">
        <v>0.1845897</v>
      </c>
    </row>
    <row r="7895" spans="18:20" x14ac:dyDescent="0.45">
      <c r="R7895" s="2">
        <v>95.71</v>
      </c>
      <c r="S7895" s="2">
        <v>0.2952651</v>
      </c>
      <c r="T7895" s="2">
        <v>0.1847752</v>
      </c>
    </row>
    <row r="7896" spans="18:20" x14ac:dyDescent="0.45">
      <c r="R7896" s="2">
        <v>95.72</v>
      </c>
      <c r="S7896" s="2">
        <v>0.29551319999999998</v>
      </c>
      <c r="T7896" s="2">
        <v>0.18496070000000001</v>
      </c>
    </row>
    <row r="7897" spans="18:20" x14ac:dyDescent="0.45">
      <c r="R7897" s="2">
        <v>95.73</v>
      </c>
      <c r="S7897" s="2">
        <v>0.29576140000000001</v>
      </c>
      <c r="T7897" s="2">
        <v>0.18514620000000001</v>
      </c>
    </row>
    <row r="7898" spans="18:20" x14ac:dyDescent="0.45">
      <c r="R7898" s="2">
        <v>95.74</v>
      </c>
      <c r="S7898" s="2">
        <v>0.29600959999999998</v>
      </c>
      <c r="T7898" s="2">
        <v>0.18533169999999999</v>
      </c>
    </row>
    <row r="7899" spans="18:20" x14ac:dyDescent="0.45">
      <c r="R7899" s="2">
        <v>95.75</v>
      </c>
      <c r="S7899" s="2">
        <v>0.29625770000000001</v>
      </c>
      <c r="T7899" s="2">
        <v>0.18551719999999999</v>
      </c>
    </row>
    <row r="7900" spans="18:20" x14ac:dyDescent="0.45">
      <c r="R7900" s="2">
        <v>95.76</v>
      </c>
      <c r="S7900" s="2">
        <v>0.29650589999999999</v>
      </c>
      <c r="T7900" s="2">
        <v>0.1857028</v>
      </c>
    </row>
    <row r="7901" spans="18:20" x14ac:dyDescent="0.45">
      <c r="R7901" s="2">
        <v>95.77</v>
      </c>
      <c r="S7901" s="2">
        <v>0.29675410000000002</v>
      </c>
      <c r="T7901" s="2">
        <v>0.18588830000000001</v>
      </c>
    </row>
    <row r="7902" spans="18:20" x14ac:dyDescent="0.45">
      <c r="R7902" s="2">
        <v>95.78</v>
      </c>
      <c r="S7902" s="2">
        <v>0.2970023</v>
      </c>
      <c r="T7902" s="2">
        <v>0.18607380000000001</v>
      </c>
    </row>
    <row r="7903" spans="18:20" x14ac:dyDescent="0.45">
      <c r="R7903" s="2">
        <v>95.79</v>
      </c>
      <c r="S7903" s="2">
        <v>0.29725040000000003</v>
      </c>
      <c r="T7903" s="2">
        <v>0.18625929999999999</v>
      </c>
    </row>
    <row r="7904" spans="18:20" x14ac:dyDescent="0.45">
      <c r="R7904" s="2">
        <v>95.8</v>
      </c>
      <c r="S7904" s="2">
        <v>0.2974986</v>
      </c>
      <c r="T7904" s="2">
        <v>0.18644479999999999</v>
      </c>
    </row>
    <row r="7905" spans="18:20" x14ac:dyDescent="0.45">
      <c r="R7905" s="2">
        <v>95.81</v>
      </c>
      <c r="S7905" s="2">
        <v>0.29774679999999998</v>
      </c>
      <c r="T7905" s="2">
        <v>0.1866303</v>
      </c>
    </row>
    <row r="7906" spans="18:20" x14ac:dyDescent="0.45">
      <c r="R7906" s="2">
        <v>95.82</v>
      </c>
      <c r="S7906" s="2">
        <v>0.29799490000000001</v>
      </c>
      <c r="T7906" s="2">
        <v>0.1868158</v>
      </c>
    </row>
    <row r="7907" spans="18:20" x14ac:dyDescent="0.45">
      <c r="R7907" s="2">
        <v>95.83</v>
      </c>
      <c r="S7907" s="2">
        <v>0.29824309999999998</v>
      </c>
      <c r="T7907" s="2">
        <v>0.18700130000000001</v>
      </c>
    </row>
    <row r="7908" spans="18:20" x14ac:dyDescent="0.45">
      <c r="R7908" s="2">
        <v>95.84</v>
      </c>
      <c r="S7908" s="2">
        <v>0.29849130000000001</v>
      </c>
      <c r="T7908" s="2">
        <v>0.18718679999999999</v>
      </c>
    </row>
    <row r="7909" spans="18:20" x14ac:dyDescent="0.45">
      <c r="R7909" s="2">
        <v>95.85</v>
      </c>
      <c r="S7909" s="2">
        <v>0.29873939999999999</v>
      </c>
      <c r="T7909" s="2">
        <v>0.18737229999999999</v>
      </c>
    </row>
    <row r="7910" spans="18:20" x14ac:dyDescent="0.45">
      <c r="R7910" s="2">
        <v>95.86</v>
      </c>
      <c r="S7910" s="2">
        <v>0.29898760000000002</v>
      </c>
      <c r="T7910" s="2">
        <v>0.1875579</v>
      </c>
    </row>
    <row r="7911" spans="18:20" x14ac:dyDescent="0.45">
      <c r="R7911" s="2">
        <v>95.87</v>
      </c>
      <c r="S7911" s="2">
        <v>0.2992358</v>
      </c>
      <c r="T7911" s="2">
        <v>0.1877434</v>
      </c>
    </row>
    <row r="7912" spans="18:20" x14ac:dyDescent="0.45">
      <c r="R7912" s="2">
        <v>95.88</v>
      </c>
      <c r="S7912" s="2">
        <v>0.29948399999999997</v>
      </c>
      <c r="T7912" s="2">
        <v>0.18792890000000001</v>
      </c>
    </row>
    <row r="7913" spans="18:20" x14ac:dyDescent="0.45">
      <c r="R7913" s="2">
        <v>95.89</v>
      </c>
      <c r="S7913" s="2">
        <v>0.2997321</v>
      </c>
      <c r="T7913" s="2">
        <v>0.18811439999999999</v>
      </c>
    </row>
    <row r="7914" spans="18:20" x14ac:dyDescent="0.45">
      <c r="R7914" s="2">
        <v>95.9</v>
      </c>
      <c r="S7914" s="2">
        <v>0.29998029999999998</v>
      </c>
      <c r="T7914" s="2">
        <v>0.18829989999999999</v>
      </c>
    </row>
    <row r="7915" spans="18:20" x14ac:dyDescent="0.45">
      <c r="R7915" s="2">
        <v>95.91</v>
      </c>
      <c r="S7915" s="2">
        <v>0.30022850000000001</v>
      </c>
      <c r="T7915" s="2">
        <v>0.1884854</v>
      </c>
    </row>
    <row r="7916" spans="18:20" x14ac:dyDescent="0.45">
      <c r="R7916" s="2">
        <v>95.92</v>
      </c>
      <c r="S7916" s="2">
        <v>0.30047659999999998</v>
      </c>
      <c r="T7916" s="2">
        <v>0.1886709</v>
      </c>
    </row>
    <row r="7917" spans="18:20" x14ac:dyDescent="0.45">
      <c r="R7917" s="2">
        <v>95.93</v>
      </c>
      <c r="S7917" s="2">
        <v>0.30072480000000001</v>
      </c>
      <c r="T7917" s="2">
        <v>0.18885640000000001</v>
      </c>
    </row>
    <row r="7918" spans="18:20" x14ac:dyDescent="0.45">
      <c r="R7918" s="2">
        <v>95.94</v>
      </c>
      <c r="S7918" s="2">
        <v>0.30097299999999999</v>
      </c>
      <c r="T7918" s="2">
        <v>0.18904190000000001</v>
      </c>
    </row>
    <row r="7919" spans="18:20" x14ac:dyDescent="0.45">
      <c r="R7919" s="2">
        <v>95.95</v>
      </c>
      <c r="S7919" s="2">
        <v>0.30122120000000002</v>
      </c>
      <c r="T7919" s="2">
        <v>0.18922749999999999</v>
      </c>
    </row>
    <row r="7920" spans="18:20" x14ac:dyDescent="0.45">
      <c r="R7920" s="2">
        <v>95.96</v>
      </c>
      <c r="S7920" s="2">
        <v>0.3014693</v>
      </c>
      <c r="T7920" s="2">
        <v>0.189413</v>
      </c>
    </row>
    <row r="7921" spans="18:20" x14ac:dyDescent="0.45">
      <c r="R7921" s="2">
        <v>95.97</v>
      </c>
      <c r="S7921" s="2">
        <v>0.30171750000000003</v>
      </c>
      <c r="T7921" s="2">
        <v>0.1895985</v>
      </c>
    </row>
    <row r="7922" spans="18:20" x14ac:dyDescent="0.45">
      <c r="R7922" s="2">
        <v>95.98</v>
      </c>
      <c r="S7922" s="2">
        <v>0.3019657</v>
      </c>
      <c r="T7922" s="2">
        <v>0.18978400000000001</v>
      </c>
    </row>
    <row r="7923" spans="18:20" x14ac:dyDescent="0.45">
      <c r="R7923" s="2">
        <v>95.99</v>
      </c>
      <c r="S7923" s="2">
        <v>0.30221379999999998</v>
      </c>
      <c r="T7923" s="2">
        <v>0.18996950000000001</v>
      </c>
    </row>
    <row r="7924" spans="18:20" x14ac:dyDescent="0.45">
      <c r="R7924" s="2">
        <v>96</v>
      </c>
      <c r="S7924" s="2">
        <v>0.30246200000000001</v>
      </c>
      <c r="T7924" s="2">
        <v>0.19015499999999999</v>
      </c>
    </row>
    <row r="7925" spans="18:20" x14ac:dyDescent="0.45">
      <c r="R7925" s="2">
        <v>96.01</v>
      </c>
      <c r="S7925" s="2">
        <v>0.30272909999999997</v>
      </c>
      <c r="T7925" s="2">
        <v>0.19036059999999999</v>
      </c>
    </row>
    <row r="7926" spans="18:20" x14ac:dyDescent="0.45">
      <c r="R7926" s="2">
        <v>96.02</v>
      </c>
      <c r="S7926" s="2">
        <v>0.30299619999999999</v>
      </c>
      <c r="T7926" s="2">
        <v>0.19056619999999999</v>
      </c>
    </row>
    <row r="7927" spans="18:20" x14ac:dyDescent="0.45">
      <c r="R7927" s="2">
        <v>96.03</v>
      </c>
      <c r="S7927" s="2">
        <v>0.30326320000000001</v>
      </c>
      <c r="T7927" s="2">
        <v>0.19077169999999999</v>
      </c>
    </row>
    <row r="7928" spans="18:20" x14ac:dyDescent="0.45">
      <c r="R7928" s="2">
        <v>96.04</v>
      </c>
      <c r="S7928" s="2">
        <v>0.30353029999999998</v>
      </c>
      <c r="T7928" s="2">
        <v>0.19097729999999999</v>
      </c>
    </row>
    <row r="7929" spans="18:20" x14ac:dyDescent="0.45">
      <c r="R7929" s="2">
        <v>96.05</v>
      </c>
      <c r="S7929" s="2">
        <v>0.3037974</v>
      </c>
      <c r="T7929" s="2">
        <v>0.19118289999999999</v>
      </c>
    </row>
    <row r="7930" spans="18:20" x14ac:dyDescent="0.45">
      <c r="R7930" s="2">
        <v>96.06</v>
      </c>
      <c r="S7930" s="2">
        <v>0.30406450000000002</v>
      </c>
      <c r="T7930" s="2">
        <v>0.19138849999999999</v>
      </c>
    </row>
    <row r="7931" spans="18:20" x14ac:dyDescent="0.45">
      <c r="R7931" s="2">
        <v>96.07</v>
      </c>
      <c r="S7931" s="2">
        <v>0.30433159999999998</v>
      </c>
      <c r="T7931" s="2">
        <v>0.19159409999999999</v>
      </c>
    </row>
    <row r="7932" spans="18:20" x14ac:dyDescent="0.45">
      <c r="R7932" s="2">
        <v>96.08</v>
      </c>
      <c r="S7932" s="2">
        <v>0.3045986</v>
      </c>
      <c r="T7932" s="2">
        <v>0.19179959999999999</v>
      </c>
    </row>
    <row r="7933" spans="18:20" x14ac:dyDescent="0.45">
      <c r="R7933" s="2">
        <v>96.09</v>
      </c>
      <c r="S7933" s="2">
        <v>0.30486570000000002</v>
      </c>
      <c r="T7933" s="2">
        <v>0.19200519999999999</v>
      </c>
    </row>
    <row r="7934" spans="18:20" x14ac:dyDescent="0.45">
      <c r="R7934" s="2">
        <v>96.1</v>
      </c>
      <c r="S7934" s="2">
        <v>0.30513279999999998</v>
      </c>
      <c r="T7934" s="2">
        <v>0.19221079999999999</v>
      </c>
    </row>
    <row r="7935" spans="18:20" x14ac:dyDescent="0.45">
      <c r="R7935" s="2">
        <v>96.11</v>
      </c>
      <c r="S7935" s="2">
        <v>0.3053999</v>
      </c>
      <c r="T7935" s="2">
        <v>0.19241639999999999</v>
      </c>
    </row>
    <row r="7936" spans="18:20" x14ac:dyDescent="0.45">
      <c r="R7936" s="2">
        <v>96.12</v>
      </c>
      <c r="S7936" s="2">
        <v>0.30566700000000002</v>
      </c>
      <c r="T7936" s="2">
        <v>0.19262199999999999</v>
      </c>
    </row>
    <row r="7937" spans="18:20" x14ac:dyDescent="0.45">
      <c r="R7937" s="2">
        <v>96.13</v>
      </c>
      <c r="S7937" s="2">
        <v>0.30593399999999998</v>
      </c>
      <c r="T7937" s="2">
        <v>0.19282750000000001</v>
      </c>
    </row>
    <row r="7938" spans="18:20" x14ac:dyDescent="0.45">
      <c r="R7938" s="2">
        <v>96.14</v>
      </c>
      <c r="S7938" s="2">
        <v>0.3062011</v>
      </c>
      <c r="T7938" s="2">
        <v>0.19303310000000001</v>
      </c>
    </row>
    <row r="7939" spans="18:20" x14ac:dyDescent="0.45">
      <c r="R7939" s="2">
        <v>96.15</v>
      </c>
      <c r="S7939" s="2">
        <v>0.30646820000000002</v>
      </c>
      <c r="T7939" s="2">
        <v>0.19323870000000001</v>
      </c>
    </row>
    <row r="7940" spans="18:20" x14ac:dyDescent="0.45">
      <c r="R7940" s="2">
        <v>96.16</v>
      </c>
      <c r="S7940" s="2">
        <v>0.30673529999999999</v>
      </c>
      <c r="T7940" s="2">
        <v>0.19344430000000001</v>
      </c>
    </row>
    <row r="7941" spans="18:20" x14ac:dyDescent="0.45">
      <c r="R7941" s="2">
        <v>96.17</v>
      </c>
      <c r="S7941" s="2">
        <v>0.30700240000000001</v>
      </c>
      <c r="T7941" s="2">
        <v>0.19364990000000001</v>
      </c>
    </row>
    <row r="7942" spans="18:20" x14ac:dyDescent="0.45">
      <c r="R7942" s="2">
        <v>96.18</v>
      </c>
      <c r="S7942" s="2">
        <v>0.30726940000000003</v>
      </c>
      <c r="T7942" s="2">
        <v>0.19385540000000001</v>
      </c>
    </row>
    <row r="7943" spans="18:20" x14ac:dyDescent="0.45">
      <c r="R7943" s="2">
        <v>96.19</v>
      </c>
      <c r="S7943" s="2">
        <v>0.30753649999999999</v>
      </c>
      <c r="T7943" s="2">
        <v>0.19406100000000001</v>
      </c>
    </row>
    <row r="7944" spans="18:20" x14ac:dyDescent="0.45">
      <c r="R7944" s="2">
        <v>96.2</v>
      </c>
      <c r="S7944" s="2">
        <v>0.30780360000000001</v>
      </c>
      <c r="T7944" s="2">
        <v>0.19426660000000001</v>
      </c>
    </row>
    <row r="7945" spans="18:20" x14ac:dyDescent="0.45">
      <c r="R7945" s="2">
        <v>96.21</v>
      </c>
      <c r="S7945" s="2">
        <v>0.30807069999999998</v>
      </c>
      <c r="T7945" s="2">
        <v>0.19447220000000001</v>
      </c>
    </row>
    <row r="7946" spans="18:20" x14ac:dyDescent="0.45">
      <c r="R7946" s="2">
        <v>96.22</v>
      </c>
      <c r="S7946" s="2">
        <v>0.3083378</v>
      </c>
      <c r="T7946" s="2">
        <v>0.19467780000000001</v>
      </c>
    </row>
    <row r="7947" spans="18:20" x14ac:dyDescent="0.45">
      <c r="R7947" s="2">
        <v>96.23</v>
      </c>
      <c r="S7947" s="2">
        <v>0.30860480000000001</v>
      </c>
      <c r="T7947" s="2">
        <v>0.19488330000000001</v>
      </c>
    </row>
    <row r="7948" spans="18:20" x14ac:dyDescent="0.45">
      <c r="R7948" s="2">
        <v>96.24</v>
      </c>
      <c r="S7948" s="2">
        <v>0.30887189999999998</v>
      </c>
      <c r="T7948" s="2">
        <v>0.19508890000000001</v>
      </c>
    </row>
    <row r="7949" spans="18:20" x14ac:dyDescent="0.45">
      <c r="R7949" s="2">
        <v>96.25</v>
      </c>
      <c r="S7949" s="2">
        <v>0.309139</v>
      </c>
      <c r="T7949" s="2">
        <v>0.19529450000000001</v>
      </c>
    </row>
    <row r="7950" spans="18:20" x14ac:dyDescent="0.45">
      <c r="R7950" s="2">
        <v>96.26</v>
      </c>
      <c r="S7950" s="2">
        <v>0.30940610000000002</v>
      </c>
      <c r="T7950" s="2">
        <v>0.19550010000000001</v>
      </c>
    </row>
    <row r="7951" spans="18:20" x14ac:dyDescent="0.45">
      <c r="R7951" s="2">
        <v>96.27</v>
      </c>
      <c r="S7951" s="2">
        <v>0.30967319999999998</v>
      </c>
      <c r="T7951" s="2">
        <v>0.19570570000000001</v>
      </c>
    </row>
    <row r="7952" spans="18:20" x14ac:dyDescent="0.45">
      <c r="R7952" s="2">
        <v>96.28</v>
      </c>
      <c r="S7952" s="2">
        <v>0.3099402</v>
      </c>
      <c r="T7952" s="2">
        <v>0.19591120000000001</v>
      </c>
    </row>
    <row r="7953" spans="18:20" x14ac:dyDescent="0.45">
      <c r="R7953" s="2">
        <v>96.29</v>
      </c>
      <c r="S7953" s="2">
        <v>0.31020730000000002</v>
      </c>
      <c r="T7953" s="2">
        <v>0.19611680000000001</v>
      </c>
    </row>
    <row r="7954" spans="18:20" x14ac:dyDescent="0.45">
      <c r="R7954" s="2">
        <v>96.3</v>
      </c>
      <c r="S7954" s="2">
        <v>0.31047439999999998</v>
      </c>
      <c r="T7954" s="2">
        <v>0.19632240000000001</v>
      </c>
    </row>
    <row r="7955" spans="18:20" x14ac:dyDescent="0.45">
      <c r="R7955" s="2">
        <v>96.31</v>
      </c>
      <c r="S7955" s="2">
        <v>0.3107415</v>
      </c>
      <c r="T7955" s="2">
        <v>0.19652800000000001</v>
      </c>
    </row>
    <row r="7956" spans="18:20" x14ac:dyDescent="0.45">
      <c r="R7956" s="2">
        <v>96.32</v>
      </c>
      <c r="S7956" s="2">
        <v>0.31100860000000002</v>
      </c>
      <c r="T7956" s="2">
        <v>0.19673360000000001</v>
      </c>
    </row>
    <row r="7957" spans="18:20" x14ac:dyDescent="0.45">
      <c r="R7957" s="2">
        <v>96.33</v>
      </c>
      <c r="S7957" s="2">
        <v>0.31127559999999999</v>
      </c>
      <c r="T7957" s="2">
        <v>0.19693910000000001</v>
      </c>
    </row>
    <row r="7958" spans="18:20" x14ac:dyDescent="0.45">
      <c r="R7958" s="2">
        <v>96.34</v>
      </c>
      <c r="S7958" s="2">
        <v>0.31154270000000001</v>
      </c>
      <c r="T7958" s="2">
        <v>0.19714470000000001</v>
      </c>
    </row>
    <row r="7959" spans="18:20" x14ac:dyDescent="0.45">
      <c r="R7959" s="2">
        <v>96.35</v>
      </c>
      <c r="S7959" s="2">
        <v>0.31180980000000003</v>
      </c>
      <c r="T7959" s="2">
        <v>0.19735030000000001</v>
      </c>
    </row>
    <row r="7960" spans="18:20" x14ac:dyDescent="0.45">
      <c r="R7960" s="2">
        <v>96.36</v>
      </c>
      <c r="S7960" s="2">
        <v>0.31207689999999999</v>
      </c>
      <c r="T7960" s="2">
        <v>0.19755590000000001</v>
      </c>
    </row>
    <row r="7961" spans="18:20" x14ac:dyDescent="0.45">
      <c r="R7961" s="2">
        <v>96.37</v>
      </c>
      <c r="S7961" s="2">
        <v>0.31234400000000001</v>
      </c>
      <c r="T7961" s="2">
        <v>0.19776150000000001</v>
      </c>
    </row>
    <row r="7962" spans="18:20" x14ac:dyDescent="0.45">
      <c r="R7962" s="2">
        <v>96.38</v>
      </c>
      <c r="S7962" s="2">
        <v>0.31261100000000003</v>
      </c>
      <c r="T7962" s="2">
        <v>0.197967</v>
      </c>
    </row>
    <row r="7963" spans="18:20" x14ac:dyDescent="0.45">
      <c r="R7963" s="2">
        <v>96.39</v>
      </c>
      <c r="S7963" s="2">
        <v>0.31287809999999999</v>
      </c>
      <c r="T7963" s="2">
        <v>0.1981726</v>
      </c>
    </row>
    <row r="7964" spans="18:20" x14ac:dyDescent="0.45">
      <c r="R7964" s="2">
        <v>96.4</v>
      </c>
      <c r="S7964" s="2">
        <v>0.31314520000000001</v>
      </c>
      <c r="T7964" s="2">
        <v>0.1983782</v>
      </c>
    </row>
    <row r="7965" spans="18:20" x14ac:dyDescent="0.45">
      <c r="R7965" s="2">
        <v>96.41</v>
      </c>
      <c r="S7965" s="2">
        <v>0.31341229999999998</v>
      </c>
      <c r="T7965" s="2">
        <v>0.1985838</v>
      </c>
    </row>
    <row r="7966" spans="18:20" x14ac:dyDescent="0.45">
      <c r="R7966" s="2">
        <v>96.42</v>
      </c>
      <c r="S7966" s="2">
        <v>0.3136794</v>
      </c>
      <c r="T7966" s="2">
        <v>0.1987894</v>
      </c>
    </row>
    <row r="7967" spans="18:20" x14ac:dyDescent="0.45">
      <c r="R7967" s="2">
        <v>96.43</v>
      </c>
      <c r="S7967" s="2">
        <v>0.31394640000000001</v>
      </c>
      <c r="T7967" s="2">
        <v>0.1989949</v>
      </c>
    </row>
    <row r="7968" spans="18:20" x14ac:dyDescent="0.45">
      <c r="R7968" s="2">
        <v>96.44</v>
      </c>
      <c r="S7968" s="2">
        <v>0.31421349999999998</v>
      </c>
      <c r="T7968" s="2">
        <v>0.1992005</v>
      </c>
    </row>
    <row r="7969" spans="18:20" x14ac:dyDescent="0.45">
      <c r="R7969" s="2">
        <v>96.45</v>
      </c>
      <c r="S7969" s="2">
        <v>0.3144806</v>
      </c>
      <c r="T7969" s="2">
        <v>0.1994061</v>
      </c>
    </row>
    <row r="7970" spans="18:20" x14ac:dyDescent="0.45">
      <c r="R7970" s="2">
        <v>96.46</v>
      </c>
      <c r="S7970" s="2">
        <v>0.31474770000000002</v>
      </c>
      <c r="T7970" s="2">
        <v>0.1996117</v>
      </c>
    </row>
    <row r="7971" spans="18:20" x14ac:dyDescent="0.45">
      <c r="R7971" s="2">
        <v>96.47</v>
      </c>
      <c r="S7971" s="2">
        <v>0.31501479999999998</v>
      </c>
      <c r="T7971" s="2">
        <v>0.1998173</v>
      </c>
    </row>
    <row r="7972" spans="18:20" x14ac:dyDescent="0.45">
      <c r="R7972" s="2">
        <v>96.48</v>
      </c>
      <c r="S7972" s="2">
        <v>0.3152818</v>
      </c>
      <c r="T7972" s="2">
        <v>0.2000228</v>
      </c>
    </row>
    <row r="7973" spans="18:20" x14ac:dyDescent="0.45">
      <c r="R7973" s="2">
        <v>96.49</v>
      </c>
      <c r="S7973" s="2">
        <v>0.31554890000000002</v>
      </c>
      <c r="T7973" s="2">
        <v>0.2002284</v>
      </c>
    </row>
    <row r="7974" spans="18:20" x14ac:dyDescent="0.45">
      <c r="R7974" s="2">
        <v>96.5</v>
      </c>
      <c r="S7974" s="2">
        <v>0.31581599999999999</v>
      </c>
      <c r="T7974" s="2">
        <v>0.200434</v>
      </c>
    </row>
    <row r="7975" spans="18:20" x14ac:dyDescent="0.45">
      <c r="R7975" s="2">
        <v>96.51</v>
      </c>
      <c r="S7975" s="2">
        <v>0.31608310000000001</v>
      </c>
      <c r="T7975" s="2">
        <v>0.2006396</v>
      </c>
    </row>
    <row r="7976" spans="18:20" x14ac:dyDescent="0.45">
      <c r="R7976" s="2">
        <v>96.52</v>
      </c>
      <c r="S7976" s="2">
        <v>0.31635020000000003</v>
      </c>
      <c r="T7976" s="2">
        <v>0.2008452</v>
      </c>
    </row>
    <row r="7977" spans="18:20" x14ac:dyDescent="0.45">
      <c r="R7977" s="2">
        <v>96.53</v>
      </c>
      <c r="S7977" s="2">
        <v>0.31661719999999999</v>
      </c>
      <c r="T7977" s="2">
        <v>0.2010507</v>
      </c>
    </row>
    <row r="7978" spans="18:20" x14ac:dyDescent="0.45">
      <c r="R7978" s="2">
        <v>96.54</v>
      </c>
      <c r="S7978" s="2">
        <v>0.31688430000000001</v>
      </c>
      <c r="T7978" s="2">
        <v>0.2012563</v>
      </c>
    </row>
    <row r="7979" spans="18:20" x14ac:dyDescent="0.45">
      <c r="R7979" s="2">
        <v>96.55</v>
      </c>
      <c r="S7979" s="2">
        <v>0.31715140000000003</v>
      </c>
      <c r="T7979" s="2">
        <v>0.2014619</v>
      </c>
    </row>
    <row r="7980" spans="18:20" x14ac:dyDescent="0.45">
      <c r="R7980" s="2">
        <v>96.56</v>
      </c>
      <c r="S7980" s="2">
        <v>0.31741849999999999</v>
      </c>
      <c r="T7980" s="2">
        <v>0.2016675</v>
      </c>
    </row>
    <row r="7981" spans="18:20" x14ac:dyDescent="0.45">
      <c r="R7981" s="2">
        <v>96.57</v>
      </c>
      <c r="S7981" s="2">
        <v>0.31768560000000001</v>
      </c>
      <c r="T7981" s="2">
        <v>0.2018731</v>
      </c>
    </row>
    <row r="7982" spans="18:20" x14ac:dyDescent="0.45">
      <c r="R7982" s="2">
        <v>96.58</v>
      </c>
      <c r="S7982" s="2">
        <v>0.31795259999999997</v>
      </c>
      <c r="T7982" s="2">
        <v>0.2020786</v>
      </c>
    </row>
    <row r="7983" spans="18:20" x14ac:dyDescent="0.45">
      <c r="R7983" s="2">
        <v>96.59</v>
      </c>
      <c r="S7983" s="2">
        <v>0.31821969999999999</v>
      </c>
      <c r="T7983" s="2">
        <v>0.2022842</v>
      </c>
    </row>
    <row r="7984" spans="18:20" x14ac:dyDescent="0.45">
      <c r="R7984" s="2">
        <v>96.6</v>
      </c>
      <c r="S7984" s="2">
        <v>0.31848680000000001</v>
      </c>
      <c r="T7984" s="2">
        <v>0.2024898</v>
      </c>
    </row>
    <row r="7985" spans="18:20" x14ac:dyDescent="0.45">
      <c r="R7985" s="2">
        <v>96.61</v>
      </c>
      <c r="S7985" s="2">
        <v>0.31875389999999998</v>
      </c>
      <c r="T7985" s="2">
        <v>0.2026954</v>
      </c>
    </row>
    <row r="7986" spans="18:20" x14ac:dyDescent="0.45">
      <c r="R7986" s="2">
        <v>96.62</v>
      </c>
      <c r="S7986" s="2">
        <v>0.319021</v>
      </c>
      <c r="T7986" s="2">
        <v>0.202901</v>
      </c>
    </row>
    <row r="7987" spans="18:20" x14ac:dyDescent="0.45">
      <c r="R7987" s="2">
        <v>96.63</v>
      </c>
      <c r="S7987" s="2">
        <v>0.31928800000000002</v>
      </c>
      <c r="T7987" s="2">
        <v>0.2031065</v>
      </c>
    </row>
    <row r="7988" spans="18:20" x14ac:dyDescent="0.45">
      <c r="R7988" s="2">
        <v>96.64</v>
      </c>
      <c r="S7988" s="2">
        <v>0.31955509999999998</v>
      </c>
      <c r="T7988" s="2">
        <v>0.2033121</v>
      </c>
    </row>
    <row r="7989" spans="18:20" x14ac:dyDescent="0.45">
      <c r="R7989" s="2">
        <v>96.65</v>
      </c>
      <c r="S7989" s="2">
        <v>0.3198222</v>
      </c>
      <c r="T7989" s="2">
        <v>0.2035177</v>
      </c>
    </row>
    <row r="7990" spans="18:20" x14ac:dyDescent="0.45">
      <c r="R7990" s="2">
        <v>96.66</v>
      </c>
      <c r="S7990" s="2">
        <v>0.32008930000000002</v>
      </c>
      <c r="T7990" s="2">
        <v>0.2037233</v>
      </c>
    </row>
    <row r="7991" spans="18:20" x14ac:dyDescent="0.45">
      <c r="R7991" s="2">
        <v>96.67</v>
      </c>
      <c r="S7991" s="2">
        <v>0.32035639999999999</v>
      </c>
      <c r="T7991" s="2">
        <v>0.2039289</v>
      </c>
    </row>
    <row r="7992" spans="18:20" x14ac:dyDescent="0.45">
      <c r="R7992" s="2">
        <v>96.68</v>
      </c>
      <c r="S7992" s="2">
        <v>0.3206234</v>
      </c>
      <c r="T7992" s="2">
        <v>0.20413439999999999</v>
      </c>
    </row>
    <row r="7993" spans="18:20" x14ac:dyDescent="0.45">
      <c r="R7993" s="2">
        <v>96.69</v>
      </c>
      <c r="S7993" s="2">
        <v>0.32089050000000002</v>
      </c>
      <c r="T7993" s="2">
        <v>0.20433999999999999</v>
      </c>
    </row>
    <row r="7994" spans="18:20" x14ac:dyDescent="0.45">
      <c r="R7994" s="2">
        <v>96.7</v>
      </c>
      <c r="S7994" s="2">
        <v>0.32115759999999999</v>
      </c>
      <c r="T7994" s="2">
        <v>0.20454559999999999</v>
      </c>
    </row>
    <row r="7995" spans="18:20" x14ac:dyDescent="0.45">
      <c r="R7995" s="2">
        <v>96.71</v>
      </c>
      <c r="S7995" s="2">
        <v>0.32142470000000001</v>
      </c>
      <c r="T7995" s="2">
        <v>0.20475119999999999</v>
      </c>
    </row>
    <row r="7996" spans="18:20" x14ac:dyDescent="0.45">
      <c r="R7996" s="2">
        <v>96.72</v>
      </c>
      <c r="S7996" s="2">
        <v>0.32169180000000003</v>
      </c>
      <c r="T7996" s="2">
        <v>0.20495679999999999</v>
      </c>
    </row>
    <row r="7997" spans="18:20" x14ac:dyDescent="0.45">
      <c r="R7997" s="2">
        <v>96.73</v>
      </c>
      <c r="S7997" s="2">
        <v>0.32195879999999999</v>
      </c>
      <c r="T7997" s="2">
        <v>0.20516229999999999</v>
      </c>
    </row>
    <row r="7998" spans="18:20" x14ac:dyDescent="0.45">
      <c r="R7998" s="2">
        <v>96.74</v>
      </c>
      <c r="S7998" s="2">
        <v>0.32222590000000001</v>
      </c>
      <c r="T7998" s="2">
        <v>0.20536789999999999</v>
      </c>
    </row>
    <row r="7999" spans="18:20" x14ac:dyDescent="0.45">
      <c r="R7999" s="2">
        <v>96.75</v>
      </c>
      <c r="S7999" s="2">
        <v>0.32249299999999997</v>
      </c>
      <c r="T7999" s="2">
        <v>0.20557349999999999</v>
      </c>
    </row>
    <row r="8000" spans="18:20" x14ac:dyDescent="0.45">
      <c r="R8000" s="2">
        <v>96.76</v>
      </c>
      <c r="S8000" s="2">
        <v>0.32276009999999999</v>
      </c>
      <c r="T8000" s="2">
        <v>0.20577909999999999</v>
      </c>
    </row>
    <row r="8001" spans="18:20" x14ac:dyDescent="0.45">
      <c r="R8001" s="2">
        <v>96.77</v>
      </c>
      <c r="S8001" s="2">
        <v>0.32302720000000001</v>
      </c>
      <c r="T8001" s="2">
        <v>0.20598469999999999</v>
      </c>
    </row>
    <row r="8002" spans="18:20" x14ac:dyDescent="0.45">
      <c r="R8002" s="2">
        <v>96.78</v>
      </c>
      <c r="S8002" s="2">
        <v>0.32329419999999998</v>
      </c>
      <c r="T8002" s="2">
        <v>0.20619019999999999</v>
      </c>
    </row>
    <row r="8003" spans="18:20" x14ac:dyDescent="0.45">
      <c r="R8003" s="2">
        <v>96.79</v>
      </c>
      <c r="S8003" s="2">
        <v>0.3235613</v>
      </c>
      <c r="T8003" s="2">
        <v>0.20639579999999999</v>
      </c>
    </row>
    <row r="8004" spans="18:20" x14ac:dyDescent="0.45">
      <c r="R8004" s="2">
        <v>96.8</v>
      </c>
      <c r="S8004" s="2">
        <v>0.32382840000000002</v>
      </c>
      <c r="T8004" s="2">
        <v>0.20660139999999999</v>
      </c>
    </row>
    <row r="8005" spans="18:20" x14ac:dyDescent="0.45">
      <c r="R8005" s="2">
        <v>96.81</v>
      </c>
      <c r="S8005" s="2">
        <v>0.32409549999999998</v>
      </c>
      <c r="T8005" s="2">
        <v>0.20680699999999999</v>
      </c>
    </row>
    <row r="8006" spans="18:20" x14ac:dyDescent="0.45">
      <c r="R8006" s="2">
        <v>96.82</v>
      </c>
      <c r="S8006" s="2">
        <v>0.3243626</v>
      </c>
      <c r="T8006" s="2">
        <v>0.20701259999999999</v>
      </c>
    </row>
    <row r="8007" spans="18:20" x14ac:dyDescent="0.45">
      <c r="R8007" s="2">
        <v>96.83</v>
      </c>
      <c r="S8007" s="2">
        <v>0.32462960000000002</v>
      </c>
      <c r="T8007" s="2">
        <v>0.20721809999999999</v>
      </c>
    </row>
    <row r="8008" spans="18:20" x14ac:dyDescent="0.45">
      <c r="R8008" s="2">
        <v>96.84</v>
      </c>
      <c r="S8008" s="2">
        <v>0.32489669999999998</v>
      </c>
      <c r="T8008" s="2">
        <v>0.20742369999999999</v>
      </c>
    </row>
    <row r="8009" spans="18:20" x14ac:dyDescent="0.45">
      <c r="R8009" s="2">
        <v>96.85</v>
      </c>
      <c r="S8009" s="2">
        <v>0.3251638</v>
      </c>
      <c r="T8009" s="2">
        <v>0.20762929999999999</v>
      </c>
    </row>
    <row r="8010" spans="18:20" x14ac:dyDescent="0.45">
      <c r="R8010" s="2">
        <v>96.86</v>
      </c>
      <c r="S8010" s="2">
        <v>0.32543090000000002</v>
      </c>
      <c r="T8010" s="2">
        <v>0.20783489999999999</v>
      </c>
    </row>
    <row r="8011" spans="18:20" x14ac:dyDescent="0.45">
      <c r="R8011" s="2">
        <v>96.87</v>
      </c>
      <c r="S8011" s="2">
        <v>0.32569799999999999</v>
      </c>
      <c r="T8011" s="2">
        <v>0.20804049999999999</v>
      </c>
    </row>
    <row r="8012" spans="18:20" x14ac:dyDescent="0.45">
      <c r="R8012" s="2">
        <v>96.88</v>
      </c>
      <c r="S8012" s="2">
        <v>0.325965</v>
      </c>
      <c r="T8012" s="2">
        <v>0.20824599999999999</v>
      </c>
    </row>
    <row r="8013" spans="18:20" x14ac:dyDescent="0.45">
      <c r="R8013" s="2">
        <v>96.89</v>
      </c>
      <c r="S8013" s="2">
        <v>0.32623210000000002</v>
      </c>
      <c r="T8013" s="2">
        <v>0.20845159999999999</v>
      </c>
    </row>
    <row r="8014" spans="18:20" x14ac:dyDescent="0.45">
      <c r="R8014" s="2">
        <v>96.9</v>
      </c>
      <c r="S8014" s="2">
        <v>0.32649919999999999</v>
      </c>
      <c r="T8014" s="2">
        <v>0.20865719999999999</v>
      </c>
    </row>
    <row r="8015" spans="18:20" x14ac:dyDescent="0.45">
      <c r="R8015" s="2">
        <v>96.91</v>
      </c>
      <c r="S8015" s="2">
        <v>0.32676630000000001</v>
      </c>
      <c r="T8015" s="2">
        <v>0.20886279999999999</v>
      </c>
    </row>
    <row r="8016" spans="18:20" x14ac:dyDescent="0.45">
      <c r="R8016" s="2">
        <v>96.92</v>
      </c>
      <c r="S8016" s="2">
        <v>0.32703339999999997</v>
      </c>
      <c r="T8016" s="2">
        <v>0.20906839999999999</v>
      </c>
    </row>
    <row r="8017" spans="18:20" x14ac:dyDescent="0.45">
      <c r="R8017" s="2">
        <v>96.93</v>
      </c>
      <c r="S8017" s="2">
        <v>0.32730039999999999</v>
      </c>
      <c r="T8017" s="2">
        <v>0.20927390000000001</v>
      </c>
    </row>
    <row r="8018" spans="18:20" x14ac:dyDescent="0.45">
      <c r="R8018" s="2">
        <v>96.94</v>
      </c>
      <c r="S8018" s="2">
        <v>0.32756750000000001</v>
      </c>
      <c r="T8018" s="2">
        <v>0.20947950000000001</v>
      </c>
    </row>
    <row r="8019" spans="18:20" x14ac:dyDescent="0.45">
      <c r="R8019" s="2">
        <v>96.95</v>
      </c>
      <c r="S8019" s="2">
        <v>0.32783459999999998</v>
      </c>
      <c r="T8019" s="2">
        <v>0.20968510000000001</v>
      </c>
    </row>
    <row r="8020" spans="18:20" x14ac:dyDescent="0.45">
      <c r="R8020" s="2">
        <v>96.96</v>
      </c>
      <c r="S8020" s="2">
        <v>0.3281017</v>
      </c>
      <c r="T8020" s="2">
        <v>0.20989070000000001</v>
      </c>
    </row>
    <row r="8021" spans="18:20" x14ac:dyDescent="0.45">
      <c r="R8021" s="2">
        <v>96.97</v>
      </c>
      <c r="S8021" s="2">
        <v>0.32836880000000002</v>
      </c>
      <c r="T8021" s="2">
        <v>0.21009630000000001</v>
      </c>
    </row>
    <row r="8022" spans="18:20" x14ac:dyDescent="0.45">
      <c r="R8022" s="2">
        <v>96.98</v>
      </c>
      <c r="S8022" s="2">
        <v>0.32863579999999998</v>
      </c>
      <c r="T8022" s="2">
        <v>0.21030180000000001</v>
      </c>
    </row>
    <row r="8023" spans="18:20" x14ac:dyDescent="0.45">
      <c r="R8023" s="2">
        <v>96.99</v>
      </c>
      <c r="S8023" s="2">
        <v>0.3289029</v>
      </c>
      <c r="T8023" s="2">
        <v>0.21050740000000001</v>
      </c>
    </row>
    <row r="8024" spans="18:20" x14ac:dyDescent="0.45">
      <c r="R8024" s="2">
        <v>97</v>
      </c>
      <c r="S8024" s="2">
        <v>0.32917000000000002</v>
      </c>
      <c r="T8024" s="2">
        <v>0.21071300000000001</v>
      </c>
    </row>
    <row r="8025" spans="18:20" x14ac:dyDescent="0.45">
      <c r="R8025" s="2">
        <v>97.01</v>
      </c>
      <c r="S8025" s="2">
        <v>0.3294571</v>
      </c>
      <c r="T8025" s="2">
        <v>0.21094080000000001</v>
      </c>
    </row>
    <row r="8026" spans="18:20" x14ac:dyDescent="0.45">
      <c r="R8026" s="2">
        <v>97.02</v>
      </c>
      <c r="S8026" s="2">
        <v>0.32974419999999999</v>
      </c>
      <c r="T8026" s="2">
        <v>0.21116860000000001</v>
      </c>
    </row>
    <row r="8027" spans="18:20" x14ac:dyDescent="0.45">
      <c r="R8027" s="2">
        <v>97.03</v>
      </c>
      <c r="S8027" s="2">
        <v>0.33003139999999997</v>
      </c>
      <c r="T8027" s="2">
        <v>0.21139649999999999</v>
      </c>
    </row>
    <row r="8028" spans="18:20" x14ac:dyDescent="0.45">
      <c r="R8028" s="2">
        <v>97.04</v>
      </c>
      <c r="S8028" s="2">
        <v>0.33031850000000001</v>
      </c>
      <c r="T8028" s="2">
        <v>0.21162429999999999</v>
      </c>
    </row>
    <row r="8029" spans="18:20" x14ac:dyDescent="0.45">
      <c r="R8029" s="2">
        <v>97.05</v>
      </c>
      <c r="S8029" s="2">
        <v>0.3306056</v>
      </c>
      <c r="T8029" s="2">
        <v>0.21185209999999999</v>
      </c>
    </row>
    <row r="8030" spans="18:20" x14ac:dyDescent="0.45">
      <c r="R8030" s="2">
        <v>97.06</v>
      </c>
      <c r="S8030" s="2">
        <v>0.33089269999999998</v>
      </c>
      <c r="T8030" s="2">
        <v>0.21207989999999999</v>
      </c>
    </row>
    <row r="8031" spans="18:20" x14ac:dyDescent="0.45">
      <c r="R8031" s="2">
        <v>97.07</v>
      </c>
      <c r="S8031" s="2">
        <v>0.33117980000000002</v>
      </c>
      <c r="T8031" s="2">
        <v>0.21230769999999999</v>
      </c>
    </row>
    <row r="8032" spans="18:20" x14ac:dyDescent="0.45">
      <c r="R8032" s="2">
        <v>97.08</v>
      </c>
      <c r="S8032" s="2">
        <v>0.33146700000000001</v>
      </c>
      <c r="T8032" s="2">
        <v>0.21253559999999999</v>
      </c>
    </row>
    <row r="8033" spans="18:20" x14ac:dyDescent="0.45">
      <c r="R8033" s="2">
        <v>97.09</v>
      </c>
      <c r="S8033" s="2">
        <v>0.3317541</v>
      </c>
      <c r="T8033" s="2">
        <v>0.21276339999999999</v>
      </c>
    </row>
    <row r="8034" spans="18:20" x14ac:dyDescent="0.45">
      <c r="R8034" s="2">
        <v>97.1</v>
      </c>
      <c r="S8034" s="2">
        <v>0.33204119999999998</v>
      </c>
      <c r="T8034" s="2">
        <v>0.21299119999999999</v>
      </c>
    </row>
    <row r="8035" spans="18:20" x14ac:dyDescent="0.45">
      <c r="R8035" s="2">
        <v>97.11</v>
      </c>
      <c r="S8035" s="2">
        <v>0.33232830000000002</v>
      </c>
      <c r="T8035" s="2">
        <v>0.21321899999999999</v>
      </c>
    </row>
    <row r="8036" spans="18:20" x14ac:dyDescent="0.45">
      <c r="R8036" s="2">
        <v>97.12</v>
      </c>
      <c r="S8036" s="2">
        <v>0.33261540000000001</v>
      </c>
      <c r="T8036" s="2">
        <v>0.21344679999999999</v>
      </c>
    </row>
    <row r="8037" spans="18:20" x14ac:dyDescent="0.45">
      <c r="R8037" s="2">
        <v>97.13</v>
      </c>
      <c r="S8037" s="2">
        <v>0.33290259999999999</v>
      </c>
      <c r="T8037" s="2">
        <v>0.2136747</v>
      </c>
    </row>
    <row r="8038" spans="18:20" x14ac:dyDescent="0.45">
      <c r="R8038" s="2">
        <v>97.14</v>
      </c>
      <c r="S8038" s="2">
        <v>0.33318969999999998</v>
      </c>
      <c r="T8038" s="2">
        <v>0.2139025</v>
      </c>
    </row>
    <row r="8039" spans="18:20" x14ac:dyDescent="0.45">
      <c r="R8039" s="2">
        <v>97.15</v>
      </c>
      <c r="S8039" s="2">
        <v>0.33347680000000002</v>
      </c>
      <c r="T8039" s="2">
        <v>0.2141303</v>
      </c>
    </row>
    <row r="8040" spans="18:20" x14ac:dyDescent="0.45">
      <c r="R8040" s="2">
        <v>97.16</v>
      </c>
      <c r="S8040" s="2">
        <v>0.3337639</v>
      </c>
      <c r="T8040" s="2">
        <v>0.2143581</v>
      </c>
    </row>
    <row r="8041" spans="18:20" x14ac:dyDescent="0.45">
      <c r="R8041" s="2">
        <v>97.17</v>
      </c>
      <c r="S8041" s="2">
        <v>0.33405099999999999</v>
      </c>
      <c r="T8041" s="2">
        <v>0.2145859</v>
      </c>
    </row>
    <row r="8042" spans="18:20" x14ac:dyDescent="0.45">
      <c r="R8042" s="2">
        <v>97.18</v>
      </c>
      <c r="S8042" s="2">
        <v>0.33433819999999997</v>
      </c>
      <c r="T8042" s="2">
        <v>0.2148138</v>
      </c>
    </row>
    <row r="8043" spans="18:20" x14ac:dyDescent="0.45">
      <c r="R8043" s="2">
        <v>97.19</v>
      </c>
      <c r="S8043" s="2">
        <v>0.33462530000000001</v>
      </c>
      <c r="T8043" s="2">
        <v>0.2150416</v>
      </c>
    </row>
    <row r="8044" spans="18:20" x14ac:dyDescent="0.45">
      <c r="R8044" s="2">
        <v>97.2</v>
      </c>
      <c r="S8044" s="2">
        <v>0.3349124</v>
      </c>
      <c r="T8044" s="2">
        <v>0.2152694</v>
      </c>
    </row>
    <row r="8045" spans="18:20" x14ac:dyDescent="0.45">
      <c r="R8045" s="2">
        <v>97.21</v>
      </c>
      <c r="S8045" s="2">
        <v>0.33519949999999998</v>
      </c>
      <c r="T8045" s="2">
        <v>0.2154972</v>
      </c>
    </row>
    <row r="8046" spans="18:20" x14ac:dyDescent="0.45">
      <c r="R8046" s="2">
        <v>97.22</v>
      </c>
      <c r="S8046" s="2">
        <v>0.33548660000000002</v>
      </c>
      <c r="T8046" s="2">
        <v>0.215725</v>
      </c>
    </row>
    <row r="8047" spans="18:20" x14ac:dyDescent="0.45">
      <c r="R8047" s="2">
        <v>97.23</v>
      </c>
      <c r="S8047" s="2">
        <v>0.33577380000000001</v>
      </c>
      <c r="T8047" s="2">
        <v>0.2159529</v>
      </c>
    </row>
    <row r="8048" spans="18:20" x14ac:dyDescent="0.45">
      <c r="R8048" s="2">
        <v>97.24</v>
      </c>
      <c r="S8048" s="2">
        <v>0.3360609</v>
      </c>
      <c r="T8048" s="2">
        <v>0.2161807</v>
      </c>
    </row>
    <row r="8049" spans="18:20" x14ac:dyDescent="0.45">
      <c r="R8049" s="2">
        <v>97.25</v>
      </c>
      <c r="S8049" s="2">
        <v>0.33634799999999998</v>
      </c>
      <c r="T8049" s="2">
        <v>0.2164085</v>
      </c>
    </row>
    <row r="8050" spans="18:20" x14ac:dyDescent="0.45">
      <c r="R8050" s="2">
        <v>97.26</v>
      </c>
      <c r="S8050" s="2">
        <v>0.33663510000000002</v>
      </c>
      <c r="T8050" s="2">
        <v>0.2166363</v>
      </c>
    </row>
    <row r="8051" spans="18:20" x14ac:dyDescent="0.45">
      <c r="R8051" s="2">
        <v>97.27</v>
      </c>
      <c r="S8051" s="2">
        <v>0.33692220000000001</v>
      </c>
      <c r="T8051" s="2">
        <v>0.2168641</v>
      </c>
    </row>
    <row r="8052" spans="18:20" x14ac:dyDescent="0.45">
      <c r="R8052" s="2">
        <v>97.28</v>
      </c>
      <c r="S8052" s="2">
        <v>0.33720939999999999</v>
      </c>
      <c r="T8052" s="2">
        <v>0.21709200000000001</v>
      </c>
    </row>
    <row r="8053" spans="18:20" x14ac:dyDescent="0.45">
      <c r="R8053" s="2">
        <v>97.29</v>
      </c>
      <c r="S8053" s="2">
        <v>0.33749649999999998</v>
      </c>
      <c r="T8053" s="2">
        <v>0.21731980000000001</v>
      </c>
    </row>
    <row r="8054" spans="18:20" x14ac:dyDescent="0.45">
      <c r="R8054" s="2">
        <v>97.3</v>
      </c>
      <c r="S8054" s="2">
        <v>0.33778360000000002</v>
      </c>
      <c r="T8054" s="2">
        <v>0.21754760000000001</v>
      </c>
    </row>
    <row r="8055" spans="18:20" x14ac:dyDescent="0.45">
      <c r="R8055" s="2">
        <v>97.31</v>
      </c>
      <c r="S8055" s="2">
        <v>0.3380707</v>
      </c>
      <c r="T8055" s="2">
        <v>0.21777540000000001</v>
      </c>
    </row>
    <row r="8056" spans="18:20" x14ac:dyDescent="0.45">
      <c r="R8056" s="2">
        <v>97.32</v>
      </c>
      <c r="S8056" s="2">
        <v>0.33835779999999999</v>
      </c>
      <c r="T8056" s="2">
        <v>0.21800320000000001</v>
      </c>
    </row>
    <row r="8057" spans="18:20" x14ac:dyDescent="0.45">
      <c r="R8057" s="2">
        <v>97.33</v>
      </c>
      <c r="S8057" s="2">
        <v>0.33864499999999997</v>
      </c>
      <c r="T8057" s="2">
        <v>0.21823110000000001</v>
      </c>
    </row>
    <row r="8058" spans="18:20" x14ac:dyDescent="0.45">
      <c r="R8058" s="2">
        <v>97.34</v>
      </c>
      <c r="S8058" s="2">
        <v>0.33893210000000001</v>
      </c>
      <c r="T8058" s="2">
        <v>0.21845890000000001</v>
      </c>
    </row>
    <row r="8059" spans="18:20" x14ac:dyDescent="0.45">
      <c r="R8059" s="2">
        <v>97.35</v>
      </c>
      <c r="S8059" s="2">
        <v>0.3392192</v>
      </c>
      <c r="T8059" s="2">
        <v>0.21868670000000001</v>
      </c>
    </row>
    <row r="8060" spans="18:20" x14ac:dyDescent="0.45">
      <c r="R8060" s="2">
        <v>97.36</v>
      </c>
      <c r="S8060" s="2">
        <v>0.33950629999999998</v>
      </c>
      <c r="T8060" s="2">
        <v>0.21891450000000001</v>
      </c>
    </row>
    <row r="8061" spans="18:20" x14ac:dyDescent="0.45">
      <c r="R8061" s="2">
        <v>97.37</v>
      </c>
      <c r="S8061" s="2">
        <v>0.33979340000000002</v>
      </c>
      <c r="T8061" s="2">
        <v>0.21914230000000001</v>
      </c>
    </row>
    <row r="8062" spans="18:20" x14ac:dyDescent="0.45">
      <c r="R8062" s="2">
        <v>97.38</v>
      </c>
      <c r="S8062" s="2">
        <v>0.34008060000000001</v>
      </c>
      <c r="T8062" s="2">
        <v>0.21937019999999999</v>
      </c>
    </row>
    <row r="8063" spans="18:20" x14ac:dyDescent="0.45">
      <c r="R8063" s="2">
        <v>97.39</v>
      </c>
      <c r="S8063" s="2">
        <v>0.3403677</v>
      </c>
      <c r="T8063" s="2">
        <v>0.21959799999999999</v>
      </c>
    </row>
    <row r="8064" spans="18:20" x14ac:dyDescent="0.45">
      <c r="R8064" s="2">
        <v>97.4</v>
      </c>
      <c r="S8064" s="2">
        <v>0.34065479999999998</v>
      </c>
      <c r="T8064" s="2">
        <v>0.21982579999999999</v>
      </c>
    </row>
    <row r="8065" spans="18:20" x14ac:dyDescent="0.45">
      <c r="R8065" s="2">
        <v>97.41</v>
      </c>
      <c r="S8065" s="2">
        <v>0.34094190000000002</v>
      </c>
      <c r="T8065" s="2">
        <v>0.22005359999999999</v>
      </c>
    </row>
    <row r="8066" spans="18:20" x14ac:dyDescent="0.45">
      <c r="R8066" s="2">
        <v>97.42</v>
      </c>
      <c r="S8066" s="2">
        <v>0.341229</v>
      </c>
      <c r="T8066" s="2">
        <v>0.22028139999999999</v>
      </c>
    </row>
    <row r="8067" spans="18:20" x14ac:dyDescent="0.45">
      <c r="R8067" s="2">
        <v>97.43</v>
      </c>
      <c r="S8067" s="2">
        <v>0.34151619999999999</v>
      </c>
      <c r="T8067" s="2">
        <v>0.22050929999999999</v>
      </c>
    </row>
    <row r="8068" spans="18:20" x14ac:dyDescent="0.45">
      <c r="R8068" s="2">
        <v>97.44</v>
      </c>
      <c r="S8068" s="2">
        <v>0.34180329999999998</v>
      </c>
      <c r="T8068" s="2">
        <v>0.22073709999999999</v>
      </c>
    </row>
    <row r="8069" spans="18:20" x14ac:dyDescent="0.45">
      <c r="R8069" s="2">
        <v>97.45</v>
      </c>
      <c r="S8069" s="2">
        <v>0.34209040000000002</v>
      </c>
      <c r="T8069" s="2">
        <v>0.22096489999999999</v>
      </c>
    </row>
    <row r="8070" spans="18:20" x14ac:dyDescent="0.45">
      <c r="R8070" s="2">
        <v>97.46</v>
      </c>
      <c r="S8070" s="2">
        <v>0.3423775</v>
      </c>
      <c r="T8070" s="2">
        <v>0.22119269999999999</v>
      </c>
    </row>
    <row r="8071" spans="18:20" x14ac:dyDescent="0.45">
      <c r="R8071" s="2">
        <v>97.47</v>
      </c>
      <c r="S8071" s="2">
        <v>0.34266459999999999</v>
      </c>
      <c r="T8071" s="2">
        <v>0.22142049999999999</v>
      </c>
    </row>
    <row r="8072" spans="18:20" x14ac:dyDescent="0.45">
      <c r="R8072" s="2">
        <v>97.48</v>
      </c>
      <c r="S8072" s="2">
        <v>0.34295179999999997</v>
      </c>
      <c r="T8072" s="2">
        <v>0.2216484</v>
      </c>
    </row>
    <row r="8073" spans="18:20" x14ac:dyDescent="0.45">
      <c r="R8073" s="2">
        <v>97.49</v>
      </c>
      <c r="S8073" s="2">
        <v>0.34323890000000001</v>
      </c>
      <c r="T8073" s="2">
        <v>0.2218762</v>
      </c>
    </row>
    <row r="8074" spans="18:20" x14ac:dyDescent="0.45">
      <c r="R8074" s="2">
        <v>97.5</v>
      </c>
      <c r="S8074" s="2">
        <v>0.343526</v>
      </c>
      <c r="T8074" s="2">
        <v>0.222104</v>
      </c>
    </row>
    <row r="8075" spans="18:20" x14ac:dyDescent="0.45">
      <c r="R8075" s="2">
        <v>97.51</v>
      </c>
      <c r="S8075" s="2">
        <v>0.34381309999999998</v>
      </c>
      <c r="T8075" s="2">
        <v>0.2223318</v>
      </c>
    </row>
    <row r="8076" spans="18:20" x14ac:dyDescent="0.45">
      <c r="R8076" s="2">
        <v>97.52</v>
      </c>
      <c r="S8076" s="2">
        <v>0.34410020000000002</v>
      </c>
      <c r="T8076" s="2">
        <v>0.2225596</v>
      </c>
    </row>
    <row r="8077" spans="18:20" x14ac:dyDescent="0.45">
      <c r="R8077" s="2">
        <v>97.53</v>
      </c>
      <c r="S8077" s="2">
        <v>0.34438740000000001</v>
      </c>
      <c r="T8077" s="2">
        <v>0.2227875</v>
      </c>
    </row>
    <row r="8078" spans="18:20" x14ac:dyDescent="0.45">
      <c r="R8078" s="2">
        <v>97.54</v>
      </c>
      <c r="S8078" s="2">
        <v>0.34467449999999999</v>
      </c>
      <c r="T8078" s="2">
        <v>0.2230153</v>
      </c>
    </row>
    <row r="8079" spans="18:20" x14ac:dyDescent="0.45">
      <c r="R8079" s="2">
        <v>97.55</v>
      </c>
      <c r="S8079" s="2">
        <v>0.34496159999999998</v>
      </c>
      <c r="T8079" s="2">
        <v>0.2232431</v>
      </c>
    </row>
    <row r="8080" spans="18:20" x14ac:dyDescent="0.45">
      <c r="R8080" s="2">
        <v>97.56</v>
      </c>
      <c r="S8080" s="2">
        <v>0.34524870000000002</v>
      </c>
      <c r="T8080" s="2">
        <v>0.2234709</v>
      </c>
    </row>
    <row r="8081" spans="18:20" x14ac:dyDescent="0.45">
      <c r="R8081" s="2">
        <v>97.57</v>
      </c>
      <c r="S8081" s="2">
        <v>0.3455358</v>
      </c>
      <c r="T8081" s="2">
        <v>0.2236987</v>
      </c>
    </row>
    <row r="8082" spans="18:20" x14ac:dyDescent="0.45">
      <c r="R8082" s="2">
        <v>97.58</v>
      </c>
      <c r="S8082" s="2">
        <v>0.34582299999999999</v>
      </c>
      <c r="T8082" s="2">
        <v>0.2239266</v>
      </c>
    </row>
    <row r="8083" spans="18:20" x14ac:dyDescent="0.45">
      <c r="R8083" s="2">
        <v>97.59</v>
      </c>
      <c r="S8083" s="2">
        <v>0.34611009999999998</v>
      </c>
      <c r="T8083" s="2">
        <v>0.2241544</v>
      </c>
    </row>
    <row r="8084" spans="18:20" x14ac:dyDescent="0.45">
      <c r="R8084" s="2">
        <v>97.6</v>
      </c>
      <c r="S8084" s="2">
        <v>0.34639720000000002</v>
      </c>
      <c r="T8084" s="2">
        <v>0.2243822</v>
      </c>
    </row>
    <row r="8085" spans="18:20" x14ac:dyDescent="0.45">
      <c r="R8085" s="2">
        <v>97.61</v>
      </c>
      <c r="S8085" s="2">
        <v>0.3466843</v>
      </c>
      <c r="T8085" s="2">
        <v>0.22461</v>
      </c>
    </row>
    <row r="8086" spans="18:20" x14ac:dyDescent="0.45">
      <c r="R8086" s="2">
        <v>97.62</v>
      </c>
      <c r="S8086" s="2">
        <v>0.34697139999999999</v>
      </c>
      <c r="T8086" s="2">
        <v>0.2248378</v>
      </c>
    </row>
    <row r="8087" spans="18:20" x14ac:dyDescent="0.45">
      <c r="R8087" s="2">
        <v>97.63</v>
      </c>
      <c r="S8087" s="2">
        <v>0.34725859999999997</v>
      </c>
      <c r="T8087" s="2">
        <v>0.22506570000000001</v>
      </c>
    </row>
    <row r="8088" spans="18:20" x14ac:dyDescent="0.45">
      <c r="R8088" s="2">
        <v>97.64</v>
      </c>
      <c r="S8088" s="2">
        <v>0.34754570000000001</v>
      </c>
      <c r="T8088" s="2">
        <v>0.22529350000000001</v>
      </c>
    </row>
    <row r="8089" spans="18:20" x14ac:dyDescent="0.45">
      <c r="R8089" s="2">
        <v>97.65</v>
      </c>
      <c r="S8089" s="2">
        <v>0.3478328</v>
      </c>
      <c r="T8089" s="2">
        <v>0.22552130000000001</v>
      </c>
    </row>
    <row r="8090" spans="18:20" x14ac:dyDescent="0.45">
      <c r="R8090" s="2">
        <v>97.66</v>
      </c>
      <c r="S8090" s="2">
        <v>0.34811989999999998</v>
      </c>
      <c r="T8090" s="2">
        <v>0.22574910000000001</v>
      </c>
    </row>
    <row r="8091" spans="18:20" x14ac:dyDescent="0.45">
      <c r="R8091" s="2">
        <v>97.67</v>
      </c>
      <c r="S8091" s="2">
        <v>0.34840700000000002</v>
      </c>
      <c r="T8091" s="2">
        <v>0.22597690000000001</v>
      </c>
    </row>
    <row r="8092" spans="18:20" x14ac:dyDescent="0.45">
      <c r="R8092" s="2">
        <v>97.68</v>
      </c>
      <c r="S8092" s="2">
        <v>0.34869420000000001</v>
      </c>
      <c r="T8092" s="2">
        <v>0.22620480000000001</v>
      </c>
    </row>
    <row r="8093" spans="18:20" x14ac:dyDescent="0.45">
      <c r="R8093" s="2">
        <v>97.69</v>
      </c>
      <c r="S8093" s="2">
        <v>0.34898129999999999</v>
      </c>
      <c r="T8093" s="2">
        <v>0.22643260000000001</v>
      </c>
    </row>
    <row r="8094" spans="18:20" x14ac:dyDescent="0.45">
      <c r="R8094" s="2">
        <v>97.7</v>
      </c>
      <c r="S8094" s="2">
        <v>0.34926839999999998</v>
      </c>
      <c r="T8094" s="2">
        <v>0.22666040000000001</v>
      </c>
    </row>
    <row r="8095" spans="18:20" x14ac:dyDescent="0.45">
      <c r="R8095" s="2">
        <v>97.71</v>
      </c>
      <c r="S8095" s="2">
        <v>0.34955550000000002</v>
      </c>
      <c r="T8095" s="2">
        <v>0.22688820000000001</v>
      </c>
    </row>
    <row r="8096" spans="18:20" x14ac:dyDescent="0.45">
      <c r="R8096" s="2">
        <v>97.72</v>
      </c>
      <c r="S8096" s="2">
        <v>0.3498426</v>
      </c>
      <c r="T8096" s="2">
        <v>0.22711600000000001</v>
      </c>
    </row>
    <row r="8097" spans="18:20" x14ac:dyDescent="0.45">
      <c r="R8097" s="2">
        <v>97.73</v>
      </c>
      <c r="S8097" s="2">
        <v>0.35012979999999999</v>
      </c>
      <c r="T8097" s="2">
        <v>0.22734389999999999</v>
      </c>
    </row>
    <row r="8098" spans="18:20" x14ac:dyDescent="0.45">
      <c r="R8098" s="2">
        <v>97.74</v>
      </c>
      <c r="S8098" s="2">
        <v>0.35041689999999998</v>
      </c>
      <c r="T8098" s="2">
        <v>0.22757169999999999</v>
      </c>
    </row>
    <row r="8099" spans="18:20" x14ac:dyDescent="0.45">
      <c r="R8099" s="2">
        <v>97.75</v>
      </c>
      <c r="S8099" s="2">
        <v>0.35070400000000002</v>
      </c>
      <c r="T8099" s="2">
        <v>0.22779949999999999</v>
      </c>
    </row>
    <row r="8100" spans="18:20" x14ac:dyDescent="0.45">
      <c r="R8100" s="2">
        <v>97.76</v>
      </c>
      <c r="S8100" s="2">
        <v>0.3509911</v>
      </c>
      <c r="T8100" s="2">
        <v>0.22802729999999999</v>
      </c>
    </row>
    <row r="8101" spans="18:20" x14ac:dyDescent="0.45">
      <c r="R8101" s="2">
        <v>97.77</v>
      </c>
      <c r="S8101" s="2">
        <v>0.35127819999999998</v>
      </c>
      <c r="T8101" s="2">
        <v>0.22825509999999999</v>
      </c>
    </row>
    <row r="8102" spans="18:20" x14ac:dyDescent="0.45">
      <c r="R8102" s="2">
        <v>97.78</v>
      </c>
      <c r="S8102" s="2">
        <v>0.35156539999999997</v>
      </c>
      <c r="T8102" s="2">
        <v>0.22848299999999999</v>
      </c>
    </row>
    <row r="8103" spans="18:20" x14ac:dyDescent="0.45">
      <c r="R8103" s="2">
        <v>97.79</v>
      </c>
      <c r="S8103" s="2">
        <v>0.35185250000000001</v>
      </c>
      <c r="T8103" s="2">
        <v>0.22871079999999999</v>
      </c>
    </row>
    <row r="8104" spans="18:20" x14ac:dyDescent="0.45">
      <c r="R8104" s="2">
        <v>97.8</v>
      </c>
      <c r="S8104" s="2">
        <v>0.3521396</v>
      </c>
      <c r="T8104" s="2">
        <v>0.22893859999999999</v>
      </c>
    </row>
    <row r="8105" spans="18:20" x14ac:dyDescent="0.45">
      <c r="R8105" s="2">
        <v>97.81</v>
      </c>
      <c r="S8105" s="2">
        <v>0.35242669999999998</v>
      </c>
      <c r="T8105" s="2">
        <v>0.22916639999999999</v>
      </c>
    </row>
    <row r="8106" spans="18:20" x14ac:dyDescent="0.45">
      <c r="R8106" s="2">
        <v>97.82</v>
      </c>
      <c r="S8106" s="2">
        <v>0.35271380000000002</v>
      </c>
      <c r="T8106" s="2">
        <v>0.22939419999999999</v>
      </c>
    </row>
    <row r="8107" spans="18:20" x14ac:dyDescent="0.45">
      <c r="R8107" s="2">
        <v>97.83</v>
      </c>
      <c r="S8107" s="2">
        <v>0.35300100000000001</v>
      </c>
      <c r="T8107" s="2">
        <v>0.2296221</v>
      </c>
    </row>
    <row r="8108" spans="18:20" x14ac:dyDescent="0.45">
      <c r="R8108" s="2">
        <v>97.84</v>
      </c>
      <c r="S8108" s="2">
        <v>0.35328809999999999</v>
      </c>
      <c r="T8108" s="2">
        <v>0.2298499</v>
      </c>
    </row>
    <row r="8109" spans="18:20" x14ac:dyDescent="0.45">
      <c r="R8109" s="2">
        <v>97.85</v>
      </c>
      <c r="S8109" s="2">
        <v>0.35357519999999998</v>
      </c>
      <c r="T8109" s="2">
        <v>0.2300777</v>
      </c>
    </row>
    <row r="8110" spans="18:20" x14ac:dyDescent="0.45">
      <c r="R8110" s="2">
        <v>97.86</v>
      </c>
      <c r="S8110" s="2">
        <v>0.35386230000000002</v>
      </c>
      <c r="T8110" s="2">
        <v>0.2303055</v>
      </c>
    </row>
    <row r="8111" spans="18:20" x14ac:dyDescent="0.45">
      <c r="R8111" s="2">
        <v>97.87</v>
      </c>
      <c r="S8111" s="2">
        <v>0.3541494</v>
      </c>
      <c r="T8111" s="2">
        <v>0.2305333</v>
      </c>
    </row>
    <row r="8112" spans="18:20" x14ac:dyDescent="0.45">
      <c r="R8112" s="2">
        <v>97.88</v>
      </c>
      <c r="S8112" s="2">
        <v>0.35443659999999999</v>
      </c>
      <c r="T8112" s="2">
        <v>0.2307612</v>
      </c>
    </row>
    <row r="8113" spans="18:20" x14ac:dyDescent="0.45">
      <c r="R8113" s="2">
        <v>97.89</v>
      </c>
      <c r="S8113" s="2">
        <v>0.35472369999999998</v>
      </c>
      <c r="T8113" s="2">
        <v>0.230989</v>
      </c>
    </row>
    <row r="8114" spans="18:20" x14ac:dyDescent="0.45">
      <c r="R8114" s="2">
        <v>97.9</v>
      </c>
      <c r="S8114" s="2">
        <v>0.35501080000000002</v>
      </c>
      <c r="T8114" s="2">
        <v>0.2312168</v>
      </c>
    </row>
    <row r="8115" spans="18:20" x14ac:dyDescent="0.45">
      <c r="R8115" s="2">
        <v>97.91</v>
      </c>
      <c r="S8115" s="2">
        <v>0.3552979</v>
      </c>
      <c r="T8115" s="2">
        <v>0.2314446</v>
      </c>
    </row>
    <row r="8116" spans="18:20" x14ac:dyDescent="0.45">
      <c r="R8116" s="2">
        <v>97.92</v>
      </c>
      <c r="S8116" s="2">
        <v>0.35558499999999998</v>
      </c>
      <c r="T8116" s="2">
        <v>0.2316724</v>
      </c>
    </row>
    <row r="8117" spans="18:20" x14ac:dyDescent="0.45">
      <c r="R8117" s="2">
        <v>97.93</v>
      </c>
      <c r="S8117" s="2">
        <v>0.35587220000000003</v>
      </c>
      <c r="T8117" s="2">
        <v>0.2319003</v>
      </c>
    </row>
    <row r="8118" spans="18:20" x14ac:dyDescent="0.45">
      <c r="R8118" s="2">
        <v>97.94</v>
      </c>
      <c r="S8118" s="2">
        <v>0.35615930000000001</v>
      </c>
      <c r="T8118" s="2">
        <v>0.2321281</v>
      </c>
    </row>
    <row r="8119" spans="18:20" x14ac:dyDescent="0.45">
      <c r="R8119" s="2">
        <v>97.95</v>
      </c>
      <c r="S8119" s="2">
        <v>0.3564464</v>
      </c>
      <c r="T8119" s="2">
        <v>0.2323559</v>
      </c>
    </row>
    <row r="8120" spans="18:20" x14ac:dyDescent="0.45">
      <c r="R8120" s="2">
        <v>97.96</v>
      </c>
      <c r="S8120" s="2">
        <v>0.35673349999999998</v>
      </c>
      <c r="T8120" s="2">
        <v>0.2325837</v>
      </c>
    </row>
    <row r="8121" spans="18:20" x14ac:dyDescent="0.45">
      <c r="R8121" s="2">
        <v>97.97</v>
      </c>
      <c r="S8121" s="2">
        <v>0.35702060000000002</v>
      </c>
      <c r="T8121" s="2">
        <v>0.2328115</v>
      </c>
    </row>
    <row r="8122" spans="18:20" x14ac:dyDescent="0.45">
      <c r="R8122" s="2">
        <v>97.98</v>
      </c>
      <c r="S8122" s="2">
        <v>0.35730780000000001</v>
      </c>
      <c r="T8122" s="2">
        <v>0.23303940000000001</v>
      </c>
    </row>
    <row r="8123" spans="18:20" x14ac:dyDescent="0.45">
      <c r="R8123" s="2">
        <v>97.99</v>
      </c>
      <c r="S8123" s="2">
        <v>0.35759489999999999</v>
      </c>
      <c r="T8123" s="2">
        <v>0.23326720000000001</v>
      </c>
    </row>
    <row r="8124" spans="18:20" x14ac:dyDescent="0.45">
      <c r="R8124" s="2">
        <v>98</v>
      </c>
      <c r="S8124" s="2">
        <v>0.35788199999999998</v>
      </c>
      <c r="T8124" s="2">
        <v>0.23349500000000001</v>
      </c>
    </row>
    <row r="8125" spans="18:20" x14ac:dyDescent="0.45">
      <c r="R8125" s="2">
        <v>98.01</v>
      </c>
      <c r="S8125" s="2">
        <v>0.35819030000000002</v>
      </c>
      <c r="T8125" s="2">
        <v>0.2337475</v>
      </c>
    </row>
    <row r="8126" spans="18:20" x14ac:dyDescent="0.45">
      <c r="R8126" s="2">
        <v>98.02</v>
      </c>
      <c r="S8126" s="2">
        <v>0.3584986</v>
      </c>
      <c r="T8126" s="2">
        <v>0.23399990000000001</v>
      </c>
    </row>
    <row r="8127" spans="18:20" x14ac:dyDescent="0.45">
      <c r="R8127" s="2">
        <v>98.03</v>
      </c>
      <c r="S8127" s="2">
        <v>0.35880689999999998</v>
      </c>
      <c r="T8127" s="2">
        <v>0.2342524</v>
      </c>
    </row>
    <row r="8128" spans="18:20" x14ac:dyDescent="0.45">
      <c r="R8128" s="2">
        <v>98.04</v>
      </c>
      <c r="S8128" s="2">
        <v>0.35911520000000002</v>
      </c>
      <c r="T8128" s="2">
        <v>0.23450480000000001</v>
      </c>
    </row>
    <row r="8129" spans="18:20" x14ac:dyDescent="0.45">
      <c r="R8129" s="2">
        <v>98.05</v>
      </c>
      <c r="S8129" s="2">
        <v>0.3594234</v>
      </c>
      <c r="T8129" s="2">
        <v>0.2347573</v>
      </c>
    </row>
    <row r="8130" spans="18:20" x14ac:dyDescent="0.45">
      <c r="R8130" s="2">
        <v>98.06</v>
      </c>
      <c r="S8130" s="2">
        <v>0.35973169999999999</v>
      </c>
      <c r="T8130" s="2">
        <v>0.23500979999999999</v>
      </c>
    </row>
    <row r="8131" spans="18:20" x14ac:dyDescent="0.45">
      <c r="R8131" s="2">
        <v>98.07</v>
      </c>
      <c r="S8131" s="2">
        <v>0.36004000000000003</v>
      </c>
      <c r="T8131" s="2">
        <v>0.2352622</v>
      </c>
    </row>
    <row r="8132" spans="18:20" x14ac:dyDescent="0.45">
      <c r="R8132" s="2">
        <v>98.08</v>
      </c>
      <c r="S8132" s="2">
        <v>0.36034830000000001</v>
      </c>
      <c r="T8132" s="2">
        <v>0.23551469999999999</v>
      </c>
    </row>
    <row r="8133" spans="18:20" x14ac:dyDescent="0.45">
      <c r="R8133" s="2">
        <v>98.09</v>
      </c>
      <c r="S8133" s="2">
        <v>0.36065659999999999</v>
      </c>
      <c r="T8133" s="2">
        <v>0.23576710000000001</v>
      </c>
    </row>
    <row r="8134" spans="18:20" x14ac:dyDescent="0.45">
      <c r="R8134" s="2">
        <v>98.1</v>
      </c>
      <c r="S8134" s="2">
        <v>0.36096489999999998</v>
      </c>
      <c r="T8134" s="2">
        <v>0.2360196</v>
      </c>
    </row>
    <row r="8135" spans="18:20" x14ac:dyDescent="0.45">
      <c r="R8135" s="2">
        <v>98.11</v>
      </c>
      <c r="S8135" s="2">
        <v>0.36127320000000002</v>
      </c>
      <c r="T8135" s="2">
        <v>0.23627210000000001</v>
      </c>
    </row>
    <row r="8136" spans="18:20" x14ac:dyDescent="0.45">
      <c r="R8136" s="2">
        <v>98.12</v>
      </c>
      <c r="S8136" s="2">
        <v>0.3615815</v>
      </c>
      <c r="T8136" s="2">
        <v>0.2365245</v>
      </c>
    </row>
    <row r="8137" spans="18:20" x14ac:dyDescent="0.45">
      <c r="R8137" s="2">
        <v>98.13</v>
      </c>
      <c r="S8137" s="2">
        <v>0.36188979999999998</v>
      </c>
      <c r="T8137" s="2">
        <v>0.23677699999999999</v>
      </c>
    </row>
    <row r="8138" spans="18:20" x14ac:dyDescent="0.45">
      <c r="R8138" s="2">
        <v>98.14</v>
      </c>
      <c r="S8138" s="2">
        <v>0.36219810000000002</v>
      </c>
      <c r="T8138" s="2">
        <v>0.2370294</v>
      </c>
    </row>
    <row r="8139" spans="18:20" x14ac:dyDescent="0.45">
      <c r="R8139" s="2">
        <v>98.15</v>
      </c>
      <c r="S8139" s="2">
        <v>0.36250640000000001</v>
      </c>
      <c r="T8139" s="2">
        <v>0.23728189999999999</v>
      </c>
    </row>
    <row r="8140" spans="18:20" x14ac:dyDescent="0.45">
      <c r="R8140" s="2">
        <v>98.16</v>
      </c>
      <c r="S8140" s="2">
        <v>0.36281459999999999</v>
      </c>
      <c r="T8140" s="2">
        <v>0.23753440000000001</v>
      </c>
    </row>
    <row r="8141" spans="18:20" x14ac:dyDescent="0.45">
      <c r="R8141" s="2">
        <v>98.17</v>
      </c>
      <c r="S8141" s="2">
        <v>0.36312290000000003</v>
      </c>
      <c r="T8141" s="2">
        <v>0.23778679999999999</v>
      </c>
    </row>
    <row r="8142" spans="18:20" x14ac:dyDescent="0.45">
      <c r="R8142" s="2">
        <v>98.18</v>
      </c>
      <c r="S8142" s="2">
        <v>0.36343120000000001</v>
      </c>
      <c r="T8142" s="2">
        <v>0.23803930000000001</v>
      </c>
    </row>
    <row r="8143" spans="18:20" x14ac:dyDescent="0.45">
      <c r="R8143" s="2">
        <v>98.19</v>
      </c>
      <c r="S8143" s="2">
        <v>0.36373949999999999</v>
      </c>
      <c r="T8143" s="2">
        <v>0.2382917</v>
      </c>
    </row>
    <row r="8144" spans="18:20" x14ac:dyDescent="0.45">
      <c r="R8144" s="2">
        <v>98.2</v>
      </c>
      <c r="S8144" s="2">
        <v>0.36404779999999998</v>
      </c>
      <c r="T8144" s="2">
        <v>0.23854420000000001</v>
      </c>
    </row>
    <row r="8145" spans="18:20" x14ac:dyDescent="0.45">
      <c r="R8145" s="2">
        <v>98.21</v>
      </c>
      <c r="S8145" s="2">
        <v>0.36435610000000002</v>
      </c>
      <c r="T8145" s="2">
        <v>0.2387967</v>
      </c>
    </row>
    <row r="8146" spans="18:20" x14ac:dyDescent="0.45">
      <c r="R8146" s="2">
        <v>98.22</v>
      </c>
      <c r="S8146" s="2">
        <v>0.3646644</v>
      </c>
      <c r="T8146" s="2">
        <v>0.23904909999999999</v>
      </c>
    </row>
    <row r="8147" spans="18:20" x14ac:dyDescent="0.45">
      <c r="R8147" s="2">
        <v>98.23</v>
      </c>
      <c r="S8147" s="2">
        <v>0.36497269999999998</v>
      </c>
      <c r="T8147" s="2">
        <v>0.2393016</v>
      </c>
    </row>
    <row r="8148" spans="18:20" x14ac:dyDescent="0.45">
      <c r="R8148" s="2">
        <v>98.24</v>
      </c>
      <c r="S8148" s="2">
        <v>0.36528100000000002</v>
      </c>
      <c r="T8148" s="2">
        <v>0.23955399999999999</v>
      </c>
    </row>
    <row r="8149" spans="18:20" x14ac:dyDescent="0.45">
      <c r="R8149" s="2">
        <v>98.25</v>
      </c>
      <c r="S8149" s="2">
        <v>0.3655892</v>
      </c>
      <c r="T8149" s="2">
        <v>0.23980650000000001</v>
      </c>
    </row>
    <row r="8150" spans="18:20" x14ac:dyDescent="0.45">
      <c r="R8150" s="2">
        <v>98.26</v>
      </c>
      <c r="S8150" s="2">
        <v>0.36589749999999999</v>
      </c>
      <c r="T8150" s="2">
        <v>0.24005899999999999</v>
      </c>
    </row>
    <row r="8151" spans="18:20" x14ac:dyDescent="0.45">
      <c r="R8151" s="2">
        <v>98.27</v>
      </c>
      <c r="S8151" s="2">
        <v>0.36620580000000003</v>
      </c>
      <c r="T8151" s="2">
        <v>0.24031140000000001</v>
      </c>
    </row>
    <row r="8152" spans="18:20" x14ac:dyDescent="0.45">
      <c r="R8152" s="2">
        <v>98.28</v>
      </c>
      <c r="S8152" s="2">
        <v>0.36651410000000001</v>
      </c>
      <c r="T8152" s="2">
        <v>0.2405639</v>
      </c>
    </row>
    <row r="8153" spans="18:20" x14ac:dyDescent="0.45">
      <c r="R8153" s="2">
        <v>98.29</v>
      </c>
      <c r="S8153" s="2">
        <v>0.36682239999999999</v>
      </c>
      <c r="T8153" s="2">
        <v>0.24081630000000001</v>
      </c>
    </row>
    <row r="8154" spans="18:20" x14ac:dyDescent="0.45">
      <c r="R8154" s="2">
        <v>98.3</v>
      </c>
      <c r="S8154" s="2">
        <v>0.36713069999999998</v>
      </c>
      <c r="T8154" s="2">
        <v>0.2410688</v>
      </c>
    </row>
    <row r="8155" spans="18:20" x14ac:dyDescent="0.45">
      <c r="R8155" s="2">
        <v>98.31</v>
      </c>
      <c r="S8155" s="2">
        <v>0.36743900000000002</v>
      </c>
      <c r="T8155" s="2">
        <v>0.24132129999999999</v>
      </c>
    </row>
    <row r="8156" spans="18:20" x14ac:dyDescent="0.45">
      <c r="R8156" s="2">
        <v>98.32</v>
      </c>
      <c r="S8156" s="2">
        <v>0.3677473</v>
      </c>
      <c r="T8156" s="2">
        <v>0.2415737</v>
      </c>
    </row>
    <row r="8157" spans="18:20" x14ac:dyDescent="0.45">
      <c r="R8157" s="2">
        <v>98.33</v>
      </c>
      <c r="S8157" s="2">
        <v>0.36805559999999998</v>
      </c>
      <c r="T8157" s="2">
        <v>0.24182619999999999</v>
      </c>
    </row>
    <row r="8158" spans="18:20" x14ac:dyDescent="0.45">
      <c r="R8158" s="2">
        <v>98.34</v>
      </c>
      <c r="S8158" s="2">
        <v>0.36836390000000002</v>
      </c>
      <c r="T8158" s="2">
        <v>0.2420786</v>
      </c>
    </row>
    <row r="8159" spans="18:20" x14ac:dyDescent="0.45">
      <c r="R8159" s="2">
        <v>98.35</v>
      </c>
      <c r="S8159" s="2">
        <v>0.3686721</v>
      </c>
      <c r="T8159" s="2">
        <v>0.24233109999999999</v>
      </c>
    </row>
    <row r="8160" spans="18:20" x14ac:dyDescent="0.45">
      <c r="R8160" s="2">
        <v>98.36</v>
      </c>
      <c r="S8160" s="2">
        <v>0.36898039999999999</v>
      </c>
      <c r="T8160" s="2">
        <v>0.24258360000000001</v>
      </c>
    </row>
    <row r="8161" spans="18:20" x14ac:dyDescent="0.45">
      <c r="R8161" s="2">
        <v>98.37</v>
      </c>
      <c r="S8161" s="2">
        <v>0.36928870000000003</v>
      </c>
      <c r="T8161" s="2">
        <v>0.242836</v>
      </c>
    </row>
    <row r="8162" spans="18:20" x14ac:dyDescent="0.45">
      <c r="R8162" s="2">
        <v>98.38</v>
      </c>
      <c r="S8162" s="2">
        <v>0.36959700000000001</v>
      </c>
      <c r="T8162" s="2">
        <v>0.24308850000000001</v>
      </c>
    </row>
    <row r="8163" spans="18:20" x14ac:dyDescent="0.45">
      <c r="R8163" s="2">
        <v>98.39</v>
      </c>
      <c r="S8163" s="2">
        <v>0.36990529999999999</v>
      </c>
      <c r="T8163" s="2">
        <v>0.2433409</v>
      </c>
    </row>
    <row r="8164" spans="18:20" x14ac:dyDescent="0.45">
      <c r="R8164" s="2">
        <v>98.4</v>
      </c>
      <c r="S8164" s="2">
        <v>0.37021359999999998</v>
      </c>
      <c r="T8164" s="2">
        <v>0.24359339999999999</v>
      </c>
    </row>
    <row r="8165" spans="18:20" x14ac:dyDescent="0.45">
      <c r="R8165" s="2">
        <v>98.41</v>
      </c>
      <c r="S8165" s="2">
        <v>0.37052190000000002</v>
      </c>
      <c r="T8165" s="2">
        <v>0.2438459</v>
      </c>
    </row>
    <row r="8166" spans="18:20" x14ac:dyDescent="0.45">
      <c r="R8166" s="2">
        <v>98.42</v>
      </c>
      <c r="S8166" s="2">
        <v>0.3708302</v>
      </c>
      <c r="T8166" s="2">
        <v>0.24409829999999999</v>
      </c>
    </row>
    <row r="8167" spans="18:20" x14ac:dyDescent="0.45">
      <c r="R8167" s="2">
        <v>98.43</v>
      </c>
      <c r="S8167" s="2">
        <v>0.37113849999999998</v>
      </c>
      <c r="T8167" s="2">
        <v>0.24435080000000001</v>
      </c>
    </row>
    <row r="8168" spans="18:20" x14ac:dyDescent="0.45">
      <c r="R8168" s="2">
        <v>98.44</v>
      </c>
      <c r="S8168" s="2">
        <v>0.37144680000000002</v>
      </c>
      <c r="T8168" s="2">
        <v>0.24460319999999999</v>
      </c>
    </row>
    <row r="8169" spans="18:20" x14ac:dyDescent="0.45">
      <c r="R8169" s="2">
        <v>98.45</v>
      </c>
      <c r="S8169" s="2">
        <v>0.3717551</v>
      </c>
      <c r="T8169" s="2">
        <v>0.24485570000000001</v>
      </c>
    </row>
    <row r="8170" spans="18:20" x14ac:dyDescent="0.45">
      <c r="R8170" s="2">
        <v>98.46</v>
      </c>
      <c r="S8170" s="2">
        <v>0.37206329999999999</v>
      </c>
      <c r="T8170" s="2">
        <v>0.2451082</v>
      </c>
    </row>
    <row r="8171" spans="18:20" x14ac:dyDescent="0.45">
      <c r="R8171" s="2">
        <v>98.47</v>
      </c>
      <c r="S8171" s="2">
        <v>0.37237160000000002</v>
      </c>
      <c r="T8171" s="2">
        <v>0.24536060000000001</v>
      </c>
    </row>
    <row r="8172" spans="18:20" x14ac:dyDescent="0.45">
      <c r="R8172" s="2">
        <v>98.48</v>
      </c>
      <c r="S8172" s="2">
        <v>0.37267990000000001</v>
      </c>
      <c r="T8172" s="2">
        <v>0.2456131</v>
      </c>
    </row>
    <row r="8173" spans="18:20" x14ac:dyDescent="0.45">
      <c r="R8173" s="2">
        <v>98.49</v>
      </c>
      <c r="S8173" s="2">
        <v>0.37298819999999999</v>
      </c>
      <c r="T8173" s="2">
        <v>0.24586549999999999</v>
      </c>
    </row>
    <row r="8174" spans="18:20" x14ac:dyDescent="0.45">
      <c r="R8174" s="2">
        <v>98.5</v>
      </c>
      <c r="S8174" s="2">
        <v>0.37329649999999998</v>
      </c>
      <c r="T8174" s="2">
        <v>0.246118</v>
      </c>
    </row>
    <row r="8175" spans="18:20" x14ac:dyDescent="0.45">
      <c r="R8175" s="2">
        <v>98.51</v>
      </c>
      <c r="S8175" s="2">
        <v>0.37360480000000001</v>
      </c>
      <c r="T8175" s="2">
        <v>0.24637049999999999</v>
      </c>
    </row>
    <row r="8176" spans="18:20" x14ac:dyDescent="0.45">
      <c r="R8176" s="2">
        <v>98.52</v>
      </c>
      <c r="S8176" s="2">
        <v>0.3739131</v>
      </c>
      <c r="T8176" s="2">
        <v>0.24662290000000001</v>
      </c>
    </row>
    <row r="8177" spans="18:20" x14ac:dyDescent="0.45">
      <c r="R8177" s="2">
        <v>98.53</v>
      </c>
      <c r="S8177" s="2">
        <v>0.37422139999999998</v>
      </c>
      <c r="T8177" s="2">
        <v>0.24687539999999999</v>
      </c>
    </row>
    <row r="8178" spans="18:20" x14ac:dyDescent="0.45">
      <c r="R8178" s="2">
        <v>98.54</v>
      </c>
      <c r="S8178" s="2">
        <v>0.37452970000000002</v>
      </c>
      <c r="T8178" s="2">
        <v>0.24712780000000001</v>
      </c>
    </row>
    <row r="8179" spans="18:20" x14ac:dyDescent="0.45">
      <c r="R8179" s="2">
        <v>98.55</v>
      </c>
      <c r="S8179" s="2">
        <v>0.3748379</v>
      </c>
      <c r="T8179" s="2">
        <v>0.2473803</v>
      </c>
    </row>
    <row r="8180" spans="18:20" x14ac:dyDescent="0.45">
      <c r="R8180" s="2">
        <v>98.56</v>
      </c>
      <c r="S8180" s="2">
        <v>0.37514619999999999</v>
      </c>
      <c r="T8180" s="2">
        <v>0.24763279999999999</v>
      </c>
    </row>
    <row r="8181" spans="18:20" x14ac:dyDescent="0.45">
      <c r="R8181" s="2">
        <v>98.57</v>
      </c>
      <c r="S8181" s="2">
        <v>0.37545450000000002</v>
      </c>
      <c r="T8181" s="2">
        <v>0.2478852</v>
      </c>
    </row>
    <row r="8182" spans="18:20" x14ac:dyDescent="0.45">
      <c r="R8182" s="2">
        <v>98.58</v>
      </c>
      <c r="S8182" s="2">
        <v>0.37576280000000001</v>
      </c>
      <c r="T8182" s="2">
        <v>0.24813769999999999</v>
      </c>
    </row>
    <row r="8183" spans="18:20" x14ac:dyDescent="0.45">
      <c r="R8183" s="2">
        <v>98.59</v>
      </c>
      <c r="S8183" s="2">
        <v>0.37607109999999999</v>
      </c>
      <c r="T8183" s="2">
        <v>0.2483901</v>
      </c>
    </row>
    <row r="8184" spans="18:20" x14ac:dyDescent="0.45">
      <c r="R8184" s="2">
        <v>98.6</v>
      </c>
      <c r="S8184" s="2">
        <v>0.37637939999999998</v>
      </c>
      <c r="T8184" s="2">
        <v>0.24864259999999999</v>
      </c>
    </row>
    <row r="8185" spans="18:20" x14ac:dyDescent="0.45">
      <c r="R8185" s="2">
        <v>98.61</v>
      </c>
      <c r="S8185" s="2">
        <v>0.37668770000000001</v>
      </c>
      <c r="T8185" s="2">
        <v>0.24889510000000001</v>
      </c>
    </row>
    <row r="8186" spans="18:20" x14ac:dyDescent="0.45">
      <c r="R8186" s="2">
        <v>98.62</v>
      </c>
      <c r="S8186" s="2">
        <v>0.376996</v>
      </c>
      <c r="T8186" s="2">
        <v>0.24914749999999999</v>
      </c>
    </row>
    <row r="8187" spans="18:20" x14ac:dyDescent="0.45">
      <c r="R8187" s="2">
        <v>98.63</v>
      </c>
      <c r="S8187" s="2">
        <v>0.37730429999999998</v>
      </c>
      <c r="T8187" s="2">
        <v>0.24940000000000001</v>
      </c>
    </row>
    <row r="8188" spans="18:20" x14ac:dyDescent="0.45">
      <c r="R8188" s="2">
        <v>98.64</v>
      </c>
      <c r="S8188" s="2">
        <v>0.37761260000000002</v>
      </c>
      <c r="T8188" s="2">
        <v>0.2496524</v>
      </c>
    </row>
    <row r="8189" spans="18:20" x14ac:dyDescent="0.45">
      <c r="R8189" s="2">
        <v>98.65</v>
      </c>
      <c r="S8189" s="2">
        <v>0.3779209</v>
      </c>
      <c r="T8189" s="2">
        <v>0.24990490000000001</v>
      </c>
    </row>
    <row r="8190" spans="18:20" x14ac:dyDescent="0.45">
      <c r="R8190" s="2">
        <v>98.66</v>
      </c>
      <c r="S8190" s="2">
        <v>0.37822909999999998</v>
      </c>
      <c r="T8190" s="2">
        <v>0.25015739999999997</v>
      </c>
    </row>
    <row r="8191" spans="18:20" x14ac:dyDescent="0.45">
      <c r="R8191" s="2">
        <v>98.67</v>
      </c>
      <c r="S8191" s="2">
        <v>0.37853740000000002</v>
      </c>
      <c r="T8191" s="2">
        <v>0.25040980000000002</v>
      </c>
    </row>
    <row r="8192" spans="18:20" x14ac:dyDescent="0.45">
      <c r="R8192" s="2">
        <v>98.68</v>
      </c>
      <c r="S8192" s="2">
        <v>0.37884570000000001</v>
      </c>
      <c r="T8192" s="2">
        <v>0.2506623</v>
      </c>
    </row>
    <row r="8193" spans="18:20" x14ac:dyDescent="0.45">
      <c r="R8193" s="2">
        <v>98.69</v>
      </c>
      <c r="S8193" s="2">
        <v>0.37915399999999999</v>
      </c>
      <c r="T8193" s="2">
        <v>0.25091469999999999</v>
      </c>
    </row>
    <row r="8194" spans="18:20" x14ac:dyDescent="0.45">
      <c r="R8194" s="2">
        <v>98.7</v>
      </c>
      <c r="S8194" s="2">
        <v>0.37946229999999997</v>
      </c>
      <c r="T8194" s="2">
        <v>0.25116719999999998</v>
      </c>
    </row>
    <row r="8195" spans="18:20" x14ac:dyDescent="0.45">
      <c r="R8195" s="2">
        <v>98.71</v>
      </c>
      <c r="S8195" s="2">
        <v>0.37977060000000001</v>
      </c>
      <c r="T8195" s="2">
        <v>0.25141970000000002</v>
      </c>
    </row>
    <row r="8196" spans="18:20" x14ac:dyDescent="0.45">
      <c r="R8196" s="2">
        <v>98.72</v>
      </c>
      <c r="S8196" s="2">
        <v>0.3800789</v>
      </c>
      <c r="T8196" s="2">
        <v>0.25167210000000001</v>
      </c>
    </row>
    <row r="8197" spans="18:20" x14ac:dyDescent="0.45">
      <c r="R8197" s="2">
        <v>98.73</v>
      </c>
      <c r="S8197" s="2">
        <v>0.38038719999999998</v>
      </c>
      <c r="T8197" s="2">
        <v>0.2519246</v>
      </c>
    </row>
    <row r="8198" spans="18:20" x14ac:dyDescent="0.45">
      <c r="R8198" s="2">
        <v>98.74</v>
      </c>
      <c r="S8198" s="2">
        <v>0.38069550000000002</v>
      </c>
      <c r="T8198" s="2">
        <v>0.25217699999999998</v>
      </c>
    </row>
    <row r="8199" spans="18:20" x14ac:dyDescent="0.45">
      <c r="R8199" s="2">
        <v>98.75</v>
      </c>
      <c r="S8199" s="2">
        <v>0.3810037</v>
      </c>
      <c r="T8199" s="2">
        <v>0.25242949999999997</v>
      </c>
    </row>
    <row r="8200" spans="18:20" x14ac:dyDescent="0.45">
      <c r="R8200" s="2">
        <v>98.76</v>
      </c>
      <c r="S8200" s="2">
        <v>0.38131199999999998</v>
      </c>
      <c r="T8200" s="2">
        <v>0.25268200000000002</v>
      </c>
    </row>
    <row r="8201" spans="18:20" x14ac:dyDescent="0.45">
      <c r="R8201" s="2">
        <v>98.77</v>
      </c>
      <c r="S8201" s="2">
        <v>0.38162030000000002</v>
      </c>
      <c r="T8201" s="2">
        <v>0.2529344</v>
      </c>
    </row>
    <row r="8202" spans="18:20" x14ac:dyDescent="0.45">
      <c r="R8202" s="2">
        <v>98.78</v>
      </c>
      <c r="S8202" s="2">
        <v>0.38192860000000001</v>
      </c>
      <c r="T8202" s="2">
        <v>0.25318689999999999</v>
      </c>
    </row>
    <row r="8203" spans="18:20" x14ac:dyDescent="0.45">
      <c r="R8203" s="2">
        <v>98.79</v>
      </c>
      <c r="S8203" s="2">
        <v>0.38223689999999999</v>
      </c>
      <c r="T8203" s="2">
        <v>0.25343929999999998</v>
      </c>
    </row>
    <row r="8204" spans="18:20" x14ac:dyDescent="0.45">
      <c r="R8204" s="2">
        <v>98.8</v>
      </c>
      <c r="S8204" s="2">
        <v>0.38254519999999997</v>
      </c>
      <c r="T8204" s="2">
        <v>0.25369180000000002</v>
      </c>
    </row>
    <row r="8205" spans="18:20" x14ac:dyDescent="0.45">
      <c r="R8205" s="2">
        <v>98.81</v>
      </c>
      <c r="S8205" s="2">
        <v>0.38285350000000001</v>
      </c>
      <c r="T8205" s="2">
        <v>0.25394430000000001</v>
      </c>
    </row>
    <row r="8206" spans="18:20" x14ac:dyDescent="0.45">
      <c r="R8206" s="2">
        <v>98.82</v>
      </c>
      <c r="S8206" s="2">
        <v>0.3831618</v>
      </c>
      <c r="T8206" s="2">
        <v>0.2541967</v>
      </c>
    </row>
    <row r="8207" spans="18:20" x14ac:dyDescent="0.45">
      <c r="R8207" s="2">
        <v>98.83</v>
      </c>
      <c r="S8207" s="2">
        <v>0.38347009999999998</v>
      </c>
      <c r="T8207" s="2">
        <v>0.25444919999999999</v>
      </c>
    </row>
    <row r="8208" spans="18:20" x14ac:dyDescent="0.45">
      <c r="R8208" s="2">
        <v>98.84</v>
      </c>
      <c r="S8208" s="2">
        <v>0.38377840000000002</v>
      </c>
      <c r="T8208" s="2">
        <v>0.25470159999999997</v>
      </c>
    </row>
    <row r="8209" spans="18:20" x14ac:dyDescent="0.45">
      <c r="R8209" s="2">
        <v>98.85</v>
      </c>
      <c r="S8209" s="2">
        <v>0.3840866</v>
      </c>
      <c r="T8209" s="2">
        <v>0.25495410000000002</v>
      </c>
    </row>
    <row r="8210" spans="18:20" x14ac:dyDescent="0.45">
      <c r="R8210" s="2">
        <v>98.86</v>
      </c>
      <c r="S8210" s="2">
        <v>0.38439489999999998</v>
      </c>
      <c r="T8210" s="2">
        <v>0.25520660000000001</v>
      </c>
    </row>
    <row r="8211" spans="18:20" x14ac:dyDescent="0.45">
      <c r="R8211" s="2">
        <v>98.87</v>
      </c>
      <c r="S8211" s="2">
        <v>0.38470320000000002</v>
      </c>
      <c r="T8211" s="2">
        <v>0.25545899999999999</v>
      </c>
    </row>
    <row r="8212" spans="18:20" x14ac:dyDescent="0.45">
      <c r="R8212" s="2">
        <v>98.88</v>
      </c>
      <c r="S8212" s="2">
        <v>0.38501150000000001</v>
      </c>
      <c r="T8212" s="2">
        <v>0.25571149999999998</v>
      </c>
    </row>
    <row r="8213" spans="18:20" x14ac:dyDescent="0.45">
      <c r="R8213" s="2">
        <v>98.89</v>
      </c>
      <c r="S8213" s="2">
        <v>0.38531979999999999</v>
      </c>
      <c r="T8213" s="2">
        <v>0.25596390000000002</v>
      </c>
    </row>
    <row r="8214" spans="18:20" x14ac:dyDescent="0.45">
      <c r="R8214" s="2">
        <v>98.9</v>
      </c>
      <c r="S8214" s="2">
        <v>0.38562809999999997</v>
      </c>
      <c r="T8214" s="2">
        <v>0.25621640000000001</v>
      </c>
    </row>
    <row r="8215" spans="18:20" x14ac:dyDescent="0.45">
      <c r="R8215" s="2">
        <v>98.91</v>
      </c>
      <c r="S8215" s="2">
        <v>0.38593640000000001</v>
      </c>
      <c r="T8215" s="2">
        <v>0.2564689</v>
      </c>
    </row>
    <row r="8216" spans="18:20" x14ac:dyDescent="0.45">
      <c r="R8216" s="2">
        <v>98.92</v>
      </c>
      <c r="S8216" s="2">
        <v>0.3862447</v>
      </c>
      <c r="T8216" s="2">
        <v>0.25672129999999999</v>
      </c>
    </row>
    <row r="8217" spans="18:20" x14ac:dyDescent="0.45">
      <c r="R8217" s="2">
        <v>98.93</v>
      </c>
      <c r="S8217" s="2">
        <v>0.38655299999999998</v>
      </c>
      <c r="T8217" s="2">
        <v>0.25697379999999997</v>
      </c>
    </row>
    <row r="8218" spans="18:20" x14ac:dyDescent="0.45">
      <c r="R8218" s="2">
        <v>98.94</v>
      </c>
      <c r="S8218" s="2">
        <v>0.38686130000000002</v>
      </c>
      <c r="T8218" s="2">
        <v>0.25722620000000002</v>
      </c>
    </row>
    <row r="8219" spans="18:20" x14ac:dyDescent="0.45">
      <c r="R8219" s="2">
        <v>98.95</v>
      </c>
      <c r="S8219" s="2">
        <v>0.3871696</v>
      </c>
      <c r="T8219" s="2">
        <v>0.2574787</v>
      </c>
    </row>
    <row r="8220" spans="18:20" x14ac:dyDescent="0.45">
      <c r="R8220" s="2">
        <v>98.96</v>
      </c>
      <c r="S8220" s="2">
        <v>0.38747779999999998</v>
      </c>
      <c r="T8220" s="2">
        <v>0.25773119999999999</v>
      </c>
    </row>
    <row r="8221" spans="18:20" x14ac:dyDescent="0.45">
      <c r="R8221" s="2">
        <v>98.97</v>
      </c>
      <c r="S8221" s="2">
        <v>0.38778610000000002</v>
      </c>
      <c r="T8221" s="2">
        <v>0.25798359999999998</v>
      </c>
    </row>
    <row r="8222" spans="18:20" x14ac:dyDescent="0.45">
      <c r="R8222" s="2">
        <v>98.98</v>
      </c>
      <c r="S8222" s="2">
        <v>0.38809440000000001</v>
      </c>
      <c r="T8222" s="2">
        <v>0.25823610000000002</v>
      </c>
    </row>
    <row r="8223" spans="18:20" x14ac:dyDescent="0.45">
      <c r="R8223" s="2">
        <v>98.99</v>
      </c>
      <c r="S8223" s="2">
        <v>0.38840269999999999</v>
      </c>
      <c r="T8223" s="2">
        <v>0.25848850000000001</v>
      </c>
    </row>
    <row r="8224" spans="18:20" x14ac:dyDescent="0.45">
      <c r="R8224" s="2">
        <v>99</v>
      </c>
      <c r="S8224" s="2">
        <v>0.38871099999999997</v>
      </c>
      <c r="T8224" s="2">
        <v>0.258741</v>
      </c>
    </row>
    <row r="8225" spans="18:20" x14ac:dyDescent="0.45">
      <c r="R8225" s="2">
        <v>99.01</v>
      </c>
      <c r="S8225" s="2">
        <v>0.38904169999999999</v>
      </c>
      <c r="T8225" s="2">
        <v>0.2590208</v>
      </c>
    </row>
    <row r="8226" spans="18:20" x14ac:dyDescent="0.45">
      <c r="R8226" s="2">
        <v>99.02</v>
      </c>
      <c r="S8226" s="2">
        <v>0.3893723</v>
      </c>
      <c r="T8226" s="2">
        <v>0.25930059999999999</v>
      </c>
    </row>
    <row r="8227" spans="18:20" x14ac:dyDescent="0.45">
      <c r="R8227" s="2">
        <v>99.03</v>
      </c>
      <c r="S8227" s="2">
        <v>0.38970300000000002</v>
      </c>
      <c r="T8227" s="2">
        <v>0.25958029999999999</v>
      </c>
    </row>
    <row r="8228" spans="18:20" x14ac:dyDescent="0.45">
      <c r="R8228" s="2">
        <v>99.04</v>
      </c>
      <c r="S8228" s="2">
        <v>0.39003359999999998</v>
      </c>
      <c r="T8228" s="2">
        <v>0.25986009999999998</v>
      </c>
    </row>
    <row r="8229" spans="18:20" x14ac:dyDescent="0.45">
      <c r="R8229" s="2">
        <v>99.05</v>
      </c>
      <c r="S8229" s="2">
        <v>0.3903643</v>
      </c>
      <c r="T8229" s="2">
        <v>0.26013989999999998</v>
      </c>
    </row>
    <row r="8230" spans="18:20" x14ac:dyDescent="0.45">
      <c r="R8230" s="2">
        <v>99.06</v>
      </c>
      <c r="S8230" s="2">
        <v>0.39069500000000001</v>
      </c>
      <c r="T8230" s="2">
        <v>0.26041969999999998</v>
      </c>
    </row>
    <row r="8231" spans="18:20" x14ac:dyDescent="0.45">
      <c r="R8231" s="2">
        <v>99.07</v>
      </c>
      <c r="S8231" s="2">
        <v>0.39102559999999997</v>
      </c>
      <c r="T8231" s="2">
        <v>0.26069949999999997</v>
      </c>
    </row>
    <row r="8232" spans="18:20" x14ac:dyDescent="0.45">
      <c r="R8232" s="2">
        <v>99.08</v>
      </c>
      <c r="S8232" s="2">
        <v>0.39135629999999999</v>
      </c>
      <c r="T8232" s="2">
        <v>0.26097920000000002</v>
      </c>
    </row>
    <row r="8233" spans="18:20" x14ac:dyDescent="0.45">
      <c r="R8233" s="2">
        <v>99.09</v>
      </c>
      <c r="S8233" s="2">
        <v>0.3916869</v>
      </c>
      <c r="T8233" s="2">
        <v>0.26125900000000002</v>
      </c>
    </row>
    <row r="8234" spans="18:20" x14ac:dyDescent="0.45">
      <c r="R8234" s="2">
        <v>99.1</v>
      </c>
      <c r="S8234" s="2">
        <v>0.39201760000000002</v>
      </c>
      <c r="T8234" s="2">
        <v>0.26153880000000002</v>
      </c>
    </row>
    <row r="8235" spans="18:20" x14ac:dyDescent="0.45">
      <c r="R8235" s="2">
        <v>99.11</v>
      </c>
      <c r="S8235" s="2">
        <v>0.39234829999999998</v>
      </c>
      <c r="T8235" s="2">
        <v>0.26181860000000001</v>
      </c>
    </row>
    <row r="8236" spans="18:20" x14ac:dyDescent="0.45">
      <c r="R8236" s="2">
        <v>99.12</v>
      </c>
      <c r="S8236" s="2">
        <v>0.3926789</v>
      </c>
      <c r="T8236" s="2">
        <v>0.26209840000000001</v>
      </c>
    </row>
    <row r="8237" spans="18:20" x14ac:dyDescent="0.45">
      <c r="R8237" s="2">
        <v>99.13</v>
      </c>
      <c r="S8237" s="2">
        <v>0.39300960000000001</v>
      </c>
      <c r="T8237" s="2">
        <v>0.2623781</v>
      </c>
    </row>
    <row r="8238" spans="18:20" x14ac:dyDescent="0.45">
      <c r="R8238" s="2">
        <v>99.14</v>
      </c>
      <c r="S8238" s="2">
        <v>0.39334019999999997</v>
      </c>
      <c r="T8238" s="2">
        <v>0.2626579</v>
      </c>
    </row>
    <row r="8239" spans="18:20" x14ac:dyDescent="0.45">
      <c r="R8239" s="2">
        <v>99.15</v>
      </c>
      <c r="S8239" s="2">
        <v>0.39367089999999999</v>
      </c>
      <c r="T8239" s="2">
        <v>0.2629377</v>
      </c>
    </row>
    <row r="8240" spans="18:20" x14ac:dyDescent="0.45">
      <c r="R8240" s="2">
        <v>99.16</v>
      </c>
      <c r="S8240" s="2">
        <v>0.39400160000000001</v>
      </c>
      <c r="T8240" s="2">
        <v>0.26321749999999999</v>
      </c>
    </row>
    <row r="8241" spans="18:20" x14ac:dyDescent="0.45">
      <c r="R8241" s="2">
        <v>99.17</v>
      </c>
      <c r="S8241" s="2">
        <v>0.39433220000000002</v>
      </c>
      <c r="T8241" s="2">
        <v>0.26349729999999999</v>
      </c>
    </row>
    <row r="8242" spans="18:20" x14ac:dyDescent="0.45">
      <c r="R8242" s="2">
        <v>99.18</v>
      </c>
      <c r="S8242" s="2">
        <v>0.39466289999999998</v>
      </c>
      <c r="T8242" s="2">
        <v>0.26377699999999998</v>
      </c>
    </row>
    <row r="8243" spans="18:20" x14ac:dyDescent="0.45">
      <c r="R8243" s="2">
        <v>99.19</v>
      </c>
      <c r="S8243" s="2">
        <v>0.3949935</v>
      </c>
      <c r="T8243" s="2">
        <v>0.26405679999999998</v>
      </c>
    </row>
    <row r="8244" spans="18:20" x14ac:dyDescent="0.45">
      <c r="R8244" s="2">
        <v>99.2</v>
      </c>
      <c r="S8244" s="2">
        <v>0.39532420000000001</v>
      </c>
      <c r="T8244" s="2">
        <v>0.26433659999999998</v>
      </c>
    </row>
    <row r="8245" spans="18:20" x14ac:dyDescent="0.45">
      <c r="R8245" s="2">
        <v>99.21</v>
      </c>
      <c r="S8245" s="2">
        <v>0.39565489999999998</v>
      </c>
      <c r="T8245" s="2">
        <v>0.26461639999999997</v>
      </c>
    </row>
    <row r="8246" spans="18:20" x14ac:dyDescent="0.45">
      <c r="R8246" s="2">
        <v>99.22</v>
      </c>
      <c r="S8246" s="2">
        <v>0.39598549999999999</v>
      </c>
      <c r="T8246" s="2">
        <v>0.26489620000000003</v>
      </c>
    </row>
    <row r="8247" spans="18:20" x14ac:dyDescent="0.45">
      <c r="R8247" s="2">
        <v>99.23</v>
      </c>
      <c r="S8247" s="2">
        <v>0.39631620000000001</v>
      </c>
      <c r="T8247" s="2">
        <v>0.26517590000000002</v>
      </c>
    </row>
    <row r="8248" spans="18:20" x14ac:dyDescent="0.45">
      <c r="R8248" s="2">
        <v>99.24</v>
      </c>
      <c r="S8248" s="2">
        <v>0.39664680000000002</v>
      </c>
      <c r="T8248" s="2">
        <v>0.26545570000000002</v>
      </c>
    </row>
    <row r="8249" spans="18:20" x14ac:dyDescent="0.45">
      <c r="R8249" s="2">
        <v>99.25</v>
      </c>
      <c r="S8249" s="2">
        <v>0.39697749999999998</v>
      </c>
      <c r="T8249" s="2">
        <v>0.26573550000000001</v>
      </c>
    </row>
    <row r="8250" spans="18:20" x14ac:dyDescent="0.45">
      <c r="R8250" s="2">
        <v>99.26</v>
      </c>
      <c r="S8250" s="2">
        <v>0.3973082</v>
      </c>
      <c r="T8250" s="2">
        <v>0.26601530000000001</v>
      </c>
    </row>
    <row r="8251" spans="18:20" x14ac:dyDescent="0.45">
      <c r="R8251" s="2">
        <v>99.27</v>
      </c>
      <c r="S8251" s="2">
        <v>0.39763880000000001</v>
      </c>
      <c r="T8251" s="2">
        <v>0.26629510000000001</v>
      </c>
    </row>
    <row r="8252" spans="18:20" x14ac:dyDescent="0.45">
      <c r="R8252" s="2">
        <v>99.28</v>
      </c>
      <c r="S8252" s="2">
        <v>0.39796949999999998</v>
      </c>
      <c r="T8252" s="2">
        <v>0.2665748</v>
      </c>
    </row>
    <row r="8253" spans="18:20" x14ac:dyDescent="0.45">
      <c r="R8253" s="2">
        <v>99.29</v>
      </c>
      <c r="S8253" s="2">
        <v>0.39830009999999999</v>
      </c>
      <c r="T8253" s="2">
        <v>0.2668546</v>
      </c>
    </row>
    <row r="8254" spans="18:20" x14ac:dyDescent="0.45">
      <c r="R8254" s="2">
        <v>99.3</v>
      </c>
      <c r="S8254" s="2">
        <v>0.39863080000000001</v>
      </c>
      <c r="T8254" s="2">
        <v>0.26713439999999999</v>
      </c>
    </row>
    <row r="8255" spans="18:20" x14ac:dyDescent="0.45">
      <c r="R8255" s="2">
        <v>99.31</v>
      </c>
      <c r="S8255" s="2">
        <v>0.39896150000000002</v>
      </c>
      <c r="T8255" s="2">
        <v>0.26741419999999999</v>
      </c>
    </row>
    <row r="8256" spans="18:20" x14ac:dyDescent="0.45">
      <c r="R8256" s="2">
        <v>99.32</v>
      </c>
      <c r="S8256" s="2">
        <v>0.39929209999999998</v>
      </c>
      <c r="T8256" s="2">
        <v>0.26769399999999999</v>
      </c>
    </row>
    <row r="8257" spans="18:20" x14ac:dyDescent="0.45">
      <c r="R8257" s="2">
        <v>99.33</v>
      </c>
      <c r="S8257" s="2">
        <v>0.3996228</v>
      </c>
      <c r="T8257" s="2">
        <v>0.26797369999999998</v>
      </c>
    </row>
    <row r="8258" spans="18:20" x14ac:dyDescent="0.45">
      <c r="R8258" s="2">
        <v>99.34</v>
      </c>
      <c r="S8258" s="2">
        <v>0.39995340000000001</v>
      </c>
      <c r="T8258" s="2">
        <v>0.26825349999999998</v>
      </c>
    </row>
    <row r="8259" spans="18:20" x14ac:dyDescent="0.45">
      <c r="R8259" s="2">
        <v>99.35</v>
      </c>
      <c r="S8259" s="2">
        <v>0.40028409999999998</v>
      </c>
      <c r="T8259" s="2">
        <v>0.26853329999999997</v>
      </c>
    </row>
    <row r="8260" spans="18:20" x14ac:dyDescent="0.45">
      <c r="R8260" s="2">
        <v>99.36</v>
      </c>
      <c r="S8260" s="2">
        <v>0.40061479999999999</v>
      </c>
      <c r="T8260" s="2">
        <v>0.26881310000000003</v>
      </c>
    </row>
    <row r="8261" spans="18:20" x14ac:dyDescent="0.45">
      <c r="R8261" s="2">
        <v>99.37</v>
      </c>
      <c r="S8261" s="2">
        <v>0.40094540000000001</v>
      </c>
      <c r="T8261" s="2">
        <v>0.26909290000000002</v>
      </c>
    </row>
    <row r="8262" spans="18:20" x14ac:dyDescent="0.45">
      <c r="R8262" s="2">
        <v>99.38</v>
      </c>
      <c r="S8262" s="2">
        <v>0.40127610000000002</v>
      </c>
      <c r="T8262" s="2">
        <v>0.26937260000000002</v>
      </c>
    </row>
    <row r="8263" spans="18:20" x14ac:dyDescent="0.45">
      <c r="R8263" s="2">
        <v>99.39</v>
      </c>
      <c r="S8263" s="2">
        <v>0.40160669999999998</v>
      </c>
      <c r="T8263" s="2">
        <v>0.26965240000000001</v>
      </c>
    </row>
    <row r="8264" spans="18:20" x14ac:dyDescent="0.45">
      <c r="R8264" s="2">
        <v>99.4</v>
      </c>
      <c r="S8264" s="2">
        <v>0.4019374</v>
      </c>
      <c r="T8264" s="2">
        <v>0.26993220000000001</v>
      </c>
    </row>
    <row r="8265" spans="18:20" x14ac:dyDescent="0.45">
      <c r="R8265" s="2">
        <v>99.41</v>
      </c>
      <c r="S8265" s="2">
        <v>0.40226810000000002</v>
      </c>
      <c r="T8265" s="2">
        <v>0.27021200000000001</v>
      </c>
    </row>
    <row r="8266" spans="18:20" x14ac:dyDescent="0.45">
      <c r="R8266" s="2">
        <v>99.42</v>
      </c>
      <c r="S8266" s="2">
        <v>0.40259869999999998</v>
      </c>
      <c r="T8266" s="2">
        <v>0.2704918</v>
      </c>
    </row>
    <row r="8267" spans="18:20" x14ac:dyDescent="0.45">
      <c r="R8267" s="2">
        <v>99.43</v>
      </c>
      <c r="S8267" s="2">
        <v>0.40292939999999999</v>
      </c>
      <c r="T8267" s="2">
        <v>0.2707715</v>
      </c>
    </row>
    <row r="8268" spans="18:20" x14ac:dyDescent="0.45">
      <c r="R8268" s="2">
        <v>99.44</v>
      </c>
      <c r="S8268" s="2">
        <v>0.40326000000000001</v>
      </c>
      <c r="T8268" s="2">
        <v>0.2710513</v>
      </c>
    </row>
    <row r="8269" spans="18:20" x14ac:dyDescent="0.45">
      <c r="R8269" s="2">
        <v>99.45</v>
      </c>
      <c r="S8269" s="2">
        <v>0.40359070000000002</v>
      </c>
      <c r="T8269" s="2">
        <v>0.27133109999999999</v>
      </c>
    </row>
    <row r="8270" spans="18:20" x14ac:dyDescent="0.45">
      <c r="R8270" s="2">
        <v>99.46</v>
      </c>
      <c r="S8270" s="2">
        <v>0.40392139999999999</v>
      </c>
      <c r="T8270" s="2">
        <v>0.27161089999999999</v>
      </c>
    </row>
    <row r="8271" spans="18:20" x14ac:dyDescent="0.45">
      <c r="R8271" s="2">
        <v>99.47</v>
      </c>
      <c r="S8271" s="2">
        <v>0.404252</v>
      </c>
      <c r="T8271" s="2">
        <v>0.27189069999999999</v>
      </c>
    </row>
    <row r="8272" spans="18:20" x14ac:dyDescent="0.45">
      <c r="R8272" s="2">
        <v>99.48</v>
      </c>
      <c r="S8272" s="2">
        <v>0.40458270000000002</v>
      </c>
      <c r="T8272" s="2">
        <v>0.27217039999999998</v>
      </c>
    </row>
    <row r="8273" spans="18:20" x14ac:dyDescent="0.45">
      <c r="R8273" s="2">
        <v>99.49</v>
      </c>
      <c r="S8273" s="2">
        <v>0.40491329999999998</v>
      </c>
      <c r="T8273" s="2">
        <v>0.27245019999999998</v>
      </c>
    </row>
    <row r="8274" spans="18:20" x14ac:dyDescent="0.45">
      <c r="R8274" s="2">
        <v>99.5</v>
      </c>
      <c r="S8274" s="2">
        <v>0.40524399999999999</v>
      </c>
      <c r="T8274" s="2">
        <v>0.27272999999999997</v>
      </c>
    </row>
    <row r="8275" spans="18:20" x14ac:dyDescent="0.45">
      <c r="R8275" s="2">
        <v>99.51</v>
      </c>
      <c r="S8275" s="2">
        <v>0.40557470000000001</v>
      </c>
      <c r="T8275" s="2">
        <v>0.27300980000000002</v>
      </c>
    </row>
    <row r="8276" spans="18:20" x14ac:dyDescent="0.45">
      <c r="R8276" s="2">
        <v>99.52</v>
      </c>
      <c r="S8276" s="2">
        <v>0.40590530000000002</v>
      </c>
      <c r="T8276" s="2">
        <v>0.27328960000000002</v>
      </c>
    </row>
    <row r="8277" spans="18:20" x14ac:dyDescent="0.45">
      <c r="R8277" s="2">
        <v>99.53</v>
      </c>
      <c r="S8277" s="2">
        <v>0.40623599999999999</v>
      </c>
      <c r="T8277" s="2">
        <v>0.27356930000000002</v>
      </c>
    </row>
    <row r="8278" spans="18:20" x14ac:dyDescent="0.45">
      <c r="R8278" s="2">
        <v>99.54</v>
      </c>
      <c r="S8278" s="2">
        <v>0.4065666</v>
      </c>
      <c r="T8278" s="2">
        <v>0.27384910000000001</v>
      </c>
    </row>
    <row r="8279" spans="18:20" x14ac:dyDescent="0.45">
      <c r="R8279" s="2">
        <v>99.55</v>
      </c>
      <c r="S8279" s="2">
        <v>0.40689730000000002</v>
      </c>
      <c r="T8279" s="2">
        <v>0.27412890000000001</v>
      </c>
    </row>
    <row r="8280" spans="18:20" x14ac:dyDescent="0.45">
      <c r="R8280" s="2">
        <v>99.56</v>
      </c>
      <c r="S8280" s="2">
        <v>0.40722799999999998</v>
      </c>
      <c r="T8280" s="2">
        <v>0.27440870000000001</v>
      </c>
    </row>
    <row r="8281" spans="18:20" x14ac:dyDescent="0.45">
      <c r="R8281" s="2">
        <v>99.57</v>
      </c>
      <c r="S8281" s="2">
        <v>0.40755859999999999</v>
      </c>
      <c r="T8281" s="2">
        <v>0.2746885</v>
      </c>
    </row>
    <row r="8282" spans="18:20" x14ac:dyDescent="0.45">
      <c r="R8282" s="2">
        <v>99.58</v>
      </c>
      <c r="S8282" s="2">
        <v>0.40788930000000001</v>
      </c>
      <c r="T8282" s="2">
        <v>0.2749682</v>
      </c>
    </row>
    <row r="8283" spans="18:20" x14ac:dyDescent="0.45">
      <c r="R8283" s="2">
        <v>99.59</v>
      </c>
      <c r="S8283" s="2">
        <v>0.40821990000000002</v>
      </c>
      <c r="T8283" s="2">
        <v>0.27524799999999999</v>
      </c>
    </row>
    <row r="8284" spans="18:20" x14ac:dyDescent="0.45">
      <c r="R8284" s="2">
        <v>99.6</v>
      </c>
      <c r="S8284" s="2">
        <v>0.40855059999999999</v>
      </c>
      <c r="T8284" s="2">
        <v>0.27552779999999999</v>
      </c>
    </row>
    <row r="8285" spans="18:20" x14ac:dyDescent="0.45">
      <c r="R8285" s="2">
        <v>99.61</v>
      </c>
      <c r="S8285" s="2">
        <v>0.4088813</v>
      </c>
      <c r="T8285" s="2">
        <v>0.27580759999999999</v>
      </c>
    </row>
    <row r="8286" spans="18:20" x14ac:dyDescent="0.45">
      <c r="R8286" s="2">
        <v>99.62</v>
      </c>
      <c r="S8286" s="2">
        <v>0.40921190000000002</v>
      </c>
      <c r="T8286" s="2">
        <v>0.27608739999999998</v>
      </c>
    </row>
    <row r="8287" spans="18:20" x14ac:dyDescent="0.45">
      <c r="R8287" s="2">
        <v>99.63</v>
      </c>
      <c r="S8287" s="2">
        <v>0.40954259999999998</v>
      </c>
      <c r="T8287" s="2">
        <v>0.27636709999999998</v>
      </c>
    </row>
    <row r="8288" spans="18:20" x14ac:dyDescent="0.45">
      <c r="R8288" s="2">
        <v>99.64</v>
      </c>
      <c r="S8288" s="2">
        <v>0.40987319999999999</v>
      </c>
      <c r="T8288" s="2">
        <v>0.27664689999999997</v>
      </c>
    </row>
    <row r="8289" spans="18:20" x14ac:dyDescent="0.45">
      <c r="R8289" s="2">
        <v>99.65</v>
      </c>
      <c r="S8289" s="2">
        <v>0.41020390000000001</v>
      </c>
      <c r="T8289" s="2">
        <v>0.27692670000000003</v>
      </c>
    </row>
    <row r="8290" spans="18:20" x14ac:dyDescent="0.45">
      <c r="R8290" s="2">
        <v>99.66</v>
      </c>
      <c r="S8290" s="2">
        <v>0.41053460000000003</v>
      </c>
      <c r="T8290" s="2">
        <v>0.27720650000000002</v>
      </c>
    </row>
    <row r="8291" spans="18:20" x14ac:dyDescent="0.45">
      <c r="R8291" s="2">
        <v>99.67</v>
      </c>
      <c r="S8291" s="2">
        <v>0.41086519999999999</v>
      </c>
      <c r="T8291" s="2">
        <v>0.27748630000000002</v>
      </c>
    </row>
    <row r="8292" spans="18:20" x14ac:dyDescent="0.45">
      <c r="R8292" s="2">
        <v>99.68</v>
      </c>
      <c r="S8292" s="2">
        <v>0.4111959</v>
      </c>
      <c r="T8292" s="2">
        <v>0.27776600000000001</v>
      </c>
    </row>
    <row r="8293" spans="18:20" x14ac:dyDescent="0.45">
      <c r="R8293" s="2">
        <v>99.69</v>
      </c>
      <c r="S8293" s="2">
        <v>0.41152650000000002</v>
      </c>
      <c r="T8293" s="2">
        <v>0.27804580000000001</v>
      </c>
    </row>
    <row r="8294" spans="18:20" x14ac:dyDescent="0.45">
      <c r="R8294" s="2">
        <v>99.7</v>
      </c>
      <c r="S8294" s="2">
        <v>0.41185719999999998</v>
      </c>
      <c r="T8294" s="2">
        <v>0.27832560000000001</v>
      </c>
    </row>
    <row r="8295" spans="18:20" x14ac:dyDescent="0.45">
      <c r="R8295" s="2">
        <v>99.71</v>
      </c>
      <c r="S8295" s="2">
        <v>0.4121879</v>
      </c>
      <c r="T8295" s="2">
        <v>0.2786054</v>
      </c>
    </row>
    <row r="8296" spans="18:20" x14ac:dyDescent="0.45">
      <c r="R8296" s="2">
        <v>99.72</v>
      </c>
      <c r="S8296" s="2">
        <v>0.41251850000000001</v>
      </c>
      <c r="T8296" s="2">
        <v>0.2788852</v>
      </c>
    </row>
    <row r="8297" spans="18:20" x14ac:dyDescent="0.45">
      <c r="R8297" s="2">
        <v>99.73</v>
      </c>
      <c r="S8297" s="2">
        <v>0.41284920000000003</v>
      </c>
      <c r="T8297" s="2">
        <v>0.27916489999999999</v>
      </c>
    </row>
    <row r="8298" spans="18:20" x14ac:dyDescent="0.45">
      <c r="R8298" s="2">
        <v>99.74</v>
      </c>
      <c r="S8298" s="2">
        <v>0.41317979999999999</v>
      </c>
      <c r="T8298" s="2">
        <v>0.27944469999999999</v>
      </c>
    </row>
    <row r="8299" spans="18:20" x14ac:dyDescent="0.45">
      <c r="R8299" s="2">
        <v>99.75</v>
      </c>
      <c r="S8299" s="2">
        <v>0.4135105</v>
      </c>
      <c r="T8299" s="2">
        <v>0.27972449999999999</v>
      </c>
    </row>
    <row r="8300" spans="18:20" x14ac:dyDescent="0.45">
      <c r="R8300" s="2">
        <v>99.76</v>
      </c>
      <c r="S8300" s="2">
        <v>0.41384120000000002</v>
      </c>
      <c r="T8300" s="2">
        <v>0.28000429999999998</v>
      </c>
    </row>
    <row r="8301" spans="18:20" x14ac:dyDescent="0.45">
      <c r="R8301" s="2">
        <v>99.77</v>
      </c>
      <c r="S8301" s="2">
        <v>0.41417179999999998</v>
      </c>
      <c r="T8301" s="2">
        <v>0.28028409999999998</v>
      </c>
    </row>
    <row r="8302" spans="18:20" x14ac:dyDescent="0.45">
      <c r="R8302" s="2">
        <v>99.78</v>
      </c>
      <c r="S8302" s="2">
        <v>0.4145025</v>
      </c>
      <c r="T8302" s="2">
        <v>0.28056379999999997</v>
      </c>
    </row>
    <row r="8303" spans="18:20" x14ac:dyDescent="0.45">
      <c r="R8303" s="2">
        <v>99.79</v>
      </c>
      <c r="S8303" s="2">
        <v>0.41483310000000001</v>
      </c>
      <c r="T8303" s="2">
        <v>0.28084360000000003</v>
      </c>
    </row>
    <row r="8304" spans="18:20" x14ac:dyDescent="0.45">
      <c r="R8304" s="2">
        <v>99.8</v>
      </c>
      <c r="S8304" s="2">
        <v>0.41516380000000003</v>
      </c>
      <c r="T8304" s="2">
        <v>0.28112340000000002</v>
      </c>
    </row>
    <row r="8305" spans="18:20" x14ac:dyDescent="0.45">
      <c r="R8305" s="2">
        <v>99.81</v>
      </c>
      <c r="S8305" s="2">
        <v>0.41549449999999999</v>
      </c>
      <c r="T8305" s="2">
        <v>0.28140320000000002</v>
      </c>
    </row>
    <row r="8306" spans="18:20" x14ac:dyDescent="0.45">
      <c r="R8306" s="2">
        <v>99.82</v>
      </c>
      <c r="S8306" s="2">
        <v>0.4158251</v>
      </c>
      <c r="T8306" s="2">
        <v>0.28168300000000002</v>
      </c>
    </row>
    <row r="8307" spans="18:20" x14ac:dyDescent="0.45">
      <c r="R8307" s="2">
        <v>99.83</v>
      </c>
      <c r="S8307" s="2">
        <v>0.41615580000000002</v>
      </c>
      <c r="T8307" s="2">
        <v>0.28196270000000001</v>
      </c>
    </row>
    <row r="8308" spans="18:20" x14ac:dyDescent="0.45">
      <c r="R8308" s="2">
        <v>99.84</v>
      </c>
      <c r="S8308" s="2">
        <v>0.41648639999999998</v>
      </c>
      <c r="T8308" s="2">
        <v>0.28224250000000001</v>
      </c>
    </row>
    <row r="8309" spans="18:20" x14ac:dyDescent="0.45">
      <c r="R8309" s="2">
        <v>99.85</v>
      </c>
      <c r="S8309" s="2">
        <v>0.4168171</v>
      </c>
      <c r="T8309" s="2">
        <v>0.2825223</v>
      </c>
    </row>
    <row r="8310" spans="18:20" x14ac:dyDescent="0.45">
      <c r="R8310" s="2">
        <v>99.86</v>
      </c>
      <c r="S8310" s="2">
        <v>0.41714780000000001</v>
      </c>
      <c r="T8310" s="2">
        <v>0.2828021</v>
      </c>
    </row>
    <row r="8311" spans="18:20" x14ac:dyDescent="0.45">
      <c r="R8311" s="2">
        <v>99.87</v>
      </c>
      <c r="S8311" s="2">
        <v>0.41747840000000003</v>
      </c>
      <c r="T8311" s="2">
        <v>0.2830819</v>
      </c>
    </row>
    <row r="8312" spans="18:20" x14ac:dyDescent="0.45">
      <c r="R8312" s="2">
        <v>99.88</v>
      </c>
      <c r="S8312" s="2">
        <v>0.41780909999999999</v>
      </c>
      <c r="T8312" s="2">
        <v>0.28336159999999999</v>
      </c>
    </row>
    <row r="8313" spans="18:20" x14ac:dyDescent="0.45">
      <c r="R8313" s="2">
        <v>99.89</v>
      </c>
      <c r="S8313" s="2">
        <v>0.4181397</v>
      </c>
      <c r="T8313" s="2">
        <v>0.28364139999999999</v>
      </c>
    </row>
    <row r="8314" spans="18:20" x14ac:dyDescent="0.45">
      <c r="R8314" s="2">
        <v>99.9</v>
      </c>
      <c r="S8314" s="2">
        <v>0.41847040000000002</v>
      </c>
      <c r="T8314" s="2">
        <v>0.28392119999999998</v>
      </c>
    </row>
    <row r="8315" spans="18:20" x14ac:dyDescent="0.45">
      <c r="R8315" s="2">
        <v>99.91</v>
      </c>
      <c r="S8315" s="2">
        <v>0.41880109999999998</v>
      </c>
      <c r="T8315" s="2">
        <v>0.28420099999999998</v>
      </c>
    </row>
    <row r="8316" spans="18:20" x14ac:dyDescent="0.45">
      <c r="R8316" s="2">
        <v>99.92</v>
      </c>
      <c r="S8316" s="2">
        <v>0.4191317</v>
      </c>
      <c r="T8316" s="2">
        <v>0.28448079999999998</v>
      </c>
    </row>
    <row r="8317" spans="18:20" x14ac:dyDescent="0.45">
      <c r="R8317" s="2">
        <v>99.93</v>
      </c>
      <c r="S8317" s="2">
        <v>0.41946240000000001</v>
      </c>
      <c r="T8317" s="2">
        <v>0.28476050000000003</v>
      </c>
    </row>
    <row r="8318" spans="18:20" x14ac:dyDescent="0.45">
      <c r="R8318" s="2">
        <v>99.94</v>
      </c>
      <c r="S8318" s="2">
        <v>0.41979300000000003</v>
      </c>
      <c r="T8318" s="2">
        <v>0.28504030000000002</v>
      </c>
    </row>
    <row r="8319" spans="18:20" x14ac:dyDescent="0.45">
      <c r="R8319" s="2">
        <v>99.95</v>
      </c>
      <c r="S8319" s="2">
        <v>0.42012369999999999</v>
      </c>
      <c r="T8319" s="2">
        <v>0.28532010000000002</v>
      </c>
    </row>
    <row r="8320" spans="18:20" x14ac:dyDescent="0.45">
      <c r="R8320" s="2">
        <v>99.96</v>
      </c>
      <c r="S8320" s="2">
        <v>0.42045440000000001</v>
      </c>
      <c r="T8320" s="2">
        <v>0.28559990000000002</v>
      </c>
    </row>
    <row r="8321" spans="18:20" x14ac:dyDescent="0.45">
      <c r="R8321" s="2">
        <v>99.97</v>
      </c>
      <c r="S8321" s="2">
        <v>0.42078500000000002</v>
      </c>
      <c r="T8321" s="2">
        <v>0.28587970000000001</v>
      </c>
    </row>
    <row r="8322" spans="18:20" x14ac:dyDescent="0.45">
      <c r="R8322" s="2">
        <v>99.98</v>
      </c>
      <c r="S8322" s="2">
        <v>0.42111569999999998</v>
      </c>
      <c r="T8322" s="2">
        <v>0.28615940000000001</v>
      </c>
    </row>
    <row r="8323" spans="18:20" x14ac:dyDescent="0.45">
      <c r="R8323" s="2">
        <v>99.99</v>
      </c>
      <c r="S8323" s="2">
        <v>0.4214463</v>
      </c>
      <c r="T8323" s="2">
        <v>0.2864392</v>
      </c>
    </row>
    <row r="8324" spans="18:20" x14ac:dyDescent="0.45">
      <c r="R8324" s="2">
        <v>100</v>
      </c>
      <c r="S8324" s="2">
        <v>0.42177700000000001</v>
      </c>
      <c r="T8324" s="2">
        <v>0.286719</v>
      </c>
    </row>
    <row r="8325" spans="18:20" x14ac:dyDescent="0.45">
      <c r="R8325" s="2">
        <v>100.01</v>
      </c>
      <c r="S8325" s="2">
        <v>0.42213129999999999</v>
      </c>
      <c r="T8325" s="2">
        <v>0.28702909999999998</v>
      </c>
    </row>
    <row r="8326" spans="18:20" x14ac:dyDescent="0.45">
      <c r="R8326" s="2">
        <v>100.02</v>
      </c>
      <c r="S8326" s="2">
        <v>0.42248550000000001</v>
      </c>
      <c r="T8326" s="2">
        <v>0.28733910000000001</v>
      </c>
    </row>
    <row r="8327" spans="18:20" x14ac:dyDescent="0.45">
      <c r="R8327" s="2">
        <v>100.03</v>
      </c>
      <c r="S8327" s="2">
        <v>0.42283979999999999</v>
      </c>
      <c r="T8327" s="2">
        <v>0.28764919999999999</v>
      </c>
    </row>
    <row r="8328" spans="18:20" x14ac:dyDescent="0.45">
      <c r="R8328" s="2">
        <v>100.04</v>
      </c>
      <c r="S8328" s="2">
        <v>0.42319400000000001</v>
      </c>
      <c r="T8328" s="2">
        <v>0.28795920000000003</v>
      </c>
    </row>
    <row r="8329" spans="18:20" x14ac:dyDescent="0.45">
      <c r="R8329" s="2">
        <v>100.05</v>
      </c>
      <c r="S8329" s="2">
        <v>0.42354819999999999</v>
      </c>
      <c r="T8329" s="2">
        <v>0.2882692</v>
      </c>
    </row>
    <row r="8330" spans="18:20" x14ac:dyDescent="0.45">
      <c r="R8330" s="2">
        <v>100.06</v>
      </c>
      <c r="S8330" s="2">
        <v>0.42390250000000002</v>
      </c>
      <c r="T8330" s="2">
        <v>0.28857929999999998</v>
      </c>
    </row>
    <row r="8331" spans="18:20" x14ac:dyDescent="0.45">
      <c r="R8331" s="2">
        <v>100.07</v>
      </c>
      <c r="S8331" s="2">
        <v>0.42425669999999999</v>
      </c>
      <c r="T8331" s="2">
        <v>0.28888930000000002</v>
      </c>
    </row>
    <row r="8332" spans="18:20" x14ac:dyDescent="0.45">
      <c r="R8332" s="2">
        <v>100.08</v>
      </c>
      <c r="S8332" s="2">
        <v>0.42461100000000002</v>
      </c>
      <c r="T8332" s="2">
        <v>0.2891994</v>
      </c>
    </row>
    <row r="8333" spans="18:20" x14ac:dyDescent="0.45">
      <c r="R8333" s="2">
        <v>100.09</v>
      </c>
      <c r="S8333" s="2">
        <v>0.42496529999999999</v>
      </c>
      <c r="T8333" s="2">
        <v>0.28950949999999998</v>
      </c>
    </row>
    <row r="8334" spans="18:20" x14ac:dyDescent="0.45">
      <c r="R8334" s="2">
        <v>100.1</v>
      </c>
      <c r="S8334" s="2">
        <v>0.42531950000000002</v>
      </c>
      <c r="T8334" s="2">
        <v>0.28981950000000001</v>
      </c>
    </row>
    <row r="8335" spans="18:20" x14ac:dyDescent="0.45">
      <c r="R8335" s="2">
        <v>100.11</v>
      </c>
      <c r="S8335" s="2">
        <v>0.42567369999999999</v>
      </c>
      <c r="T8335" s="2">
        <v>0.29012959999999999</v>
      </c>
    </row>
    <row r="8336" spans="18:20" x14ac:dyDescent="0.45">
      <c r="R8336" s="2">
        <v>100.12</v>
      </c>
      <c r="S8336" s="2">
        <v>0.42602800000000002</v>
      </c>
      <c r="T8336" s="2">
        <v>0.29043960000000002</v>
      </c>
    </row>
    <row r="8337" spans="18:20" x14ac:dyDescent="0.45">
      <c r="R8337" s="2">
        <v>100.13</v>
      </c>
      <c r="S8337" s="2">
        <v>0.42638219999999999</v>
      </c>
      <c r="T8337" s="2">
        <v>0.2907496</v>
      </c>
    </row>
    <row r="8338" spans="18:20" x14ac:dyDescent="0.45">
      <c r="R8338" s="2">
        <v>100.14</v>
      </c>
      <c r="S8338" s="2">
        <v>0.42673650000000002</v>
      </c>
      <c r="T8338" s="2">
        <v>0.29105969999999998</v>
      </c>
    </row>
    <row r="8339" spans="18:20" x14ac:dyDescent="0.45">
      <c r="R8339" s="2">
        <v>100.15</v>
      </c>
      <c r="S8339" s="2">
        <v>0.42709079999999999</v>
      </c>
      <c r="T8339" s="2">
        <v>0.29136980000000001</v>
      </c>
    </row>
    <row r="8340" spans="18:20" x14ac:dyDescent="0.45">
      <c r="R8340" s="2">
        <v>100.16</v>
      </c>
      <c r="S8340" s="2">
        <v>0.42744500000000002</v>
      </c>
      <c r="T8340" s="2">
        <v>0.29167979999999999</v>
      </c>
    </row>
    <row r="8341" spans="18:20" x14ac:dyDescent="0.45">
      <c r="R8341" s="2">
        <v>100.17</v>
      </c>
      <c r="S8341" s="2">
        <v>0.42779929999999999</v>
      </c>
      <c r="T8341" s="2">
        <v>0.29198990000000002</v>
      </c>
    </row>
    <row r="8342" spans="18:20" x14ac:dyDescent="0.45">
      <c r="R8342" s="2">
        <v>100.18</v>
      </c>
      <c r="S8342" s="2">
        <v>0.42815350000000002</v>
      </c>
      <c r="T8342" s="2">
        <v>0.2922999</v>
      </c>
    </row>
    <row r="8343" spans="18:20" x14ac:dyDescent="0.45">
      <c r="R8343" s="2">
        <v>100.19</v>
      </c>
      <c r="S8343" s="2">
        <v>0.42850769999999999</v>
      </c>
      <c r="T8343" s="2">
        <v>0.29260989999999998</v>
      </c>
    </row>
    <row r="8344" spans="18:20" x14ac:dyDescent="0.45">
      <c r="R8344" s="2">
        <v>100.2</v>
      </c>
      <c r="S8344" s="2">
        <v>0.42886200000000002</v>
      </c>
      <c r="T8344" s="2">
        <v>0.29292000000000001</v>
      </c>
    </row>
    <row r="8345" spans="18:20" x14ac:dyDescent="0.45">
      <c r="R8345" s="2">
        <v>100.21</v>
      </c>
      <c r="S8345" s="2">
        <v>0.42921619999999999</v>
      </c>
      <c r="T8345" s="2">
        <v>0.29322999999999999</v>
      </c>
    </row>
    <row r="8346" spans="18:20" x14ac:dyDescent="0.45">
      <c r="R8346" s="2">
        <v>100.22</v>
      </c>
      <c r="S8346" s="2">
        <v>0.42957050000000002</v>
      </c>
      <c r="T8346" s="2">
        <v>0.29354010000000003</v>
      </c>
    </row>
    <row r="8347" spans="18:20" x14ac:dyDescent="0.45">
      <c r="R8347" s="2">
        <v>100.23</v>
      </c>
      <c r="S8347" s="2">
        <v>0.4299248</v>
      </c>
      <c r="T8347" s="2">
        <v>0.29385020000000001</v>
      </c>
    </row>
    <row r="8348" spans="18:20" x14ac:dyDescent="0.45">
      <c r="R8348" s="2">
        <v>100.24</v>
      </c>
      <c r="S8348" s="2">
        <v>0.43027900000000002</v>
      </c>
      <c r="T8348" s="2">
        <v>0.29416019999999998</v>
      </c>
    </row>
    <row r="8349" spans="18:20" x14ac:dyDescent="0.45">
      <c r="R8349" s="2">
        <v>100.25</v>
      </c>
      <c r="S8349" s="2">
        <v>0.43063319999999999</v>
      </c>
      <c r="T8349" s="2">
        <v>0.29447030000000002</v>
      </c>
    </row>
    <row r="8350" spans="18:20" x14ac:dyDescent="0.45">
      <c r="R8350" s="2">
        <v>100.26</v>
      </c>
      <c r="S8350" s="2">
        <v>0.43098750000000002</v>
      </c>
      <c r="T8350" s="2">
        <v>0.2947803</v>
      </c>
    </row>
    <row r="8351" spans="18:20" x14ac:dyDescent="0.45">
      <c r="R8351" s="2">
        <v>100.27</v>
      </c>
      <c r="S8351" s="2">
        <v>0.43134169999999999</v>
      </c>
      <c r="T8351" s="2">
        <v>0.29509030000000003</v>
      </c>
    </row>
    <row r="8352" spans="18:20" x14ac:dyDescent="0.45">
      <c r="R8352" s="2">
        <v>100.28</v>
      </c>
      <c r="S8352" s="2">
        <v>0.43169600000000002</v>
      </c>
      <c r="T8352" s="2">
        <v>0.29540040000000001</v>
      </c>
    </row>
    <row r="8353" spans="18:20" x14ac:dyDescent="0.45">
      <c r="R8353" s="2">
        <v>100.29</v>
      </c>
      <c r="S8353" s="2">
        <v>0.4320503</v>
      </c>
      <c r="T8353" s="2">
        <v>0.29571049999999999</v>
      </c>
    </row>
    <row r="8354" spans="18:20" x14ac:dyDescent="0.45">
      <c r="R8354" s="2">
        <v>100.3</v>
      </c>
      <c r="S8354" s="2">
        <v>0.43240450000000002</v>
      </c>
      <c r="T8354" s="2">
        <v>0.29602050000000002</v>
      </c>
    </row>
    <row r="8355" spans="18:20" x14ac:dyDescent="0.45">
      <c r="R8355" s="2">
        <v>100.31</v>
      </c>
      <c r="S8355" s="2">
        <v>0.4327588</v>
      </c>
      <c r="T8355" s="2">
        <v>0.2963306</v>
      </c>
    </row>
    <row r="8356" spans="18:20" x14ac:dyDescent="0.45">
      <c r="R8356" s="2">
        <v>100.32</v>
      </c>
      <c r="S8356" s="2">
        <v>0.43311300000000003</v>
      </c>
      <c r="T8356" s="2">
        <v>0.29664059999999998</v>
      </c>
    </row>
    <row r="8357" spans="18:20" x14ac:dyDescent="0.45">
      <c r="R8357" s="2">
        <v>100.33</v>
      </c>
      <c r="S8357" s="2">
        <v>0.4334672</v>
      </c>
      <c r="T8357" s="2">
        <v>0.29695060000000001</v>
      </c>
    </row>
    <row r="8358" spans="18:20" x14ac:dyDescent="0.45">
      <c r="R8358" s="2">
        <v>100.34</v>
      </c>
      <c r="S8358" s="2">
        <v>0.43382150000000003</v>
      </c>
      <c r="T8358" s="2">
        <v>0.29726069999999999</v>
      </c>
    </row>
    <row r="8359" spans="18:20" x14ac:dyDescent="0.45">
      <c r="R8359" s="2">
        <v>100.35</v>
      </c>
      <c r="S8359" s="2">
        <v>0.4341757</v>
      </c>
      <c r="T8359" s="2">
        <v>0.29757070000000002</v>
      </c>
    </row>
    <row r="8360" spans="18:20" x14ac:dyDescent="0.45">
      <c r="R8360" s="2">
        <v>100.36</v>
      </c>
      <c r="S8360" s="2">
        <v>0.43453000000000003</v>
      </c>
      <c r="T8360" s="2">
        <v>0.2978808</v>
      </c>
    </row>
    <row r="8361" spans="18:20" x14ac:dyDescent="0.45">
      <c r="R8361" s="2">
        <v>100.37</v>
      </c>
      <c r="S8361" s="2">
        <v>0.4348843</v>
      </c>
      <c r="T8361" s="2">
        <v>0.29819089999999998</v>
      </c>
    </row>
    <row r="8362" spans="18:20" x14ac:dyDescent="0.45">
      <c r="R8362" s="2">
        <v>100.38</v>
      </c>
      <c r="S8362" s="2">
        <v>0.43523849999999997</v>
      </c>
      <c r="T8362" s="2">
        <v>0.29850090000000001</v>
      </c>
    </row>
    <row r="8363" spans="18:20" x14ac:dyDescent="0.45">
      <c r="R8363" s="2">
        <v>100.39</v>
      </c>
      <c r="S8363" s="2">
        <v>0.4355927</v>
      </c>
      <c r="T8363" s="2">
        <v>0.29881099999999999</v>
      </c>
    </row>
    <row r="8364" spans="18:20" x14ac:dyDescent="0.45">
      <c r="R8364" s="2">
        <v>100.4</v>
      </c>
      <c r="S8364" s="2">
        <v>0.43594699999999997</v>
      </c>
      <c r="T8364" s="2">
        <v>0.29912100000000003</v>
      </c>
    </row>
    <row r="8365" spans="18:20" x14ac:dyDescent="0.45">
      <c r="R8365" s="2">
        <v>100.41</v>
      </c>
      <c r="S8365" s="2">
        <v>0.4363012</v>
      </c>
      <c r="T8365" s="2">
        <v>0.299431</v>
      </c>
    </row>
    <row r="8366" spans="18:20" x14ac:dyDescent="0.45">
      <c r="R8366" s="2">
        <v>100.42</v>
      </c>
      <c r="S8366" s="2">
        <v>0.43665549999999997</v>
      </c>
      <c r="T8366" s="2">
        <v>0.29974109999999998</v>
      </c>
    </row>
    <row r="8367" spans="18:20" x14ac:dyDescent="0.45">
      <c r="R8367" s="2">
        <v>100.43</v>
      </c>
      <c r="S8367" s="2">
        <v>0.4370098</v>
      </c>
      <c r="T8367" s="2">
        <v>0.30005120000000002</v>
      </c>
    </row>
    <row r="8368" spans="18:20" x14ac:dyDescent="0.45">
      <c r="R8368" s="2">
        <v>100.44</v>
      </c>
      <c r="S8368" s="2">
        <v>0.43736399999999998</v>
      </c>
      <c r="T8368" s="2">
        <v>0.30036119999999999</v>
      </c>
    </row>
    <row r="8369" spans="18:20" x14ac:dyDescent="0.45">
      <c r="R8369" s="2">
        <v>100.45</v>
      </c>
      <c r="S8369" s="2">
        <v>0.4377183</v>
      </c>
      <c r="T8369" s="2">
        <v>0.30067129999999997</v>
      </c>
    </row>
    <row r="8370" spans="18:20" x14ac:dyDescent="0.45">
      <c r="R8370" s="2">
        <v>100.46</v>
      </c>
      <c r="S8370" s="2">
        <v>0.43807249999999998</v>
      </c>
      <c r="T8370" s="2">
        <v>0.30098130000000001</v>
      </c>
    </row>
    <row r="8371" spans="18:20" x14ac:dyDescent="0.45">
      <c r="R8371" s="2">
        <v>100.47</v>
      </c>
      <c r="S8371" s="2">
        <v>0.4384267</v>
      </c>
      <c r="T8371" s="2">
        <v>0.30129129999999998</v>
      </c>
    </row>
    <row r="8372" spans="18:20" x14ac:dyDescent="0.45">
      <c r="R8372" s="2">
        <v>100.48</v>
      </c>
      <c r="S8372" s="2">
        <v>0.43878099999999998</v>
      </c>
      <c r="T8372" s="2">
        <v>0.30160140000000002</v>
      </c>
    </row>
    <row r="8373" spans="18:20" x14ac:dyDescent="0.45">
      <c r="R8373" s="2">
        <v>100.49</v>
      </c>
      <c r="S8373" s="2">
        <v>0.4391352</v>
      </c>
      <c r="T8373" s="2">
        <v>0.3019114</v>
      </c>
    </row>
    <row r="8374" spans="18:20" x14ac:dyDescent="0.45">
      <c r="R8374" s="2">
        <v>100.5</v>
      </c>
      <c r="S8374" s="2">
        <v>0.43948949999999998</v>
      </c>
      <c r="T8374" s="2">
        <v>0.30222149999999998</v>
      </c>
    </row>
    <row r="8375" spans="18:20" x14ac:dyDescent="0.45">
      <c r="R8375" s="2">
        <v>100.51</v>
      </c>
      <c r="S8375" s="2">
        <v>0.43984380000000001</v>
      </c>
      <c r="T8375" s="2">
        <v>0.30253160000000001</v>
      </c>
    </row>
    <row r="8376" spans="18:20" x14ac:dyDescent="0.45">
      <c r="R8376" s="2">
        <v>100.52</v>
      </c>
      <c r="S8376" s="2">
        <v>0.44019799999999998</v>
      </c>
      <c r="T8376" s="2">
        <v>0.30284159999999999</v>
      </c>
    </row>
    <row r="8377" spans="18:20" x14ac:dyDescent="0.45">
      <c r="R8377" s="2">
        <v>100.53</v>
      </c>
      <c r="S8377" s="2">
        <v>0.44055230000000001</v>
      </c>
      <c r="T8377" s="2">
        <v>0.30315160000000002</v>
      </c>
    </row>
    <row r="8378" spans="18:20" x14ac:dyDescent="0.45">
      <c r="R8378" s="2">
        <v>100.54</v>
      </c>
      <c r="S8378" s="2">
        <v>0.44090649999999998</v>
      </c>
      <c r="T8378" s="2">
        <v>0.3034617</v>
      </c>
    </row>
    <row r="8379" spans="18:20" x14ac:dyDescent="0.45">
      <c r="R8379" s="2">
        <v>100.55</v>
      </c>
      <c r="S8379" s="2">
        <v>0.44126070000000001</v>
      </c>
      <c r="T8379" s="2">
        <v>0.30377169999999998</v>
      </c>
    </row>
    <row r="8380" spans="18:20" x14ac:dyDescent="0.45">
      <c r="R8380" s="2">
        <v>100.56</v>
      </c>
      <c r="S8380" s="2">
        <v>0.44161499999999998</v>
      </c>
      <c r="T8380" s="2">
        <v>0.30408180000000001</v>
      </c>
    </row>
    <row r="8381" spans="18:20" x14ac:dyDescent="0.45">
      <c r="R8381" s="2">
        <v>100.57</v>
      </c>
      <c r="S8381" s="2">
        <v>0.44196920000000001</v>
      </c>
      <c r="T8381" s="2">
        <v>0.30439179999999999</v>
      </c>
    </row>
    <row r="8382" spans="18:20" x14ac:dyDescent="0.45">
      <c r="R8382" s="2">
        <v>100.58</v>
      </c>
      <c r="S8382" s="2">
        <v>0.44232349999999998</v>
      </c>
      <c r="T8382" s="2">
        <v>0.30470190000000003</v>
      </c>
    </row>
    <row r="8383" spans="18:20" x14ac:dyDescent="0.45">
      <c r="R8383" s="2">
        <v>100.59</v>
      </c>
      <c r="S8383" s="2">
        <v>0.44267780000000001</v>
      </c>
      <c r="T8383" s="2">
        <v>0.30501200000000001</v>
      </c>
    </row>
    <row r="8384" spans="18:20" x14ac:dyDescent="0.45">
      <c r="R8384" s="2">
        <v>100.6</v>
      </c>
      <c r="S8384" s="2">
        <v>0.44303199999999998</v>
      </c>
      <c r="T8384" s="2">
        <v>0.30532199999999998</v>
      </c>
    </row>
    <row r="8385" spans="18:20" x14ac:dyDescent="0.45">
      <c r="R8385" s="2">
        <v>100.61</v>
      </c>
      <c r="S8385" s="2">
        <v>0.44338620000000001</v>
      </c>
      <c r="T8385" s="2">
        <v>0.30563200000000001</v>
      </c>
    </row>
    <row r="8386" spans="18:20" x14ac:dyDescent="0.45">
      <c r="R8386" s="2">
        <v>100.62</v>
      </c>
      <c r="S8386" s="2">
        <v>0.44374049999999998</v>
      </c>
      <c r="T8386" s="2">
        <v>0.30594209999999999</v>
      </c>
    </row>
    <row r="8387" spans="18:20" x14ac:dyDescent="0.45">
      <c r="R8387" s="2">
        <v>100.63</v>
      </c>
      <c r="S8387" s="2">
        <v>0.44409470000000001</v>
      </c>
      <c r="T8387" s="2">
        <v>0.30625210000000003</v>
      </c>
    </row>
    <row r="8388" spans="18:20" x14ac:dyDescent="0.45">
      <c r="R8388" s="2">
        <v>100.64</v>
      </c>
      <c r="S8388" s="2">
        <v>0.44444899999999998</v>
      </c>
      <c r="T8388" s="2">
        <v>0.30656220000000001</v>
      </c>
    </row>
    <row r="8389" spans="18:20" x14ac:dyDescent="0.45">
      <c r="R8389" s="2">
        <v>100.65</v>
      </c>
      <c r="S8389" s="2">
        <v>0.44480330000000001</v>
      </c>
      <c r="T8389" s="2">
        <v>0.30687229999999999</v>
      </c>
    </row>
    <row r="8390" spans="18:20" x14ac:dyDescent="0.45">
      <c r="R8390" s="2">
        <v>100.66</v>
      </c>
      <c r="S8390" s="2">
        <v>0.44515749999999998</v>
      </c>
      <c r="T8390" s="2">
        <v>0.30718230000000002</v>
      </c>
    </row>
    <row r="8391" spans="18:20" x14ac:dyDescent="0.45">
      <c r="R8391" s="2">
        <v>100.67</v>
      </c>
      <c r="S8391" s="2">
        <v>0.44551180000000001</v>
      </c>
      <c r="T8391" s="2">
        <v>0.3074924</v>
      </c>
    </row>
    <row r="8392" spans="18:20" x14ac:dyDescent="0.45">
      <c r="R8392" s="2">
        <v>100.68</v>
      </c>
      <c r="S8392" s="2">
        <v>0.44586599999999998</v>
      </c>
      <c r="T8392" s="2">
        <v>0.30780239999999998</v>
      </c>
    </row>
    <row r="8393" spans="18:20" x14ac:dyDescent="0.45">
      <c r="R8393" s="2">
        <v>100.69</v>
      </c>
      <c r="S8393" s="2">
        <v>0.44622020000000001</v>
      </c>
      <c r="T8393" s="2">
        <v>0.30811240000000001</v>
      </c>
    </row>
    <row r="8394" spans="18:20" x14ac:dyDescent="0.45">
      <c r="R8394" s="2">
        <v>100.7</v>
      </c>
      <c r="S8394" s="2">
        <v>0.44657449999999999</v>
      </c>
      <c r="T8394" s="2">
        <v>0.30842249999999999</v>
      </c>
    </row>
    <row r="8395" spans="18:20" x14ac:dyDescent="0.45">
      <c r="R8395" s="2">
        <v>100.71</v>
      </c>
      <c r="S8395" s="2">
        <v>0.44692870000000001</v>
      </c>
      <c r="T8395" s="2">
        <v>0.30873250000000002</v>
      </c>
    </row>
    <row r="8396" spans="18:20" x14ac:dyDescent="0.45">
      <c r="R8396" s="2">
        <v>100.72</v>
      </c>
      <c r="S8396" s="2">
        <v>0.44728299999999999</v>
      </c>
      <c r="T8396" s="2">
        <v>0.3090426</v>
      </c>
    </row>
    <row r="8397" spans="18:20" x14ac:dyDescent="0.45">
      <c r="R8397" s="2">
        <v>100.73</v>
      </c>
      <c r="S8397" s="2">
        <v>0.44763730000000002</v>
      </c>
      <c r="T8397" s="2">
        <v>0.30935269999999998</v>
      </c>
    </row>
    <row r="8398" spans="18:20" x14ac:dyDescent="0.45">
      <c r="R8398" s="2">
        <v>100.74</v>
      </c>
      <c r="S8398" s="2">
        <v>0.44799149999999999</v>
      </c>
      <c r="T8398" s="2">
        <v>0.30966270000000001</v>
      </c>
    </row>
    <row r="8399" spans="18:20" x14ac:dyDescent="0.45">
      <c r="R8399" s="2">
        <v>100.75</v>
      </c>
      <c r="S8399" s="2">
        <v>0.44834570000000001</v>
      </c>
      <c r="T8399" s="2">
        <v>0.30997279999999999</v>
      </c>
    </row>
    <row r="8400" spans="18:20" x14ac:dyDescent="0.45">
      <c r="R8400" s="2">
        <v>100.76</v>
      </c>
      <c r="S8400" s="2">
        <v>0.44869999999999999</v>
      </c>
      <c r="T8400" s="2">
        <v>0.31028280000000003</v>
      </c>
    </row>
    <row r="8401" spans="18:20" x14ac:dyDescent="0.45">
      <c r="R8401" s="2">
        <v>100.77</v>
      </c>
      <c r="S8401" s="2">
        <v>0.44905420000000001</v>
      </c>
      <c r="T8401" s="2">
        <v>0.3105928</v>
      </c>
    </row>
    <row r="8402" spans="18:20" x14ac:dyDescent="0.45">
      <c r="R8402" s="2">
        <v>100.78</v>
      </c>
      <c r="S8402" s="2">
        <v>0.44940849999999999</v>
      </c>
      <c r="T8402" s="2">
        <v>0.31090289999999998</v>
      </c>
    </row>
    <row r="8403" spans="18:20" x14ac:dyDescent="0.45">
      <c r="R8403" s="2">
        <v>100.79</v>
      </c>
      <c r="S8403" s="2">
        <v>0.44976280000000002</v>
      </c>
      <c r="T8403" s="2">
        <v>0.31121300000000002</v>
      </c>
    </row>
    <row r="8404" spans="18:20" x14ac:dyDescent="0.45">
      <c r="R8404" s="2">
        <v>100.8</v>
      </c>
      <c r="S8404" s="2">
        <v>0.45011699999999999</v>
      </c>
      <c r="T8404" s="2">
        <v>0.31152299999999999</v>
      </c>
    </row>
    <row r="8405" spans="18:20" x14ac:dyDescent="0.45">
      <c r="R8405" s="2">
        <v>100.81</v>
      </c>
      <c r="S8405" s="2">
        <v>0.45047130000000002</v>
      </c>
      <c r="T8405" s="2">
        <v>0.31183309999999997</v>
      </c>
    </row>
    <row r="8406" spans="18:20" x14ac:dyDescent="0.45">
      <c r="R8406" s="2">
        <v>100.82</v>
      </c>
      <c r="S8406" s="2">
        <v>0.45082549999999999</v>
      </c>
      <c r="T8406" s="2">
        <v>0.31214310000000001</v>
      </c>
    </row>
    <row r="8407" spans="18:20" x14ac:dyDescent="0.45">
      <c r="R8407" s="2">
        <v>100.83</v>
      </c>
      <c r="S8407" s="2">
        <v>0.45117970000000002</v>
      </c>
      <c r="T8407" s="2">
        <v>0.31245309999999998</v>
      </c>
    </row>
    <row r="8408" spans="18:20" x14ac:dyDescent="0.45">
      <c r="R8408" s="2">
        <v>100.84</v>
      </c>
      <c r="S8408" s="2">
        <v>0.45153399999999999</v>
      </c>
      <c r="T8408" s="2">
        <v>0.31276320000000002</v>
      </c>
    </row>
    <row r="8409" spans="18:20" x14ac:dyDescent="0.45">
      <c r="R8409" s="2">
        <v>100.85</v>
      </c>
      <c r="S8409" s="2">
        <v>0.45188820000000002</v>
      </c>
      <c r="T8409" s="2">
        <v>0.3130732</v>
      </c>
    </row>
    <row r="8410" spans="18:20" x14ac:dyDescent="0.45">
      <c r="R8410" s="2">
        <v>100.86</v>
      </c>
      <c r="S8410" s="2">
        <v>0.45224249999999999</v>
      </c>
      <c r="T8410" s="2">
        <v>0.31338329999999998</v>
      </c>
    </row>
    <row r="8411" spans="18:20" x14ac:dyDescent="0.45">
      <c r="R8411" s="2">
        <v>100.87</v>
      </c>
      <c r="S8411" s="2">
        <v>0.45259680000000002</v>
      </c>
      <c r="T8411" s="2">
        <v>0.31369340000000001</v>
      </c>
    </row>
    <row r="8412" spans="18:20" x14ac:dyDescent="0.45">
      <c r="R8412" s="2">
        <v>100.88</v>
      </c>
      <c r="S8412" s="2">
        <v>0.45295099999999999</v>
      </c>
      <c r="T8412" s="2">
        <v>0.31400339999999999</v>
      </c>
    </row>
    <row r="8413" spans="18:20" x14ac:dyDescent="0.45">
      <c r="R8413" s="2">
        <v>100.89</v>
      </c>
      <c r="S8413" s="2">
        <v>0.45330530000000002</v>
      </c>
      <c r="T8413" s="2">
        <v>0.31431340000000002</v>
      </c>
    </row>
    <row r="8414" spans="18:20" x14ac:dyDescent="0.45">
      <c r="R8414" s="2">
        <v>100.9</v>
      </c>
      <c r="S8414" s="2">
        <v>0.45365949999999999</v>
      </c>
      <c r="T8414" s="2">
        <v>0.3146235</v>
      </c>
    </row>
    <row r="8415" spans="18:20" x14ac:dyDescent="0.45">
      <c r="R8415" s="2">
        <v>100.91</v>
      </c>
      <c r="S8415" s="2">
        <v>0.45401370000000002</v>
      </c>
      <c r="T8415" s="2">
        <v>0.31493349999999998</v>
      </c>
    </row>
    <row r="8416" spans="18:20" x14ac:dyDescent="0.45">
      <c r="R8416" s="2">
        <v>100.92</v>
      </c>
      <c r="S8416" s="2">
        <v>0.45436799999999999</v>
      </c>
      <c r="T8416" s="2">
        <v>0.31524360000000001</v>
      </c>
    </row>
    <row r="8417" spans="18:20" x14ac:dyDescent="0.45">
      <c r="R8417" s="2">
        <v>100.93</v>
      </c>
      <c r="S8417" s="2">
        <v>0.45472230000000002</v>
      </c>
      <c r="T8417" s="2">
        <v>0.31555369999999999</v>
      </c>
    </row>
    <row r="8418" spans="18:20" x14ac:dyDescent="0.45">
      <c r="R8418" s="2">
        <v>100.94</v>
      </c>
      <c r="S8418" s="2">
        <v>0.45507649999999999</v>
      </c>
      <c r="T8418" s="2">
        <v>0.31586370000000003</v>
      </c>
    </row>
    <row r="8419" spans="18:20" x14ac:dyDescent="0.45">
      <c r="R8419" s="2">
        <v>100.95</v>
      </c>
      <c r="S8419" s="2">
        <v>0.45543080000000002</v>
      </c>
      <c r="T8419" s="2">
        <v>0.3161738</v>
      </c>
    </row>
    <row r="8420" spans="18:20" x14ac:dyDescent="0.45">
      <c r="R8420" s="2">
        <v>100.96</v>
      </c>
      <c r="S8420" s="2">
        <v>0.455785</v>
      </c>
      <c r="T8420" s="2">
        <v>0.31648379999999998</v>
      </c>
    </row>
    <row r="8421" spans="18:20" x14ac:dyDescent="0.45">
      <c r="R8421" s="2">
        <v>100.97</v>
      </c>
      <c r="S8421" s="2">
        <v>0.45613920000000002</v>
      </c>
      <c r="T8421" s="2">
        <v>0.31679380000000001</v>
      </c>
    </row>
    <row r="8422" spans="18:20" x14ac:dyDescent="0.45">
      <c r="R8422" s="2">
        <v>100.98</v>
      </c>
      <c r="S8422" s="2">
        <v>0.4564935</v>
      </c>
      <c r="T8422" s="2">
        <v>0.31710389999999999</v>
      </c>
    </row>
    <row r="8423" spans="18:20" x14ac:dyDescent="0.45">
      <c r="R8423" s="2">
        <v>100.99</v>
      </c>
      <c r="S8423" s="2">
        <v>0.45684770000000002</v>
      </c>
      <c r="T8423" s="2">
        <v>0.31741390000000003</v>
      </c>
    </row>
    <row r="8424" spans="18:20" x14ac:dyDescent="0.45">
      <c r="R8424" s="2">
        <v>101</v>
      </c>
      <c r="S8424" s="2">
        <v>0.457202</v>
      </c>
      <c r="T8424" s="2">
        <v>0.31772400000000001</v>
      </c>
    </row>
    <row r="8425" spans="18:20" x14ac:dyDescent="0.45">
      <c r="R8425" s="2">
        <v>101.01</v>
      </c>
      <c r="S8425" s="2">
        <v>0.45758110000000002</v>
      </c>
      <c r="T8425" s="2">
        <v>0.31806760000000001</v>
      </c>
    </row>
    <row r="8426" spans="18:20" x14ac:dyDescent="0.45">
      <c r="R8426" s="2">
        <v>101.02</v>
      </c>
      <c r="S8426" s="2">
        <v>0.45796019999999998</v>
      </c>
      <c r="T8426" s="2">
        <v>0.31841120000000001</v>
      </c>
    </row>
    <row r="8427" spans="18:20" x14ac:dyDescent="0.45">
      <c r="R8427" s="2">
        <v>101.03</v>
      </c>
      <c r="S8427" s="2">
        <v>0.45833930000000001</v>
      </c>
      <c r="T8427" s="2">
        <v>0.3187547</v>
      </c>
    </row>
    <row r="8428" spans="18:20" x14ac:dyDescent="0.45">
      <c r="R8428" s="2">
        <v>101.04</v>
      </c>
      <c r="S8428" s="2">
        <v>0.45871840000000003</v>
      </c>
      <c r="T8428" s="2">
        <v>0.3190983</v>
      </c>
    </row>
    <row r="8429" spans="18:20" x14ac:dyDescent="0.45">
      <c r="R8429" s="2">
        <v>101.05</v>
      </c>
      <c r="S8429" s="2">
        <v>0.45909739999999999</v>
      </c>
      <c r="T8429" s="2">
        <v>0.3194419</v>
      </c>
    </row>
    <row r="8430" spans="18:20" x14ac:dyDescent="0.45">
      <c r="R8430" s="2">
        <v>101.06</v>
      </c>
      <c r="S8430" s="2">
        <v>0.45947650000000001</v>
      </c>
      <c r="T8430" s="2">
        <v>0.3197855</v>
      </c>
    </row>
    <row r="8431" spans="18:20" x14ac:dyDescent="0.45">
      <c r="R8431" s="2">
        <v>101.07</v>
      </c>
      <c r="S8431" s="2">
        <v>0.45985559999999998</v>
      </c>
      <c r="T8431" s="2">
        <v>0.3201291</v>
      </c>
    </row>
    <row r="8432" spans="18:20" x14ac:dyDescent="0.45">
      <c r="R8432" s="2">
        <v>101.08</v>
      </c>
      <c r="S8432" s="2">
        <v>0.4602347</v>
      </c>
      <c r="T8432" s="2">
        <v>0.3204726</v>
      </c>
    </row>
    <row r="8433" spans="18:20" x14ac:dyDescent="0.45">
      <c r="R8433" s="2">
        <v>101.09</v>
      </c>
      <c r="S8433" s="2">
        <v>0.46061380000000002</v>
      </c>
      <c r="T8433" s="2">
        <v>0.3208162</v>
      </c>
    </row>
    <row r="8434" spans="18:20" x14ac:dyDescent="0.45">
      <c r="R8434" s="2">
        <v>101.1</v>
      </c>
      <c r="S8434" s="2">
        <v>0.46099289999999998</v>
      </c>
      <c r="T8434" s="2">
        <v>0.3211598</v>
      </c>
    </row>
    <row r="8435" spans="18:20" x14ac:dyDescent="0.45">
      <c r="R8435" s="2">
        <v>101.11</v>
      </c>
      <c r="S8435" s="2">
        <v>0.461372</v>
      </c>
      <c r="T8435" s="2">
        <v>0.32150339999999999</v>
      </c>
    </row>
    <row r="8436" spans="18:20" x14ac:dyDescent="0.45">
      <c r="R8436" s="2">
        <v>101.12</v>
      </c>
      <c r="S8436" s="2">
        <v>0.46175110000000003</v>
      </c>
      <c r="T8436" s="2">
        <v>0.32184699999999999</v>
      </c>
    </row>
    <row r="8437" spans="18:20" x14ac:dyDescent="0.45">
      <c r="R8437" s="2">
        <v>101.13</v>
      </c>
      <c r="S8437" s="2">
        <v>0.46213019999999999</v>
      </c>
      <c r="T8437" s="2">
        <v>0.32219049999999999</v>
      </c>
    </row>
    <row r="8438" spans="18:20" x14ac:dyDescent="0.45">
      <c r="R8438" s="2">
        <v>101.14</v>
      </c>
      <c r="S8438" s="2">
        <v>0.46250930000000001</v>
      </c>
      <c r="T8438" s="2">
        <v>0.32253409999999999</v>
      </c>
    </row>
    <row r="8439" spans="18:20" x14ac:dyDescent="0.45">
      <c r="R8439" s="2">
        <v>101.15</v>
      </c>
      <c r="S8439" s="2">
        <v>0.46288839999999998</v>
      </c>
      <c r="T8439" s="2">
        <v>0.32287769999999999</v>
      </c>
    </row>
    <row r="8440" spans="18:20" x14ac:dyDescent="0.45">
      <c r="R8440" s="2">
        <v>101.16</v>
      </c>
      <c r="S8440" s="2">
        <v>0.4632674</v>
      </c>
      <c r="T8440" s="2">
        <v>0.32322129999999999</v>
      </c>
    </row>
    <row r="8441" spans="18:20" x14ac:dyDescent="0.45">
      <c r="R8441" s="2">
        <v>101.17</v>
      </c>
      <c r="S8441" s="2">
        <v>0.46364650000000002</v>
      </c>
      <c r="T8441" s="2">
        <v>0.32356489999999999</v>
      </c>
    </row>
    <row r="8442" spans="18:20" x14ac:dyDescent="0.45">
      <c r="R8442" s="2">
        <v>101.18</v>
      </c>
      <c r="S8442" s="2">
        <v>0.46402559999999998</v>
      </c>
      <c r="T8442" s="2">
        <v>0.32390839999999999</v>
      </c>
    </row>
    <row r="8443" spans="18:20" x14ac:dyDescent="0.45">
      <c r="R8443" s="2">
        <v>101.19</v>
      </c>
      <c r="S8443" s="2">
        <v>0.4644047</v>
      </c>
      <c r="T8443" s="2">
        <v>0.32425199999999998</v>
      </c>
    </row>
    <row r="8444" spans="18:20" x14ac:dyDescent="0.45">
      <c r="R8444" s="2">
        <v>101.2</v>
      </c>
      <c r="S8444" s="2">
        <v>0.46478380000000002</v>
      </c>
      <c r="T8444" s="2">
        <v>0.32459559999999998</v>
      </c>
    </row>
    <row r="8445" spans="18:20" x14ac:dyDescent="0.45">
      <c r="R8445" s="2">
        <v>101.21</v>
      </c>
      <c r="S8445" s="2">
        <v>0.46516289999999999</v>
      </c>
      <c r="T8445" s="2">
        <v>0.32493919999999998</v>
      </c>
    </row>
    <row r="8446" spans="18:20" x14ac:dyDescent="0.45">
      <c r="R8446" s="2">
        <v>101.22</v>
      </c>
      <c r="S8446" s="2">
        <v>0.46554200000000001</v>
      </c>
      <c r="T8446" s="2">
        <v>0.32528279999999998</v>
      </c>
    </row>
    <row r="8447" spans="18:20" x14ac:dyDescent="0.45">
      <c r="R8447" s="2">
        <v>101.23</v>
      </c>
      <c r="S8447" s="2">
        <v>0.46592109999999998</v>
      </c>
      <c r="T8447" s="2">
        <v>0.32562629999999998</v>
      </c>
    </row>
    <row r="8448" spans="18:20" x14ac:dyDescent="0.45">
      <c r="R8448" s="2">
        <v>101.24</v>
      </c>
      <c r="S8448" s="2">
        <v>0.4663002</v>
      </c>
      <c r="T8448" s="2">
        <v>0.32596989999999998</v>
      </c>
    </row>
    <row r="8449" spans="18:20" x14ac:dyDescent="0.45">
      <c r="R8449" s="2">
        <v>101.25</v>
      </c>
      <c r="S8449" s="2">
        <v>0.46667920000000002</v>
      </c>
      <c r="T8449" s="2">
        <v>0.32631349999999998</v>
      </c>
    </row>
    <row r="8450" spans="18:20" x14ac:dyDescent="0.45">
      <c r="R8450" s="2">
        <v>101.26</v>
      </c>
      <c r="S8450" s="2">
        <v>0.46705829999999998</v>
      </c>
      <c r="T8450" s="2">
        <v>0.32665709999999998</v>
      </c>
    </row>
    <row r="8451" spans="18:20" x14ac:dyDescent="0.45">
      <c r="R8451" s="2">
        <v>101.27</v>
      </c>
      <c r="S8451" s="2">
        <v>0.4674374</v>
      </c>
      <c r="T8451" s="2">
        <v>0.32700069999999998</v>
      </c>
    </row>
    <row r="8452" spans="18:20" x14ac:dyDescent="0.45">
      <c r="R8452" s="2">
        <v>101.28</v>
      </c>
      <c r="S8452" s="2">
        <v>0.46781650000000002</v>
      </c>
      <c r="T8452" s="2">
        <v>0.32734419999999997</v>
      </c>
    </row>
    <row r="8453" spans="18:20" x14ac:dyDescent="0.45">
      <c r="R8453" s="2">
        <v>101.29</v>
      </c>
      <c r="S8453" s="2">
        <v>0.46819559999999999</v>
      </c>
      <c r="T8453" s="2">
        <v>0.32768779999999997</v>
      </c>
    </row>
    <row r="8454" spans="18:20" x14ac:dyDescent="0.45">
      <c r="R8454" s="2">
        <v>101.3</v>
      </c>
      <c r="S8454" s="2">
        <v>0.46857470000000001</v>
      </c>
      <c r="T8454" s="2">
        <v>0.32803139999999997</v>
      </c>
    </row>
    <row r="8455" spans="18:20" x14ac:dyDescent="0.45">
      <c r="R8455" s="2">
        <v>101.31</v>
      </c>
      <c r="S8455" s="2">
        <v>0.46895379999999998</v>
      </c>
      <c r="T8455" s="2">
        <v>0.32837499999999997</v>
      </c>
    </row>
    <row r="8456" spans="18:20" x14ac:dyDescent="0.45">
      <c r="R8456" s="2">
        <v>101.32</v>
      </c>
      <c r="S8456" s="2">
        <v>0.4693329</v>
      </c>
      <c r="T8456" s="2">
        <v>0.32871860000000003</v>
      </c>
    </row>
    <row r="8457" spans="18:20" x14ac:dyDescent="0.45">
      <c r="R8457" s="2">
        <v>101.33</v>
      </c>
      <c r="S8457" s="2">
        <v>0.46971200000000002</v>
      </c>
      <c r="T8457" s="2">
        <v>0.32906210000000002</v>
      </c>
    </row>
    <row r="8458" spans="18:20" x14ac:dyDescent="0.45">
      <c r="R8458" s="2">
        <v>101.34</v>
      </c>
      <c r="S8458" s="2">
        <v>0.47009109999999998</v>
      </c>
      <c r="T8458" s="2">
        <v>0.32940570000000002</v>
      </c>
    </row>
    <row r="8459" spans="18:20" x14ac:dyDescent="0.45">
      <c r="R8459" s="2">
        <v>101.35</v>
      </c>
      <c r="S8459" s="2">
        <v>0.4704701</v>
      </c>
      <c r="T8459" s="2">
        <v>0.32974930000000002</v>
      </c>
    </row>
    <row r="8460" spans="18:20" x14ac:dyDescent="0.45">
      <c r="R8460" s="2">
        <v>101.36</v>
      </c>
      <c r="S8460" s="2">
        <v>0.47084920000000002</v>
      </c>
      <c r="T8460" s="2">
        <v>0.33009290000000002</v>
      </c>
    </row>
    <row r="8461" spans="18:20" x14ac:dyDescent="0.45">
      <c r="R8461" s="2">
        <v>101.37</v>
      </c>
      <c r="S8461" s="2">
        <v>0.47122829999999999</v>
      </c>
      <c r="T8461" s="2">
        <v>0.33043650000000002</v>
      </c>
    </row>
    <row r="8462" spans="18:20" x14ac:dyDescent="0.45">
      <c r="R8462" s="2">
        <v>101.38</v>
      </c>
      <c r="S8462" s="2">
        <v>0.47160740000000001</v>
      </c>
      <c r="T8462" s="2">
        <v>0.33078000000000002</v>
      </c>
    </row>
    <row r="8463" spans="18:20" x14ac:dyDescent="0.45">
      <c r="R8463" s="2">
        <v>101.39</v>
      </c>
      <c r="S8463" s="2">
        <v>0.47198649999999998</v>
      </c>
      <c r="T8463" s="2">
        <v>0.33112360000000002</v>
      </c>
    </row>
    <row r="8464" spans="18:20" x14ac:dyDescent="0.45">
      <c r="R8464" s="2">
        <v>101.4</v>
      </c>
      <c r="S8464" s="2">
        <v>0.4723656</v>
      </c>
      <c r="T8464" s="2">
        <v>0.33146720000000002</v>
      </c>
    </row>
    <row r="8465" spans="18:20" x14ac:dyDescent="0.45">
      <c r="R8465" s="2">
        <v>101.41</v>
      </c>
      <c r="S8465" s="2">
        <v>0.47274470000000002</v>
      </c>
      <c r="T8465" s="2">
        <v>0.33181080000000002</v>
      </c>
    </row>
    <row r="8466" spans="18:20" x14ac:dyDescent="0.45">
      <c r="R8466" s="2">
        <v>101.42</v>
      </c>
      <c r="S8466" s="2">
        <v>0.47312379999999998</v>
      </c>
      <c r="T8466" s="2">
        <v>0.33215440000000002</v>
      </c>
    </row>
    <row r="8467" spans="18:20" x14ac:dyDescent="0.45">
      <c r="R8467" s="2">
        <v>101.43</v>
      </c>
      <c r="S8467" s="2">
        <v>0.4735029</v>
      </c>
      <c r="T8467" s="2">
        <v>0.33249790000000001</v>
      </c>
    </row>
    <row r="8468" spans="18:20" x14ac:dyDescent="0.45">
      <c r="R8468" s="2">
        <v>101.44</v>
      </c>
      <c r="S8468" s="2">
        <v>0.47388200000000003</v>
      </c>
      <c r="T8468" s="2">
        <v>0.33284150000000001</v>
      </c>
    </row>
    <row r="8469" spans="18:20" x14ac:dyDescent="0.45">
      <c r="R8469" s="2">
        <v>101.45</v>
      </c>
      <c r="S8469" s="2">
        <v>0.47426109999999999</v>
      </c>
      <c r="T8469" s="2">
        <v>0.33318510000000001</v>
      </c>
    </row>
    <row r="8470" spans="18:20" x14ac:dyDescent="0.45">
      <c r="R8470" s="2">
        <v>101.46</v>
      </c>
      <c r="S8470" s="2">
        <v>0.47464010000000001</v>
      </c>
      <c r="T8470" s="2">
        <v>0.33352870000000001</v>
      </c>
    </row>
    <row r="8471" spans="18:20" x14ac:dyDescent="0.45">
      <c r="R8471" s="2">
        <v>101.47</v>
      </c>
      <c r="S8471" s="2">
        <v>0.47501919999999997</v>
      </c>
      <c r="T8471" s="2">
        <v>0.33387230000000001</v>
      </c>
    </row>
    <row r="8472" spans="18:20" x14ac:dyDescent="0.45">
      <c r="R8472" s="2">
        <v>101.48</v>
      </c>
      <c r="S8472" s="2">
        <v>0.4753983</v>
      </c>
      <c r="T8472" s="2">
        <v>0.33421580000000001</v>
      </c>
    </row>
    <row r="8473" spans="18:20" x14ac:dyDescent="0.45">
      <c r="R8473" s="2">
        <v>101.49</v>
      </c>
      <c r="S8473" s="2">
        <v>0.47577740000000002</v>
      </c>
      <c r="T8473" s="2">
        <v>0.33455940000000001</v>
      </c>
    </row>
    <row r="8474" spans="18:20" x14ac:dyDescent="0.45">
      <c r="R8474" s="2">
        <v>101.5</v>
      </c>
      <c r="S8474" s="2">
        <v>0.47615649999999998</v>
      </c>
      <c r="T8474" s="2">
        <v>0.33490300000000001</v>
      </c>
    </row>
    <row r="8475" spans="18:20" x14ac:dyDescent="0.45">
      <c r="R8475" s="2">
        <v>101.51</v>
      </c>
      <c r="S8475" s="2">
        <v>0.4765356</v>
      </c>
      <c r="T8475" s="2">
        <v>0.33524660000000001</v>
      </c>
    </row>
    <row r="8476" spans="18:20" x14ac:dyDescent="0.45">
      <c r="R8476" s="2">
        <v>101.52</v>
      </c>
      <c r="S8476" s="2">
        <v>0.47691470000000002</v>
      </c>
      <c r="T8476" s="2">
        <v>0.33559020000000001</v>
      </c>
    </row>
    <row r="8477" spans="18:20" x14ac:dyDescent="0.45">
      <c r="R8477" s="2">
        <v>101.53</v>
      </c>
      <c r="S8477" s="2">
        <v>0.47729379999999999</v>
      </c>
      <c r="T8477" s="2">
        <v>0.3359337</v>
      </c>
    </row>
    <row r="8478" spans="18:20" x14ac:dyDescent="0.45">
      <c r="R8478" s="2">
        <v>101.54</v>
      </c>
      <c r="S8478" s="2">
        <v>0.47767290000000001</v>
      </c>
      <c r="T8478" s="2">
        <v>0.3362773</v>
      </c>
    </row>
    <row r="8479" spans="18:20" x14ac:dyDescent="0.45">
      <c r="R8479" s="2">
        <v>101.55</v>
      </c>
      <c r="S8479" s="2">
        <v>0.47805189999999997</v>
      </c>
      <c r="T8479" s="2">
        <v>0.3366209</v>
      </c>
    </row>
    <row r="8480" spans="18:20" x14ac:dyDescent="0.45">
      <c r="R8480" s="2">
        <v>101.56</v>
      </c>
      <c r="S8480" s="2">
        <v>0.478431</v>
      </c>
      <c r="T8480" s="2">
        <v>0.3369645</v>
      </c>
    </row>
    <row r="8481" spans="18:20" x14ac:dyDescent="0.45">
      <c r="R8481" s="2">
        <v>101.57</v>
      </c>
      <c r="S8481" s="2">
        <v>0.47881010000000002</v>
      </c>
      <c r="T8481" s="2">
        <v>0.3373081</v>
      </c>
    </row>
    <row r="8482" spans="18:20" x14ac:dyDescent="0.45">
      <c r="R8482" s="2">
        <v>101.58</v>
      </c>
      <c r="S8482" s="2">
        <v>0.47918919999999998</v>
      </c>
      <c r="T8482" s="2">
        <v>0.3376516</v>
      </c>
    </row>
    <row r="8483" spans="18:20" x14ac:dyDescent="0.45">
      <c r="R8483" s="2">
        <v>101.59</v>
      </c>
      <c r="S8483" s="2">
        <v>0.4795683</v>
      </c>
      <c r="T8483" s="2">
        <v>0.3379952</v>
      </c>
    </row>
    <row r="8484" spans="18:20" x14ac:dyDescent="0.45">
      <c r="R8484" s="2">
        <v>101.6</v>
      </c>
      <c r="S8484" s="2">
        <v>0.47994740000000002</v>
      </c>
      <c r="T8484" s="2">
        <v>0.3383388</v>
      </c>
    </row>
    <row r="8485" spans="18:20" x14ac:dyDescent="0.45">
      <c r="R8485" s="2">
        <v>101.61</v>
      </c>
      <c r="S8485" s="2">
        <v>0.48032649999999999</v>
      </c>
      <c r="T8485" s="2">
        <v>0.33868239999999999</v>
      </c>
    </row>
    <row r="8486" spans="18:20" x14ac:dyDescent="0.45">
      <c r="R8486" s="2">
        <v>101.62</v>
      </c>
      <c r="S8486" s="2">
        <v>0.48070560000000001</v>
      </c>
      <c r="T8486" s="2">
        <v>0.33902599999999999</v>
      </c>
    </row>
    <row r="8487" spans="18:20" x14ac:dyDescent="0.45">
      <c r="R8487" s="2">
        <v>101.63</v>
      </c>
      <c r="S8487" s="2">
        <v>0.48108469999999998</v>
      </c>
      <c r="T8487" s="2">
        <v>0.33936949999999999</v>
      </c>
    </row>
    <row r="8488" spans="18:20" x14ac:dyDescent="0.45">
      <c r="R8488" s="2">
        <v>101.64</v>
      </c>
      <c r="S8488" s="2">
        <v>0.4814638</v>
      </c>
      <c r="T8488" s="2">
        <v>0.33971309999999999</v>
      </c>
    </row>
    <row r="8489" spans="18:20" x14ac:dyDescent="0.45">
      <c r="R8489" s="2">
        <v>101.65</v>
      </c>
      <c r="S8489" s="2">
        <v>0.48184290000000002</v>
      </c>
      <c r="T8489" s="2">
        <v>0.34005669999999999</v>
      </c>
    </row>
    <row r="8490" spans="18:20" x14ac:dyDescent="0.45">
      <c r="R8490" s="2">
        <v>101.66</v>
      </c>
      <c r="S8490" s="2">
        <v>0.48222189999999998</v>
      </c>
      <c r="T8490" s="2">
        <v>0.34040029999999999</v>
      </c>
    </row>
    <row r="8491" spans="18:20" x14ac:dyDescent="0.45">
      <c r="R8491" s="2">
        <v>101.67</v>
      </c>
      <c r="S8491" s="2">
        <v>0.482601</v>
      </c>
      <c r="T8491" s="2">
        <v>0.34074389999999999</v>
      </c>
    </row>
    <row r="8492" spans="18:20" x14ac:dyDescent="0.45">
      <c r="R8492" s="2">
        <v>101.68</v>
      </c>
      <c r="S8492" s="2">
        <v>0.48298010000000002</v>
      </c>
      <c r="T8492" s="2">
        <v>0.34108739999999999</v>
      </c>
    </row>
    <row r="8493" spans="18:20" x14ac:dyDescent="0.45">
      <c r="R8493" s="2">
        <v>101.69</v>
      </c>
      <c r="S8493" s="2">
        <v>0.48335919999999999</v>
      </c>
      <c r="T8493" s="2">
        <v>0.34143099999999998</v>
      </c>
    </row>
    <row r="8494" spans="18:20" x14ac:dyDescent="0.45">
      <c r="R8494" s="2">
        <v>101.7</v>
      </c>
      <c r="S8494" s="2">
        <v>0.48373830000000001</v>
      </c>
      <c r="T8494" s="2">
        <v>0.34177459999999998</v>
      </c>
    </row>
    <row r="8495" spans="18:20" x14ac:dyDescent="0.45">
      <c r="R8495" s="2">
        <v>101.71</v>
      </c>
      <c r="S8495" s="2">
        <v>0.48411739999999998</v>
      </c>
      <c r="T8495" s="2">
        <v>0.34211819999999998</v>
      </c>
    </row>
    <row r="8496" spans="18:20" x14ac:dyDescent="0.45">
      <c r="R8496" s="2">
        <v>101.72</v>
      </c>
      <c r="S8496" s="2">
        <v>0.4844965</v>
      </c>
      <c r="T8496" s="2">
        <v>0.34246179999999998</v>
      </c>
    </row>
    <row r="8497" spans="18:20" x14ac:dyDescent="0.45">
      <c r="R8497" s="2">
        <v>101.73</v>
      </c>
      <c r="S8497" s="2">
        <v>0.48487560000000002</v>
      </c>
      <c r="T8497" s="2">
        <v>0.34280529999999998</v>
      </c>
    </row>
    <row r="8498" spans="18:20" x14ac:dyDescent="0.45">
      <c r="R8498" s="2">
        <v>101.74</v>
      </c>
      <c r="S8498" s="2">
        <v>0.48525469999999998</v>
      </c>
      <c r="T8498" s="2">
        <v>0.34314889999999998</v>
      </c>
    </row>
    <row r="8499" spans="18:20" x14ac:dyDescent="0.45">
      <c r="R8499" s="2">
        <v>101.75</v>
      </c>
      <c r="S8499" s="2">
        <v>0.4856337</v>
      </c>
      <c r="T8499" s="2">
        <v>0.34349249999999998</v>
      </c>
    </row>
    <row r="8500" spans="18:20" x14ac:dyDescent="0.45">
      <c r="R8500" s="2">
        <v>101.76</v>
      </c>
      <c r="S8500" s="2">
        <v>0.48601280000000002</v>
      </c>
      <c r="T8500" s="2">
        <v>0.34383609999999998</v>
      </c>
    </row>
    <row r="8501" spans="18:20" x14ac:dyDescent="0.45">
      <c r="R8501" s="2">
        <v>101.77</v>
      </c>
      <c r="S8501" s="2">
        <v>0.48639189999999999</v>
      </c>
      <c r="T8501" s="2">
        <v>0.34417969999999998</v>
      </c>
    </row>
    <row r="8502" spans="18:20" x14ac:dyDescent="0.45">
      <c r="R8502" s="2">
        <v>101.78</v>
      </c>
      <c r="S8502" s="2">
        <v>0.48677100000000001</v>
      </c>
      <c r="T8502" s="2">
        <v>0.34452319999999997</v>
      </c>
    </row>
    <row r="8503" spans="18:20" x14ac:dyDescent="0.45">
      <c r="R8503" s="2">
        <v>101.79</v>
      </c>
      <c r="S8503" s="2">
        <v>0.48715009999999997</v>
      </c>
      <c r="T8503" s="2">
        <v>0.34486679999999997</v>
      </c>
    </row>
    <row r="8504" spans="18:20" x14ac:dyDescent="0.45">
      <c r="R8504" s="2">
        <v>101.8</v>
      </c>
      <c r="S8504" s="2">
        <v>0.4875292</v>
      </c>
      <c r="T8504" s="2">
        <v>0.34521039999999997</v>
      </c>
    </row>
    <row r="8505" spans="18:20" x14ac:dyDescent="0.45">
      <c r="R8505" s="2">
        <v>101.81</v>
      </c>
      <c r="S8505" s="2">
        <v>0.48790830000000002</v>
      </c>
      <c r="T8505" s="2">
        <v>0.34555399999999997</v>
      </c>
    </row>
    <row r="8506" spans="18:20" x14ac:dyDescent="0.45">
      <c r="R8506" s="2">
        <v>101.82</v>
      </c>
      <c r="S8506" s="2">
        <v>0.48828739999999998</v>
      </c>
      <c r="T8506" s="2">
        <v>0.34589760000000003</v>
      </c>
    </row>
    <row r="8507" spans="18:20" x14ac:dyDescent="0.45">
      <c r="R8507" s="2">
        <v>101.83</v>
      </c>
      <c r="S8507" s="2">
        <v>0.4886665</v>
      </c>
      <c r="T8507" s="2">
        <v>0.34624110000000002</v>
      </c>
    </row>
    <row r="8508" spans="18:20" x14ac:dyDescent="0.45">
      <c r="R8508" s="2">
        <v>101.84</v>
      </c>
      <c r="S8508" s="2">
        <v>0.48904560000000002</v>
      </c>
      <c r="T8508" s="2">
        <v>0.34658470000000002</v>
      </c>
    </row>
    <row r="8509" spans="18:20" x14ac:dyDescent="0.45">
      <c r="R8509" s="2">
        <v>101.85</v>
      </c>
      <c r="S8509" s="2">
        <v>0.48942459999999999</v>
      </c>
      <c r="T8509" s="2">
        <v>0.34692830000000002</v>
      </c>
    </row>
    <row r="8510" spans="18:20" x14ac:dyDescent="0.45">
      <c r="R8510" s="2">
        <v>101.86</v>
      </c>
      <c r="S8510" s="2">
        <v>0.48980370000000001</v>
      </c>
      <c r="T8510" s="2">
        <v>0.34727190000000002</v>
      </c>
    </row>
    <row r="8511" spans="18:20" x14ac:dyDescent="0.45">
      <c r="R8511" s="2">
        <v>101.87</v>
      </c>
      <c r="S8511" s="2">
        <v>0.49018279999999997</v>
      </c>
      <c r="T8511" s="2">
        <v>0.34761550000000002</v>
      </c>
    </row>
    <row r="8512" spans="18:20" x14ac:dyDescent="0.45">
      <c r="R8512" s="2">
        <v>101.88</v>
      </c>
      <c r="S8512" s="2">
        <v>0.4905619</v>
      </c>
      <c r="T8512" s="2">
        <v>0.34795900000000002</v>
      </c>
    </row>
    <row r="8513" spans="18:20" x14ac:dyDescent="0.45">
      <c r="R8513" s="2">
        <v>101.89</v>
      </c>
      <c r="S8513" s="2">
        <v>0.49094100000000002</v>
      </c>
      <c r="T8513" s="2">
        <v>0.34830260000000002</v>
      </c>
    </row>
    <row r="8514" spans="18:20" x14ac:dyDescent="0.45">
      <c r="R8514" s="2">
        <v>101.9</v>
      </c>
      <c r="S8514" s="2">
        <v>0.49132009999999998</v>
      </c>
      <c r="T8514" s="2">
        <v>0.34864620000000002</v>
      </c>
    </row>
    <row r="8515" spans="18:20" x14ac:dyDescent="0.45">
      <c r="R8515" s="2">
        <v>101.91</v>
      </c>
      <c r="S8515" s="2">
        <v>0.4916992</v>
      </c>
      <c r="T8515" s="2">
        <v>0.34898980000000002</v>
      </c>
    </row>
    <row r="8516" spans="18:20" x14ac:dyDescent="0.45">
      <c r="R8516" s="2">
        <v>101.92</v>
      </c>
      <c r="S8516" s="2">
        <v>0.49207830000000002</v>
      </c>
      <c r="T8516" s="2">
        <v>0.34933340000000002</v>
      </c>
    </row>
    <row r="8517" spans="18:20" x14ac:dyDescent="0.45">
      <c r="R8517" s="2">
        <v>101.93</v>
      </c>
      <c r="S8517" s="2">
        <v>0.49245739999999999</v>
      </c>
      <c r="T8517" s="2">
        <v>0.34967690000000001</v>
      </c>
    </row>
    <row r="8518" spans="18:20" x14ac:dyDescent="0.45">
      <c r="R8518" s="2">
        <v>101.94</v>
      </c>
      <c r="S8518" s="2">
        <v>0.49283650000000001</v>
      </c>
      <c r="T8518" s="2">
        <v>0.35002050000000001</v>
      </c>
    </row>
    <row r="8519" spans="18:20" x14ac:dyDescent="0.45">
      <c r="R8519" s="2">
        <v>101.95</v>
      </c>
      <c r="S8519" s="2">
        <v>0.49321559999999998</v>
      </c>
      <c r="T8519" s="2">
        <v>0.35036410000000001</v>
      </c>
    </row>
    <row r="8520" spans="18:20" x14ac:dyDescent="0.45">
      <c r="R8520" s="2">
        <v>101.96</v>
      </c>
      <c r="S8520" s="2">
        <v>0.49359459999999999</v>
      </c>
      <c r="T8520" s="2">
        <v>0.35070770000000001</v>
      </c>
    </row>
    <row r="8521" spans="18:20" x14ac:dyDescent="0.45">
      <c r="R8521" s="2">
        <v>101.97</v>
      </c>
      <c r="S8521" s="2">
        <v>0.49397370000000002</v>
      </c>
      <c r="T8521" s="2">
        <v>0.35105130000000001</v>
      </c>
    </row>
    <row r="8522" spans="18:20" x14ac:dyDescent="0.45">
      <c r="R8522" s="2">
        <v>101.98</v>
      </c>
      <c r="S8522" s="2">
        <v>0.49435279999999998</v>
      </c>
      <c r="T8522" s="2">
        <v>0.35139480000000001</v>
      </c>
    </row>
    <row r="8523" spans="18:20" x14ac:dyDescent="0.45">
      <c r="R8523" s="2">
        <v>101.99</v>
      </c>
      <c r="S8523" s="2">
        <v>0.4947319</v>
      </c>
      <c r="T8523" s="2">
        <v>0.35173840000000001</v>
      </c>
    </row>
    <row r="8524" spans="18:20" x14ac:dyDescent="0.45">
      <c r="R8524" s="2">
        <v>102</v>
      </c>
      <c r="S8524" s="2">
        <v>0.49511100000000002</v>
      </c>
      <c r="T8524" s="2">
        <v>0.35208200000000001</v>
      </c>
    </row>
    <row r="8525" spans="18:20" x14ac:dyDescent="0.45">
      <c r="R8525" s="2">
        <v>102.01</v>
      </c>
      <c r="S8525" s="2">
        <v>0.49551620000000002</v>
      </c>
      <c r="T8525" s="2">
        <v>0.35246280000000002</v>
      </c>
    </row>
    <row r="8526" spans="18:20" x14ac:dyDescent="0.45">
      <c r="R8526" s="2">
        <v>102.02</v>
      </c>
      <c r="S8526" s="2">
        <v>0.49592140000000001</v>
      </c>
      <c r="T8526" s="2">
        <v>0.35284349999999998</v>
      </c>
    </row>
    <row r="8527" spans="18:20" x14ac:dyDescent="0.45">
      <c r="R8527" s="2">
        <v>102.03</v>
      </c>
      <c r="S8527" s="2">
        <v>0.49632660000000001</v>
      </c>
      <c r="T8527" s="2">
        <v>0.35322429999999999</v>
      </c>
    </row>
    <row r="8528" spans="18:20" x14ac:dyDescent="0.45">
      <c r="R8528" s="2">
        <v>102.04</v>
      </c>
      <c r="S8528" s="2">
        <v>0.4967318</v>
      </c>
      <c r="T8528" s="2">
        <v>0.353605</v>
      </c>
    </row>
    <row r="8529" spans="18:20" x14ac:dyDescent="0.45">
      <c r="R8529" s="2">
        <v>102.05</v>
      </c>
      <c r="S8529" s="2">
        <v>0.497137</v>
      </c>
      <c r="T8529" s="2">
        <v>0.35398570000000001</v>
      </c>
    </row>
    <row r="8530" spans="18:20" x14ac:dyDescent="0.45">
      <c r="R8530" s="2">
        <v>102.06</v>
      </c>
      <c r="S8530" s="2">
        <v>0.49754219999999999</v>
      </c>
      <c r="T8530" s="2">
        <v>0.35436649999999997</v>
      </c>
    </row>
    <row r="8531" spans="18:20" x14ac:dyDescent="0.45">
      <c r="R8531" s="2">
        <v>102.07</v>
      </c>
      <c r="S8531" s="2">
        <v>0.49794739999999998</v>
      </c>
      <c r="T8531" s="2">
        <v>0.35474719999999998</v>
      </c>
    </row>
    <row r="8532" spans="18:20" x14ac:dyDescent="0.45">
      <c r="R8532" s="2">
        <v>102.08</v>
      </c>
      <c r="S8532" s="2">
        <v>0.49835259999999998</v>
      </c>
      <c r="T8532" s="2">
        <v>0.355128</v>
      </c>
    </row>
    <row r="8533" spans="18:20" x14ac:dyDescent="0.45">
      <c r="R8533" s="2">
        <v>102.09</v>
      </c>
      <c r="S8533" s="2">
        <v>0.49875779999999997</v>
      </c>
      <c r="T8533" s="2">
        <v>0.35550880000000001</v>
      </c>
    </row>
    <row r="8534" spans="18:20" x14ac:dyDescent="0.45">
      <c r="R8534" s="2">
        <v>102.1</v>
      </c>
      <c r="S8534" s="2">
        <v>0.49916300000000002</v>
      </c>
      <c r="T8534" s="2">
        <v>0.35588950000000003</v>
      </c>
    </row>
    <row r="8535" spans="18:20" x14ac:dyDescent="0.45">
      <c r="R8535" s="2">
        <v>102.11</v>
      </c>
      <c r="S8535" s="2">
        <v>0.49956820000000002</v>
      </c>
      <c r="T8535" s="2">
        <v>0.35627029999999998</v>
      </c>
    </row>
    <row r="8536" spans="18:20" x14ac:dyDescent="0.45">
      <c r="R8536" s="2">
        <v>102.12</v>
      </c>
      <c r="S8536" s="2">
        <v>0.49997340000000001</v>
      </c>
      <c r="T8536" s="2">
        <v>0.356651</v>
      </c>
    </row>
    <row r="8537" spans="18:20" x14ac:dyDescent="0.45">
      <c r="R8537" s="2">
        <v>102.13</v>
      </c>
      <c r="S8537" s="2">
        <v>0.50037860000000001</v>
      </c>
      <c r="T8537" s="2">
        <v>0.35703170000000001</v>
      </c>
    </row>
    <row r="8538" spans="18:20" x14ac:dyDescent="0.45">
      <c r="R8538" s="2">
        <v>102.14</v>
      </c>
      <c r="S8538" s="2">
        <v>0.5007838</v>
      </c>
      <c r="T8538" s="2">
        <v>0.35741250000000002</v>
      </c>
    </row>
    <row r="8539" spans="18:20" x14ac:dyDescent="0.45">
      <c r="R8539" s="2">
        <v>102.15</v>
      </c>
      <c r="S8539" s="2">
        <v>0.501189</v>
      </c>
      <c r="T8539" s="2">
        <v>0.35779329999999998</v>
      </c>
    </row>
    <row r="8540" spans="18:20" x14ac:dyDescent="0.45">
      <c r="R8540" s="2">
        <v>102.16</v>
      </c>
      <c r="S8540" s="2">
        <v>0.50159419999999999</v>
      </c>
      <c r="T8540" s="2">
        <v>0.35817399999999999</v>
      </c>
    </row>
    <row r="8541" spans="18:20" x14ac:dyDescent="0.45">
      <c r="R8541" s="2">
        <v>102.17</v>
      </c>
      <c r="S8541" s="2">
        <v>0.50199939999999998</v>
      </c>
      <c r="T8541" s="2">
        <v>0.35855480000000001</v>
      </c>
    </row>
    <row r="8542" spans="18:20" x14ac:dyDescent="0.45">
      <c r="R8542" s="2">
        <v>102.18</v>
      </c>
      <c r="S8542" s="2">
        <v>0.50240459999999998</v>
      </c>
      <c r="T8542" s="2">
        <v>0.35893550000000002</v>
      </c>
    </row>
    <row r="8543" spans="18:20" x14ac:dyDescent="0.45">
      <c r="R8543" s="2">
        <v>102.19</v>
      </c>
      <c r="S8543" s="2">
        <v>0.50280979999999997</v>
      </c>
      <c r="T8543" s="2">
        <v>0.35931619999999997</v>
      </c>
    </row>
    <row r="8544" spans="18:20" x14ac:dyDescent="0.45">
      <c r="R8544" s="2">
        <v>102.2</v>
      </c>
      <c r="S8544" s="2">
        <v>0.50321499999999997</v>
      </c>
      <c r="T8544" s="2">
        <v>0.35969699999999999</v>
      </c>
    </row>
    <row r="8545" spans="18:20" x14ac:dyDescent="0.45">
      <c r="R8545" s="2">
        <v>102.21</v>
      </c>
      <c r="S8545" s="2">
        <v>0.50362019999999996</v>
      </c>
      <c r="T8545" s="2">
        <v>0.3600777</v>
      </c>
    </row>
    <row r="8546" spans="18:20" x14ac:dyDescent="0.45">
      <c r="R8546" s="2">
        <v>102.22</v>
      </c>
      <c r="S8546" s="2">
        <v>0.50402539999999996</v>
      </c>
      <c r="T8546" s="2">
        <v>0.36045850000000002</v>
      </c>
    </row>
    <row r="8547" spans="18:20" x14ac:dyDescent="0.45">
      <c r="R8547" s="2">
        <v>102.23</v>
      </c>
      <c r="S8547" s="2">
        <v>0.50443059999999995</v>
      </c>
      <c r="T8547" s="2">
        <v>0.36083929999999997</v>
      </c>
    </row>
    <row r="8548" spans="18:20" x14ac:dyDescent="0.45">
      <c r="R8548" s="2">
        <v>102.24</v>
      </c>
      <c r="S8548" s="2">
        <v>0.50483579999999995</v>
      </c>
      <c r="T8548" s="2">
        <v>0.36121999999999999</v>
      </c>
    </row>
    <row r="8549" spans="18:20" x14ac:dyDescent="0.45">
      <c r="R8549" s="2">
        <v>102.25</v>
      </c>
      <c r="S8549" s="2">
        <v>0.50524100000000005</v>
      </c>
      <c r="T8549" s="2">
        <v>0.3616008</v>
      </c>
    </row>
    <row r="8550" spans="18:20" x14ac:dyDescent="0.45">
      <c r="R8550" s="2">
        <v>102.26</v>
      </c>
      <c r="S8550" s="2">
        <v>0.50564620000000005</v>
      </c>
      <c r="T8550" s="2">
        <v>0.36198150000000001</v>
      </c>
    </row>
    <row r="8551" spans="18:20" x14ac:dyDescent="0.45">
      <c r="R8551" s="2">
        <v>102.27</v>
      </c>
      <c r="S8551" s="2">
        <v>0.50605140000000004</v>
      </c>
      <c r="T8551" s="2">
        <v>0.36236220000000002</v>
      </c>
    </row>
    <row r="8552" spans="18:20" x14ac:dyDescent="0.45">
      <c r="R8552" s="2">
        <v>102.28</v>
      </c>
      <c r="S8552" s="2">
        <v>0.50645660000000003</v>
      </c>
      <c r="T8552" s="2">
        <v>0.36274299999999998</v>
      </c>
    </row>
    <row r="8553" spans="18:20" x14ac:dyDescent="0.45">
      <c r="R8553" s="2">
        <v>102.29</v>
      </c>
      <c r="S8553" s="2">
        <v>0.50686180000000003</v>
      </c>
      <c r="T8553" s="2">
        <v>0.3631238</v>
      </c>
    </row>
    <row r="8554" spans="18:20" x14ac:dyDescent="0.45">
      <c r="R8554" s="2">
        <v>102.3</v>
      </c>
      <c r="S8554" s="2">
        <v>0.50726700000000002</v>
      </c>
      <c r="T8554" s="2">
        <v>0.36350450000000001</v>
      </c>
    </row>
    <row r="8555" spans="18:20" x14ac:dyDescent="0.45">
      <c r="R8555" s="2">
        <v>102.31</v>
      </c>
      <c r="S8555" s="2">
        <v>0.50767220000000002</v>
      </c>
      <c r="T8555" s="2">
        <v>0.36388530000000002</v>
      </c>
    </row>
    <row r="8556" spans="18:20" x14ac:dyDescent="0.45">
      <c r="R8556" s="2">
        <v>102.32</v>
      </c>
      <c r="S8556" s="2">
        <v>0.50807740000000001</v>
      </c>
      <c r="T8556" s="2">
        <v>0.36426599999999998</v>
      </c>
    </row>
    <row r="8557" spans="18:20" x14ac:dyDescent="0.45">
      <c r="R8557" s="2">
        <v>102.33</v>
      </c>
      <c r="S8557" s="2">
        <v>0.50848260000000001</v>
      </c>
      <c r="T8557" s="2">
        <v>0.36464669999999999</v>
      </c>
    </row>
    <row r="8558" spans="18:20" x14ac:dyDescent="0.45">
      <c r="R8558" s="2">
        <v>102.34</v>
      </c>
      <c r="S8558" s="2">
        <v>0.5088878</v>
      </c>
      <c r="T8558" s="2">
        <v>0.3650275</v>
      </c>
    </row>
    <row r="8559" spans="18:20" x14ac:dyDescent="0.45">
      <c r="R8559" s="2">
        <v>102.35</v>
      </c>
      <c r="S8559" s="2">
        <v>0.509293</v>
      </c>
      <c r="T8559" s="2">
        <v>0.36540820000000002</v>
      </c>
    </row>
    <row r="8560" spans="18:20" x14ac:dyDescent="0.45">
      <c r="R8560" s="2">
        <v>102.36</v>
      </c>
      <c r="S8560" s="2">
        <v>0.50969819999999999</v>
      </c>
      <c r="T8560" s="2">
        <v>0.36578899999999998</v>
      </c>
    </row>
    <row r="8561" spans="18:20" x14ac:dyDescent="0.45">
      <c r="R8561" s="2">
        <v>102.37</v>
      </c>
      <c r="S8561" s="2">
        <v>0.51010339999999998</v>
      </c>
      <c r="T8561" s="2">
        <v>0.36616979999999999</v>
      </c>
    </row>
    <row r="8562" spans="18:20" x14ac:dyDescent="0.45">
      <c r="R8562" s="2">
        <v>102.38</v>
      </c>
      <c r="S8562" s="2">
        <v>0.51050859999999998</v>
      </c>
      <c r="T8562" s="2">
        <v>0.3665505</v>
      </c>
    </row>
    <row r="8563" spans="18:20" x14ac:dyDescent="0.45">
      <c r="R8563" s="2">
        <v>102.39</v>
      </c>
      <c r="S8563" s="2">
        <v>0.51091379999999997</v>
      </c>
      <c r="T8563" s="2">
        <v>0.36693130000000002</v>
      </c>
    </row>
    <row r="8564" spans="18:20" x14ac:dyDescent="0.45">
      <c r="R8564" s="2">
        <v>102.4</v>
      </c>
      <c r="S8564" s="2">
        <v>0.51131899999999997</v>
      </c>
      <c r="T8564" s="2">
        <v>0.36731200000000003</v>
      </c>
    </row>
    <row r="8565" spans="18:20" x14ac:dyDescent="0.45">
      <c r="R8565" s="2">
        <v>102.41</v>
      </c>
      <c r="S8565" s="2">
        <v>0.51172419999999996</v>
      </c>
      <c r="T8565" s="2">
        <v>0.36769269999999998</v>
      </c>
    </row>
    <row r="8566" spans="18:20" x14ac:dyDescent="0.45">
      <c r="R8566" s="2">
        <v>102.42</v>
      </c>
      <c r="S8566" s="2">
        <v>0.51212939999999996</v>
      </c>
      <c r="T8566" s="2">
        <v>0.3680735</v>
      </c>
    </row>
    <row r="8567" spans="18:20" x14ac:dyDescent="0.45">
      <c r="R8567" s="2">
        <v>102.43</v>
      </c>
      <c r="S8567" s="2">
        <v>0.51253459999999995</v>
      </c>
      <c r="T8567" s="2">
        <v>0.36845430000000001</v>
      </c>
    </row>
    <row r="8568" spans="18:20" x14ac:dyDescent="0.45">
      <c r="R8568" s="2">
        <v>102.44</v>
      </c>
      <c r="S8568" s="2">
        <v>0.51293979999999995</v>
      </c>
      <c r="T8568" s="2">
        <v>0.36883500000000002</v>
      </c>
    </row>
    <row r="8569" spans="18:20" x14ac:dyDescent="0.45">
      <c r="R8569" s="2">
        <v>102.45</v>
      </c>
      <c r="S8569" s="2">
        <v>0.51334500000000005</v>
      </c>
      <c r="T8569" s="2">
        <v>0.36921579999999998</v>
      </c>
    </row>
    <row r="8570" spans="18:20" x14ac:dyDescent="0.45">
      <c r="R8570" s="2">
        <v>102.46</v>
      </c>
      <c r="S8570" s="2">
        <v>0.51375020000000005</v>
      </c>
      <c r="T8570" s="2">
        <v>0.36959649999999999</v>
      </c>
    </row>
    <row r="8571" spans="18:20" x14ac:dyDescent="0.45">
      <c r="R8571" s="2">
        <v>102.47</v>
      </c>
      <c r="S8571" s="2">
        <v>0.51415540000000004</v>
      </c>
      <c r="T8571" s="2">
        <v>0.36997720000000001</v>
      </c>
    </row>
    <row r="8572" spans="18:20" x14ac:dyDescent="0.45">
      <c r="R8572" s="2">
        <v>102.48</v>
      </c>
      <c r="S8572" s="2">
        <v>0.51456060000000003</v>
      </c>
      <c r="T8572" s="2">
        <v>0.37035800000000002</v>
      </c>
    </row>
    <row r="8573" spans="18:20" x14ac:dyDescent="0.45">
      <c r="R8573" s="2">
        <v>102.49</v>
      </c>
      <c r="S8573" s="2">
        <v>0.51496580000000003</v>
      </c>
      <c r="T8573" s="2">
        <v>0.37073869999999998</v>
      </c>
    </row>
    <row r="8574" spans="18:20" x14ac:dyDescent="0.45">
      <c r="R8574" s="2">
        <v>102.5</v>
      </c>
      <c r="S8574" s="2">
        <v>0.51537100000000002</v>
      </c>
      <c r="T8574" s="2">
        <v>0.37111949999999999</v>
      </c>
    </row>
    <row r="8575" spans="18:20" x14ac:dyDescent="0.45">
      <c r="R8575" s="2">
        <v>102.51</v>
      </c>
      <c r="S8575" s="2">
        <v>0.51577620000000002</v>
      </c>
      <c r="T8575" s="2">
        <v>0.37150030000000001</v>
      </c>
    </row>
    <row r="8576" spans="18:20" x14ac:dyDescent="0.45">
      <c r="R8576" s="2">
        <v>102.52</v>
      </c>
      <c r="S8576" s="2">
        <v>0.51618140000000001</v>
      </c>
      <c r="T8576" s="2">
        <v>0.37188100000000002</v>
      </c>
    </row>
    <row r="8577" spans="18:20" x14ac:dyDescent="0.45">
      <c r="R8577" s="2">
        <v>102.53</v>
      </c>
      <c r="S8577" s="2">
        <v>0.51658660000000001</v>
      </c>
      <c r="T8577" s="2">
        <v>0.37226179999999998</v>
      </c>
    </row>
    <row r="8578" spans="18:20" x14ac:dyDescent="0.45">
      <c r="R8578" s="2">
        <v>102.54</v>
      </c>
      <c r="S8578" s="2">
        <v>0.5169918</v>
      </c>
      <c r="T8578" s="2">
        <v>0.37264249999999999</v>
      </c>
    </row>
    <row r="8579" spans="18:20" x14ac:dyDescent="0.45">
      <c r="R8579" s="2">
        <v>102.55</v>
      </c>
      <c r="S8579" s="2">
        <v>0.517397</v>
      </c>
      <c r="T8579" s="2">
        <v>0.3730232</v>
      </c>
    </row>
    <row r="8580" spans="18:20" x14ac:dyDescent="0.45">
      <c r="R8580" s="2">
        <v>102.56</v>
      </c>
      <c r="S8580" s="2">
        <v>0.51780219999999999</v>
      </c>
      <c r="T8580" s="2">
        <v>0.37340400000000001</v>
      </c>
    </row>
    <row r="8581" spans="18:20" x14ac:dyDescent="0.45">
      <c r="R8581" s="2">
        <v>102.57</v>
      </c>
      <c r="S8581" s="2">
        <v>0.51820739999999998</v>
      </c>
      <c r="T8581" s="2">
        <v>0.37378470000000003</v>
      </c>
    </row>
    <row r="8582" spans="18:20" x14ac:dyDescent="0.45">
      <c r="R8582" s="2">
        <v>102.58</v>
      </c>
      <c r="S8582" s="2">
        <v>0.51861259999999998</v>
      </c>
      <c r="T8582" s="2">
        <v>0.37416549999999998</v>
      </c>
    </row>
    <row r="8583" spans="18:20" x14ac:dyDescent="0.45">
      <c r="R8583" s="2">
        <v>102.59</v>
      </c>
      <c r="S8583" s="2">
        <v>0.51901779999999997</v>
      </c>
      <c r="T8583" s="2">
        <v>0.3745463</v>
      </c>
    </row>
    <row r="8584" spans="18:20" x14ac:dyDescent="0.45">
      <c r="R8584" s="2">
        <v>102.6</v>
      </c>
      <c r="S8584" s="2">
        <v>0.51942299999999997</v>
      </c>
      <c r="T8584" s="2">
        <v>0.37492700000000001</v>
      </c>
    </row>
    <row r="8585" spans="18:20" x14ac:dyDescent="0.45">
      <c r="R8585" s="2">
        <v>102.61</v>
      </c>
      <c r="S8585" s="2">
        <v>0.51982819999999996</v>
      </c>
      <c r="T8585" s="2">
        <v>0.37530770000000002</v>
      </c>
    </row>
    <row r="8586" spans="18:20" x14ac:dyDescent="0.45">
      <c r="R8586" s="2">
        <v>102.62</v>
      </c>
      <c r="S8586" s="2">
        <v>0.52023339999999996</v>
      </c>
      <c r="T8586" s="2">
        <v>0.37568849999999998</v>
      </c>
    </row>
    <row r="8587" spans="18:20" x14ac:dyDescent="0.45">
      <c r="R8587" s="2">
        <v>102.63</v>
      </c>
      <c r="S8587" s="2">
        <v>0.52063859999999995</v>
      </c>
      <c r="T8587" s="2">
        <v>0.37606919999999999</v>
      </c>
    </row>
    <row r="8588" spans="18:20" x14ac:dyDescent="0.45">
      <c r="R8588" s="2">
        <v>102.64</v>
      </c>
      <c r="S8588" s="2">
        <v>0.52104379999999995</v>
      </c>
      <c r="T8588" s="2">
        <v>0.37645000000000001</v>
      </c>
    </row>
    <row r="8589" spans="18:20" x14ac:dyDescent="0.45">
      <c r="R8589" s="2">
        <v>102.65</v>
      </c>
      <c r="S8589" s="2">
        <v>0.52144900000000005</v>
      </c>
      <c r="T8589" s="2">
        <v>0.37683080000000002</v>
      </c>
    </row>
    <row r="8590" spans="18:20" x14ac:dyDescent="0.45">
      <c r="R8590" s="2">
        <v>102.66</v>
      </c>
      <c r="S8590" s="2">
        <v>0.52185420000000005</v>
      </c>
      <c r="T8590" s="2">
        <v>0.37721149999999998</v>
      </c>
    </row>
    <row r="8591" spans="18:20" x14ac:dyDescent="0.45">
      <c r="R8591" s="2">
        <v>102.67</v>
      </c>
      <c r="S8591" s="2">
        <v>0.52225940000000004</v>
      </c>
      <c r="T8591" s="2">
        <v>0.37759229999999999</v>
      </c>
    </row>
    <row r="8592" spans="18:20" x14ac:dyDescent="0.45">
      <c r="R8592" s="2">
        <v>102.68</v>
      </c>
      <c r="S8592" s="2">
        <v>0.52266460000000003</v>
      </c>
      <c r="T8592" s="2">
        <v>0.377973</v>
      </c>
    </row>
    <row r="8593" spans="18:20" x14ac:dyDescent="0.45">
      <c r="R8593" s="2">
        <v>102.69</v>
      </c>
      <c r="S8593" s="2">
        <v>0.52306980000000003</v>
      </c>
      <c r="T8593" s="2">
        <v>0.37835370000000002</v>
      </c>
    </row>
    <row r="8594" spans="18:20" x14ac:dyDescent="0.45">
      <c r="R8594" s="2">
        <v>102.7</v>
      </c>
      <c r="S8594" s="2">
        <v>0.52347500000000002</v>
      </c>
      <c r="T8594" s="2">
        <v>0.37873449999999997</v>
      </c>
    </row>
    <row r="8595" spans="18:20" x14ac:dyDescent="0.45">
      <c r="R8595" s="2">
        <v>102.71</v>
      </c>
      <c r="S8595" s="2">
        <v>0.52388020000000002</v>
      </c>
      <c r="T8595" s="2">
        <v>0.37911519999999999</v>
      </c>
    </row>
    <row r="8596" spans="18:20" x14ac:dyDescent="0.45">
      <c r="R8596" s="2">
        <v>102.72</v>
      </c>
      <c r="S8596" s="2">
        <v>0.52428540000000001</v>
      </c>
      <c r="T8596" s="2">
        <v>0.379496</v>
      </c>
    </row>
    <row r="8597" spans="18:20" x14ac:dyDescent="0.45">
      <c r="R8597" s="2">
        <v>102.73</v>
      </c>
      <c r="S8597" s="2">
        <v>0.52469060000000001</v>
      </c>
      <c r="T8597" s="2">
        <v>0.37987680000000001</v>
      </c>
    </row>
    <row r="8598" spans="18:20" x14ac:dyDescent="0.45">
      <c r="R8598" s="2">
        <v>102.74</v>
      </c>
      <c r="S8598" s="2">
        <v>0.5250958</v>
      </c>
      <c r="T8598" s="2">
        <v>0.38025750000000003</v>
      </c>
    </row>
    <row r="8599" spans="18:20" x14ac:dyDescent="0.45">
      <c r="R8599" s="2">
        <v>102.75</v>
      </c>
      <c r="S8599" s="2">
        <v>0.525501</v>
      </c>
      <c r="T8599" s="2">
        <v>0.38063829999999998</v>
      </c>
    </row>
    <row r="8600" spans="18:20" x14ac:dyDescent="0.45">
      <c r="R8600" s="2">
        <v>102.76</v>
      </c>
      <c r="S8600" s="2">
        <v>0.52590619999999999</v>
      </c>
      <c r="T8600" s="2">
        <v>0.381019</v>
      </c>
    </row>
    <row r="8601" spans="18:20" x14ac:dyDescent="0.45">
      <c r="R8601" s="2">
        <v>102.77</v>
      </c>
      <c r="S8601" s="2">
        <v>0.52631139999999998</v>
      </c>
      <c r="T8601" s="2">
        <v>0.38139970000000001</v>
      </c>
    </row>
    <row r="8602" spans="18:20" x14ac:dyDescent="0.45">
      <c r="R8602" s="2">
        <v>102.78</v>
      </c>
      <c r="S8602" s="2">
        <v>0.52671659999999998</v>
      </c>
      <c r="T8602" s="2">
        <v>0.38178050000000002</v>
      </c>
    </row>
    <row r="8603" spans="18:20" x14ac:dyDescent="0.45">
      <c r="R8603" s="2">
        <v>102.79</v>
      </c>
      <c r="S8603" s="2">
        <v>0.52712179999999997</v>
      </c>
      <c r="T8603" s="2">
        <v>0.38216129999999998</v>
      </c>
    </row>
    <row r="8604" spans="18:20" x14ac:dyDescent="0.45">
      <c r="R8604" s="2">
        <v>102.8</v>
      </c>
      <c r="S8604" s="2">
        <v>0.52752699999999997</v>
      </c>
      <c r="T8604" s="2">
        <v>0.38254199999999999</v>
      </c>
    </row>
    <row r="8605" spans="18:20" x14ac:dyDescent="0.45">
      <c r="R8605" s="2">
        <v>102.81</v>
      </c>
      <c r="S8605" s="2">
        <v>0.52793219999999996</v>
      </c>
      <c r="T8605" s="2">
        <v>0.38292280000000001</v>
      </c>
    </row>
    <row r="8606" spans="18:20" x14ac:dyDescent="0.45">
      <c r="R8606" s="2">
        <v>102.82</v>
      </c>
      <c r="S8606" s="2">
        <v>0.52833739999999996</v>
      </c>
      <c r="T8606" s="2">
        <v>0.38330350000000002</v>
      </c>
    </row>
    <row r="8607" spans="18:20" x14ac:dyDescent="0.45">
      <c r="R8607" s="2">
        <v>102.83</v>
      </c>
      <c r="S8607" s="2">
        <v>0.52874259999999995</v>
      </c>
      <c r="T8607" s="2">
        <v>0.38368419999999998</v>
      </c>
    </row>
    <row r="8608" spans="18:20" x14ac:dyDescent="0.45">
      <c r="R8608" s="2">
        <v>102.84</v>
      </c>
      <c r="S8608" s="2">
        <v>0.52914779999999995</v>
      </c>
      <c r="T8608" s="2">
        <v>0.38406499999999999</v>
      </c>
    </row>
    <row r="8609" spans="18:20" x14ac:dyDescent="0.45">
      <c r="R8609" s="2">
        <v>102.85</v>
      </c>
      <c r="S8609" s="2">
        <v>0.52955300000000005</v>
      </c>
      <c r="T8609" s="2">
        <v>0.3844457</v>
      </c>
    </row>
    <row r="8610" spans="18:20" x14ac:dyDescent="0.45">
      <c r="R8610" s="2">
        <v>102.86</v>
      </c>
      <c r="S8610" s="2">
        <v>0.52995820000000005</v>
      </c>
      <c r="T8610" s="2">
        <v>0.38482650000000002</v>
      </c>
    </row>
    <row r="8611" spans="18:20" x14ac:dyDescent="0.45">
      <c r="R8611" s="2">
        <v>102.87</v>
      </c>
      <c r="S8611" s="2">
        <v>0.53036340000000004</v>
      </c>
      <c r="T8611" s="2">
        <v>0.38520729999999997</v>
      </c>
    </row>
    <row r="8612" spans="18:20" x14ac:dyDescent="0.45">
      <c r="R8612" s="2">
        <v>102.88</v>
      </c>
      <c r="S8612" s="2">
        <v>0.53076860000000003</v>
      </c>
      <c r="T8612" s="2">
        <v>0.38558799999999999</v>
      </c>
    </row>
    <row r="8613" spans="18:20" x14ac:dyDescent="0.45">
      <c r="R8613" s="2">
        <v>102.89</v>
      </c>
      <c r="S8613" s="2">
        <v>0.53117380000000003</v>
      </c>
      <c r="T8613" s="2">
        <v>0.3859687</v>
      </c>
    </row>
    <row r="8614" spans="18:20" x14ac:dyDescent="0.45">
      <c r="R8614" s="2">
        <v>102.9</v>
      </c>
      <c r="S8614" s="2">
        <v>0.53157900000000002</v>
      </c>
      <c r="T8614" s="2">
        <v>0.38634950000000001</v>
      </c>
    </row>
    <row r="8615" spans="18:20" x14ac:dyDescent="0.45">
      <c r="R8615" s="2">
        <v>102.91</v>
      </c>
      <c r="S8615" s="2">
        <v>0.53198420000000002</v>
      </c>
      <c r="T8615" s="2">
        <v>0.38673020000000002</v>
      </c>
    </row>
    <row r="8616" spans="18:20" x14ac:dyDescent="0.45">
      <c r="R8616" s="2">
        <v>102.92</v>
      </c>
      <c r="S8616" s="2">
        <v>0.53238940000000001</v>
      </c>
      <c r="T8616" s="2">
        <v>0.38711099999999998</v>
      </c>
    </row>
    <row r="8617" spans="18:20" x14ac:dyDescent="0.45">
      <c r="R8617" s="2">
        <v>102.93</v>
      </c>
      <c r="S8617" s="2">
        <v>0.53279460000000001</v>
      </c>
      <c r="T8617" s="2">
        <v>0.3874918</v>
      </c>
    </row>
    <row r="8618" spans="18:20" x14ac:dyDescent="0.45">
      <c r="R8618" s="2">
        <v>102.94</v>
      </c>
      <c r="S8618" s="2">
        <v>0.5331998</v>
      </c>
      <c r="T8618" s="2">
        <v>0.38787250000000001</v>
      </c>
    </row>
    <row r="8619" spans="18:20" x14ac:dyDescent="0.45">
      <c r="R8619" s="2">
        <v>102.95</v>
      </c>
      <c r="S8619" s="2">
        <v>0.533605</v>
      </c>
      <c r="T8619" s="2">
        <v>0.38825330000000002</v>
      </c>
    </row>
    <row r="8620" spans="18:20" x14ac:dyDescent="0.45">
      <c r="R8620" s="2">
        <v>102.96</v>
      </c>
      <c r="S8620" s="2">
        <v>0.53401019999999999</v>
      </c>
      <c r="T8620" s="2">
        <v>0.38863399999999998</v>
      </c>
    </row>
    <row r="8621" spans="18:20" x14ac:dyDescent="0.45">
      <c r="R8621" s="2">
        <v>102.97</v>
      </c>
      <c r="S8621" s="2">
        <v>0.53441539999999998</v>
      </c>
      <c r="T8621" s="2">
        <v>0.38901469999999999</v>
      </c>
    </row>
    <row r="8622" spans="18:20" x14ac:dyDescent="0.45">
      <c r="R8622" s="2">
        <v>102.98</v>
      </c>
      <c r="S8622" s="2">
        <v>0.53482059999999998</v>
      </c>
      <c r="T8622" s="2">
        <v>0.38939550000000001</v>
      </c>
    </row>
    <row r="8623" spans="18:20" x14ac:dyDescent="0.45">
      <c r="R8623" s="2">
        <v>102.99</v>
      </c>
      <c r="S8623" s="2">
        <v>0.53522579999999997</v>
      </c>
      <c r="T8623" s="2">
        <v>0.38977620000000002</v>
      </c>
    </row>
    <row r="8624" spans="18:20" x14ac:dyDescent="0.45">
      <c r="R8624" s="2">
        <v>103</v>
      </c>
      <c r="S8624" s="2">
        <v>0.53563099999999997</v>
      </c>
      <c r="T8624" s="2">
        <v>0.39015699999999998</v>
      </c>
    </row>
    <row r="8625" spans="18:20" x14ac:dyDescent="0.45">
      <c r="R8625" s="2">
        <v>103.01</v>
      </c>
      <c r="S8625" s="2">
        <v>0.53606359999999997</v>
      </c>
      <c r="T8625" s="2">
        <v>0.39057890000000001</v>
      </c>
    </row>
    <row r="8626" spans="18:20" x14ac:dyDescent="0.45">
      <c r="R8626" s="2">
        <v>103.02</v>
      </c>
      <c r="S8626" s="2">
        <v>0.53649619999999998</v>
      </c>
      <c r="T8626" s="2">
        <v>0.39100089999999998</v>
      </c>
    </row>
    <row r="8627" spans="18:20" x14ac:dyDescent="0.45">
      <c r="R8627" s="2">
        <v>103.03</v>
      </c>
      <c r="S8627" s="2">
        <v>0.53692879999999998</v>
      </c>
      <c r="T8627" s="2">
        <v>0.39142280000000002</v>
      </c>
    </row>
    <row r="8628" spans="18:20" x14ac:dyDescent="0.45">
      <c r="R8628" s="2">
        <v>103.04</v>
      </c>
      <c r="S8628" s="2">
        <v>0.53736139999999999</v>
      </c>
      <c r="T8628" s="2">
        <v>0.39184479999999999</v>
      </c>
    </row>
    <row r="8629" spans="18:20" x14ac:dyDescent="0.45">
      <c r="R8629" s="2">
        <v>103.05</v>
      </c>
      <c r="S8629" s="2">
        <v>0.53779399999999999</v>
      </c>
      <c r="T8629" s="2">
        <v>0.39226670000000002</v>
      </c>
    </row>
    <row r="8630" spans="18:20" x14ac:dyDescent="0.45">
      <c r="R8630" s="2">
        <v>103.06</v>
      </c>
      <c r="S8630" s="2">
        <v>0.53822650000000005</v>
      </c>
      <c r="T8630" s="2">
        <v>0.3926886</v>
      </c>
    </row>
    <row r="8631" spans="18:20" x14ac:dyDescent="0.45">
      <c r="R8631" s="2">
        <v>103.07</v>
      </c>
      <c r="S8631" s="2">
        <v>0.53865909999999995</v>
      </c>
      <c r="T8631" s="2">
        <v>0.39311059999999998</v>
      </c>
    </row>
    <row r="8632" spans="18:20" x14ac:dyDescent="0.45">
      <c r="R8632" s="2">
        <v>103.08</v>
      </c>
      <c r="S8632" s="2">
        <v>0.53909169999999995</v>
      </c>
      <c r="T8632" s="2">
        <v>0.39353250000000001</v>
      </c>
    </row>
    <row r="8633" spans="18:20" x14ac:dyDescent="0.45">
      <c r="R8633" s="2">
        <v>103.09</v>
      </c>
      <c r="S8633" s="2">
        <v>0.53952429999999996</v>
      </c>
      <c r="T8633" s="2">
        <v>0.39395449999999999</v>
      </c>
    </row>
    <row r="8634" spans="18:20" x14ac:dyDescent="0.45">
      <c r="R8634" s="2">
        <v>103.1</v>
      </c>
      <c r="S8634" s="2">
        <v>0.53995689999999996</v>
      </c>
      <c r="T8634" s="2">
        <v>0.39437640000000002</v>
      </c>
    </row>
    <row r="8635" spans="18:20" x14ac:dyDescent="0.45">
      <c r="R8635" s="2">
        <v>103.11</v>
      </c>
      <c r="S8635" s="2">
        <v>0.54038949999999997</v>
      </c>
      <c r="T8635" s="2">
        <v>0.39479829999999999</v>
      </c>
    </row>
    <row r="8636" spans="18:20" x14ac:dyDescent="0.45">
      <c r="R8636" s="2">
        <v>103.12</v>
      </c>
      <c r="S8636" s="2">
        <v>0.54082209999999997</v>
      </c>
      <c r="T8636" s="2">
        <v>0.39522030000000002</v>
      </c>
    </row>
    <row r="8637" spans="18:20" x14ac:dyDescent="0.45">
      <c r="R8637" s="2">
        <v>103.13</v>
      </c>
      <c r="S8637" s="2">
        <v>0.54125469999999998</v>
      </c>
      <c r="T8637" s="2">
        <v>0.3956422</v>
      </c>
    </row>
    <row r="8638" spans="18:20" x14ac:dyDescent="0.45">
      <c r="R8638" s="2">
        <v>103.14</v>
      </c>
      <c r="S8638" s="2">
        <v>0.54168729999999998</v>
      </c>
      <c r="T8638" s="2">
        <v>0.39606419999999998</v>
      </c>
    </row>
    <row r="8639" spans="18:20" x14ac:dyDescent="0.45">
      <c r="R8639" s="2">
        <v>103.15</v>
      </c>
      <c r="S8639" s="2">
        <v>0.54211989999999999</v>
      </c>
      <c r="T8639" s="2">
        <v>0.39648610000000001</v>
      </c>
    </row>
    <row r="8640" spans="18:20" x14ac:dyDescent="0.45">
      <c r="R8640" s="2">
        <v>103.16</v>
      </c>
      <c r="S8640" s="2">
        <v>0.54255240000000005</v>
      </c>
      <c r="T8640" s="2">
        <v>0.39690799999999998</v>
      </c>
    </row>
    <row r="8641" spans="18:20" x14ac:dyDescent="0.45">
      <c r="R8641" s="2">
        <v>103.17</v>
      </c>
      <c r="S8641" s="2">
        <v>0.54298500000000005</v>
      </c>
      <c r="T8641" s="2">
        <v>0.39733000000000002</v>
      </c>
    </row>
    <row r="8642" spans="18:20" x14ac:dyDescent="0.45">
      <c r="R8642" s="2">
        <v>103.18</v>
      </c>
      <c r="S8642" s="2">
        <v>0.54341759999999995</v>
      </c>
      <c r="T8642" s="2">
        <v>0.39775189999999999</v>
      </c>
    </row>
    <row r="8643" spans="18:20" x14ac:dyDescent="0.45">
      <c r="R8643" s="2">
        <v>103.19</v>
      </c>
      <c r="S8643" s="2">
        <v>0.54385019999999995</v>
      </c>
      <c r="T8643" s="2">
        <v>0.39817390000000003</v>
      </c>
    </row>
    <row r="8644" spans="18:20" x14ac:dyDescent="0.45">
      <c r="R8644" s="2">
        <v>103.2</v>
      </c>
      <c r="S8644" s="2">
        <v>0.54428279999999996</v>
      </c>
      <c r="T8644" s="2">
        <v>0.3985958</v>
      </c>
    </row>
    <row r="8645" spans="18:20" x14ac:dyDescent="0.45">
      <c r="R8645" s="2">
        <v>103.21</v>
      </c>
      <c r="S8645" s="2">
        <v>0.54471539999999996</v>
      </c>
      <c r="T8645" s="2">
        <v>0.39901769999999998</v>
      </c>
    </row>
    <row r="8646" spans="18:20" x14ac:dyDescent="0.45">
      <c r="R8646" s="2">
        <v>103.22</v>
      </c>
      <c r="S8646" s="2">
        <v>0.54514799999999997</v>
      </c>
      <c r="T8646" s="2">
        <v>0.39943970000000001</v>
      </c>
    </row>
    <row r="8647" spans="18:20" x14ac:dyDescent="0.45">
      <c r="R8647" s="2">
        <v>103.23</v>
      </c>
      <c r="S8647" s="2">
        <v>0.54558059999999997</v>
      </c>
      <c r="T8647" s="2">
        <v>0.39986159999999998</v>
      </c>
    </row>
    <row r="8648" spans="18:20" x14ac:dyDescent="0.45">
      <c r="R8648" s="2">
        <v>103.24</v>
      </c>
      <c r="S8648" s="2">
        <v>0.54601319999999998</v>
      </c>
      <c r="T8648" s="2">
        <v>0.40028360000000002</v>
      </c>
    </row>
    <row r="8649" spans="18:20" x14ac:dyDescent="0.45">
      <c r="R8649" s="2">
        <v>103.25</v>
      </c>
      <c r="S8649" s="2">
        <v>0.54644570000000003</v>
      </c>
      <c r="T8649" s="2">
        <v>0.40070549999999999</v>
      </c>
    </row>
    <row r="8650" spans="18:20" x14ac:dyDescent="0.45">
      <c r="R8650" s="2">
        <v>103.26</v>
      </c>
      <c r="S8650" s="2">
        <v>0.54687830000000004</v>
      </c>
      <c r="T8650" s="2">
        <v>0.40112740000000002</v>
      </c>
    </row>
    <row r="8651" spans="18:20" x14ac:dyDescent="0.45">
      <c r="R8651" s="2">
        <v>103.27</v>
      </c>
      <c r="S8651" s="2">
        <v>0.54731090000000004</v>
      </c>
      <c r="T8651" s="2">
        <v>0.4015494</v>
      </c>
    </row>
    <row r="8652" spans="18:20" x14ac:dyDescent="0.45">
      <c r="R8652" s="2">
        <v>103.28</v>
      </c>
      <c r="S8652" s="2">
        <v>0.54774350000000005</v>
      </c>
      <c r="T8652" s="2">
        <v>0.40197129999999998</v>
      </c>
    </row>
    <row r="8653" spans="18:20" x14ac:dyDescent="0.45">
      <c r="R8653" s="2">
        <v>103.29</v>
      </c>
      <c r="S8653" s="2">
        <v>0.54817610000000005</v>
      </c>
      <c r="T8653" s="2">
        <v>0.40239330000000001</v>
      </c>
    </row>
    <row r="8654" spans="18:20" x14ac:dyDescent="0.45">
      <c r="R8654" s="2">
        <v>103.3</v>
      </c>
      <c r="S8654" s="2">
        <v>0.54860869999999995</v>
      </c>
      <c r="T8654" s="2">
        <v>0.40281519999999998</v>
      </c>
    </row>
    <row r="8655" spans="18:20" x14ac:dyDescent="0.45">
      <c r="R8655" s="2">
        <v>103.31</v>
      </c>
      <c r="S8655" s="2">
        <v>0.54904129999999995</v>
      </c>
      <c r="T8655" s="2">
        <v>0.40323710000000001</v>
      </c>
    </row>
    <row r="8656" spans="18:20" x14ac:dyDescent="0.45">
      <c r="R8656" s="2">
        <v>103.32</v>
      </c>
      <c r="S8656" s="2">
        <v>0.54947389999999996</v>
      </c>
      <c r="T8656" s="2">
        <v>0.40365909999999999</v>
      </c>
    </row>
    <row r="8657" spans="18:20" x14ac:dyDescent="0.45">
      <c r="R8657" s="2">
        <v>103.33</v>
      </c>
      <c r="S8657" s="2">
        <v>0.54990649999999996</v>
      </c>
      <c r="T8657" s="2">
        <v>0.40408100000000002</v>
      </c>
    </row>
    <row r="8658" spans="18:20" x14ac:dyDescent="0.45">
      <c r="R8658" s="2">
        <v>103.34</v>
      </c>
      <c r="S8658" s="2">
        <v>0.55033909999999997</v>
      </c>
      <c r="T8658" s="2">
        <v>0.404503</v>
      </c>
    </row>
    <row r="8659" spans="18:20" x14ac:dyDescent="0.45">
      <c r="R8659" s="2">
        <v>103.35</v>
      </c>
      <c r="S8659" s="2">
        <v>0.55077160000000003</v>
      </c>
      <c r="T8659" s="2">
        <v>0.40492489999999998</v>
      </c>
    </row>
    <row r="8660" spans="18:20" x14ac:dyDescent="0.45">
      <c r="R8660" s="2">
        <v>103.36</v>
      </c>
      <c r="S8660" s="2">
        <v>0.55120420000000003</v>
      </c>
      <c r="T8660" s="2">
        <v>0.40534680000000001</v>
      </c>
    </row>
    <row r="8661" spans="18:20" x14ac:dyDescent="0.45">
      <c r="R8661" s="2">
        <v>103.37</v>
      </c>
      <c r="S8661" s="2">
        <v>0.55163680000000004</v>
      </c>
      <c r="T8661" s="2">
        <v>0.40576879999999999</v>
      </c>
    </row>
    <row r="8662" spans="18:20" x14ac:dyDescent="0.45">
      <c r="R8662" s="2">
        <v>103.38</v>
      </c>
      <c r="S8662" s="2">
        <v>0.55206940000000004</v>
      </c>
      <c r="T8662" s="2">
        <v>0.40619070000000002</v>
      </c>
    </row>
    <row r="8663" spans="18:20" x14ac:dyDescent="0.45">
      <c r="R8663" s="2">
        <v>103.39</v>
      </c>
      <c r="S8663" s="2">
        <v>0.55250200000000005</v>
      </c>
      <c r="T8663" s="2">
        <v>0.40661269999999999</v>
      </c>
    </row>
    <row r="8664" spans="18:20" x14ac:dyDescent="0.45">
      <c r="R8664" s="2">
        <v>103.4</v>
      </c>
      <c r="S8664" s="2">
        <v>0.55293460000000005</v>
      </c>
      <c r="T8664" s="2">
        <v>0.40703460000000002</v>
      </c>
    </row>
    <row r="8665" spans="18:20" x14ac:dyDescent="0.45">
      <c r="R8665" s="2">
        <v>103.41</v>
      </c>
      <c r="S8665" s="2">
        <v>0.55336719999999995</v>
      </c>
      <c r="T8665" s="2">
        <v>0.4074565</v>
      </c>
    </row>
    <row r="8666" spans="18:20" x14ac:dyDescent="0.45">
      <c r="R8666" s="2">
        <v>103.42</v>
      </c>
      <c r="S8666" s="2">
        <v>0.55379979999999995</v>
      </c>
      <c r="T8666" s="2">
        <v>0.40787849999999998</v>
      </c>
    </row>
    <row r="8667" spans="18:20" x14ac:dyDescent="0.45">
      <c r="R8667" s="2">
        <v>103.43</v>
      </c>
      <c r="S8667" s="2">
        <v>0.55423239999999996</v>
      </c>
      <c r="T8667" s="2">
        <v>0.40830040000000001</v>
      </c>
    </row>
    <row r="8668" spans="18:20" x14ac:dyDescent="0.45">
      <c r="R8668" s="2">
        <v>103.44</v>
      </c>
      <c r="S8668" s="2">
        <v>0.55466499999999996</v>
      </c>
      <c r="T8668" s="2">
        <v>0.40872239999999999</v>
      </c>
    </row>
    <row r="8669" spans="18:20" x14ac:dyDescent="0.45">
      <c r="R8669" s="2">
        <v>103.45</v>
      </c>
      <c r="S8669" s="2">
        <v>0.55509759999999997</v>
      </c>
      <c r="T8669" s="2">
        <v>0.40914430000000002</v>
      </c>
    </row>
    <row r="8670" spans="18:20" x14ac:dyDescent="0.45">
      <c r="R8670" s="2">
        <v>103.46</v>
      </c>
      <c r="S8670" s="2">
        <v>0.55553010000000003</v>
      </c>
      <c r="T8670" s="2">
        <v>0.40956619999999999</v>
      </c>
    </row>
    <row r="8671" spans="18:20" x14ac:dyDescent="0.45">
      <c r="R8671" s="2">
        <v>103.47</v>
      </c>
      <c r="S8671" s="2">
        <v>0.55596270000000003</v>
      </c>
      <c r="T8671" s="2">
        <v>0.40998820000000002</v>
      </c>
    </row>
    <row r="8672" spans="18:20" x14ac:dyDescent="0.45">
      <c r="R8672" s="2">
        <v>103.48</v>
      </c>
      <c r="S8672" s="2">
        <v>0.55639530000000004</v>
      </c>
      <c r="T8672" s="2">
        <v>0.4104101</v>
      </c>
    </row>
    <row r="8673" spans="18:20" x14ac:dyDescent="0.45">
      <c r="R8673" s="2">
        <v>103.49</v>
      </c>
      <c r="S8673" s="2">
        <v>0.55682790000000004</v>
      </c>
      <c r="T8673" s="2">
        <v>0.41083209999999998</v>
      </c>
    </row>
    <row r="8674" spans="18:20" x14ac:dyDescent="0.45">
      <c r="R8674" s="2">
        <v>103.5</v>
      </c>
      <c r="S8674" s="2">
        <v>0.55726050000000005</v>
      </c>
      <c r="T8674" s="2">
        <v>0.41125400000000001</v>
      </c>
    </row>
    <row r="8675" spans="18:20" x14ac:dyDescent="0.45">
      <c r="R8675" s="2">
        <v>103.51</v>
      </c>
      <c r="S8675" s="2">
        <v>0.55769310000000005</v>
      </c>
      <c r="T8675" s="2">
        <v>0.41167589999999998</v>
      </c>
    </row>
    <row r="8676" spans="18:20" x14ac:dyDescent="0.45">
      <c r="R8676" s="2">
        <v>103.52</v>
      </c>
      <c r="S8676" s="2">
        <v>0.55812569999999995</v>
      </c>
      <c r="T8676" s="2">
        <v>0.41209790000000002</v>
      </c>
    </row>
    <row r="8677" spans="18:20" x14ac:dyDescent="0.45">
      <c r="R8677" s="2">
        <v>103.53</v>
      </c>
      <c r="S8677" s="2">
        <v>0.55855829999999995</v>
      </c>
      <c r="T8677" s="2">
        <v>0.41251979999999999</v>
      </c>
    </row>
    <row r="8678" spans="18:20" x14ac:dyDescent="0.45">
      <c r="R8678" s="2">
        <v>103.54</v>
      </c>
      <c r="S8678" s="2">
        <v>0.55899089999999996</v>
      </c>
      <c r="T8678" s="2">
        <v>0.41294180000000003</v>
      </c>
    </row>
    <row r="8679" spans="18:20" x14ac:dyDescent="0.45">
      <c r="R8679" s="2">
        <v>103.55</v>
      </c>
      <c r="S8679" s="2">
        <v>0.55942340000000002</v>
      </c>
      <c r="T8679" s="2">
        <v>0.4133637</v>
      </c>
    </row>
    <row r="8680" spans="18:20" x14ac:dyDescent="0.45">
      <c r="R8680" s="2">
        <v>103.56</v>
      </c>
      <c r="S8680" s="2">
        <v>0.55985600000000002</v>
      </c>
      <c r="T8680" s="2">
        <v>0.41378559999999998</v>
      </c>
    </row>
    <row r="8681" spans="18:20" x14ac:dyDescent="0.45">
      <c r="R8681" s="2">
        <v>103.57</v>
      </c>
      <c r="S8681" s="2">
        <v>0.56028860000000003</v>
      </c>
      <c r="T8681" s="2">
        <v>0.41420760000000001</v>
      </c>
    </row>
    <row r="8682" spans="18:20" x14ac:dyDescent="0.45">
      <c r="R8682" s="2">
        <v>103.58</v>
      </c>
      <c r="S8682" s="2">
        <v>0.56072120000000003</v>
      </c>
      <c r="T8682" s="2">
        <v>0.41462949999999998</v>
      </c>
    </row>
    <row r="8683" spans="18:20" x14ac:dyDescent="0.45">
      <c r="R8683" s="2">
        <v>103.59</v>
      </c>
      <c r="S8683" s="2">
        <v>0.56115380000000004</v>
      </c>
      <c r="T8683" s="2">
        <v>0.41505150000000002</v>
      </c>
    </row>
    <row r="8684" spans="18:20" x14ac:dyDescent="0.45">
      <c r="R8684" s="2">
        <v>103.6</v>
      </c>
      <c r="S8684" s="2">
        <v>0.56158640000000004</v>
      </c>
      <c r="T8684" s="2">
        <v>0.41547339999999999</v>
      </c>
    </row>
    <row r="8685" spans="18:20" x14ac:dyDescent="0.45">
      <c r="R8685" s="2">
        <v>103.61</v>
      </c>
      <c r="S8685" s="2">
        <v>0.56201900000000005</v>
      </c>
      <c r="T8685" s="2">
        <v>0.41589530000000002</v>
      </c>
    </row>
    <row r="8686" spans="18:20" x14ac:dyDescent="0.45">
      <c r="R8686" s="2">
        <v>103.62</v>
      </c>
      <c r="S8686" s="2">
        <v>0.56245160000000005</v>
      </c>
      <c r="T8686" s="2">
        <v>0.4163173</v>
      </c>
    </row>
    <row r="8687" spans="18:20" x14ac:dyDescent="0.45">
      <c r="R8687" s="2">
        <v>103.63</v>
      </c>
      <c r="S8687" s="2">
        <v>0.56288419999999995</v>
      </c>
      <c r="T8687" s="2">
        <v>0.41673919999999998</v>
      </c>
    </row>
    <row r="8688" spans="18:20" x14ac:dyDescent="0.45">
      <c r="R8688" s="2">
        <v>103.64</v>
      </c>
      <c r="S8688" s="2">
        <v>0.56331679999999995</v>
      </c>
      <c r="T8688" s="2">
        <v>0.41716120000000001</v>
      </c>
    </row>
    <row r="8689" spans="18:20" x14ac:dyDescent="0.45">
      <c r="R8689" s="2">
        <v>103.65</v>
      </c>
      <c r="S8689" s="2">
        <v>0.56374939999999996</v>
      </c>
      <c r="T8689" s="2">
        <v>0.41758309999999998</v>
      </c>
    </row>
    <row r="8690" spans="18:20" x14ac:dyDescent="0.45">
      <c r="R8690" s="2">
        <v>103.66</v>
      </c>
      <c r="S8690" s="2">
        <v>0.56418190000000001</v>
      </c>
      <c r="T8690" s="2">
        <v>0.41800500000000002</v>
      </c>
    </row>
    <row r="8691" spans="18:20" x14ac:dyDescent="0.45">
      <c r="R8691" s="2">
        <v>103.67</v>
      </c>
      <c r="S8691" s="2">
        <v>0.56461450000000002</v>
      </c>
      <c r="T8691" s="2">
        <v>0.41842699999999999</v>
      </c>
    </row>
    <row r="8692" spans="18:20" x14ac:dyDescent="0.45">
      <c r="R8692" s="2">
        <v>103.68</v>
      </c>
      <c r="S8692" s="2">
        <v>0.56504710000000002</v>
      </c>
      <c r="T8692" s="2">
        <v>0.41884890000000002</v>
      </c>
    </row>
    <row r="8693" spans="18:20" x14ac:dyDescent="0.45">
      <c r="R8693" s="2">
        <v>103.69</v>
      </c>
      <c r="S8693" s="2">
        <v>0.56547970000000003</v>
      </c>
      <c r="T8693" s="2">
        <v>0.4192709</v>
      </c>
    </row>
    <row r="8694" spans="18:20" x14ac:dyDescent="0.45">
      <c r="R8694" s="2">
        <v>103.7</v>
      </c>
      <c r="S8694" s="2">
        <v>0.56591230000000003</v>
      </c>
      <c r="T8694" s="2">
        <v>0.41969279999999998</v>
      </c>
    </row>
    <row r="8695" spans="18:20" x14ac:dyDescent="0.45">
      <c r="R8695" s="2">
        <v>103.71</v>
      </c>
      <c r="S8695" s="2">
        <v>0.56634490000000004</v>
      </c>
      <c r="T8695" s="2">
        <v>0.42011470000000001</v>
      </c>
    </row>
    <row r="8696" spans="18:20" x14ac:dyDescent="0.45">
      <c r="R8696" s="2">
        <v>103.72</v>
      </c>
      <c r="S8696" s="2">
        <v>0.56677750000000005</v>
      </c>
      <c r="T8696" s="2">
        <v>0.42053669999999999</v>
      </c>
    </row>
    <row r="8697" spans="18:20" x14ac:dyDescent="0.45">
      <c r="R8697" s="2">
        <v>103.73</v>
      </c>
      <c r="S8697" s="2">
        <v>0.56721010000000005</v>
      </c>
      <c r="T8697" s="2">
        <v>0.42095860000000002</v>
      </c>
    </row>
    <row r="8698" spans="18:20" x14ac:dyDescent="0.45">
      <c r="R8698" s="2">
        <v>103.74</v>
      </c>
      <c r="S8698" s="2">
        <v>0.56764269999999994</v>
      </c>
      <c r="T8698" s="2">
        <v>0.42138059999999999</v>
      </c>
    </row>
    <row r="8699" spans="18:20" x14ac:dyDescent="0.45">
      <c r="R8699" s="2">
        <v>103.75</v>
      </c>
      <c r="S8699" s="2">
        <v>0.56807529999999995</v>
      </c>
      <c r="T8699" s="2">
        <v>0.42180250000000002</v>
      </c>
    </row>
    <row r="8700" spans="18:20" x14ac:dyDescent="0.45">
      <c r="R8700" s="2">
        <v>103.76</v>
      </c>
      <c r="S8700" s="2">
        <v>0.56850780000000001</v>
      </c>
      <c r="T8700" s="2">
        <v>0.4222244</v>
      </c>
    </row>
    <row r="8701" spans="18:20" x14ac:dyDescent="0.45">
      <c r="R8701" s="2">
        <v>103.77</v>
      </c>
      <c r="S8701" s="2">
        <v>0.56894040000000001</v>
      </c>
      <c r="T8701" s="2">
        <v>0.42264639999999998</v>
      </c>
    </row>
    <row r="8702" spans="18:20" x14ac:dyDescent="0.45">
      <c r="R8702" s="2">
        <v>103.78</v>
      </c>
      <c r="S8702" s="2">
        <v>0.56937300000000002</v>
      </c>
      <c r="T8702" s="2">
        <v>0.42306830000000001</v>
      </c>
    </row>
    <row r="8703" spans="18:20" x14ac:dyDescent="0.45">
      <c r="R8703" s="2">
        <v>103.79</v>
      </c>
      <c r="S8703" s="2">
        <v>0.56980560000000002</v>
      </c>
      <c r="T8703" s="2">
        <v>0.42349029999999999</v>
      </c>
    </row>
    <row r="8704" spans="18:20" x14ac:dyDescent="0.45">
      <c r="R8704" s="2">
        <v>103.8</v>
      </c>
      <c r="S8704" s="2">
        <v>0.57023820000000003</v>
      </c>
      <c r="T8704" s="2">
        <v>0.42391220000000002</v>
      </c>
    </row>
    <row r="8705" spans="18:20" x14ac:dyDescent="0.45">
      <c r="R8705" s="2">
        <v>103.81</v>
      </c>
      <c r="S8705" s="2">
        <v>0.57067080000000003</v>
      </c>
      <c r="T8705" s="2">
        <v>0.42433409999999999</v>
      </c>
    </row>
    <row r="8706" spans="18:20" x14ac:dyDescent="0.45">
      <c r="R8706" s="2">
        <v>103.82</v>
      </c>
      <c r="S8706" s="2">
        <v>0.57110340000000004</v>
      </c>
      <c r="T8706" s="2">
        <v>0.42475610000000003</v>
      </c>
    </row>
    <row r="8707" spans="18:20" x14ac:dyDescent="0.45">
      <c r="R8707" s="2">
        <v>103.83</v>
      </c>
      <c r="S8707" s="2">
        <v>0.57153600000000004</v>
      </c>
      <c r="T8707" s="2">
        <v>0.425178</v>
      </c>
    </row>
    <row r="8708" spans="18:20" x14ac:dyDescent="0.45">
      <c r="R8708" s="2">
        <v>103.84</v>
      </c>
      <c r="S8708" s="2">
        <v>0.57196860000000005</v>
      </c>
      <c r="T8708" s="2">
        <v>0.42559999999999998</v>
      </c>
    </row>
    <row r="8709" spans="18:20" x14ac:dyDescent="0.45">
      <c r="R8709" s="2">
        <v>103.85</v>
      </c>
      <c r="S8709" s="2">
        <v>0.5724011</v>
      </c>
      <c r="T8709" s="2">
        <v>0.42602190000000001</v>
      </c>
    </row>
    <row r="8710" spans="18:20" x14ac:dyDescent="0.45">
      <c r="R8710" s="2">
        <v>103.86</v>
      </c>
      <c r="S8710" s="2">
        <v>0.5728337</v>
      </c>
      <c r="T8710" s="2">
        <v>0.42644379999999998</v>
      </c>
    </row>
    <row r="8711" spans="18:20" x14ac:dyDescent="0.45">
      <c r="R8711" s="2">
        <v>103.87</v>
      </c>
      <c r="S8711" s="2">
        <v>0.57326630000000001</v>
      </c>
      <c r="T8711" s="2">
        <v>0.42686580000000002</v>
      </c>
    </row>
    <row r="8712" spans="18:20" x14ac:dyDescent="0.45">
      <c r="R8712" s="2">
        <v>103.88</v>
      </c>
      <c r="S8712" s="2">
        <v>0.57369890000000001</v>
      </c>
      <c r="T8712" s="2">
        <v>0.42728769999999999</v>
      </c>
    </row>
    <row r="8713" spans="18:20" x14ac:dyDescent="0.45">
      <c r="R8713" s="2">
        <v>103.89</v>
      </c>
      <c r="S8713" s="2">
        <v>0.57413150000000002</v>
      </c>
      <c r="T8713" s="2">
        <v>0.42770970000000003</v>
      </c>
    </row>
    <row r="8714" spans="18:20" x14ac:dyDescent="0.45">
      <c r="R8714" s="2">
        <v>103.9</v>
      </c>
      <c r="S8714" s="2">
        <v>0.57456410000000002</v>
      </c>
      <c r="T8714" s="2">
        <v>0.4281316</v>
      </c>
    </row>
    <row r="8715" spans="18:20" x14ac:dyDescent="0.45">
      <c r="R8715" s="2">
        <v>103.91</v>
      </c>
      <c r="S8715" s="2">
        <v>0.57499670000000003</v>
      </c>
      <c r="T8715" s="2">
        <v>0.42855349999999998</v>
      </c>
    </row>
    <row r="8716" spans="18:20" x14ac:dyDescent="0.45">
      <c r="R8716" s="2">
        <v>103.92</v>
      </c>
      <c r="S8716" s="2">
        <v>0.57542930000000003</v>
      </c>
      <c r="T8716" s="2">
        <v>0.42897550000000001</v>
      </c>
    </row>
    <row r="8717" spans="18:20" x14ac:dyDescent="0.45">
      <c r="R8717" s="2">
        <v>103.93</v>
      </c>
      <c r="S8717" s="2">
        <v>0.57586190000000004</v>
      </c>
      <c r="T8717" s="2">
        <v>0.42939739999999998</v>
      </c>
    </row>
    <row r="8718" spans="18:20" x14ac:dyDescent="0.45">
      <c r="R8718" s="2">
        <v>103.94</v>
      </c>
      <c r="S8718" s="2">
        <v>0.57629450000000004</v>
      </c>
      <c r="T8718" s="2">
        <v>0.42981940000000002</v>
      </c>
    </row>
    <row r="8719" spans="18:20" x14ac:dyDescent="0.45">
      <c r="R8719" s="2">
        <v>103.95</v>
      </c>
      <c r="S8719" s="2">
        <v>0.57672699999999999</v>
      </c>
      <c r="T8719" s="2">
        <v>0.43024129999999999</v>
      </c>
    </row>
    <row r="8720" spans="18:20" x14ac:dyDescent="0.45">
      <c r="R8720" s="2">
        <v>103.96</v>
      </c>
      <c r="S8720" s="2">
        <v>0.57715959999999999</v>
      </c>
      <c r="T8720" s="2">
        <v>0.43066320000000002</v>
      </c>
    </row>
    <row r="8721" spans="18:20" x14ac:dyDescent="0.45">
      <c r="R8721" s="2">
        <v>103.97</v>
      </c>
      <c r="S8721" s="2">
        <v>0.5775922</v>
      </c>
      <c r="T8721" s="2">
        <v>0.4310852</v>
      </c>
    </row>
    <row r="8722" spans="18:20" x14ac:dyDescent="0.45">
      <c r="R8722" s="2">
        <v>103.98</v>
      </c>
      <c r="S8722" s="2">
        <v>0.57802480000000001</v>
      </c>
      <c r="T8722" s="2">
        <v>0.43150709999999998</v>
      </c>
    </row>
    <row r="8723" spans="18:20" x14ac:dyDescent="0.45">
      <c r="R8723" s="2">
        <v>103.99</v>
      </c>
      <c r="S8723" s="2">
        <v>0.57845740000000001</v>
      </c>
      <c r="T8723" s="2">
        <v>0.43192910000000001</v>
      </c>
    </row>
    <row r="8724" spans="18:20" x14ac:dyDescent="0.45">
      <c r="R8724" s="2">
        <v>104</v>
      </c>
      <c r="S8724" s="2">
        <v>0.57889000000000002</v>
      </c>
      <c r="T8724" s="2">
        <v>0.43235099999999999</v>
      </c>
    </row>
    <row r="8725" spans="18:20" x14ac:dyDescent="0.45">
      <c r="R8725" s="2">
        <v>104.01</v>
      </c>
      <c r="S8725" s="2">
        <v>0.57935130000000001</v>
      </c>
      <c r="T8725" s="2">
        <v>0.4328186</v>
      </c>
    </row>
    <row r="8726" spans="18:20" x14ac:dyDescent="0.45">
      <c r="R8726" s="2">
        <v>104.02</v>
      </c>
      <c r="S8726" s="2">
        <v>0.57981269999999996</v>
      </c>
      <c r="T8726" s="2">
        <v>0.43328620000000001</v>
      </c>
    </row>
    <row r="8727" spans="18:20" x14ac:dyDescent="0.45">
      <c r="R8727" s="2">
        <v>104.03</v>
      </c>
      <c r="S8727" s="2">
        <v>0.58027399999999996</v>
      </c>
      <c r="T8727" s="2">
        <v>0.43375370000000002</v>
      </c>
    </row>
    <row r="8728" spans="18:20" x14ac:dyDescent="0.45">
      <c r="R8728" s="2">
        <v>104.04</v>
      </c>
      <c r="S8728" s="2">
        <v>0.58073529999999995</v>
      </c>
      <c r="T8728" s="2">
        <v>0.43422129999999998</v>
      </c>
    </row>
    <row r="8729" spans="18:20" x14ac:dyDescent="0.45">
      <c r="R8729" s="2">
        <v>104.05</v>
      </c>
      <c r="S8729" s="2">
        <v>0.58119659999999995</v>
      </c>
      <c r="T8729" s="2">
        <v>0.43468889999999999</v>
      </c>
    </row>
    <row r="8730" spans="18:20" x14ac:dyDescent="0.45">
      <c r="R8730" s="2">
        <v>104.06</v>
      </c>
      <c r="S8730" s="2">
        <v>0.58165800000000001</v>
      </c>
      <c r="T8730" s="2">
        <v>0.4351565</v>
      </c>
    </row>
    <row r="8731" spans="18:20" x14ac:dyDescent="0.45">
      <c r="R8731" s="2">
        <v>104.07</v>
      </c>
      <c r="S8731" s="2">
        <v>0.58211930000000001</v>
      </c>
      <c r="T8731" s="2">
        <v>0.43562410000000001</v>
      </c>
    </row>
    <row r="8732" spans="18:20" x14ac:dyDescent="0.45">
      <c r="R8732" s="2">
        <v>104.08</v>
      </c>
      <c r="S8732" s="2">
        <v>0.5825806</v>
      </c>
      <c r="T8732" s="2">
        <v>0.43609160000000002</v>
      </c>
    </row>
    <row r="8733" spans="18:20" x14ac:dyDescent="0.45">
      <c r="R8733" s="2">
        <v>104.09</v>
      </c>
      <c r="S8733" s="2">
        <v>0.58304199999999995</v>
      </c>
      <c r="T8733" s="2">
        <v>0.43655919999999998</v>
      </c>
    </row>
    <row r="8734" spans="18:20" x14ac:dyDescent="0.45">
      <c r="R8734" s="2">
        <v>104.1</v>
      </c>
      <c r="S8734" s="2">
        <v>0.58350329999999995</v>
      </c>
      <c r="T8734" s="2">
        <v>0.43702679999999999</v>
      </c>
    </row>
    <row r="8735" spans="18:20" x14ac:dyDescent="0.45">
      <c r="R8735" s="2">
        <v>104.11</v>
      </c>
      <c r="S8735" s="2">
        <v>0.58396459999999994</v>
      </c>
      <c r="T8735" s="2">
        <v>0.43749440000000001</v>
      </c>
    </row>
    <row r="8736" spans="18:20" x14ac:dyDescent="0.45">
      <c r="R8736" s="2">
        <v>104.12</v>
      </c>
      <c r="S8736" s="2">
        <v>0.584426</v>
      </c>
      <c r="T8736" s="2">
        <v>0.43796200000000002</v>
      </c>
    </row>
    <row r="8737" spans="18:20" x14ac:dyDescent="0.45">
      <c r="R8737" s="2">
        <v>104.13</v>
      </c>
      <c r="S8737" s="2">
        <v>0.5848873</v>
      </c>
      <c r="T8737" s="2">
        <v>0.43842950000000003</v>
      </c>
    </row>
    <row r="8738" spans="18:20" x14ac:dyDescent="0.45">
      <c r="R8738" s="2">
        <v>104.14</v>
      </c>
      <c r="S8738" s="2">
        <v>0.5853486</v>
      </c>
      <c r="T8738" s="2">
        <v>0.43889709999999998</v>
      </c>
    </row>
    <row r="8739" spans="18:20" x14ac:dyDescent="0.45">
      <c r="R8739" s="2">
        <v>104.15</v>
      </c>
      <c r="S8739" s="2">
        <v>0.58581000000000005</v>
      </c>
      <c r="T8739" s="2">
        <v>0.4393647</v>
      </c>
    </row>
    <row r="8740" spans="18:20" x14ac:dyDescent="0.45">
      <c r="R8740" s="2">
        <v>104.16</v>
      </c>
      <c r="S8740" s="2">
        <v>0.58627130000000005</v>
      </c>
      <c r="T8740" s="2">
        <v>0.43983230000000001</v>
      </c>
    </row>
    <row r="8741" spans="18:20" x14ac:dyDescent="0.45">
      <c r="R8741" s="2">
        <v>104.17</v>
      </c>
      <c r="S8741" s="2">
        <v>0.58673260000000005</v>
      </c>
      <c r="T8741" s="2">
        <v>0.44029990000000002</v>
      </c>
    </row>
    <row r="8742" spans="18:20" x14ac:dyDescent="0.45">
      <c r="R8742" s="2">
        <v>104.18</v>
      </c>
      <c r="S8742" s="2">
        <v>0.58719390000000005</v>
      </c>
      <c r="T8742" s="2">
        <v>0.44076739999999998</v>
      </c>
    </row>
    <row r="8743" spans="18:20" x14ac:dyDescent="0.45">
      <c r="R8743" s="2">
        <v>104.19</v>
      </c>
      <c r="S8743" s="2">
        <v>0.58765529999999999</v>
      </c>
      <c r="T8743" s="2">
        <v>0.44123499999999999</v>
      </c>
    </row>
    <row r="8744" spans="18:20" x14ac:dyDescent="0.45">
      <c r="R8744" s="2">
        <v>104.2</v>
      </c>
      <c r="S8744" s="2">
        <v>0.58811659999999999</v>
      </c>
      <c r="T8744" s="2">
        <v>0.4417026</v>
      </c>
    </row>
    <row r="8745" spans="18:20" x14ac:dyDescent="0.45">
      <c r="R8745" s="2">
        <v>104.21</v>
      </c>
      <c r="S8745" s="2">
        <v>0.58857789999999999</v>
      </c>
      <c r="T8745" s="2">
        <v>0.44217020000000001</v>
      </c>
    </row>
    <row r="8746" spans="18:20" x14ac:dyDescent="0.45">
      <c r="R8746" s="2">
        <v>104.22</v>
      </c>
      <c r="S8746" s="2">
        <v>0.58903930000000004</v>
      </c>
      <c r="T8746" s="2">
        <v>0.44263780000000003</v>
      </c>
    </row>
    <row r="8747" spans="18:20" x14ac:dyDescent="0.45">
      <c r="R8747" s="2">
        <v>104.23</v>
      </c>
      <c r="S8747" s="2">
        <v>0.58950060000000004</v>
      </c>
      <c r="T8747" s="2">
        <v>0.44310529999999998</v>
      </c>
    </row>
    <row r="8748" spans="18:20" x14ac:dyDescent="0.45">
      <c r="R8748" s="2">
        <v>104.24</v>
      </c>
      <c r="S8748" s="2">
        <v>0.58996190000000004</v>
      </c>
      <c r="T8748" s="2">
        <v>0.44357289999999999</v>
      </c>
    </row>
    <row r="8749" spans="18:20" x14ac:dyDescent="0.45">
      <c r="R8749" s="2">
        <v>104.25</v>
      </c>
      <c r="S8749" s="2">
        <v>0.59042329999999998</v>
      </c>
      <c r="T8749" s="2">
        <v>0.4440405</v>
      </c>
    </row>
    <row r="8750" spans="18:20" x14ac:dyDescent="0.45">
      <c r="R8750" s="2">
        <v>104.26</v>
      </c>
      <c r="S8750" s="2">
        <v>0.59088459999999998</v>
      </c>
      <c r="T8750" s="2">
        <v>0.44450810000000002</v>
      </c>
    </row>
    <row r="8751" spans="18:20" x14ac:dyDescent="0.45">
      <c r="R8751" s="2">
        <v>104.27</v>
      </c>
      <c r="S8751" s="2">
        <v>0.59134589999999998</v>
      </c>
      <c r="T8751" s="2">
        <v>0.44497569999999997</v>
      </c>
    </row>
    <row r="8752" spans="18:20" x14ac:dyDescent="0.45">
      <c r="R8752" s="2">
        <v>104.28</v>
      </c>
      <c r="S8752" s="2">
        <v>0.59180719999999998</v>
      </c>
      <c r="T8752" s="2">
        <v>0.44544319999999998</v>
      </c>
    </row>
    <row r="8753" spans="18:20" x14ac:dyDescent="0.45">
      <c r="R8753" s="2">
        <v>104.29</v>
      </c>
      <c r="S8753" s="2">
        <v>0.59226860000000003</v>
      </c>
      <c r="T8753" s="2">
        <v>0.4459108</v>
      </c>
    </row>
    <row r="8754" spans="18:20" x14ac:dyDescent="0.45">
      <c r="R8754" s="2">
        <v>104.3</v>
      </c>
      <c r="S8754" s="2">
        <v>0.59272990000000003</v>
      </c>
      <c r="T8754" s="2">
        <v>0.44637840000000001</v>
      </c>
    </row>
    <row r="8755" spans="18:20" x14ac:dyDescent="0.45">
      <c r="R8755" s="2">
        <v>104.31</v>
      </c>
      <c r="S8755" s="2">
        <v>0.59319120000000003</v>
      </c>
      <c r="T8755" s="2">
        <v>0.44684600000000002</v>
      </c>
    </row>
    <row r="8756" spans="18:20" x14ac:dyDescent="0.45">
      <c r="R8756" s="2">
        <v>104.32</v>
      </c>
      <c r="S8756" s="2">
        <v>0.59365259999999997</v>
      </c>
      <c r="T8756" s="2">
        <v>0.44731359999999998</v>
      </c>
    </row>
    <row r="8757" spans="18:20" x14ac:dyDescent="0.45">
      <c r="R8757" s="2">
        <v>104.33</v>
      </c>
      <c r="S8757" s="2">
        <v>0.59411389999999997</v>
      </c>
      <c r="T8757" s="2">
        <v>0.44778109999999999</v>
      </c>
    </row>
    <row r="8758" spans="18:20" x14ac:dyDescent="0.45">
      <c r="R8758" s="2">
        <v>104.34</v>
      </c>
      <c r="S8758" s="2">
        <v>0.59457519999999997</v>
      </c>
      <c r="T8758" s="2">
        <v>0.4482487</v>
      </c>
    </row>
    <row r="8759" spans="18:20" x14ac:dyDescent="0.45">
      <c r="R8759" s="2">
        <v>104.35</v>
      </c>
      <c r="S8759" s="2">
        <v>0.59503649999999997</v>
      </c>
      <c r="T8759" s="2">
        <v>0.44871630000000001</v>
      </c>
    </row>
    <row r="8760" spans="18:20" x14ac:dyDescent="0.45">
      <c r="R8760" s="2">
        <v>104.36</v>
      </c>
      <c r="S8760" s="2">
        <v>0.59549790000000002</v>
      </c>
      <c r="T8760" s="2">
        <v>0.44918390000000002</v>
      </c>
    </row>
    <row r="8761" spans="18:20" x14ac:dyDescent="0.45">
      <c r="R8761" s="2">
        <v>104.37</v>
      </c>
      <c r="S8761" s="2">
        <v>0.59595920000000002</v>
      </c>
      <c r="T8761" s="2">
        <v>0.44965149999999998</v>
      </c>
    </row>
    <row r="8762" spans="18:20" x14ac:dyDescent="0.45">
      <c r="R8762" s="2">
        <v>104.38</v>
      </c>
      <c r="S8762" s="2">
        <v>0.59642050000000002</v>
      </c>
      <c r="T8762" s="2">
        <v>0.45011899999999999</v>
      </c>
    </row>
    <row r="8763" spans="18:20" x14ac:dyDescent="0.45">
      <c r="R8763" s="2">
        <v>104.39</v>
      </c>
      <c r="S8763" s="2">
        <v>0.59688189999999997</v>
      </c>
      <c r="T8763" s="2">
        <v>0.4505866</v>
      </c>
    </row>
    <row r="8764" spans="18:20" x14ac:dyDescent="0.45">
      <c r="R8764" s="2">
        <v>104.4</v>
      </c>
      <c r="S8764" s="2">
        <v>0.59734319999999996</v>
      </c>
      <c r="T8764" s="2">
        <v>0.45105420000000002</v>
      </c>
    </row>
    <row r="8765" spans="18:20" x14ac:dyDescent="0.45">
      <c r="R8765" s="2">
        <v>104.41</v>
      </c>
      <c r="S8765" s="2">
        <v>0.59780449999999996</v>
      </c>
      <c r="T8765" s="2">
        <v>0.45152179999999997</v>
      </c>
    </row>
    <row r="8766" spans="18:20" x14ac:dyDescent="0.45">
      <c r="R8766" s="2">
        <v>104.42</v>
      </c>
      <c r="S8766" s="2">
        <v>0.59826590000000002</v>
      </c>
      <c r="T8766" s="2">
        <v>0.45198939999999999</v>
      </c>
    </row>
    <row r="8767" spans="18:20" x14ac:dyDescent="0.45">
      <c r="R8767" s="2">
        <v>104.43</v>
      </c>
      <c r="S8767" s="2">
        <v>0.59872720000000001</v>
      </c>
      <c r="T8767" s="2">
        <v>0.4524569</v>
      </c>
    </row>
    <row r="8768" spans="18:20" x14ac:dyDescent="0.45">
      <c r="R8768" s="2">
        <v>104.44</v>
      </c>
      <c r="S8768" s="2">
        <v>0.59918850000000001</v>
      </c>
      <c r="T8768" s="2">
        <v>0.45292450000000001</v>
      </c>
    </row>
    <row r="8769" spans="18:20" x14ac:dyDescent="0.45">
      <c r="R8769" s="2">
        <v>104.45</v>
      </c>
      <c r="S8769" s="2">
        <v>0.59964989999999996</v>
      </c>
      <c r="T8769" s="2">
        <v>0.45339210000000002</v>
      </c>
    </row>
    <row r="8770" spans="18:20" x14ac:dyDescent="0.45">
      <c r="R8770" s="2">
        <v>104.46</v>
      </c>
      <c r="S8770" s="2">
        <v>0.60011119999999996</v>
      </c>
      <c r="T8770" s="2">
        <v>0.45385969999999998</v>
      </c>
    </row>
    <row r="8771" spans="18:20" x14ac:dyDescent="0.45">
      <c r="R8771" s="2">
        <v>104.47</v>
      </c>
      <c r="S8771" s="2">
        <v>0.60057249999999995</v>
      </c>
      <c r="T8771" s="2">
        <v>0.45432729999999999</v>
      </c>
    </row>
    <row r="8772" spans="18:20" x14ac:dyDescent="0.45">
      <c r="R8772" s="2">
        <v>104.48</v>
      </c>
      <c r="S8772" s="2">
        <v>0.60103379999999995</v>
      </c>
      <c r="T8772" s="2">
        <v>0.4547948</v>
      </c>
    </row>
    <row r="8773" spans="18:20" x14ac:dyDescent="0.45">
      <c r="R8773" s="2">
        <v>104.49</v>
      </c>
      <c r="S8773" s="2">
        <v>0.60149520000000001</v>
      </c>
      <c r="T8773" s="2">
        <v>0.45526240000000001</v>
      </c>
    </row>
    <row r="8774" spans="18:20" x14ac:dyDescent="0.45">
      <c r="R8774" s="2">
        <v>104.5</v>
      </c>
      <c r="S8774" s="2">
        <v>0.60195650000000001</v>
      </c>
      <c r="T8774" s="2">
        <v>0.45573000000000002</v>
      </c>
    </row>
    <row r="8775" spans="18:20" x14ac:dyDescent="0.45">
      <c r="R8775" s="2">
        <v>104.51</v>
      </c>
      <c r="S8775" s="2">
        <v>0.6024178</v>
      </c>
      <c r="T8775" s="2">
        <v>0.45619759999999998</v>
      </c>
    </row>
    <row r="8776" spans="18:20" x14ac:dyDescent="0.45">
      <c r="R8776" s="2">
        <v>104.52</v>
      </c>
      <c r="S8776" s="2">
        <v>0.60287919999999995</v>
      </c>
      <c r="T8776" s="2">
        <v>0.45666519999999999</v>
      </c>
    </row>
    <row r="8777" spans="18:20" x14ac:dyDescent="0.45">
      <c r="R8777" s="2">
        <v>104.53</v>
      </c>
      <c r="S8777" s="2">
        <v>0.60334049999999995</v>
      </c>
      <c r="T8777" s="2">
        <v>0.4571327</v>
      </c>
    </row>
    <row r="8778" spans="18:20" x14ac:dyDescent="0.45">
      <c r="R8778" s="2">
        <v>104.54</v>
      </c>
      <c r="S8778" s="2">
        <v>0.60380180000000006</v>
      </c>
      <c r="T8778" s="2">
        <v>0.45760030000000002</v>
      </c>
    </row>
    <row r="8779" spans="18:20" x14ac:dyDescent="0.45">
      <c r="R8779" s="2">
        <v>104.55</v>
      </c>
      <c r="S8779" s="2">
        <v>0.60426310000000005</v>
      </c>
      <c r="T8779" s="2">
        <v>0.45806789999999997</v>
      </c>
    </row>
    <row r="8780" spans="18:20" x14ac:dyDescent="0.45">
      <c r="R8780" s="2">
        <v>104.56</v>
      </c>
      <c r="S8780" s="2">
        <v>0.6047245</v>
      </c>
      <c r="T8780" s="2">
        <v>0.45853549999999998</v>
      </c>
    </row>
    <row r="8781" spans="18:20" x14ac:dyDescent="0.45">
      <c r="R8781" s="2">
        <v>104.57</v>
      </c>
      <c r="S8781" s="2">
        <v>0.6051858</v>
      </c>
      <c r="T8781" s="2">
        <v>0.4590031</v>
      </c>
    </row>
    <row r="8782" spans="18:20" x14ac:dyDescent="0.45">
      <c r="R8782" s="2">
        <v>104.58</v>
      </c>
      <c r="S8782" s="2">
        <v>0.60564709999999999</v>
      </c>
      <c r="T8782" s="2">
        <v>0.45947060000000001</v>
      </c>
    </row>
    <row r="8783" spans="18:20" x14ac:dyDescent="0.45">
      <c r="R8783" s="2">
        <v>104.59</v>
      </c>
      <c r="S8783" s="2">
        <v>0.60610850000000005</v>
      </c>
      <c r="T8783" s="2">
        <v>0.45993820000000002</v>
      </c>
    </row>
    <row r="8784" spans="18:20" x14ac:dyDescent="0.45">
      <c r="R8784" s="2">
        <v>104.6</v>
      </c>
      <c r="S8784" s="2">
        <v>0.60656980000000005</v>
      </c>
      <c r="T8784" s="2">
        <v>0.46040579999999998</v>
      </c>
    </row>
    <row r="8785" spans="18:20" x14ac:dyDescent="0.45">
      <c r="R8785" s="2">
        <v>104.61</v>
      </c>
      <c r="S8785" s="2">
        <v>0.60703110000000005</v>
      </c>
      <c r="T8785" s="2">
        <v>0.46087339999999999</v>
      </c>
    </row>
    <row r="8786" spans="18:20" x14ac:dyDescent="0.45">
      <c r="R8786" s="2">
        <v>104.62</v>
      </c>
      <c r="S8786" s="2">
        <v>0.60749249999999999</v>
      </c>
      <c r="T8786" s="2">
        <v>0.461341</v>
      </c>
    </row>
    <row r="8787" spans="18:20" x14ac:dyDescent="0.45">
      <c r="R8787" s="2">
        <v>104.63</v>
      </c>
      <c r="S8787" s="2">
        <v>0.60795379999999999</v>
      </c>
      <c r="T8787" s="2">
        <v>0.46180850000000001</v>
      </c>
    </row>
    <row r="8788" spans="18:20" x14ac:dyDescent="0.45">
      <c r="R8788" s="2">
        <v>104.64</v>
      </c>
      <c r="S8788" s="2">
        <v>0.60841509999999999</v>
      </c>
      <c r="T8788" s="2">
        <v>0.46227610000000002</v>
      </c>
    </row>
    <row r="8789" spans="18:20" x14ac:dyDescent="0.45">
      <c r="R8789" s="2">
        <v>104.65</v>
      </c>
      <c r="S8789" s="2">
        <v>0.60887650000000004</v>
      </c>
      <c r="T8789" s="2">
        <v>0.46274369999999998</v>
      </c>
    </row>
    <row r="8790" spans="18:20" x14ac:dyDescent="0.45">
      <c r="R8790" s="2">
        <v>104.66</v>
      </c>
      <c r="S8790" s="2">
        <v>0.60933780000000004</v>
      </c>
      <c r="T8790" s="2">
        <v>0.46321129999999999</v>
      </c>
    </row>
    <row r="8791" spans="18:20" x14ac:dyDescent="0.45">
      <c r="R8791" s="2">
        <v>104.67</v>
      </c>
      <c r="S8791" s="2">
        <v>0.60979910000000004</v>
      </c>
      <c r="T8791" s="2">
        <v>0.4636789</v>
      </c>
    </row>
    <row r="8792" spans="18:20" x14ac:dyDescent="0.45">
      <c r="R8792" s="2">
        <v>104.68</v>
      </c>
      <c r="S8792" s="2">
        <v>0.61026040000000004</v>
      </c>
      <c r="T8792" s="2">
        <v>0.46414640000000001</v>
      </c>
    </row>
    <row r="8793" spans="18:20" x14ac:dyDescent="0.45">
      <c r="R8793" s="2">
        <v>104.69</v>
      </c>
      <c r="S8793" s="2">
        <v>0.61072179999999998</v>
      </c>
      <c r="T8793" s="2">
        <v>0.46461400000000003</v>
      </c>
    </row>
    <row r="8794" spans="18:20" x14ac:dyDescent="0.45">
      <c r="R8794" s="2">
        <v>104.7</v>
      </c>
      <c r="S8794" s="2">
        <v>0.61118309999999998</v>
      </c>
      <c r="T8794" s="2">
        <v>0.46508159999999998</v>
      </c>
    </row>
    <row r="8795" spans="18:20" x14ac:dyDescent="0.45">
      <c r="R8795" s="2">
        <v>104.71</v>
      </c>
      <c r="S8795" s="2">
        <v>0.61164439999999998</v>
      </c>
      <c r="T8795" s="2">
        <v>0.4655492</v>
      </c>
    </row>
    <row r="8796" spans="18:20" x14ac:dyDescent="0.45">
      <c r="R8796" s="2">
        <v>104.72</v>
      </c>
      <c r="S8796" s="2">
        <v>0.61210580000000003</v>
      </c>
      <c r="T8796" s="2">
        <v>0.46601680000000001</v>
      </c>
    </row>
    <row r="8797" spans="18:20" x14ac:dyDescent="0.45">
      <c r="R8797" s="2">
        <v>104.73</v>
      </c>
      <c r="S8797" s="2">
        <v>0.61256710000000003</v>
      </c>
      <c r="T8797" s="2">
        <v>0.46648430000000002</v>
      </c>
    </row>
    <row r="8798" spans="18:20" x14ac:dyDescent="0.45">
      <c r="R8798" s="2">
        <v>104.74</v>
      </c>
      <c r="S8798" s="2">
        <v>0.61302840000000003</v>
      </c>
      <c r="T8798" s="2">
        <v>0.46695189999999998</v>
      </c>
    </row>
    <row r="8799" spans="18:20" x14ac:dyDescent="0.45">
      <c r="R8799" s="2">
        <v>104.75</v>
      </c>
      <c r="S8799" s="2">
        <v>0.61348970000000003</v>
      </c>
      <c r="T8799" s="2">
        <v>0.46741949999999999</v>
      </c>
    </row>
    <row r="8800" spans="18:20" x14ac:dyDescent="0.45">
      <c r="R8800" s="2">
        <v>104.76</v>
      </c>
      <c r="S8800" s="2">
        <v>0.61395109999999997</v>
      </c>
      <c r="T8800" s="2">
        <v>0.4678871</v>
      </c>
    </row>
    <row r="8801" spans="18:20" x14ac:dyDescent="0.45">
      <c r="R8801" s="2">
        <v>104.77</v>
      </c>
      <c r="S8801" s="2">
        <v>0.61441239999999997</v>
      </c>
      <c r="T8801" s="2">
        <v>0.46835470000000001</v>
      </c>
    </row>
    <row r="8802" spans="18:20" x14ac:dyDescent="0.45">
      <c r="R8802" s="2">
        <v>104.78</v>
      </c>
      <c r="S8802" s="2">
        <v>0.61487369999999997</v>
      </c>
      <c r="T8802" s="2">
        <v>0.46882220000000002</v>
      </c>
    </row>
    <row r="8803" spans="18:20" x14ac:dyDescent="0.45">
      <c r="R8803" s="2">
        <v>104.79</v>
      </c>
      <c r="S8803" s="2">
        <v>0.61533510000000002</v>
      </c>
      <c r="T8803" s="2">
        <v>0.46928979999999998</v>
      </c>
    </row>
    <row r="8804" spans="18:20" x14ac:dyDescent="0.45">
      <c r="R8804" s="2">
        <v>104.8</v>
      </c>
      <c r="S8804" s="2">
        <v>0.61579640000000002</v>
      </c>
      <c r="T8804" s="2">
        <v>0.46975739999999999</v>
      </c>
    </row>
    <row r="8805" spans="18:20" x14ac:dyDescent="0.45">
      <c r="R8805" s="2">
        <v>104.81</v>
      </c>
      <c r="S8805" s="2">
        <v>0.61625770000000002</v>
      </c>
      <c r="T8805" s="2">
        <v>0.470225</v>
      </c>
    </row>
    <row r="8806" spans="18:20" x14ac:dyDescent="0.45">
      <c r="R8806" s="2">
        <v>104.82</v>
      </c>
      <c r="S8806" s="2">
        <v>0.61671900000000002</v>
      </c>
      <c r="T8806" s="2">
        <v>0.47069260000000002</v>
      </c>
    </row>
    <row r="8807" spans="18:20" x14ac:dyDescent="0.45">
      <c r="R8807" s="2">
        <v>104.83</v>
      </c>
      <c r="S8807" s="2">
        <v>0.61718039999999996</v>
      </c>
      <c r="T8807" s="2">
        <v>0.47116010000000003</v>
      </c>
    </row>
    <row r="8808" spans="18:20" x14ac:dyDescent="0.45">
      <c r="R8808" s="2">
        <v>104.84</v>
      </c>
      <c r="S8808" s="2">
        <v>0.61764169999999996</v>
      </c>
      <c r="T8808" s="2">
        <v>0.47162769999999998</v>
      </c>
    </row>
    <row r="8809" spans="18:20" x14ac:dyDescent="0.45">
      <c r="R8809" s="2">
        <v>104.85</v>
      </c>
      <c r="S8809" s="2">
        <v>0.61810299999999996</v>
      </c>
      <c r="T8809" s="2">
        <v>0.4720953</v>
      </c>
    </row>
    <row r="8810" spans="18:20" x14ac:dyDescent="0.45">
      <c r="R8810" s="2">
        <v>104.86</v>
      </c>
      <c r="S8810" s="2">
        <v>0.61856440000000001</v>
      </c>
      <c r="T8810" s="2">
        <v>0.47256290000000001</v>
      </c>
    </row>
    <row r="8811" spans="18:20" x14ac:dyDescent="0.45">
      <c r="R8811" s="2">
        <v>104.87</v>
      </c>
      <c r="S8811" s="2">
        <v>0.61902570000000001</v>
      </c>
      <c r="T8811" s="2">
        <v>0.47303050000000002</v>
      </c>
    </row>
    <row r="8812" spans="18:20" x14ac:dyDescent="0.45">
      <c r="R8812" s="2">
        <v>104.88</v>
      </c>
      <c r="S8812" s="2">
        <v>0.61948700000000001</v>
      </c>
      <c r="T8812" s="2">
        <v>0.47349799999999997</v>
      </c>
    </row>
    <row r="8813" spans="18:20" x14ac:dyDescent="0.45">
      <c r="R8813" s="2">
        <v>104.89</v>
      </c>
      <c r="S8813" s="2">
        <v>0.61994839999999996</v>
      </c>
      <c r="T8813" s="2">
        <v>0.47396559999999999</v>
      </c>
    </row>
    <row r="8814" spans="18:20" x14ac:dyDescent="0.45">
      <c r="R8814" s="2">
        <v>104.9</v>
      </c>
      <c r="S8814" s="2">
        <v>0.62040969999999995</v>
      </c>
      <c r="T8814" s="2">
        <v>0.4744332</v>
      </c>
    </row>
    <row r="8815" spans="18:20" x14ac:dyDescent="0.45">
      <c r="R8815" s="2">
        <v>104.91</v>
      </c>
      <c r="S8815" s="2">
        <v>0.62087099999999995</v>
      </c>
      <c r="T8815" s="2">
        <v>0.47490080000000001</v>
      </c>
    </row>
    <row r="8816" spans="18:20" x14ac:dyDescent="0.45">
      <c r="R8816" s="2">
        <v>104.92</v>
      </c>
      <c r="S8816" s="2">
        <v>0.62133240000000001</v>
      </c>
      <c r="T8816" s="2">
        <v>0.47536840000000002</v>
      </c>
    </row>
    <row r="8817" spans="18:20" x14ac:dyDescent="0.45">
      <c r="R8817" s="2">
        <v>104.93</v>
      </c>
      <c r="S8817" s="2">
        <v>0.6217937</v>
      </c>
      <c r="T8817" s="2">
        <v>0.47583589999999998</v>
      </c>
    </row>
    <row r="8818" spans="18:20" x14ac:dyDescent="0.45">
      <c r="R8818" s="2">
        <v>104.94</v>
      </c>
      <c r="S8818" s="2">
        <v>0.622255</v>
      </c>
      <c r="T8818" s="2">
        <v>0.47630349999999999</v>
      </c>
    </row>
    <row r="8819" spans="18:20" x14ac:dyDescent="0.45">
      <c r="R8819" s="2">
        <v>104.95</v>
      </c>
      <c r="S8819" s="2">
        <v>0.62271639999999995</v>
      </c>
      <c r="T8819" s="2">
        <v>0.4767711</v>
      </c>
    </row>
    <row r="8820" spans="18:20" x14ac:dyDescent="0.45">
      <c r="R8820" s="2">
        <v>104.96</v>
      </c>
      <c r="S8820" s="2">
        <v>0.62317769999999995</v>
      </c>
      <c r="T8820" s="2">
        <v>0.47723870000000002</v>
      </c>
    </row>
    <row r="8821" spans="18:20" x14ac:dyDescent="0.45">
      <c r="R8821" s="2">
        <v>104.97</v>
      </c>
      <c r="S8821" s="2">
        <v>0.62363900000000005</v>
      </c>
      <c r="T8821" s="2">
        <v>0.47770629999999997</v>
      </c>
    </row>
    <row r="8822" spans="18:20" x14ac:dyDescent="0.45">
      <c r="R8822" s="2">
        <v>104.98</v>
      </c>
      <c r="S8822" s="2">
        <v>0.62410030000000005</v>
      </c>
      <c r="T8822" s="2">
        <v>0.47817379999999998</v>
      </c>
    </row>
    <row r="8823" spans="18:20" x14ac:dyDescent="0.45">
      <c r="R8823" s="2">
        <v>104.99</v>
      </c>
      <c r="S8823" s="2">
        <v>0.6245617</v>
      </c>
      <c r="T8823" s="2">
        <v>0.47864139999999999</v>
      </c>
    </row>
    <row r="8824" spans="18:20" x14ac:dyDescent="0.45">
      <c r="R8824" s="2">
        <v>105</v>
      </c>
      <c r="S8824" s="2">
        <v>0.625023</v>
      </c>
      <c r="T8824" s="2">
        <v>0.47910900000000001</v>
      </c>
    </row>
    <row r="8825" spans="18:20" x14ac:dyDescent="0.45">
      <c r="R8825" s="2">
        <v>105.01</v>
      </c>
      <c r="S8825" s="2">
        <v>0.62551440000000003</v>
      </c>
      <c r="T8825" s="2">
        <v>0.47962719999999998</v>
      </c>
    </row>
    <row r="8826" spans="18:20" x14ac:dyDescent="0.45">
      <c r="R8826" s="2">
        <v>105.02</v>
      </c>
      <c r="S8826" s="2">
        <v>0.62600579999999995</v>
      </c>
      <c r="T8826" s="2">
        <v>0.4801453</v>
      </c>
    </row>
    <row r="8827" spans="18:20" x14ac:dyDescent="0.45">
      <c r="R8827" s="2">
        <v>105.03</v>
      </c>
      <c r="S8827" s="2">
        <v>0.62649719999999998</v>
      </c>
      <c r="T8827" s="2">
        <v>0.48066350000000002</v>
      </c>
    </row>
    <row r="8828" spans="18:20" x14ac:dyDescent="0.45">
      <c r="R8828" s="2">
        <v>105.04</v>
      </c>
      <c r="S8828" s="2">
        <v>0.62698860000000001</v>
      </c>
      <c r="T8828" s="2">
        <v>0.48118159999999999</v>
      </c>
    </row>
    <row r="8829" spans="18:20" x14ac:dyDescent="0.45">
      <c r="R8829" s="2">
        <v>105.05</v>
      </c>
      <c r="S8829" s="2">
        <v>0.62748000000000004</v>
      </c>
      <c r="T8829" s="2">
        <v>0.48169980000000001</v>
      </c>
    </row>
    <row r="8830" spans="18:20" x14ac:dyDescent="0.45">
      <c r="R8830" s="2">
        <v>105.06</v>
      </c>
      <c r="S8830" s="2">
        <v>0.62797130000000001</v>
      </c>
      <c r="T8830" s="2">
        <v>0.48221799999999998</v>
      </c>
    </row>
    <row r="8831" spans="18:20" x14ac:dyDescent="0.45">
      <c r="R8831" s="2">
        <v>105.07</v>
      </c>
      <c r="S8831" s="2">
        <v>0.62846270000000004</v>
      </c>
      <c r="T8831" s="2">
        <v>0.4827361</v>
      </c>
    </row>
    <row r="8832" spans="18:20" x14ac:dyDescent="0.45">
      <c r="R8832" s="2">
        <v>105.08</v>
      </c>
      <c r="S8832" s="2">
        <v>0.62895409999999996</v>
      </c>
      <c r="T8832" s="2">
        <v>0.48325430000000003</v>
      </c>
    </row>
    <row r="8833" spans="18:20" x14ac:dyDescent="0.45">
      <c r="R8833" s="2">
        <v>105.09</v>
      </c>
      <c r="S8833" s="2">
        <v>0.62944549999999999</v>
      </c>
      <c r="T8833" s="2">
        <v>0.48377239999999999</v>
      </c>
    </row>
    <row r="8834" spans="18:20" x14ac:dyDescent="0.45">
      <c r="R8834" s="2">
        <v>105.1</v>
      </c>
      <c r="S8834" s="2">
        <v>0.62993690000000002</v>
      </c>
      <c r="T8834" s="2">
        <v>0.48429060000000002</v>
      </c>
    </row>
    <row r="8835" spans="18:20" x14ac:dyDescent="0.45">
      <c r="R8835" s="2">
        <v>105.11</v>
      </c>
      <c r="S8835" s="2">
        <v>0.63042830000000005</v>
      </c>
      <c r="T8835" s="2">
        <v>0.48480879999999998</v>
      </c>
    </row>
    <row r="8836" spans="18:20" x14ac:dyDescent="0.45">
      <c r="R8836" s="2">
        <v>105.12</v>
      </c>
      <c r="S8836" s="2">
        <v>0.63091969999999997</v>
      </c>
      <c r="T8836" s="2">
        <v>0.48532690000000001</v>
      </c>
    </row>
    <row r="8837" spans="18:20" x14ac:dyDescent="0.45">
      <c r="R8837" s="2">
        <v>105.13</v>
      </c>
      <c r="S8837" s="2">
        <v>0.6314111</v>
      </c>
      <c r="T8837" s="2">
        <v>0.48584509999999997</v>
      </c>
    </row>
    <row r="8838" spans="18:20" x14ac:dyDescent="0.45">
      <c r="R8838" s="2">
        <v>105.14</v>
      </c>
      <c r="S8838" s="2">
        <v>0.63190250000000003</v>
      </c>
      <c r="T8838" s="2">
        <v>0.4863632</v>
      </c>
    </row>
    <row r="8839" spans="18:20" x14ac:dyDescent="0.45">
      <c r="R8839" s="2">
        <v>105.15</v>
      </c>
      <c r="S8839" s="2">
        <v>0.63239389999999995</v>
      </c>
      <c r="T8839" s="2">
        <v>0.48688140000000002</v>
      </c>
    </row>
    <row r="8840" spans="18:20" x14ac:dyDescent="0.45">
      <c r="R8840" s="2">
        <v>105.16</v>
      </c>
      <c r="S8840" s="2">
        <v>0.63288520000000004</v>
      </c>
      <c r="T8840" s="2">
        <v>0.48739959999999999</v>
      </c>
    </row>
    <row r="8841" spans="18:20" x14ac:dyDescent="0.45">
      <c r="R8841" s="2">
        <v>105.17</v>
      </c>
      <c r="S8841" s="2">
        <v>0.63337659999999996</v>
      </c>
      <c r="T8841" s="2">
        <v>0.48791770000000001</v>
      </c>
    </row>
    <row r="8842" spans="18:20" x14ac:dyDescent="0.45">
      <c r="R8842" s="2">
        <v>105.18</v>
      </c>
      <c r="S8842" s="2">
        <v>0.63386799999999999</v>
      </c>
      <c r="T8842" s="2">
        <v>0.48843589999999998</v>
      </c>
    </row>
    <row r="8843" spans="18:20" x14ac:dyDescent="0.45">
      <c r="R8843" s="2">
        <v>105.19</v>
      </c>
      <c r="S8843" s="2">
        <v>0.63435940000000002</v>
      </c>
      <c r="T8843" s="2">
        <v>0.488954</v>
      </c>
    </row>
    <row r="8844" spans="18:20" x14ac:dyDescent="0.45">
      <c r="R8844" s="2">
        <v>105.2</v>
      </c>
      <c r="S8844" s="2">
        <v>0.63485080000000005</v>
      </c>
      <c r="T8844" s="2">
        <v>0.48947220000000002</v>
      </c>
    </row>
    <row r="8845" spans="18:20" x14ac:dyDescent="0.45">
      <c r="R8845" s="2">
        <v>105.21</v>
      </c>
      <c r="S8845" s="2">
        <v>0.63534219999999997</v>
      </c>
      <c r="T8845" s="2">
        <v>0.48999039999999999</v>
      </c>
    </row>
    <row r="8846" spans="18:20" x14ac:dyDescent="0.45">
      <c r="R8846" s="2">
        <v>105.22</v>
      </c>
      <c r="S8846" s="2">
        <v>0.6358336</v>
      </c>
      <c r="T8846" s="2">
        <v>0.49050850000000001</v>
      </c>
    </row>
    <row r="8847" spans="18:20" x14ac:dyDescent="0.45">
      <c r="R8847" s="2">
        <v>105.23</v>
      </c>
      <c r="S8847" s="2">
        <v>0.63632500000000003</v>
      </c>
      <c r="T8847" s="2">
        <v>0.49102669999999998</v>
      </c>
    </row>
    <row r="8848" spans="18:20" x14ac:dyDescent="0.45">
      <c r="R8848" s="2">
        <v>105.24</v>
      </c>
      <c r="S8848" s="2">
        <v>0.63681639999999995</v>
      </c>
      <c r="T8848" s="2">
        <v>0.4915448</v>
      </c>
    </row>
    <row r="8849" spans="18:20" x14ac:dyDescent="0.45">
      <c r="R8849" s="2">
        <v>105.25</v>
      </c>
      <c r="S8849" s="2">
        <v>0.63730770000000003</v>
      </c>
      <c r="T8849" s="2">
        <v>0.49206299999999997</v>
      </c>
    </row>
    <row r="8850" spans="18:20" x14ac:dyDescent="0.45">
      <c r="R8850" s="2">
        <v>105.26</v>
      </c>
      <c r="S8850" s="2">
        <v>0.63779909999999995</v>
      </c>
      <c r="T8850" s="2">
        <v>0.4925812</v>
      </c>
    </row>
    <row r="8851" spans="18:20" x14ac:dyDescent="0.45">
      <c r="R8851" s="2">
        <v>105.27</v>
      </c>
      <c r="S8851" s="2">
        <v>0.63829049999999998</v>
      </c>
      <c r="T8851" s="2">
        <v>0.49309930000000002</v>
      </c>
    </row>
    <row r="8852" spans="18:20" x14ac:dyDescent="0.45">
      <c r="R8852" s="2">
        <v>105.28</v>
      </c>
      <c r="S8852" s="2">
        <v>0.63878190000000001</v>
      </c>
      <c r="T8852" s="2">
        <v>0.49361749999999999</v>
      </c>
    </row>
    <row r="8853" spans="18:20" x14ac:dyDescent="0.45">
      <c r="R8853" s="2">
        <v>105.29</v>
      </c>
      <c r="S8853" s="2">
        <v>0.63927330000000004</v>
      </c>
      <c r="T8853" s="2">
        <v>0.49413560000000001</v>
      </c>
    </row>
    <row r="8854" spans="18:20" x14ac:dyDescent="0.45">
      <c r="R8854" s="2">
        <v>105.3</v>
      </c>
      <c r="S8854" s="2">
        <v>0.63976469999999996</v>
      </c>
      <c r="T8854" s="2">
        <v>0.49465379999999998</v>
      </c>
    </row>
    <row r="8855" spans="18:20" x14ac:dyDescent="0.45">
      <c r="R8855" s="2">
        <v>105.31</v>
      </c>
      <c r="S8855" s="2">
        <v>0.64025609999999999</v>
      </c>
      <c r="T8855" s="2">
        <v>0.495172</v>
      </c>
    </row>
    <row r="8856" spans="18:20" x14ac:dyDescent="0.45">
      <c r="R8856" s="2">
        <v>105.32</v>
      </c>
      <c r="S8856" s="2">
        <v>0.64074750000000003</v>
      </c>
      <c r="T8856" s="2">
        <v>0.49569010000000002</v>
      </c>
    </row>
    <row r="8857" spans="18:20" x14ac:dyDescent="0.45">
      <c r="R8857" s="2">
        <v>105.33</v>
      </c>
      <c r="S8857" s="2">
        <v>0.64123889999999995</v>
      </c>
      <c r="T8857" s="2">
        <v>0.49620829999999999</v>
      </c>
    </row>
    <row r="8858" spans="18:20" x14ac:dyDescent="0.45">
      <c r="R8858" s="2">
        <v>105.34</v>
      </c>
      <c r="S8858" s="2">
        <v>0.64173029999999998</v>
      </c>
      <c r="T8858" s="2">
        <v>0.49672640000000001</v>
      </c>
    </row>
    <row r="8859" spans="18:20" x14ac:dyDescent="0.45">
      <c r="R8859" s="2">
        <v>105.35</v>
      </c>
      <c r="S8859" s="2">
        <v>0.64222159999999995</v>
      </c>
      <c r="T8859" s="2">
        <v>0.49724459999999998</v>
      </c>
    </row>
    <row r="8860" spans="18:20" x14ac:dyDescent="0.45">
      <c r="R8860" s="2">
        <v>105.36</v>
      </c>
      <c r="S8860" s="2">
        <v>0.64271299999999998</v>
      </c>
      <c r="T8860" s="2">
        <v>0.49776280000000001</v>
      </c>
    </row>
    <row r="8861" spans="18:20" x14ac:dyDescent="0.45">
      <c r="R8861" s="2">
        <v>105.37</v>
      </c>
      <c r="S8861" s="2">
        <v>0.64320440000000001</v>
      </c>
      <c r="T8861" s="2">
        <v>0.49828090000000003</v>
      </c>
    </row>
    <row r="8862" spans="18:20" x14ac:dyDescent="0.45">
      <c r="R8862" s="2">
        <v>105.38</v>
      </c>
      <c r="S8862" s="2">
        <v>0.64369580000000004</v>
      </c>
      <c r="T8862" s="2">
        <v>0.4987991</v>
      </c>
    </row>
    <row r="8863" spans="18:20" x14ac:dyDescent="0.45">
      <c r="R8863" s="2">
        <v>105.39</v>
      </c>
      <c r="S8863" s="2">
        <v>0.64418719999999996</v>
      </c>
      <c r="T8863" s="2">
        <v>0.49931720000000002</v>
      </c>
    </row>
    <row r="8864" spans="18:20" x14ac:dyDescent="0.45">
      <c r="R8864" s="2">
        <v>105.4</v>
      </c>
      <c r="S8864" s="2">
        <v>0.64467859999999999</v>
      </c>
      <c r="T8864" s="2">
        <v>0.49983539999999999</v>
      </c>
    </row>
    <row r="8865" spans="18:20" x14ac:dyDescent="0.45">
      <c r="R8865" s="2">
        <v>105.41</v>
      </c>
      <c r="S8865" s="2">
        <v>0.64517000000000002</v>
      </c>
      <c r="T8865" s="2">
        <v>0.50035359999999995</v>
      </c>
    </row>
    <row r="8866" spans="18:20" x14ac:dyDescent="0.45">
      <c r="R8866" s="2">
        <v>105.42</v>
      </c>
      <c r="S8866" s="2">
        <v>0.64566140000000005</v>
      </c>
      <c r="T8866" s="2">
        <v>0.50087170000000003</v>
      </c>
    </row>
    <row r="8867" spans="18:20" x14ac:dyDescent="0.45">
      <c r="R8867" s="2">
        <v>105.43</v>
      </c>
      <c r="S8867" s="2">
        <v>0.64615279999999997</v>
      </c>
      <c r="T8867" s="2">
        <v>0.50138990000000005</v>
      </c>
    </row>
    <row r="8868" spans="18:20" x14ac:dyDescent="0.45">
      <c r="R8868" s="2">
        <v>105.44</v>
      </c>
      <c r="S8868" s="2">
        <v>0.6466442</v>
      </c>
      <c r="T8868" s="2">
        <v>0.50190800000000002</v>
      </c>
    </row>
    <row r="8869" spans="18:20" x14ac:dyDescent="0.45">
      <c r="R8869" s="2">
        <v>105.45</v>
      </c>
      <c r="S8869" s="2">
        <v>0.64713560000000003</v>
      </c>
      <c r="T8869" s="2">
        <v>0.50242620000000004</v>
      </c>
    </row>
    <row r="8870" spans="18:20" x14ac:dyDescent="0.45">
      <c r="R8870" s="2">
        <v>105.46</v>
      </c>
      <c r="S8870" s="2">
        <v>0.64762699999999995</v>
      </c>
      <c r="T8870" s="2">
        <v>0.50294439999999996</v>
      </c>
    </row>
    <row r="8871" spans="18:20" x14ac:dyDescent="0.45">
      <c r="R8871" s="2">
        <v>105.47</v>
      </c>
      <c r="S8871" s="2">
        <v>0.64811830000000004</v>
      </c>
      <c r="T8871" s="2">
        <v>0.50346250000000003</v>
      </c>
    </row>
    <row r="8872" spans="18:20" x14ac:dyDescent="0.45">
      <c r="R8872" s="2">
        <v>105.48</v>
      </c>
      <c r="S8872" s="2">
        <v>0.64860969999999996</v>
      </c>
      <c r="T8872" s="2">
        <v>0.50398069999999995</v>
      </c>
    </row>
    <row r="8873" spans="18:20" x14ac:dyDescent="0.45">
      <c r="R8873" s="2">
        <v>105.49</v>
      </c>
      <c r="S8873" s="2">
        <v>0.64910109999999999</v>
      </c>
      <c r="T8873" s="2">
        <v>0.50449880000000003</v>
      </c>
    </row>
    <row r="8874" spans="18:20" x14ac:dyDescent="0.45">
      <c r="R8874" s="2">
        <v>105.5</v>
      </c>
      <c r="S8874" s="2">
        <v>0.64959250000000002</v>
      </c>
      <c r="T8874" s="2">
        <v>0.50501700000000005</v>
      </c>
    </row>
    <row r="8875" spans="18:20" x14ac:dyDescent="0.45">
      <c r="R8875" s="2">
        <v>105.51</v>
      </c>
      <c r="S8875" s="2">
        <v>0.65008390000000005</v>
      </c>
      <c r="T8875" s="2">
        <v>0.50553519999999996</v>
      </c>
    </row>
    <row r="8876" spans="18:20" x14ac:dyDescent="0.45">
      <c r="R8876" s="2">
        <v>105.52</v>
      </c>
      <c r="S8876" s="2">
        <v>0.65057529999999997</v>
      </c>
      <c r="T8876" s="2">
        <v>0.50605330000000004</v>
      </c>
    </row>
    <row r="8877" spans="18:20" x14ac:dyDescent="0.45">
      <c r="R8877" s="2">
        <v>105.53</v>
      </c>
      <c r="S8877" s="2">
        <v>0.6510667</v>
      </c>
      <c r="T8877" s="2">
        <v>0.50657149999999995</v>
      </c>
    </row>
    <row r="8878" spans="18:20" x14ac:dyDescent="0.45">
      <c r="R8878" s="2">
        <v>105.54</v>
      </c>
      <c r="S8878" s="2">
        <v>0.65155799999999997</v>
      </c>
      <c r="T8878" s="2">
        <v>0.50708960000000003</v>
      </c>
    </row>
    <row r="8879" spans="18:20" x14ac:dyDescent="0.45">
      <c r="R8879" s="2">
        <v>105.55</v>
      </c>
      <c r="S8879" s="2">
        <v>0.6520494</v>
      </c>
      <c r="T8879" s="2">
        <v>0.50760780000000005</v>
      </c>
    </row>
    <row r="8880" spans="18:20" x14ac:dyDescent="0.45">
      <c r="R8880" s="2">
        <v>105.56</v>
      </c>
      <c r="S8880" s="2">
        <v>0.65254080000000003</v>
      </c>
      <c r="T8880" s="2">
        <v>0.50812599999999997</v>
      </c>
    </row>
    <row r="8881" spans="18:20" x14ac:dyDescent="0.45">
      <c r="R8881" s="2">
        <v>105.57</v>
      </c>
      <c r="S8881" s="2">
        <v>0.65303219999999995</v>
      </c>
      <c r="T8881" s="2">
        <v>0.50864410000000004</v>
      </c>
    </row>
    <row r="8882" spans="18:20" x14ac:dyDescent="0.45">
      <c r="R8882" s="2">
        <v>105.58</v>
      </c>
      <c r="S8882" s="2">
        <v>0.65352359999999998</v>
      </c>
      <c r="T8882" s="2">
        <v>0.50916229999999996</v>
      </c>
    </row>
    <row r="8883" spans="18:20" x14ac:dyDescent="0.45">
      <c r="R8883" s="2">
        <v>105.59</v>
      </c>
      <c r="S8883" s="2">
        <v>0.65401500000000001</v>
      </c>
      <c r="T8883" s="2">
        <v>0.50968040000000003</v>
      </c>
    </row>
    <row r="8884" spans="18:20" x14ac:dyDescent="0.45">
      <c r="R8884" s="2">
        <v>105.6</v>
      </c>
      <c r="S8884" s="2">
        <v>0.65450640000000004</v>
      </c>
      <c r="T8884" s="2">
        <v>0.51019859999999995</v>
      </c>
    </row>
    <row r="8885" spans="18:20" x14ac:dyDescent="0.45">
      <c r="R8885" s="2">
        <v>105.61</v>
      </c>
      <c r="S8885" s="2">
        <v>0.65499779999999996</v>
      </c>
      <c r="T8885" s="2">
        <v>0.51071679999999997</v>
      </c>
    </row>
    <row r="8886" spans="18:20" x14ac:dyDescent="0.45">
      <c r="R8886" s="2">
        <v>105.62</v>
      </c>
      <c r="S8886" s="2">
        <v>0.65548919999999999</v>
      </c>
      <c r="T8886" s="2">
        <v>0.51123490000000005</v>
      </c>
    </row>
    <row r="8887" spans="18:20" x14ac:dyDescent="0.45">
      <c r="R8887" s="2">
        <v>105.63</v>
      </c>
      <c r="S8887" s="2">
        <v>0.65598060000000002</v>
      </c>
      <c r="T8887" s="2">
        <v>0.51175309999999996</v>
      </c>
    </row>
    <row r="8888" spans="18:20" x14ac:dyDescent="0.45">
      <c r="R8888" s="2">
        <v>105.64</v>
      </c>
      <c r="S8888" s="2">
        <v>0.65647200000000006</v>
      </c>
      <c r="T8888" s="2">
        <v>0.51227120000000004</v>
      </c>
    </row>
    <row r="8889" spans="18:20" x14ac:dyDescent="0.45">
      <c r="R8889" s="2">
        <v>105.65</v>
      </c>
      <c r="S8889" s="2">
        <v>0.65696339999999998</v>
      </c>
      <c r="T8889" s="2">
        <v>0.51278939999999995</v>
      </c>
    </row>
    <row r="8890" spans="18:20" x14ac:dyDescent="0.45">
      <c r="R8890" s="2">
        <v>105.66</v>
      </c>
      <c r="S8890" s="2">
        <v>0.65745469999999995</v>
      </c>
      <c r="T8890" s="2">
        <v>0.51330759999999998</v>
      </c>
    </row>
    <row r="8891" spans="18:20" x14ac:dyDescent="0.45">
      <c r="R8891" s="2">
        <v>105.67</v>
      </c>
      <c r="S8891" s="2">
        <v>0.65794609999999998</v>
      </c>
      <c r="T8891" s="2">
        <v>0.51382570000000005</v>
      </c>
    </row>
    <row r="8892" spans="18:20" x14ac:dyDescent="0.45">
      <c r="R8892" s="2">
        <v>105.68</v>
      </c>
      <c r="S8892" s="2">
        <v>0.65843750000000001</v>
      </c>
      <c r="T8892" s="2">
        <v>0.51434389999999997</v>
      </c>
    </row>
    <row r="8893" spans="18:20" x14ac:dyDescent="0.45">
      <c r="R8893" s="2">
        <v>105.69</v>
      </c>
      <c r="S8893" s="2">
        <v>0.65892890000000004</v>
      </c>
      <c r="T8893" s="2">
        <v>0.51486200000000004</v>
      </c>
    </row>
    <row r="8894" spans="18:20" x14ac:dyDescent="0.45">
      <c r="R8894" s="2">
        <v>105.7</v>
      </c>
      <c r="S8894" s="2">
        <v>0.65942029999999996</v>
      </c>
      <c r="T8894" s="2">
        <v>0.51538019999999996</v>
      </c>
    </row>
    <row r="8895" spans="18:20" x14ac:dyDescent="0.45">
      <c r="R8895" s="2">
        <v>105.71</v>
      </c>
      <c r="S8895" s="2">
        <v>0.65991169999999999</v>
      </c>
      <c r="T8895" s="2">
        <v>0.51589839999999998</v>
      </c>
    </row>
    <row r="8896" spans="18:20" x14ac:dyDescent="0.45">
      <c r="R8896" s="2">
        <v>105.72</v>
      </c>
      <c r="S8896" s="2">
        <v>0.66040310000000002</v>
      </c>
      <c r="T8896" s="2">
        <v>0.51641649999999995</v>
      </c>
    </row>
    <row r="8897" spans="18:20" x14ac:dyDescent="0.45">
      <c r="R8897" s="2">
        <v>105.73</v>
      </c>
      <c r="S8897" s="2">
        <v>0.66089450000000005</v>
      </c>
      <c r="T8897" s="2">
        <v>0.51693469999999997</v>
      </c>
    </row>
    <row r="8898" spans="18:20" x14ac:dyDescent="0.45">
      <c r="R8898" s="2">
        <v>105.74</v>
      </c>
      <c r="S8898" s="2">
        <v>0.66138589999999997</v>
      </c>
      <c r="T8898" s="2">
        <v>0.51745280000000005</v>
      </c>
    </row>
    <row r="8899" spans="18:20" x14ac:dyDescent="0.45">
      <c r="R8899" s="2">
        <v>105.75</v>
      </c>
      <c r="S8899" s="2">
        <v>0.6618773</v>
      </c>
      <c r="T8899" s="2">
        <v>0.51797099999999996</v>
      </c>
    </row>
    <row r="8900" spans="18:20" x14ac:dyDescent="0.45">
      <c r="R8900" s="2">
        <v>105.76</v>
      </c>
      <c r="S8900" s="2">
        <v>0.66236859999999997</v>
      </c>
      <c r="T8900" s="2">
        <v>0.51848919999999998</v>
      </c>
    </row>
    <row r="8901" spans="18:20" x14ac:dyDescent="0.45">
      <c r="R8901" s="2">
        <v>105.77</v>
      </c>
      <c r="S8901" s="2">
        <v>0.66286</v>
      </c>
      <c r="T8901" s="2">
        <v>0.51900729999999995</v>
      </c>
    </row>
    <row r="8902" spans="18:20" x14ac:dyDescent="0.45">
      <c r="R8902" s="2">
        <v>105.78</v>
      </c>
      <c r="S8902" s="2">
        <v>0.66335140000000004</v>
      </c>
      <c r="T8902" s="2">
        <v>0.51952549999999997</v>
      </c>
    </row>
    <row r="8903" spans="18:20" x14ac:dyDescent="0.45">
      <c r="R8903" s="2">
        <v>105.79</v>
      </c>
      <c r="S8903" s="2">
        <v>0.66384279999999996</v>
      </c>
      <c r="T8903" s="2">
        <v>0.52004360000000005</v>
      </c>
    </row>
    <row r="8904" spans="18:20" x14ac:dyDescent="0.45">
      <c r="R8904" s="2">
        <v>105.8</v>
      </c>
      <c r="S8904" s="2">
        <v>0.66433419999999999</v>
      </c>
      <c r="T8904" s="2">
        <v>0.52056179999999996</v>
      </c>
    </row>
    <row r="8905" spans="18:20" x14ac:dyDescent="0.45">
      <c r="R8905" s="2">
        <v>105.81</v>
      </c>
      <c r="S8905" s="2">
        <v>0.66482560000000002</v>
      </c>
      <c r="T8905" s="2">
        <v>0.52107999999999999</v>
      </c>
    </row>
    <row r="8906" spans="18:20" x14ac:dyDescent="0.45">
      <c r="R8906" s="2">
        <v>105.82</v>
      </c>
      <c r="S8906" s="2">
        <v>0.66531700000000005</v>
      </c>
      <c r="T8906" s="2">
        <v>0.52159809999999995</v>
      </c>
    </row>
    <row r="8907" spans="18:20" x14ac:dyDescent="0.45">
      <c r="R8907" s="2">
        <v>105.83</v>
      </c>
      <c r="S8907" s="2">
        <v>0.66580839999999997</v>
      </c>
      <c r="T8907" s="2">
        <v>0.52211629999999998</v>
      </c>
    </row>
    <row r="8908" spans="18:20" x14ac:dyDescent="0.45">
      <c r="R8908" s="2">
        <v>105.84</v>
      </c>
      <c r="S8908" s="2">
        <v>0.6662998</v>
      </c>
      <c r="T8908" s="2">
        <v>0.52263440000000005</v>
      </c>
    </row>
    <row r="8909" spans="18:20" x14ac:dyDescent="0.45">
      <c r="R8909" s="2">
        <v>105.85</v>
      </c>
      <c r="S8909" s="2">
        <v>0.66679109999999997</v>
      </c>
      <c r="T8909" s="2">
        <v>0.52315259999999997</v>
      </c>
    </row>
    <row r="8910" spans="18:20" x14ac:dyDescent="0.45">
      <c r="R8910" s="2">
        <v>105.86</v>
      </c>
      <c r="S8910" s="2">
        <v>0.6672825</v>
      </c>
      <c r="T8910" s="2">
        <v>0.52367079999999999</v>
      </c>
    </row>
    <row r="8911" spans="18:20" x14ac:dyDescent="0.45">
      <c r="R8911" s="2">
        <v>105.87</v>
      </c>
      <c r="S8911" s="2">
        <v>0.66777390000000003</v>
      </c>
      <c r="T8911" s="2">
        <v>0.52418889999999996</v>
      </c>
    </row>
    <row r="8912" spans="18:20" x14ac:dyDescent="0.45">
      <c r="R8912" s="2">
        <v>105.88</v>
      </c>
      <c r="S8912" s="2">
        <v>0.66826529999999995</v>
      </c>
      <c r="T8912" s="2">
        <v>0.52470709999999998</v>
      </c>
    </row>
    <row r="8913" spans="18:20" x14ac:dyDescent="0.45">
      <c r="R8913" s="2">
        <v>105.89</v>
      </c>
      <c r="S8913" s="2">
        <v>0.66875669999999998</v>
      </c>
      <c r="T8913" s="2">
        <v>0.52522519999999995</v>
      </c>
    </row>
    <row r="8914" spans="18:20" x14ac:dyDescent="0.45">
      <c r="R8914" s="2">
        <v>105.9</v>
      </c>
      <c r="S8914" s="2">
        <v>0.66924810000000001</v>
      </c>
      <c r="T8914" s="2">
        <v>0.52574339999999997</v>
      </c>
    </row>
    <row r="8915" spans="18:20" x14ac:dyDescent="0.45">
      <c r="R8915" s="2">
        <v>105.91</v>
      </c>
      <c r="S8915" s="2">
        <v>0.66973950000000004</v>
      </c>
      <c r="T8915" s="2">
        <v>0.5262616</v>
      </c>
    </row>
    <row r="8916" spans="18:20" x14ac:dyDescent="0.45">
      <c r="R8916" s="2">
        <v>105.92</v>
      </c>
      <c r="S8916" s="2">
        <v>0.67023089999999996</v>
      </c>
      <c r="T8916" s="2">
        <v>0.52677969999999996</v>
      </c>
    </row>
    <row r="8917" spans="18:20" x14ac:dyDescent="0.45">
      <c r="R8917" s="2">
        <v>105.93</v>
      </c>
      <c r="S8917" s="2">
        <v>0.67072229999999999</v>
      </c>
      <c r="T8917" s="2">
        <v>0.52729789999999999</v>
      </c>
    </row>
    <row r="8918" spans="18:20" x14ac:dyDescent="0.45">
      <c r="R8918" s="2">
        <v>105.94</v>
      </c>
      <c r="S8918" s="2">
        <v>0.67121370000000002</v>
      </c>
      <c r="T8918" s="2">
        <v>0.52781599999999995</v>
      </c>
    </row>
    <row r="8919" spans="18:20" x14ac:dyDescent="0.45">
      <c r="R8919" s="2">
        <v>105.95</v>
      </c>
      <c r="S8919" s="2">
        <v>0.671705</v>
      </c>
      <c r="T8919" s="2">
        <v>0.52833419999999998</v>
      </c>
    </row>
    <row r="8920" spans="18:20" x14ac:dyDescent="0.45">
      <c r="R8920" s="2">
        <v>105.96</v>
      </c>
      <c r="S8920" s="2">
        <v>0.67219640000000003</v>
      </c>
      <c r="T8920" s="2">
        <v>0.5288524</v>
      </c>
    </row>
    <row r="8921" spans="18:20" x14ac:dyDescent="0.45">
      <c r="R8921" s="2">
        <v>105.97</v>
      </c>
      <c r="S8921" s="2">
        <v>0.67268779999999995</v>
      </c>
      <c r="T8921" s="2">
        <v>0.52937049999999997</v>
      </c>
    </row>
    <row r="8922" spans="18:20" x14ac:dyDescent="0.45">
      <c r="R8922" s="2">
        <v>105.98</v>
      </c>
      <c r="S8922" s="2">
        <v>0.67317919999999998</v>
      </c>
      <c r="T8922" s="2">
        <v>0.52988869999999999</v>
      </c>
    </row>
    <row r="8923" spans="18:20" x14ac:dyDescent="0.45">
      <c r="R8923" s="2">
        <v>105.99</v>
      </c>
      <c r="S8923" s="2">
        <v>0.67367060000000001</v>
      </c>
      <c r="T8923" s="2">
        <v>0.53040679999999996</v>
      </c>
    </row>
    <row r="8924" spans="18:20" x14ac:dyDescent="0.45">
      <c r="R8924" s="2">
        <v>106</v>
      </c>
      <c r="S8924" s="2">
        <v>0.67416200000000004</v>
      </c>
      <c r="T8924" s="2">
        <v>0.53092499999999998</v>
      </c>
    </row>
    <row r="8925" spans="18:20" x14ac:dyDescent="0.45">
      <c r="R8925" s="2">
        <v>106.01</v>
      </c>
      <c r="S8925" s="2">
        <v>0.67468479999999997</v>
      </c>
      <c r="T8925" s="2">
        <v>0.53149919999999995</v>
      </c>
    </row>
    <row r="8926" spans="18:20" x14ac:dyDescent="0.45">
      <c r="R8926" s="2">
        <v>106.02</v>
      </c>
      <c r="S8926" s="2">
        <v>0.67520760000000002</v>
      </c>
      <c r="T8926" s="2">
        <v>0.53207340000000003</v>
      </c>
    </row>
    <row r="8927" spans="18:20" x14ac:dyDescent="0.45">
      <c r="R8927" s="2">
        <v>106.03</v>
      </c>
      <c r="S8927" s="2">
        <v>0.67573039999999995</v>
      </c>
      <c r="T8927" s="2">
        <v>0.5326476</v>
      </c>
    </row>
    <row r="8928" spans="18:20" x14ac:dyDescent="0.45">
      <c r="R8928" s="2">
        <v>106.04</v>
      </c>
      <c r="S8928" s="2">
        <v>0.6762532</v>
      </c>
      <c r="T8928" s="2">
        <v>0.53322179999999997</v>
      </c>
    </row>
    <row r="8929" spans="18:20" x14ac:dyDescent="0.45">
      <c r="R8929" s="2">
        <v>106.05</v>
      </c>
      <c r="S8929" s="2">
        <v>0.67677600000000004</v>
      </c>
      <c r="T8929" s="2">
        <v>0.53379600000000005</v>
      </c>
    </row>
    <row r="8930" spans="18:20" x14ac:dyDescent="0.45">
      <c r="R8930" s="2">
        <v>106.06</v>
      </c>
      <c r="S8930" s="2">
        <v>0.67729890000000004</v>
      </c>
      <c r="T8930" s="2">
        <v>0.53437029999999996</v>
      </c>
    </row>
    <row r="8931" spans="18:20" x14ac:dyDescent="0.45">
      <c r="R8931" s="2">
        <v>106.07</v>
      </c>
      <c r="S8931" s="2">
        <v>0.67782169999999997</v>
      </c>
      <c r="T8931" s="2">
        <v>0.53494450000000004</v>
      </c>
    </row>
    <row r="8932" spans="18:20" x14ac:dyDescent="0.45">
      <c r="R8932" s="2">
        <v>106.08</v>
      </c>
      <c r="S8932" s="2">
        <v>0.67834450000000002</v>
      </c>
      <c r="T8932" s="2">
        <v>0.53551870000000001</v>
      </c>
    </row>
    <row r="8933" spans="18:20" x14ac:dyDescent="0.45">
      <c r="R8933" s="2">
        <v>106.09</v>
      </c>
      <c r="S8933" s="2">
        <v>0.67886729999999995</v>
      </c>
      <c r="T8933" s="2">
        <v>0.53609289999999998</v>
      </c>
    </row>
    <row r="8934" spans="18:20" x14ac:dyDescent="0.45">
      <c r="R8934" s="2">
        <v>106.1</v>
      </c>
      <c r="S8934" s="2">
        <v>0.6793901</v>
      </c>
      <c r="T8934" s="2">
        <v>0.53666709999999995</v>
      </c>
    </row>
    <row r="8935" spans="18:20" x14ac:dyDescent="0.45">
      <c r="R8935" s="2">
        <v>106.11</v>
      </c>
      <c r="S8935" s="2">
        <v>0.67991290000000004</v>
      </c>
      <c r="T8935" s="2">
        <v>0.53724130000000003</v>
      </c>
    </row>
    <row r="8936" spans="18:20" x14ac:dyDescent="0.45">
      <c r="R8936" s="2">
        <v>106.12</v>
      </c>
      <c r="S8936" s="2">
        <v>0.68043569999999998</v>
      </c>
      <c r="T8936" s="2">
        <v>0.5378155</v>
      </c>
    </row>
    <row r="8937" spans="18:20" x14ac:dyDescent="0.45">
      <c r="R8937" s="2">
        <v>106.13</v>
      </c>
      <c r="S8937" s="2">
        <v>0.68095850000000002</v>
      </c>
      <c r="T8937" s="2">
        <v>0.53838969999999997</v>
      </c>
    </row>
    <row r="8938" spans="18:20" x14ac:dyDescent="0.45">
      <c r="R8938" s="2">
        <v>106.14</v>
      </c>
      <c r="S8938" s="2">
        <v>0.68148129999999996</v>
      </c>
      <c r="T8938" s="2">
        <v>0.53896390000000005</v>
      </c>
    </row>
    <row r="8939" spans="18:20" x14ac:dyDescent="0.45">
      <c r="R8939" s="2">
        <v>106.15</v>
      </c>
      <c r="S8939" s="2">
        <v>0.68200419999999995</v>
      </c>
      <c r="T8939" s="2">
        <v>0.53953819999999997</v>
      </c>
    </row>
    <row r="8940" spans="18:20" x14ac:dyDescent="0.45">
      <c r="R8940" s="2">
        <v>106.16</v>
      </c>
      <c r="S8940" s="2">
        <v>0.68252699999999999</v>
      </c>
      <c r="T8940" s="2">
        <v>0.54011240000000005</v>
      </c>
    </row>
    <row r="8941" spans="18:20" x14ac:dyDescent="0.45">
      <c r="R8941" s="2">
        <v>106.17</v>
      </c>
      <c r="S8941" s="2">
        <v>0.68304980000000004</v>
      </c>
      <c r="T8941" s="2">
        <v>0.54068660000000002</v>
      </c>
    </row>
    <row r="8942" spans="18:20" x14ac:dyDescent="0.45">
      <c r="R8942" s="2">
        <v>106.18</v>
      </c>
      <c r="S8942" s="2">
        <v>0.68357259999999997</v>
      </c>
      <c r="T8942" s="2">
        <v>0.54126079999999999</v>
      </c>
    </row>
    <row r="8943" spans="18:20" x14ac:dyDescent="0.45">
      <c r="R8943" s="2">
        <v>106.19</v>
      </c>
      <c r="S8943" s="2">
        <v>0.68409540000000002</v>
      </c>
      <c r="T8943" s="2">
        <v>0.54183499999999996</v>
      </c>
    </row>
    <row r="8944" spans="18:20" x14ac:dyDescent="0.45">
      <c r="R8944" s="2">
        <v>106.2</v>
      </c>
      <c r="S8944" s="2">
        <v>0.68461819999999995</v>
      </c>
      <c r="T8944" s="2">
        <v>0.54240920000000004</v>
      </c>
    </row>
    <row r="8945" spans="18:20" x14ac:dyDescent="0.45">
      <c r="R8945" s="2">
        <v>106.21</v>
      </c>
      <c r="S8945" s="2">
        <v>0.685141</v>
      </c>
      <c r="T8945" s="2">
        <v>0.5429834</v>
      </c>
    </row>
    <row r="8946" spans="18:20" x14ac:dyDescent="0.45">
      <c r="R8946" s="2">
        <v>106.22</v>
      </c>
      <c r="S8946" s="2">
        <v>0.68566380000000005</v>
      </c>
      <c r="T8946" s="2">
        <v>0.54355759999999997</v>
      </c>
    </row>
    <row r="8947" spans="18:20" x14ac:dyDescent="0.45">
      <c r="R8947" s="2">
        <v>106.23</v>
      </c>
      <c r="S8947" s="2">
        <v>0.68618659999999998</v>
      </c>
      <c r="T8947" s="2">
        <v>0.54413180000000005</v>
      </c>
    </row>
    <row r="8948" spans="18:20" x14ac:dyDescent="0.45">
      <c r="R8948" s="2">
        <v>106.24</v>
      </c>
      <c r="S8948" s="2">
        <v>0.68670940000000003</v>
      </c>
      <c r="T8948" s="2">
        <v>0.54470600000000002</v>
      </c>
    </row>
    <row r="8949" spans="18:20" x14ac:dyDescent="0.45">
      <c r="R8949" s="2">
        <v>106.25</v>
      </c>
      <c r="S8949" s="2">
        <v>0.68723230000000002</v>
      </c>
      <c r="T8949" s="2">
        <v>0.54528030000000005</v>
      </c>
    </row>
    <row r="8950" spans="18:20" x14ac:dyDescent="0.45">
      <c r="R8950" s="2">
        <v>106.26</v>
      </c>
      <c r="S8950" s="2">
        <v>0.68775500000000001</v>
      </c>
      <c r="T8950" s="2">
        <v>0.54585450000000002</v>
      </c>
    </row>
    <row r="8951" spans="18:20" x14ac:dyDescent="0.45">
      <c r="R8951" s="2">
        <v>106.27</v>
      </c>
      <c r="S8951" s="2">
        <v>0.6882779</v>
      </c>
      <c r="T8951" s="2">
        <v>0.54642869999999999</v>
      </c>
    </row>
    <row r="8952" spans="18:20" x14ac:dyDescent="0.45">
      <c r="R8952" s="2">
        <v>106.28</v>
      </c>
      <c r="S8952" s="2">
        <v>0.68880070000000004</v>
      </c>
      <c r="T8952" s="2">
        <v>0.54700289999999996</v>
      </c>
    </row>
    <row r="8953" spans="18:20" x14ac:dyDescent="0.45">
      <c r="R8953" s="2">
        <v>106.29</v>
      </c>
      <c r="S8953" s="2">
        <v>0.68932349999999998</v>
      </c>
      <c r="T8953" s="2">
        <v>0.54757710000000004</v>
      </c>
    </row>
    <row r="8954" spans="18:20" x14ac:dyDescent="0.45">
      <c r="R8954" s="2">
        <v>106.3</v>
      </c>
      <c r="S8954" s="2">
        <v>0.68984630000000002</v>
      </c>
      <c r="T8954" s="2">
        <v>0.54815130000000001</v>
      </c>
    </row>
    <row r="8955" spans="18:20" x14ac:dyDescent="0.45">
      <c r="R8955" s="2">
        <v>106.31</v>
      </c>
      <c r="S8955" s="2">
        <v>0.69036909999999996</v>
      </c>
      <c r="T8955" s="2">
        <v>0.54872549999999998</v>
      </c>
    </row>
    <row r="8956" spans="18:20" x14ac:dyDescent="0.45">
      <c r="R8956" s="2">
        <v>106.32</v>
      </c>
      <c r="S8956" s="2">
        <v>0.6908919</v>
      </c>
      <c r="T8956" s="2">
        <v>0.54929969999999995</v>
      </c>
    </row>
    <row r="8957" spans="18:20" x14ac:dyDescent="0.45">
      <c r="R8957" s="2">
        <v>106.33</v>
      </c>
      <c r="S8957" s="2">
        <v>0.69141470000000005</v>
      </c>
      <c r="T8957" s="2">
        <v>0.54987390000000003</v>
      </c>
    </row>
    <row r="8958" spans="18:20" x14ac:dyDescent="0.45">
      <c r="R8958" s="2">
        <v>106.34</v>
      </c>
      <c r="S8958" s="2">
        <v>0.69193749999999998</v>
      </c>
      <c r="T8958" s="2">
        <v>0.5504481</v>
      </c>
    </row>
    <row r="8959" spans="18:20" x14ac:dyDescent="0.45">
      <c r="R8959" s="2">
        <v>106.35</v>
      </c>
      <c r="S8959" s="2">
        <v>0.69246030000000003</v>
      </c>
      <c r="T8959" s="2">
        <v>0.55102229999999996</v>
      </c>
    </row>
    <row r="8960" spans="18:20" x14ac:dyDescent="0.45">
      <c r="R8960" s="2">
        <v>106.36</v>
      </c>
      <c r="S8960" s="2">
        <v>0.69298320000000002</v>
      </c>
      <c r="T8960" s="2">
        <v>0.55159659999999999</v>
      </c>
    </row>
    <row r="8961" spans="18:20" x14ac:dyDescent="0.45">
      <c r="R8961" s="2">
        <v>106.37</v>
      </c>
      <c r="S8961" s="2">
        <v>0.69350599999999996</v>
      </c>
      <c r="T8961" s="2">
        <v>0.55217079999999996</v>
      </c>
    </row>
    <row r="8962" spans="18:20" x14ac:dyDescent="0.45">
      <c r="R8962" s="2">
        <v>106.38</v>
      </c>
      <c r="S8962" s="2">
        <v>0.6940288</v>
      </c>
      <c r="T8962" s="2">
        <v>0.55274500000000004</v>
      </c>
    </row>
    <row r="8963" spans="18:20" x14ac:dyDescent="0.45">
      <c r="R8963" s="2">
        <v>106.39</v>
      </c>
      <c r="S8963" s="2">
        <v>0.69455160000000005</v>
      </c>
      <c r="T8963" s="2">
        <v>0.55331920000000001</v>
      </c>
    </row>
    <row r="8964" spans="18:20" x14ac:dyDescent="0.45">
      <c r="R8964" s="2">
        <v>106.4</v>
      </c>
      <c r="S8964" s="2">
        <v>0.69507439999999998</v>
      </c>
      <c r="T8964" s="2">
        <v>0.55389339999999998</v>
      </c>
    </row>
    <row r="8965" spans="18:20" x14ac:dyDescent="0.45">
      <c r="R8965" s="2">
        <v>106.41</v>
      </c>
      <c r="S8965" s="2">
        <v>0.69559720000000003</v>
      </c>
      <c r="T8965" s="2">
        <v>0.55446759999999995</v>
      </c>
    </row>
    <row r="8966" spans="18:20" x14ac:dyDescent="0.45">
      <c r="R8966" s="2">
        <v>106.42</v>
      </c>
      <c r="S8966" s="2">
        <v>0.69611999999999996</v>
      </c>
      <c r="T8966" s="2">
        <v>0.55504180000000003</v>
      </c>
    </row>
    <row r="8967" spans="18:20" x14ac:dyDescent="0.45">
      <c r="R8967" s="2">
        <v>106.43</v>
      </c>
      <c r="S8967" s="2">
        <v>0.69664280000000001</v>
      </c>
      <c r="T8967" s="2">
        <v>0.555616</v>
      </c>
    </row>
    <row r="8968" spans="18:20" x14ac:dyDescent="0.45">
      <c r="R8968" s="2">
        <v>106.44</v>
      </c>
      <c r="S8968" s="2">
        <v>0.69716560000000005</v>
      </c>
      <c r="T8968" s="2">
        <v>0.55619019999999997</v>
      </c>
    </row>
    <row r="8969" spans="18:20" x14ac:dyDescent="0.45">
      <c r="R8969" s="2">
        <v>106.45</v>
      </c>
      <c r="S8969" s="2">
        <v>0.69768850000000004</v>
      </c>
      <c r="T8969" s="2">
        <v>0.5567645</v>
      </c>
    </row>
    <row r="8970" spans="18:20" x14ac:dyDescent="0.45">
      <c r="R8970" s="2">
        <v>106.46</v>
      </c>
      <c r="S8970" s="2">
        <v>0.69821129999999998</v>
      </c>
      <c r="T8970" s="2">
        <v>0.55733869999999996</v>
      </c>
    </row>
    <row r="8971" spans="18:20" x14ac:dyDescent="0.45">
      <c r="R8971" s="2">
        <v>106.47</v>
      </c>
      <c r="S8971" s="2">
        <v>0.69873410000000002</v>
      </c>
      <c r="T8971" s="2">
        <v>0.55791290000000004</v>
      </c>
    </row>
    <row r="8972" spans="18:20" x14ac:dyDescent="0.45">
      <c r="R8972" s="2">
        <v>106.48</v>
      </c>
      <c r="S8972" s="2">
        <v>0.69925689999999996</v>
      </c>
      <c r="T8972" s="2">
        <v>0.55848710000000001</v>
      </c>
    </row>
    <row r="8973" spans="18:20" x14ac:dyDescent="0.45">
      <c r="R8973" s="2">
        <v>106.49</v>
      </c>
      <c r="S8973" s="2">
        <v>0.6997797</v>
      </c>
      <c r="T8973" s="2">
        <v>0.55906129999999998</v>
      </c>
    </row>
    <row r="8974" spans="18:20" x14ac:dyDescent="0.45">
      <c r="R8974" s="2">
        <v>106.5</v>
      </c>
      <c r="S8974" s="2">
        <v>0.70030250000000005</v>
      </c>
      <c r="T8974" s="2">
        <v>0.55963549999999995</v>
      </c>
    </row>
    <row r="8975" spans="18:20" x14ac:dyDescent="0.45">
      <c r="R8975" s="2">
        <v>106.51</v>
      </c>
      <c r="S8975" s="2">
        <v>0.70082529999999998</v>
      </c>
      <c r="T8975" s="2">
        <v>0.56020970000000003</v>
      </c>
    </row>
    <row r="8976" spans="18:20" x14ac:dyDescent="0.45">
      <c r="R8976" s="2">
        <v>106.52</v>
      </c>
      <c r="S8976" s="2">
        <v>0.70134810000000003</v>
      </c>
      <c r="T8976" s="2">
        <v>0.5607839</v>
      </c>
    </row>
    <row r="8977" spans="18:20" x14ac:dyDescent="0.45">
      <c r="R8977" s="2">
        <v>106.53</v>
      </c>
      <c r="S8977" s="2">
        <v>0.70187100000000002</v>
      </c>
      <c r="T8977" s="2">
        <v>0.56135809999999997</v>
      </c>
    </row>
    <row r="8978" spans="18:20" x14ac:dyDescent="0.45">
      <c r="R8978" s="2">
        <v>106.54</v>
      </c>
      <c r="S8978" s="2">
        <v>0.70239370000000001</v>
      </c>
      <c r="T8978" s="2">
        <v>0.56193230000000005</v>
      </c>
    </row>
    <row r="8979" spans="18:20" x14ac:dyDescent="0.45">
      <c r="R8979" s="2">
        <v>106.55</v>
      </c>
      <c r="S8979" s="2">
        <v>0.70291650000000006</v>
      </c>
      <c r="T8979" s="2">
        <v>0.56250650000000002</v>
      </c>
    </row>
    <row r="8980" spans="18:20" x14ac:dyDescent="0.45">
      <c r="R8980" s="2">
        <v>106.56</v>
      </c>
      <c r="S8980" s="2">
        <v>0.70343940000000005</v>
      </c>
      <c r="T8980" s="2">
        <v>0.56308080000000005</v>
      </c>
    </row>
    <row r="8981" spans="18:20" x14ac:dyDescent="0.45">
      <c r="R8981" s="2">
        <v>106.57</v>
      </c>
      <c r="S8981" s="2">
        <v>0.70396219999999998</v>
      </c>
      <c r="T8981" s="2">
        <v>0.56365500000000002</v>
      </c>
    </row>
    <row r="8982" spans="18:20" x14ac:dyDescent="0.45">
      <c r="R8982" s="2">
        <v>106.58</v>
      </c>
      <c r="S8982" s="2">
        <v>0.70448500000000003</v>
      </c>
      <c r="T8982" s="2">
        <v>0.56422919999999999</v>
      </c>
    </row>
    <row r="8983" spans="18:20" x14ac:dyDescent="0.45">
      <c r="R8983" s="2">
        <v>106.59</v>
      </c>
      <c r="S8983" s="2">
        <v>0.70500779999999996</v>
      </c>
      <c r="T8983" s="2">
        <v>0.56480339999999996</v>
      </c>
    </row>
    <row r="8984" spans="18:20" x14ac:dyDescent="0.45">
      <c r="R8984" s="2">
        <v>106.6</v>
      </c>
      <c r="S8984" s="2">
        <v>0.70553060000000001</v>
      </c>
      <c r="T8984" s="2">
        <v>0.56537760000000004</v>
      </c>
    </row>
    <row r="8985" spans="18:20" x14ac:dyDescent="0.45">
      <c r="R8985" s="2">
        <v>106.61</v>
      </c>
      <c r="S8985" s="2">
        <v>0.70605340000000005</v>
      </c>
      <c r="T8985" s="2">
        <v>0.5659518</v>
      </c>
    </row>
    <row r="8986" spans="18:20" x14ac:dyDescent="0.45">
      <c r="R8986" s="2">
        <v>106.62</v>
      </c>
      <c r="S8986" s="2">
        <v>0.70657619999999999</v>
      </c>
      <c r="T8986" s="2">
        <v>0.56652599999999997</v>
      </c>
    </row>
    <row r="8987" spans="18:20" x14ac:dyDescent="0.45">
      <c r="R8987" s="2">
        <v>106.63</v>
      </c>
      <c r="S8987" s="2">
        <v>0.70709900000000003</v>
      </c>
      <c r="T8987" s="2">
        <v>0.56710020000000005</v>
      </c>
    </row>
    <row r="8988" spans="18:20" x14ac:dyDescent="0.45">
      <c r="R8988" s="2">
        <v>106.64</v>
      </c>
      <c r="S8988" s="2">
        <v>0.70762179999999997</v>
      </c>
      <c r="T8988" s="2">
        <v>0.56767440000000002</v>
      </c>
    </row>
    <row r="8989" spans="18:20" x14ac:dyDescent="0.45">
      <c r="R8989" s="2">
        <v>106.65</v>
      </c>
      <c r="S8989" s="2">
        <v>0.70814469999999996</v>
      </c>
      <c r="T8989" s="2">
        <v>0.56824870000000005</v>
      </c>
    </row>
    <row r="8990" spans="18:20" x14ac:dyDescent="0.45">
      <c r="R8990" s="2">
        <v>106.66</v>
      </c>
      <c r="S8990" s="2">
        <v>0.70866750000000001</v>
      </c>
      <c r="T8990" s="2">
        <v>0.56882290000000002</v>
      </c>
    </row>
    <row r="8991" spans="18:20" x14ac:dyDescent="0.45">
      <c r="R8991" s="2">
        <v>106.67</v>
      </c>
      <c r="S8991" s="2">
        <v>0.70919030000000005</v>
      </c>
      <c r="T8991" s="2">
        <v>0.56939709999999999</v>
      </c>
    </row>
    <row r="8992" spans="18:20" x14ac:dyDescent="0.45">
      <c r="R8992" s="2">
        <v>106.68</v>
      </c>
      <c r="S8992" s="2">
        <v>0.70971309999999999</v>
      </c>
      <c r="T8992" s="2">
        <v>0.56997129999999996</v>
      </c>
    </row>
    <row r="8993" spans="18:20" x14ac:dyDescent="0.45">
      <c r="R8993" s="2">
        <v>106.69</v>
      </c>
      <c r="S8993" s="2">
        <v>0.71023590000000003</v>
      </c>
      <c r="T8993" s="2">
        <v>0.57054550000000004</v>
      </c>
    </row>
    <row r="8994" spans="18:20" x14ac:dyDescent="0.45">
      <c r="R8994" s="2">
        <v>106.7</v>
      </c>
      <c r="S8994" s="2">
        <v>0.71075869999999997</v>
      </c>
      <c r="T8994" s="2">
        <v>0.57111970000000001</v>
      </c>
    </row>
    <row r="8995" spans="18:20" x14ac:dyDescent="0.45">
      <c r="R8995" s="2">
        <v>106.71</v>
      </c>
      <c r="S8995" s="2">
        <v>0.71128150000000001</v>
      </c>
      <c r="T8995" s="2">
        <v>0.57169389999999998</v>
      </c>
    </row>
    <row r="8996" spans="18:20" x14ac:dyDescent="0.45">
      <c r="R8996" s="2">
        <v>106.72</v>
      </c>
      <c r="S8996" s="2">
        <v>0.71180429999999995</v>
      </c>
      <c r="T8996" s="2">
        <v>0.57226809999999995</v>
      </c>
    </row>
    <row r="8997" spans="18:20" x14ac:dyDescent="0.45">
      <c r="R8997" s="2">
        <v>106.73</v>
      </c>
      <c r="S8997" s="2">
        <v>0.71232709999999999</v>
      </c>
      <c r="T8997" s="2">
        <v>0.57284230000000003</v>
      </c>
    </row>
    <row r="8998" spans="18:20" x14ac:dyDescent="0.45">
      <c r="R8998" s="2">
        <v>106.74</v>
      </c>
      <c r="S8998" s="2">
        <v>0.71284999999999998</v>
      </c>
      <c r="T8998" s="2">
        <v>0.5734165</v>
      </c>
    </row>
    <row r="8999" spans="18:20" x14ac:dyDescent="0.45">
      <c r="R8999" s="2">
        <v>106.75</v>
      </c>
      <c r="S8999" s="2">
        <v>0.71337280000000003</v>
      </c>
      <c r="T8999" s="2">
        <v>0.57399069999999996</v>
      </c>
    </row>
    <row r="9000" spans="18:20" x14ac:dyDescent="0.45">
      <c r="R9000" s="2">
        <v>106.76</v>
      </c>
      <c r="S9000" s="2">
        <v>0.71389559999999996</v>
      </c>
      <c r="T9000" s="2">
        <v>0.57456499999999999</v>
      </c>
    </row>
    <row r="9001" spans="18:20" x14ac:dyDescent="0.45">
      <c r="R9001" s="2">
        <v>106.77</v>
      </c>
      <c r="S9001" s="2">
        <v>0.71441840000000001</v>
      </c>
      <c r="T9001" s="2">
        <v>0.57513919999999996</v>
      </c>
    </row>
    <row r="9002" spans="18:20" x14ac:dyDescent="0.45">
      <c r="R9002" s="2">
        <v>106.78</v>
      </c>
      <c r="S9002" s="2">
        <v>0.71494120000000005</v>
      </c>
      <c r="T9002" s="2">
        <v>0.57571340000000004</v>
      </c>
    </row>
    <row r="9003" spans="18:20" x14ac:dyDescent="0.45">
      <c r="R9003" s="2">
        <v>106.79</v>
      </c>
      <c r="S9003" s="2">
        <v>0.71546399999999999</v>
      </c>
      <c r="T9003" s="2">
        <v>0.57628760000000001</v>
      </c>
    </row>
    <row r="9004" spans="18:20" x14ac:dyDescent="0.45">
      <c r="R9004" s="2">
        <v>106.8</v>
      </c>
      <c r="S9004" s="2">
        <v>0.71598680000000003</v>
      </c>
      <c r="T9004" s="2">
        <v>0.57686179999999998</v>
      </c>
    </row>
    <row r="9005" spans="18:20" x14ac:dyDescent="0.45">
      <c r="R9005" s="2">
        <v>106.81</v>
      </c>
      <c r="S9005" s="2">
        <v>0.71650959999999997</v>
      </c>
      <c r="T9005" s="2">
        <v>0.57743599999999995</v>
      </c>
    </row>
    <row r="9006" spans="18:20" x14ac:dyDescent="0.45">
      <c r="R9006" s="2">
        <v>106.82</v>
      </c>
      <c r="S9006" s="2">
        <v>0.71703240000000001</v>
      </c>
      <c r="T9006" s="2">
        <v>0.57801020000000003</v>
      </c>
    </row>
    <row r="9007" spans="18:20" x14ac:dyDescent="0.45">
      <c r="R9007" s="2">
        <v>106.83</v>
      </c>
      <c r="S9007" s="2">
        <v>0.71755519999999995</v>
      </c>
      <c r="T9007" s="2">
        <v>0.5785844</v>
      </c>
    </row>
    <row r="9008" spans="18:20" x14ac:dyDescent="0.45">
      <c r="R9008" s="2">
        <v>106.84</v>
      </c>
      <c r="S9008" s="2">
        <v>0.71807799999999999</v>
      </c>
      <c r="T9008" s="2">
        <v>0.57915859999999997</v>
      </c>
    </row>
    <row r="9009" spans="18:20" x14ac:dyDescent="0.45">
      <c r="R9009" s="2">
        <v>106.85</v>
      </c>
      <c r="S9009" s="2">
        <v>0.71860080000000004</v>
      </c>
      <c r="T9009" s="2">
        <v>0.57973280000000005</v>
      </c>
    </row>
    <row r="9010" spans="18:20" x14ac:dyDescent="0.45">
      <c r="R9010" s="2">
        <v>106.86</v>
      </c>
      <c r="S9010" s="2">
        <v>0.71912370000000003</v>
      </c>
      <c r="T9010" s="2">
        <v>0.58030709999999996</v>
      </c>
    </row>
    <row r="9011" spans="18:20" x14ac:dyDescent="0.45">
      <c r="R9011" s="2">
        <v>106.87</v>
      </c>
      <c r="S9011" s="2">
        <v>0.71964649999999997</v>
      </c>
      <c r="T9011" s="2">
        <v>0.58088130000000004</v>
      </c>
    </row>
    <row r="9012" spans="18:20" x14ac:dyDescent="0.45">
      <c r="R9012" s="2">
        <v>106.88</v>
      </c>
      <c r="S9012" s="2">
        <v>0.72016930000000001</v>
      </c>
      <c r="T9012" s="2">
        <v>0.58145550000000001</v>
      </c>
    </row>
    <row r="9013" spans="18:20" x14ac:dyDescent="0.45">
      <c r="R9013" s="2">
        <v>106.89</v>
      </c>
      <c r="S9013" s="2">
        <v>0.72069209999999995</v>
      </c>
      <c r="T9013" s="2">
        <v>0.58202969999999998</v>
      </c>
    </row>
    <row r="9014" spans="18:20" x14ac:dyDescent="0.45">
      <c r="R9014" s="2">
        <v>106.9</v>
      </c>
      <c r="S9014" s="2">
        <v>0.72121489999999999</v>
      </c>
      <c r="T9014" s="2">
        <v>0.58260389999999995</v>
      </c>
    </row>
    <row r="9015" spans="18:20" x14ac:dyDescent="0.45">
      <c r="R9015" s="2">
        <v>106.91</v>
      </c>
      <c r="S9015" s="2">
        <v>0.72173770000000004</v>
      </c>
      <c r="T9015" s="2">
        <v>0.58317810000000003</v>
      </c>
    </row>
    <row r="9016" spans="18:20" x14ac:dyDescent="0.45">
      <c r="R9016" s="2">
        <v>106.92</v>
      </c>
      <c r="S9016" s="2">
        <v>0.72226049999999997</v>
      </c>
      <c r="T9016" s="2">
        <v>0.5837523</v>
      </c>
    </row>
    <row r="9017" spans="18:20" x14ac:dyDescent="0.45">
      <c r="R9017" s="2">
        <v>106.93</v>
      </c>
      <c r="S9017" s="2">
        <v>0.72278330000000002</v>
      </c>
      <c r="T9017" s="2">
        <v>0.58432649999999997</v>
      </c>
    </row>
    <row r="9018" spans="18:20" x14ac:dyDescent="0.45">
      <c r="R9018" s="2">
        <v>106.94</v>
      </c>
      <c r="S9018" s="2">
        <v>0.72330609999999995</v>
      </c>
      <c r="T9018" s="2">
        <v>0.58490070000000005</v>
      </c>
    </row>
    <row r="9019" spans="18:20" x14ac:dyDescent="0.45">
      <c r="R9019" s="2">
        <v>106.95</v>
      </c>
      <c r="S9019" s="2">
        <v>0.72382899999999994</v>
      </c>
      <c r="T9019" s="2">
        <v>0.58547499999999997</v>
      </c>
    </row>
    <row r="9020" spans="18:20" x14ac:dyDescent="0.45">
      <c r="R9020" s="2">
        <v>106.96</v>
      </c>
      <c r="S9020" s="2">
        <v>0.72435179999999999</v>
      </c>
      <c r="T9020" s="2">
        <v>0.58604920000000005</v>
      </c>
    </row>
    <row r="9021" spans="18:20" x14ac:dyDescent="0.45">
      <c r="R9021" s="2">
        <v>106.97</v>
      </c>
      <c r="S9021" s="2">
        <v>0.72487460000000004</v>
      </c>
      <c r="T9021" s="2">
        <v>0.58662340000000002</v>
      </c>
    </row>
    <row r="9022" spans="18:20" x14ac:dyDescent="0.45">
      <c r="R9022" s="2">
        <v>106.98</v>
      </c>
      <c r="S9022" s="2">
        <v>0.72539739999999997</v>
      </c>
      <c r="T9022" s="2">
        <v>0.58719759999999999</v>
      </c>
    </row>
    <row r="9023" spans="18:20" x14ac:dyDescent="0.45">
      <c r="R9023" s="2">
        <v>106.99</v>
      </c>
      <c r="S9023" s="2">
        <v>0.72592020000000002</v>
      </c>
      <c r="T9023" s="2">
        <v>0.58777179999999996</v>
      </c>
    </row>
    <row r="9024" spans="18:20" x14ac:dyDescent="0.45">
      <c r="R9024" s="2">
        <v>107</v>
      </c>
      <c r="S9024" s="2">
        <v>0.72644299999999995</v>
      </c>
      <c r="T9024" s="2">
        <v>0.58834600000000004</v>
      </c>
    </row>
    <row r="9025" spans="18:20" x14ac:dyDescent="0.45">
      <c r="R9025" s="2">
        <v>107.01</v>
      </c>
      <c r="S9025" s="2">
        <v>0.72699860000000005</v>
      </c>
      <c r="T9025" s="2">
        <v>0.58898229999999996</v>
      </c>
    </row>
    <row r="9026" spans="18:20" x14ac:dyDescent="0.45">
      <c r="R9026" s="2">
        <v>107.02</v>
      </c>
      <c r="S9026" s="2">
        <v>0.72755420000000004</v>
      </c>
      <c r="T9026" s="2">
        <v>0.58961870000000005</v>
      </c>
    </row>
    <row r="9027" spans="18:20" x14ac:dyDescent="0.45">
      <c r="R9027" s="2">
        <v>107.03</v>
      </c>
      <c r="S9027" s="2">
        <v>0.72810980000000003</v>
      </c>
      <c r="T9027" s="2">
        <v>0.59025499999999997</v>
      </c>
    </row>
    <row r="9028" spans="18:20" x14ac:dyDescent="0.45">
      <c r="R9028" s="2">
        <v>107.04</v>
      </c>
      <c r="S9028" s="2">
        <v>0.72866540000000002</v>
      </c>
      <c r="T9028" s="2">
        <v>0.59089130000000001</v>
      </c>
    </row>
    <row r="9029" spans="18:20" x14ac:dyDescent="0.45">
      <c r="R9029" s="2">
        <v>107.05</v>
      </c>
      <c r="S9029" s="2">
        <v>0.72922100000000001</v>
      </c>
      <c r="T9029" s="2">
        <v>0.59152760000000004</v>
      </c>
    </row>
    <row r="9030" spans="18:20" x14ac:dyDescent="0.45">
      <c r="R9030" s="2">
        <v>107.06</v>
      </c>
      <c r="S9030" s="2">
        <v>0.72977650000000005</v>
      </c>
      <c r="T9030" s="2">
        <v>0.59216400000000002</v>
      </c>
    </row>
    <row r="9031" spans="18:20" x14ac:dyDescent="0.45">
      <c r="R9031" s="2">
        <v>107.07</v>
      </c>
      <c r="S9031" s="2">
        <v>0.73033210000000004</v>
      </c>
      <c r="T9031" s="2">
        <v>0.59280029999999995</v>
      </c>
    </row>
    <row r="9032" spans="18:20" x14ac:dyDescent="0.45">
      <c r="R9032" s="2">
        <v>107.08</v>
      </c>
      <c r="S9032" s="2">
        <v>0.73088770000000003</v>
      </c>
      <c r="T9032" s="2">
        <v>0.59343659999999998</v>
      </c>
    </row>
    <row r="9033" spans="18:20" x14ac:dyDescent="0.45">
      <c r="R9033" s="2">
        <v>107.09</v>
      </c>
      <c r="S9033" s="2">
        <v>0.73144330000000002</v>
      </c>
      <c r="T9033" s="2">
        <v>0.59407299999999996</v>
      </c>
    </row>
    <row r="9034" spans="18:20" x14ac:dyDescent="0.45">
      <c r="R9034" s="2">
        <v>107.1</v>
      </c>
      <c r="S9034" s="2">
        <v>0.73199890000000001</v>
      </c>
      <c r="T9034" s="2">
        <v>0.5947093</v>
      </c>
    </row>
    <row r="9035" spans="18:20" x14ac:dyDescent="0.45">
      <c r="R9035" s="2">
        <v>107.11</v>
      </c>
      <c r="S9035" s="2">
        <v>0.7325545</v>
      </c>
      <c r="T9035" s="2">
        <v>0.59534560000000003</v>
      </c>
    </row>
    <row r="9036" spans="18:20" x14ac:dyDescent="0.45">
      <c r="R9036" s="2">
        <v>107.12</v>
      </c>
      <c r="S9036" s="2">
        <v>0.73311009999999999</v>
      </c>
      <c r="T9036" s="2">
        <v>0.59598200000000001</v>
      </c>
    </row>
    <row r="9037" spans="18:20" x14ac:dyDescent="0.45">
      <c r="R9037" s="2">
        <v>107.13</v>
      </c>
      <c r="S9037" s="2">
        <v>0.73366569999999998</v>
      </c>
      <c r="T9037" s="2">
        <v>0.59661830000000005</v>
      </c>
    </row>
    <row r="9038" spans="18:20" x14ac:dyDescent="0.45">
      <c r="R9038" s="2">
        <v>107.14</v>
      </c>
      <c r="S9038" s="2">
        <v>0.73422129999999997</v>
      </c>
      <c r="T9038" s="2">
        <v>0.59725459999999997</v>
      </c>
    </row>
    <row r="9039" spans="18:20" x14ac:dyDescent="0.45">
      <c r="R9039" s="2">
        <v>107.15</v>
      </c>
      <c r="S9039" s="2">
        <v>0.73477689999999996</v>
      </c>
      <c r="T9039" s="2">
        <v>0.59789099999999995</v>
      </c>
    </row>
    <row r="9040" spans="18:20" x14ac:dyDescent="0.45">
      <c r="R9040" s="2">
        <v>107.16</v>
      </c>
      <c r="S9040" s="2">
        <v>0.7353324</v>
      </c>
      <c r="T9040" s="2">
        <v>0.59852729999999998</v>
      </c>
    </row>
    <row r="9041" spans="18:20" x14ac:dyDescent="0.45">
      <c r="R9041" s="2">
        <v>107.17</v>
      </c>
      <c r="S9041" s="2">
        <v>0.73588799999999999</v>
      </c>
      <c r="T9041" s="2">
        <v>0.59916360000000002</v>
      </c>
    </row>
    <row r="9042" spans="18:20" x14ac:dyDescent="0.45">
      <c r="R9042" s="2">
        <v>107.18</v>
      </c>
      <c r="S9042" s="2">
        <v>0.73644359999999998</v>
      </c>
      <c r="T9042" s="2">
        <v>0.59979990000000005</v>
      </c>
    </row>
    <row r="9043" spans="18:20" x14ac:dyDescent="0.45">
      <c r="R9043" s="2">
        <v>107.19</v>
      </c>
      <c r="S9043" s="2">
        <v>0.73699919999999997</v>
      </c>
      <c r="T9043" s="2">
        <v>0.60043630000000003</v>
      </c>
    </row>
    <row r="9044" spans="18:20" x14ac:dyDescent="0.45">
      <c r="R9044" s="2">
        <v>107.2</v>
      </c>
      <c r="S9044" s="2">
        <v>0.73755479999999995</v>
      </c>
      <c r="T9044" s="2">
        <v>0.60107259999999996</v>
      </c>
    </row>
    <row r="9045" spans="18:20" x14ac:dyDescent="0.45">
      <c r="R9045" s="2">
        <v>107.21</v>
      </c>
      <c r="S9045" s="2">
        <v>0.73811040000000006</v>
      </c>
      <c r="T9045" s="2">
        <v>0.60170889999999999</v>
      </c>
    </row>
    <row r="9046" spans="18:20" x14ac:dyDescent="0.45">
      <c r="R9046" s="2">
        <v>107.22</v>
      </c>
      <c r="S9046" s="2">
        <v>0.73866600000000004</v>
      </c>
      <c r="T9046" s="2">
        <v>0.60234529999999997</v>
      </c>
    </row>
    <row r="9047" spans="18:20" x14ac:dyDescent="0.45">
      <c r="R9047" s="2">
        <v>107.23</v>
      </c>
      <c r="S9047" s="2">
        <v>0.73922160000000003</v>
      </c>
      <c r="T9047" s="2">
        <v>0.60298160000000001</v>
      </c>
    </row>
    <row r="9048" spans="18:20" x14ac:dyDescent="0.45">
      <c r="R9048" s="2">
        <v>107.24</v>
      </c>
      <c r="S9048" s="2">
        <v>0.73977720000000002</v>
      </c>
      <c r="T9048" s="2">
        <v>0.60361790000000004</v>
      </c>
    </row>
    <row r="9049" spans="18:20" x14ac:dyDescent="0.45">
      <c r="R9049" s="2">
        <v>107.25</v>
      </c>
      <c r="S9049" s="2">
        <v>0.74033269999999995</v>
      </c>
      <c r="T9049" s="2">
        <v>0.60425419999999996</v>
      </c>
    </row>
    <row r="9050" spans="18:20" x14ac:dyDescent="0.45">
      <c r="R9050" s="2">
        <v>107.26</v>
      </c>
      <c r="S9050" s="2">
        <v>0.74088830000000006</v>
      </c>
      <c r="T9050" s="2">
        <v>0.60489059999999994</v>
      </c>
    </row>
    <row r="9051" spans="18:20" x14ac:dyDescent="0.45">
      <c r="R9051" s="2">
        <v>107.27</v>
      </c>
      <c r="S9051" s="2">
        <v>0.74144399999999999</v>
      </c>
      <c r="T9051" s="2">
        <v>0.60552689999999998</v>
      </c>
    </row>
    <row r="9052" spans="18:20" x14ac:dyDescent="0.45">
      <c r="R9052" s="2">
        <v>107.28</v>
      </c>
      <c r="S9052" s="2">
        <v>0.74199950000000003</v>
      </c>
      <c r="T9052" s="2">
        <v>0.60616320000000001</v>
      </c>
    </row>
    <row r="9053" spans="18:20" x14ac:dyDescent="0.45">
      <c r="R9053" s="2">
        <v>107.29</v>
      </c>
      <c r="S9053" s="2">
        <v>0.74255510000000002</v>
      </c>
      <c r="T9053" s="2">
        <v>0.60679959999999999</v>
      </c>
    </row>
    <row r="9054" spans="18:20" x14ac:dyDescent="0.45">
      <c r="R9054" s="2">
        <v>107.3</v>
      </c>
      <c r="S9054" s="2">
        <v>0.74311070000000001</v>
      </c>
      <c r="T9054" s="2">
        <v>0.60743590000000003</v>
      </c>
    </row>
    <row r="9055" spans="18:20" x14ac:dyDescent="0.45">
      <c r="R9055" s="2">
        <v>107.31</v>
      </c>
      <c r="S9055" s="2">
        <v>0.7436663</v>
      </c>
      <c r="T9055" s="2">
        <v>0.60807219999999995</v>
      </c>
    </row>
    <row r="9056" spans="18:20" x14ac:dyDescent="0.45">
      <c r="R9056" s="2">
        <v>107.32</v>
      </c>
      <c r="S9056" s="2">
        <v>0.74422189999999999</v>
      </c>
      <c r="T9056" s="2">
        <v>0.60870860000000004</v>
      </c>
    </row>
    <row r="9057" spans="18:20" x14ac:dyDescent="0.45">
      <c r="R9057" s="2">
        <v>107.33</v>
      </c>
      <c r="S9057" s="2">
        <v>0.74477749999999998</v>
      </c>
      <c r="T9057" s="2">
        <v>0.60934489999999997</v>
      </c>
    </row>
    <row r="9058" spans="18:20" x14ac:dyDescent="0.45">
      <c r="R9058" s="2">
        <v>107.34</v>
      </c>
      <c r="S9058" s="2">
        <v>0.74533300000000002</v>
      </c>
      <c r="T9058" s="2">
        <v>0.6099812</v>
      </c>
    </row>
    <row r="9059" spans="18:20" x14ac:dyDescent="0.45">
      <c r="R9059" s="2">
        <v>107.35</v>
      </c>
      <c r="S9059" s="2">
        <v>0.74588860000000001</v>
      </c>
      <c r="T9059" s="2">
        <v>0.61061750000000004</v>
      </c>
    </row>
    <row r="9060" spans="18:20" x14ac:dyDescent="0.45">
      <c r="R9060" s="2">
        <v>107.36</v>
      </c>
      <c r="S9060" s="2">
        <v>0.7464442</v>
      </c>
      <c r="T9060" s="2">
        <v>0.61125390000000002</v>
      </c>
    </row>
    <row r="9061" spans="18:20" x14ac:dyDescent="0.45">
      <c r="R9061" s="2">
        <v>107.37</v>
      </c>
      <c r="S9061" s="2">
        <v>0.74699979999999999</v>
      </c>
      <c r="T9061" s="2">
        <v>0.61189020000000005</v>
      </c>
    </row>
    <row r="9062" spans="18:20" x14ac:dyDescent="0.45">
      <c r="R9062" s="2">
        <v>107.38</v>
      </c>
      <c r="S9062" s="2">
        <v>0.74755539999999998</v>
      </c>
      <c r="T9062" s="2">
        <v>0.61252649999999997</v>
      </c>
    </row>
    <row r="9063" spans="18:20" x14ac:dyDescent="0.45">
      <c r="R9063" s="2">
        <v>107.39</v>
      </c>
      <c r="S9063" s="2">
        <v>0.74811099999999997</v>
      </c>
      <c r="T9063" s="2">
        <v>0.61316289999999996</v>
      </c>
    </row>
    <row r="9064" spans="18:20" x14ac:dyDescent="0.45">
      <c r="R9064" s="2">
        <v>107.4</v>
      </c>
      <c r="S9064" s="2">
        <v>0.74866659999999996</v>
      </c>
      <c r="T9064" s="2">
        <v>0.61379919999999999</v>
      </c>
    </row>
    <row r="9065" spans="18:20" x14ac:dyDescent="0.45">
      <c r="R9065" s="2">
        <v>107.41</v>
      </c>
      <c r="S9065" s="2">
        <v>0.74922219999999995</v>
      </c>
      <c r="T9065" s="2">
        <v>0.61443550000000002</v>
      </c>
    </row>
    <row r="9066" spans="18:20" x14ac:dyDescent="0.45">
      <c r="R9066" s="2">
        <v>107.42</v>
      </c>
      <c r="S9066" s="2">
        <v>0.74977780000000005</v>
      </c>
      <c r="T9066" s="2">
        <v>0.6150719</v>
      </c>
    </row>
    <row r="9067" spans="18:20" x14ac:dyDescent="0.45">
      <c r="R9067" s="2">
        <v>107.43</v>
      </c>
      <c r="S9067" s="2">
        <v>0.75033340000000004</v>
      </c>
      <c r="T9067" s="2">
        <v>0.61570820000000004</v>
      </c>
    </row>
    <row r="9068" spans="18:20" x14ac:dyDescent="0.45">
      <c r="R9068" s="2">
        <v>107.44</v>
      </c>
      <c r="S9068" s="2">
        <v>0.75088900000000003</v>
      </c>
      <c r="T9068" s="2">
        <v>0.61634449999999996</v>
      </c>
    </row>
    <row r="9069" spans="18:20" x14ac:dyDescent="0.45">
      <c r="R9069" s="2">
        <v>107.45</v>
      </c>
      <c r="S9069" s="2">
        <v>0.75144460000000002</v>
      </c>
      <c r="T9069" s="2">
        <v>0.61698090000000005</v>
      </c>
    </row>
    <row r="9070" spans="18:20" x14ac:dyDescent="0.45">
      <c r="R9070" s="2">
        <v>107.46</v>
      </c>
      <c r="S9070" s="2">
        <v>0.75200009999999995</v>
      </c>
      <c r="T9070" s="2">
        <v>0.61761719999999998</v>
      </c>
    </row>
    <row r="9071" spans="18:20" x14ac:dyDescent="0.45">
      <c r="R9071" s="2">
        <v>107.47</v>
      </c>
      <c r="S9071" s="2">
        <v>0.75255570000000005</v>
      </c>
      <c r="T9071" s="2">
        <v>0.61825350000000001</v>
      </c>
    </row>
    <row r="9072" spans="18:20" x14ac:dyDescent="0.45">
      <c r="R9072" s="2">
        <v>107.48</v>
      </c>
      <c r="S9072" s="2">
        <v>0.75311130000000004</v>
      </c>
      <c r="T9072" s="2">
        <v>0.61888980000000005</v>
      </c>
    </row>
    <row r="9073" spans="18:20" x14ac:dyDescent="0.45">
      <c r="R9073" s="2">
        <v>107.49</v>
      </c>
      <c r="S9073" s="2">
        <v>0.75366690000000003</v>
      </c>
      <c r="T9073" s="2">
        <v>0.61952620000000003</v>
      </c>
    </row>
    <row r="9074" spans="18:20" x14ac:dyDescent="0.45">
      <c r="R9074" s="2">
        <v>107.5</v>
      </c>
      <c r="S9074" s="2">
        <v>0.75422250000000002</v>
      </c>
      <c r="T9074" s="2">
        <v>0.62016249999999995</v>
      </c>
    </row>
    <row r="9075" spans="18:20" x14ac:dyDescent="0.45">
      <c r="R9075" s="2">
        <v>107.51</v>
      </c>
      <c r="S9075" s="2">
        <v>0.75477810000000001</v>
      </c>
      <c r="T9075" s="2">
        <v>0.62079879999999998</v>
      </c>
    </row>
    <row r="9076" spans="18:20" x14ac:dyDescent="0.45">
      <c r="R9076" s="2">
        <v>107.52</v>
      </c>
      <c r="S9076" s="2">
        <v>0.7553337</v>
      </c>
      <c r="T9076" s="2">
        <v>0.62143519999999997</v>
      </c>
    </row>
    <row r="9077" spans="18:20" x14ac:dyDescent="0.45">
      <c r="R9077" s="2">
        <v>107.53</v>
      </c>
      <c r="S9077" s="2">
        <v>0.75588929999999999</v>
      </c>
      <c r="T9077" s="2">
        <v>0.6220715</v>
      </c>
    </row>
    <row r="9078" spans="18:20" x14ac:dyDescent="0.45">
      <c r="R9078" s="2">
        <v>107.54</v>
      </c>
      <c r="S9078" s="2">
        <v>0.75644489999999998</v>
      </c>
      <c r="T9078" s="2">
        <v>0.62270780000000003</v>
      </c>
    </row>
    <row r="9079" spans="18:20" x14ac:dyDescent="0.45">
      <c r="R9079" s="2">
        <v>107.55</v>
      </c>
      <c r="S9079" s="2">
        <v>0.75700040000000002</v>
      </c>
      <c r="T9079" s="2">
        <v>0.62334409999999996</v>
      </c>
    </row>
    <row r="9080" spans="18:20" x14ac:dyDescent="0.45">
      <c r="R9080" s="2">
        <v>107.56</v>
      </c>
      <c r="S9080" s="2">
        <v>0.75755600000000001</v>
      </c>
      <c r="T9080" s="2">
        <v>0.62398050000000005</v>
      </c>
    </row>
    <row r="9081" spans="18:20" x14ac:dyDescent="0.45">
      <c r="R9081" s="2">
        <v>107.57</v>
      </c>
      <c r="S9081" s="2">
        <v>0.7581116</v>
      </c>
      <c r="T9081" s="2">
        <v>0.62461679999999997</v>
      </c>
    </row>
    <row r="9082" spans="18:20" x14ac:dyDescent="0.45">
      <c r="R9082" s="2">
        <v>107.58</v>
      </c>
      <c r="S9082" s="2">
        <v>0.75866719999999999</v>
      </c>
      <c r="T9082" s="2">
        <v>0.62525310000000001</v>
      </c>
    </row>
    <row r="9083" spans="18:20" x14ac:dyDescent="0.45">
      <c r="R9083" s="2">
        <v>107.59</v>
      </c>
      <c r="S9083" s="2">
        <v>0.75922279999999998</v>
      </c>
      <c r="T9083" s="2">
        <v>0.62588949999999999</v>
      </c>
    </row>
    <row r="9084" spans="18:20" x14ac:dyDescent="0.45">
      <c r="R9084" s="2">
        <v>107.6</v>
      </c>
      <c r="S9084" s="2">
        <v>0.75977839999999996</v>
      </c>
      <c r="T9084" s="2">
        <v>0.62652580000000002</v>
      </c>
    </row>
    <row r="9085" spans="18:20" x14ac:dyDescent="0.45">
      <c r="R9085" s="2">
        <v>107.61</v>
      </c>
      <c r="S9085" s="2">
        <v>0.76033399999999995</v>
      </c>
      <c r="T9085" s="2">
        <v>0.62716209999999994</v>
      </c>
    </row>
    <row r="9086" spans="18:20" x14ac:dyDescent="0.45">
      <c r="R9086" s="2">
        <v>107.62</v>
      </c>
      <c r="S9086" s="2">
        <v>0.76088960000000005</v>
      </c>
      <c r="T9086" s="2">
        <v>0.62779850000000004</v>
      </c>
    </row>
    <row r="9087" spans="18:20" x14ac:dyDescent="0.45">
      <c r="R9087" s="2">
        <v>107.63</v>
      </c>
      <c r="S9087" s="2">
        <v>0.76144520000000004</v>
      </c>
      <c r="T9087" s="2">
        <v>0.62843479999999996</v>
      </c>
    </row>
    <row r="9088" spans="18:20" x14ac:dyDescent="0.45">
      <c r="R9088" s="2">
        <v>107.64</v>
      </c>
      <c r="S9088" s="2">
        <v>0.76200080000000003</v>
      </c>
      <c r="T9088" s="2">
        <v>0.62907109999999999</v>
      </c>
    </row>
    <row r="9089" spans="18:20" x14ac:dyDescent="0.45">
      <c r="R9089" s="2">
        <v>107.65</v>
      </c>
      <c r="S9089" s="2">
        <v>0.76255640000000002</v>
      </c>
      <c r="T9089" s="2">
        <v>0.62970749999999998</v>
      </c>
    </row>
    <row r="9090" spans="18:20" x14ac:dyDescent="0.45">
      <c r="R9090" s="2">
        <v>107.66</v>
      </c>
      <c r="S9090" s="2">
        <v>0.76311200000000001</v>
      </c>
      <c r="T9090" s="2">
        <v>0.63034380000000001</v>
      </c>
    </row>
    <row r="9091" spans="18:20" x14ac:dyDescent="0.45">
      <c r="R9091" s="2">
        <v>107.67</v>
      </c>
      <c r="S9091" s="2">
        <v>0.76366750000000005</v>
      </c>
      <c r="T9091" s="2">
        <v>0.63098010000000004</v>
      </c>
    </row>
    <row r="9092" spans="18:20" x14ac:dyDescent="0.45">
      <c r="R9092" s="2">
        <v>107.68</v>
      </c>
      <c r="S9092" s="2">
        <v>0.76422310000000004</v>
      </c>
      <c r="T9092" s="2">
        <v>0.63161639999999997</v>
      </c>
    </row>
    <row r="9093" spans="18:20" x14ac:dyDescent="0.45">
      <c r="R9093" s="2">
        <v>107.69</v>
      </c>
      <c r="S9093" s="2">
        <v>0.76477870000000003</v>
      </c>
      <c r="T9093" s="2">
        <v>0.63225279999999995</v>
      </c>
    </row>
    <row r="9094" spans="18:20" x14ac:dyDescent="0.45">
      <c r="R9094" s="2">
        <v>107.7</v>
      </c>
      <c r="S9094" s="2">
        <v>0.76533430000000002</v>
      </c>
      <c r="T9094" s="2">
        <v>0.63288909999999998</v>
      </c>
    </row>
    <row r="9095" spans="18:20" x14ac:dyDescent="0.45">
      <c r="R9095" s="2">
        <v>107.71</v>
      </c>
      <c r="S9095" s="2">
        <v>0.76588990000000001</v>
      </c>
      <c r="T9095" s="2">
        <v>0.63352540000000002</v>
      </c>
    </row>
    <row r="9096" spans="18:20" x14ac:dyDescent="0.45">
      <c r="R9096" s="2">
        <v>107.72</v>
      </c>
      <c r="S9096" s="2">
        <v>0.7664455</v>
      </c>
      <c r="T9096" s="2">
        <v>0.6341618</v>
      </c>
    </row>
    <row r="9097" spans="18:20" x14ac:dyDescent="0.45">
      <c r="R9097" s="2">
        <v>107.73</v>
      </c>
      <c r="S9097" s="2">
        <v>0.76700100000000004</v>
      </c>
      <c r="T9097" s="2">
        <v>0.63479810000000003</v>
      </c>
    </row>
    <row r="9098" spans="18:20" x14ac:dyDescent="0.45">
      <c r="R9098" s="2">
        <v>107.74</v>
      </c>
      <c r="S9098" s="2">
        <v>0.76755669999999998</v>
      </c>
      <c r="T9098" s="2">
        <v>0.63543439999999995</v>
      </c>
    </row>
    <row r="9099" spans="18:20" x14ac:dyDescent="0.45">
      <c r="R9099" s="2">
        <v>107.75</v>
      </c>
      <c r="S9099" s="2">
        <v>0.76811220000000002</v>
      </c>
      <c r="T9099" s="2">
        <v>0.63607080000000005</v>
      </c>
    </row>
    <row r="9100" spans="18:20" x14ac:dyDescent="0.45">
      <c r="R9100" s="2">
        <v>107.76</v>
      </c>
      <c r="S9100" s="2">
        <v>0.76866780000000001</v>
      </c>
      <c r="T9100" s="2">
        <v>0.63670709999999997</v>
      </c>
    </row>
    <row r="9101" spans="18:20" x14ac:dyDescent="0.45">
      <c r="R9101" s="2">
        <v>107.77</v>
      </c>
      <c r="S9101" s="2">
        <v>0.7692234</v>
      </c>
      <c r="T9101" s="2">
        <v>0.6373434</v>
      </c>
    </row>
    <row r="9102" spans="18:20" x14ac:dyDescent="0.45">
      <c r="R9102" s="2">
        <v>107.78</v>
      </c>
      <c r="S9102" s="2">
        <v>0.76977899999999999</v>
      </c>
      <c r="T9102" s="2">
        <v>0.63797970000000004</v>
      </c>
    </row>
    <row r="9103" spans="18:20" x14ac:dyDescent="0.45">
      <c r="R9103" s="2">
        <v>107.79</v>
      </c>
      <c r="S9103" s="2">
        <v>0.77033459999999998</v>
      </c>
      <c r="T9103" s="2">
        <v>0.63861610000000002</v>
      </c>
    </row>
    <row r="9104" spans="18:20" x14ac:dyDescent="0.45">
      <c r="R9104" s="2">
        <v>107.8</v>
      </c>
      <c r="S9104" s="2">
        <v>0.77089019999999997</v>
      </c>
      <c r="T9104" s="2">
        <v>0.63925240000000005</v>
      </c>
    </row>
    <row r="9105" spans="18:20" x14ac:dyDescent="0.45">
      <c r="R9105" s="2">
        <v>107.81</v>
      </c>
      <c r="S9105" s="2">
        <v>0.77144579999999996</v>
      </c>
      <c r="T9105" s="2">
        <v>0.63988869999999998</v>
      </c>
    </row>
    <row r="9106" spans="18:20" x14ac:dyDescent="0.45">
      <c r="R9106" s="2">
        <v>107.82</v>
      </c>
      <c r="S9106" s="2">
        <v>0.77200139999999995</v>
      </c>
      <c r="T9106" s="2">
        <v>0.64052500000000001</v>
      </c>
    </row>
    <row r="9107" spans="18:20" x14ac:dyDescent="0.45">
      <c r="R9107" s="2">
        <v>107.83</v>
      </c>
      <c r="S9107" s="2">
        <v>0.77255700000000005</v>
      </c>
      <c r="T9107" s="2">
        <v>0.64116139999999999</v>
      </c>
    </row>
    <row r="9108" spans="18:20" x14ac:dyDescent="0.45">
      <c r="R9108" s="2">
        <v>107.84</v>
      </c>
      <c r="S9108" s="2">
        <v>0.77311260000000004</v>
      </c>
      <c r="T9108" s="2">
        <v>0.64179770000000003</v>
      </c>
    </row>
    <row r="9109" spans="18:20" x14ac:dyDescent="0.45">
      <c r="R9109" s="2">
        <v>107.85</v>
      </c>
      <c r="S9109" s="2">
        <v>0.77366809999999997</v>
      </c>
      <c r="T9109" s="2">
        <v>0.64243399999999995</v>
      </c>
    </row>
    <row r="9110" spans="18:20" x14ac:dyDescent="0.45">
      <c r="R9110" s="2">
        <v>107.86</v>
      </c>
      <c r="S9110" s="2">
        <v>0.77422369999999996</v>
      </c>
      <c r="T9110" s="2">
        <v>0.64307040000000004</v>
      </c>
    </row>
    <row r="9111" spans="18:20" x14ac:dyDescent="0.45">
      <c r="R9111" s="2">
        <v>107.87</v>
      </c>
      <c r="S9111" s="2">
        <v>0.77477929999999995</v>
      </c>
      <c r="T9111" s="2">
        <v>0.64370669999999997</v>
      </c>
    </row>
    <row r="9112" spans="18:20" x14ac:dyDescent="0.45">
      <c r="R9112" s="2">
        <v>107.88</v>
      </c>
      <c r="S9112" s="2">
        <v>0.77533490000000005</v>
      </c>
      <c r="T9112" s="2">
        <v>0.644343</v>
      </c>
    </row>
    <row r="9113" spans="18:20" x14ac:dyDescent="0.45">
      <c r="R9113" s="2">
        <v>107.89</v>
      </c>
      <c r="S9113" s="2">
        <v>0.77589050000000004</v>
      </c>
      <c r="T9113" s="2">
        <v>0.64497939999999998</v>
      </c>
    </row>
    <row r="9114" spans="18:20" x14ac:dyDescent="0.45">
      <c r="R9114" s="2">
        <v>107.9</v>
      </c>
      <c r="S9114" s="2">
        <v>0.77644610000000003</v>
      </c>
      <c r="T9114" s="2">
        <v>0.64561570000000001</v>
      </c>
    </row>
    <row r="9115" spans="18:20" x14ac:dyDescent="0.45">
      <c r="R9115" s="2">
        <v>107.91</v>
      </c>
      <c r="S9115" s="2">
        <v>0.77700170000000002</v>
      </c>
      <c r="T9115" s="2">
        <v>0.64625200000000005</v>
      </c>
    </row>
    <row r="9116" spans="18:20" x14ac:dyDescent="0.45">
      <c r="R9116" s="2">
        <v>107.92</v>
      </c>
      <c r="S9116" s="2">
        <v>0.77755730000000001</v>
      </c>
      <c r="T9116" s="2">
        <v>0.64688840000000003</v>
      </c>
    </row>
    <row r="9117" spans="18:20" x14ac:dyDescent="0.45">
      <c r="R9117" s="2">
        <v>107.93</v>
      </c>
      <c r="S9117" s="2">
        <v>0.7781129</v>
      </c>
      <c r="T9117" s="2">
        <v>0.64752469999999995</v>
      </c>
    </row>
    <row r="9118" spans="18:20" x14ac:dyDescent="0.45">
      <c r="R9118" s="2">
        <v>107.94</v>
      </c>
      <c r="S9118" s="2">
        <v>0.77866849999999999</v>
      </c>
      <c r="T9118" s="2">
        <v>0.64816099999999999</v>
      </c>
    </row>
    <row r="9119" spans="18:20" x14ac:dyDescent="0.45">
      <c r="R9119" s="2">
        <v>107.95</v>
      </c>
      <c r="S9119" s="2">
        <v>0.77922400000000003</v>
      </c>
      <c r="T9119" s="2">
        <v>0.64879739999999997</v>
      </c>
    </row>
    <row r="9120" spans="18:20" x14ac:dyDescent="0.45">
      <c r="R9120" s="2">
        <v>107.96</v>
      </c>
      <c r="S9120" s="2">
        <v>0.77977960000000002</v>
      </c>
      <c r="T9120" s="2">
        <v>0.6494337</v>
      </c>
    </row>
    <row r="9121" spans="18:20" x14ac:dyDescent="0.45">
      <c r="R9121" s="2">
        <v>107.97</v>
      </c>
      <c r="S9121" s="2">
        <v>0.78033520000000001</v>
      </c>
      <c r="T9121" s="2">
        <v>0.65007000000000004</v>
      </c>
    </row>
    <row r="9122" spans="18:20" x14ac:dyDescent="0.45">
      <c r="R9122" s="2">
        <v>107.98</v>
      </c>
      <c r="S9122" s="2">
        <v>0.7808908</v>
      </c>
      <c r="T9122" s="2">
        <v>0.65070629999999996</v>
      </c>
    </row>
    <row r="9123" spans="18:20" x14ac:dyDescent="0.45">
      <c r="R9123" s="2">
        <v>107.99</v>
      </c>
      <c r="S9123" s="2">
        <v>0.78144639999999999</v>
      </c>
      <c r="T9123" s="2">
        <v>0.65134270000000005</v>
      </c>
    </row>
    <row r="9124" spans="18:20" x14ac:dyDescent="0.45">
      <c r="R9124" s="2">
        <v>108</v>
      </c>
      <c r="S9124" s="2">
        <v>0.78200199999999997</v>
      </c>
      <c r="T9124" s="2">
        <v>0.65197899999999998</v>
      </c>
    </row>
    <row r="9125" spans="18:20" x14ac:dyDescent="0.45">
      <c r="R9125" s="2">
        <v>108.01</v>
      </c>
      <c r="S9125" s="2">
        <v>0.7825917</v>
      </c>
      <c r="T9125" s="2">
        <v>0.65268420000000005</v>
      </c>
    </row>
    <row r="9126" spans="18:20" x14ac:dyDescent="0.45">
      <c r="R9126" s="2">
        <v>108.02</v>
      </c>
      <c r="S9126" s="2">
        <v>0.78318140000000003</v>
      </c>
      <c r="T9126" s="2">
        <v>0.65338929999999995</v>
      </c>
    </row>
    <row r="9127" spans="18:20" x14ac:dyDescent="0.45">
      <c r="R9127" s="2">
        <v>108.03</v>
      </c>
      <c r="S9127" s="2">
        <v>0.78377110000000005</v>
      </c>
      <c r="T9127" s="2">
        <v>0.65409450000000002</v>
      </c>
    </row>
    <row r="9128" spans="18:20" x14ac:dyDescent="0.45">
      <c r="R9128" s="2">
        <v>108.04</v>
      </c>
      <c r="S9128" s="2">
        <v>0.78436079999999997</v>
      </c>
      <c r="T9128" s="2">
        <v>0.65479969999999998</v>
      </c>
    </row>
    <row r="9129" spans="18:20" x14ac:dyDescent="0.45">
      <c r="R9129" s="2">
        <v>108.05</v>
      </c>
      <c r="S9129" s="2">
        <v>0.7849505</v>
      </c>
      <c r="T9129" s="2">
        <v>0.6555048</v>
      </c>
    </row>
    <row r="9130" spans="18:20" x14ac:dyDescent="0.45">
      <c r="R9130" s="2">
        <v>108.06</v>
      </c>
      <c r="S9130" s="2">
        <v>0.78554029999999997</v>
      </c>
      <c r="T9130" s="2">
        <v>0.65620999999999996</v>
      </c>
    </row>
    <row r="9131" spans="18:20" x14ac:dyDescent="0.45">
      <c r="R9131" s="2">
        <v>108.07</v>
      </c>
      <c r="S9131" s="2">
        <v>0.78613</v>
      </c>
      <c r="T9131" s="2">
        <v>0.65691520000000003</v>
      </c>
    </row>
    <row r="9132" spans="18:20" x14ac:dyDescent="0.45">
      <c r="R9132" s="2">
        <v>108.08</v>
      </c>
      <c r="S9132" s="2">
        <v>0.78671970000000002</v>
      </c>
      <c r="T9132" s="2">
        <v>0.65762039999999999</v>
      </c>
    </row>
    <row r="9133" spans="18:20" x14ac:dyDescent="0.45">
      <c r="R9133" s="2">
        <v>108.09</v>
      </c>
      <c r="S9133" s="2">
        <v>0.78730940000000005</v>
      </c>
      <c r="T9133" s="2">
        <v>0.65832550000000001</v>
      </c>
    </row>
    <row r="9134" spans="18:20" x14ac:dyDescent="0.45">
      <c r="R9134" s="2">
        <v>108.1</v>
      </c>
      <c r="S9134" s="2">
        <v>0.78789909999999996</v>
      </c>
      <c r="T9134" s="2">
        <v>0.65903069999999997</v>
      </c>
    </row>
    <row r="9135" spans="18:20" x14ac:dyDescent="0.45">
      <c r="R9135" s="2">
        <v>108.11</v>
      </c>
      <c r="S9135" s="2">
        <v>0.78848879999999999</v>
      </c>
      <c r="T9135" s="2">
        <v>0.65973590000000004</v>
      </c>
    </row>
    <row r="9136" spans="18:20" x14ac:dyDescent="0.45">
      <c r="R9136" s="2">
        <v>108.12</v>
      </c>
      <c r="S9136" s="2">
        <v>0.78907850000000002</v>
      </c>
      <c r="T9136" s="2">
        <v>0.66044099999999994</v>
      </c>
    </row>
    <row r="9137" spans="18:20" x14ac:dyDescent="0.45">
      <c r="R9137" s="2">
        <v>108.13</v>
      </c>
      <c r="S9137" s="2">
        <v>0.78966820000000004</v>
      </c>
      <c r="T9137" s="2">
        <v>0.66114620000000002</v>
      </c>
    </row>
    <row r="9138" spans="18:20" x14ac:dyDescent="0.45">
      <c r="R9138" s="2">
        <v>108.14</v>
      </c>
      <c r="S9138" s="2">
        <v>0.79025800000000002</v>
      </c>
      <c r="T9138" s="2">
        <v>0.66185139999999998</v>
      </c>
    </row>
    <row r="9139" spans="18:20" x14ac:dyDescent="0.45">
      <c r="R9139" s="2">
        <v>108.15</v>
      </c>
      <c r="S9139" s="2">
        <v>0.79084770000000004</v>
      </c>
      <c r="T9139" s="2">
        <v>0.66255660000000005</v>
      </c>
    </row>
    <row r="9140" spans="18:20" x14ac:dyDescent="0.45">
      <c r="R9140" s="2">
        <v>108.16</v>
      </c>
      <c r="S9140" s="2">
        <v>0.79143739999999996</v>
      </c>
      <c r="T9140" s="2">
        <v>0.66326169999999995</v>
      </c>
    </row>
    <row r="9141" spans="18:20" x14ac:dyDescent="0.45">
      <c r="R9141" s="2">
        <v>108.17</v>
      </c>
      <c r="S9141" s="2">
        <v>0.79202700000000004</v>
      </c>
      <c r="T9141" s="2">
        <v>0.66396690000000003</v>
      </c>
    </row>
    <row r="9142" spans="18:20" x14ac:dyDescent="0.45">
      <c r="R9142" s="2">
        <v>108.18</v>
      </c>
      <c r="S9142" s="2">
        <v>0.79261680000000001</v>
      </c>
      <c r="T9142" s="2">
        <v>0.66467200000000004</v>
      </c>
    </row>
    <row r="9143" spans="18:20" x14ac:dyDescent="0.45">
      <c r="R9143" s="2">
        <v>108.19</v>
      </c>
      <c r="S9143" s="2">
        <v>0.79320650000000004</v>
      </c>
      <c r="T9143" s="2">
        <v>0.6653772</v>
      </c>
    </row>
    <row r="9144" spans="18:20" x14ac:dyDescent="0.45">
      <c r="R9144" s="2">
        <v>108.2</v>
      </c>
      <c r="S9144" s="2">
        <v>0.79379619999999995</v>
      </c>
      <c r="T9144" s="2">
        <v>0.66608239999999996</v>
      </c>
    </row>
    <row r="9145" spans="18:20" x14ac:dyDescent="0.45">
      <c r="R9145" s="2">
        <v>108.21</v>
      </c>
      <c r="S9145" s="2">
        <v>0.79438589999999998</v>
      </c>
      <c r="T9145" s="2">
        <v>0.66678760000000004</v>
      </c>
    </row>
    <row r="9146" spans="18:20" x14ac:dyDescent="0.45">
      <c r="R9146" s="2">
        <v>108.22</v>
      </c>
      <c r="S9146" s="2">
        <v>0.7949756</v>
      </c>
      <c r="T9146" s="2">
        <v>0.66749270000000005</v>
      </c>
    </row>
    <row r="9147" spans="18:20" x14ac:dyDescent="0.45">
      <c r="R9147" s="2">
        <v>108.23</v>
      </c>
      <c r="S9147" s="2">
        <v>0.79556530000000003</v>
      </c>
      <c r="T9147" s="2">
        <v>0.66819790000000001</v>
      </c>
    </row>
    <row r="9148" spans="18:20" x14ac:dyDescent="0.45">
      <c r="R9148" s="2">
        <v>108.24</v>
      </c>
      <c r="S9148" s="2">
        <v>0.79615499999999995</v>
      </c>
      <c r="T9148" s="2">
        <v>0.66890309999999997</v>
      </c>
    </row>
    <row r="9149" spans="18:20" x14ac:dyDescent="0.45">
      <c r="R9149" s="2">
        <v>108.25</v>
      </c>
      <c r="S9149" s="2">
        <v>0.79674480000000003</v>
      </c>
      <c r="T9149" s="2">
        <v>0.66960830000000005</v>
      </c>
    </row>
    <row r="9150" spans="18:20" x14ac:dyDescent="0.45">
      <c r="R9150" s="2">
        <v>108.26</v>
      </c>
      <c r="S9150" s="2">
        <v>0.79733449999999995</v>
      </c>
      <c r="T9150" s="2">
        <v>0.67031339999999995</v>
      </c>
    </row>
    <row r="9151" spans="18:20" x14ac:dyDescent="0.45">
      <c r="R9151" s="2">
        <v>108.27</v>
      </c>
      <c r="S9151" s="2">
        <v>0.79792419999999997</v>
      </c>
      <c r="T9151" s="2">
        <v>0.67101860000000002</v>
      </c>
    </row>
    <row r="9152" spans="18:20" x14ac:dyDescent="0.45">
      <c r="R9152" s="2">
        <v>108.28</v>
      </c>
      <c r="S9152" s="2">
        <v>0.7985139</v>
      </c>
      <c r="T9152" s="2">
        <v>0.67172379999999998</v>
      </c>
    </row>
    <row r="9153" spans="18:20" x14ac:dyDescent="0.45">
      <c r="R9153" s="2">
        <v>108.29</v>
      </c>
      <c r="S9153" s="2">
        <v>0.79910360000000003</v>
      </c>
      <c r="T9153" s="2">
        <v>0.6724289</v>
      </c>
    </row>
    <row r="9154" spans="18:20" x14ac:dyDescent="0.45">
      <c r="R9154" s="2">
        <v>108.3</v>
      </c>
      <c r="S9154" s="2">
        <v>0.79969330000000005</v>
      </c>
      <c r="T9154" s="2">
        <v>0.67313409999999996</v>
      </c>
    </row>
    <row r="9155" spans="18:20" x14ac:dyDescent="0.45">
      <c r="R9155" s="2">
        <v>108.31</v>
      </c>
      <c r="S9155" s="2">
        <v>0.80028299999999997</v>
      </c>
      <c r="T9155" s="2">
        <v>0.67383930000000003</v>
      </c>
    </row>
    <row r="9156" spans="18:20" x14ac:dyDescent="0.45">
      <c r="R9156" s="2">
        <v>108.32</v>
      </c>
      <c r="S9156" s="2">
        <v>0.80087269999999999</v>
      </c>
      <c r="T9156" s="2">
        <v>0.67454440000000004</v>
      </c>
    </row>
    <row r="9157" spans="18:20" x14ac:dyDescent="0.45">
      <c r="R9157" s="2">
        <v>108.33</v>
      </c>
      <c r="S9157" s="2">
        <v>0.80146240000000002</v>
      </c>
      <c r="T9157" s="2">
        <v>0.67524960000000001</v>
      </c>
    </row>
    <row r="9158" spans="18:20" x14ac:dyDescent="0.45">
      <c r="R9158" s="2">
        <v>108.34</v>
      </c>
      <c r="S9158" s="2">
        <v>0.80205210000000005</v>
      </c>
      <c r="T9158" s="2">
        <v>0.67595479999999997</v>
      </c>
    </row>
    <row r="9159" spans="18:20" x14ac:dyDescent="0.45">
      <c r="R9159" s="2">
        <v>108.35</v>
      </c>
      <c r="S9159" s="2">
        <v>0.80264179999999996</v>
      </c>
      <c r="T9159" s="2">
        <v>0.67666000000000004</v>
      </c>
    </row>
    <row r="9160" spans="18:20" x14ac:dyDescent="0.45">
      <c r="R9160" s="2">
        <v>108.36</v>
      </c>
      <c r="S9160" s="2">
        <v>0.80323160000000005</v>
      </c>
      <c r="T9160" s="2">
        <v>0.67736510000000005</v>
      </c>
    </row>
    <row r="9161" spans="18:20" x14ac:dyDescent="0.45">
      <c r="R9161" s="2">
        <v>108.37</v>
      </c>
      <c r="S9161" s="2">
        <v>0.80382129999999996</v>
      </c>
      <c r="T9161" s="2">
        <v>0.67807030000000001</v>
      </c>
    </row>
    <row r="9162" spans="18:20" x14ac:dyDescent="0.45">
      <c r="R9162" s="2">
        <v>108.38</v>
      </c>
      <c r="S9162" s="2">
        <v>0.80441099999999999</v>
      </c>
      <c r="T9162" s="2">
        <v>0.67877549999999998</v>
      </c>
    </row>
    <row r="9163" spans="18:20" x14ac:dyDescent="0.45">
      <c r="R9163" s="2">
        <v>108.39</v>
      </c>
      <c r="S9163" s="2">
        <v>0.80500070000000001</v>
      </c>
      <c r="T9163" s="2">
        <v>0.67948059999999999</v>
      </c>
    </row>
    <row r="9164" spans="18:20" x14ac:dyDescent="0.45">
      <c r="R9164" s="2">
        <v>108.4</v>
      </c>
      <c r="S9164" s="2">
        <v>0.80559040000000004</v>
      </c>
      <c r="T9164" s="2">
        <v>0.68018579999999995</v>
      </c>
    </row>
    <row r="9165" spans="18:20" x14ac:dyDescent="0.45">
      <c r="R9165" s="2">
        <v>108.41</v>
      </c>
      <c r="S9165" s="2">
        <v>0.80618009999999996</v>
      </c>
      <c r="T9165" s="2">
        <v>0.68089100000000002</v>
      </c>
    </row>
    <row r="9166" spans="18:20" x14ac:dyDescent="0.45">
      <c r="R9166" s="2">
        <v>108.42</v>
      </c>
      <c r="S9166" s="2">
        <v>0.80676979999999998</v>
      </c>
      <c r="T9166" s="2">
        <v>0.68159610000000004</v>
      </c>
    </row>
    <row r="9167" spans="18:20" x14ac:dyDescent="0.45">
      <c r="R9167" s="2">
        <v>108.43</v>
      </c>
      <c r="S9167" s="2">
        <v>0.80735950000000001</v>
      </c>
      <c r="T9167" s="2">
        <v>0.6823013</v>
      </c>
    </row>
    <row r="9168" spans="18:20" x14ac:dyDescent="0.45">
      <c r="R9168" s="2">
        <v>108.44</v>
      </c>
      <c r="S9168" s="2">
        <v>0.80794920000000003</v>
      </c>
      <c r="T9168" s="2">
        <v>0.68300649999999996</v>
      </c>
    </row>
    <row r="9169" spans="18:20" x14ac:dyDescent="0.45">
      <c r="R9169" s="2">
        <v>108.45</v>
      </c>
      <c r="S9169" s="2">
        <v>0.80853900000000001</v>
      </c>
      <c r="T9169" s="2">
        <v>0.68371170000000003</v>
      </c>
    </row>
    <row r="9170" spans="18:20" x14ac:dyDescent="0.45">
      <c r="R9170" s="2">
        <v>108.46</v>
      </c>
      <c r="S9170" s="2">
        <v>0.80912870000000003</v>
      </c>
      <c r="T9170" s="2">
        <v>0.68441680000000005</v>
      </c>
    </row>
    <row r="9171" spans="18:20" x14ac:dyDescent="0.45">
      <c r="R9171" s="2">
        <v>108.47</v>
      </c>
      <c r="S9171" s="2">
        <v>0.80971839999999995</v>
      </c>
      <c r="T9171" s="2">
        <v>0.68512200000000001</v>
      </c>
    </row>
    <row r="9172" spans="18:20" x14ac:dyDescent="0.45">
      <c r="R9172" s="2">
        <v>108.48</v>
      </c>
      <c r="S9172" s="2">
        <v>0.81030800000000003</v>
      </c>
      <c r="T9172" s="2">
        <v>0.68582719999999997</v>
      </c>
    </row>
    <row r="9173" spans="18:20" x14ac:dyDescent="0.45">
      <c r="R9173" s="2">
        <v>108.49</v>
      </c>
      <c r="S9173" s="2">
        <v>0.8108978</v>
      </c>
      <c r="T9173" s="2">
        <v>0.68653229999999998</v>
      </c>
    </row>
    <row r="9174" spans="18:20" x14ac:dyDescent="0.45">
      <c r="R9174" s="2">
        <v>108.5</v>
      </c>
      <c r="S9174" s="2">
        <v>0.81148750000000003</v>
      </c>
      <c r="T9174" s="2">
        <v>0.68723749999999995</v>
      </c>
    </row>
    <row r="9175" spans="18:20" x14ac:dyDescent="0.45">
      <c r="R9175" s="2">
        <v>108.51</v>
      </c>
      <c r="S9175" s="2">
        <v>0.81207720000000005</v>
      </c>
      <c r="T9175" s="2">
        <v>0.68794270000000002</v>
      </c>
    </row>
    <row r="9176" spans="18:20" x14ac:dyDescent="0.45">
      <c r="R9176" s="2">
        <v>108.52</v>
      </c>
      <c r="S9176" s="2">
        <v>0.81266700000000003</v>
      </c>
      <c r="T9176" s="2">
        <v>0.68864780000000003</v>
      </c>
    </row>
    <row r="9177" spans="18:20" x14ac:dyDescent="0.45">
      <c r="R9177" s="2">
        <v>108.53</v>
      </c>
      <c r="S9177" s="2">
        <v>0.8132566</v>
      </c>
      <c r="T9177" s="2">
        <v>0.68935299999999999</v>
      </c>
    </row>
    <row r="9178" spans="18:20" x14ac:dyDescent="0.45">
      <c r="R9178" s="2">
        <v>108.54</v>
      </c>
      <c r="S9178" s="2">
        <v>0.81384630000000002</v>
      </c>
      <c r="T9178" s="2">
        <v>0.69005819999999995</v>
      </c>
    </row>
    <row r="9179" spans="18:20" x14ac:dyDescent="0.45">
      <c r="R9179" s="2">
        <v>108.55</v>
      </c>
      <c r="S9179" s="2">
        <v>0.81443600000000005</v>
      </c>
      <c r="T9179" s="2">
        <v>0.69076329999999997</v>
      </c>
    </row>
    <row r="9180" spans="18:20" x14ac:dyDescent="0.45">
      <c r="R9180" s="2">
        <v>108.56</v>
      </c>
      <c r="S9180" s="2">
        <v>0.81502580000000002</v>
      </c>
      <c r="T9180" s="2">
        <v>0.69146850000000004</v>
      </c>
    </row>
    <row r="9181" spans="18:20" x14ac:dyDescent="0.45">
      <c r="R9181" s="2">
        <v>108.57</v>
      </c>
      <c r="S9181" s="2">
        <v>0.81561550000000005</v>
      </c>
      <c r="T9181" s="2">
        <v>0.6921737</v>
      </c>
    </row>
    <row r="9182" spans="18:20" x14ac:dyDescent="0.45">
      <c r="R9182" s="2">
        <v>108.58</v>
      </c>
      <c r="S9182" s="2">
        <v>0.81620519999999996</v>
      </c>
      <c r="T9182" s="2">
        <v>0.69287889999999996</v>
      </c>
    </row>
    <row r="9183" spans="18:20" x14ac:dyDescent="0.45">
      <c r="R9183" s="2">
        <v>108.59</v>
      </c>
      <c r="S9183" s="2">
        <v>0.81679489999999999</v>
      </c>
      <c r="T9183" s="2">
        <v>0.69358399999999998</v>
      </c>
    </row>
    <row r="9184" spans="18:20" x14ac:dyDescent="0.45">
      <c r="R9184" s="2">
        <v>108.6</v>
      </c>
      <c r="S9184" s="2">
        <v>0.81738460000000002</v>
      </c>
      <c r="T9184" s="2">
        <v>0.69428920000000005</v>
      </c>
    </row>
    <row r="9185" spans="18:20" x14ac:dyDescent="0.45">
      <c r="R9185" s="2">
        <v>108.61</v>
      </c>
      <c r="S9185" s="2">
        <v>0.81797430000000004</v>
      </c>
      <c r="T9185" s="2">
        <v>0.69499440000000001</v>
      </c>
    </row>
    <row r="9186" spans="18:20" x14ac:dyDescent="0.45">
      <c r="R9186" s="2">
        <v>108.62</v>
      </c>
      <c r="S9186" s="2">
        <v>0.81856399999999996</v>
      </c>
      <c r="T9186" s="2">
        <v>0.69569950000000003</v>
      </c>
    </row>
    <row r="9187" spans="18:20" x14ac:dyDescent="0.45">
      <c r="R9187" s="2">
        <v>108.63</v>
      </c>
      <c r="S9187" s="2">
        <v>0.81915369999999998</v>
      </c>
      <c r="T9187" s="2">
        <v>0.69640469999999999</v>
      </c>
    </row>
    <row r="9188" spans="18:20" x14ac:dyDescent="0.45">
      <c r="R9188" s="2">
        <v>108.64</v>
      </c>
      <c r="S9188" s="2">
        <v>0.81974340000000001</v>
      </c>
      <c r="T9188" s="2">
        <v>0.69710989999999995</v>
      </c>
    </row>
    <row r="9189" spans="18:20" x14ac:dyDescent="0.45">
      <c r="R9189" s="2">
        <v>108.65</v>
      </c>
      <c r="S9189" s="2">
        <v>0.82033319999999998</v>
      </c>
      <c r="T9189" s="2">
        <v>0.69781499999999996</v>
      </c>
    </row>
    <row r="9190" spans="18:20" x14ac:dyDescent="0.45">
      <c r="R9190" s="2">
        <v>108.66</v>
      </c>
      <c r="S9190" s="2">
        <v>0.82092290000000001</v>
      </c>
      <c r="T9190" s="2">
        <v>0.69852020000000004</v>
      </c>
    </row>
    <row r="9191" spans="18:20" x14ac:dyDescent="0.45">
      <c r="R9191" s="2">
        <v>108.67</v>
      </c>
      <c r="S9191" s="2">
        <v>0.82151260000000004</v>
      </c>
      <c r="T9191" s="2">
        <v>0.6992254</v>
      </c>
    </row>
    <row r="9192" spans="18:20" x14ac:dyDescent="0.45">
      <c r="R9192" s="2">
        <v>108.68</v>
      </c>
      <c r="S9192" s="2">
        <v>0.82210229999999995</v>
      </c>
      <c r="T9192" s="2">
        <v>0.69993059999999996</v>
      </c>
    </row>
    <row r="9193" spans="18:20" x14ac:dyDescent="0.45">
      <c r="R9193" s="2">
        <v>108.69</v>
      </c>
      <c r="S9193" s="2">
        <v>0.82269199999999998</v>
      </c>
      <c r="T9193" s="2">
        <v>0.70063569999999997</v>
      </c>
    </row>
    <row r="9194" spans="18:20" x14ac:dyDescent="0.45">
      <c r="R9194" s="2">
        <v>108.7</v>
      </c>
      <c r="S9194" s="2">
        <v>0.82328170000000001</v>
      </c>
      <c r="T9194" s="2">
        <v>0.70134090000000004</v>
      </c>
    </row>
    <row r="9195" spans="18:20" x14ac:dyDescent="0.45">
      <c r="R9195" s="2">
        <v>108.71</v>
      </c>
      <c r="S9195" s="2">
        <v>0.82387140000000003</v>
      </c>
      <c r="T9195" s="2">
        <v>0.70204599999999995</v>
      </c>
    </row>
    <row r="9196" spans="18:20" x14ac:dyDescent="0.45">
      <c r="R9196" s="2">
        <v>108.72</v>
      </c>
      <c r="S9196" s="2">
        <v>0.82446109999999995</v>
      </c>
      <c r="T9196" s="2">
        <v>0.70275120000000002</v>
      </c>
    </row>
    <row r="9197" spans="18:20" x14ac:dyDescent="0.45">
      <c r="R9197" s="2">
        <v>108.73</v>
      </c>
      <c r="S9197" s="2">
        <v>0.82505079999999997</v>
      </c>
      <c r="T9197" s="2">
        <v>0.70345639999999998</v>
      </c>
    </row>
    <row r="9198" spans="18:20" x14ac:dyDescent="0.45">
      <c r="R9198" s="2">
        <v>108.74</v>
      </c>
      <c r="S9198" s="2">
        <v>0.8256405</v>
      </c>
      <c r="T9198" s="2">
        <v>0.70416160000000005</v>
      </c>
    </row>
    <row r="9199" spans="18:20" x14ac:dyDescent="0.45">
      <c r="R9199" s="2">
        <v>108.75</v>
      </c>
      <c r="S9199" s="2">
        <v>0.82623020000000003</v>
      </c>
      <c r="T9199" s="2">
        <v>0.70486669999999996</v>
      </c>
    </row>
    <row r="9200" spans="18:20" x14ac:dyDescent="0.45">
      <c r="R9200" s="2">
        <v>108.76</v>
      </c>
      <c r="S9200" s="2">
        <v>0.82682</v>
      </c>
      <c r="T9200" s="2">
        <v>0.70557190000000003</v>
      </c>
    </row>
    <row r="9201" spans="18:20" x14ac:dyDescent="0.45">
      <c r="R9201" s="2">
        <v>108.77</v>
      </c>
      <c r="S9201" s="2">
        <v>0.82740970000000003</v>
      </c>
      <c r="T9201" s="2">
        <v>0.70627709999999999</v>
      </c>
    </row>
    <row r="9202" spans="18:20" x14ac:dyDescent="0.45">
      <c r="R9202" s="2">
        <v>108.78</v>
      </c>
      <c r="S9202" s="2">
        <v>0.82799940000000005</v>
      </c>
      <c r="T9202" s="2">
        <v>0.70698229999999995</v>
      </c>
    </row>
    <row r="9203" spans="18:20" x14ac:dyDescent="0.45">
      <c r="R9203" s="2">
        <v>108.79</v>
      </c>
      <c r="S9203" s="2">
        <v>0.82858909999999997</v>
      </c>
      <c r="T9203" s="2">
        <v>0.70768739999999997</v>
      </c>
    </row>
    <row r="9204" spans="18:20" x14ac:dyDescent="0.45">
      <c r="R9204" s="2">
        <v>108.8</v>
      </c>
      <c r="S9204" s="2">
        <v>0.82917879999999999</v>
      </c>
      <c r="T9204" s="2">
        <v>0.70839260000000004</v>
      </c>
    </row>
    <row r="9205" spans="18:20" x14ac:dyDescent="0.45">
      <c r="R9205" s="2">
        <v>108.81</v>
      </c>
      <c r="S9205" s="2">
        <v>0.82976850000000002</v>
      </c>
      <c r="T9205" s="2">
        <v>0.7090978</v>
      </c>
    </row>
    <row r="9206" spans="18:20" x14ac:dyDescent="0.45">
      <c r="R9206" s="2">
        <v>108.82</v>
      </c>
      <c r="S9206" s="2">
        <v>0.83035820000000005</v>
      </c>
      <c r="T9206" s="2">
        <v>0.70980299999999996</v>
      </c>
    </row>
    <row r="9207" spans="18:20" x14ac:dyDescent="0.45">
      <c r="R9207" s="2">
        <v>108.83</v>
      </c>
      <c r="S9207" s="2">
        <v>0.83094800000000002</v>
      </c>
      <c r="T9207" s="2">
        <v>0.71050809999999998</v>
      </c>
    </row>
    <row r="9208" spans="18:20" x14ac:dyDescent="0.45">
      <c r="R9208" s="2">
        <v>108.84</v>
      </c>
      <c r="S9208" s="2">
        <v>0.83153759999999999</v>
      </c>
      <c r="T9208" s="2">
        <v>0.71121330000000005</v>
      </c>
    </row>
    <row r="9209" spans="18:20" x14ac:dyDescent="0.45">
      <c r="R9209" s="2">
        <v>108.85</v>
      </c>
      <c r="S9209" s="2">
        <v>0.83212730000000001</v>
      </c>
      <c r="T9209" s="2">
        <v>0.71191839999999995</v>
      </c>
    </row>
    <row r="9210" spans="18:20" x14ac:dyDescent="0.45">
      <c r="R9210" s="2">
        <v>108.86</v>
      </c>
      <c r="S9210" s="2">
        <v>0.83271700000000004</v>
      </c>
      <c r="T9210" s="2">
        <v>0.71262360000000002</v>
      </c>
    </row>
    <row r="9211" spans="18:20" x14ac:dyDescent="0.45">
      <c r="R9211" s="2">
        <v>108.87</v>
      </c>
      <c r="S9211" s="2">
        <v>0.83330680000000001</v>
      </c>
      <c r="T9211" s="2">
        <v>0.71332879999999999</v>
      </c>
    </row>
    <row r="9212" spans="18:20" x14ac:dyDescent="0.45">
      <c r="R9212" s="2">
        <v>108.88</v>
      </c>
      <c r="S9212" s="2">
        <v>0.83389650000000004</v>
      </c>
      <c r="T9212" s="2">
        <v>0.71403399999999995</v>
      </c>
    </row>
    <row r="9213" spans="18:20" x14ac:dyDescent="0.45">
      <c r="R9213" s="2">
        <v>108.89</v>
      </c>
      <c r="S9213" s="2">
        <v>0.83448619999999996</v>
      </c>
      <c r="T9213" s="2">
        <v>0.71473909999999996</v>
      </c>
    </row>
    <row r="9214" spans="18:20" x14ac:dyDescent="0.45">
      <c r="R9214" s="2">
        <v>108.9</v>
      </c>
      <c r="S9214" s="2">
        <v>0.83507589999999998</v>
      </c>
      <c r="T9214" s="2">
        <v>0.71544430000000003</v>
      </c>
    </row>
    <row r="9215" spans="18:20" x14ac:dyDescent="0.45">
      <c r="R9215" s="2">
        <v>108.91</v>
      </c>
      <c r="S9215" s="2">
        <v>0.83566560000000001</v>
      </c>
      <c r="T9215" s="2">
        <v>0.71614949999999999</v>
      </c>
    </row>
    <row r="9216" spans="18:20" x14ac:dyDescent="0.45">
      <c r="R9216" s="2">
        <v>108.92</v>
      </c>
      <c r="S9216" s="2">
        <v>0.83625530000000003</v>
      </c>
      <c r="T9216" s="2">
        <v>0.71685460000000001</v>
      </c>
    </row>
    <row r="9217" spans="18:20" x14ac:dyDescent="0.45">
      <c r="R9217" s="2">
        <v>108.93</v>
      </c>
      <c r="S9217" s="2">
        <v>0.83684499999999995</v>
      </c>
      <c r="T9217" s="2">
        <v>0.71755979999999997</v>
      </c>
    </row>
    <row r="9218" spans="18:20" x14ac:dyDescent="0.45">
      <c r="R9218" s="2">
        <v>108.94</v>
      </c>
      <c r="S9218" s="2">
        <v>0.83743469999999998</v>
      </c>
      <c r="T9218" s="2">
        <v>0.71826500000000004</v>
      </c>
    </row>
    <row r="9219" spans="18:20" x14ac:dyDescent="0.45">
      <c r="R9219" s="2">
        <v>108.95</v>
      </c>
      <c r="S9219" s="2">
        <v>0.83802449999999995</v>
      </c>
      <c r="T9219" s="2">
        <v>0.7189702</v>
      </c>
    </row>
    <row r="9220" spans="18:20" x14ac:dyDescent="0.45">
      <c r="R9220" s="2">
        <v>108.96</v>
      </c>
      <c r="S9220" s="2">
        <v>0.83861419999999998</v>
      </c>
      <c r="T9220" s="2">
        <v>0.71967530000000002</v>
      </c>
    </row>
    <row r="9221" spans="18:20" x14ac:dyDescent="0.45">
      <c r="R9221" s="2">
        <v>108.97</v>
      </c>
      <c r="S9221" s="2">
        <v>0.8392039</v>
      </c>
      <c r="T9221" s="2">
        <v>0.72038049999999998</v>
      </c>
    </row>
    <row r="9222" spans="18:20" x14ac:dyDescent="0.45">
      <c r="R9222" s="2">
        <v>108.98</v>
      </c>
      <c r="S9222" s="2">
        <v>0.83979360000000003</v>
      </c>
      <c r="T9222" s="2">
        <v>0.72108570000000005</v>
      </c>
    </row>
    <row r="9223" spans="18:20" x14ac:dyDescent="0.45">
      <c r="R9223" s="2">
        <v>108.99</v>
      </c>
      <c r="S9223" s="2">
        <v>0.84038330000000006</v>
      </c>
      <c r="T9223" s="2">
        <v>0.72179079999999995</v>
      </c>
    </row>
    <row r="9224" spans="18:20" x14ac:dyDescent="0.45">
      <c r="R9224" s="2">
        <v>109</v>
      </c>
      <c r="S9224" s="2">
        <v>0.84097299999999997</v>
      </c>
      <c r="T9224" s="2">
        <v>0.72249600000000003</v>
      </c>
    </row>
    <row r="9225" spans="18:20" x14ac:dyDescent="0.45">
      <c r="R9225" s="2">
        <v>109.01</v>
      </c>
      <c r="S9225" s="2">
        <v>0.84159819999999996</v>
      </c>
      <c r="T9225" s="2">
        <v>0.72327750000000002</v>
      </c>
    </row>
    <row r="9226" spans="18:20" x14ac:dyDescent="0.45">
      <c r="R9226" s="2">
        <v>109.02</v>
      </c>
      <c r="S9226" s="2">
        <v>0.84222339999999996</v>
      </c>
      <c r="T9226" s="2">
        <v>0.72405889999999995</v>
      </c>
    </row>
    <row r="9227" spans="18:20" x14ac:dyDescent="0.45">
      <c r="R9227" s="2">
        <v>109.03</v>
      </c>
      <c r="S9227" s="2">
        <v>0.84284859999999995</v>
      </c>
      <c r="T9227" s="2">
        <v>0.72484040000000005</v>
      </c>
    </row>
    <row r="9228" spans="18:20" x14ac:dyDescent="0.45">
      <c r="R9228" s="2">
        <v>109.04</v>
      </c>
      <c r="S9228" s="2">
        <v>0.84347380000000005</v>
      </c>
      <c r="T9228" s="2">
        <v>0.72562179999999998</v>
      </c>
    </row>
    <row r="9229" spans="18:20" x14ac:dyDescent="0.45">
      <c r="R9229" s="2">
        <v>109.05</v>
      </c>
      <c r="S9229" s="2">
        <v>0.84409900000000004</v>
      </c>
      <c r="T9229" s="2">
        <v>0.72640329999999997</v>
      </c>
    </row>
    <row r="9230" spans="18:20" x14ac:dyDescent="0.45">
      <c r="R9230" s="2">
        <v>109.06</v>
      </c>
      <c r="S9230" s="2">
        <v>0.84472429999999998</v>
      </c>
      <c r="T9230" s="2">
        <v>0.72718479999999996</v>
      </c>
    </row>
    <row r="9231" spans="18:20" x14ac:dyDescent="0.45">
      <c r="R9231" s="2">
        <v>109.07</v>
      </c>
      <c r="S9231" s="2">
        <v>0.84534949999999998</v>
      </c>
      <c r="T9231" s="2">
        <v>0.72796620000000001</v>
      </c>
    </row>
    <row r="9232" spans="18:20" x14ac:dyDescent="0.45">
      <c r="R9232" s="2">
        <v>109.08</v>
      </c>
      <c r="S9232" s="2">
        <v>0.84597469999999997</v>
      </c>
      <c r="T9232" s="2">
        <v>0.7287477</v>
      </c>
    </row>
    <row r="9233" spans="18:20" x14ac:dyDescent="0.45">
      <c r="R9233" s="2">
        <v>109.09</v>
      </c>
      <c r="S9233" s="2">
        <v>0.84659989999999996</v>
      </c>
      <c r="T9233" s="2">
        <v>0.72952910000000004</v>
      </c>
    </row>
    <row r="9234" spans="18:20" x14ac:dyDescent="0.45">
      <c r="R9234" s="2">
        <v>109.1</v>
      </c>
      <c r="S9234" s="2">
        <v>0.84722509999999995</v>
      </c>
      <c r="T9234" s="2">
        <v>0.73031060000000003</v>
      </c>
    </row>
    <row r="9235" spans="18:20" x14ac:dyDescent="0.45">
      <c r="R9235" s="2">
        <v>109.11</v>
      </c>
      <c r="S9235" s="2">
        <v>0.84785029999999995</v>
      </c>
      <c r="T9235" s="2">
        <v>0.73109199999999996</v>
      </c>
    </row>
    <row r="9236" spans="18:20" x14ac:dyDescent="0.45">
      <c r="R9236" s="2">
        <v>109.12</v>
      </c>
      <c r="S9236" s="2">
        <v>0.84847550000000005</v>
      </c>
      <c r="T9236" s="2">
        <v>0.73187349999999995</v>
      </c>
    </row>
    <row r="9237" spans="18:20" x14ac:dyDescent="0.45">
      <c r="R9237" s="2">
        <v>109.13</v>
      </c>
      <c r="S9237" s="2">
        <v>0.84910070000000004</v>
      </c>
      <c r="T9237" s="2">
        <v>0.73265499999999995</v>
      </c>
    </row>
    <row r="9238" spans="18:20" x14ac:dyDescent="0.45">
      <c r="R9238" s="2">
        <v>109.14</v>
      </c>
      <c r="S9238" s="2">
        <v>0.84972599999999998</v>
      </c>
      <c r="T9238" s="2">
        <v>0.73343639999999999</v>
      </c>
    </row>
    <row r="9239" spans="18:20" x14ac:dyDescent="0.45">
      <c r="R9239" s="2">
        <v>109.15</v>
      </c>
      <c r="S9239" s="2">
        <v>0.85035119999999997</v>
      </c>
      <c r="T9239" s="2">
        <v>0.73421789999999998</v>
      </c>
    </row>
    <row r="9240" spans="18:20" x14ac:dyDescent="0.45">
      <c r="R9240" s="2">
        <v>109.16</v>
      </c>
      <c r="S9240" s="2">
        <v>0.85097639999999997</v>
      </c>
      <c r="T9240" s="2">
        <v>0.73499939999999997</v>
      </c>
    </row>
    <row r="9241" spans="18:20" x14ac:dyDescent="0.45">
      <c r="R9241" s="2">
        <v>109.17</v>
      </c>
      <c r="S9241" s="2">
        <v>0.85160159999999996</v>
      </c>
      <c r="T9241" s="2">
        <v>0.73578080000000001</v>
      </c>
    </row>
    <row r="9242" spans="18:20" x14ac:dyDescent="0.45">
      <c r="R9242" s="2">
        <v>109.18</v>
      </c>
      <c r="S9242" s="2">
        <v>0.85222679999999995</v>
      </c>
      <c r="T9242" s="2">
        <v>0.7365623</v>
      </c>
    </row>
    <row r="9243" spans="18:20" x14ac:dyDescent="0.45">
      <c r="R9243" s="2">
        <v>109.19</v>
      </c>
      <c r="S9243" s="2">
        <v>0.85285200000000005</v>
      </c>
      <c r="T9243" s="2">
        <v>0.73734370000000005</v>
      </c>
    </row>
    <row r="9244" spans="18:20" x14ac:dyDescent="0.45">
      <c r="R9244" s="2">
        <v>109.2</v>
      </c>
      <c r="S9244" s="2">
        <v>0.85347720000000005</v>
      </c>
      <c r="T9244" s="2">
        <v>0.73812520000000004</v>
      </c>
    </row>
    <row r="9245" spans="18:20" x14ac:dyDescent="0.45">
      <c r="R9245" s="2">
        <v>109.21</v>
      </c>
      <c r="S9245" s="2">
        <v>0.85410240000000004</v>
      </c>
      <c r="T9245" s="2">
        <v>0.73890670000000003</v>
      </c>
    </row>
    <row r="9246" spans="18:20" x14ac:dyDescent="0.45">
      <c r="R9246" s="2">
        <v>109.22</v>
      </c>
      <c r="S9246" s="2">
        <v>0.85472760000000003</v>
      </c>
      <c r="T9246" s="2">
        <v>0.73968809999999996</v>
      </c>
    </row>
    <row r="9247" spans="18:20" x14ac:dyDescent="0.45">
      <c r="R9247" s="2">
        <v>109.23</v>
      </c>
      <c r="S9247" s="2">
        <v>0.85535280000000002</v>
      </c>
      <c r="T9247" s="2">
        <v>0.74046959999999995</v>
      </c>
    </row>
    <row r="9248" spans="18:20" x14ac:dyDescent="0.45">
      <c r="R9248" s="2">
        <v>109.24</v>
      </c>
      <c r="S9248" s="2">
        <v>0.85597800000000002</v>
      </c>
      <c r="T9248" s="2">
        <v>0.74125099999999999</v>
      </c>
    </row>
    <row r="9249" spans="18:20" x14ac:dyDescent="0.45">
      <c r="R9249" s="2">
        <v>109.25</v>
      </c>
      <c r="S9249" s="2">
        <v>0.85660329999999996</v>
      </c>
      <c r="T9249" s="2">
        <v>0.74203249999999998</v>
      </c>
    </row>
    <row r="9250" spans="18:20" x14ac:dyDescent="0.45">
      <c r="R9250" s="2">
        <v>109.26</v>
      </c>
      <c r="S9250" s="2">
        <v>0.85722849999999995</v>
      </c>
      <c r="T9250" s="2">
        <v>0.74281399999999997</v>
      </c>
    </row>
    <row r="9251" spans="18:20" x14ac:dyDescent="0.45">
      <c r="R9251" s="2">
        <v>109.27</v>
      </c>
      <c r="S9251" s="2">
        <v>0.85785370000000005</v>
      </c>
      <c r="T9251" s="2">
        <v>0.74359540000000002</v>
      </c>
    </row>
    <row r="9252" spans="18:20" x14ac:dyDescent="0.45">
      <c r="R9252" s="2">
        <v>109.28</v>
      </c>
      <c r="S9252" s="2">
        <v>0.85847890000000004</v>
      </c>
      <c r="T9252" s="2">
        <v>0.74437690000000001</v>
      </c>
    </row>
    <row r="9253" spans="18:20" x14ac:dyDescent="0.45">
      <c r="R9253" s="2">
        <v>109.29</v>
      </c>
      <c r="S9253" s="2">
        <v>0.85910410000000004</v>
      </c>
      <c r="T9253" s="2">
        <v>0.74515830000000005</v>
      </c>
    </row>
    <row r="9254" spans="18:20" x14ac:dyDescent="0.45">
      <c r="R9254" s="2">
        <v>109.3</v>
      </c>
      <c r="S9254" s="2">
        <v>0.85972930000000003</v>
      </c>
      <c r="T9254" s="2">
        <v>0.74593980000000004</v>
      </c>
    </row>
    <row r="9255" spans="18:20" x14ac:dyDescent="0.45">
      <c r="R9255" s="2">
        <v>109.31</v>
      </c>
      <c r="S9255" s="2">
        <v>0.86035450000000002</v>
      </c>
      <c r="T9255" s="2">
        <v>0.74672130000000003</v>
      </c>
    </row>
    <row r="9256" spans="18:20" x14ac:dyDescent="0.45">
      <c r="R9256" s="2">
        <v>109.32</v>
      </c>
      <c r="S9256" s="2">
        <v>0.86097970000000001</v>
      </c>
      <c r="T9256" s="2">
        <v>0.74750269999999996</v>
      </c>
    </row>
    <row r="9257" spans="18:20" x14ac:dyDescent="0.45">
      <c r="R9257" s="2">
        <v>109.33</v>
      </c>
      <c r="S9257" s="2">
        <v>0.86160499999999995</v>
      </c>
      <c r="T9257" s="2">
        <v>0.74828419999999995</v>
      </c>
    </row>
    <row r="9258" spans="18:20" x14ac:dyDescent="0.45">
      <c r="R9258" s="2">
        <v>109.34</v>
      </c>
      <c r="S9258" s="2">
        <v>0.8622301</v>
      </c>
      <c r="T9258" s="2">
        <v>0.7490656</v>
      </c>
    </row>
    <row r="9259" spans="18:20" x14ac:dyDescent="0.45">
      <c r="R9259" s="2">
        <v>109.35</v>
      </c>
      <c r="S9259" s="2">
        <v>0.86285529999999999</v>
      </c>
      <c r="T9259" s="2">
        <v>0.74984709999999999</v>
      </c>
    </row>
    <row r="9260" spans="18:20" x14ac:dyDescent="0.45">
      <c r="R9260" s="2">
        <v>109.36</v>
      </c>
      <c r="S9260" s="2">
        <v>0.86348060000000004</v>
      </c>
      <c r="T9260" s="2">
        <v>0.75062859999999998</v>
      </c>
    </row>
    <row r="9261" spans="18:20" x14ac:dyDescent="0.45">
      <c r="R9261" s="2">
        <v>109.37</v>
      </c>
      <c r="S9261" s="2">
        <v>0.86410580000000003</v>
      </c>
      <c r="T9261" s="2">
        <v>0.75141000000000002</v>
      </c>
    </row>
    <row r="9262" spans="18:20" x14ac:dyDescent="0.45">
      <c r="R9262" s="2">
        <v>109.38</v>
      </c>
      <c r="S9262" s="2">
        <v>0.86473100000000003</v>
      </c>
      <c r="T9262" s="2">
        <v>0.75219150000000001</v>
      </c>
    </row>
    <row r="9263" spans="18:20" x14ac:dyDescent="0.45">
      <c r="R9263" s="2">
        <v>109.39</v>
      </c>
      <c r="S9263" s="2">
        <v>0.86535620000000002</v>
      </c>
      <c r="T9263" s="2">
        <v>0.752973</v>
      </c>
    </row>
    <row r="9264" spans="18:20" x14ac:dyDescent="0.45">
      <c r="R9264" s="2">
        <v>109.4</v>
      </c>
      <c r="S9264" s="2">
        <v>0.86598140000000001</v>
      </c>
      <c r="T9264" s="2">
        <v>0.75375440000000005</v>
      </c>
    </row>
    <row r="9265" spans="18:20" x14ac:dyDescent="0.45">
      <c r="R9265" s="2">
        <v>109.41</v>
      </c>
      <c r="S9265" s="2">
        <v>0.8666066</v>
      </c>
      <c r="T9265" s="2">
        <v>0.75453590000000004</v>
      </c>
    </row>
    <row r="9266" spans="18:20" x14ac:dyDescent="0.45">
      <c r="R9266" s="2">
        <v>109.42</v>
      </c>
      <c r="S9266" s="2">
        <v>0.8672318</v>
      </c>
      <c r="T9266" s="2">
        <v>0.75531729999999997</v>
      </c>
    </row>
    <row r="9267" spans="18:20" x14ac:dyDescent="0.45">
      <c r="R9267" s="2">
        <v>109.43</v>
      </c>
      <c r="S9267" s="2">
        <v>0.86785699999999999</v>
      </c>
      <c r="T9267" s="2">
        <v>0.75609879999999996</v>
      </c>
    </row>
    <row r="9268" spans="18:20" x14ac:dyDescent="0.45">
      <c r="R9268" s="2">
        <v>109.44</v>
      </c>
      <c r="S9268" s="2">
        <v>0.86848219999999998</v>
      </c>
      <c r="T9268" s="2">
        <v>0.7568802</v>
      </c>
    </row>
    <row r="9269" spans="18:20" x14ac:dyDescent="0.45">
      <c r="R9269" s="2">
        <v>109.45</v>
      </c>
      <c r="S9269" s="2">
        <v>0.86910750000000003</v>
      </c>
      <c r="T9269" s="2">
        <v>0.75766169999999999</v>
      </c>
    </row>
    <row r="9270" spans="18:20" x14ac:dyDescent="0.45">
      <c r="R9270" s="2">
        <v>109.46</v>
      </c>
      <c r="S9270" s="2">
        <v>0.86973270000000003</v>
      </c>
      <c r="T9270" s="2">
        <v>0.75844319999999998</v>
      </c>
    </row>
    <row r="9271" spans="18:20" x14ac:dyDescent="0.45">
      <c r="R9271" s="2">
        <v>109.47</v>
      </c>
      <c r="S9271" s="2">
        <v>0.87035790000000002</v>
      </c>
      <c r="T9271" s="2">
        <v>0.75922460000000003</v>
      </c>
    </row>
    <row r="9272" spans="18:20" x14ac:dyDescent="0.45">
      <c r="R9272" s="2">
        <v>109.48</v>
      </c>
      <c r="S9272" s="2">
        <v>0.87098299999999995</v>
      </c>
      <c r="T9272" s="2">
        <v>0.76000610000000002</v>
      </c>
    </row>
    <row r="9273" spans="18:20" x14ac:dyDescent="0.45">
      <c r="R9273" s="2">
        <v>109.49</v>
      </c>
      <c r="S9273" s="2">
        <v>0.8716083</v>
      </c>
      <c r="T9273" s="2">
        <v>0.76078749999999995</v>
      </c>
    </row>
    <row r="9274" spans="18:20" x14ac:dyDescent="0.45">
      <c r="R9274" s="2">
        <v>109.5</v>
      </c>
      <c r="S9274" s="2">
        <v>0.87223349999999999</v>
      </c>
      <c r="T9274" s="2">
        <v>0.76156900000000005</v>
      </c>
    </row>
    <row r="9275" spans="18:20" x14ac:dyDescent="0.45">
      <c r="R9275" s="2">
        <v>109.51</v>
      </c>
      <c r="S9275" s="2">
        <v>0.87285869999999999</v>
      </c>
      <c r="T9275" s="2">
        <v>0.76235050000000004</v>
      </c>
    </row>
    <row r="9276" spans="18:20" x14ac:dyDescent="0.45">
      <c r="R9276" s="2">
        <v>109.52</v>
      </c>
      <c r="S9276" s="2">
        <v>0.87348400000000004</v>
      </c>
      <c r="T9276" s="2">
        <v>0.76313189999999997</v>
      </c>
    </row>
    <row r="9277" spans="18:20" x14ac:dyDescent="0.45">
      <c r="R9277" s="2">
        <v>109.53</v>
      </c>
      <c r="S9277" s="2">
        <v>0.87410909999999997</v>
      </c>
      <c r="T9277" s="2">
        <v>0.76391339999999996</v>
      </c>
    </row>
    <row r="9278" spans="18:20" x14ac:dyDescent="0.45">
      <c r="R9278" s="2">
        <v>109.54</v>
      </c>
      <c r="S9278" s="2">
        <v>0.87473429999999996</v>
      </c>
      <c r="T9278" s="2">
        <v>0.76469480000000001</v>
      </c>
    </row>
    <row r="9279" spans="18:20" x14ac:dyDescent="0.45">
      <c r="R9279" s="2">
        <v>109.55</v>
      </c>
      <c r="S9279" s="2">
        <v>0.87535949999999996</v>
      </c>
      <c r="T9279" s="2">
        <v>0.7654763</v>
      </c>
    </row>
    <row r="9280" spans="18:20" x14ac:dyDescent="0.45">
      <c r="R9280" s="2">
        <v>109.56</v>
      </c>
      <c r="S9280" s="2">
        <v>0.87598480000000001</v>
      </c>
      <c r="T9280" s="2">
        <v>0.76625779999999999</v>
      </c>
    </row>
    <row r="9281" spans="18:20" x14ac:dyDescent="0.45">
      <c r="R9281" s="2">
        <v>109.57</v>
      </c>
      <c r="S9281" s="2">
        <v>0.87661</v>
      </c>
      <c r="T9281" s="2">
        <v>0.76703920000000003</v>
      </c>
    </row>
    <row r="9282" spans="18:20" x14ac:dyDescent="0.45">
      <c r="R9282" s="2">
        <v>109.58</v>
      </c>
      <c r="S9282" s="2">
        <v>0.87723519999999999</v>
      </c>
      <c r="T9282" s="2">
        <v>0.76782070000000002</v>
      </c>
    </row>
    <row r="9283" spans="18:20" x14ac:dyDescent="0.45">
      <c r="R9283" s="2">
        <v>109.59</v>
      </c>
      <c r="S9283" s="2">
        <v>0.87786039999999999</v>
      </c>
      <c r="T9283" s="2">
        <v>0.76860209999999995</v>
      </c>
    </row>
    <row r="9284" spans="18:20" x14ac:dyDescent="0.45">
      <c r="R9284" s="2">
        <v>109.6</v>
      </c>
      <c r="S9284" s="2">
        <v>0.87848559999999998</v>
      </c>
      <c r="T9284" s="2">
        <v>0.76938359999999995</v>
      </c>
    </row>
    <row r="9285" spans="18:20" x14ac:dyDescent="0.45">
      <c r="R9285" s="2">
        <v>109.61</v>
      </c>
      <c r="S9285" s="2">
        <v>0.87911079999999997</v>
      </c>
      <c r="T9285" s="2">
        <v>0.77016499999999999</v>
      </c>
    </row>
    <row r="9286" spans="18:20" x14ac:dyDescent="0.45">
      <c r="R9286" s="2">
        <v>109.62</v>
      </c>
      <c r="S9286" s="2">
        <v>0.87973599999999996</v>
      </c>
      <c r="T9286" s="2">
        <v>0.77094649999999998</v>
      </c>
    </row>
    <row r="9287" spans="18:20" x14ac:dyDescent="0.45">
      <c r="R9287" s="2">
        <v>109.63</v>
      </c>
      <c r="S9287" s="2">
        <v>0.88036119999999995</v>
      </c>
      <c r="T9287" s="2">
        <v>0.77172799999999997</v>
      </c>
    </row>
    <row r="9288" spans="18:20" x14ac:dyDescent="0.45">
      <c r="R9288" s="2">
        <v>109.64</v>
      </c>
      <c r="S9288" s="2">
        <v>0.88098639999999995</v>
      </c>
      <c r="T9288" s="2">
        <v>0.77250940000000001</v>
      </c>
    </row>
    <row r="9289" spans="18:20" x14ac:dyDescent="0.45">
      <c r="R9289" s="2">
        <v>109.65</v>
      </c>
      <c r="S9289" s="2">
        <v>0.8816117</v>
      </c>
      <c r="T9289" s="2">
        <v>0.7732909</v>
      </c>
    </row>
    <row r="9290" spans="18:20" x14ac:dyDescent="0.45">
      <c r="R9290" s="2">
        <v>109.66</v>
      </c>
      <c r="S9290" s="2">
        <v>0.88223689999999999</v>
      </c>
      <c r="T9290" s="2">
        <v>0.77407239999999999</v>
      </c>
    </row>
    <row r="9291" spans="18:20" x14ac:dyDescent="0.45">
      <c r="R9291" s="2">
        <v>109.67</v>
      </c>
      <c r="S9291" s="2">
        <v>0.88286200000000004</v>
      </c>
      <c r="T9291" s="2">
        <v>0.77485380000000004</v>
      </c>
    </row>
    <row r="9292" spans="18:20" x14ac:dyDescent="0.45">
      <c r="R9292" s="2">
        <v>109.68</v>
      </c>
      <c r="S9292" s="2">
        <v>0.88348729999999998</v>
      </c>
      <c r="T9292" s="2">
        <v>0.77563530000000003</v>
      </c>
    </row>
    <row r="9293" spans="18:20" x14ac:dyDescent="0.45">
      <c r="R9293" s="2">
        <v>109.69</v>
      </c>
      <c r="S9293" s="2">
        <v>0.88411249999999997</v>
      </c>
      <c r="T9293" s="2">
        <v>0.77641669999999996</v>
      </c>
    </row>
    <row r="9294" spans="18:20" x14ac:dyDescent="0.45">
      <c r="R9294" s="2">
        <v>109.7</v>
      </c>
      <c r="S9294" s="2">
        <v>0.88473769999999996</v>
      </c>
      <c r="T9294" s="2">
        <v>0.77719819999999995</v>
      </c>
    </row>
    <row r="9295" spans="18:20" x14ac:dyDescent="0.45">
      <c r="R9295" s="2">
        <v>109.71</v>
      </c>
      <c r="S9295" s="2">
        <v>0.88536289999999995</v>
      </c>
      <c r="T9295" s="2">
        <v>0.77797970000000005</v>
      </c>
    </row>
    <row r="9296" spans="18:20" x14ac:dyDescent="0.45">
      <c r="R9296" s="2">
        <v>109.72</v>
      </c>
      <c r="S9296" s="2">
        <v>0.88598809999999995</v>
      </c>
      <c r="T9296" s="2">
        <v>0.77876109999999998</v>
      </c>
    </row>
    <row r="9297" spans="18:20" x14ac:dyDescent="0.45">
      <c r="R9297" s="2">
        <v>109.73</v>
      </c>
      <c r="S9297" s="2">
        <v>0.88661330000000005</v>
      </c>
      <c r="T9297" s="2">
        <v>0.77954259999999997</v>
      </c>
    </row>
    <row r="9298" spans="18:20" x14ac:dyDescent="0.45">
      <c r="R9298" s="2">
        <v>109.74</v>
      </c>
      <c r="S9298" s="2">
        <v>0.88723850000000004</v>
      </c>
      <c r="T9298" s="2">
        <v>0.78032400000000002</v>
      </c>
    </row>
    <row r="9299" spans="18:20" x14ac:dyDescent="0.45">
      <c r="R9299" s="2">
        <v>109.75</v>
      </c>
      <c r="S9299" s="2">
        <v>0.88786370000000003</v>
      </c>
      <c r="T9299" s="2">
        <v>0.78110550000000001</v>
      </c>
    </row>
    <row r="9300" spans="18:20" x14ac:dyDescent="0.45">
      <c r="R9300" s="2">
        <v>109.76</v>
      </c>
      <c r="S9300" s="2">
        <v>0.88848899999999997</v>
      </c>
      <c r="T9300" s="2">
        <v>0.781887</v>
      </c>
    </row>
    <row r="9301" spans="18:20" x14ac:dyDescent="0.45">
      <c r="R9301" s="2">
        <v>109.77</v>
      </c>
      <c r="S9301" s="2">
        <v>0.88911419999999997</v>
      </c>
      <c r="T9301" s="2">
        <v>0.78266840000000004</v>
      </c>
    </row>
    <row r="9302" spans="18:20" x14ac:dyDescent="0.45">
      <c r="R9302" s="2">
        <v>109.78</v>
      </c>
      <c r="S9302" s="2">
        <v>0.88973939999999996</v>
      </c>
      <c r="T9302" s="2">
        <v>0.78344990000000003</v>
      </c>
    </row>
    <row r="9303" spans="18:20" x14ac:dyDescent="0.45">
      <c r="R9303" s="2">
        <v>109.79</v>
      </c>
      <c r="S9303" s="2">
        <v>0.89036459999999995</v>
      </c>
      <c r="T9303" s="2">
        <v>0.78423129999999996</v>
      </c>
    </row>
    <row r="9304" spans="18:20" x14ac:dyDescent="0.45">
      <c r="R9304" s="2">
        <v>109.8</v>
      </c>
      <c r="S9304" s="2">
        <v>0.89098980000000005</v>
      </c>
      <c r="T9304" s="2">
        <v>0.78501279999999996</v>
      </c>
    </row>
    <row r="9305" spans="18:20" x14ac:dyDescent="0.45">
      <c r="R9305" s="2">
        <v>109.81</v>
      </c>
      <c r="S9305" s="2">
        <v>0.89161500000000005</v>
      </c>
      <c r="T9305" s="2">
        <v>0.78579429999999995</v>
      </c>
    </row>
    <row r="9306" spans="18:20" x14ac:dyDescent="0.45">
      <c r="R9306" s="2">
        <v>109.82</v>
      </c>
      <c r="S9306" s="2">
        <v>0.89224020000000004</v>
      </c>
      <c r="T9306" s="2">
        <v>0.78657569999999999</v>
      </c>
    </row>
    <row r="9307" spans="18:20" x14ac:dyDescent="0.45">
      <c r="R9307" s="2">
        <v>109.83</v>
      </c>
      <c r="S9307" s="2">
        <v>0.89286540000000003</v>
      </c>
      <c r="T9307" s="2">
        <v>0.78735719999999998</v>
      </c>
    </row>
    <row r="9308" spans="18:20" x14ac:dyDescent="0.45">
      <c r="R9308" s="2">
        <v>109.84</v>
      </c>
      <c r="S9308" s="2">
        <v>0.89349060000000002</v>
      </c>
      <c r="T9308" s="2">
        <v>0.78813860000000002</v>
      </c>
    </row>
    <row r="9309" spans="18:20" x14ac:dyDescent="0.45">
      <c r="R9309" s="2">
        <v>109.85</v>
      </c>
      <c r="S9309" s="2">
        <v>0.89411580000000002</v>
      </c>
      <c r="T9309" s="2">
        <v>0.78892010000000001</v>
      </c>
    </row>
    <row r="9310" spans="18:20" x14ac:dyDescent="0.45">
      <c r="R9310" s="2">
        <v>109.86</v>
      </c>
      <c r="S9310" s="2">
        <v>0.89474100000000001</v>
      </c>
      <c r="T9310" s="2">
        <v>0.7897016</v>
      </c>
    </row>
    <row r="9311" spans="18:20" x14ac:dyDescent="0.45">
      <c r="R9311" s="2">
        <v>109.87</v>
      </c>
      <c r="S9311" s="2">
        <v>0.89536629999999995</v>
      </c>
      <c r="T9311" s="2">
        <v>0.79048300000000005</v>
      </c>
    </row>
    <row r="9312" spans="18:20" x14ac:dyDescent="0.45">
      <c r="R9312" s="2">
        <v>109.88</v>
      </c>
      <c r="S9312" s="2">
        <v>0.89599150000000005</v>
      </c>
      <c r="T9312" s="2">
        <v>0.79126450000000004</v>
      </c>
    </row>
    <row r="9313" spans="18:20" x14ac:dyDescent="0.45">
      <c r="R9313" s="2">
        <v>109.89</v>
      </c>
      <c r="S9313" s="2">
        <v>0.89661670000000004</v>
      </c>
      <c r="T9313" s="2">
        <v>0.79204600000000003</v>
      </c>
    </row>
    <row r="9314" spans="18:20" x14ac:dyDescent="0.45">
      <c r="R9314" s="2">
        <v>109.9</v>
      </c>
      <c r="S9314" s="2">
        <v>0.89724190000000004</v>
      </c>
      <c r="T9314" s="2">
        <v>0.79282739999999996</v>
      </c>
    </row>
    <row r="9315" spans="18:20" x14ac:dyDescent="0.45">
      <c r="R9315" s="2">
        <v>109.91</v>
      </c>
      <c r="S9315" s="2">
        <v>0.89786710000000003</v>
      </c>
      <c r="T9315" s="2">
        <v>0.79360889999999995</v>
      </c>
    </row>
    <row r="9316" spans="18:20" x14ac:dyDescent="0.45">
      <c r="R9316" s="2">
        <v>109.92</v>
      </c>
      <c r="S9316" s="2">
        <v>0.89849230000000002</v>
      </c>
      <c r="T9316" s="2">
        <v>0.79439029999999999</v>
      </c>
    </row>
    <row r="9317" spans="18:20" x14ac:dyDescent="0.45">
      <c r="R9317" s="2">
        <v>109.93</v>
      </c>
      <c r="S9317" s="2">
        <v>0.89911750000000001</v>
      </c>
      <c r="T9317" s="2">
        <v>0.79517179999999998</v>
      </c>
    </row>
    <row r="9318" spans="18:20" x14ac:dyDescent="0.45">
      <c r="R9318" s="2">
        <v>109.94</v>
      </c>
      <c r="S9318" s="2">
        <v>0.89974270000000001</v>
      </c>
      <c r="T9318" s="2">
        <v>0.79595320000000003</v>
      </c>
    </row>
    <row r="9319" spans="18:20" x14ac:dyDescent="0.45">
      <c r="R9319" s="2">
        <v>109.95</v>
      </c>
      <c r="S9319" s="2">
        <v>0.90036799999999995</v>
      </c>
      <c r="T9319" s="2">
        <v>0.79673470000000002</v>
      </c>
    </row>
    <row r="9320" spans="18:20" x14ac:dyDescent="0.45">
      <c r="R9320" s="2">
        <v>109.96</v>
      </c>
      <c r="S9320" s="2">
        <v>0.90099320000000005</v>
      </c>
      <c r="T9320" s="2">
        <v>0.79751620000000001</v>
      </c>
    </row>
    <row r="9321" spans="18:20" x14ac:dyDescent="0.45">
      <c r="R9321" s="2">
        <v>109.97</v>
      </c>
      <c r="S9321" s="2">
        <v>0.90161840000000004</v>
      </c>
      <c r="T9321" s="2">
        <v>0.79829760000000005</v>
      </c>
    </row>
    <row r="9322" spans="18:20" x14ac:dyDescent="0.45">
      <c r="R9322" s="2">
        <v>109.98</v>
      </c>
      <c r="S9322" s="2">
        <v>0.90224360000000003</v>
      </c>
      <c r="T9322" s="2">
        <v>0.79907910000000004</v>
      </c>
    </row>
    <row r="9323" spans="18:20" x14ac:dyDescent="0.45">
      <c r="R9323" s="2">
        <v>109.99</v>
      </c>
      <c r="S9323" s="2">
        <v>0.90286880000000003</v>
      </c>
      <c r="T9323" s="2">
        <v>0.79986049999999997</v>
      </c>
    </row>
    <row r="9324" spans="18:20" x14ac:dyDescent="0.45">
      <c r="R9324" s="2">
        <v>110</v>
      </c>
      <c r="S9324" s="2">
        <v>0.90349400000000002</v>
      </c>
      <c r="T9324" s="2">
        <v>0.80064199999999996</v>
      </c>
    </row>
    <row r="9325" spans="18:20" x14ac:dyDescent="0.45">
      <c r="R9325" s="2">
        <v>110.01</v>
      </c>
      <c r="S9325" s="2">
        <v>0.90415599999999996</v>
      </c>
      <c r="T9325" s="2">
        <v>0.801508</v>
      </c>
    </row>
    <row r="9326" spans="18:20" x14ac:dyDescent="0.45">
      <c r="R9326" s="2">
        <v>110.02</v>
      </c>
      <c r="S9326" s="2">
        <v>0.90481809999999996</v>
      </c>
      <c r="T9326" s="2">
        <v>0.80237400000000003</v>
      </c>
    </row>
    <row r="9327" spans="18:20" x14ac:dyDescent="0.45">
      <c r="R9327" s="2">
        <v>110.03</v>
      </c>
      <c r="S9327" s="2">
        <v>0.90548019999999996</v>
      </c>
      <c r="T9327" s="2">
        <v>0.80323999999999995</v>
      </c>
    </row>
    <row r="9328" spans="18:20" x14ac:dyDescent="0.45">
      <c r="R9328" s="2">
        <v>110.04</v>
      </c>
      <c r="S9328" s="2">
        <v>0.90614220000000001</v>
      </c>
      <c r="T9328" s="2">
        <v>0.80410599999999999</v>
      </c>
    </row>
    <row r="9329" spans="18:20" x14ac:dyDescent="0.45">
      <c r="R9329" s="2">
        <v>110.05</v>
      </c>
      <c r="S9329" s="2">
        <v>0.90680430000000001</v>
      </c>
      <c r="T9329" s="2">
        <v>0.80497200000000002</v>
      </c>
    </row>
    <row r="9330" spans="18:20" x14ac:dyDescent="0.45">
      <c r="R9330" s="2">
        <v>110.06</v>
      </c>
      <c r="S9330" s="2">
        <v>0.90746640000000001</v>
      </c>
      <c r="T9330" s="2">
        <v>0.80583800000000005</v>
      </c>
    </row>
    <row r="9331" spans="18:20" x14ac:dyDescent="0.45">
      <c r="R9331" s="2">
        <v>110.07</v>
      </c>
      <c r="S9331" s="2">
        <v>0.90812839999999995</v>
      </c>
      <c r="T9331" s="2">
        <v>0.80670399999999998</v>
      </c>
    </row>
    <row r="9332" spans="18:20" x14ac:dyDescent="0.45">
      <c r="R9332" s="2">
        <v>110.08</v>
      </c>
      <c r="S9332" s="2">
        <v>0.90879049999999995</v>
      </c>
      <c r="T9332" s="2">
        <v>0.80757000000000001</v>
      </c>
    </row>
    <row r="9333" spans="18:20" x14ac:dyDescent="0.45">
      <c r="R9333" s="2">
        <v>110.09</v>
      </c>
      <c r="S9333" s="2">
        <v>0.9094525</v>
      </c>
      <c r="T9333" s="2">
        <v>0.80843589999999999</v>
      </c>
    </row>
    <row r="9334" spans="18:20" x14ac:dyDescent="0.45">
      <c r="R9334" s="2">
        <v>110.1</v>
      </c>
      <c r="S9334" s="2">
        <v>0.9101146</v>
      </c>
      <c r="T9334" s="2">
        <v>0.80930190000000002</v>
      </c>
    </row>
    <row r="9335" spans="18:20" x14ac:dyDescent="0.45">
      <c r="R9335" s="2">
        <v>110.11</v>
      </c>
      <c r="S9335" s="2">
        <v>0.91077669999999999</v>
      </c>
      <c r="T9335" s="2">
        <v>0.81016790000000005</v>
      </c>
    </row>
    <row r="9336" spans="18:20" x14ac:dyDescent="0.45">
      <c r="R9336" s="2">
        <v>110.12</v>
      </c>
      <c r="S9336" s="2">
        <v>0.91143870000000005</v>
      </c>
      <c r="T9336" s="2">
        <v>0.81103389999999997</v>
      </c>
    </row>
    <row r="9337" spans="18:20" x14ac:dyDescent="0.45">
      <c r="R9337" s="2">
        <v>110.13</v>
      </c>
      <c r="S9337" s="2">
        <v>0.91210080000000004</v>
      </c>
      <c r="T9337" s="2">
        <v>0.81189990000000001</v>
      </c>
    </row>
    <row r="9338" spans="18:20" x14ac:dyDescent="0.45">
      <c r="R9338" s="2">
        <v>110.14</v>
      </c>
      <c r="S9338" s="2">
        <v>0.91276279999999999</v>
      </c>
      <c r="T9338" s="2">
        <v>0.81276590000000004</v>
      </c>
    </row>
    <row r="9339" spans="18:20" x14ac:dyDescent="0.45">
      <c r="R9339" s="2">
        <v>110.15</v>
      </c>
      <c r="S9339" s="2">
        <v>0.91342489999999998</v>
      </c>
      <c r="T9339" s="2">
        <v>0.81363189999999996</v>
      </c>
    </row>
    <row r="9340" spans="18:20" x14ac:dyDescent="0.45">
      <c r="R9340" s="2">
        <v>110.16</v>
      </c>
      <c r="S9340" s="2">
        <v>0.91408699999999998</v>
      </c>
      <c r="T9340" s="2">
        <v>0.81449780000000005</v>
      </c>
    </row>
    <row r="9341" spans="18:20" x14ac:dyDescent="0.45">
      <c r="R9341" s="2">
        <v>110.17</v>
      </c>
      <c r="S9341" s="2">
        <v>0.91474900000000003</v>
      </c>
      <c r="T9341" s="2">
        <v>0.81536379999999997</v>
      </c>
    </row>
    <row r="9342" spans="18:20" x14ac:dyDescent="0.45">
      <c r="R9342" s="2">
        <v>110.18</v>
      </c>
      <c r="S9342" s="2">
        <v>0.91541099999999997</v>
      </c>
      <c r="T9342" s="2">
        <v>0.81622980000000001</v>
      </c>
    </row>
    <row r="9343" spans="18:20" x14ac:dyDescent="0.45">
      <c r="R9343" s="2">
        <v>110.19</v>
      </c>
      <c r="S9343" s="2">
        <v>0.91607309999999997</v>
      </c>
      <c r="T9343" s="2">
        <v>0.81709580000000004</v>
      </c>
    </row>
    <row r="9344" spans="18:20" x14ac:dyDescent="0.45">
      <c r="R9344" s="2">
        <v>110.2</v>
      </c>
      <c r="S9344" s="2">
        <v>0.91673519999999997</v>
      </c>
      <c r="T9344" s="2">
        <v>0.81796179999999996</v>
      </c>
    </row>
    <row r="9345" spans="18:20" x14ac:dyDescent="0.45">
      <c r="R9345" s="2">
        <v>110.21</v>
      </c>
      <c r="S9345" s="2">
        <v>0.91739729999999997</v>
      </c>
      <c r="T9345" s="2">
        <v>0.81882779999999999</v>
      </c>
    </row>
    <row r="9346" spans="18:20" x14ac:dyDescent="0.45">
      <c r="R9346" s="2">
        <v>110.22</v>
      </c>
      <c r="S9346" s="2">
        <v>0.91805930000000002</v>
      </c>
      <c r="T9346" s="2">
        <v>0.81969380000000003</v>
      </c>
    </row>
    <row r="9347" spans="18:20" x14ac:dyDescent="0.45">
      <c r="R9347" s="2">
        <v>110.23</v>
      </c>
      <c r="S9347" s="2">
        <v>0.91872140000000002</v>
      </c>
      <c r="T9347" s="2">
        <v>0.82055979999999995</v>
      </c>
    </row>
    <row r="9348" spans="18:20" x14ac:dyDescent="0.45">
      <c r="R9348" s="2">
        <v>110.24</v>
      </c>
      <c r="S9348" s="2">
        <v>0.91938339999999996</v>
      </c>
      <c r="T9348" s="2">
        <v>0.82142579999999998</v>
      </c>
    </row>
    <row r="9349" spans="18:20" x14ac:dyDescent="0.45">
      <c r="R9349" s="2">
        <v>110.25</v>
      </c>
      <c r="S9349" s="2">
        <v>0.92004549999999996</v>
      </c>
      <c r="T9349" s="2">
        <v>0.82229169999999996</v>
      </c>
    </row>
    <row r="9350" spans="18:20" x14ac:dyDescent="0.45">
      <c r="R9350" s="2">
        <v>110.26</v>
      </c>
      <c r="S9350" s="2">
        <v>0.92070759999999996</v>
      </c>
      <c r="T9350" s="2">
        <v>0.82315769999999999</v>
      </c>
    </row>
    <row r="9351" spans="18:20" x14ac:dyDescent="0.45">
      <c r="R9351" s="2">
        <v>110.27</v>
      </c>
      <c r="S9351" s="2">
        <v>0.92136960000000001</v>
      </c>
      <c r="T9351" s="2">
        <v>0.82402370000000003</v>
      </c>
    </row>
    <row r="9352" spans="18:20" x14ac:dyDescent="0.45">
      <c r="R9352" s="2">
        <v>110.28</v>
      </c>
      <c r="S9352" s="2">
        <v>0.92203170000000001</v>
      </c>
      <c r="T9352" s="2">
        <v>0.82488969999999995</v>
      </c>
    </row>
    <row r="9353" spans="18:20" x14ac:dyDescent="0.45">
      <c r="R9353" s="2">
        <v>110.29</v>
      </c>
      <c r="S9353" s="2">
        <v>0.92269369999999995</v>
      </c>
      <c r="T9353" s="2">
        <v>0.82575569999999998</v>
      </c>
    </row>
    <row r="9354" spans="18:20" x14ac:dyDescent="0.45">
      <c r="R9354" s="2">
        <v>110.3</v>
      </c>
      <c r="S9354" s="2">
        <v>0.92335579999999995</v>
      </c>
      <c r="T9354" s="2">
        <v>0.82662170000000001</v>
      </c>
    </row>
    <row r="9355" spans="18:20" x14ac:dyDescent="0.45">
      <c r="R9355" s="2">
        <v>110.31</v>
      </c>
      <c r="S9355" s="2">
        <v>0.92401789999999995</v>
      </c>
      <c r="T9355" s="2">
        <v>0.82748770000000005</v>
      </c>
    </row>
    <row r="9356" spans="18:20" x14ac:dyDescent="0.45">
      <c r="R9356" s="2">
        <v>110.32</v>
      </c>
      <c r="S9356" s="2">
        <v>0.92467999999999995</v>
      </c>
      <c r="T9356" s="2">
        <v>0.82835369999999997</v>
      </c>
    </row>
    <row r="9357" spans="18:20" x14ac:dyDescent="0.45">
      <c r="R9357" s="2">
        <v>110.33</v>
      </c>
      <c r="S9357" s="2">
        <v>0.925342</v>
      </c>
      <c r="T9357" s="2">
        <v>0.8292197</v>
      </c>
    </row>
    <row r="9358" spans="18:20" x14ac:dyDescent="0.45">
      <c r="R9358" s="2">
        <v>110.34</v>
      </c>
      <c r="S9358" s="2">
        <v>0.92600400000000005</v>
      </c>
      <c r="T9358" s="2">
        <v>0.83008570000000004</v>
      </c>
    </row>
    <row r="9359" spans="18:20" x14ac:dyDescent="0.45">
      <c r="R9359" s="2">
        <v>110.35</v>
      </c>
      <c r="S9359" s="2">
        <v>0.92666610000000005</v>
      </c>
      <c r="T9359" s="2">
        <v>0.83095160000000001</v>
      </c>
    </row>
    <row r="9360" spans="18:20" x14ac:dyDescent="0.45">
      <c r="R9360" s="2">
        <v>110.36</v>
      </c>
      <c r="S9360" s="2">
        <v>0.92732820000000005</v>
      </c>
      <c r="T9360" s="2">
        <v>0.83181760000000005</v>
      </c>
    </row>
    <row r="9361" spans="18:20" x14ac:dyDescent="0.45">
      <c r="R9361" s="2">
        <v>110.37</v>
      </c>
      <c r="S9361" s="2">
        <v>0.92799019999999999</v>
      </c>
      <c r="T9361" s="2">
        <v>0.83268359999999997</v>
      </c>
    </row>
    <row r="9362" spans="18:20" x14ac:dyDescent="0.45">
      <c r="R9362" s="2">
        <v>110.38</v>
      </c>
      <c r="S9362" s="2">
        <v>0.92865229999999999</v>
      </c>
      <c r="T9362" s="2">
        <v>0.8335496</v>
      </c>
    </row>
    <row r="9363" spans="18:20" x14ac:dyDescent="0.45">
      <c r="R9363" s="2">
        <v>110.39</v>
      </c>
      <c r="S9363" s="2">
        <v>0.92931430000000004</v>
      </c>
      <c r="T9363" s="2">
        <v>0.83441560000000004</v>
      </c>
    </row>
    <row r="9364" spans="18:20" x14ac:dyDescent="0.45">
      <c r="R9364" s="2">
        <v>110.4</v>
      </c>
      <c r="S9364" s="2">
        <v>0.92997640000000004</v>
      </c>
      <c r="T9364" s="2">
        <v>0.83528159999999996</v>
      </c>
    </row>
    <row r="9365" spans="18:20" x14ac:dyDescent="0.45">
      <c r="R9365" s="2">
        <v>110.41</v>
      </c>
      <c r="S9365" s="2">
        <v>0.93063850000000004</v>
      </c>
      <c r="T9365" s="2">
        <v>0.83614759999999999</v>
      </c>
    </row>
    <row r="9366" spans="18:20" x14ac:dyDescent="0.45">
      <c r="R9366" s="2">
        <v>110.42</v>
      </c>
      <c r="S9366" s="2">
        <v>0.93130049999999998</v>
      </c>
      <c r="T9366" s="2">
        <v>0.83701360000000002</v>
      </c>
    </row>
    <row r="9367" spans="18:20" x14ac:dyDescent="0.45">
      <c r="R9367" s="2">
        <v>110.43</v>
      </c>
      <c r="S9367" s="2">
        <v>0.93196259999999997</v>
      </c>
      <c r="T9367" s="2">
        <v>0.83787959999999995</v>
      </c>
    </row>
    <row r="9368" spans="18:20" x14ac:dyDescent="0.45">
      <c r="R9368" s="2">
        <v>110.44</v>
      </c>
      <c r="S9368" s="2">
        <v>0.93262460000000003</v>
      </c>
      <c r="T9368" s="2">
        <v>0.83874559999999998</v>
      </c>
    </row>
    <row r="9369" spans="18:20" x14ac:dyDescent="0.45">
      <c r="R9369" s="2">
        <v>110.45</v>
      </c>
      <c r="S9369" s="2">
        <v>0.93328670000000002</v>
      </c>
      <c r="T9369" s="2">
        <v>0.83961160000000001</v>
      </c>
    </row>
    <row r="9370" spans="18:20" x14ac:dyDescent="0.45">
      <c r="R9370" s="2">
        <v>110.46</v>
      </c>
      <c r="S9370" s="2">
        <v>0.93394880000000002</v>
      </c>
      <c r="T9370" s="2">
        <v>0.84047749999999999</v>
      </c>
    </row>
    <row r="9371" spans="18:20" x14ac:dyDescent="0.45">
      <c r="R9371" s="2">
        <v>110.47</v>
      </c>
      <c r="S9371" s="2">
        <v>0.93461079999999996</v>
      </c>
      <c r="T9371" s="2">
        <v>0.84134350000000002</v>
      </c>
    </row>
    <row r="9372" spans="18:20" x14ac:dyDescent="0.45">
      <c r="R9372" s="2">
        <v>110.48</v>
      </c>
      <c r="S9372" s="2">
        <v>0.93527289999999996</v>
      </c>
      <c r="T9372" s="2">
        <v>0.84220950000000006</v>
      </c>
    </row>
    <row r="9373" spans="18:20" x14ac:dyDescent="0.45">
      <c r="R9373" s="2">
        <v>110.49</v>
      </c>
      <c r="S9373" s="2">
        <v>0.93593499999999996</v>
      </c>
      <c r="T9373" s="2">
        <v>0.84307549999999998</v>
      </c>
    </row>
    <row r="9374" spans="18:20" x14ac:dyDescent="0.45">
      <c r="R9374" s="2">
        <v>110.5</v>
      </c>
      <c r="S9374" s="2">
        <v>0.93659700000000001</v>
      </c>
      <c r="T9374" s="2">
        <v>0.84394150000000001</v>
      </c>
    </row>
    <row r="9375" spans="18:20" x14ac:dyDescent="0.45">
      <c r="R9375" s="2">
        <v>110.51</v>
      </c>
      <c r="S9375" s="2">
        <v>0.93725899999999995</v>
      </c>
      <c r="T9375" s="2">
        <v>0.84480750000000004</v>
      </c>
    </row>
    <row r="9376" spans="18:20" x14ac:dyDescent="0.45">
      <c r="R9376" s="2">
        <v>110.52</v>
      </c>
      <c r="S9376" s="2">
        <v>0.93792109999999995</v>
      </c>
      <c r="T9376" s="2">
        <v>0.84567349999999997</v>
      </c>
    </row>
    <row r="9377" spans="18:20" x14ac:dyDescent="0.45">
      <c r="R9377" s="2">
        <v>110.53</v>
      </c>
      <c r="S9377" s="2">
        <v>0.93858319999999995</v>
      </c>
      <c r="T9377" s="2">
        <v>0.8465395</v>
      </c>
    </row>
    <row r="9378" spans="18:20" x14ac:dyDescent="0.45">
      <c r="R9378" s="2">
        <v>110.54</v>
      </c>
      <c r="S9378" s="2">
        <v>0.9392452</v>
      </c>
      <c r="T9378" s="2">
        <v>0.84740550000000003</v>
      </c>
    </row>
    <row r="9379" spans="18:20" x14ac:dyDescent="0.45">
      <c r="R9379" s="2">
        <v>110.55</v>
      </c>
      <c r="S9379" s="2">
        <v>0.9399073</v>
      </c>
      <c r="T9379" s="2">
        <v>0.84827140000000001</v>
      </c>
    </row>
    <row r="9380" spans="18:20" x14ac:dyDescent="0.45">
      <c r="R9380" s="2">
        <v>110.56</v>
      </c>
      <c r="S9380" s="2">
        <v>0.9405694</v>
      </c>
      <c r="T9380" s="2">
        <v>0.84913740000000004</v>
      </c>
    </row>
    <row r="9381" spans="18:20" x14ac:dyDescent="0.45">
      <c r="R9381" s="2">
        <v>110.57</v>
      </c>
      <c r="S9381" s="2">
        <v>0.94123140000000005</v>
      </c>
      <c r="T9381" s="2">
        <v>0.85000339999999996</v>
      </c>
    </row>
    <row r="9382" spans="18:20" x14ac:dyDescent="0.45">
      <c r="R9382" s="2">
        <v>110.58</v>
      </c>
      <c r="S9382" s="2">
        <v>0.94189350000000005</v>
      </c>
      <c r="T9382" s="2">
        <v>0.8508694</v>
      </c>
    </row>
    <row r="9383" spans="18:20" x14ac:dyDescent="0.45">
      <c r="R9383" s="2">
        <v>110.59</v>
      </c>
      <c r="S9383" s="2">
        <v>0.94255549999999999</v>
      </c>
      <c r="T9383" s="2">
        <v>0.85173540000000003</v>
      </c>
    </row>
    <row r="9384" spans="18:20" x14ac:dyDescent="0.45">
      <c r="R9384" s="2">
        <v>110.6</v>
      </c>
      <c r="S9384" s="2">
        <v>0.94321759999999999</v>
      </c>
      <c r="T9384" s="2">
        <v>0.85260139999999995</v>
      </c>
    </row>
    <row r="9385" spans="18:20" x14ac:dyDescent="0.45">
      <c r="R9385" s="2">
        <v>110.61</v>
      </c>
      <c r="S9385" s="2">
        <v>0.94387969999999999</v>
      </c>
      <c r="T9385" s="2">
        <v>0.85346739999999999</v>
      </c>
    </row>
    <row r="9386" spans="18:20" x14ac:dyDescent="0.45">
      <c r="R9386" s="2">
        <v>110.62</v>
      </c>
      <c r="S9386" s="2">
        <v>0.94454170000000004</v>
      </c>
      <c r="T9386" s="2">
        <v>0.85433340000000002</v>
      </c>
    </row>
    <row r="9387" spans="18:20" x14ac:dyDescent="0.45">
      <c r="R9387" s="2">
        <v>110.63</v>
      </c>
      <c r="S9387" s="2">
        <v>0.94520380000000004</v>
      </c>
      <c r="T9387" s="2">
        <v>0.85519940000000005</v>
      </c>
    </row>
    <row r="9388" spans="18:20" x14ac:dyDescent="0.45">
      <c r="R9388" s="2">
        <v>110.64</v>
      </c>
      <c r="S9388" s="2">
        <v>0.94586579999999998</v>
      </c>
      <c r="T9388" s="2">
        <v>0.85606539999999998</v>
      </c>
    </row>
    <row r="9389" spans="18:20" x14ac:dyDescent="0.45">
      <c r="R9389" s="2">
        <v>110.65</v>
      </c>
      <c r="S9389" s="2">
        <v>0.94652789999999998</v>
      </c>
      <c r="T9389" s="2">
        <v>0.85693140000000001</v>
      </c>
    </row>
    <row r="9390" spans="18:20" x14ac:dyDescent="0.45">
      <c r="R9390" s="2">
        <v>110.66</v>
      </c>
      <c r="S9390" s="2">
        <v>0.94718999999999998</v>
      </c>
      <c r="T9390" s="2">
        <v>0.85779729999999998</v>
      </c>
    </row>
    <row r="9391" spans="18:20" x14ac:dyDescent="0.45">
      <c r="R9391" s="2">
        <v>110.67</v>
      </c>
      <c r="S9391" s="2">
        <v>0.94785200000000003</v>
      </c>
      <c r="T9391" s="2">
        <v>0.85866330000000002</v>
      </c>
    </row>
    <row r="9392" spans="18:20" x14ac:dyDescent="0.45">
      <c r="R9392" s="2">
        <v>110.68</v>
      </c>
      <c r="S9392" s="2">
        <v>0.94851399999999997</v>
      </c>
      <c r="T9392" s="2">
        <v>0.85952930000000005</v>
      </c>
    </row>
    <row r="9393" spans="18:20" x14ac:dyDescent="0.45">
      <c r="R9393" s="2">
        <v>110.69</v>
      </c>
      <c r="S9393" s="2">
        <v>0.94917609999999997</v>
      </c>
      <c r="T9393" s="2">
        <v>0.86039529999999997</v>
      </c>
    </row>
    <row r="9394" spans="18:20" x14ac:dyDescent="0.45">
      <c r="R9394" s="2">
        <v>110.7</v>
      </c>
      <c r="S9394" s="2">
        <v>0.94983819999999997</v>
      </c>
      <c r="T9394" s="2">
        <v>0.86126130000000001</v>
      </c>
    </row>
    <row r="9395" spans="18:20" x14ac:dyDescent="0.45">
      <c r="R9395" s="2">
        <v>110.71</v>
      </c>
      <c r="S9395" s="2">
        <v>0.95050029999999996</v>
      </c>
      <c r="T9395" s="2">
        <v>0.86212730000000004</v>
      </c>
    </row>
    <row r="9396" spans="18:20" x14ac:dyDescent="0.45">
      <c r="R9396" s="2">
        <v>110.72</v>
      </c>
      <c r="S9396" s="2">
        <v>0.95116230000000002</v>
      </c>
      <c r="T9396" s="2">
        <v>0.86299329999999996</v>
      </c>
    </row>
    <row r="9397" spans="18:20" x14ac:dyDescent="0.45">
      <c r="R9397" s="2">
        <v>110.73</v>
      </c>
      <c r="S9397" s="2">
        <v>0.95182440000000001</v>
      </c>
      <c r="T9397" s="2">
        <v>0.8638593</v>
      </c>
    </row>
    <row r="9398" spans="18:20" x14ac:dyDescent="0.45">
      <c r="R9398" s="2">
        <v>110.74</v>
      </c>
      <c r="S9398" s="2">
        <v>0.95248639999999996</v>
      </c>
      <c r="T9398" s="2">
        <v>0.86472530000000003</v>
      </c>
    </row>
    <row r="9399" spans="18:20" x14ac:dyDescent="0.45">
      <c r="R9399" s="2">
        <v>110.75</v>
      </c>
      <c r="S9399" s="2">
        <v>0.95314849999999995</v>
      </c>
      <c r="T9399" s="2">
        <v>0.86559120000000001</v>
      </c>
    </row>
    <row r="9400" spans="18:20" x14ac:dyDescent="0.45">
      <c r="R9400" s="2">
        <v>110.76</v>
      </c>
      <c r="S9400" s="2">
        <v>0.95381059999999995</v>
      </c>
      <c r="T9400" s="2">
        <v>0.86645720000000004</v>
      </c>
    </row>
    <row r="9401" spans="18:20" x14ac:dyDescent="0.45">
      <c r="R9401" s="2">
        <v>110.77</v>
      </c>
      <c r="S9401" s="2">
        <v>0.9544726</v>
      </c>
      <c r="T9401" s="2">
        <v>0.86732319999999996</v>
      </c>
    </row>
    <row r="9402" spans="18:20" x14ac:dyDescent="0.45">
      <c r="R9402" s="2">
        <v>110.78</v>
      </c>
      <c r="S9402" s="2">
        <v>0.9551347</v>
      </c>
      <c r="T9402" s="2">
        <v>0.86818919999999999</v>
      </c>
    </row>
    <row r="9403" spans="18:20" x14ac:dyDescent="0.45">
      <c r="R9403" s="2">
        <v>110.79</v>
      </c>
      <c r="S9403" s="2">
        <v>0.95579670000000005</v>
      </c>
      <c r="T9403" s="2">
        <v>0.86905520000000003</v>
      </c>
    </row>
    <row r="9404" spans="18:20" x14ac:dyDescent="0.45">
      <c r="R9404" s="2">
        <v>110.8</v>
      </c>
      <c r="S9404" s="2">
        <v>0.95645880000000005</v>
      </c>
      <c r="T9404" s="2">
        <v>0.86992119999999995</v>
      </c>
    </row>
    <row r="9405" spans="18:20" x14ac:dyDescent="0.45">
      <c r="R9405" s="2">
        <v>110.81</v>
      </c>
      <c r="S9405" s="2">
        <v>0.95712090000000005</v>
      </c>
      <c r="T9405" s="2">
        <v>0.87078719999999998</v>
      </c>
    </row>
    <row r="9406" spans="18:20" x14ac:dyDescent="0.45">
      <c r="R9406" s="2">
        <v>110.82</v>
      </c>
      <c r="S9406" s="2">
        <v>0.95778300000000005</v>
      </c>
      <c r="T9406" s="2">
        <v>0.87165320000000002</v>
      </c>
    </row>
    <row r="9407" spans="18:20" x14ac:dyDescent="0.45">
      <c r="R9407" s="2">
        <v>110.83</v>
      </c>
      <c r="S9407" s="2">
        <v>0.95844499999999999</v>
      </c>
      <c r="T9407" s="2">
        <v>0.87251920000000005</v>
      </c>
    </row>
    <row r="9408" spans="18:20" x14ac:dyDescent="0.45">
      <c r="R9408" s="2">
        <v>110.84</v>
      </c>
      <c r="S9408" s="2">
        <v>0.95910700000000004</v>
      </c>
      <c r="T9408" s="2">
        <v>0.87338519999999997</v>
      </c>
    </row>
    <row r="9409" spans="18:20" x14ac:dyDescent="0.45">
      <c r="R9409" s="2">
        <v>110.85</v>
      </c>
      <c r="S9409" s="2">
        <v>0.95976910000000004</v>
      </c>
      <c r="T9409" s="2">
        <v>0.87425109999999995</v>
      </c>
    </row>
    <row r="9410" spans="18:20" x14ac:dyDescent="0.45">
      <c r="R9410" s="2">
        <v>110.86</v>
      </c>
      <c r="S9410" s="2">
        <v>0.96043120000000004</v>
      </c>
      <c r="T9410" s="2">
        <v>0.87511709999999998</v>
      </c>
    </row>
    <row r="9411" spans="18:20" x14ac:dyDescent="0.45">
      <c r="R9411" s="2">
        <v>110.87</v>
      </c>
      <c r="S9411" s="2">
        <v>0.96109319999999998</v>
      </c>
      <c r="T9411" s="2">
        <v>0.87598310000000001</v>
      </c>
    </row>
    <row r="9412" spans="18:20" x14ac:dyDescent="0.45">
      <c r="R9412" s="2">
        <v>110.88</v>
      </c>
      <c r="S9412" s="2">
        <v>0.96175529999999998</v>
      </c>
      <c r="T9412" s="2">
        <v>0.87684910000000005</v>
      </c>
    </row>
    <row r="9413" spans="18:20" x14ac:dyDescent="0.45">
      <c r="R9413" s="2">
        <v>110.89</v>
      </c>
      <c r="S9413" s="2">
        <v>0.96241730000000003</v>
      </c>
      <c r="T9413" s="2">
        <v>0.87771509999999997</v>
      </c>
    </row>
    <row r="9414" spans="18:20" x14ac:dyDescent="0.45">
      <c r="R9414" s="2">
        <v>110.9</v>
      </c>
      <c r="S9414" s="2">
        <v>0.96307940000000003</v>
      </c>
      <c r="T9414" s="2">
        <v>0.8785811</v>
      </c>
    </row>
    <row r="9415" spans="18:20" x14ac:dyDescent="0.45">
      <c r="R9415" s="2">
        <v>110.91</v>
      </c>
      <c r="S9415" s="2">
        <v>0.96374150000000003</v>
      </c>
      <c r="T9415" s="2">
        <v>0.87944710000000004</v>
      </c>
    </row>
    <row r="9416" spans="18:20" x14ac:dyDescent="0.45">
      <c r="R9416" s="2">
        <v>110.92</v>
      </c>
      <c r="S9416" s="2">
        <v>0.96440349999999997</v>
      </c>
      <c r="T9416" s="2">
        <v>0.88031300000000001</v>
      </c>
    </row>
    <row r="9417" spans="18:20" x14ac:dyDescent="0.45">
      <c r="R9417" s="2">
        <v>110.93</v>
      </c>
      <c r="S9417" s="2">
        <v>0.96506559999999997</v>
      </c>
      <c r="T9417" s="2">
        <v>0.88117900000000005</v>
      </c>
    </row>
    <row r="9418" spans="18:20" x14ac:dyDescent="0.45">
      <c r="R9418" s="2">
        <v>110.94</v>
      </c>
      <c r="S9418" s="2">
        <v>0.96572760000000002</v>
      </c>
      <c r="T9418" s="2">
        <v>0.88204499999999997</v>
      </c>
    </row>
    <row r="9419" spans="18:20" x14ac:dyDescent="0.45">
      <c r="R9419" s="2">
        <v>110.95</v>
      </c>
      <c r="S9419" s="2">
        <v>0.96638970000000002</v>
      </c>
      <c r="T9419" s="2">
        <v>0.882911</v>
      </c>
    </row>
    <row r="9420" spans="18:20" x14ac:dyDescent="0.45">
      <c r="R9420" s="2">
        <v>110.96</v>
      </c>
      <c r="S9420" s="2">
        <v>0.96705180000000002</v>
      </c>
      <c r="T9420" s="2">
        <v>0.88377700000000003</v>
      </c>
    </row>
    <row r="9421" spans="18:20" x14ac:dyDescent="0.45">
      <c r="R9421" s="2">
        <v>110.97</v>
      </c>
      <c r="S9421" s="2">
        <v>0.96771379999999996</v>
      </c>
      <c r="T9421" s="2">
        <v>0.88464299999999996</v>
      </c>
    </row>
    <row r="9422" spans="18:20" x14ac:dyDescent="0.45">
      <c r="R9422" s="2">
        <v>110.98</v>
      </c>
      <c r="S9422" s="2">
        <v>0.96837589999999996</v>
      </c>
      <c r="T9422" s="2">
        <v>0.88550899999999999</v>
      </c>
    </row>
    <row r="9423" spans="18:20" x14ac:dyDescent="0.45">
      <c r="R9423" s="2">
        <v>110.99</v>
      </c>
      <c r="S9423" s="2">
        <v>0.96903799999999995</v>
      </c>
      <c r="T9423" s="2">
        <v>0.88637500000000002</v>
      </c>
    </row>
    <row r="9424" spans="18:20" x14ac:dyDescent="0.45">
      <c r="R9424" s="2">
        <v>111</v>
      </c>
      <c r="S9424" s="2">
        <v>0.96970000000000001</v>
      </c>
      <c r="T9424" s="2">
        <v>0.88724099999999995</v>
      </c>
    </row>
    <row r="9425" spans="18:20" x14ac:dyDescent="0.45">
      <c r="R9425" s="2">
        <v>111.01</v>
      </c>
      <c r="S9425" s="2">
        <v>0.97040020000000005</v>
      </c>
      <c r="T9425" s="2">
        <v>0.88820069999999995</v>
      </c>
    </row>
    <row r="9426" spans="18:20" x14ac:dyDescent="0.45">
      <c r="R9426" s="2">
        <v>111.02</v>
      </c>
      <c r="S9426" s="2">
        <v>0.97110039999999997</v>
      </c>
      <c r="T9426" s="2">
        <v>0.88916030000000001</v>
      </c>
    </row>
    <row r="9427" spans="18:20" x14ac:dyDescent="0.45">
      <c r="R9427" s="2">
        <v>111.03</v>
      </c>
      <c r="S9427" s="2">
        <v>0.97180060000000001</v>
      </c>
      <c r="T9427" s="2">
        <v>0.89012000000000002</v>
      </c>
    </row>
    <row r="9428" spans="18:20" x14ac:dyDescent="0.45">
      <c r="R9428" s="2">
        <v>111.04</v>
      </c>
      <c r="S9428" s="2">
        <v>0.97250080000000005</v>
      </c>
      <c r="T9428" s="2">
        <v>0.89107959999999997</v>
      </c>
    </row>
    <row r="9429" spans="18:20" x14ac:dyDescent="0.45">
      <c r="R9429" s="2">
        <v>111.05</v>
      </c>
      <c r="S9429" s="2">
        <v>0.97320099999999998</v>
      </c>
      <c r="T9429" s="2">
        <v>0.89203929999999998</v>
      </c>
    </row>
    <row r="9430" spans="18:20" x14ac:dyDescent="0.45">
      <c r="R9430" s="2">
        <v>111.06</v>
      </c>
      <c r="S9430" s="2">
        <v>0.97390120000000002</v>
      </c>
      <c r="T9430" s="2">
        <v>0.89299899999999999</v>
      </c>
    </row>
    <row r="9431" spans="18:20" x14ac:dyDescent="0.45">
      <c r="R9431" s="2">
        <v>111.07</v>
      </c>
      <c r="S9431" s="2">
        <v>0.97460139999999995</v>
      </c>
      <c r="T9431" s="2">
        <v>0.89395860000000005</v>
      </c>
    </row>
    <row r="9432" spans="18:20" x14ac:dyDescent="0.45">
      <c r="R9432" s="2">
        <v>111.08</v>
      </c>
      <c r="S9432" s="2">
        <v>0.97530159999999999</v>
      </c>
      <c r="T9432" s="2">
        <v>0.89491830000000006</v>
      </c>
    </row>
    <row r="9433" spans="18:20" x14ac:dyDescent="0.45">
      <c r="R9433" s="2">
        <v>111.09</v>
      </c>
      <c r="S9433" s="2">
        <v>0.97600180000000003</v>
      </c>
      <c r="T9433" s="2">
        <v>0.89587799999999995</v>
      </c>
    </row>
    <row r="9434" spans="18:20" x14ac:dyDescent="0.45">
      <c r="R9434" s="2">
        <v>111.1</v>
      </c>
      <c r="S9434" s="2">
        <v>0.97670199999999996</v>
      </c>
      <c r="T9434" s="2">
        <v>0.89683760000000001</v>
      </c>
    </row>
    <row r="9435" spans="18:20" x14ac:dyDescent="0.45">
      <c r="R9435" s="2">
        <v>111.11</v>
      </c>
      <c r="S9435" s="2">
        <v>0.9774022</v>
      </c>
      <c r="T9435" s="2">
        <v>0.89779730000000002</v>
      </c>
    </row>
    <row r="9436" spans="18:20" x14ac:dyDescent="0.45">
      <c r="R9436" s="2">
        <v>111.12</v>
      </c>
      <c r="S9436" s="2">
        <v>0.97810240000000004</v>
      </c>
      <c r="T9436" s="2">
        <v>0.89875700000000003</v>
      </c>
    </row>
    <row r="9437" spans="18:20" x14ac:dyDescent="0.45">
      <c r="R9437" s="2">
        <v>111.13</v>
      </c>
      <c r="S9437" s="2">
        <v>0.97880259999999997</v>
      </c>
      <c r="T9437" s="2">
        <v>0.89971659999999998</v>
      </c>
    </row>
    <row r="9438" spans="18:20" x14ac:dyDescent="0.45">
      <c r="R9438" s="2">
        <v>111.14</v>
      </c>
      <c r="S9438" s="2">
        <v>0.97950280000000001</v>
      </c>
      <c r="T9438" s="2">
        <v>0.90067620000000004</v>
      </c>
    </row>
    <row r="9439" spans="18:20" x14ac:dyDescent="0.45">
      <c r="R9439" s="2">
        <v>111.15</v>
      </c>
      <c r="S9439" s="2">
        <v>0.98020300000000005</v>
      </c>
      <c r="T9439" s="2">
        <v>0.90163590000000005</v>
      </c>
    </row>
    <row r="9440" spans="18:20" x14ac:dyDescent="0.45">
      <c r="R9440" s="2">
        <v>111.16</v>
      </c>
      <c r="S9440" s="2">
        <v>0.98090319999999998</v>
      </c>
      <c r="T9440" s="2">
        <v>0.90259560000000005</v>
      </c>
    </row>
    <row r="9441" spans="18:20" x14ac:dyDescent="0.45">
      <c r="R9441" s="2">
        <v>111.17</v>
      </c>
      <c r="S9441" s="2">
        <v>0.98160340000000001</v>
      </c>
      <c r="T9441" s="2">
        <v>0.9035552</v>
      </c>
    </row>
    <row r="9442" spans="18:20" x14ac:dyDescent="0.45">
      <c r="R9442" s="2">
        <v>111.18</v>
      </c>
      <c r="S9442" s="2">
        <v>0.98230360000000005</v>
      </c>
      <c r="T9442" s="2">
        <v>0.90451490000000001</v>
      </c>
    </row>
    <row r="9443" spans="18:20" x14ac:dyDescent="0.45">
      <c r="R9443" s="2">
        <v>111.19</v>
      </c>
      <c r="S9443" s="2">
        <v>0.98300379999999998</v>
      </c>
      <c r="T9443" s="2">
        <v>0.90547449999999996</v>
      </c>
    </row>
    <row r="9444" spans="18:20" x14ac:dyDescent="0.45">
      <c r="R9444" s="2">
        <v>111.2</v>
      </c>
      <c r="S9444" s="2">
        <v>0.98370400000000002</v>
      </c>
      <c r="T9444" s="2">
        <v>0.90643419999999997</v>
      </c>
    </row>
    <row r="9445" spans="18:20" x14ac:dyDescent="0.45">
      <c r="R9445" s="2">
        <v>111.21</v>
      </c>
      <c r="S9445" s="2">
        <v>0.98440419999999995</v>
      </c>
      <c r="T9445" s="2">
        <v>0.90739389999999998</v>
      </c>
    </row>
    <row r="9446" spans="18:20" x14ac:dyDescent="0.45">
      <c r="R9446" s="2">
        <v>111.22</v>
      </c>
      <c r="S9446" s="2">
        <v>0.98510439999999999</v>
      </c>
      <c r="T9446" s="2">
        <v>0.90835350000000004</v>
      </c>
    </row>
    <row r="9447" spans="18:20" x14ac:dyDescent="0.45">
      <c r="R9447" s="2">
        <v>111.23</v>
      </c>
      <c r="S9447" s="2">
        <v>0.98580460000000003</v>
      </c>
      <c r="T9447" s="2">
        <v>0.90931320000000004</v>
      </c>
    </row>
    <row r="9448" spans="18:20" x14ac:dyDescent="0.45">
      <c r="R9448" s="2">
        <v>111.24</v>
      </c>
      <c r="S9448" s="2">
        <v>0.98650479999999996</v>
      </c>
      <c r="T9448" s="2">
        <v>0.91027279999999999</v>
      </c>
    </row>
    <row r="9449" spans="18:20" x14ac:dyDescent="0.45">
      <c r="R9449" s="2">
        <v>111.25</v>
      </c>
      <c r="S9449" s="2">
        <v>0.987205</v>
      </c>
      <c r="T9449" s="2">
        <v>0.9112325</v>
      </c>
    </row>
    <row r="9450" spans="18:20" x14ac:dyDescent="0.45">
      <c r="R9450" s="2">
        <v>111.26</v>
      </c>
      <c r="S9450" s="2">
        <v>0.98790520000000004</v>
      </c>
      <c r="T9450" s="2">
        <v>0.91219220000000001</v>
      </c>
    </row>
    <row r="9451" spans="18:20" x14ac:dyDescent="0.45">
      <c r="R9451" s="2">
        <v>111.27</v>
      </c>
      <c r="S9451" s="2">
        <v>0.98860539999999997</v>
      </c>
      <c r="T9451" s="2">
        <v>0.91315179999999996</v>
      </c>
    </row>
    <row r="9452" spans="18:20" x14ac:dyDescent="0.45">
      <c r="R9452" s="2">
        <v>111.28</v>
      </c>
      <c r="S9452" s="2">
        <v>0.98930560000000001</v>
      </c>
      <c r="T9452" s="2">
        <v>0.91411149999999997</v>
      </c>
    </row>
    <row r="9453" spans="18:20" x14ac:dyDescent="0.45">
      <c r="R9453" s="2">
        <v>111.29</v>
      </c>
      <c r="S9453" s="2">
        <v>0.99000580000000005</v>
      </c>
      <c r="T9453" s="2">
        <v>0.91507110000000003</v>
      </c>
    </row>
    <row r="9454" spans="18:20" x14ac:dyDescent="0.45">
      <c r="R9454" s="2">
        <v>111.3</v>
      </c>
      <c r="S9454" s="2">
        <v>0.99070599999999998</v>
      </c>
      <c r="T9454" s="2">
        <v>0.91603080000000003</v>
      </c>
    </row>
    <row r="9455" spans="18:20" x14ac:dyDescent="0.45">
      <c r="R9455" s="2">
        <v>111.31</v>
      </c>
      <c r="S9455" s="2">
        <v>0.99140620000000002</v>
      </c>
      <c r="T9455" s="2">
        <v>0.91699050000000004</v>
      </c>
    </row>
    <row r="9456" spans="18:20" x14ac:dyDescent="0.45">
      <c r="R9456" s="2">
        <v>111.32</v>
      </c>
      <c r="S9456" s="2">
        <v>0.99210640000000005</v>
      </c>
      <c r="T9456" s="2">
        <v>0.91795009999999999</v>
      </c>
    </row>
    <row r="9457" spans="18:20" x14ac:dyDescent="0.45">
      <c r="R9457" s="2">
        <v>111.33</v>
      </c>
      <c r="S9457" s="2">
        <v>0.99280659999999998</v>
      </c>
      <c r="T9457" s="2">
        <v>0.9189098</v>
      </c>
    </row>
    <row r="9458" spans="18:20" x14ac:dyDescent="0.45">
      <c r="R9458" s="2">
        <v>111.34</v>
      </c>
      <c r="S9458" s="2">
        <v>0.99350680000000002</v>
      </c>
      <c r="T9458" s="2">
        <v>0.91986939999999995</v>
      </c>
    </row>
    <row r="9459" spans="18:20" x14ac:dyDescent="0.45">
      <c r="R9459" s="2">
        <v>111.35</v>
      </c>
      <c r="S9459" s="2">
        <v>0.99420699999999995</v>
      </c>
      <c r="T9459" s="2">
        <v>0.92082909999999996</v>
      </c>
    </row>
    <row r="9460" spans="18:20" x14ac:dyDescent="0.45">
      <c r="R9460" s="2">
        <v>111.36</v>
      </c>
      <c r="S9460" s="2">
        <v>0.99490719999999999</v>
      </c>
      <c r="T9460" s="2">
        <v>0.92178879999999996</v>
      </c>
    </row>
    <row r="9461" spans="18:20" x14ac:dyDescent="0.45">
      <c r="R9461" s="2">
        <v>111.37</v>
      </c>
      <c r="S9461" s="2">
        <v>0.99560740000000003</v>
      </c>
      <c r="T9461" s="2">
        <v>0.92274840000000002</v>
      </c>
    </row>
    <row r="9462" spans="18:20" x14ac:dyDescent="0.45">
      <c r="R9462" s="2">
        <v>111.38</v>
      </c>
      <c r="S9462" s="2">
        <v>0.99630759999999996</v>
      </c>
      <c r="T9462" s="2">
        <v>0.92370799999999997</v>
      </c>
    </row>
    <row r="9463" spans="18:20" x14ac:dyDescent="0.45">
      <c r="R9463" s="2">
        <v>111.39</v>
      </c>
      <c r="S9463" s="2">
        <v>0.9970078</v>
      </c>
      <c r="T9463" s="2">
        <v>0.92466769999999998</v>
      </c>
    </row>
    <row r="9464" spans="18:20" x14ac:dyDescent="0.45">
      <c r="R9464" s="2">
        <v>111.4</v>
      </c>
      <c r="S9464" s="2">
        <v>0.99770800000000004</v>
      </c>
      <c r="T9464" s="2">
        <v>0.92562739999999999</v>
      </c>
    </row>
    <row r="9465" spans="18:20" x14ac:dyDescent="0.45">
      <c r="R9465" s="2">
        <v>111.41</v>
      </c>
      <c r="S9465" s="2">
        <v>0.99840819999999997</v>
      </c>
      <c r="T9465" s="2">
        <v>0.92658700000000005</v>
      </c>
    </row>
    <row r="9466" spans="18:20" x14ac:dyDescent="0.45">
      <c r="R9466" s="2">
        <v>111.42</v>
      </c>
      <c r="S9466" s="2">
        <v>0.99910840000000001</v>
      </c>
      <c r="T9466" s="2">
        <v>0.92754669999999995</v>
      </c>
    </row>
    <row r="9467" spans="18:20" x14ac:dyDescent="0.45">
      <c r="R9467" s="2">
        <v>111.43</v>
      </c>
      <c r="S9467" s="2">
        <v>0.99980860000000005</v>
      </c>
      <c r="T9467" s="2">
        <v>0.92850639999999995</v>
      </c>
    </row>
    <row r="9468" spans="18:20" x14ac:dyDescent="0.45">
      <c r="R9468" s="2">
        <v>111.44</v>
      </c>
      <c r="S9468" s="2">
        <v>1.0005090000000001</v>
      </c>
      <c r="T9468" s="2">
        <v>0.92946600000000001</v>
      </c>
    </row>
    <row r="9469" spans="18:20" x14ac:dyDescent="0.45">
      <c r="R9469" s="2">
        <v>111.45</v>
      </c>
      <c r="S9469" s="2">
        <v>1.001209</v>
      </c>
      <c r="T9469" s="2">
        <v>0.93042570000000002</v>
      </c>
    </row>
    <row r="9470" spans="18:20" x14ac:dyDescent="0.45">
      <c r="R9470" s="2">
        <v>111.46</v>
      </c>
      <c r="S9470" s="2">
        <v>1.0019089999999999</v>
      </c>
      <c r="T9470" s="2">
        <v>0.93138540000000003</v>
      </c>
    </row>
    <row r="9471" spans="18:20" x14ac:dyDescent="0.45">
      <c r="R9471" s="2">
        <v>111.47</v>
      </c>
      <c r="S9471" s="2">
        <v>1.0026090000000001</v>
      </c>
      <c r="T9471" s="2">
        <v>0.93234499999999998</v>
      </c>
    </row>
    <row r="9472" spans="18:20" x14ac:dyDescent="0.45">
      <c r="R9472" s="2">
        <v>111.48</v>
      </c>
      <c r="S9472" s="2">
        <v>1.0033099999999999</v>
      </c>
      <c r="T9472" s="2">
        <v>0.93330469999999999</v>
      </c>
    </row>
    <row r="9473" spans="18:20" x14ac:dyDescent="0.45">
      <c r="R9473" s="2">
        <v>111.49</v>
      </c>
      <c r="S9473" s="2">
        <v>1.0040100000000001</v>
      </c>
      <c r="T9473" s="2">
        <v>0.93426430000000005</v>
      </c>
    </row>
    <row r="9474" spans="18:20" x14ac:dyDescent="0.45">
      <c r="R9474" s="2">
        <v>111.5</v>
      </c>
      <c r="S9474" s="2">
        <v>1.00471</v>
      </c>
      <c r="T9474" s="2">
        <v>0.93522400000000006</v>
      </c>
    </row>
    <row r="9475" spans="18:20" x14ac:dyDescent="0.45">
      <c r="R9475" s="2">
        <v>111.51</v>
      </c>
      <c r="S9475" s="2">
        <v>1.0054099999999999</v>
      </c>
      <c r="T9475" s="2">
        <v>0.93618369999999995</v>
      </c>
    </row>
    <row r="9476" spans="18:20" x14ac:dyDescent="0.45">
      <c r="R9476" s="2">
        <v>111.52</v>
      </c>
      <c r="S9476" s="2">
        <v>1.0061100000000001</v>
      </c>
      <c r="T9476" s="2">
        <v>0.93714330000000001</v>
      </c>
    </row>
    <row r="9477" spans="18:20" x14ac:dyDescent="0.45">
      <c r="R9477" s="2">
        <v>111.53</v>
      </c>
      <c r="S9477" s="2">
        <v>1.0068109999999999</v>
      </c>
      <c r="T9477" s="2">
        <v>0.93810300000000002</v>
      </c>
    </row>
    <row r="9478" spans="18:20" x14ac:dyDescent="0.45">
      <c r="R9478" s="2">
        <v>111.54</v>
      </c>
      <c r="S9478" s="2">
        <v>1.007511</v>
      </c>
      <c r="T9478" s="2">
        <v>0.93906259999999997</v>
      </c>
    </row>
    <row r="9479" spans="18:20" x14ac:dyDescent="0.45">
      <c r="R9479" s="2">
        <v>111.55</v>
      </c>
      <c r="S9479" s="2">
        <v>1.008211</v>
      </c>
      <c r="T9479" s="2">
        <v>0.94002229999999998</v>
      </c>
    </row>
    <row r="9480" spans="18:20" x14ac:dyDescent="0.45">
      <c r="R9480" s="2">
        <v>111.56</v>
      </c>
      <c r="S9480" s="2">
        <v>1.0089109999999999</v>
      </c>
      <c r="T9480" s="2">
        <v>0.94098199999999999</v>
      </c>
    </row>
    <row r="9481" spans="18:20" x14ac:dyDescent="0.45">
      <c r="R9481" s="2">
        <v>111.57</v>
      </c>
      <c r="S9481" s="2">
        <v>1.009611</v>
      </c>
      <c r="T9481" s="2">
        <v>0.94194160000000005</v>
      </c>
    </row>
    <row r="9482" spans="18:20" x14ac:dyDescent="0.45">
      <c r="R9482" s="2">
        <v>111.58</v>
      </c>
      <c r="S9482" s="2">
        <v>1.0103120000000001</v>
      </c>
      <c r="T9482" s="2">
        <v>0.94290130000000005</v>
      </c>
    </row>
    <row r="9483" spans="18:20" x14ac:dyDescent="0.45">
      <c r="R9483" s="2">
        <v>111.59</v>
      </c>
      <c r="S9483" s="2">
        <v>1.011012</v>
      </c>
      <c r="T9483" s="2">
        <v>0.94386099999999995</v>
      </c>
    </row>
    <row r="9484" spans="18:20" x14ac:dyDescent="0.45">
      <c r="R9484" s="2">
        <v>111.6</v>
      </c>
      <c r="S9484" s="2">
        <v>1.0117119999999999</v>
      </c>
      <c r="T9484" s="2">
        <v>0.94482060000000001</v>
      </c>
    </row>
    <row r="9485" spans="18:20" x14ac:dyDescent="0.45">
      <c r="R9485" s="2">
        <v>111.61</v>
      </c>
      <c r="S9485" s="2">
        <v>1.0124120000000001</v>
      </c>
      <c r="T9485" s="2">
        <v>0.94578030000000002</v>
      </c>
    </row>
    <row r="9486" spans="18:20" x14ac:dyDescent="0.45">
      <c r="R9486" s="2">
        <v>111.62</v>
      </c>
      <c r="S9486" s="2">
        <v>1.013112</v>
      </c>
      <c r="T9486" s="2">
        <v>0.94674000000000003</v>
      </c>
    </row>
    <row r="9487" spans="18:20" x14ac:dyDescent="0.45">
      <c r="R9487" s="2">
        <v>111.63</v>
      </c>
      <c r="S9487" s="2">
        <v>1.0138130000000001</v>
      </c>
      <c r="T9487" s="2">
        <v>0.94769959999999998</v>
      </c>
    </row>
    <row r="9488" spans="18:20" x14ac:dyDescent="0.45">
      <c r="R9488" s="2">
        <v>111.64</v>
      </c>
      <c r="S9488" s="2">
        <v>1.014513</v>
      </c>
      <c r="T9488" s="2">
        <v>0.94865920000000004</v>
      </c>
    </row>
    <row r="9489" spans="18:20" x14ac:dyDescent="0.45">
      <c r="R9489" s="2">
        <v>111.65</v>
      </c>
      <c r="S9489" s="2">
        <v>1.0152129999999999</v>
      </c>
      <c r="T9489" s="2">
        <v>0.94961890000000004</v>
      </c>
    </row>
    <row r="9490" spans="18:20" x14ac:dyDescent="0.45">
      <c r="R9490" s="2">
        <v>111.66</v>
      </c>
      <c r="S9490" s="2">
        <v>1.0159130000000001</v>
      </c>
      <c r="T9490" s="2">
        <v>0.95057860000000005</v>
      </c>
    </row>
    <row r="9491" spans="18:20" x14ac:dyDescent="0.45">
      <c r="R9491" s="2">
        <v>111.67</v>
      </c>
      <c r="S9491" s="2">
        <v>1.016613</v>
      </c>
      <c r="T9491" s="2">
        <v>0.9515382</v>
      </c>
    </row>
    <row r="9492" spans="18:20" x14ac:dyDescent="0.45">
      <c r="R9492" s="2">
        <v>111.68</v>
      </c>
      <c r="S9492" s="2">
        <v>1.0173140000000001</v>
      </c>
      <c r="T9492" s="2">
        <v>0.95249790000000001</v>
      </c>
    </row>
    <row r="9493" spans="18:20" x14ac:dyDescent="0.45">
      <c r="R9493" s="2">
        <v>111.69</v>
      </c>
      <c r="S9493" s="2">
        <v>1.018014</v>
      </c>
      <c r="T9493" s="2">
        <v>0.95345749999999996</v>
      </c>
    </row>
    <row r="9494" spans="18:20" x14ac:dyDescent="0.45">
      <c r="R9494" s="2">
        <v>111.7</v>
      </c>
      <c r="S9494" s="2">
        <v>1.0187139999999999</v>
      </c>
      <c r="T9494" s="2">
        <v>0.95441719999999997</v>
      </c>
    </row>
    <row r="9495" spans="18:20" x14ac:dyDescent="0.45">
      <c r="R9495" s="2">
        <v>111.71</v>
      </c>
      <c r="S9495" s="2">
        <v>1.019414</v>
      </c>
      <c r="T9495" s="2">
        <v>0.95537689999999997</v>
      </c>
    </row>
    <row r="9496" spans="18:20" x14ac:dyDescent="0.45">
      <c r="R9496" s="2">
        <v>111.72</v>
      </c>
      <c r="S9496" s="2">
        <v>1.020114</v>
      </c>
      <c r="T9496" s="2">
        <v>0.95633650000000003</v>
      </c>
    </row>
    <row r="9497" spans="18:20" x14ac:dyDescent="0.45">
      <c r="R9497" s="2">
        <v>111.73</v>
      </c>
      <c r="S9497" s="2">
        <v>1.020815</v>
      </c>
      <c r="T9497" s="2">
        <v>0.95729620000000004</v>
      </c>
    </row>
    <row r="9498" spans="18:20" x14ac:dyDescent="0.45">
      <c r="R9498" s="2">
        <v>111.74</v>
      </c>
      <c r="S9498" s="2">
        <v>1.021515</v>
      </c>
      <c r="T9498" s="2">
        <v>0.95825579999999999</v>
      </c>
    </row>
    <row r="9499" spans="18:20" x14ac:dyDescent="0.45">
      <c r="R9499" s="2">
        <v>111.75</v>
      </c>
      <c r="S9499" s="2">
        <v>1.0222150000000001</v>
      </c>
      <c r="T9499" s="2">
        <v>0.9592155</v>
      </c>
    </row>
    <row r="9500" spans="18:20" x14ac:dyDescent="0.45">
      <c r="R9500" s="2">
        <v>111.76</v>
      </c>
      <c r="S9500" s="2">
        <v>1.022915</v>
      </c>
      <c r="T9500" s="2">
        <v>0.96017520000000001</v>
      </c>
    </row>
    <row r="9501" spans="18:20" x14ac:dyDescent="0.45">
      <c r="R9501" s="2">
        <v>111.77</v>
      </c>
      <c r="S9501" s="2">
        <v>1.0236149999999999</v>
      </c>
      <c r="T9501" s="2">
        <v>0.96113479999999996</v>
      </c>
    </row>
    <row r="9502" spans="18:20" x14ac:dyDescent="0.45">
      <c r="R9502" s="2">
        <v>111.78</v>
      </c>
      <c r="S9502" s="2">
        <v>1.024316</v>
      </c>
      <c r="T9502" s="2">
        <v>0.96209449999999996</v>
      </c>
    </row>
    <row r="9503" spans="18:20" x14ac:dyDescent="0.45">
      <c r="R9503" s="2">
        <v>111.79</v>
      </c>
      <c r="S9503" s="2">
        <v>1.0250159999999999</v>
      </c>
      <c r="T9503" s="2">
        <v>0.96305410000000002</v>
      </c>
    </row>
    <row r="9504" spans="18:20" x14ac:dyDescent="0.45">
      <c r="R9504" s="2">
        <v>111.8</v>
      </c>
      <c r="S9504" s="2">
        <v>1.0257160000000001</v>
      </c>
      <c r="T9504" s="2">
        <v>0.96401380000000003</v>
      </c>
    </row>
    <row r="9505" spans="18:20" x14ac:dyDescent="0.45">
      <c r="R9505" s="2">
        <v>111.81</v>
      </c>
      <c r="S9505" s="2">
        <v>1.026416</v>
      </c>
      <c r="T9505" s="2">
        <v>0.96497350000000004</v>
      </c>
    </row>
    <row r="9506" spans="18:20" x14ac:dyDescent="0.45">
      <c r="R9506" s="2">
        <v>111.82</v>
      </c>
      <c r="S9506" s="2">
        <v>1.0271159999999999</v>
      </c>
      <c r="T9506" s="2">
        <v>0.96593309999999999</v>
      </c>
    </row>
    <row r="9507" spans="18:20" x14ac:dyDescent="0.45">
      <c r="R9507" s="2">
        <v>111.83</v>
      </c>
      <c r="S9507" s="2">
        <v>1.027817</v>
      </c>
      <c r="T9507" s="2">
        <v>0.9668928</v>
      </c>
    </row>
    <row r="9508" spans="18:20" x14ac:dyDescent="0.45">
      <c r="R9508" s="2">
        <v>111.84</v>
      </c>
      <c r="S9508" s="2">
        <v>1.0285169999999999</v>
      </c>
      <c r="T9508" s="2">
        <v>0.96785239999999995</v>
      </c>
    </row>
    <row r="9509" spans="18:20" x14ac:dyDescent="0.45">
      <c r="R9509" s="2">
        <v>111.85</v>
      </c>
      <c r="S9509" s="2">
        <v>1.029217</v>
      </c>
      <c r="T9509" s="2">
        <v>0.96881209999999995</v>
      </c>
    </row>
    <row r="9510" spans="18:20" x14ac:dyDescent="0.45">
      <c r="R9510" s="2">
        <v>111.86</v>
      </c>
      <c r="S9510" s="2">
        <v>1.029917</v>
      </c>
      <c r="T9510" s="2">
        <v>0.96977179999999996</v>
      </c>
    </row>
    <row r="9511" spans="18:20" x14ac:dyDescent="0.45">
      <c r="R9511" s="2">
        <v>111.87</v>
      </c>
      <c r="S9511" s="2">
        <v>1.0306169999999999</v>
      </c>
      <c r="T9511" s="2">
        <v>0.97073140000000002</v>
      </c>
    </row>
    <row r="9512" spans="18:20" x14ac:dyDescent="0.45">
      <c r="R9512" s="2">
        <v>111.88</v>
      </c>
      <c r="S9512" s="2">
        <v>1.031318</v>
      </c>
      <c r="T9512" s="2">
        <v>0.97169099999999997</v>
      </c>
    </row>
    <row r="9513" spans="18:20" x14ac:dyDescent="0.45">
      <c r="R9513" s="2">
        <v>111.89</v>
      </c>
      <c r="S9513" s="2">
        <v>1.0320180000000001</v>
      </c>
      <c r="T9513" s="2">
        <v>0.97265069999999998</v>
      </c>
    </row>
    <row r="9514" spans="18:20" x14ac:dyDescent="0.45">
      <c r="R9514" s="2">
        <v>111.9</v>
      </c>
      <c r="S9514" s="2">
        <v>1.032718</v>
      </c>
      <c r="T9514" s="2">
        <v>0.97361039999999999</v>
      </c>
    </row>
    <row r="9515" spans="18:20" x14ac:dyDescent="0.45">
      <c r="R9515" s="2">
        <v>111.91</v>
      </c>
      <c r="S9515" s="2">
        <v>1.0334179999999999</v>
      </c>
      <c r="T9515" s="2">
        <v>0.97457000000000005</v>
      </c>
    </row>
    <row r="9516" spans="18:20" x14ac:dyDescent="0.45">
      <c r="R9516" s="2">
        <v>111.92</v>
      </c>
      <c r="S9516" s="2">
        <v>1.0341180000000001</v>
      </c>
      <c r="T9516" s="2">
        <v>0.97552970000000006</v>
      </c>
    </row>
    <row r="9517" spans="18:20" x14ac:dyDescent="0.45">
      <c r="R9517" s="2">
        <v>111.93</v>
      </c>
      <c r="S9517" s="2">
        <v>1.0348189999999999</v>
      </c>
      <c r="T9517" s="2">
        <v>0.97648939999999995</v>
      </c>
    </row>
    <row r="9518" spans="18:20" x14ac:dyDescent="0.45">
      <c r="R9518" s="2">
        <v>111.94</v>
      </c>
      <c r="S9518" s="2">
        <v>1.0355190000000001</v>
      </c>
      <c r="T9518" s="2">
        <v>0.97744900000000001</v>
      </c>
    </row>
    <row r="9519" spans="18:20" x14ac:dyDescent="0.45">
      <c r="R9519" s="2">
        <v>111.95</v>
      </c>
      <c r="S9519" s="2">
        <v>1.036219</v>
      </c>
      <c r="T9519" s="2">
        <v>0.97840870000000002</v>
      </c>
    </row>
    <row r="9520" spans="18:20" x14ac:dyDescent="0.45">
      <c r="R9520" s="2">
        <v>111.96</v>
      </c>
      <c r="S9520" s="2">
        <v>1.0369189999999999</v>
      </c>
      <c r="T9520" s="2">
        <v>0.97936840000000003</v>
      </c>
    </row>
    <row r="9521" spans="18:20" x14ac:dyDescent="0.45">
      <c r="R9521" s="2">
        <v>111.97</v>
      </c>
      <c r="S9521" s="2">
        <v>1.0376190000000001</v>
      </c>
      <c r="T9521" s="2">
        <v>0.98032799999999998</v>
      </c>
    </row>
    <row r="9522" spans="18:20" x14ac:dyDescent="0.45">
      <c r="R9522" s="2">
        <v>111.98</v>
      </c>
      <c r="S9522" s="2">
        <v>1.0383199999999999</v>
      </c>
      <c r="T9522" s="2">
        <v>0.98128769999999998</v>
      </c>
    </row>
    <row r="9523" spans="18:20" x14ac:dyDescent="0.45">
      <c r="R9523" s="2">
        <v>111.99</v>
      </c>
      <c r="S9523" s="2">
        <v>1.0390200000000001</v>
      </c>
      <c r="T9523" s="2">
        <v>0.98224730000000005</v>
      </c>
    </row>
    <row r="9524" spans="18:20" x14ac:dyDescent="0.45">
      <c r="R9524" s="2">
        <v>112</v>
      </c>
      <c r="S9524" s="2">
        <v>1.03972</v>
      </c>
      <c r="T9524" s="2">
        <v>0.98320700000000005</v>
      </c>
    </row>
    <row r="9525" spans="18:20" x14ac:dyDescent="0.45">
      <c r="R9525" s="2">
        <v>112.01</v>
      </c>
      <c r="S9525" s="2">
        <v>1.0404599999999999</v>
      </c>
      <c r="T9525" s="2">
        <v>0.98427039999999999</v>
      </c>
    </row>
    <row r="9526" spans="18:20" x14ac:dyDescent="0.45">
      <c r="R9526" s="2">
        <v>112.02</v>
      </c>
      <c r="S9526" s="2">
        <v>1.041199</v>
      </c>
      <c r="T9526" s="2">
        <v>0.98533389999999998</v>
      </c>
    </row>
    <row r="9527" spans="18:20" x14ac:dyDescent="0.45">
      <c r="R9527" s="2">
        <v>112.03</v>
      </c>
      <c r="S9527" s="2">
        <v>1.0419389999999999</v>
      </c>
      <c r="T9527" s="2">
        <v>0.98639730000000003</v>
      </c>
    </row>
    <row r="9528" spans="18:20" x14ac:dyDescent="0.45">
      <c r="R9528" s="2">
        <v>112.04</v>
      </c>
      <c r="S9528" s="2">
        <v>1.0426789999999999</v>
      </c>
      <c r="T9528" s="2">
        <v>0.98746069999999997</v>
      </c>
    </row>
    <row r="9529" spans="18:20" x14ac:dyDescent="0.45">
      <c r="R9529" s="2">
        <v>112.05</v>
      </c>
      <c r="S9529" s="2">
        <v>1.043418</v>
      </c>
      <c r="T9529" s="2">
        <v>0.98852410000000002</v>
      </c>
    </row>
    <row r="9530" spans="18:20" x14ac:dyDescent="0.45">
      <c r="R9530" s="2">
        <v>112.06</v>
      </c>
      <c r="S9530" s="2">
        <v>1.0441579999999999</v>
      </c>
      <c r="T9530" s="2">
        <v>0.98958760000000001</v>
      </c>
    </row>
    <row r="9531" spans="18:20" x14ac:dyDescent="0.45">
      <c r="R9531" s="2">
        <v>112.07</v>
      </c>
      <c r="S9531" s="2">
        <v>1.0448980000000001</v>
      </c>
      <c r="T9531" s="2">
        <v>0.99065099999999995</v>
      </c>
    </row>
    <row r="9532" spans="18:20" x14ac:dyDescent="0.45">
      <c r="R9532" s="2">
        <v>112.08</v>
      </c>
      <c r="S9532" s="2">
        <v>1.0456380000000001</v>
      </c>
      <c r="T9532" s="2">
        <v>0.9917144</v>
      </c>
    </row>
    <row r="9533" spans="18:20" x14ac:dyDescent="0.45">
      <c r="R9533" s="2">
        <v>112.09</v>
      </c>
      <c r="S9533" s="2">
        <v>1.0463769999999999</v>
      </c>
      <c r="T9533" s="2">
        <v>0.99277789999999999</v>
      </c>
    </row>
    <row r="9534" spans="18:20" x14ac:dyDescent="0.45">
      <c r="R9534" s="2">
        <v>112.1</v>
      </c>
      <c r="S9534" s="2">
        <v>1.0471170000000001</v>
      </c>
      <c r="T9534" s="2">
        <v>0.99384130000000004</v>
      </c>
    </row>
    <row r="9535" spans="18:20" x14ac:dyDescent="0.45">
      <c r="R9535" s="2">
        <v>112.11</v>
      </c>
      <c r="S9535" s="2">
        <v>1.047857</v>
      </c>
      <c r="T9535" s="2">
        <v>0.99490469999999998</v>
      </c>
    </row>
    <row r="9536" spans="18:20" x14ac:dyDescent="0.45">
      <c r="R9536" s="2">
        <v>112.12</v>
      </c>
      <c r="S9536" s="2">
        <v>1.0485960000000001</v>
      </c>
      <c r="T9536" s="2">
        <v>0.99596819999999997</v>
      </c>
    </row>
    <row r="9537" spans="18:20" x14ac:dyDescent="0.45">
      <c r="R9537" s="2">
        <v>112.13</v>
      </c>
      <c r="S9537" s="2">
        <v>1.049336</v>
      </c>
      <c r="T9537" s="2">
        <v>0.99703160000000002</v>
      </c>
    </row>
    <row r="9538" spans="18:20" x14ac:dyDescent="0.45">
      <c r="R9538" s="2">
        <v>112.14</v>
      </c>
      <c r="S9538" s="2">
        <v>1.050076</v>
      </c>
      <c r="T9538" s="2">
        <v>0.99809499999999995</v>
      </c>
    </row>
    <row r="9539" spans="18:20" x14ac:dyDescent="0.45">
      <c r="R9539" s="2">
        <v>112.15</v>
      </c>
      <c r="S9539" s="2">
        <v>1.050816</v>
      </c>
      <c r="T9539" s="2">
        <v>0.99915849999999995</v>
      </c>
    </row>
    <row r="9540" spans="18:20" x14ac:dyDescent="0.45">
      <c r="R9540" s="2">
        <v>112.16</v>
      </c>
      <c r="S9540" s="2">
        <v>1.051555</v>
      </c>
      <c r="T9540" s="2">
        <v>1.0002219999999999</v>
      </c>
    </row>
    <row r="9541" spans="18:20" x14ac:dyDescent="0.45">
      <c r="R9541" s="2">
        <v>112.17</v>
      </c>
      <c r="S9541" s="2">
        <v>1.052295</v>
      </c>
      <c r="T9541" s="2">
        <v>1.001285</v>
      </c>
    </row>
    <row r="9542" spans="18:20" x14ac:dyDescent="0.45">
      <c r="R9542" s="2">
        <v>112.18</v>
      </c>
      <c r="S9542" s="2">
        <v>1.0530349999999999</v>
      </c>
      <c r="T9542" s="2">
        <v>1.0023489999999999</v>
      </c>
    </row>
    <row r="9543" spans="18:20" x14ac:dyDescent="0.45">
      <c r="R9543" s="2">
        <v>112.19</v>
      </c>
      <c r="S9543" s="2">
        <v>1.053774</v>
      </c>
      <c r="T9543" s="2">
        <v>1.003412</v>
      </c>
    </row>
    <row r="9544" spans="18:20" x14ac:dyDescent="0.45">
      <c r="R9544" s="2">
        <v>112.2</v>
      </c>
      <c r="S9544" s="2">
        <v>1.054514</v>
      </c>
      <c r="T9544" s="2">
        <v>1.0044759999999999</v>
      </c>
    </row>
    <row r="9545" spans="18:20" x14ac:dyDescent="0.45">
      <c r="R9545" s="2">
        <v>112.21</v>
      </c>
      <c r="S9545" s="2">
        <v>1.0552539999999999</v>
      </c>
      <c r="T9545" s="2">
        <v>1.005539</v>
      </c>
    </row>
    <row r="9546" spans="18:20" x14ac:dyDescent="0.45">
      <c r="R9546" s="2">
        <v>112.22</v>
      </c>
      <c r="S9546" s="2">
        <v>1.055993</v>
      </c>
      <c r="T9546" s="2">
        <v>1.006602</v>
      </c>
    </row>
    <row r="9547" spans="18:20" x14ac:dyDescent="0.45">
      <c r="R9547" s="2">
        <v>112.23</v>
      </c>
      <c r="S9547" s="2">
        <v>1.0567329999999999</v>
      </c>
      <c r="T9547" s="2">
        <v>1.007666</v>
      </c>
    </row>
    <row r="9548" spans="18:20" x14ac:dyDescent="0.45">
      <c r="R9548" s="2">
        <v>112.24</v>
      </c>
      <c r="S9548" s="2">
        <v>1.0574730000000001</v>
      </c>
      <c r="T9548" s="2">
        <v>1.008729</v>
      </c>
    </row>
    <row r="9549" spans="18:20" x14ac:dyDescent="0.45">
      <c r="R9549" s="2">
        <v>112.25</v>
      </c>
      <c r="S9549" s="2">
        <v>1.0582130000000001</v>
      </c>
      <c r="T9549" s="2">
        <v>1.0097929999999999</v>
      </c>
    </row>
    <row r="9550" spans="18:20" x14ac:dyDescent="0.45">
      <c r="R9550" s="2">
        <v>112.26</v>
      </c>
      <c r="S9550" s="2">
        <v>1.0589519999999999</v>
      </c>
      <c r="T9550" s="2">
        <v>1.010856</v>
      </c>
    </row>
    <row r="9551" spans="18:20" x14ac:dyDescent="0.45">
      <c r="R9551" s="2">
        <v>112.27</v>
      </c>
      <c r="S9551" s="2">
        <v>1.0596920000000001</v>
      </c>
      <c r="T9551" s="2">
        <v>1.0119199999999999</v>
      </c>
    </row>
    <row r="9552" spans="18:20" x14ac:dyDescent="0.45">
      <c r="R9552" s="2">
        <v>112.28</v>
      </c>
      <c r="S9552" s="2">
        <v>1.060432</v>
      </c>
      <c r="T9552" s="2">
        <v>1.012983</v>
      </c>
    </row>
    <row r="9553" spans="18:20" x14ac:dyDescent="0.45">
      <c r="R9553" s="2">
        <v>112.29</v>
      </c>
      <c r="S9553" s="2">
        <v>1.0611710000000001</v>
      </c>
      <c r="T9553" s="2">
        <v>1.014046</v>
      </c>
    </row>
    <row r="9554" spans="18:20" x14ac:dyDescent="0.45">
      <c r="R9554" s="2">
        <v>112.3</v>
      </c>
      <c r="S9554" s="2">
        <v>1.061911</v>
      </c>
      <c r="T9554" s="2">
        <v>1.01511</v>
      </c>
    </row>
    <row r="9555" spans="18:20" x14ac:dyDescent="0.45">
      <c r="R9555" s="2">
        <v>112.31</v>
      </c>
      <c r="S9555" s="2">
        <v>1.062651</v>
      </c>
      <c r="T9555" s="2">
        <v>1.016173</v>
      </c>
    </row>
    <row r="9556" spans="18:20" x14ac:dyDescent="0.45">
      <c r="R9556" s="2">
        <v>112.32</v>
      </c>
      <c r="S9556" s="2">
        <v>1.0633900000000001</v>
      </c>
      <c r="T9556" s="2">
        <v>1.0172369999999999</v>
      </c>
    </row>
    <row r="9557" spans="18:20" x14ac:dyDescent="0.45">
      <c r="R9557" s="2">
        <v>112.33</v>
      </c>
      <c r="S9557" s="2">
        <v>1.06413</v>
      </c>
      <c r="T9557" s="2">
        <v>1.0183</v>
      </c>
    </row>
    <row r="9558" spans="18:20" x14ac:dyDescent="0.45">
      <c r="R9558" s="2">
        <v>112.34</v>
      </c>
      <c r="S9558" s="2">
        <v>1.06487</v>
      </c>
      <c r="T9558" s="2">
        <v>1.0193639999999999</v>
      </c>
    </row>
    <row r="9559" spans="18:20" x14ac:dyDescent="0.45">
      <c r="R9559" s="2">
        <v>112.35</v>
      </c>
      <c r="S9559" s="2">
        <v>1.065609</v>
      </c>
      <c r="T9559" s="2">
        <v>1.020427</v>
      </c>
    </row>
    <row r="9560" spans="18:20" x14ac:dyDescent="0.45">
      <c r="R9560" s="2">
        <v>112.36</v>
      </c>
      <c r="S9560" s="2">
        <v>1.066349</v>
      </c>
      <c r="T9560" s="2">
        <v>1.02149</v>
      </c>
    </row>
    <row r="9561" spans="18:20" x14ac:dyDescent="0.45">
      <c r="R9561" s="2">
        <v>112.37</v>
      </c>
      <c r="S9561" s="2">
        <v>1.067089</v>
      </c>
      <c r="T9561" s="2">
        <v>1.022554</v>
      </c>
    </row>
    <row r="9562" spans="18:20" x14ac:dyDescent="0.45">
      <c r="R9562" s="2">
        <v>112.38</v>
      </c>
      <c r="S9562" s="2">
        <v>1.0678289999999999</v>
      </c>
      <c r="T9562" s="2">
        <v>1.023617</v>
      </c>
    </row>
    <row r="9563" spans="18:20" x14ac:dyDescent="0.45">
      <c r="R9563" s="2">
        <v>112.39</v>
      </c>
      <c r="S9563" s="2">
        <v>1.068568</v>
      </c>
      <c r="T9563" s="2">
        <v>1.024681</v>
      </c>
    </row>
    <row r="9564" spans="18:20" x14ac:dyDescent="0.45">
      <c r="R9564" s="2">
        <v>112.4</v>
      </c>
      <c r="S9564" s="2">
        <v>1.0693079999999999</v>
      </c>
      <c r="T9564" s="2">
        <v>1.025744</v>
      </c>
    </row>
    <row r="9565" spans="18:20" x14ac:dyDescent="0.45">
      <c r="R9565" s="2">
        <v>112.41</v>
      </c>
      <c r="S9565" s="2">
        <v>1.0700480000000001</v>
      </c>
      <c r="T9565" s="2">
        <v>1.0268079999999999</v>
      </c>
    </row>
    <row r="9566" spans="18:20" x14ac:dyDescent="0.45">
      <c r="R9566" s="2">
        <v>112.42</v>
      </c>
      <c r="S9566" s="2">
        <v>1.0707869999999999</v>
      </c>
      <c r="T9566" s="2">
        <v>1.027871</v>
      </c>
    </row>
    <row r="9567" spans="18:20" x14ac:dyDescent="0.45">
      <c r="R9567" s="2">
        <v>112.43</v>
      </c>
      <c r="S9567" s="2">
        <v>1.0715269999999999</v>
      </c>
      <c r="T9567" s="2">
        <v>1.028934</v>
      </c>
    </row>
    <row r="9568" spans="18:20" x14ac:dyDescent="0.45">
      <c r="R9568" s="2">
        <v>112.44</v>
      </c>
      <c r="S9568" s="2">
        <v>1.0722670000000001</v>
      </c>
      <c r="T9568" s="2">
        <v>1.029998</v>
      </c>
    </row>
    <row r="9569" spans="18:20" x14ac:dyDescent="0.45">
      <c r="R9569" s="2">
        <v>112.45</v>
      </c>
      <c r="S9569" s="2">
        <v>1.073007</v>
      </c>
      <c r="T9569" s="2">
        <v>1.031061</v>
      </c>
    </row>
    <row r="9570" spans="18:20" x14ac:dyDescent="0.45">
      <c r="R9570" s="2">
        <v>112.46</v>
      </c>
      <c r="S9570" s="2">
        <v>1.0737460000000001</v>
      </c>
      <c r="T9570" s="2">
        <v>1.032125</v>
      </c>
    </row>
    <row r="9571" spans="18:20" x14ac:dyDescent="0.45">
      <c r="R9571" s="2">
        <v>112.47</v>
      </c>
      <c r="S9571" s="2">
        <v>1.0744860000000001</v>
      </c>
      <c r="T9571" s="2">
        <v>1.033188</v>
      </c>
    </row>
    <row r="9572" spans="18:20" x14ac:dyDescent="0.45">
      <c r="R9572" s="2">
        <v>112.48</v>
      </c>
      <c r="S9572" s="2">
        <v>1.075226</v>
      </c>
      <c r="T9572" s="2">
        <v>1.0342519999999999</v>
      </c>
    </row>
    <row r="9573" spans="18:20" x14ac:dyDescent="0.45">
      <c r="R9573" s="2">
        <v>112.49</v>
      </c>
      <c r="S9573" s="2">
        <v>1.0759650000000001</v>
      </c>
      <c r="T9573" s="2">
        <v>1.035315</v>
      </c>
    </row>
    <row r="9574" spans="18:20" x14ac:dyDescent="0.45">
      <c r="R9574" s="2">
        <v>112.5</v>
      </c>
      <c r="S9574" s="2">
        <v>1.076705</v>
      </c>
      <c r="T9574" s="2">
        <v>1.0363789999999999</v>
      </c>
    </row>
    <row r="9575" spans="18:20" x14ac:dyDescent="0.45">
      <c r="R9575" s="2">
        <v>112.51</v>
      </c>
      <c r="S9575" s="2">
        <v>1.077445</v>
      </c>
      <c r="T9575" s="2">
        <v>1.037442</v>
      </c>
    </row>
    <row r="9576" spans="18:20" x14ac:dyDescent="0.45">
      <c r="R9576" s="2">
        <v>112.52</v>
      </c>
      <c r="S9576" s="2">
        <v>1.078184</v>
      </c>
      <c r="T9576" s="2">
        <v>1.038505</v>
      </c>
    </row>
    <row r="9577" spans="18:20" x14ac:dyDescent="0.45">
      <c r="R9577" s="2">
        <v>112.53</v>
      </c>
      <c r="S9577" s="2">
        <v>1.078924</v>
      </c>
      <c r="T9577" s="2">
        <v>1.039569</v>
      </c>
    </row>
    <row r="9578" spans="18:20" x14ac:dyDescent="0.45">
      <c r="R9578" s="2">
        <v>112.54</v>
      </c>
      <c r="S9578" s="2">
        <v>1.079664</v>
      </c>
      <c r="T9578" s="2">
        <v>1.040632</v>
      </c>
    </row>
    <row r="9579" spans="18:20" x14ac:dyDescent="0.45">
      <c r="R9579" s="2">
        <v>112.55</v>
      </c>
      <c r="S9579" s="2">
        <v>1.080403</v>
      </c>
      <c r="T9579" s="2">
        <v>1.041696</v>
      </c>
    </row>
    <row r="9580" spans="18:20" x14ac:dyDescent="0.45">
      <c r="R9580" s="2">
        <v>112.56</v>
      </c>
      <c r="S9580" s="2">
        <v>1.081143</v>
      </c>
      <c r="T9580" s="2">
        <v>1.042759</v>
      </c>
    </row>
    <row r="9581" spans="18:20" x14ac:dyDescent="0.45">
      <c r="R9581" s="2">
        <v>112.57</v>
      </c>
      <c r="S9581" s="2">
        <v>1.0818829999999999</v>
      </c>
      <c r="T9581" s="2">
        <v>1.0438229999999999</v>
      </c>
    </row>
    <row r="9582" spans="18:20" x14ac:dyDescent="0.45">
      <c r="R9582" s="2">
        <v>112.58</v>
      </c>
      <c r="S9582" s="2">
        <v>1.0826229999999999</v>
      </c>
      <c r="T9582" s="2">
        <v>1.044886</v>
      </c>
    </row>
    <row r="9583" spans="18:20" x14ac:dyDescent="0.45">
      <c r="R9583" s="2">
        <v>112.59</v>
      </c>
      <c r="S9583" s="2">
        <v>1.0833619999999999</v>
      </c>
      <c r="T9583" s="2">
        <v>1.045949</v>
      </c>
    </row>
    <row r="9584" spans="18:20" x14ac:dyDescent="0.45">
      <c r="R9584" s="2">
        <v>112.6</v>
      </c>
      <c r="S9584" s="2">
        <v>1.0841019999999999</v>
      </c>
      <c r="T9584" s="2">
        <v>1.047013</v>
      </c>
    </row>
    <row r="9585" spans="18:20" x14ac:dyDescent="0.45">
      <c r="R9585" s="2">
        <v>112.61</v>
      </c>
      <c r="S9585" s="2">
        <v>1.0848420000000001</v>
      </c>
      <c r="T9585" s="2">
        <v>1.048076</v>
      </c>
    </row>
    <row r="9586" spans="18:20" x14ac:dyDescent="0.45">
      <c r="R9586" s="2">
        <v>112.62</v>
      </c>
      <c r="S9586" s="2">
        <v>1.0855809999999999</v>
      </c>
      <c r="T9586" s="2">
        <v>1.04914</v>
      </c>
    </row>
    <row r="9587" spans="18:20" x14ac:dyDescent="0.45">
      <c r="R9587" s="2">
        <v>112.63</v>
      </c>
      <c r="S9587" s="2">
        <v>1.0863210000000001</v>
      </c>
      <c r="T9587" s="2">
        <v>1.050203</v>
      </c>
    </row>
    <row r="9588" spans="18:20" x14ac:dyDescent="0.45">
      <c r="R9588" s="2">
        <v>112.64</v>
      </c>
      <c r="S9588" s="2">
        <v>1.0870610000000001</v>
      </c>
      <c r="T9588" s="2">
        <v>1.051267</v>
      </c>
    </row>
    <row r="9589" spans="18:20" x14ac:dyDescent="0.45">
      <c r="R9589" s="2">
        <v>112.65</v>
      </c>
      <c r="S9589" s="2">
        <v>1.087801</v>
      </c>
      <c r="T9589" s="2">
        <v>1.05233</v>
      </c>
    </row>
    <row r="9590" spans="18:20" x14ac:dyDescent="0.45">
      <c r="R9590" s="2">
        <v>112.66</v>
      </c>
      <c r="S9590" s="2">
        <v>1.0885400000000001</v>
      </c>
      <c r="T9590" s="2">
        <v>1.053393</v>
      </c>
    </row>
    <row r="9591" spans="18:20" x14ac:dyDescent="0.45">
      <c r="R9591" s="2">
        <v>112.67</v>
      </c>
      <c r="S9591" s="2">
        <v>1.08928</v>
      </c>
      <c r="T9591" s="2">
        <v>1.054457</v>
      </c>
    </row>
    <row r="9592" spans="18:20" x14ac:dyDescent="0.45">
      <c r="R9592" s="2">
        <v>112.68</v>
      </c>
      <c r="S9592" s="2">
        <v>1.09002</v>
      </c>
      <c r="T9592" s="2">
        <v>1.05552</v>
      </c>
    </row>
    <row r="9593" spans="18:20" x14ac:dyDescent="0.45">
      <c r="R9593" s="2">
        <v>112.69</v>
      </c>
      <c r="S9593" s="2">
        <v>1.090759</v>
      </c>
      <c r="T9593" s="2">
        <v>1.056584</v>
      </c>
    </row>
    <row r="9594" spans="18:20" x14ac:dyDescent="0.45">
      <c r="R9594" s="2">
        <v>112.7</v>
      </c>
      <c r="S9594" s="2">
        <v>1.091499</v>
      </c>
      <c r="T9594" s="2">
        <v>1.057647</v>
      </c>
    </row>
    <row r="9595" spans="18:20" x14ac:dyDescent="0.45">
      <c r="R9595" s="2">
        <v>112.71</v>
      </c>
      <c r="S9595" s="2">
        <v>1.092239</v>
      </c>
      <c r="T9595" s="2">
        <v>1.058711</v>
      </c>
    </row>
    <row r="9596" spans="18:20" x14ac:dyDescent="0.45">
      <c r="R9596" s="2">
        <v>112.72</v>
      </c>
      <c r="S9596" s="2">
        <v>1.092978</v>
      </c>
      <c r="T9596" s="2">
        <v>1.059774</v>
      </c>
    </row>
    <row r="9597" spans="18:20" x14ac:dyDescent="0.45">
      <c r="R9597" s="2">
        <v>112.73</v>
      </c>
      <c r="S9597" s="2">
        <v>1.093718</v>
      </c>
      <c r="T9597" s="2">
        <v>1.060837</v>
      </c>
    </row>
    <row r="9598" spans="18:20" x14ac:dyDescent="0.45">
      <c r="R9598" s="2">
        <v>112.74</v>
      </c>
      <c r="S9598" s="2">
        <v>1.0944579999999999</v>
      </c>
      <c r="T9598" s="2">
        <v>1.061901</v>
      </c>
    </row>
    <row r="9599" spans="18:20" x14ac:dyDescent="0.45">
      <c r="R9599" s="2">
        <v>112.75</v>
      </c>
      <c r="S9599" s="2">
        <v>1.0951979999999999</v>
      </c>
      <c r="T9599" s="2">
        <v>1.062964</v>
      </c>
    </row>
    <row r="9600" spans="18:20" x14ac:dyDescent="0.45">
      <c r="R9600" s="2">
        <v>112.76</v>
      </c>
      <c r="S9600" s="2">
        <v>1.0959369999999999</v>
      </c>
      <c r="T9600" s="2">
        <v>1.064028</v>
      </c>
    </row>
    <row r="9601" spans="18:20" x14ac:dyDescent="0.45">
      <c r="R9601" s="2">
        <v>112.77</v>
      </c>
      <c r="S9601" s="2">
        <v>1.0966769999999999</v>
      </c>
      <c r="T9601" s="2">
        <v>1.065091</v>
      </c>
    </row>
    <row r="9602" spans="18:20" x14ac:dyDescent="0.45">
      <c r="R9602" s="2">
        <v>112.78</v>
      </c>
      <c r="S9602" s="2">
        <v>1.0974170000000001</v>
      </c>
      <c r="T9602" s="2">
        <v>1.066155</v>
      </c>
    </row>
    <row r="9603" spans="18:20" x14ac:dyDescent="0.45">
      <c r="R9603" s="2">
        <v>112.79</v>
      </c>
      <c r="S9603" s="2">
        <v>1.0981559999999999</v>
      </c>
      <c r="T9603" s="2">
        <v>1.067218</v>
      </c>
    </row>
    <row r="9604" spans="18:20" x14ac:dyDescent="0.45">
      <c r="R9604" s="2">
        <v>112.8</v>
      </c>
      <c r="S9604" s="2">
        <v>1.0988960000000001</v>
      </c>
      <c r="T9604" s="2">
        <v>1.068281</v>
      </c>
    </row>
    <row r="9605" spans="18:20" x14ac:dyDescent="0.45">
      <c r="R9605" s="2">
        <v>112.81</v>
      </c>
      <c r="S9605" s="2">
        <v>1.0996360000000001</v>
      </c>
      <c r="T9605" s="2">
        <v>1.069345</v>
      </c>
    </row>
    <row r="9606" spans="18:20" x14ac:dyDescent="0.45">
      <c r="R9606" s="2">
        <v>112.82</v>
      </c>
      <c r="S9606" s="2">
        <v>1.1003750000000001</v>
      </c>
      <c r="T9606" s="2">
        <v>1.070408</v>
      </c>
    </row>
    <row r="9607" spans="18:20" x14ac:dyDescent="0.45">
      <c r="R9607" s="2">
        <v>112.83</v>
      </c>
      <c r="S9607" s="2">
        <v>1.1011150000000001</v>
      </c>
      <c r="T9607" s="2">
        <v>1.071472</v>
      </c>
    </row>
    <row r="9608" spans="18:20" x14ac:dyDescent="0.45">
      <c r="R9608" s="2">
        <v>112.84</v>
      </c>
      <c r="S9608" s="2">
        <v>1.101855</v>
      </c>
      <c r="T9608" s="2">
        <v>1.072535</v>
      </c>
    </row>
    <row r="9609" spans="18:20" x14ac:dyDescent="0.45">
      <c r="R9609" s="2">
        <v>112.85</v>
      </c>
      <c r="S9609" s="2">
        <v>1.1025940000000001</v>
      </c>
      <c r="T9609" s="2">
        <v>1.073599</v>
      </c>
    </row>
    <row r="9610" spans="18:20" x14ac:dyDescent="0.45">
      <c r="R9610" s="2">
        <v>112.86</v>
      </c>
      <c r="S9610" s="2">
        <v>1.103334</v>
      </c>
      <c r="T9610" s="2">
        <v>1.074662</v>
      </c>
    </row>
    <row r="9611" spans="18:20" x14ac:dyDescent="0.45">
      <c r="R9611" s="2">
        <v>112.87</v>
      </c>
      <c r="S9611" s="2">
        <v>1.104074</v>
      </c>
      <c r="T9611" s="2">
        <v>1.075725</v>
      </c>
    </row>
    <row r="9612" spans="18:20" x14ac:dyDescent="0.45">
      <c r="R9612" s="2">
        <v>112.88</v>
      </c>
      <c r="S9612" s="2">
        <v>1.104814</v>
      </c>
      <c r="T9612" s="2">
        <v>1.076789</v>
      </c>
    </row>
    <row r="9613" spans="18:20" x14ac:dyDescent="0.45">
      <c r="R9613" s="2">
        <v>112.89</v>
      </c>
      <c r="S9613" s="2">
        <v>1.105553</v>
      </c>
      <c r="T9613" s="2">
        <v>1.077852</v>
      </c>
    </row>
    <row r="9614" spans="18:20" x14ac:dyDescent="0.45">
      <c r="R9614" s="2">
        <v>112.9</v>
      </c>
      <c r="S9614" s="2">
        <v>1.106293</v>
      </c>
      <c r="T9614" s="2">
        <v>1.078916</v>
      </c>
    </row>
    <row r="9615" spans="18:20" x14ac:dyDescent="0.45">
      <c r="R9615" s="2">
        <v>112.91</v>
      </c>
      <c r="S9615" s="2">
        <v>1.1070329999999999</v>
      </c>
      <c r="T9615" s="2">
        <v>1.079979</v>
      </c>
    </row>
    <row r="9616" spans="18:20" x14ac:dyDescent="0.45">
      <c r="R9616" s="2">
        <v>112.92</v>
      </c>
      <c r="S9616" s="2">
        <v>1.107772</v>
      </c>
      <c r="T9616" s="2">
        <v>1.081043</v>
      </c>
    </row>
    <row r="9617" spans="18:20" x14ac:dyDescent="0.45">
      <c r="R9617" s="2">
        <v>112.93</v>
      </c>
      <c r="S9617" s="2">
        <v>1.1085119999999999</v>
      </c>
      <c r="T9617" s="2">
        <v>1.082106</v>
      </c>
    </row>
    <row r="9618" spans="18:20" x14ac:dyDescent="0.45">
      <c r="R9618" s="2">
        <v>112.94</v>
      </c>
      <c r="S9618" s="2">
        <v>1.1092519999999999</v>
      </c>
      <c r="T9618" s="2">
        <v>1.083169</v>
      </c>
    </row>
    <row r="9619" spans="18:20" x14ac:dyDescent="0.45">
      <c r="R9619" s="2">
        <v>112.95</v>
      </c>
      <c r="S9619" s="2">
        <v>1.1099920000000001</v>
      </c>
      <c r="T9619" s="2">
        <v>1.084233</v>
      </c>
    </row>
    <row r="9620" spans="18:20" x14ac:dyDescent="0.45">
      <c r="R9620" s="2">
        <v>112.96</v>
      </c>
      <c r="S9620" s="2">
        <v>1.1107309999999999</v>
      </c>
      <c r="T9620" s="2">
        <v>1.085296</v>
      </c>
    </row>
    <row r="9621" spans="18:20" x14ac:dyDescent="0.45">
      <c r="R9621" s="2">
        <v>112.97</v>
      </c>
      <c r="S9621" s="2">
        <v>1.1114710000000001</v>
      </c>
      <c r="T9621" s="2">
        <v>1.08636</v>
      </c>
    </row>
    <row r="9622" spans="18:20" x14ac:dyDescent="0.45">
      <c r="R9622" s="2">
        <v>112.98</v>
      </c>
      <c r="S9622" s="2">
        <v>1.1122110000000001</v>
      </c>
      <c r="T9622" s="2">
        <v>1.087423</v>
      </c>
    </row>
    <row r="9623" spans="18:20" x14ac:dyDescent="0.45">
      <c r="R9623" s="2">
        <v>112.99</v>
      </c>
      <c r="S9623" s="2">
        <v>1.1129500000000001</v>
      </c>
      <c r="T9623" s="2">
        <v>1.088487</v>
      </c>
    </row>
    <row r="9624" spans="18:20" x14ac:dyDescent="0.45">
      <c r="R9624" s="2">
        <v>113</v>
      </c>
      <c r="S9624" s="2">
        <v>1.1136900000000001</v>
      </c>
      <c r="T9624" s="2">
        <v>1.08955</v>
      </c>
    </row>
    <row r="9625" spans="18:20" x14ac:dyDescent="0.45">
      <c r="R9625" s="2">
        <v>113.01</v>
      </c>
      <c r="S9625" s="2">
        <v>1.114471</v>
      </c>
      <c r="T9625" s="2">
        <v>1.0907290000000001</v>
      </c>
    </row>
    <row r="9626" spans="18:20" x14ac:dyDescent="0.45">
      <c r="R9626" s="2">
        <v>113.02</v>
      </c>
      <c r="S9626" s="2">
        <v>1.115251</v>
      </c>
      <c r="T9626" s="2">
        <v>1.091907</v>
      </c>
    </row>
    <row r="9627" spans="18:20" x14ac:dyDescent="0.45">
      <c r="R9627" s="2">
        <v>113.03</v>
      </c>
      <c r="S9627" s="2">
        <v>1.1160319999999999</v>
      </c>
      <c r="T9627" s="2">
        <v>1.093086</v>
      </c>
    </row>
    <row r="9628" spans="18:20" x14ac:dyDescent="0.45">
      <c r="R9628" s="2">
        <v>113.04</v>
      </c>
      <c r="S9628" s="2">
        <v>1.1168119999999999</v>
      </c>
      <c r="T9628" s="2">
        <v>1.0942639999999999</v>
      </c>
    </row>
    <row r="9629" spans="18:20" x14ac:dyDescent="0.45">
      <c r="R9629" s="2">
        <v>113.05</v>
      </c>
      <c r="S9629" s="2">
        <v>1.1175919999999999</v>
      </c>
      <c r="T9629" s="2">
        <v>1.0954429999999999</v>
      </c>
    </row>
    <row r="9630" spans="18:20" x14ac:dyDescent="0.45">
      <c r="R9630" s="2">
        <v>113.06</v>
      </c>
      <c r="S9630" s="2">
        <v>1.1183730000000001</v>
      </c>
      <c r="T9630" s="2">
        <v>1.096622</v>
      </c>
    </row>
    <row r="9631" spans="18:20" x14ac:dyDescent="0.45">
      <c r="R9631" s="2">
        <v>113.07</v>
      </c>
      <c r="S9631" s="2">
        <v>1.1191530000000001</v>
      </c>
      <c r="T9631" s="2">
        <v>1.0978000000000001</v>
      </c>
    </row>
    <row r="9632" spans="18:20" x14ac:dyDescent="0.45">
      <c r="R9632" s="2">
        <v>113.08</v>
      </c>
      <c r="S9632" s="2">
        <v>1.119934</v>
      </c>
      <c r="T9632" s="2">
        <v>1.0989789999999999</v>
      </c>
    </row>
    <row r="9633" spans="18:20" x14ac:dyDescent="0.45">
      <c r="R9633" s="2">
        <v>113.09</v>
      </c>
      <c r="S9633" s="2">
        <v>1.1207149999999999</v>
      </c>
      <c r="T9633" s="2">
        <v>1.1001570000000001</v>
      </c>
    </row>
    <row r="9634" spans="18:20" x14ac:dyDescent="0.45">
      <c r="R9634" s="2">
        <v>113.1</v>
      </c>
      <c r="S9634" s="2">
        <v>1.1214949999999999</v>
      </c>
      <c r="T9634" s="2">
        <v>1.1013360000000001</v>
      </c>
    </row>
    <row r="9635" spans="18:20" x14ac:dyDescent="0.45">
      <c r="R9635" s="2">
        <v>113.11</v>
      </c>
      <c r="S9635" s="2">
        <v>1.1222760000000001</v>
      </c>
      <c r="T9635" s="2">
        <v>1.1025149999999999</v>
      </c>
    </row>
    <row r="9636" spans="18:20" x14ac:dyDescent="0.45">
      <c r="R9636" s="2">
        <v>113.12</v>
      </c>
      <c r="S9636" s="2">
        <v>1.1230560000000001</v>
      </c>
      <c r="T9636" s="2">
        <v>1.103693</v>
      </c>
    </row>
    <row r="9637" spans="18:20" x14ac:dyDescent="0.45">
      <c r="R9637" s="2">
        <v>113.13</v>
      </c>
      <c r="S9637" s="2">
        <v>1.1238360000000001</v>
      </c>
      <c r="T9637" s="2">
        <v>1.1048720000000001</v>
      </c>
    </row>
    <row r="9638" spans="18:20" x14ac:dyDescent="0.45">
      <c r="R9638" s="2">
        <v>113.14</v>
      </c>
      <c r="S9638" s="2">
        <v>1.124617</v>
      </c>
      <c r="T9638" s="2">
        <v>1.10605</v>
      </c>
    </row>
    <row r="9639" spans="18:20" x14ac:dyDescent="0.45">
      <c r="R9639" s="2">
        <v>113.15</v>
      </c>
      <c r="S9639" s="2">
        <v>1.1253979999999999</v>
      </c>
      <c r="T9639" s="2">
        <v>1.107229</v>
      </c>
    </row>
    <row r="9640" spans="18:20" x14ac:dyDescent="0.45">
      <c r="R9640" s="2">
        <v>113.16</v>
      </c>
      <c r="S9640" s="2">
        <v>1.1261779999999999</v>
      </c>
      <c r="T9640" s="2">
        <v>1.1084080000000001</v>
      </c>
    </row>
    <row r="9641" spans="18:20" x14ac:dyDescent="0.45">
      <c r="R9641" s="2">
        <v>113.17</v>
      </c>
      <c r="S9641" s="2">
        <v>1.126959</v>
      </c>
      <c r="T9641" s="2">
        <v>1.109586</v>
      </c>
    </row>
    <row r="9642" spans="18:20" x14ac:dyDescent="0.45">
      <c r="R9642" s="2">
        <v>113.18</v>
      </c>
      <c r="S9642" s="2">
        <v>1.127739</v>
      </c>
      <c r="T9642" s="2">
        <v>1.110765</v>
      </c>
    </row>
    <row r="9643" spans="18:20" x14ac:dyDescent="0.45">
      <c r="R9643" s="2">
        <v>113.19</v>
      </c>
      <c r="S9643" s="2">
        <v>1.128519</v>
      </c>
      <c r="T9643" s="2">
        <v>1.1119429999999999</v>
      </c>
    </row>
    <row r="9644" spans="18:20" x14ac:dyDescent="0.45">
      <c r="R9644" s="2">
        <v>113.2</v>
      </c>
      <c r="S9644" s="2">
        <v>1.1293</v>
      </c>
      <c r="T9644" s="2">
        <v>1.1131219999999999</v>
      </c>
    </row>
    <row r="9645" spans="18:20" x14ac:dyDescent="0.45">
      <c r="R9645" s="2">
        <v>113.21</v>
      </c>
      <c r="S9645" s="2">
        <v>1.13008</v>
      </c>
      <c r="T9645" s="2">
        <v>1.114301</v>
      </c>
    </row>
    <row r="9646" spans="18:20" x14ac:dyDescent="0.45">
      <c r="R9646" s="2">
        <v>113.22</v>
      </c>
      <c r="S9646" s="2">
        <v>1.1308609999999999</v>
      </c>
      <c r="T9646" s="2">
        <v>1.1154790000000001</v>
      </c>
    </row>
    <row r="9647" spans="18:20" x14ac:dyDescent="0.45">
      <c r="R9647" s="2">
        <v>113.23</v>
      </c>
      <c r="S9647" s="2">
        <v>1.131642</v>
      </c>
      <c r="T9647" s="2">
        <v>1.1166579999999999</v>
      </c>
    </row>
    <row r="9648" spans="18:20" x14ac:dyDescent="0.45">
      <c r="R9648" s="2">
        <v>113.24</v>
      </c>
      <c r="S9648" s="2">
        <v>1.132422</v>
      </c>
      <c r="T9648" s="2">
        <v>1.1178360000000001</v>
      </c>
    </row>
    <row r="9649" spans="18:20" x14ac:dyDescent="0.45">
      <c r="R9649" s="2">
        <v>113.25</v>
      </c>
      <c r="S9649" s="2">
        <v>1.133203</v>
      </c>
      <c r="T9649" s="2">
        <v>1.1190150000000001</v>
      </c>
    </row>
    <row r="9650" spans="18:20" x14ac:dyDescent="0.45">
      <c r="R9650" s="2">
        <v>113.26</v>
      </c>
      <c r="S9650" s="2">
        <v>1.133983</v>
      </c>
      <c r="T9650" s="2">
        <v>1.1201939999999999</v>
      </c>
    </row>
    <row r="9651" spans="18:20" x14ac:dyDescent="0.45">
      <c r="R9651" s="2">
        <v>113.27</v>
      </c>
      <c r="S9651" s="2">
        <v>1.134763</v>
      </c>
      <c r="T9651" s="2">
        <v>1.121372</v>
      </c>
    </row>
    <row r="9652" spans="18:20" x14ac:dyDescent="0.45">
      <c r="R9652" s="2">
        <v>113.28</v>
      </c>
      <c r="S9652" s="2">
        <v>1.1355440000000001</v>
      </c>
      <c r="T9652" s="2">
        <v>1.1225510000000001</v>
      </c>
    </row>
    <row r="9653" spans="18:20" x14ac:dyDescent="0.45">
      <c r="R9653" s="2">
        <v>113.29</v>
      </c>
      <c r="S9653" s="2">
        <v>1.136325</v>
      </c>
      <c r="T9653" s="2">
        <v>1.123729</v>
      </c>
    </row>
    <row r="9654" spans="18:20" x14ac:dyDescent="0.45">
      <c r="R9654" s="2">
        <v>113.3</v>
      </c>
      <c r="S9654" s="2">
        <v>1.137105</v>
      </c>
      <c r="T9654" s="2">
        <v>1.124908</v>
      </c>
    </row>
    <row r="9655" spans="18:20" x14ac:dyDescent="0.45">
      <c r="R9655" s="2">
        <v>113.31</v>
      </c>
      <c r="S9655" s="2">
        <v>1.137886</v>
      </c>
      <c r="T9655" s="2">
        <v>1.1260870000000001</v>
      </c>
    </row>
    <row r="9656" spans="18:20" x14ac:dyDescent="0.45">
      <c r="R9656" s="2">
        <v>113.32</v>
      </c>
      <c r="S9656" s="2">
        <v>1.138666</v>
      </c>
      <c r="T9656" s="2">
        <v>1.127265</v>
      </c>
    </row>
    <row r="9657" spans="18:20" x14ac:dyDescent="0.45">
      <c r="R9657" s="2">
        <v>113.33</v>
      </c>
      <c r="S9657" s="2">
        <v>1.139446</v>
      </c>
      <c r="T9657" s="2">
        <v>1.128444</v>
      </c>
    </row>
    <row r="9658" spans="18:20" x14ac:dyDescent="0.45">
      <c r="R9658" s="2">
        <v>113.34</v>
      </c>
      <c r="S9658" s="2">
        <v>1.1402270000000001</v>
      </c>
      <c r="T9658" s="2">
        <v>1.1296219999999999</v>
      </c>
    </row>
    <row r="9659" spans="18:20" x14ac:dyDescent="0.45">
      <c r="R9659" s="2">
        <v>113.35</v>
      </c>
      <c r="S9659" s="2">
        <v>1.1410070000000001</v>
      </c>
      <c r="T9659" s="2">
        <v>1.1308009999999999</v>
      </c>
    </row>
    <row r="9660" spans="18:20" x14ac:dyDescent="0.45">
      <c r="R9660" s="2">
        <v>113.36</v>
      </c>
      <c r="S9660" s="2">
        <v>1.141788</v>
      </c>
      <c r="T9660" s="2">
        <v>1.13198</v>
      </c>
    </row>
    <row r="9661" spans="18:20" x14ac:dyDescent="0.45">
      <c r="R9661" s="2">
        <v>113.37</v>
      </c>
      <c r="S9661" s="2">
        <v>1.1425689999999999</v>
      </c>
      <c r="T9661" s="2">
        <v>1.1331580000000001</v>
      </c>
    </row>
    <row r="9662" spans="18:20" x14ac:dyDescent="0.45">
      <c r="R9662" s="2">
        <v>113.38</v>
      </c>
      <c r="S9662" s="2">
        <v>1.1433489999999999</v>
      </c>
      <c r="T9662" s="2">
        <v>1.1343369999999999</v>
      </c>
    </row>
    <row r="9663" spans="18:20" x14ac:dyDescent="0.45">
      <c r="R9663" s="2">
        <v>113.39</v>
      </c>
      <c r="S9663" s="2">
        <v>1.1441300000000001</v>
      </c>
      <c r="T9663" s="2">
        <v>1.1355150000000001</v>
      </c>
    </row>
    <row r="9664" spans="18:20" x14ac:dyDescent="0.45">
      <c r="R9664" s="2">
        <v>113.4</v>
      </c>
      <c r="S9664" s="2">
        <v>1.1449100000000001</v>
      </c>
      <c r="T9664" s="2">
        <v>1.1366940000000001</v>
      </c>
    </row>
    <row r="9665" spans="18:20" x14ac:dyDescent="0.45">
      <c r="R9665" s="2">
        <v>113.41</v>
      </c>
      <c r="S9665" s="2">
        <v>1.1456900000000001</v>
      </c>
      <c r="T9665" s="2">
        <v>1.1378729999999999</v>
      </c>
    </row>
    <row r="9666" spans="18:20" x14ac:dyDescent="0.45">
      <c r="R9666" s="2">
        <v>113.42</v>
      </c>
      <c r="S9666" s="2">
        <v>1.146471</v>
      </c>
      <c r="T9666" s="2">
        <v>1.139051</v>
      </c>
    </row>
    <row r="9667" spans="18:20" x14ac:dyDescent="0.45">
      <c r="R9667" s="2">
        <v>113.43</v>
      </c>
      <c r="S9667" s="2">
        <v>1.1472519999999999</v>
      </c>
      <c r="T9667" s="2">
        <v>1.1402300000000001</v>
      </c>
    </row>
    <row r="9668" spans="18:20" x14ac:dyDescent="0.45">
      <c r="R9668" s="2">
        <v>113.44</v>
      </c>
      <c r="S9668" s="2">
        <v>1.1480319999999999</v>
      </c>
      <c r="T9668" s="2">
        <v>1.141408</v>
      </c>
    </row>
    <row r="9669" spans="18:20" x14ac:dyDescent="0.45">
      <c r="R9669" s="2">
        <v>113.45</v>
      </c>
      <c r="S9669" s="2">
        <v>1.1488130000000001</v>
      </c>
      <c r="T9669" s="2">
        <v>1.142587</v>
      </c>
    </row>
    <row r="9670" spans="18:20" x14ac:dyDescent="0.45">
      <c r="R9670" s="2">
        <v>113.46</v>
      </c>
      <c r="S9670" s="2">
        <v>1.1495930000000001</v>
      </c>
      <c r="T9670" s="2">
        <v>1.1437660000000001</v>
      </c>
    </row>
    <row r="9671" spans="18:20" x14ac:dyDescent="0.45">
      <c r="R9671" s="2">
        <v>113.47</v>
      </c>
      <c r="S9671" s="2">
        <v>1.1503730000000001</v>
      </c>
      <c r="T9671" s="2">
        <v>1.144944</v>
      </c>
    </row>
    <row r="9672" spans="18:20" x14ac:dyDescent="0.45">
      <c r="R9672" s="2">
        <v>113.48</v>
      </c>
      <c r="S9672" s="2">
        <v>1.151154</v>
      </c>
      <c r="T9672" s="2">
        <v>1.146123</v>
      </c>
    </row>
    <row r="9673" spans="18:20" x14ac:dyDescent="0.45">
      <c r="R9673" s="2">
        <v>113.49</v>
      </c>
      <c r="S9673" s="2">
        <v>1.151934</v>
      </c>
      <c r="T9673" s="2">
        <v>1.1473009999999999</v>
      </c>
    </row>
    <row r="9674" spans="18:20" x14ac:dyDescent="0.45">
      <c r="R9674" s="2">
        <v>113.5</v>
      </c>
      <c r="S9674" s="2">
        <v>1.1527149999999999</v>
      </c>
      <c r="T9674" s="2">
        <v>1.1484799999999999</v>
      </c>
    </row>
    <row r="9675" spans="18:20" x14ac:dyDescent="0.45">
      <c r="R9675" s="2">
        <v>113.51</v>
      </c>
      <c r="S9675" s="2">
        <v>1.1534960000000001</v>
      </c>
      <c r="T9675" s="2">
        <v>1.149659</v>
      </c>
    </row>
    <row r="9676" spans="18:20" x14ac:dyDescent="0.45">
      <c r="R9676" s="2">
        <v>113.52</v>
      </c>
      <c r="S9676" s="2">
        <v>1.1542760000000001</v>
      </c>
      <c r="T9676" s="2">
        <v>1.1508370000000001</v>
      </c>
    </row>
    <row r="9677" spans="18:20" x14ac:dyDescent="0.45">
      <c r="R9677" s="2">
        <v>113.53</v>
      </c>
      <c r="S9677" s="2">
        <v>1.155057</v>
      </c>
      <c r="T9677" s="2">
        <v>1.1520159999999999</v>
      </c>
    </row>
    <row r="9678" spans="18:20" x14ac:dyDescent="0.45">
      <c r="R9678" s="2">
        <v>113.54</v>
      </c>
      <c r="S9678" s="2">
        <v>1.155837</v>
      </c>
      <c r="T9678" s="2">
        <v>1.1531940000000001</v>
      </c>
    </row>
    <row r="9679" spans="18:20" x14ac:dyDescent="0.45">
      <c r="R9679" s="2">
        <v>113.55</v>
      </c>
      <c r="S9679" s="2">
        <v>1.156617</v>
      </c>
      <c r="T9679" s="2">
        <v>1.1543730000000001</v>
      </c>
    </row>
    <row r="9680" spans="18:20" x14ac:dyDescent="0.45">
      <c r="R9680" s="2">
        <v>113.56</v>
      </c>
      <c r="S9680" s="2">
        <v>1.1573979999999999</v>
      </c>
      <c r="T9680" s="2">
        <v>1.1555519999999999</v>
      </c>
    </row>
    <row r="9681" spans="18:20" x14ac:dyDescent="0.45">
      <c r="R9681" s="2">
        <v>113.57</v>
      </c>
      <c r="S9681" s="2">
        <v>1.1581779999999999</v>
      </c>
      <c r="T9681" s="2">
        <v>1.15673</v>
      </c>
    </row>
    <row r="9682" spans="18:20" x14ac:dyDescent="0.45">
      <c r="R9682" s="2">
        <v>113.58</v>
      </c>
      <c r="S9682" s="2">
        <v>1.1589590000000001</v>
      </c>
      <c r="T9682" s="2">
        <v>1.1579090000000001</v>
      </c>
    </row>
    <row r="9683" spans="18:20" x14ac:dyDescent="0.45">
      <c r="R9683" s="2">
        <v>113.59</v>
      </c>
      <c r="S9683" s="2">
        <v>1.15974</v>
      </c>
      <c r="T9683" s="2">
        <v>1.159087</v>
      </c>
    </row>
    <row r="9684" spans="18:20" x14ac:dyDescent="0.45">
      <c r="R9684" s="2">
        <v>113.6</v>
      </c>
      <c r="S9684" s="2">
        <v>1.16052</v>
      </c>
      <c r="T9684" s="2">
        <v>1.160266</v>
      </c>
    </row>
    <row r="9685" spans="18:20" x14ac:dyDescent="0.45">
      <c r="R9685" s="2">
        <v>113.61</v>
      </c>
      <c r="S9685" s="2">
        <v>1.1613</v>
      </c>
      <c r="T9685" s="2">
        <v>1.1614450000000001</v>
      </c>
    </row>
    <row r="9686" spans="18:20" x14ac:dyDescent="0.45">
      <c r="R9686" s="2">
        <v>113.62</v>
      </c>
      <c r="S9686" s="2">
        <v>1.1620809999999999</v>
      </c>
      <c r="T9686" s="2">
        <v>1.162623</v>
      </c>
    </row>
    <row r="9687" spans="18:20" x14ac:dyDescent="0.45">
      <c r="R9687" s="2">
        <v>113.63</v>
      </c>
      <c r="S9687" s="2">
        <v>1.1628609999999999</v>
      </c>
      <c r="T9687" s="2">
        <v>1.163802</v>
      </c>
    </row>
    <row r="9688" spans="18:20" x14ac:dyDescent="0.45">
      <c r="R9688" s="2">
        <v>113.64</v>
      </c>
      <c r="S9688" s="2">
        <v>1.1636420000000001</v>
      </c>
      <c r="T9688" s="2">
        <v>1.1649799999999999</v>
      </c>
    </row>
    <row r="9689" spans="18:20" x14ac:dyDescent="0.45">
      <c r="R9689" s="2">
        <v>113.65</v>
      </c>
      <c r="S9689" s="2">
        <v>1.164423</v>
      </c>
      <c r="T9689" s="2">
        <v>1.1661589999999999</v>
      </c>
    </row>
    <row r="9690" spans="18:20" x14ac:dyDescent="0.45">
      <c r="R9690" s="2">
        <v>113.66</v>
      </c>
      <c r="S9690" s="2">
        <v>1.165203</v>
      </c>
      <c r="T9690" s="2">
        <v>1.167338</v>
      </c>
    </row>
    <row r="9691" spans="18:20" x14ac:dyDescent="0.45">
      <c r="R9691" s="2">
        <v>113.67</v>
      </c>
      <c r="S9691" s="2">
        <v>1.1659839999999999</v>
      </c>
      <c r="T9691" s="2">
        <v>1.1685160000000001</v>
      </c>
    </row>
    <row r="9692" spans="18:20" x14ac:dyDescent="0.45">
      <c r="R9692" s="2">
        <v>113.68</v>
      </c>
      <c r="S9692" s="2">
        <v>1.1667639999999999</v>
      </c>
      <c r="T9692" s="2">
        <v>1.1696949999999999</v>
      </c>
    </row>
    <row r="9693" spans="18:20" x14ac:dyDescent="0.45">
      <c r="R9693" s="2">
        <v>113.69</v>
      </c>
      <c r="S9693" s="2">
        <v>1.1675439999999999</v>
      </c>
      <c r="T9693" s="2">
        <v>1.1708730000000001</v>
      </c>
    </row>
    <row r="9694" spans="18:20" x14ac:dyDescent="0.45">
      <c r="R9694" s="2">
        <v>113.7</v>
      </c>
      <c r="S9694" s="2">
        <v>1.1683250000000001</v>
      </c>
      <c r="T9694" s="2">
        <v>1.1720520000000001</v>
      </c>
    </row>
    <row r="9695" spans="18:20" x14ac:dyDescent="0.45">
      <c r="R9695" s="2">
        <v>113.71</v>
      </c>
      <c r="S9695" s="2">
        <v>1.1691050000000001</v>
      </c>
      <c r="T9695" s="2">
        <v>1.1732309999999999</v>
      </c>
    </row>
    <row r="9696" spans="18:20" x14ac:dyDescent="0.45">
      <c r="R9696" s="2">
        <v>113.72</v>
      </c>
      <c r="S9696" s="2">
        <v>1.169886</v>
      </c>
      <c r="T9696" s="2">
        <v>1.174409</v>
      </c>
    </row>
    <row r="9697" spans="18:20" x14ac:dyDescent="0.45">
      <c r="R9697" s="2">
        <v>113.73</v>
      </c>
      <c r="S9697" s="2">
        <v>1.1706669999999999</v>
      </c>
      <c r="T9697" s="2">
        <v>1.1755880000000001</v>
      </c>
    </row>
    <row r="9698" spans="18:20" x14ac:dyDescent="0.45">
      <c r="R9698" s="2">
        <v>113.74</v>
      </c>
      <c r="S9698" s="2">
        <v>1.1714469999999999</v>
      </c>
      <c r="T9698" s="2">
        <v>1.176766</v>
      </c>
    </row>
    <row r="9699" spans="18:20" x14ac:dyDescent="0.45">
      <c r="R9699" s="2">
        <v>113.75</v>
      </c>
      <c r="S9699" s="2">
        <v>1.172228</v>
      </c>
      <c r="T9699" s="2">
        <v>1.177945</v>
      </c>
    </row>
    <row r="9700" spans="18:20" x14ac:dyDescent="0.45">
      <c r="R9700" s="2">
        <v>113.76</v>
      </c>
      <c r="S9700" s="2">
        <v>1.1730080000000001</v>
      </c>
      <c r="T9700" s="2">
        <v>1.1791240000000001</v>
      </c>
    </row>
    <row r="9701" spans="18:20" x14ac:dyDescent="0.45">
      <c r="R9701" s="2">
        <v>113.77</v>
      </c>
      <c r="S9701" s="2">
        <v>1.1737880000000001</v>
      </c>
      <c r="T9701" s="2">
        <v>1.180302</v>
      </c>
    </row>
    <row r="9702" spans="18:20" x14ac:dyDescent="0.45">
      <c r="R9702" s="2">
        <v>113.78</v>
      </c>
      <c r="S9702" s="2">
        <v>1.174569</v>
      </c>
      <c r="T9702" s="2">
        <v>1.181481</v>
      </c>
    </row>
    <row r="9703" spans="18:20" x14ac:dyDescent="0.45">
      <c r="R9703" s="2">
        <v>113.79</v>
      </c>
      <c r="S9703" s="2">
        <v>1.1753499999999999</v>
      </c>
      <c r="T9703" s="2">
        <v>1.1826589999999999</v>
      </c>
    </row>
    <row r="9704" spans="18:20" x14ac:dyDescent="0.45">
      <c r="R9704" s="2">
        <v>113.8</v>
      </c>
      <c r="S9704" s="2">
        <v>1.1761299999999999</v>
      </c>
      <c r="T9704" s="2">
        <v>1.1838379999999999</v>
      </c>
    </row>
    <row r="9705" spans="18:20" x14ac:dyDescent="0.45">
      <c r="R9705" s="2">
        <v>113.81</v>
      </c>
      <c r="S9705" s="2">
        <v>1.176911</v>
      </c>
      <c r="T9705" s="2">
        <v>1.185017</v>
      </c>
    </row>
    <row r="9706" spans="18:20" x14ac:dyDescent="0.45">
      <c r="R9706" s="2">
        <v>113.82</v>
      </c>
      <c r="S9706" s="2">
        <v>1.177691</v>
      </c>
      <c r="T9706" s="2">
        <v>1.1861950000000001</v>
      </c>
    </row>
    <row r="9707" spans="18:20" x14ac:dyDescent="0.45">
      <c r="R9707" s="2">
        <v>113.83</v>
      </c>
      <c r="S9707" s="2">
        <v>1.178471</v>
      </c>
      <c r="T9707" s="2">
        <v>1.1873739999999999</v>
      </c>
    </row>
    <row r="9708" spans="18:20" x14ac:dyDescent="0.45">
      <c r="R9708" s="2">
        <v>113.84</v>
      </c>
      <c r="S9708" s="2">
        <v>1.179252</v>
      </c>
      <c r="T9708" s="2">
        <v>1.1885520000000001</v>
      </c>
    </row>
    <row r="9709" spans="18:20" x14ac:dyDescent="0.45">
      <c r="R9709" s="2">
        <v>113.85</v>
      </c>
      <c r="S9709" s="2">
        <v>1.180032</v>
      </c>
      <c r="T9709" s="2">
        <v>1.1897310000000001</v>
      </c>
    </row>
    <row r="9710" spans="18:20" x14ac:dyDescent="0.45">
      <c r="R9710" s="2">
        <v>113.86</v>
      </c>
      <c r="S9710" s="2">
        <v>1.1808129999999999</v>
      </c>
      <c r="T9710" s="2">
        <v>1.1909099999999999</v>
      </c>
    </row>
    <row r="9711" spans="18:20" x14ac:dyDescent="0.45">
      <c r="R9711" s="2">
        <v>113.87</v>
      </c>
      <c r="S9711" s="2">
        <v>1.181594</v>
      </c>
      <c r="T9711" s="2">
        <v>1.192088</v>
      </c>
    </row>
    <row r="9712" spans="18:20" x14ac:dyDescent="0.45">
      <c r="R9712" s="2">
        <v>113.88</v>
      </c>
      <c r="S9712" s="2">
        <v>1.182374</v>
      </c>
      <c r="T9712" s="2">
        <v>1.1932670000000001</v>
      </c>
    </row>
    <row r="9713" spans="18:20" x14ac:dyDescent="0.45">
      <c r="R9713" s="2">
        <v>113.89</v>
      </c>
      <c r="S9713" s="2">
        <v>1.183154</v>
      </c>
      <c r="T9713" s="2">
        <v>1.194445</v>
      </c>
    </row>
    <row r="9714" spans="18:20" x14ac:dyDescent="0.45">
      <c r="R9714" s="2">
        <v>113.9</v>
      </c>
      <c r="S9714" s="2">
        <v>1.183935</v>
      </c>
      <c r="T9714" s="2">
        <v>1.195624</v>
      </c>
    </row>
    <row r="9715" spans="18:20" x14ac:dyDescent="0.45">
      <c r="R9715" s="2">
        <v>113.91</v>
      </c>
      <c r="S9715" s="2">
        <v>1.184715</v>
      </c>
      <c r="T9715" s="2">
        <v>1.1968030000000001</v>
      </c>
    </row>
    <row r="9716" spans="18:20" x14ac:dyDescent="0.45">
      <c r="R9716" s="2">
        <v>113.92</v>
      </c>
      <c r="S9716" s="2">
        <v>1.1854960000000001</v>
      </c>
      <c r="T9716" s="2">
        <v>1.197981</v>
      </c>
    </row>
    <row r="9717" spans="18:20" x14ac:dyDescent="0.45">
      <c r="R9717" s="2">
        <v>113.93</v>
      </c>
      <c r="S9717" s="2">
        <v>1.186277</v>
      </c>
      <c r="T9717" s="2">
        <v>1.19916</v>
      </c>
    </row>
    <row r="9718" spans="18:20" x14ac:dyDescent="0.45">
      <c r="R9718" s="2">
        <v>113.94</v>
      </c>
      <c r="S9718" s="2">
        <v>1.187057</v>
      </c>
      <c r="T9718" s="2">
        <v>1.2003379999999999</v>
      </c>
    </row>
    <row r="9719" spans="18:20" x14ac:dyDescent="0.45">
      <c r="R9719" s="2">
        <v>113.95</v>
      </c>
      <c r="S9719" s="2">
        <v>1.1878379999999999</v>
      </c>
      <c r="T9719" s="2">
        <v>1.2015169999999999</v>
      </c>
    </row>
    <row r="9720" spans="18:20" x14ac:dyDescent="0.45">
      <c r="R9720" s="2">
        <v>113.96</v>
      </c>
      <c r="S9720" s="2">
        <v>1.188618</v>
      </c>
      <c r="T9720" s="2">
        <v>1.202696</v>
      </c>
    </row>
    <row r="9721" spans="18:20" x14ac:dyDescent="0.45">
      <c r="R9721" s="2">
        <v>113.97</v>
      </c>
      <c r="S9721" s="2">
        <v>1.189398</v>
      </c>
      <c r="T9721" s="2">
        <v>1.2038740000000001</v>
      </c>
    </row>
    <row r="9722" spans="18:20" x14ac:dyDescent="0.45">
      <c r="R9722" s="2">
        <v>113.98</v>
      </c>
      <c r="S9722" s="2">
        <v>1.1901790000000001</v>
      </c>
      <c r="T9722" s="2">
        <v>1.2050529999999999</v>
      </c>
    </row>
    <row r="9723" spans="18:20" x14ac:dyDescent="0.45">
      <c r="R9723" s="2">
        <v>113.99</v>
      </c>
      <c r="S9723" s="2">
        <v>1.1909590000000001</v>
      </c>
      <c r="T9723" s="2">
        <v>1.2062310000000001</v>
      </c>
    </row>
    <row r="9724" spans="18:20" x14ac:dyDescent="0.45">
      <c r="R9724" s="2">
        <v>114</v>
      </c>
      <c r="S9724" s="2">
        <v>1.19174</v>
      </c>
      <c r="T9724" s="2">
        <v>1.2074100000000001</v>
      </c>
    </row>
    <row r="9725" spans="18:20" x14ac:dyDescent="0.45">
      <c r="R9725" s="2">
        <v>114.01</v>
      </c>
      <c r="S9725" s="2">
        <v>1.192563</v>
      </c>
      <c r="T9725" s="2">
        <v>1.2087159999999999</v>
      </c>
    </row>
    <row r="9726" spans="18:20" x14ac:dyDescent="0.45">
      <c r="R9726" s="2">
        <v>114.02</v>
      </c>
      <c r="S9726" s="2">
        <v>1.1933849999999999</v>
      </c>
      <c r="T9726" s="2">
        <v>1.2100219999999999</v>
      </c>
    </row>
    <row r="9727" spans="18:20" x14ac:dyDescent="0.45">
      <c r="R9727" s="2">
        <v>114.03</v>
      </c>
      <c r="S9727" s="2">
        <v>1.1942079999999999</v>
      </c>
      <c r="T9727" s="2">
        <v>1.211328</v>
      </c>
    </row>
    <row r="9728" spans="18:20" x14ac:dyDescent="0.45">
      <c r="R9728" s="2">
        <v>114.04</v>
      </c>
      <c r="S9728" s="2">
        <v>1.19503</v>
      </c>
      <c r="T9728" s="2">
        <v>1.212634</v>
      </c>
    </row>
    <row r="9729" spans="18:20" x14ac:dyDescent="0.45">
      <c r="R9729" s="2">
        <v>114.05</v>
      </c>
      <c r="S9729" s="2">
        <v>1.1958530000000001</v>
      </c>
      <c r="T9729" s="2">
        <v>1.21394</v>
      </c>
    </row>
    <row r="9730" spans="18:20" x14ac:dyDescent="0.45">
      <c r="R9730" s="2">
        <v>114.06</v>
      </c>
      <c r="S9730" s="2">
        <v>1.1966760000000001</v>
      </c>
      <c r="T9730" s="2">
        <v>1.215246</v>
      </c>
    </row>
    <row r="9731" spans="18:20" x14ac:dyDescent="0.45">
      <c r="R9731" s="2">
        <v>114.07</v>
      </c>
      <c r="S9731" s="2">
        <v>1.197498</v>
      </c>
      <c r="T9731" s="2">
        <v>1.2165520000000001</v>
      </c>
    </row>
    <row r="9732" spans="18:20" x14ac:dyDescent="0.45">
      <c r="R9732" s="2">
        <v>114.08</v>
      </c>
      <c r="S9732" s="2">
        <v>1.198321</v>
      </c>
      <c r="T9732" s="2">
        <v>1.2178580000000001</v>
      </c>
    </row>
    <row r="9733" spans="18:20" x14ac:dyDescent="0.45">
      <c r="R9733" s="2">
        <v>114.09</v>
      </c>
      <c r="S9733" s="2">
        <v>1.1991430000000001</v>
      </c>
      <c r="T9733" s="2">
        <v>1.2191639999999999</v>
      </c>
    </row>
    <row r="9734" spans="18:20" x14ac:dyDescent="0.45">
      <c r="R9734" s="2">
        <v>114.1</v>
      </c>
      <c r="S9734" s="2">
        <v>1.1999660000000001</v>
      </c>
      <c r="T9734" s="2">
        <v>1.2204699999999999</v>
      </c>
    </row>
    <row r="9735" spans="18:20" x14ac:dyDescent="0.45">
      <c r="R9735" s="2">
        <v>114.11</v>
      </c>
      <c r="S9735" s="2">
        <v>1.2007890000000001</v>
      </c>
      <c r="T9735" s="2">
        <v>1.221776</v>
      </c>
    </row>
    <row r="9736" spans="18:20" x14ac:dyDescent="0.45">
      <c r="R9736" s="2">
        <v>114.12</v>
      </c>
      <c r="S9736" s="2">
        <v>1.201611</v>
      </c>
      <c r="T9736" s="2">
        <v>1.223082</v>
      </c>
    </row>
    <row r="9737" spans="18:20" x14ac:dyDescent="0.45">
      <c r="R9737" s="2">
        <v>114.13</v>
      </c>
      <c r="S9737" s="2">
        <v>1.202434</v>
      </c>
      <c r="T9737" s="2">
        <v>1.224388</v>
      </c>
    </row>
    <row r="9738" spans="18:20" x14ac:dyDescent="0.45">
      <c r="R9738" s="2">
        <v>114.14</v>
      </c>
      <c r="S9738" s="2">
        <v>1.2032560000000001</v>
      </c>
      <c r="T9738" s="2">
        <v>1.2256940000000001</v>
      </c>
    </row>
    <row r="9739" spans="18:20" x14ac:dyDescent="0.45">
      <c r="R9739" s="2">
        <v>114.15</v>
      </c>
      <c r="S9739" s="2">
        <v>1.2040789999999999</v>
      </c>
      <c r="T9739" s="2">
        <v>1.2270000000000001</v>
      </c>
    </row>
    <row r="9740" spans="18:20" x14ac:dyDescent="0.45">
      <c r="R9740" s="2">
        <v>114.16</v>
      </c>
      <c r="S9740" s="2">
        <v>1.2049019999999999</v>
      </c>
      <c r="T9740" s="2">
        <v>1.2283059999999999</v>
      </c>
    </row>
    <row r="9741" spans="18:20" x14ac:dyDescent="0.45">
      <c r="R9741" s="2">
        <v>114.17</v>
      </c>
      <c r="S9741" s="2">
        <v>1.205724</v>
      </c>
      <c r="T9741" s="2">
        <v>1.2296119999999999</v>
      </c>
    </row>
    <row r="9742" spans="18:20" x14ac:dyDescent="0.45">
      <c r="R9742" s="2">
        <v>114.18</v>
      </c>
      <c r="S9742" s="2">
        <v>1.206547</v>
      </c>
      <c r="T9742" s="2">
        <v>1.230918</v>
      </c>
    </row>
    <row r="9743" spans="18:20" x14ac:dyDescent="0.45">
      <c r="R9743" s="2">
        <v>114.19</v>
      </c>
      <c r="S9743" s="2">
        <v>1.2073689999999999</v>
      </c>
      <c r="T9743" s="2">
        <v>1.232224</v>
      </c>
    </row>
    <row r="9744" spans="18:20" x14ac:dyDescent="0.45">
      <c r="R9744" s="2">
        <v>114.2</v>
      </c>
      <c r="S9744" s="2">
        <v>1.2081919999999999</v>
      </c>
      <c r="T9744" s="2">
        <v>1.23353</v>
      </c>
    </row>
    <row r="9745" spans="18:20" x14ac:dyDescent="0.45">
      <c r="R9745" s="2">
        <v>114.21</v>
      </c>
      <c r="S9745" s="2">
        <v>1.209015</v>
      </c>
      <c r="T9745" s="2">
        <v>1.234836</v>
      </c>
    </row>
    <row r="9746" spans="18:20" x14ac:dyDescent="0.45">
      <c r="R9746" s="2">
        <v>114.22</v>
      </c>
      <c r="S9746" s="2">
        <v>1.2098370000000001</v>
      </c>
      <c r="T9746" s="2">
        <v>1.2361420000000001</v>
      </c>
    </row>
    <row r="9747" spans="18:20" x14ac:dyDescent="0.45">
      <c r="R9747" s="2">
        <v>114.23</v>
      </c>
      <c r="S9747" s="2">
        <v>1.2106600000000001</v>
      </c>
      <c r="T9747" s="2">
        <v>1.2374480000000001</v>
      </c>
    </row>
    <row r="9748" spans="18:20" x14ac:dyDescent="0.45">
      <c r="R9748" s="2">
        <v>114.24</v>
      </c>
      <c r="S9748" s="2">
        <v>1.2114819999999999</v>
      </c>
      <c r="T9748" s="2">
        <v>1.2387539999999999</v>
      </c>
    </row>
    <row r="9749" spans="18:20" x14ac:dyDescent="0.45">
      <c r="R9749" s="2">
        <v>114.25</v>
      </c>
      <c r="S9749" s="2">
        <v>1.212305</v>
      </c>
      <c r="T9749" s="2">
        <v>1.2400599999999999</v>
      </c>
    </row>
    <row r="9750" spans="18:20" x14ac:dyDescent="0.45">
      <c r="R9750" s="2">
        <v>114.26</v>
      </c>
      <c r="S9750" s="2">
        <v>1.213128</v>
      </c>
      <c r="T9750" s="2">
        <v>1.241366</v>
      </c>
    </row>
    <row r="9751" spans="18:20" x14ac:dyDescent="0.45">
      <c r="R9751" s="2">
        <v>114.27</v>
      </c>
      <c r="S9751" s="2">
        <v>1.2139500000000001</v>
      </c>
      <c r="T9751" s="2">
        <v>1.242672</v>
      </c>
    </row>
    <row r="9752" spans="18:20" x14ac:dyDescent="0.45">
      <c r="R9752" s="2">
        <v>114.28</v>
      </c>
      <c r="S9752" s="2">
        <v>1.2147730000000001</v>
      </c>
      <c r="T9752" s="2">
        <v>1.243978</v>
      </c>
    </row>
    <row r="9753" spans="18:20" x14ac:dyDescent="0.45">
      <c r="R9753" s="2">
        <v>114.29</v>
      </c>
      <c r="S9753" s="2">
        <v>1.215595</v>
      </c>
      <c r="T9753" s="2">
        <v>1.2452840000000001</v>
      </c>
    </row>
    <row r="9754" spans="18:20" x14ac:dyDescent="0.45">
      <c r="R9754" s="2">
        <v>114.3</v>
      </c>
      <c r="S9754" s="2">
        <v>1.216418</v>
      </c>
      <c r="T9754" s="2">
        <v>1.2465900000000001</v>
      </c>
    </row>
    <row r="9755" spans="18:20" x14ac:dyDescent="0.45">
      <c r="R9755" s="2">
        <v>114.31</v>
      </c>
      <c r="S9755" s="2">
        <v>1.217241</v>
      </c>
      <c r="T9755" s="2">
        <v>1.2478959999999999</v>
      </c>
    </row>
    <row r="9756" spans="18:20" x14ac:dyDescent="0.45">
      <c r="R9756" s="2">
        <v>114.32</v>
      </c>
      <c r="S9756" s="2">
        <v>1.2180629999999999</v>
      </c>
      <c r="T9756" s="2">
        <v>1.2492019999999999</v>
      </c>
    </row>
    <row r="9757" spans="18:20" x14ac:dyDescent="0.45">
      <c r="R9757" s="2">
        <v>114.33</v>
      </c>
      <c r="S9757" s="2">
        <v>1.2188859999999999</v>
      </c>
      <c r="T9757" s="2">
        <v>1.250508</v>
      </c>
    </row>
    <row r="9758" spans="18:20" x14ac:dyDescent="0.45">
      <c r="R9758" s="2">
        <v>114.34</v>
      </c>
      <c r="S9758" s="2">
        <v>1.219708</v>
      </c>
      <c r="T9758" s="2">
        <v>1.251814</v>
      </c>
    </row>
    <row r="9759" spans="18:20" x14ac:dyDescent="0.45">
      <c r="R9759" s="2">
        <v>114.35</v>
      </c>
      <c r="S9759" s="2">
        <v>1.220531</v>
      </c>
      <c r="T9759" s="2">
        <v>1.25312</v>
      </c>
    </row>
    <row r="9760" spans="18:20" x14ac:dyDescent="0.45">
      <c r="R9760" s="2">
        <v>114.36</v>
      </c>
      <c r="S9760" s="2">
        <v>1.2213540000000001</v>
      </c>
      <c r="T9760" s="2">
        <v>1.254426</v>
      </c>
    </row>
    <row r="9761" spans="18:20" x14ac:dyDescent="0.45">
      <c r="R9761" s="2">
        <v>114.37</v>
      </c>
      <c r="S9761" s="2">
        <v>1.2221759999999999</v>
      </c>
      <c r="T9761" s="2">
        <v>1.2557320000000001</v>
      </c>
    </row>
    <row r="9762" spans="18:20" x14ac:dyDescent="0.45">
      <c r="R9762" s="2">
        <v>114.38</v>
      </c>
      <c r="S9762" s="2">
        <v>1.2229989999999999</v>
      </c>
      <c r="T9762" s="2">
        <v>1.2570380000000001</v>
      </c>
    </row>
    <row r="9763" spans="18:20" x14ac:dyDescent="0.45">
      <c r="R9763" s="2">
        <v>114.39</v>
      </c>
      <c r="S9763" s="2">
        <v>1.223821</v>
      </c>
      <c r="T9763" s="2">
        <v>1.2583439999999999</v>
      </c>
    </row>
    <row r="9764" spans="18:20" x14ac:dyDescent="0.45">
      <c r="R9764" s="2">
        <v>114.4</v>
      </c>
      <c r="S9764" s="2">
        <v>1.2246440000000001</v>
      </c>
      <c r="T9764" s="2">
        <v>1.2596499999999999</v>
      </c>
    </row>
    <row r="9765" spans="18:20" x14ac:dyDescent="0.45">
      <c r="R9765" s="2">
        <v>114.41</v>
      </c>
      <c r="S9765" s="2">
        <v>1.2254670000000001</v>
      </c>
      <c r="T9765" s="2">
        <v>1.260956</v>
      </c>
    </row>
    <row r="9766" spans="18:20" x14ac:dyDescent="0.45">
      <c r="R9766" s="2">
        <v>114.42</v>
      </c>
      <c r="S9766" s="2">
        <v>1.226289</v>
      </c>
      <c r="T9766" s="2">
        <v>1.262262</v>
      </c>
    </row>
    <row r="9767" spans="18:20" x14ac:dyDescent="0.45">
      <c r="R9767" s="2">
        <v>114.43</v>
      </c>
      <c r="S9767" s="2">
        <v>1.227112</v>
      </c>
      <c r="T9767" s="2">
        <v>1.263568</v>
      </c>
    </row>
    <row r="9768" spans="18:20" x14ac:dyDescent="0.45">
      <c r="R9768" s="2">
        <v>114.44</v>
      </c>
      <c r="S9768" s="2">
        <v>1.2279340000000001</v>
      </c>
      <c r="T9768" s="2">
        <v>1.2648740000000001</v>
      </c>
    </row>
    <row r="9769" spans="18:20" x14ac:dyDescent="0.45">
      <c r="R9769" s="2">
        <v>114.45</v>
      </c>
      <c r="S9769" s="2">
        <v>1.2287570000000001</v>
      </c>
      <c r="T9769" s="2">
        <v>1.2661800000000001</v>
      </c>
    </row>
    <row r="9770" spans="18:20" x14ac:dyDescent="0.45">
      <c r="R9770" s="2">
        <v>114.46</v>
      </c>
      <c r="S9770" s="2">
        <v>1.2295799999999999</v>
      </c>
      <c r="T9770" s="2">
        <v>1.2674859999999999</v>
      </c>
    </row>
    <row r="9771" spans="18:20" x14ac:dyDescent="0.45">
      <c r="R9771" s="2">
        <v>114.47</v>
      </c>
      <c r="S9771" s="2">
        <v>1.230402</v>
      </c>
      <c r="T9771" s="2">
        <v>1.2687919999999999</v>
      </c>
    </row>
    <row r="9772" spans="18:20" x14ac:dyDescent="0.45">
      <c r="R9772" s="2">
        <v>114.48</v>
      </c>
      <c r="S9772" s="2">
        <v>1.231225</v>
      </c>
      <c r="T9772" s="2">
        <v>1.2700979999999999</v>
      </c>
    </row>
    <row r="9773" spans="18:20" x14ac:dyDescent="0.45">
      <c r="R9773" s="2">
        <v>114.49</v>
      </c>
      <c r="S9773" s="2">
        <v>1.2320469999999999</v>
      </c>
      <c r="T9773" s="2">
        <v>1.271404</v>
      </c>
    </row>
    <row r="9774" spans="18:20" x14ac:dyDescent="0.45">
      <c r="R9774" s="2">
        <v>114.5</v>
      </c>
      <c r="S9774" s="2">
        <v>1.2328699999999999</v>
      </c>
      <c r="T9774" s="2">
        <v>1.27271</v>
      </c>
    </row>
    <row r="9775" spans="18:20" x14ac:dyDescent="0.45">
      <c r="R9775" s="2">
        <v>114.51</v>
      </c>
      <c r="S9775" s="2">
        <v>1.2336929999999999</v>
      </c>
      <c r="T9775" s="2">
        <v>1.274016</v>
      </c>
    </row>
    <row r="9776" spans="18:20" x14ac:dyDescent="0.45">
      <c r="R9776" s="2">
        <v>114.52</v>
      </c>
      <c r="S9776" s="2">
        <v>1.234515</v>
      </c>
      <c r="T9776" s="2">
        <v>1.2753220000000001</v>
      </c>
    </row>
    <row r="9777" spans="18:20" x14ac:dyDescent="0.45">
      <c r="R9777" s="2">
        <v>114.53</v>
      </c>
      <c r="S9777" s="2">
        <v>1.235338</v>
      </c>
      <c r="T9777" s="2">
        <v>1.2766280000000001</v>
      </c>
    </row>
    <row r="9778" spans="18:20" x14ac:dyDescent="0.45">
      <c r="R9778" s="2">
        <v>114.54</v>
      </c>
      <c r="S9778" s="2">
        <v>1.2361599999999999</v>
      </c>
      <c r="T9778" s="2">
        <v>1.2779339999999999</v>
      </c>
    </row>
    <row r="9779" spans="18:20" x14ac:dyDescent="0.45">
      <c r="R9779" s="2">
        <v>114.55</v>
      </c>
      <c r="S9779" s="2">
        <v>1.2369829999999999</v>
      </c>
      <c r="T9779" s="2">
        <v>1.2792399999999999</v>
      </c>
    </row>
    <row r="9780" spans="18:20" x14ac:dyDescent="0.45">
      <c r="R9780" s="2">
        <v>114.56</v>
      </c>
      <c r="S9780" s="2">
        <v>1.237806</v>
      </c>
      <c r="T9780" s="2">
        <v>1.280546</v>
      </c>
    </row>
    <row r="9781" spans="18:20" x14ac:dyDescent="0.45">
      <c r="R9781" s="2">
        <v>114.57</v>
      </c>
      <c r="S9781" s="2">
        <v>1.2386280000000001</v>
      </c>
      <c r="T9781" s="2">
        <v>1.281852</v>
      </c>
    </row>
    <row r="9782" spans="18:20" x14ac:dyDescent="0.45">
      <c r="R9782" s="2">
        <v>114.58</v>
      </c>
      <c r="S9782" s="2">
        <v>1.2394510000000001</v>
      </c>
      <c r="T9782" s="2">
        <v>1.283158</v>
      </c>
    </row>
    <row r="9783" spans="18:20" x14ac:dyDescent="0.45">
      <c r="R9783" s="2">
        <v>114.59</v>
      </c>
      <c r="S9783" s="2">
        <v>1.240273</v>
      </c>
      <c r="T9783" s="2">
        <v>1.2844640000000001</v>
      </c>
    </row>
    <row r="9784" spans="18:20" x14ac:dyDescent="0.45">
      <c r="R9784" s="2">
        <v>114.6</v>
      </c>
      <c r="S9784" s="2">
        <v>1.241096</v>
      </c>
      <c r="T9784" s="2">
        <v>1.2857700000000001</v>
      </c>
    </row>
    <row r="9785" spans="18:20" x14ac:dyDescent="0.45">
      <c r="R9785" s="2">
        <v>114.61</v>
      </c>
      <c r="S9785" s="2">
        <v>1.241919</v>
      </c>
      <c r="T9785" s="2">
        <v>1.2870760000000001</v>
      </c>
    </row>
    <row r="9786" spans="18:20" x14ac:dyDescent="0.45">
      <c r="R9786" s="2">
        <v>114.62</v>
      </c>
      <c r="S9786" s="2">
        <v>1.2427410000000001</v>
      </c>
      <c r="T9786" s="2">
        <v>1.2883819999999999</v>
      </c>
    </row>
    <row r="9787" spans="18:20" x14ac:dyDescent="0.45">
      <c r="R9787" s="2">
        <v>114.63</v>
      </c>
      <c r="S9787" s="2">
        <v>1.2435639999999999</v>
      </c>
      <c r="T9787" s="2">
        <v>1.2896879999999999</v>
      </c>
    </row>
    <row r="9788" spans="18:20" x14ac:dyDescent="0.45">
      <c r="R9788" s="2">
        <v>114.64</v>
      </c>
      <c r="S9788" s="2">
        <v>1.244386</v>
      </c>
      <c r="T9788" s="2">
        <v>1.290994</v>
      </c>
    </row>
    <row r="9789" spans="18:20" x14ac:dyDescent="0.45">
      <c r="R9789" s="2">
        <v>114.65</v>
      </c>
      <c r="S9789" s="2">
        <v>1.245209</v>
      </c>
      <c r="T9789" s="2">
        <v>1.2923</v>
      </c>
    </row>
    <row r="9790" spans="18:20" x14ac:dyDescent="0.45">
      <c r="R9790" s="2">
        <v>114.66</v>
      </c>
      <c r="S9790" s="2">
        <v>1.246032</v>
      </c>
      <c r="T9790" s="2">
        <v>1.293606</v>
      </c>
    </row>
    <row r="9791" spans="18:20" x14ac:dyDescent="0.45">
      <c r="R9791" s="2">
        <v>114.67</v>
      </c>
      <c r="S9791" s="2">
        <v>1.2468539999999999</v>
      </c>
      <c r="T9791" s="2">
        <v>1.2949120000000001</v>
      </c>
    </row>
    <row r="9792" spans="18:20" x14ac:dyDescent="0.45">
      <c r="R9792" s="2">
        <v>114.68</v>
      </c>
      <c r="S9792" s="2">
        <v>1.2476769999999999</v>
      </c>
      <c r="T9792" s="2">
        <v>1.2962180000000001</v>
      </c>
    </row>
    <row r="9793" spans="18:20" x14ac:dyDescent="0.45">
      <c r="R9793" s="2">
        <v>114.69</v>
      </c>
      <c r="S9793" s="2">
        <v>1.248499</v>
      </c>
      <c r="T9793" s="2">
        <v>1.2975239999999999</v>
      </c>
    </row>
    <row r="9794" spans="18:20" x14ac:dyDescent="0.45">
      <c r="R9794" s="2">
        <v>114.7</v>
      </c>
      <c r="S9794" s="2">
        <v>1.249322</v>
      </c>
      <c r="T9794" s="2">
        <v>1.2988299999999999</v>
      </c>
    </row>
    <row r="9795" spans="18:20" x14ac:dyDescent="0.45">
      <c r="R9795" s="2">
        <v>114.71</v>
      </c>
      <c r="S9795" s="2">
        <v>1.2501450000000001</v>
      </c>
      <c r="T9795" s="2">
        <v>1.300136</v>
      </c>
    </row>
    <row r="9796" spans="18:20" x14ac:dyDescent="0.45">
      <c r="R9796" s="2">
        <v>114.72</v>
      </c>
      <c r="S9796" s="2">
        <v>1.2509669999999999</v>
      </c>
      <c r="T9796" s="2">
        <v>1.301442</v>
      </c>
    </row>
    <row r="9797" spans="18:20" x14ac:dyDescent="0.45">
      <c r="R9797" s="2">
        <v>114.73</v>
      </c>
      <c r="S9797" s="2">
        <v>1.25179</v>
      </c>
      <c r="T9797" s="2">
        <v>1.302748</v>
      </c>
    </row>
    <row r="9798" spans="18:20" x14ac:dyDescent="0.45">
      <c r="R9798" s="2">
        <v>114.74</v>
      </c>
      <c r="S9798" s="2">
        <v>1.2526120000000001</v>
      </c>
      <c r="T9798" s="2">
        <v>1.304054</v>
      </c>
    </row>
    <row r="9799" spans="18:20" x14ac:dyDescent="0.45">
      <c r="R9799" s="2">
        <v>114.75</v>
      </c>
      <c r="S9799" s="2">
        <v>1.2534350000000001</v>
      </c>
      <c r="T9799" s="2">
        <v>1.3053600000000001</v>
      </c>
    </row>
    <row r="9800" spans="18:20" x14ac:dyDescent="0.45">
      <c r="R9800" s="2">
        <v>114.76</v>
      </c>
      <c r="S9800" s="2">
        <v>1.2542580000000001</v>
      </c>
      <c r="T9800" s="2">
        <v>1.3066660000000001</v>
      </c>
    </row>
    <row r="9801" spans="18:20" x14ac:dyDescent="0.45">
      <c r="R9801" s="2">
        <v>114.77</v>
      </c>
      <c r="S9801" s="2">
        <v>1.25508</v>
      </c>
      <c r="T9801" s="2">
        <v>1.3079719999999999</v>
      </c>
    </row>
    <row r="9802" spans="18:20" x14ac:dyDescent="0.45">
      <c r="R9802" s="2">
        <v>114.78</v>
      </c>
      <c r="S9802" s="2">
        <v>1.255903</v>
      </c>
      <c r="T9802" s="2">
        <v>1.3092779999999999</v>
      </c>
    </row>
    <row r="9803" spans="18:20" x14ac:dyDescent="0.45">
      <c r="R9803" s="2">
        <v>114.79</v>
      </c>
      <c r="S9803" s="2">
        <v>1.2567250000000001</v>
      </c>
      <c r="T9803" s="2">
        <v>1.310584</v>
      </c>
    </row>
    <row r="9804" spans="18:20" x14ac:dyDescent="0.45">
      <c r="R9804" s="2">
        <v>114.8</v>
      </c>
      <c r="S9804" s="2">
        <v>1.2575480000000001</v>
      </c>
      <c r="T9804" s="2">
        <v>1.31189</v>
      </c>
    </row>
    <row r="9805" spans="18:20" x14ac:dyDescent="0.45">
      <c r="R9805" s="2">
        <v>114.81</v>
      </c>
      <c r="S9805" s="2">
        <v>1.2583709999999999</v>
      </c>
      <c r="T9805" s="2">
        <v>1.313196</v>
      </c>
    </row>
    <row r="9806" spans="18:20" x14ac:dyDescent="0.45">
      <c r="R9806" s="2">
        <v>114.82</v>
      </c>
      <c r="S9806" s="2">
        <v>1.259193</v>
      </c>
      <c r="T9806" s="2">
        <v>1.3145020000000001</v>
      </c>
    </row>
    <row r="9807" spans="18:20" x14ac:dyDescent="0.45">
      <c r="R9807" s="2">
        <v>114.83</v>
      </c>
      <c r="S9807" s="2">
        <v>1.260016</v>
      </c>
      <c r="T9807" s="2">
        <v>1.3158080000000001</v>
      </c>
    </row>
    <row r="9808" spans="18:20" x14ac:dyDescent="0.45">
      <c r="R9808" s="2">
        <v>114.84</v>
      </c>
      <c r="S9808" s="2">
        <v>1.2608379999999999</v>
      </c>
      <c r="T9808" s="2">
        <v>1.3171139999999999</v>
      </c>
    </row>
    <row r="9809" spans="18:20" x14ac:dyDescent="0.45">
      <c r="R9809" s="2">
        <v>114.85</v>
      </c>
      <c r="S9809" s="2">
        <v>1.2616609999999999</v>
      </c>
      <c r="T9809" s="2">
        <v>1.3184199999999999</v>
      </c>
    </row>
    <row r="9810" spans="18:20" x14ac:dyDescent="0.45">
      <c r="R9810" s="2">
        <v>114.86</v>
      </c>
      <c r="S9810" s="2">
        <v>1.2624839999999999</v>
      </c>
      <c r="T9810" s="2">
        <v>1.319726</v>
      </c>
    </row>
    <row r="9811" spans="18:20" x14ac:dyDescent="0.45">
      <c r="R9811" s="2">
        <v>114.87</v>
      </c>
      <c r="S9811" s="2">
        <v>1.263306</v>
      </c>
      <c r="T9811" s="2">
        <v>1.321032</v>
      </c>
    </row>
    <row r="9812" spans="18:20" x14ac:dyDescent="0.45">
      <c r="R9812" s="2">
        <v>114.88</v>
      </c>
      <c r="S9812" s="2">
        <v>1.2641290000000001</v>
      </c>
      <c r="T9812" s="2">
        <v>1.322338</v>
      </c>
    </row>
    <row r="9813" spans="18:20" x14ac:dyDescent="0.45">
      <c r="R9813" s="2">
        <v>114.89</v>
      </c>
      <c r="S9813" s="2">
        <v>1.2649509999999999</v>
      </c>
      <c r="T9813" s="2">
        <v>1.323644</v>
      </c>
    </row>
    <row r="9814" spans="18:20" x14ac:dyDescent="0.45">
      <c r="R9814" s="2">
        <v>114.9</v>
      </c>
      <c r="S9814" s="2">
        <v>1.265774</v>
      </c>
      <c r="T9814" s="2">
        <v>1.3249500000000001</v>
      </c>
    </row>
    <row r="9815" spans="18:20" x14ac:dyDescent="0.45">
      <c r="R9815" s="2">
        <v>114.91</v>
      </c>
      <c r="S9815" s="2">
        <v>1.266597</v>
      </c>
      <c r="T9815" s="2">
        <v>1.3262560000000001</v>
      </c>
    </row>
    <row r="9816" spans="18:20" x14ac:dyDescent="0.45">
      <c r="R9816" s="2">
        <v>114.92</v>
      </c>
      <c r="S9816" s="2">
        <v>1.2674190000000001</v>
      </c>
      <c r="T9816" s="2">
        <v>1.3275619999999999</v>
      </c>
    </row>
    <row r="9817" spans="18:20" x14ac:dyDescent="0.45">
      <c r="R9817" s="2">
        <v>114.93</v>
      </c>
      <c r="S9817" s="2">
        <v>1.2682420000000001</v>
      </c>
      <c r="T9817" s="2">
        <v>1.3288679999999999</v>
      </c>
    </row>
    <row r="9818" spans="18:20" x14ac:dyDescent="0.45">
      <c r="R9818" s="2">
        <v>114.94</v>
      </c>
      <c r="S9818" s="2">
        <v>1.269064</v>
      </c>
      <c r="T9818" s="2">
        <v>1.330174</v>
      </c>
    </row>
    <row r="9819" spans="18:20" x14ac:dyDescent="0.45">
      <c r="R9819" s="2">
        <v>114.95</v>
      </c>
      <c r="S9819" s="2">
        <v>1.269887</v>
      </c>
      <c r="T9819" s="2">
        <v>1.33148</v>
      </c>
    </row>
    <row r="9820" spans="18:20" x14ac:dyDescent="0.45">
      <c r="R9820" s="2">
        <v>114.96</v>
      </c>
      <c r="S9820" s="2">
        <v>1.27071</v>
      </c>
      <c r="T9820" s="2">
        <v>1.332786</v>
      </c>
    </row>
    <row r="9821" spans="18:20" x14ac:dyDescent="0.45">
      <c r="R9821" s="2">
        <v>114.97</v>
      </c>
      <c r="S9821" s="2">
        <v>1.2715320000000001</v>
      </c>
      <c r="T9821" s="2">
        <v>1.3340920000000001</v>
      </c>
    </row>
    <row r="9822" spans="18:20" x14ac:dyDescent="0.45">
      <c r="R9822" s="2">
        <v>114.98</v>
      </c>
      <c r="S9822" s="2">
        <v>1.2723549999999999</v>
      </c>
      <c r="T9822" s="2">
        <v>1.3353980000000001</v>
      </c>
    </row>
    <row r="9823" spans="18:20" x14ac:dyDescent="0.45">
      <c r="R9823" s="2">
        <v>114.99</v>
      </c>
      <c r="S9823" s="2">
        <v>1.273177</v>
      </c>
      <c r="T9823" s="2">
        <v>1.3367039999999999</v>
      </c>
    </row>
    <row r="9824" spans="18:20" x14ac:dyDescent="0.45">
      <c r="R9824" s="2">
        <v>115</v>
      </c>
      <c r="S9824" s="2">
        <v>1.274</v>
      </c>
      <c r="T9824" s="2">
        <v>1.3380099999999999</v>
      </c>
    </row>
    <row r="9825" spans="18:20" x14ac:dyDescent="0.45">
      <c r="R9825" s="2">
        <v>115.01</v>
      </c>
      <c r="S9825" s="2">
        <v>1.2748660000000001</v>
      </c>
      <c r="T9825" s="2">
        <v>1.3394569999999999</v>
      </c>
    </row>
    <row r="9826" spans="18:20" x14ac:dyDescent="0.45">
      <c r="R9826" s="2">
        <v>115.02</v>
      </c>
      <c r="S9826" s="2">
        <v>1.2757320000000001</v>
      </c>
      <c r="T9826" s="2">
        <v>1.340905</v>
      </c>
    </row>
    <row r="9827" spans="18:20" x14ac:dyDescent="0.45">
      <c r="R9827" s="2">
        <v>115.03</v>
      </c>
      <c r="S9827" s="2">
        <v>1.276597</v>
      </c>
      <c r="T9827" s="2">
        <v>1.342352</v>
      </c>
    </row>
    <row r="9828" spans="18:20" x14ac:dyDescent="0.45">
      <c r="R9828" s="2">
        <v>115.04</v>
      </c>
      <c r="S9828" s="2">
        <v>1.277463</v>
      </c>
      <c r="T9828" s="2">
        <v>1.343799</v>
      </c>
    </row>
    <row r="9829" spans="18:20" x14ac:dyDescent="0.45">
      <c r="R9829" s="2">
        <v>115.05</v>
      </c>
      <c r="S9829" s="2">
        <v>1.278329</v>
      </c>
      <c r="T9829" s="2">
        <v>1.3452459999999999</v>
      </c>
    </row>
    <row r="9830" spans="18:20" x14ac:dyDescent="0.45">
      <c r="R9830" s="2">
        <v>115.06</v>
      </c>
      <c r="S9830" s="2">
        <v>1.2791950000000001</v>
      </c>
      <c r="T9830" s="2">
        <v>1.3466940000000001</v>
      </c>
    </row>
    <row r="9831" spans="18:20" x14ac:dyDescent="0.45">
      <c r="R9831" s="2">
        <v>115.07</v>
      </c>
      <c r="S9831" s="2">
        <v>1.2800609999999999</v>
      </c>
      <c r="T9831" s="2">
        <v>1.348141</v>
      </c>
    </row>
    <row r="9832" spans="18:20" x14ac:dyDescent="0.45">
      <c r="R9832" s="2">
        <v>115.08</v>
      </c>
      <c r="S9832" s="2">
        <v>1.280926</v>
      </c>
      <c r="T9832" s="2">
        <v>1.349588</v>
      </c>
    </row>
    <row r="9833" spans="18:20" x14ac:dyDescent="0.45">
      <c r="R9833" s="2">
        <v>115.09</v>
      </c>
      <c r="S9833" s="2">
        <v>1.281792</v>
      </c>
      <c r="T9833" s="2">
        <v>1.3510359999999999</v>
      </c>
    </row>
    <row r="9834" spans="18:20" x14ac:dyDescent="0.45">
      <c r="R9834" s="2">
        <v>115.1</v>
      </c>
      <c r="S9834" s="2">
        <v>1.2826580000000001</v>
      </c>
      <c r="T9834" s="2">
        <v>1.3524830000000001</v>
      </c>
    </row>
    <row r="9835" spans="18:20" x14ac:dyDescent="0.45">
      <c r="R9835" s="2">
        <v>115.11</v>
      </c>
      <c r="S9835" s="2">
        <v>1.2835240000000001</v>
      </c>
      <c r="T9835" s="2">
        <v>1.3539300000000001</v>
      </c>
    </row>
    <row r="9836" spans="18:20" x14ac:dyDescent="0.45">
      <c r="R9836" s="2">
        <v>115.12</v>
      </c>
      <c r="S9836" s="2">
        <v>1.2843899999999999</v>
      </c>
      <c r="T9836" s="2">
        <v>1.355378</v>
      </c>
    </row>
    <row r="9837" spans="18:20" x14ac:dyDescent="0.45">
      <c r="R9837" s="2">
        <v>115.13</v>
      </c>
      <c r="S9837" s="2">
        <v>1.285255</v>
      </c>
      <c r="T9837" s="2">
        <v>1.3568249999999999</v>
      </c>
    </row>
    <row r="9838" spans="18:20" x14ac:dyDescent="0.45">
      <c r="R9838" s="2">
        <v>115.14</v>
      </c>
      <c r="S9838" s="2">
        <v>1.2861210000000001</v>
      </c>
      <c r="T9838" s="2">
        <v>1.3582719999999999</v>
      </c>
    </row>
    <row r="9839" spans="18:20" x14ac:dyDescent="0.45">
      <c r="R9839" s="2">
        <v>115.15</v>
      </c>
      <c r="S9839" s="2">
        <v>1.2869870000000001</v>
      </c>
      <c r="T9839" s="2">
        <v>1.35972</v>
      </c>
    </row>
    <row r="9840" spans="18:20" x14ac:dyDescent="0.45">
      <c r="R9840" s="2">
        <v>115.16</v>
      </c>
      <c r="S9840" s="2">
        <v>1.2878529999999999</v>
      </c>
      <c r="T9840" s="2">
        <v>1.361167</v>
      </c>
    </row>
    <row r="9841" spans="18:20" x14ac:dyDescent="0.45">
      <c r="R9841" s="2">
        <v>115.17</v>
      </c>
      <c r="S9841" s="2">
        <v>1.2887189999999999</v>
      </c>
      <c r="T9841" s="2">
        <v>1.362614</v>
      </c>
    </row>
    <row r="9842" spans="18:20" x14ac:dyDescent="0.45">
      <c r="R9842" s="2">
        <v>115.18</v>
      </c>
      <c r="S9842" s="2">
        <v>1.2895840000000001</v>
      </c>
      <c r="T9842" s="2">
        <v>1.364061</v>
      </c>
    </row>
    <row r="9843" spans="18:20" x14ac:dyDescent="0.45">
      <c r="R9843" s="2">
        <v>115.19</v>
      </c>
      <c r="S9843" s="2">
        <v>1.2904500000000001</v>
      </c>
      <c r="T9843" s="2">
        <v>1.3655090000000001</v>
      </c>
    </row>
    <row r="9844" spans="18:20" x14ac:dyDescent="0.45">
      <c r="R9844" s="2">
        <v>115.2</v>
      </c>
      <c r="S9844" s="2">
        <v>1.2913159999999999</v>
      </c>
      <c r="T9844" s="2">
        <v>1.3669560000000001</v>
      </c>
    </row>
    <row r="9845" spans="18:20" x14ac:dyDescent="0.45">
      <c r="R9845" s="2">
        <v>115.21</v>
      </c>
      <c r="S9845" s="2">
        <v>1.2921819999999999</v>
      </c>
      <c r="T9845" s="2">
        <v>1.368403</v>
      </c>
    </row>
    <row r="9846" spans="18:20" x14ac:dyDescent="0.45">
      <c r="R9846" s="2">
        <v>115.22</v>
      </c>
      <c r="S9846" s="2">
        <v>1.293048</v>
      </c>
      <c r="T9846" s="2">
        <v>1.3698509999999999</v>
      </c>
    </row>
    <row r="9847" spans="18:20" x14ac:dyDescent="0.45">
      <c r="R9847" s="2">
        <v>115.23</v>
      </c>
      <c r="S9847" s="2">
        <v>1.2939130000000001</v>
      </c>
      <c r="T9847" s="2">
        <v>1.3712979999999999</v>
      </c>
    </row>
    <row r="9848" spans="18:20" x14ac:dyDescent="0.45">
      <c r="R9848" s="2">
        <v>115.24</v>
      </c>
      <c r="S9848" s="2">
        <v>1.2947789999999999</v>
      </c>
      <c r="T9848" s="2">
        <v>1.3727450000000001</v>
      </c>
    </row>
    <row r="9849" spans="18:20" x14ac:dyDescent="0.45">
      <c r="R9849" s="2">
        <v>115.25</v>
      </c>
      <c r="S9849" s="2">
        <v>1.2956449999999999</v>
      </c>
      <c r="T9849" s="2">
        <v>1.3741920000000001</v>
      </c>
    </row>
    <row r="9850" spans="18:20" x14ac:dyDescent="0.45">
      <c r="R9850" s="2">
        <v>115.26</v>
      </c>
      <c r="S9850" s="2">
        <v>1.296511</v>
      </c>
      <c r="T9850" s="2">
        <v>1.37564</v>
      </c>
    </row>
    <row r="9851" spans="18:20" x14ac:dyDescent="0.45">
      <c r="R9851" s="2">
        <v>115.27</v>
      </c>
      <c r="S9851" s="2">
        <v>1.297377</v>
      </c>
      <c r="T9851" s="2">
        <v>1.377087</v>
      </c>
    </row>
    <row r="9852" spans="18:20" x14ac:dyDescent="0.45">
      <c r="R9852" s="2">
        <v>115.28</v>
      </c>
      <c r="S9852" s="2">
        <v>1.2982419999999999</v>
      </c>
      <c r="T9852" s="2">
        <v>1.3785339999999999</v>
      </c>
    </row>
    <row r="9853" spans="18:20" x14ac:dyDescent="0.45">
      <c r="R9853" s="2">
        <v>115.29</v>
      </c>
      <c r="S9853" s="2">
        <v>1.2991079999999999</v>
      </c>
      <c r="T9853" s="2">
        <v>1.379982</v>
      </c>
    </row>
    <row r="9854" spans="18:20" x14ac:dyDescent="0.45">
      <c r="R9854" s="2">
        <v>115.3</v>
      </c>
      <c r="S9854" s="2">
        <v>1.299974</v>
      </c>
      <c r="T9854" s="2">
        <v>1.381429</v>
      </c>
    </row>
    <row r="9855" spans="18:20" x14ac:dyDescent="0.45">
      <c r="R9855" s="2">
        <v>115.31</v>
      </c>
      <c r="S9855" s="2">
        <v>1.30084</v>
      </c>
      <c r="T9855" s="2">
        <v>1.382876</v>
      </c>
    </row>
    <row r="9856" spans="18:20" x14ac:dyDescent="0.45">
      <c r="R9856" s="2">
        <v>115.32</v>
      </c>
      <c r="S9856" s="2">
        <v>1.301706</v>
      </c>
      <c r="T9856" s="2">
        <v>1.3843240000000001</v>
      </c>
    </row>
    <row r="9857" spans="18:20" x14ac:dyDescent="0.45">
      <c r="R9857" s="2">
        <v>115.33</v>
      </c>
      <c r="S9857" s="2">
        <v>1.3025709999999999</v>
      </c>
      <c r="T9857" s="2">
        <v>1.3857710000000001</v>
      </c>
    </row>
    <row r="9858" spans="18:20" x14ac:dyDescent="0.45">
      <c r="R9858" s="2">
        <v>115.34</v>
      </c>
      <c r="S9858" s="2">
        <v>1.303437</v>
      </c>
      <c r="T9858" s="2">
        <v>1.3872180000000001</v>
      </c>
    </row>
    <row r="9859" spans="18:20" x14ac:dyDescent="0.45">
      <c r="R9859" s="2">
        <v>115.35</v>
      </c>
      <c r="S9859" s="2">
        <v>1.304303</v>
      </c>
      <c r="T9859" s="2">
        <v>1.388665</v>
      </c>
    </row>
    <row r="9860" spans="18:20" x14ac:dyDescent="0.45">
      <c r="R9860" s="2">
        <v>115.36</v>
      </c>
      <c r="S9860" s="2">
        <v>1.305169</v>
      </c>
      <c r="T9860" s="2">
        <v>1.3901129999999999</v>
      </c>
    </row>
    <row r="9861" spans="18:20" x14ac:dyDescent="0.45">
      <c r="R9861" s="2">
        <v>115.37</v>
      </c>
      <c r="S9861" s="2">
        <v>1.3060350000000001</v>
      </c>
      <c r="T9861" s="2">
        <v>1.3915599999999999</v>
      </c>
    </row>
    <row r="9862" spans="18:20" x14ac:dyDescent="0.45">
      <c r="R9862" s="2">
        <v>115.38</v>
      </c>
      <c r="S9862" s="2">
        <v>1.3069</v>
      </c>
      <c r="T9862" s="2">
        <v>1.3930070000000001</v>
      </c>
    </row>
    <row r="9863" spans="18:20" x14ac:dyDescent="0.45">
      <c r="R9863" s="2">
        <v>115.39</v>
      </c>
      <c r="S9863" s="2">
        <v>1.307766</v>
      </c>
      <c r="T9863" s="2">
        <v>1.394455</v>
      </c>
    </row>
    <row r="9864" spans="18:20" x14ac:dyDescent="0.45">
      <c r="R9864" s="2">
        <v>115.4</v>
      </c>
      <c r="S9864" s="2">
        <v>1.308632</v>
      </c>
      <c r="T9864" s="2">
        <v>1.395902</v>
      </c>
    </row>
    <row r="9865" spans="18:20" x14ac:dyDescent="0.45">
      <c r="R9865" s="2">
        <v>115.41</v>
      </c>
      <c r="S9865" s="2">
        <v>1.3094980000000001</v>
      </c>
      <c r="T9865" s="2">
        <v>1.397349</v>
      </c>
    </row>
    <row r="9866" spans="18:20" x14ac:dyDescent="0.45">
      <c r="R9866" s="2">
        <v>115.42</v>
      </c>
      <c r="S9866" s="2">
        <v>1.3103640000000001</v>
      </c>
      <c r="T9866" s="2">
        <v>1.3987970000000001</v>
      </c>
    </row>
    <row r="9867" spans="18:20" x14ac:dyDescent="0.45">
      <c r="R9867" s="2">
        <v>115.43</v>
      </c>
      <c r="S9867" s="2">
        <v>1.311229</v>
      </c>
      <c r="T9867" s="2">
        <v>1.400244</v>
      </c>
    </row>
    <row r="9868" spans="18:20" x14ac:dyDescent="0.45">
      <c r="R9868" s="2">
        <v>115.44</v>
      </c>
      <c r="S9868" s="2">
        <v>1.312095</v>
      </c>
      <c r="T9868" s="2">
        <v>1.401691</v>
      </c>
    </row>
    <row r="9869" spans="18:20" x14ac:dyDescent="0.45">
      <c r="R9869" s="2">
        <v>115.45</v>
      </c>
      <c r="S9869" s="2">
        <v>1.312961</v>
      </c>
      <c r="T9869" s="2">
        <v>1.4031389999999999</v>
      </c>
    </row>
    <row r="9870" spans="18:20" x14ac:dyDescent="0.45">
      <c r="R9870" s="2">
        <v>115.46</v>
      </c>
      <c r="S9870" s="2">
        <v>1.3138270000000001</v>
      </c>
      <c r="T9870" s="2">
        <v>1.4045859999999999</v>
      </c>
    </row>
    <row r="9871" spans="18:20" x14ac:dyDescent="0.45">
      <c r="R9871" s="2">
        <v>115.47</v>
      </c>
      <c r="S9871" s="2">
        <v>1.3146929999999999</v>
      </c>
      <c r="T9871" s="2">
        <v>1.4060330000000001</v>
      </c>
    </row>
    <row r="9872" spans="18:20" x14ac:dyDescent="0.45">
      <c r="R9872" s="2">
        <v>115.48</v>
      </c>
      <c r="S9872" s="2">
        <v>1.315558</v>
      </c>
      <c r="T9872" s="2">
        <v>1.4074800000000001</v>
      </c>
    </row>
    <row r="9873" spans="18:20" x14ac:dyDescent="0.45">
      <c r="R9873" s="2">
        <v>115.49</v>
      </c>
      <c r="S9873" s="2">
        <v>1.316424</v>
      </c>
      <c r="T9873" s="2">
        <v>1.408928</v>
      </c>
    </row>
    <row r="9874" spans="18:20" x14ac:dyDescent="0.45">
      <c r="R9874" s="2">
        <v>115.5</v>
      </c>
      <c r="S9874" s="2">
        <v>1.3172900000000001</v>
      </c>
      <c r="T9874" s="2">
        <v>1.4103749999999999</v>
      </c>
    </row>
    <row r="9875" spans="18:20" x14ac:dyDescent="0.45">
      <c r="R9875" s="2">
        <v>115.51</v>
      </c>
      <c r="S9875" s="2">
        <v>1.3181560000000001</v>
      </c>
      <c r="T9875" s="2">
        <v>1.4118219999999999</v>
      </c>
    </row>
    <row r="9876" spans="18:20" x14ac:dyDescent="0.45">
      <c r="R9876" s="2">
        <v>115.52</v>
      </c>
      <c r="S9876" s="2">
        <v>1.3190219999999999</v>
      </c>
      <c r="T9876" s="2">
        <v>1.41327</v>
      </c>
    </row>
    <row r="9877" spans="18:20" x14ac:dyDescent="0.45">
      <c r="R9877" s="2">
        <v>115.53</v>
      </c>
      <c r="S9877" s="2">
        <v>1.319887</v>
      </c>
      <c r="T9877" s="2">
        <v>1.414717</v>
      </c>
    </row>
    <row r="9878" spans="18:20" x14ac:dyDescent="0.45">
      <c r="R9878" s="2">
        <v>115.54</v>
      </c>
      <c r="S9878" s="2">
        <v>1.3207530000000001</v>
      </c>
      <c r="T9878" s="2">
        <v>1.416164</v>
      </c>
    </row>
    <row r="9879" spans="18:20" x14ac:dyDescent="0.45">
      <c r="R9879" s="2">
        <v>115.55</v>
      </c>
      <c r="S9879" s="2">
        <v>1.3216190000000001</v>
      </c>
      <c r="T9879" s="2">
        <v>1.417611</v>
      </c>
    </row>
    <row r="9880" spans="18:20" x14ac:dyDescent="0.45">
      <c r="R9880" s="2">
        <v>115.56</v>
      </c>
      <c r="S9880" s="2">
        <v>1.3224849999999999</v>
      </c>
      <c r="T9880" s="2">
        <v>1.4190590000000001</v>
      </c>
    </row>
    <row r="9881" spans="18:20" x14ac:dyDescent="0.45">
      <c r="R9881" s="2">
        <v>115.57</v>
      </c>
      <c r="S9881" s="2">
        <v>1.3233509999999999</v>
      </c>
      <c r="T9881" s="2">
        <v>1.420506</v>
      </c>
    </row>
    <row r="9882" spans="18:20" x14ac:dyDescent="0.45">
      <c r="R9882" s="2">
        <v>115.58</v>
      </c>
      <c r="S9882" s="2">
        <v>1.3242160000000001</v>
      </c>
      <c r="T9882" s="2">
        <v>1.421953</v>
      </c>
    </row>
    <row r="9883" spans="18:20" x14ac:dyDescent="0.45">
      <c r="R9883" s="2">
        <v>115.59</v>
      </c>
      <c r="S9883" s="2">
        <v>1.3250820000000001</v>
      </c>
      <c r="T9883" s="2">
        <v>1.4234009999999999</v>
      </c>
    </row>
    <row r="9884" spans="18:20" x14ac:dyDescent="0.45">
      <c r="R9884" s="2">
        <v>115.6</v>
      </c>
      <c r="S9884" s="2">
        <v>1.3259479999999999</v>
      </c>
      <c r="T9884" s="2">
        <v>1.4248479999999999</v>
      </c>
    </row>
    <row r="9885" spans="18:20" x14ac:dyDescent="0.45">
      <c r="R9885" s="2">
        <v>115.61</v>
      </c>
      <c r="S9885" s="2">
        <v>1.3268139999999999</v>
      </c>
      <c r="T9885" s="2">
        <v>1.4262950000000001</v>
      </c>
    </row>
    <row r="9886" spans="18:20" x14ac:dyDescent="0.45">
      <c r="R9886" s="2">
        <v>115.62</v>
      </c>
      <c r="S9886" s="2">
        <v>1.32768</v>
      </c>
      <c r="T9886" s="2">
        <v>1.427743</v>
      </c>
    </row>
    <row r="9887" spans="18:20" x14ac:dyDescent="0.45">
      <c r="R9887" s="2">
        <v>115.63</v>
      </c>
      <c r="S9887" s="2">
        <v>1.3285450000000001</v>
      </c>
      <c r="T9887" s="2">
        <v>1.42919</v>
      </c>
    </row>
    <row r="9888" spans="18:20" x14ac:dyDescent="0.45">
      <c r="R9888" s="2">
        <v>115.64</v>
      </c>
      <c r="S9888" s="2">
        <v>1.3294109999999999</v>
      </c>
      <c r="T9888" s="2">
        <v>1.4306369999999999</v>
      </c>
    </row>
    <row r="9889" spans="18:20" x14ac:dyDescent="0.45">
      <c r="R9889" s="2">
        <v>115.65</v>
      </c>
      <c r="S9889" s="2">
        <v>1.3302769999999999</v>
      </c>
      <c r="T9889" s="2">
        <v>1.4320850000000001</v>
      </c>
    </row>
    <row r="9890" spans="18:20" x14ac:dyDescent="0.45">
      <c r="R9890" s="2">
        <v>115.66</v>
      </c>
      <c r="S9890" s="2">
        <v>1.331143</v>
      </c>
      <c r="T9890" s="2">
        <v>1.433532</v>
      </c>
    </row>
    <row r="9891" spans="18:20" x14ac:dyDescent="0.45">
      <c r="R9891" s="2">
        <v>115.67</v>
      </c>
      <c r="S9891" s="2">
        <v>1.332009</v>
      </c>
      <c r="T9891" s="2">
        <v>1.434979</v>
      </c>
    </row>
    <row r="9892" spans="18:20" x14ac:dyDescent="0.45">
      <c r="R9892" s="2">
        <v>115.68</v>
      </c>
      <c r="S9892" s="2">
        <v>1.3328739999999999</v>
      </c>
      <c r="T9892" s="2">
        <v>1.436426</v>
      </c>
    </row>
    <row r="9893" spans="18:20" x14ac:dyDescent="0.45">
      <c r="R9893" s="2">
        <v>115.69</v>
      </c>
      <c r="S9893" s="2">
        <v>1.3337399999999999</v>
      </c>
      <c r="T9893" s="2">
        <v>1.4378740000000001</v>
      </c>
    </row>
    <row r="9894" spans="18:20" x14ac:dyDescent="0.45">
      <c r="R9894" s="2">
        <v>115.7</v>
      </c>
      <c r="S9894" s="2">
        <v>1.334606</v>
      </c>
      <c r="T9894" s="2">
        <v>1.4393210000000001</v>
      </c>
    </row>
    <row r="9895" spans="18:20" x14ac:dyDescent="0.45">
      <c r="R9895" s="2">
        <v>115.71</v>
      </c>
      <c r="S9895" s="2">
        <v>1.335472</v>
      </c>
      <c r="T9895" s="2">
        <v>1.440768</v>
      </c>
    </row>
    <row r="9896" spans="18:20" x14ac:dyDescent="0.45">
      <c r="R9896" s="2">
        <v>115.72</v>
      </c>
      <c r="S9896" s="2">
        <v>1.336338</v>
      </c>
      <c r="T9896" s="2">
        <v>1.4422159999999999</v>
      </c>
    </row>
    <row r="9897" spans="18:20" x14ac:dyDescent="0.45">
      <c r="R9897" s="2">
        <v>115.73</v>
      </c>
      <c r="S9897" s="2">
        <v>1.3372029999999999</v>
      </c>
      <c r="T9897" s="2">
        <v>1.4436629999999999</v>
      </c>
    </row>
    <row r="9898" spans="18:20" x14ac:dyDescent="0.45">
      <c r="R9898" s="2">
        <v>115.74</v>
      </c>
      <c r="S9898" s="2">
        <v>1.338069</v>
      </c>
      <c r="T9898" s="2">
        <v>1.4451099999999999</v>
      </c>
    </row>
    <row r="9899" spans="18:20" x14ac:dyDescent="0.45">
      <c r="R9899" s="2">
        <v>115.75</v>
      </c>
      <c r="S9899" s="2">
        <v>1.338935</v>
      </c>
      <c r="T9899" s="2">
        <v>1.4465570000000001</v>
      </c>
    </row>
    <row r="9900" spans="18:20" x14ac:dyDescent="0.45">
      <c r="R9900" s="2">
        <v>115.76</v>
      </c>
      <c r="S9900" s="2">
        <v>1.339801</v>
      </c>
      <c r="T9900" s="2">
        <v>1.448005</v>
      </c>
    </row>
    <row r="9901" spans="18:20" x14ac:dyDescent="0.45">
      <c r="R9901" s="2">
        <v>115.77</v>
      </c>
      <c r="S9901" s="2">
        <v>1.3406670000000001</v>
      </c>
      <c r="T9901" s="2">
        <v>1.449452</v>
      </c>
    </row>
    <row r="9902" spans="18:20" x14ac:dyDescent="0.45">
      <c r="R9902" s="2">
        <v>115.78</v>
      </c>
      <c r="S9902" s="2">
        <v>1.3415319999999999</v>
      </c>
      <c r="T9902" s="2">
        <v>1.4508989999999999</v>
      </c>
    </row>
    <row r="9903" spans="18:20" x14ac:dyDescent="0.45">
      <c r="R9903" s="2">
        <v>115.79</v>
      </c>
      <c r="S9903" s="2">
        <v>1.342398</v>
      </c>
      <c r="T9903" s="2">
        <v>1.4523470000000001</v>
      </c>
    </row>
    <row r="9904" spans="18:20" x14ac:dyDescent="0.45">
      <c r="R9904" s="2">
        <v>115.8</v>
      </c>
      <c r="S9904" s="2">
        <v>1.343264</v>
      </c>
      <c r="T9904" s="2">
        <v>1.453794</v>
      </c>
    </row>
    <row r="9905" spans="18:20" x14ac:dyDescent="0.45">
      <c r="R9905" s="2">
        <v>115.81</v>
      </c>
      <c r="S9905" s="2">
        <v>1.34413</v>
      </c>
      <c r="T9905" s="2">
        <v>1.455241</v>
      </c>
    </row>
    <row r="9906" spans="18:20" x14ac:dyDescent="0.45">
      <c r="R9906" s="2">
        <v>115.82</v>
      </c>
      <c r="S9906" s="2">
        <v>1.3449960000000001</v>
      </c>
      <c r="T9906" s="2">
        <v>1.4566889999999999</v>
      </c>
    </row>
    <row r="9907" spans="18:20" x14ac:dyDescent="0.45">
      <c r="R9907" s="2">
        <v>115.83</v>
      </c>
      <c r="S9907" s="2">
        <v>1.345861</v>
      </c>
      <c r="T9907" s="2">
        <v>1.4581360000000001</v>
      </c>
    </row>
    <row r="9908" spans="18:20" x14ac:dyDescent="0.45">
      <c r="R9908" s="2">
        <v>115.84</v>
      </c>
      <c r="S9908" s="2">
        <v>1.346727</v>
      </c>
      <c r="T9908" s="2">
        <v>1.4595830000000001</v>
      </c>
    </row>
    <row r="9909" spans="18:20" x14ac:dyDescent="0.45">
      <c r="R9909" s="2">
        <v>115.85</v>
      </c>
      <c r="S9909" s="2">
        <v>1.347593</v>
      </c>
      <c r="T9909" s="2">
        <v>1.4610300000000001</v>
      </c>
    </row>
    <row r="9910" spans="18:20" x14ac:dyDescent="0.45">
      <c r="R9910" s="2">
        <v>115.86</v>
      </c>
      <c r="S9910" s="2">
        <v>1.3484590000000001</v>
      </c>
      <c r="T9910" s="2">
        <v>1.4624779999999999</v>
      </c>
    </row>
    <row r="9911" spans="18:20" x14ac:dyDescent="0.45">
      <c r="R9911" s="2">
        <v>115.87</v>
      </c>
      <c r="S9911" s="2">
        <v>1.3493250000000001</v>
      </c>
      <c r="T9911" s="2">
        <v>1.4639249999999999</v>
      </c>
    </row>
    <row r="9912" spans="18:20" x14ac:dyDescent="0.45">
      <c r="R9912" s="2">
        <v>115.88</v>
      </c>
      <c r="S9912" s="2">
        <v>1.35019</v>
      </c>
      <c r="T9912" s="2">
        <v>1.4653719999999999</v>
      </c>
    </row>
    <row r="9913" spans="18:20" x14ac:dyDescent="0.45">
      <c r="R9913" s="2">
        <v>115.89</v>
      </c>
      <c r="S9913" s="2">
        <v>1.351056</v>
      </c>
      <c r="T9913" s="2">
        <v>1.46682</v>
      </c>
    </row>
    <row r="9914" spans="18:20" x14ac:dyDescent="0.45">
      <c r="R9914" s="2">
        <v>115.9</v>
      </c>
      <c r="S9914" s="2">
        <v>1.3519220000000001</v>
      </c>
      <c r="T9914" s="2">
        <v>1.468267</v>
      </c>
    </row>
    <row r="9915" spans="18:20" x14ac:dyDescent="0.45">
      <c r="R9915" s="2">
        <v>115.91</v>
      </c>
      <c r="S9915" s="2">
        <v>1.3527880000000001</v>
      </c>
      <c r="T9915" s="2">
        <v>1.469714</v>
      </c>
    </row>
    <row r="9916" spans="18:20" x14ac:dyDescent="0.45">
      <c r="R9916" s="2">
        <v>115.92</v>
      </c>
      <c r="S9916" s="2">
        <v>1.3536539999999999</v>
      </c>
      <c r="T9916" s="2">
        <v>1.4711620000000001</v>
      </c>
    </row>
    <row r="9917" spans="18:20" x14ac:dyDescent="0.45">
      <c r="R9917" s="2">
        <v>115.93</v>
      </c>
      <c r="S9917" s="2">
        <v>1.354519</v>
      </c>
      <c r="T9917" s="2">
        <v>1.4726090000000001</v>
      </c>
    </row>
    <row r="9918" spans="18:20" x14ac:dyDescent="0.45">
      <c r="R9918" s="2">
        <v>115.94</v>
      </c>
      <c r="S9918" s="2">
        <v>1.3553850000000001</v>
      </c>
      <c r="T9918" s="2">
        <v>1.474056</v>
      </c>
    </row>
    <row r="9919" spans="18:20" x14ac:dyDescent="0.45">
      <c r="R9919" s="2">
        <v>115.95</v>
      </c>
      <c r="S9919" s="2">
        <v>1.3562510000000001</v>
      </c>
      <c r="T9919" s="2">
        <v>1.4755039999999999</v>
      </c>
    </row>
    <row r="9920" spans="18:20" x14ac:dyDescent="0.45">
      <c r="R9920" s="2">
        <v>115.96</v>
      </c>
      <c r="S9920" s="2">
        <v>1.3571169999999999</v>
      </c>
      <c r="T9920" s="2">
        <v>1.4769509999999999</v>
      </c>
    </row>
    <row r="9921" spans="18:20" x14ac:dyDescent="0.45">
      <c r="R9921" s="2">
        <v>115.97</v>
      </c>
      <c r="S9921" s="2">
        <v>1.3579829999999999</v>
      </c>
      <c r="T9921" s="2">
        <v>1.4783980000000001</v>
      </c>
    </row>
    <row r="9922" spans="18:20" x14ac:dyDescent="0.45">
      <c r="R9922" s="2">
        <v>115.98</v>
      </c>
      <c r="S9922" s="2">
        <v>1.3588480000000001</v>
      </c>
      <c r="T9922" s="2">
        <v>1.4798450000000001</v>
      </c>
    </row>
    <row r="9923" spans="18:20" x14ac:dyDescent="0.45">
      <c r="R9923" s="2">
        <v>115.99</v>
      </c>
      <c r="S9923" s="2">
        <v>1.3597140000000001</v>
      </c>
      <c r="T9923" s="2">
        <v>1.481293</v>
      </c>
    </row>
    <row r="9924" spans="18:20" x14ac:dyDescent="0.45">
      <c r="R9924" s="2">
        <v>116</v>
      </c>
      <c r="S9924" s="2">
        <v>1.3605799999999999</v>
      </c>
      <c r="T9924" s="2">
        <v>1.4827399999999999</v>
      </c>
    </row>
    <row r="9925" spans="18:20" x14ac:dyDescent="0.45">
      <c r="R9925" s="2">
        <v>116.01</v>
      </c>
      <c r="S9925" s="2">
        <v>1.3614900000000001</v>
      </c>
      <c r="T9925" s="2">
        <v>1.4843440000000001</v>
      </c>
    </row>
    <row r="9926" spans="18:20" x14ac:dyDescent="0.45">
      <c r="R9926" s="2">
        <v>116.02</v>
      </c>
      <c r="S9926" s="2">
        <v>1.3624000000000001</v>
      </c>
      <c r="T9926" s="2">
        <v>1.485948</v>
      </c>
    </row>
    <row r="9927" spans="18:20" x14ac:dyDescent="0.45">
      <c r="R9927" s="2">
        <v>116.03</v>
      </c>
      <c r="S9927" s="2">
        <v>1.3633109999999999</v>
      </c>
      <c r="T9927" s="2">
        <v>1.4875510000000001</v>
      </c>
    </row>
    <row r="9928" spans="18:20" x14ac:dyDescent="0.45">
      <c r="R9928" s="2">
        <v>116.04</v>
      </c>
      <c r="S9928" s="2">
        <v>1.3642209999999999</v>
      </c>
      <c r="T9928" s="2">
        <v>1.489155</v>
      </c>
    </row>
    <row r="9929" spans="18:20" x14ac:dyDescent="0.45">
      <c r="R9929" s="2">
        <v>116.05</v>
      </c>
      <c r="S9929" s="2">
        <v>1.3651310000000001</v>
      </c>
      <c r="T9929" s="2">
        <v>1.4907589999999999</v>
      </c>
    </row>
    <row r="9930" spans="18:20" x14ac:dyDescent="0.45">
      <c r="R9930" s="2">
        <v>116.06</v>
      </c>
      <c r="S9930" s="2">
        <v>1.3660410000000001</v>
      </c>
      <c r="T9930" s="2">
        <v>1.4923630000000001</v>
      </c>
    </row>
    <row r="9931" spans="18:20" x14ac:dyDescent="0.45">
      <c r="R9931" s="2">
        <v>116.07</v>
      </c>
      <c r="S9931" s="2">
        <v>1.366951</v>
      </c>
      <c r="T9931" s="2">
        <v>1.493967</v>
      </c>
    </row>
    <row r="9932" spans="18:20" x14ac:dyDescent="0.45">
      <c r="R9932" s="2">
        <v>116.08</v>
      </c>
      <c r="S9932" s="2">
        <v>1.3678619999999999</v>
      </c>
      <c r="T9932" s="2">
        <v>1.4955700000000001</v>
      </c>
    </row>
    <row r="9933" spans="18:20" x14ac:dyDescent="0.45">
      <c r="R9933" s="2">
        <v>116.09</v>
      </c>
      <c r="S9933" s="2">
        <v>1.3687720000000001</v>
      </c>
      <c r="T9933" s="2">
        <v>1.497174</v>
      </c>
    </row>
    <row r="9934" spans="18:20" x14ac:dyDescent="0.45">
      <c r="R9934" s="2">
        <v>116.1</v>
      </c>
      <c r="S9934" s="2">
        <v>1.3696820000000001</v>
      </c>
      <c r="T9934" s="2">
        <v>1.4987779999999999</v>
      </c>
    </row>
    <row r="9935" spans="18:20" x14ac:dyDescent="0.45">
      <c r="R9935" s="2">
        <v>116.11</v>
      </c>
      <c r="S9935" s="2">
        <v>1.370592</v>
      </c>
      <c r="T9935" s="2">
        <v>1.5003820000000001</v>
      </c>
    </row>
    <row r="9936" spans="18:20" x14ac:dyDescent="0.45">
      <c r="R9936" s="2">
        <v>116.12</v>
      </c>
      <c r="S9936" s="2">
        <v>1.371502</v>
      </c>
      <c r="T9936" s="2">
        <v>1.501986</v>
      </c>
    </row>
    <row r="9937" spans="18:20" x14ac:dyDescent="0.45">
      <c r="R9937" s="2">
        <v>116.13</v>
      </c>
      <c r="S9937" s="2">
        <v>1.3724130000000001</v>
      </c>
      <c r="T9937" s="2">
        <v>1.5035890000000001</v>
      </c>
    </row>
    <row r="9938" spans="18:20" x14ac:dyDescent="0.45">
      <c r="R9938" s="2">
        <v>116.14</v>
      </c>
      <c r="S9938" s="2">
        <v>1.3733230000000001</v>
      </c>
      <c r="T9938" s="2">
        <v>1.505193</v>
      </c>
    </row>
    <row r="9939" spans="18:20" x14ac:dyDescent="0.45">
      <c r="R9939" s="2">
        <v>116.15</v>
      </c>
      <c r="S9939" s="2">
        <v>1.374233</v>
      </c>
      <c r="T9939" s="2">
        <v>1.5067969999999999</v>
      </c>
    </row>
    <row r="9940" spans="18:20" x14ac:dyDescent="0.45">
      <c r="R9940" s="2">
        <v>116.16</v>
      </c>
      <c r="S9940" s="2">
        <v>1.375143</v>
      </c>
      <c r="T9940" s="2">
        <v>1.5084010000000001</v>
      </c>
    </row>
    <row r="9941" spans="18:20" x14ac:dyDescent="0.45">
      <c r="R9941" s="2">
        <v>116.17</v>
      </c>
      <c r="S9941" s="2">
        <v>1.376053</v>
      </c>
      <c r="T9941" s="2">
        <v>1.510005</v>
      </c>
    </row>
    <row r="9942" spans="18:20" x14ac:dyDescent="0.45">
      <c r="R9942" s="2">
        <v>116.18</v>
      </c>
      <c r="S9942" s="2">
        <v>1.3769640000000001</v>
      </c>
      <c r="T9942" s="2">
        <v>1.5116080000000001</v>
      </c>
    </row>
    <row r="9943" spans="18:20" x14ac:dyDescent="0.45">
      <c r="R9943" s="2">
        <v>116.19</v>
      </c>
      <c r="S9943" s="2">
        <v>1.377874</v>
      </c>
      <c r="T9943" s="2">
        <v>1.513212</v>
      </c>
    </row>
    <row r="9944" spans="18:20" x14ac:dyDescent="0.45">
      <c r="R9944" s="2">
        <v>116.2</v>
      </c>
      <c r="S9944" s="2">
        <v>1.378784</v>
      </c>
      <c r="T9944" s="2">
        <v>1.5148159999999999</v>
      </c>
    </row>
    <row r="9945" spans="18:20" x14ac:dyDescent="0.45">
      <c r="R9945" s="2">
        <v>116.21</v>
      </c>
      <c r="S9945" s="2">
        <v>1.379694</v>
      </c>
      <c r="T9945" s="2">
        <v>1.5164200000000001</v>
      </c>
    </row>
    <row r="9946" spans="18:20" x14ac:dyDescent="0.45">
      <c r="R9946" s="2">
        <v>116.22</v>
      </c>
      <c r="S9946" s="2">
        <v>1.3806039999999999</v>
      </c>
      <c r="T9946" s="2">
        <v>1.518024</v>
      </c>
    </row>
    <row r="9947" spans="18:20" x14ac:dyDescent="0.45">
      <c r="R9947" s="2">
        <v>116.23</v>
      </c>
      <c r="S9947" s="2">
        <v>1.381515</v>
      </c>
      <c r="T9947" s="2">
        <v>1.5196270000000001</v>
      </c>
    </row>
    <row r="9948" spans="18:20" x14ac:dyDescent="0.45">
      <c r="R9948" s="2">
        <v>116.24</v>
      </c>
      <c r="S9948" s="2">
        <v>1.382425</v>
      </c>
      <c r="T9948" s="2">
        <v>1.521231</v>
      </c>
    </row>
    <row r="9949" spans="18:20" x14ac:dyDescent="0.45">
      <c r="R9949" s="2">
        <v>116.25</v>
      </c>
      <c r="S9949" s="2">
        <v>1.383335</v>
      </c>
      <c r="T9949" s="2">
        <v>1.5228349999999999</v>
      </c>
    </row>
    <row r="9950" spans="18:20" x14ac:dyDescent="0.45">
      <c r="R9950" s="2">
        <v>116.26</v>
      </c>
      <c r="S9950" s="2">
        <v>1.3842449999999999</v>
      </c>
      <c r="T9950" s="2">
        <v>1.5244390000000001</v>
      </c>
    </row>
    <row r="9951" spans="18:20" x14ac:dyDescent="0.45">
      <c r="R9951" s="2">
        <v>116.27</v>
      </c>
      <c r="S9951" s="2">
        <v>1.3851549999999999</v>
      </c>
      <c r="T9951" s="2">
        <v>1.526043</v>
      </c>
    </row>
    <row r="9952" spans="18:20" x14ac:dyDescent="0.45">
      <c r="R9952" s="2">
        <v>116.28</v>
      </c>
      <c r="S9952" s="2">
        <v>1.386066</v>
      </c>
      <c r="T9952" s="2">
        <v>1.5276460000000001</v>
      </c>
    </row>
    <row r="9953" spans="18:20" x14ac:dyDescent="0.45">
      <c r="R9953" s="2">
        <v>116.29</v>
      </c>
      <c r="S9953" s="2">
        <v>1.386976</v>
      </c>
      <c r="T9953" s="2">
        <v>1.52925</v>
      </c>
    </row>
    <row r="9954" spans="18:20" x14ac:dyDescent="0.45">
      <c r="R9954" s="2">
        <v>116.3</v>
      </c>
      <c r="S9954" s="2">
        <v>1.387886</v>
      </c>
      <c r="T9954" s="2">
        <v>1.5308539999999999</v>
      </c>
    </row>
    <row r="9955" spans="18:20" x14ac:dyDescent="0.45">
      <c r="R9955" s="2">
        <v>116.31</v>
      </c>
      <c r="S9955" s="2">
        <v>1.3887959999999999</v>
      </c>
      <c r="T9955" s="2">
        <v>1.5324580000000001</v>
      </c>
    </row>
    <row r="9956" spans="18:20" x14ac:dyDescent="0.45">
      <c r="R9956" s="2">
        <v>116.32</v>
      </c>
      <c r="S9956" s="2">
        <v>1.3897060000000001</v>
      </c>
      <c r="T9956" s="2">
        <v>1.534062</v>
      </c>
    </row>
    <row r="9957" spans="18:20" x14ac:dyDescent="0.45">
      <c r="R9957" s="2">
        <v>116.33</v>
      </c>
      <c r="S9957" s="2">
        <v>1.390617</v>
      </c>
      <c r="T9957" s="2">
        <v>1.5356650000000001</v>
      </c>
    </row>
    <row r="9958" spans="18:20" x14ac:dyDescent="0.45">
      <c r="R9958" s="2">
        <v>116.34</v>
      </c>
      <c r="S9958" s="2">
        <v>1.391527</v>
      </c>
      <c r="T9958" s="2">
        <v>1.537269</v>
      </c>
    </row>
    <row r="9959" spans="18:20" x14ac:dyDescent="0.45">
      <c r="R9959" s="2">
        <v>116.35</v>
      </c>
      <c r="S9959" s="2">
        <v>1.3924369999999999</v>
      </c>
      <c r="T9959" s="2">
        <v>1.5388729999999999</v>
      </c>
    </row>
    <row r="9960" spans="18:20" x14ac:dyDescent="0.45">
      <c r="R9960" s="2">
        <v>116.36</v>
      </c>
      <c r="S9960" s="2">
        <v>1.3933469999999999</v>
      </c>
      <c r="T9960" s="2">
        <v>1.5404770000000001</v>
      </c>
    </row>
    <row r="9961" spans="18:20" x14ac:dyDescent="0.45">
      <c r="R9961" s="2">
        <v>116.37</v>
      </c>
      <c r="S9961" s="2">
        <v>1.3942570000000001</v>
      </c>
      <c r="T9961" s="2">
        <v>1.542081</v>
      </c>
    </row>
    <row r="9962" spans="18:20" x14ac:dyDescent="0.45">
      <c r="R9962" s="2">
        <v>116.38</v>
      </c>
      <c r="S9962" s="2">
        <v>1.395168</v>
      </c>
      <c r="T9962" s="2">
        <v>1.5436840000000001</v>
      </c>
    </row>
    <row r="9963" spans="18:20" x14ac:dyDescent="0.45">
      <c r="R9963" s="2">
        <v>116.39</v>
      </c>
      <c r="S9963" s="2">
        <v>1.3960779999999999</v>
      </c>
      <c r="T9963" s="2">
        <v>1.545288</v>
      </c>
    </row>
    <row r="9964" spans="18:20" x14ac:dyDescent="0.45">
      <c r="R9964" s="2">
        <v>116.4</v>
      </c>
      <c r="S9964" s="2">
        <v>1.3969879999999999</v>
      </c>
      <c r="T9964" s="2">
        <v>1.5468919999999999</v>
      </c>
    </row>
    <row r="9965" spans="18:20" x14ac:dyDescent="0.45">
      <c r="R9965" s="2">
        <v>116.41</v>
      </c>
      <c r="S9965" s="2">
        <v>1.3978980000000001</v>
      </c>
      <c r="T9965" s="2">
        <v>1.5484960000000001</v>
      </c>
    </row>
    <row r="9966" spans="18:20" x14ac:dyDescent="0.45">
      <c r="R9966" s="2">
        <v>116.42</v>
      </c>
      <c r="S9966" s="2">
        <v>1.3988080000000001</v>
      </c>
      <c r="T9966" s="2">
        <v>1.5501</v>
      </c>
    </row>
    <row r="9967" spans="18:20" x14ac:dyDescent="0.45">
      <c r="R9967" s="2">
        <v>116.43</v>
      </c>
      <c r="S9967" s="2">
        <v>1.3997189999999999</v>
      </c>
      <c r="T9967" s="2">
        <v>1.5517030000000001</v>
      </c>
    </row>
    <row r="9968" spans="18:20" x14ac:dyDescent="0.45">
      <c r="R9968" s="2">
        <v>116.44</v>
      </c>
      <c r="S9968" s="2">
        <v>1.4006289999999999</v>
      </c>
      <c r="T9968" s="2">
        <v>1.553307</v>
      </c>
    </row>
    <row r="9969" spans="18:20" x14ac:dyDescent="0.45">
      <c r="R9969" s="2">
        <v>116.45</v>
      </c>
      <c r="S9969" s="2">
        <v>1.4015390000000001</v>
      </c>
      <c r="T9969" s="2">
        <v>1.5549109999999999</v>
      </c>
    </row>
    <row r="9970" spans="18:20" x14ac:dyDescent="0.45">
      <c r="R9970" s="2">
        <v>116.46</v>
      </c>
      <c r="S9970" s="2">
        <v>1.4024490000000001</v>
      </c>
      <c r="T9970" s="2">
        <v>1.5565150000000001</v>
      </c>
    </row>
    <row r="9971" spans="18:20" x14ac:dyDescent="0.45">
      <c r="R9971" s="2">
        <v>116.47</v>
      </c>
      <c r="S9971" s="2">
        <v>1.403359</v>
      </c>
      <c r="T9971" s="2">
        <v>1.558119</v>
      </c>
    </row>
    <row r="9972" spans="18:20" x14ac:dyDescent="0.45">
      <c r="R9972" s="2">
        <v>116.48</v>
      </c>
      <c r="S9972" s="2">
        <v>1.4042699999999999</v>
      </c>
      <c r="T9972" s="2">
        <v>1.5597220000000001</v>
      </c>
    </row>
    <row r="9973" spans="18:20" x14ac:dyDescent="0.45">
      <c r="R9973" s="2">
        <v>116.49</v>
      </c>
      <c r="S9973" s="2">
        <v>1.4051800000000001</v>
      </c>
      <c r="T9973" s="2">
        <v>1.561326</v>
      </c>
    </row>
    <row r="9974" spans="18:20" x14ac:dyDescent="0.45">
      <c r="R9974" s="2">
        <v>116.5</v>
      </c>
      <c r="S9974" s="2">
        <v>1.4060900000000001</v>
      </c>
      <c r="T9974" s="2">
        <v>1.5629299999999999</v>
      </c>
    </row>
    <row r="9975" spans="18:20" x14ac:dyDescent="0.45">
      <c r="R9975" s="2">
        <v>116.51</v>
      </c>
      <c r="S9975" s="2">
        <v>1.407</v>
      </c>
      <c r="T9975" s="2">
        <v>1.5645340000000001</v>
      </c>
    </row>
    <row r="9976" spans="18:20" x14ac:dyDescent="0.45">
      <c r="R9976" s="2">
        <v>116.52</v>
      </c>
      <c r="S9976" s="2">
        <v>1.40791</v>
      </c>
      <c r="T9976" s="2">
        <v>1.566138</v>
      </c>
    </row>
    <row r="9977" spans="18:20" x14ac:dyDescent="0.45">
      <c r="R9977" s="2">
        <v>116.53</v>
      </c>
      <c r="S9977" s="2">
        <v>1.4088210000000001</v>
      </c>
      <c r="T9977" s="2">
        <v>1.5677410000000001</v>
      </c>
    </row>
    <row r="9978" spans="18:20" x14ac:dyDescent="0.45">
      <c r="R9978" s="2">
        <v>116.54</v>
      </c>
      <c r="S9978" s="2">
        <v>1.4097310000000001</v>
      </c>
      <c r="T9978" s="2">
        <v>1.569345</v>
      </c>
    </row>
    <row r="9979" spans="18:20" x14ac:dyDescent="0.45">
      <c r="R9979" s="2">
        <v>116.55</v>
      </c>
      <c r="S9979" s="2">
        <v>1.410641</v>
      </c>
      <c r="T9979" s="2">
        <v>1.5709489999999999</v>
      </c>
    </row>
    <row r="9980" spans="18:20" x14ac:dyDescent="0.45">
      <c r="R9980" s="2">
        <v>116.56</v>
      </c>
      <c r="S9980" s="2">
        <v>1.411551</v>
      </c>
      <c r="T9980" s="2">
        <v>1.5725530000000001</v>
      </c>
    </row>
    <row r="9981" spans="18:20" x14ac:dyDescent="0.45">
      <c r="R9981" s="2">
        <v>116.57</v>
      </c>
      <c r="S9981" s="2">
        <v>1.412461</v>
      </c>
      <c r="T9981" s="2">
        <v>1.574157</v>
      </c>
    </row>
    <row r="9982" spans="18:20" x14ac:dyDescent="0.45">
      <c r="R9982" s="2">
        <v>116.58</v>
      </c>
      <c r="S9982" s="2">
        <v>1.4133720000000001</v>
      </c>
      <c r="T9982" s="2">
        <v>1.57576</v>
      </c>
    </row>
    <row r="9983" spans="18:20" x14ac:dyDescent="0.45">
      <c r="R9983" s="2">
        <v>116.59</v>
      </c>
      <c r="S9983" s="2">
        <v>1.414282</v>
      </c>
      <c r="T9983" s="2">
        <v>1.577364</v>
      </c>
    </row>
    <row r="9984" spans="18:20" x14ac:dyDescent="0.45">
      <c r="R9984" s="2">
        <v>116.6</v>
      </c>
      <c r="S9984" s="2">
        <v>1.415192</v>
      </c>
      <c r="T9984" s="2">
        <v>1.5789679999999999</v>
      </c>
    </row>
    <row r="9985" spans="18:20" x14ac:dyDescent="0.45">
      <c r="R9985" s="2">
        <v>116.61</v>
      </c>
      <c r="S9985" s="2">
        <v>1.416102</v>
      </c>
      <c r="T9985" s="2">
        <v>1.5805720000000001</v>
      </c>
    </row>
    <row r="9986" spans="18:20" x14ac:dyDescent="0.45">
      <c r="R9986" s="2">
        <v>116.62</v>
      </c>
      <c r="S9986" s="2">
        <v>1.4170119999999999</v>
      </c>
      <c r="T9986" s="2">
        <v>1.582176</v>
      </c>
    </row>
    <row r="9987" spans="18:20" x14ac:dyDescent="0.45">
      <c r="R9987" s="2">
        <v>116.63</v>
      </c>
      <c r="S9987" s="2">
        <v>1.417923</v>
      </c>
      <c r="T9987" s="2">
        <v>1.583779</v>
      </c>
    </row>
    <row r="9988" spans="18:20" x14ac:dyDescent="0.45">
      <c r="R9988" s="2">
        <v>116.64</v>
      </c>
      <c r="S9988" s="2">
        <v>1.418833</v>
      </c>
      <c r="T9988" s="2">
        <v>1.585383</v>
      </c>
    </row>
    <row r="9989" spans="18:20" x14ac:dyDescent="0.45">
      <c r="R9989" s="2">
        <v>116.65</v>
      </c>
      <c r="S9989" s="2">
        <v>1.419743</v>
      </c>
      <c r="T9989" s="2">
        <v>1.5869869999999999</v>
      </c>
    </row>
    <row r="9990" spans="18:20" x14ac:dyDescent="0.45">
      <c r="R9990" s="2">
        <v>116.66</v>
      </c>
      <c r="S9990" s="2">
        <v>1.4206529999999999</v>
      </c>
      <c r="T9990" s="2">
        <v>1.5885910000000001</v>
      </c>
    </row>
    <row r="9991" spans="18:20" x14ac:dyDescent="0.45">
      <c r="R9991" s="2">
        <v>116.67</v>
      </c>
      <c r="S9991" s="2">
        <v>1.4215629999999999</v>
      </c>
      <c r="T9991" s="2">
        <v>1.590195</v>
      </c>
    </row>
    <row r="9992" spans="18:20" x14ac:dyDescent="0.45">
      <c r="R9992" s="2">
        <v>116.68</v>
      </c>
      <c r="S9992" s="2">
        <v>1.422474</v>
      </c>
      <c r="T9992" s="2">
        <v>1.591798</v>
      </c>
    </row>
    <row r="9993" spans="18:20" x14ac:dyDescent="0.45">
      <c r="R9993" s="2">
        <v>116.69</v>
      </c>
      <c r="S9993" s="2">
        <v>1.423384</v>
      </c>
      <c r="T9993" s="2">
        <v>1.593402</v>
      </c>
    </row>
    <row r="9994" spans="18:20" x14ac:dyDescent="0.45">
      <c r="R9994" s="2">
        <v>116.7</v>
      </c>
      <c r="S9994" s="2">
        <v>1.4242939999999999</v>
      </c>
      <c r="T9994" s="2">
        <v>1.5950059999999999</v>
      </c>
    </row>
    <row r="9995" spans="18:20" x14ac:dyDescent="0.45">
      <c r="R9995" s="2">
        <v>116.71</v>
      </c>
      <c r="S9995" s="2">
        <v>1.4252039999999999</v>
      </c>
      <c r="T9995" s="2">
        <v>1.5966100000000001</v>
      </c>
    </row>
    <row r="9996" spans="18:20" x14ac:dyDescent="0.45">
      <c r="R9996" s="2">
        <v>116.72</v>
      </c>
      <c r="S9996" s="2">
        <v>1.4261140000000001</v>
      </c>
      <c r="T9996" s="2">
        <v>1.598214</v>
      </c>
    </row>
    <row r="9997" spans="18:20" x14ac:dyDescent="0.45">
      <c r="R9997" s="2">
        <v>116.73</v>
      </c>
      <c r="S9997" s="2">
        <v>1.427025</v>
      </c>
      <c r="T9997" s="2">
        <v>1.599817</v>
      </c>
    </row>
    <row r="9998" spans="18:20" x14ac:dyDescent="0.45">
      <c r="R9998" s="2">
        <v>116.74</v>
      </c>
      <c r="S9998" s="2">
        <v>1.427935</v>
      </c>
      <c r="T9998" s="2">
        <v>1.601421</v>
      </c>
    </row>
    <row r="9999" spans="18:20" x14ac:dyDescent="0.45">
      <c r="R9999" s="2">
        <v>116.75</v>
      </c>
      <c r="S9999" s="2">
        <v>1.4288449999999999</v>
      </c>
      <c r="T9999" s="2">
        <v>1.6030249999999999</v>
      </c>
    </row>
    <row r="10000" spans="18:20" x14ac:dyDescent="0.45">
      <c r="R10000" s="2">
        <v>116.76</v>
      </c>
      <c r="S10000" s="2">
        <v>1.4297550000000001</v>
      </c>
      <c r="T10000" s="2">
        <v>1.6046290000000001</v>
      </c>
    </row>
    <row r="10001" spans="18:20" x14ac:dyDescent="0.45">
      <c r="R10001" s="2">
        <v>116.77</v>
      </c>
      <c r="S10001" s="2">
        <v>1.4306650000000001</v>
      </c>
      <c r="T10001" s="2">
        <v>1.606233</v>
      </c>
    </row>
    <row r="10002" spans="18:20" x14ac:dyDescent="0.45">
      <c r="R10002" s="2">
        <v>116.78</v>
      </c>
      <c r="S10002" s="2">
        <v>1.431576</v>
      </c>
      <c r="T10002" s="2">
        <v>1.607836</v>
      </c>
    </row>
    <row r="10003" spans="18:20" x14ac:dyDescent="0.45">
      <c r="R10003" s="2">
        <v>116.79</v>
      </c>
      <c r="S10003" s="2">
        <v>1.4324859999999999</v>
      </c>
      <c r="T10003" s="2">
        <v>1.60944</v>
      </c>
    </row>
    <row r="10004" spans="18:20" x14ac:dyDescent="0.45">
      <c r="R10004" s="2">
        <v>116.8</v>
      </c>
      <c r="S10004" s="2">
        <v>1.4333959999999999</v>
      </c>
      <c r="T10004" s="2">
        <v>1.6110439999999999</v>
      </c>
    </row>
    <row r="10005" spans="18:20" x14ac:dyDescent="0.45">
      <c r="R10005" s="2">
        <v>116.81</v>
      </c>
      <c r="S10005" s="2">
        <v>1.4343060000000001</v>
      </c>
      <c r="T10005" s="2">
        <v>1.6126480000000001</v>
      </c>
    </row>
    <row r="10006" spans="18:20" x14ac:dyDescent="0.45">
      <c r="R10006" s="2">
        <v>116.82</v>
      </c>
      <c r="S10006" s="2">
        <v>1.435216</v>
      </c>
      <c r="T10006" s="2">
        <v>1.614252</v>
      </c>
    </row>
    <row r="10007" spans="18:20" x14ac:dyDescent="0.45">
      <c r="R10007" s="2">
        <v>116.83</v>
      </c>
      <c r="S10007" s="2">
        <v>1.4361269999999999</v>
      </c>
      <c r="T10007" s="2">
        <v>1.615855</v>
      </c>
    </row>
    <row r="10008" spans="18:20" x14ac:dyDescent="0.45">
      <c r="R10008" s="2">
        <v>116.84</v>
      </c>
      <c r="S10008" s="2">
        <v>1.4370369999999999</v>
      </c>
      <c r="T10008" s="2">
        <v>1.617459</v>
      </c>
    </row>
    <row r="10009" spans="18:20" x14ac:dyDescent="0.45">
      <c r="R10009" s="2">
        <v>116.85</v>
      </c>
      <c r="S10009" s="2">
        <v>1.4379470000000001</v>
      </c>
      <c r="T10009" s="2">
        <v>1.6190629999999999</v>
      </c>
    </row>
    <row r="10010" spans="18:20" x14ac:dyDescent="0.45">
      <c r="R10010" s="2">
        <v>116.86</v>
      </c>
      <c r="S10010" s="2">
        <v>1.4388570000000001</v>
      </c>
      <c r="T10010" s="2">
        <v>1.6206670000000001</v>
      </c>
    </row>
    <row r="10011" spans="18:20" x14ac:dyDescent="0.45">
      <c r="R10011" s="2">
        <v>116.87</v>
      </c>
      <c r="S10011" s="2">
        <v>1.439767</v>
      </c>
      <c r="T10011" s="2">
        <v>1.622271</v>
      </c>
    </row>
    <row r="10012" spans="18:20" x14ac:dyDescent="0.45">
      <c r="R10012" s="2">
        <v>116.88</v>
      </c>
      <c r="S10012" s="2">
        <v>1.4406779999999999</v>
      </c>
      <c r="T10012" s="2">
        <v>1.623874</v>
      </c>
    </row>
    <row r="10013" spans="18:20" x14ac:dyDescent="0.45">
      <c r="R10013" s="2">
        <v>116.89</v>
      </c>
      <c r="S10013" s="2">
        <v>1.4415880000000001</v>
      </c>
      <c r="T10013" s="2">
        <v>1.625478</v>
      </c>
    </row>
    <row r="10014" spans="18:20" x14ac:dyDescent="0.45">
      <c r="R10014" s="2">
        <v>116.9</v>
      </c>
      <c r="S10014" s="2">
        <v>1.4424980000000001</v>
      </c>
      <c r="T10014" s="2">
        <v>1.6270819999999999</v>
      </c>
    </row>
    <row r="10015" spans="18:20" x14ac:dyDescent="0.45">
      <c r="R10015" s="2">
        <v>116.91</v>
      </c>
      <c r="S10015" s="2">
        <v>1.443408</v>
      </c>
      <c r="T10015" s="2">
        <v>1.6286860000000001</v>
      </c>
    </row>
    <row r="10016" spans="18:20" x14ac:dyDescent="0.45">
      <c r="R10016" s="2">
        <v>116.92</v>
      </c>
      <c r="S10016" s="2">
        <v>1.444318</v>
      </c>
      <c r="T10016" s="2">
        <v>1.63029</v>
      </c>
    </row>
    <row r="10017" spans="18:20" x14ac:dyDescent="0.45">
      <c r="R10017" s="2">
        <v>116.93</v>
      </c>
      <c r="S10017" s="2">
        <v>1.4452290000000001</v>
      </c>
      <c r="T10017" s="2">
        <v>1.631893</v>
      </c>
    </row>
    <row r="10018" spans="18:20" x14ac:dyDescent="0.45">
      <c r="R10018" s="2">
        <v>116.94</v>
      </c>
      <c r="S10018" s="2">
        <v>1.4461390000000001</v>
      </c>
      <c r="T10018" s="2">
        <v>1.633497</v>
      </c>
    </row>
    <row r="10019" spans="18:20" x14ac:dyDescent="0.45">
      <c r="R10019" s="2">
        <v>116.95</v>
      </c>
      <c r="S10019" s="2">
        <v>1.447049</v>
      </c>
      <c r="T10019" s="2">
        <v>1.6351009999999999</v>
      </c>
    </row>
    <row r="10020" spans="18:20" x14ac:dyDescent="0.45">
      <c r="R10020" s="2">
        <v>116.96</v>
      </c>
      <c r="S10020" s="2">
        <v>1.447959</v>
      </c>
      <c r="T10020" s="2">
        <v>1.6367050000000001</v>
      </c>
    </row>
    <row r="10021" spans="18:20" x14ac:dyDescent="0.45">
      <c r="R10021" s="2">
        <v>116.97</v>
      </c>
      <c r="S10021" s="2">
        <v>1.448869</v>
      </c>
      <c r="T10021" s="2">
        <v>1.638309</v>
      </c>
    </row>
    <row r="10022" spans="18:20" x14ac:dyDescent="0.45">
      <c r="R10022" s="2">
        <v>116.98</v>
      </c>
      <c r="S10022" s="2">
        <v>1.4497800000000001</v>
      </c>
      <c r="T10022" s="2">
        <v>1.639912</v>
      </c>
    </row>
    <row r="10023" spans="18:20" x14ac:dyDescent="0.45">
      <c r="R10023" s="2">
        <v>116.99</v>
      </c>
      <c r="S10023" s="2">
        <v>1.45069</v>
      </c>
      <c r="T10023" s="2">
        <v>1.641516</v>
      </c>
    </row>
    <row r="10024" spans="18:20" x14ac:dyDescent="0.45">
      <c r="R10024" s="2">
        <v>117</v>
      </c>
      <c r="S10024" s="2">
        <v>1.4516</v>
      </c>
      <c r="T10024" s="2">
        <v>1.6431199999999999</v>
      </c>
    </row>
    <row r="10025" spans="18:20" x14ac:dyDescent="0.45">
      <c r="R10025" s="2">
        <v>117.01</v>
      </c>
      <c r="S10025" s="2">
        <v>1.452556</v>
      </c>
      <c r="T10025" s="2">
        <v>1.6448970000000001</v>
      </c>
    </row>
    <row r="10026" spans="18:20" x14ac:dyDescent="0.45">
      <c r="R10026" s="2">
        <v>117.02</v>
      </c>
      <c r="S10026" s="2">
        <v>1.4535119999999999</v>
      </c>
      <c r="T10026" s="2">
        <v>1.6466750000000001</v>
      </c>
    </row>
    <row r="10027" spans="18:20" x14ac:dyDescent="0.45">
      <c r="R10027" s="2">
        <v>117.03</v>
      </c>
      <c r="S10027" s="2">
        <v>1.454467</v>
      </c>
      <c r="T10027" s="2">
        <v>1.648452</v>
      </c>
    </row>
    <row r="10028" spans="18:20" x14ac:dyDescent="0.45">
      <c r="R10028" s="2">
        <v>117.04</v>
      </c>
      <c r="S10028" s="2">
        <v>1.4554229999999999</v>
      </c>
      <c r="T10028" s="2">
        <v>1.6502300000000001</v>
      </c>
    </row>
    <row r="10029" spans="18:20" x14ac:dyDescent="0.45">
      <c r="R10029" s="2">
        <v>117.05</v>
      </c>
      <c r="S10029" s="2">
        <v>1.4563790000000001</v>
      </c>
      <c r="T10029" s="2">
        <v>1.652007</v>
      </c>
    </row>
    <row r="10030" spans="18:20" x14ac:dyDescent="0.45">
      <c r="R10030" s="2">
        <v>117.06</v>
      </c>
      <c r="S10030" s="2">
        <v>1.457335</v>
      </c>
      <c r="T10030" s="2">
        <v>1.6537839999999999</v>
      </c>
    </row>
    <row r="10031" spans="18:20" x14ac:dyDescent="0.45">
      <c r="R10031" s="2">
        <v>117.07</v>
      </c>
      <c r="S10031" s="2">
        <v>1.458291</v>
      </c>
      <c r="T10031" s="2">
        <v>1.655562</v>
      </c>
    </row>
    <row r="10032" spans="18:20" x14ac:dyDescent="0.45">
      <c r="R10032" s="2">
        <v>117.08</v>
      </c>
      <c r="S10032" s="2">
        <v>1.459246</v>
      </c>
      <c r="T10032" s="2">
        <v>1.6573389999999999</v>
      </c>
    </row>
    <row r="10033" spans="18:20" x14ac:dyDescent="0.45">
      <c r="R10033" s="2">
        <v>117.09</v>
      </c>
      <c r="S10033" s="2">
        <v>1.460202</v>
      </c>
      <c r="T10033" s="2">
        <v>1.659117</v>
      </c>
    </row>
    <row r="10034" spans="18:20" x14ac:dyDescent="0.45">
      <c r="R10034" s="2">
        <v>117.1</v>
      </c>
      <c r="S10034" s="2">
        <v>1.461158</v>
      </c>
      <c r="T10034" s="2">
        <v>1.6608940000000001</v>
      </c>
    </row>
    <row r="10035" spans="18:20" x14ac:dyDescent="0.45">
      <c r="R10035" s="2">
        <v>117.11</v>
      </c>
      <c r="S10035" s="2">
        <v>1.4621139999999999</v>
      </c>
      <c r="T10035" s="2">
        <v>1.662671</v>
      </c>
    </row>
    <row r="10036" spans="18:20" x14ac:dyDescent="0.45">
      <c r="R10036" s="2">
        <v>117.12</v>
      </c>
      <c r="S10036" s="2">
        <v>1.4630700000000001</v>
      </c>
      <c r="T10036" s="2">
        <v>1.6644490000000001</v>
      </c>
    </row>
    <row r="10037" spans="18:20" x14ac:dyDescent="0.45">
      <c r="R10037" s="2">
        <v>117.13</v>
      </c>
      <c r="S10037" s="2">
        <v>1.4640249999999999</v>
      </c>
      <c r="T10037" s="2">
        <v>1.666226</v>
      </c>
    </row>
    <row r="10038" spans="18:20" x14ac:dyDescent="0.45">
      <c r="R10038" s="2">
        <v>117.14</v>
      </c>
      <c r="S10038" s="2">
        <v>1.4649810000000001</v>
      </c>
      <c r="T10038" s="2">
        <v>1.668004</v>
      </c>
    </row>
    <row r="10039" spans="18:20" x14ac:dyDescent="0.45">
      <c r="R10039" s="2">
        <v>117.15</v>
      </c>
      <c r="S10039" s="2">
        <v>1.465937</v>
      </c>
      <c r="T10039" s="2">
        <v>1.669781</v>
      </c>
    </row>
    <row r="10040" spans="18:20" x14ac:dyDescent="0.45">
      <c r="R10040" s="2">
        <v>117.16</v>
      </c>
      <c r="S10040" s="2">
        <v>1.466893</v>
      </c>
      <c r="T10040" s="2">
        <v>1.6715580000000001</v>
      </c>
    </row>
    <row r="10041" spans="18:20" x14ac:dyDescent="0.45">
      <c r="R10041" s="2">
        <v>117.17</v>
      </c>
      <c r="S10041" s="2">
        <v>1.467849</v>
      </c>
      <c r="T10041" s="2">
        <v>1.6733359999999999</v>
      </c>
    </row>
    <row r="10042" spans="18:20" x14ac:dyDescent="0.45">
      <c r="R10042" s="2">
        <v>117.18</v>
      </c>
      <c r="S10042" s="2">
        <v>1.468804</v>
      </c>
      <c r="T10042" s="2">
        <v>1.6751130000000001</v>
      </c>
    </row>
    <row r="10043" spans="18:20" x14ac:dyDescent="0.45">
      <c r="R10043" s="2">
        <v>117.19</v>
      </c>
      <c r="S10043" s="2">
        <v>1.46976</v>
      </c>
      <c r="T10043" s="2">
        <v>1.6768909999999999</v>
      </c>
    </row>
    <row r="10044" spans="18:20" x14ac:dyDescent="0.45">
      <c r="R10044" s="2">
        <v>117.2</v>
      </c>
      <c r="S10044" s="2">
        <v>1.4707159999999999</v>
      </c>
      <c r="T10044" s="2">
        <v>1.678668</v>
      </c>
    </row>
    <row r="10045" spans="18:20" x14ac:dyDescent="0.45">
      <c r="R10045" s="2">
        <v>117.21</v>
      </c>
      <c r="S10045" s="2">
        <v>1.4716720000000001</v>
      </c>
      <c r="T10045" s="2">
        <v>1.680445</v>
      </c>
    </row>
    <row r="10046" spans="18:20" x14ac:dyDescent="0.45">
      <c r="R10046" s="2">
        <v>117.22</v>
      </c>
      <c r="S10046" s="2">
        <v>1.472628</v>
      </c>
      <c r="T10046" s="2">
        <v>1.682223</v>
      </c>
    </row>
    <row r="10047" spans="18:20" x14ac:dyDescent="0.45">
      <c r="R10047" s="2">
        <v>117.23</v>
      </c>
      <c r="S10047" s="2">
        <v>1.4735830000000001</v>
      </c>
      <c r="T10047" s="2">
        <v>1.6839999999999999</v>
      </c>
    </row>
    <row r="10048" spans="18:20" x14ac:dyDescent="0.45">
      <c r="R10048" s="2">
        <v>117.24</v>
      </c>
      <c r="S10048" s="2">
        <v>1.474539</v>
      </c>
      <c r="T10048" s="2">
        <v>1.685778</v>
      </c>
    </row>
    <row r="10049" spans="18:20" x14ac:dyDescent="0.45">
      <c r="R10049" s="2">
        <v>117.25</v>
      </c>
      <c r="S10049" s="2">
        <v>1.475495</v>
      </c>
      <c r="T10049" s="2">
        <v>1.6875549999999999</v>
      </c>
    </row>
    <row r="10050" spans="18:20" x14ac:dyDescent="0.45">
      <c r="R10050" s="2">
        <v>117.26</v>
      </c>
      <c r="S10050" s="2">
        <v>1.476451</v>
      </c>
      <c r="T10050" s="2">
        <v>1.6893320000000001</v>
      </c>
    </row>
    <row r="10051" spans="18:20" x14ac:dyDescent="0.45">
      <c r="R10051" s="2">
        <v>117.27</v>
      </c>
      <c r="S10051" s="2">
        <v>1.4774069999999999</v>
      </c>
      <c r="T10051" s="2">
        <v>1.6911099999999999</v>
      </c>
    </row>
    <row r="10052" spans="18:20" x14ac:dyDescent="0.45">
      <c r="R10052" s="2">
        <v>117.28</v>
      </c>
      <c r="S10052" s="2">
        <v>1.478362</v>
      </c>
      <c r="T10052" s="2">
        <v>1.692887</v>
      </c>
    </row>
    <row r="10053" spans="18:20" x14ac:dyDescent="0.45">
      <c r="R10053" s="2">
        <v>117.29</v>
      </c>
      <c r="S10053" s="2">
        <v>1.4793179999999999</v>
      </c>
      <c r="T10053" s="2">
        <v>1.6946650000000001</v>
      </c>
    </row>
    <row r="10054" spans="18:20" x14ac:dyDescent="0.45">
      <c r="R10054" s="2">
        <v>117.3</v>
      </c>
      <c r="S10054" s="2">
        <v>1.4802740000000001</v>
      </c>
      <c r="T10054" s="2">
        <v>1.696442</v>
      </c>
    </row>
    <row r="10055" spans="18:20" x14ac:dyDescent="0.45">
      <c r="R10055" s="2">
        <v>117.31</v>
      </c>
      <c r="S10055" s="2">
        <v>1.48123</v>
      </c>
      <c r="T10055" s="2">
        <v>1.6982189999999999</v>
      </c>
    </row>
    <row r="10056" spans="18:20" x14ac:dyDescent="0.45">
      <c r="R10056" s="2">
        <v>117.32</v>
      </c>
      <c r="S10056" s="2">
        <v>1.482186</v>
      </c>
      <c r="T10056" s="2">
        <v>1.699997</v>
      </c>
    </row>
    <row r="10057" spans="18:20" x14ac:dyDescent="0.45">
      <c r="R10057" s="2">
        <v>117.33</v>
      </c>
      <c r="S10057" s="2">
        <v>1.483141</v>
      </c>
      <c r="T10057" s="2">
        <v>1.7017739999999999</v>
      </c>
    </row>
    <row r="10058" spans="18:20" x14ac:dyDescent="0.45">
      <c r="R10058" s="2">
        <v>117.34</v>
      </c>
      <c r="S10058" s="2">
        <v>1.484097</v>
      </c>
      <c r="T10058" s="2">
        <v>1.703552</v>
      </c>
    </row>
    <row r="10059" spans="18:20" x14ac:dyDescent="0.45">
      <c r="R10059" s="2">
        <v>117.35</v>
      </c>
      <c r="S10059" s="2">
        <v>1.485053</v>
      </c>
      <c r="T10059" s="2">
        <v>1.7053290000000001</v>
      </c>
    </row>
    <row r="10060" spans="18:20" x14ac:dyDescent="0.45">
      <c r="R10060" s="2">
        <v>117.36</v>
      </c>
      <c r="S10060" s="2">
        <v>1.4860089999999999</v>
      </c>
      <c r="T10060" s="2">
        <v>1.707106</v>
      </c>
    </row>
    <row r="10061" spans="18:20" x14ac:dyDescent="0.45">
      <c r="R10061" s="2">
        <v>117.37</v>
      </c>
      <c r="S10061" s="2">
        <v>1.4869650000000001</v>
      </c>
      <c r="T10061" s="2">
        <v>1.7088840000000001</v>
      </c>
    </row>
    <row r="10062" spans="18:20" x14ac:dyDescent="0.45">
      <c r="R10062" s="2">
        <v>117.38</v>
      </c>
      <c r="S10062" s="2">
        <v>1.4879199999999999</v>
      </c>
      <c r="T10062" s="2">
        <v>1.710661</v>
      </c>
    </row>
    <row r="10063" spans="18:20" x14ac:dyDescent="0.45">
      <c r="R10063" s="2">
        <v>117.39</v>
      </c>
      <c r="S10063" s="2">
        <v>1.4888760000000001</v>
      </c>
      <c r="T10063" s="2">
        <v>1.712439</v>
      </c>
    </row>
    <row r="10064" spans="18:20" x14ac:dyDescent="0.45">
      <c r="R10064" s="2">
        <v>117.4</v>
      </c>
      <c r="S10064" s="2">
        <v>1.489832</v>
      </c>
      <c r="T10064" s="2">
        <v>1.714216</v>
      </c>
    </row>
    <row r="10065" spans="18:20" x14ac:dyDescent="0.45">
      <c r="R10065" s="2">
        <v>117.41</v>
      </c>
      <c r="S10065" s="2">
        <v>1.490788</v>
      </c>
      <c r="T10065" s="2">
        <v>1.7159930000000001</v>
      </c>
    </row>
    <row r="10066" spans="18:20" x14ac:dyDescent="0.45">
      <c r="R10066" s="2">
        <v>117.42</v>
      </c>
      <c r="S10066" s="2">
        <v>1.491744</v>
      </c>
      <c r="T10066" s="2">
        <v>1.7177709999999999</v>
      </c>
    </row>
    <row r="10067" spans="18:20" x14ac:dyDescent="0.45">
      <c r="R10067" s="2">
        <v>117.43</v>
      </c>
      <c r="S10067" s="2">
        <v>1.492699</v>
      </c>
      <c r="T10067" s="2">
        <v>1.7195480000000001</v>
      </c>
    </row>
    <row r="10068" spans="18:20" x14ac:dyDescent="0.45">
      <c r="R10068" s="2">
        <v>117.44</v>
      </c>
      <c r="S10068" s="2">
        <v>1.493655</v>
      </c>
      <c r="T10068" s="2">
        <v>1.7213259999999999</v>
      </c>
    </row>
    <row r="10069" spans="18:20" x14ac:dyDescent="0.45">
      <c r="R10069" s="2">
        <v>117.45</v>
      </c>
      <c r="S10069" s="2">
        <v>1.4946109999999999</v>
      </c>
      <c r="T10069" s="2">
        <v>1.7231030000000001</v>
      </c>
    </row>
    <row r="10070" spans="18:20" x14ac:dyDescent="0.45">
      <c r="R10070" s="2">
        <v>117.46</v>
      </c>
      <c r="S10070" s="2">
        <v>1.4955670000000001</v>
      </c>
      <c r="T10070" s="2">
        <v>1.72488</v>
      </c>
    </row>
    <row r="10071" spans="18:20" x14ac:dyDescent="0.45">
      <c r="R10071" s="2">
        <v>117.47</v>
      </c>
      <c r="S10071" s="2">
        <v>1.496523</v>
      </c>
      <c r="T10071" s="2">
        <v>1.726658</v>
      </c>
    </row>
    <row r="10072" spans="18:20" x14ac:dyDescent="0.45">
      <c r="R10072" s="2">
        <v>117.48</v>
      </c>
      <c r="S10072" s="2">
        <v>1.4974780000000001</v>
      </c>
      <c r="T10072" s="2">
        <v>1.7284349999999999</v>
      </c>
    </row>
    <row r="10073" spans="18:20" x14ac:dyDescent="0.45">
      <c r="R10073" s="2">
        <v>117.49</v>
      </c>
      <c r="S10073" s="2">
        <v>1.498434</v>
      </c>
      <c r="T10073" s="2">
        <v>1.730213</v>
      </c>
    </row>
    <row r="10074" spans="18:20" x14ac:dyDescent="0.45">
      <c r="R10074" s="2">
        <v>117.5</v>
      </c>
      <c r="S10074" s="2">
        <v>1.49939</v>
      </c>
      <c r="T10074" s="2">
        <v>1.7319899999999999</v>
      </c>
    </row>
    <row r="10075" spans="18:20" x14ac:dyDescent="0.45">
      <c r="R10075" s="2">
        <v>117.51</v>
      </c>
      <c r="S10075" s="2">
        <v>1.500346</v>
      </c>
      <c r="T10075" s="2">
        <v>1.7337670000000001</v>
      </c>
    </row>
    <row r="10076" spans="18:20" x14ac:dyDescent="0.45">
      <c r="R10076" s="2">
        <v>117.52</v>
      </c>
      <c r="S10076" s="2">
        <v>1.5013019999999999</v>
      </c>
      <c r="T10076" s="2">
        <v>1.7355449999999999</v>
      </c>
    </row>
    <row r="10077" spans="18:20" x14ac:dyDescent="0.45">
      <c r="R10077" s="2">
        <v>117.53</v>
      </c>
      <c r="S10077" s="2">
        <v>1.502257</v>
      </c>
      <c r="T10077" s="2">
        <v>1.737322</v>
      </c>
    </row>
    <row r="10078" spans="18:20" x14ac:dyDescent="0.45">
      <c r="R10078" s="2">
        <v>117.54</v>
      </c>
      <c r="S10078" s="2">
        <v>1.5032129999999999</v>
      </c>
      <c r="T10078" s="2">
        <v>1.7391000000000001</v>
      </c>
    </row>
    <row r="10079" spans="18:20" x14ac:dyDescent="0.45">
      <c r="R10079" s="2">
        <v>117.55</v>
      </c>
      <c r="S10079" s="2">
        <v>1.5041690000000001</v>
      </c>
      <c r="T10079" s="2">
        <v>1.740877</v>
      </c>
    </row>
    <row r="10080" spans="18:20" x14ac:dyDescent="0.45">
      <c r="R10080" s="2">
        <v>117.56</v>
      </c>
      <c r="S10080" s="2">
        <v>1.505125</v>
      </c>
      <c r="T10080" s="2">
        <v>1.7426539999999999</v>
      </c>
    </row>
    <row r="10081" spans="18:20" x14ac:dyDescent="0.45">
      <c r="R10081" s="2">
        <v>117.57</v>
      </c>
      <c r="S10081" s="2">
        <v>1.506081</v>
      </c>
      <c r="T10081" s="2">
        <v>1.744432</v>
      </c>
    </row>
    <row r="10082" spans="18:20" x14ac:dyDescent="0.45">
      <c r="R10082" s="2">
        <v>117.58</v>
      </c>
      <c r="S10082" s="2">
        <v>1.507036</v>
      </c>
      <c r="T10082" s="2">
        <v>1.7462089999999999</v>
      </c>
    </row>
    <row r="10083" spans="18:20" x14ac:dyDescent="0.45">
      <c r="R10083" s="2">
        <v>117.59</v>
      </c>
      <c r="S10083" s="2">
        <v>1.507992</v>
      </c>
      <c r="T10083" s="2">
        <v>1.747987</v>
      </c>
    </row>
    <row r="10084" spans="18:20" x14ac:dyDescent="0.45">
      <c r="R10084" s="2">
        <v>117.6</v>
      </c>
      <c r="S10084" s="2">
        <v>1.508948</v>
      </c>
      <c r="T10084" s="2">
        <v>1.7497640000000001</v>
      </c>
    </row>
    <row r="10085" spans="18:20" x14ac:dyDescent="0.45">
      <c r="R10085" s="2">
        <v>117.61</v>
      </c>
      <c r="S10085" s="2">
        <v>1.5099039999999999</v>
      </c>
      <c r="T10085" s="2">
        <v>1.751541</v>
      </c>
    </row>
    <row r="10086" spans="18:20" x14ac:dyDescent="0.45">
      <c r="R10086" s="2">
        <v>117.62</v>
      </c>
      <c r="S10086" s="2">
        <v>1.5108600000000001</v>
      </c>
      <c r="T10086" s="2">
        <v>1.7533190000000001</v>
      </c>
    </row>
    <row r="10087" spans="18:20" x14ac:dyDescent="0.45">
      <c r="R10087" s="2">
        <v>117.63</v>
      </c>
      <c r="S10087" s="2">
        <v>1.5118149999999999</v>
      </c>
      <c r="T10087" s="2">
        <v>1.755096</v>
      </c>
    </row>
    <row r="10088" spans="18:20" x14ac:dyDescent="0.45">
      <c r="R10088" s="2">
        <v>117.64</v>
      </c>
      <c r="S10088" s="2">
        <v>1.5127710000000001</v>
      </c>
      <c r="T10088" s="2">
        <v>1.756874</v>
      </c>
    </row>
    <row r="10089" spans="18:20" x14ac:dyDescent="0.45">
      <c r="R10089" s="2">
        <v>117.65</v>
      </c>
      <c r="S10089" s="2">
        <v>1.513727</v>
      </c>
      <c r="T10089" s="2">
        <v>1.758651</v>
      </c>
    </row>
    <row r="10090" spans="18:20" x14ac:dyDescent="0.45">
      <c r="R10090" s="2">
        <v>117.66</v>
      </c>
      <c r="S10090" s="2">
        <v>1.514683</v>
      </c>
      <c r="T10090" s="2">
        <v>1.7604280000000001</v>
      </c>
    </row>
    <row r="10091" spans="18:20" x14ac:dyDescent="0.45">
      <c r="R10091" s="2">
        <v>117.67</v>
      </c>
      <c r="S10091" s="2">
        <v>1.515639</v>
      </c>
      <c r="T10091" s="2">
        <v>1.7622059999999999</v>
      </c>
    </row>
    <row r="10092" spans="18:20" x14ac:dyDescent="0.45">
      <c r="R10092" s="2">
        <v>117.68</v>
      </c>
      <c r="S10092" s="2">
        <v>1.516594</v>
      </c>
      <c r="T10092" s="2">
        <v>1.7639830000000001</v>
      </c>
    </row>
    <row r="10093" spans="18:20" x14ac:dyDescent="0.45">
      <c r="R10093" s="2">
        <v>117.69</v>
      </c>
      <c r="S10093" s="2">
        <v>1.51755</v>
      </c>
      <c r="T10093" s="2">
        <v>1.7657609999999999</v>
      </c>
    </row>
    <row r="10094" spans="18:20" x14ac:dyDescent="0.45">
      <c r="R10094" s="2">
        <v>117.7</v>
      </c>
      <c r="S10094" s="2">
        <v>1.5185059999999999</v>
      </c>
      <c r="T10094" s="2">
        <v>1.7675380000000001</v>
      </c>
    </row>
    <row r="10095" spans="18:20" x14ac:dyDescent="0.45">
      <c r="R10095" s="2">
        <v>117.71</v>
      </c>
      <c r="S10095" s="2">
        <v>1.5194620000000001</v>
      </c>
      <c r="T10095" s="2">
        <v>1.769315</v>
      </c>
    </row>
    <row r="10096" spans="18:20" x14ac:dyDescent="0.45">
      <c r="R10096" s="2">
        <v>117.72</v>
      </c>
      <c r="S10096" s="2">
        <v>1.520418</v>
      </c>
      <c r="T10096" s="2">
        <v>1.771093</v>
      </c>
    </row>
    <row r="10097" spans="18:20" x14ac:dyDescent="0.45">
      <c r="R10097" s="2">
        <v>117.73</v>
      </c>
      <c r="S10097" s="2">
        <v>1.5213730000000001</v>
      </c>
      <c r="T10097" s="2">
        <v>1.7728699999999999</v>
      </c>
    </row>
    <row r="10098" spans="18:20" x14ac:dyDescent="0.45">
      <c r="R10098" s="2">
        <v>117.74</v>
      </c>
      <c r="S10098" s="2">
        <v>1.522329</v>
      </c>
      <c r="T10098" s="2">
        <v>1.774648</v>
      </c>
    </row>
    <row r="10099" spans="18:20" x14ac:dyDescent="0.45">
      <c r="R10099" s="2">
        <v>117.75</v>
      </c>
      <c r="S10099" s="2">
        <v>1.523285</v>
      </c>
      <c r="T10099" s="2">
        <v>1.7764249999999999</v>
      </c>
    </row>
    <row r="10100" spans="18:20" x14ac:dyDescent="0.45">
      <c r="R10100" s="2">
        <v>117.76</v>
      </c>
      <c r="S10100" s="2">
        <v>1.524241</v>
      </c>
      <c r="T10100" s="2">
        <v>1.7782020000000001</v>
      </c>
    </row>
    <row r="10101" spans="18:20" x14ac:dyDescent="0.45">
      <c r="R10101" s="2">
        <v>117.77</v>
      </c>
      <c r="S10101" s="2">
        <v>1.5251969999999999</v>
      </c>
      <c r="T10101" s="2">
        <v>1.7799799999999999</v>
      </c>
    </row>
    <row r="10102" spans="18:20" x14ac:dyDescent="0.45">
      <c r="R10102" s="2">
        <v>117.78</v>
      </c>
      <c r="S10102" s="2">
        <v>1.526152</v>
      </c>
      <c r="T10102" s="2">
        <v>1.781757</v>
      </c>
    </row>
    <row r="10103" spans="18:20" x14ac:dyDescent="0.45">
      <c r="R10103" s="2">
        <v>117.79</v>
      </c>
      <c r="S10103" s="2">
        <v>1.5271079999999999</v>
      </c>
      <c r="T10103" s="2">
        <v>1.7835350000000001</v>
      </c>
    </row>
    <row r="10104" spans="18:20" x14ac:dyDescent="0.45">
      <c r="R10104" s="2">
        <v>117.8</v>
      </c>
      <c r="S10104" s="2">
        <v>1.5280640000000001</v>
      </c>
      <c r="T10104" s="2">
        <v>1.785312</v>
      </c>
    </row>
    <row r="10105" spans="18:20" x14ac:dyDescent="0.45">
      <c r="R10105" s="2">
        <v>117.81</v>
      </c>
      <c r="S10105" s="2">
        <v>1.52902</v>
      </c>
      <c r="T10105" s="2">
        <v>1.7870889999999999</v>
      </c>
    </row>
    <row r="10106" spans="18:20" x14ac:dyDescent="0.45">
      <c r="R10106" s="2">
        <v>117.82</v>
      </c>
      <c r="S10106" s="2">
        <v>1.529976</v>
      </c>
      <c r="T10106" s="2">
        <v>1.788867</v>
      </c>
    </row>
    <row r="10107" spans="18:20" x14ac:dyDescent="0.45">
      <c r="R10107" s="2">
        <v>117.83</v>
      </c>
      <c r="S10107" s="2">
        <v>1.530931</v>
      </c>
      <c r="T10107" s="2">
        <v>1.7906439999999999</v>
      </c>
    </row>
    <row r="10108" spans="18:20" x14ac:dyDescent="0.45">
      <c r="R10108" s="2">
        <v>117.84</v>
      </c>
      <c r="S10108" s="2">
        <v>1.531887</v>
      </c>
      <c r="T10108" s="2">
        <v>1.792422</v>
      </c>
    </row>
    <row r="10109" spans="18:20" x14ac:dyDescent="0.45">
      <c r="R10109" s="2">
        <v>117.85</v>
      </c>
      <c r="S10109" s="2">
        <v>1.532843</v>
      </c>
      <c r="T10109" s="2">
        <v>1.7941990000000001</v>
      </c>
    </row>
    <row r="10110" spans="18:20" x14ac:dyDescent="0.45">
      <c r="R10110" s="2">
        <v>117.86</v>
      </c>
      <c r="S10110" s="2">
        <v>1.5337989999999999</v>
      </c>
      <c r="T10110" s="2">
        <v>1.795976</v>
      </c>
    </row>
    <row r="10111" spans="18:20" x14ac:dyDescent="0.45">
      <c r="R10111" s="2">
        <v>117.87</v>
      </c>
      <c r="S10111" s="2">
        <v>1.5347550000000001</v>
      </c>
      <c r="T10111" s="2">
        <v>1.7977540000000001</v>
      </c>
    </row>
    <row r="10112" spans="18:20" x14ac:dyDescent="0.45">
      <c r="R10112" s="2">
        <v>117.88</v>
      </c>
      <c r="S10112" s="2">
        <v>1.5357099999999999</v>
      </c>
      <c r="T10112" s="2">
        <v>1.799531</v>
      </c>
    </row>
    <row r="10113" spans="18:20" x14ac:dyDescent="0.45">
      <c r="R10113" s="2">
        <v>117.89</v>
      </c>
      <c r="S10113" s="2">
        <v>1.5366660000000001</v>
      </c>
      <c r="T10113" s="2">
        <v>1.801309</v>
      </c>
    </row>
    <row r="10114" spans="18:20" x14ac:dyDescent="0.45">
      <c r="R10114" s="2">
        <v>117.9</v>
      </c>
      <c r="S10114" s="2">
        <v>1.537622</v>
      </c>
      <c r="T10114" s="2">
        <v>1.803086</v>
      </c>
    </row>
    <row r="10115" spans="18:20" x14ac:dyDescent="0.45">
      <c r="R10115" s="2">
        <v>117.91</v>
      </c>
      <c r="S10115" s="2">
        <v>1.538578</v>
      </c>
      <c r="T10115" s="2">
        <v>1.8048630000000001</v>
      </c>
    </row>
    <row r="10116" spans="18:20" x14ac:dyDescent="0.45">
      <c r="R10116" s="2">
        <v>117.92</v>
      </c>
      <c r="S10116" s="2">
        <v>1.539534</v>
      </c>
      <c r="T10116" s="2">
        <v>1.8066409999999999</v>
      </c>
    </row>
    <row r="10117" spans="18:20" x14ac:dyDescent="0.45">
      <c r="R10117" s="2">
        <v>117.93</v>
      </c>
      <c r="S10117" s="2">
        <v>1.540489</v>
      </c>
      <c r="T10117" s="2">
        <v>1.8084180000000001</v>
      </c>
    </row>
    <row r="10118" spans="18:20" x14ac:dyDescent="0.45">
      <c r="R10118" s="2">
        <v>117.94</v>
      </c>
      <c r="S10118" s="2">
        <v>1.541445</v>
      </c>
      <c r="T10118" s="2">
        <v>1.8101959999999999</v>
      </c>
    </row>
    <row r="10119" spans="18:20" x14ac:dyDescent="0.45">
      <c r="R10119" s="2">
        <v>117.95</v>
      </c>
      <c r="S10119" s="2">
        <v>1.5424009999999999</v>
      </c>
      <c r="T10119" s="2">
        <v>1.8119730000000001</v>
      </c>
    </row>
    <row r="10120" spans="18:20" x14ac:dyDescent="0.45">
      <c r="R10120" s="2">
        <v>117.96</v>
      </c>
      <c r="S10120" s="2">
        <v>1.5433570000000001</v>
      </c>
      <c r="T10120" s="2">
        <v>1.81375</v>
      </c>
    </row>
    <row r="10121" spans="18:20" x14ac:dyDescent="0.45">
      <c r="R10121" s="2">
        <v>117.97</v>
      </c>
      <c r="S10121" s="2">
        <v>1.544313</v>
      </c>
      <c r="T10121" s="2">
        <v>1.815528</v>
      </c>
    </row>
    <row r="10122" spans="18:20" x14ac:dyDescent="0.45">
      <c r="R10122" s="2">
        <v>117.98</v>
      </c>
      <c r="S10122" s="2">
        <v>1.5452680000000001</v>
      </c>
      <c r="T10122" s="2">
        <v>1.8173049999999999</v>
      </c>
    </row>
    <row r="10123" spans="18:20" x14ac:dyDescent="0.45">
      <c r="R10123" s="2">
        <v>117.99</v>
      </c>
      <c r="S10123" s="2">
        <v>1.546224</v>
      </c>
      <c r="T10123" s="2">
        <v>1.819083</v>
      </c>
    </row>
    <row r="10124" spans="18:20" x14ac:dyDescent="0.45">
      <c r="R10124" s="2">
        <v>118</v>
      </c>
      <c r="S10124" s="2">
        <v>1.54718</v>
      </c>
      <c r="T10124" s="2">
        <v>1.8208599999999999</v>
      </c>
    </row>
    <row r="10125" spans="18:20" x14ac:dyDescent="0.45">
      <c r="R10125" s="2">
        <v>118.01</v>
      </c>
      <c r="S10125" s="2">
        <v>1.5481819999999999</v>
      </c>
      <c r="T10125" s="2">
        <v>1.822832</v>
      </c>
    </row>
    <row r="10126" spans="18:20" x14ac:dyDescent="0.45">
      <c r="R10126" s="2">
        <v>118.02</v>
      </c>
      <c r="S10126" s="2">
        <v>1.549185</v>
      </c>
      <c r="T10126" s="2">
        <v>1.824803</v>
      </c>
    </row>
    <row r="10127" spans="18:20" x14ac:dyDescent="0.45">
      <c r="R10127" s="2">
        <v>118.03</v>
      </c>
      <c r="S10127" s="2">
        <v>1.550187</v>
      </c>
      <c r="T10127" s="2">
        <v>1.826775</v>
      </c>
    </row>
    <row r="10128" spans="18:20" x14ac:dyDescent="0.45">
      <c r="R10128" s="2">
        <v>118.04</v>
      </c>
      <c r="S10128" s="2">
        <v>1.5511900000000001</v>
      </c>
      <c r="T10128" s="2">
        <v>1.828746</v>
      </c>
    </row>
    <row r="10129" spans="18:20" x14ac:dyDescent="0.45">
      <c r="R10129" s="2">
        <v>118.05</v>
      </c>
      <c r="S10129" s="2">
        <v>1.552192</v>
      </c>
      <c r="T10129" s="2">
        <v>1.8307169999999999</v>
      </c>
    </row>
    <row r="10130" spans="18:20" x14ac:dyDescent="0.45">
      <c r="R10130" s="2">
        <v>118.06</v>
      </c>
      <c r="S10130" s="2">
        <v>1.553194</v>
      </c>
      <c r="T10130" s="2">
        <v>1.832689</v>
      </c>
    </row>
    <row r="10131" spans="18:20" x14ac:dyDescent="0.45">
      <c r="R10131" s="2">
        <v>118.07</v>
      </c>
      <c r="S10131" s="2">
        <v>1.5541970000000001</v>
      </c>
      <c r="T10131" s="2">
        <v>1.83466</v>
      </c>
    </row>
    <row r="10132" spans="18:20" x14ac:dyDescent="0.45">
      <c r="R10132" s="2">
        <v>118.08</v>
      </c>
      <c r="S10132" s="2">
        <v>1.555199</v>
      </c>
      <c r="T10132" s="2">
        <v>1.836632</v>
      </c>
    </row>
    <row r="10133" spans="18:20" x14ac:dyDescent="0.45">
      <c r="R10133" s="2">
        <v>118.09</v>
      </c>
      <c r="S10133" s="2">
        <v>1.5562020000000001</v>
      </c>
      <c r="T10133" s="2">
        <v>1.8386039999999999</v>
      </c>
    </row>
    <row r="10134" spans="18:20" x14ac:dyDescent="0.45">
      <c r="R10134" s="2">
        <v>118.1</v>
      </c>
      <c r="S10134" s="2">
        <v>1.557204</v>
      </c>
      <c r="T10134" s="2">
        <v>1.8405750000000001</v>
      </c>
    </row>
    <row r="10135" spans="18:20" x14ac:dyDescent="0.45">
      <c r="R10135" s="2">
        <v>118.11</v>
      </c>
      <c r="S10135" s="2">
        <v>1.558206</v>
      </c>
      <c r="T10135" s="2">
        <v>1.842546</v>
      </c>
    </row>
    <row r="10136" spans="18:20" x14ac:dyDescent="0.45">
      <c r="R10136" s="2">
        <v>118.12</v>
      </c>
      <c r="S10136" s="2">
        <v>1.5592090000000001</v>
      </c>
      <c r="T10136" s="2">
        <v>1.8445180000000001</v>
      </c>
    </row>
    <row r="10137" spans="18:20" x14ac:dyDescent="0.45">
      <c r="R10137" s="2">
        <v>118.13</v>
      </c>
      <c r="S10137" s="2">
        <v>1.560211</v>
      </c>
      <c r="T10137" s="2">
        <v>1.846489</v>
      </c>
    </row>
    <row r="10138" spans="18:20" x14ac:dyDescent="0.45">
      <c r="R10138" s="2">
        <v>118.14</v>
      </c>
      <c r="S10138" s="2">
        <v>1.5612140000000001</v>
      </c>
      <c r="T10138" s="2">
        <v>1.8484609999999999</v>
      </c>
    </row>
    <row r="10139" spans="18:20" x14ac:dyDescent="0.45">
      <c r="R10139" s="2">
        <v>118.15</v>
      </c>
      <c r="S10139" s="2">
        <v>1.562216</v>
      </c>
      <c r="T10139" s="2">
        <v>1.850433</v>
      </c>
    </row>
    <row r="10140" spans="18:20" x14ac:dyDescent="0.45">
      <c r="R10140" s="2">
        <v>118.16</v>
      </c>
      <c r="S10140" s="2">
        <v>1.563218</v>
      </c>
      <c r="T10140" s="2">
        <v>1.8524039999999999</v>
      </c>
    </row>
    <row r="10141" spans="18:20" x14ac:dyDescent="0.45">
      <c r="R10141" s="2">
        <v>118.17</v>
      </c>
      <c r="S10141" s="2">
        <v>1.5642210000000001</v>
      </c>
      <c r="T10141" s="2">
        <v>1.854376</v>
      </c>
    </row>
    <row r="10142" spans="18:20" x14ac:dyDescent="0.45">
      <c r="R10142" s="2">
        <v>118.18</v>
      </c>
      <c r="S10142" s="2">
        <v>1.565223</v>
      </c>
      <c r="T10142" s="2">
        <v>1.856347</v>
      </c>
    </row>
    <row r="10143" spans="18:20" x14ac:dyDescent="0.45">
      <c r="R10143" s="2">
        <v>118.19</v>
      </c>
      <c r="S10143" s="2">
        <v>1.5662259999999999</v>
      </c>
      <c r="T10143" s="2">
        <v>1.8583179999999999</v>
      </c>
    </row>
    <row r="10144" spans="18:20" x14ac:dyDescent="0.45">
      <c r="R10144" s="2">
        <v>118.2</v>
      </c>
      <c r="S10144" s="2">
        <v>1.5672280000000001</v>
      </c>
      <c r="T10144" s="2">
        <v>1.86029</v>
      </c>
    </row>
    <row r="10145" spans="18:20" x14ac:dyDescent="0.45">
      <c r="R10145" s="2">
        <v>118.21</v>
      </c>
      <c r="S10145" s="2">
        <v>1.56823</v>
      </c>
      <c r="T10145" s="2">
        <v>1.8622609999999999</v>
      </c>
    </row>
    <row r="10146" spans="18:20" x14ac:dyDescent="0.45">
      <c r="R10146" s="2">
        <v>118.22</v>
      </c>
      <c r="S10146" s="2">
        <v>1.5692330000000001</v>
      </c>
      <c r="T10146" s="2">
        <v>1.864233</v>
      </c>
    </row>
    <row r="10147" spans="18:20" x14ac:dyDescent="0.45">
      <c r="R10147" s="2">
        <v>118.23</v>
      </c>
      <c r="S10147" s="2">
        <v>1.570235</v>
      </c>
      <c r="T10147" s="2">
        <v>1.8662049999999999</v>
      </c>
    </row>
    <row r="10148" spans="18:20" x14ac:dyDescent="0.45">
      <c r="R10148" s="2">
        <v>118.24</v>
      </c>
      <c r="S10148" s="2">
        <v>1.5712379999999999</v>
      </c>
      <c r="T10148" s="2">
        <v>1.8681760000000001</v>
      </c>
    </row>
    <row r="10149" spans="18:20" x14ac:dyDescent="0.45">
      <c r="R10149" s="2">
        <v>118.25</v>
      </c>
      <c r="S10149" s="2">
        <v>1.5722400000000001</v>
      </c>
      <c r="T10149" s="2">
        <v>1.870147</v>
      </c>
    </row>
    <row r="10150" spans="18:20" x14ac:dyDescent="0.45">
      <c r="R10150" s="2">
        <v>118.26</v>
      </c>
      <c r="S10150" s="2">
        <v>1.573242</v>
      </c>
      <c r="T10150" s="2">
        <v>1.8721190000000001</v>
      </c>
    </row>
    <row r="10151" spans="18:20" x14ac:dyDescent="0.45">
      <c r="R10151" s="2">
        <v>118.27</v>
      </c>
      <c r="S10151" s="2">
        <v>1.5742449999999999</v>
      </c>
      <c r="T10151" s="2">
        <v>1.87409</v>
      </c>
    </row>
    <row r="10152" spans="18:20" x14ac:dyDescent="0.45">
      <c r="R10152" s="2">
        <v>118.28</v>
      </c>
      <c r="S10152" s="2">
        <v>1.5752470000000001</v>
      </c>
      <c r="T10152" s="2">
        <v>1.8760619999999999</v>
      </c>
    </row>
    <row r="10153" spans="18:20" x14ac:dyDescent="0.45">
      <c r="R10153" s="2">
        <v>118.29</v>
      </c>
      <c r="S10153" s="2">
        <v>1.5762499999999999</v>
      </c>
      <c r="T10153" s="2">
        <v>1.878034</v>
      </c>
    </row>
    <row r="10154" spans="18:20" x14ac:dyDescent="0.45">
      <c r="R10154" s="2">
        <v>118.3</v>
      </c>
      <c r="S10154" s="2">
        <v>1.5772520000000001</v>
      </c>
      <c r="T10154" s="2">
        <v>1.8800049999999999</v>
      </c>
    </row>
    <row r="10155" spans="18:20" x14ac:dyDescent="0.45">
      <c r="R10155" s="2">
        <v>118.31</v>
      </c>
      <c r="S10155" s="2">
        <v>1.578254</v>
      </c>
      <c r="T10155" s="2">
        <v>1.881977</v>
      </c>
    </row>
    <row r="10156" spans="18:20" x14ac:dyDescent="0.45">
      <c r="R10156" s="2">
        <v>118.32</v>
      </c>
      <c r="S10156" s="2">
        <v>1.5792569999999999</v>
      </c>
      <c r="T10156" s="2">
        <v>1.883948</v>
      </c>
    </row>
    <row r="10157" spans="18:20" x14ac:dyDescent="0.45">
      <c r="R10157" s="2">
        <v>118.33</v>
      </c>
      <c r="S10157" s="2">
        <v>1.5802590000000001</v>
      </c>
      <c r="T10157" s="2">
        <v>1.8859189999999999</v>
      </c>
    </row>
    <row r="10158" spans="18:20" x14ac:dyDescent="0.45">
      <c r="R10158" s="2">
        <v>118.34</v>
      </c>
      <c r="S10158" s="2">
        <v>1.5812619999999999</v>
      </c>
      <c r="T10158" s="2">
        <v>1.887891</v>
      </c>
    </row>
    <row r="10159" spans="18:20" x14ac:dyDescent="0.45">
      <c r="R10159" s="2">
        <v>118.35</v>
      </c>
      <c r="S10159" s="2">
        <v>1.5822639999999999</v>
      </c>
      <c r="T10159" s="2">
        <v>1.8898619999999999</v>
      </c>
    </row>
    <row r="10160" spans="18:20" x14ac:dyDescent="0.45">
      <c r="R10160" s="2">
        <v>118.36</v>
      </c>
      <c r="S10160" s="2">
        <v>1.5832660000000001</v>
      </c>
      <c r="T10160" s="2">
        <v>1.891834</v>
      </c>
    </row>
    <row r="10161" spans="18:20" x14ac:dyDescent="0.45">
      <c r="R10161" s="2">
        <v>118.37</v>
      </c>
      <c r="S10161" s="2">
        <v>1.5842689999999999</v>
      </c>
      <c r="T10161" s="2">
        <v>1.8938060000000001</v>
      </c>
    </row>
    <row r="10162" spans="18:20" x14ac:dyDescent="0.45">
      <c r="R10162" s="2">
        <v>118.38</v>
      </c>
      <c r="S10162" s="2">
        <v>1.5852710000000001</v>
      </c>
      <c r="T10162" s="2">
        <v>1.895777</v>
      </c>
    </row>
    <row r="10163" spans="18:20" x14ac:dyDescent="0.45">
      <c r="R10163" s="2">
        <v>118.39</v>
      </c>
      <c r="S10163" s="2">
        <v>1.586274</v>
      </c>
      <c r="T10163" s="2">
        <v>1.8977489999999999</v>
      </c>
    </row>
    <row r="10164" spans="18:20" x14ac:dyDescent="0.45">
      <c r="R10164" s="2">
        <v>118.4</v>
      </c>
      <c r="S10164" s="2">
        <v>1.5872759999999999</v>
      </c>
      <c r="T10164" s="2">
        <v>1.8997200000000001</v>
      </c>
    </row>
    <row r="10165" spans="18:20" x14ac:dyDescent="0.45">
      <c r="R10165" s="2">
        <v>118.41</v>
      </c>
      <c r="S10165" s="2">
        <v>1.5882780000000001</v>
      </c>
      <c r="T10165" s="2">
        <v>1.901691</v>
      </c>
    </row>
    <row r="10166" spans="18:20" x14ac:dyDescent="0.45">
      <c r="R10166" s="2">
        <v>118.42</v>
      </c>
      <c r="S10166" s="2">
        <v>1.5892809999999999</v>
      </c>
      <c r="T10166" s="2">
        <v>1.9036630000000001</v>
      </c>
    </row>
    <row r="10167" spans="18:20" x14ac:dyDescent="0.45">
      <c r="R10167" s="2">
        <v>118.43</v>
      </c>
      <c r="S10167" s="2">
        <v>1.5902829999999999</v>
      </c>
      <c r="T10167" s="2">
        <v>1.905635</v>
      </c>
    </row>
    <row r="10168" spans="18:20" x14ac:dyDescent="0.45">
      <c r="R10168" s="2">
        <v>118.44</v>
      </c>
      <c r="S10168" s="2">
        <v>1.591286</v>
      </c>
      <c r="T10168" s="2">
        <v>1.9076059999999999</v>
      </c>
    </row>
    <row r="10169" spans="18:20" x14ac:dyDescent="0.45">
      <c r="R10169" s="2">
        <v>118.45</v>
      </c>
      <c r="S10169" s="2">
        <v>1.5922879999999999</v>
      </c>
      <c r="T10169" s="2">
        <v>1.909578</v>
      </c>
    </row>
    <row r="10170" spans="18:20" x14ac:dyDescent="0.45">
      <c r="R10170" s="2">
        <v>118.46</v>
      </c>
      <c r="S10170" s="2">
        <v>1.5932900000000001</v>
      </c>
      <c r="T10170" s="2">
        <v>1.9115489999999999</v>
      </c>
    </row>
    <row r="10171" spans="18:20" x14ac:dyDescent="0.45">
      <c r="R10171" s="2">
        <v>118.47</v>
      </c>
      <c r="S10171" s="2">
        <v>1.594293</v>
      </c>
      <c r="T10171" s="2">
        <v>1.9135200000000001</v>
      </c>
    </row>
    <row r="10172" spans="18:20" x14ac:dyDescent="0.45">
      <c r="R10172" s="2">
        <v>118.48</v>
      </c>
      <c r="S10172" s="2">
        <v>1.5952949999999999</v>
      </c>
      <c r="T10172" s="2">
        <v>1.915492</v>
      </c>
    </row>
    <row r="10173" spans="18:20" x14ac:dyDescent="0.45">
      <c r="R10173" s="2">
        <v>118.49</v>
      </c>
      <c r="S10173" s="2">
        <v>1.596298</v>
      </c>
      <c r="T10173" s="2">
        <v>1.9174629999999999</v>
      </c>
    </row>
    <row r="10174" spans="18:20" x14ac:dyDescent="0.45">
      <c r="R10174" s="2">
        <v>118.5</v>
      </c>
      <c r="S10174" s="2">
        <v>1.5972999999999999</v>
      </c>
      <c r="T10174" s="2">
        <v>1.919435</v>
      </c>
    </row>
    <row r="10175" spans="18:20" x14ac:dyDescent="0.45">
      <c r="R10175" s="2">
        <v>118.51</v>
      </c>
      <c r="S10175" s="2">
        <v>1.5983019999999999</v>
      </c>
      <c r="T10175" s="2">
        <v>1.9214070000000001</v>
      </c>
    </row>
    <row r="10176" spans="18:20" x14ac:dyDescent="0.45">
      <c r="R10176" s="2">
        <v>118.52</v>
      </c>
      <c r="S10176" s="2">
        <v>1.599305</v>
      </c>
      <c r="T10176" s="2">
        <v>1.923378</v>
      </c>
    </row>
    <row r="10177" spans="18:20" x14ac:dyDescent="0.45">
      <c r="R10177" s="2">
        <v>118.53</v>
      </c>
      <c r="S10177" s="2">
        <v>1.6003069999999999</v>
      </c>
      <c r="T10177" s="2">
        <v>1.9253499999999999</v>
      </c>
    </row>
    <row r="10178" spans="18:20" x14ac:dyDescent="0.45">
      <c r="R10178" s="2">
        <v>118.54</v>
      </c>
      <c r="S10178" s="2">
        <v>1.60131</v>
      </c>
      <c r="T10178" s="2">
        <v>1.9273210000000001</v>
      </c>
    </row>
    <row r="10179" spans="18:20" x14ac:dyDescent="0.45">
      <c r="R10179" s="2">
        <v>118.55</v>
      </c>
      <c r="S10179" s="2">
        <v>1.602312</v>
      </c>
      <c r="T10179" s="2">
        <v>1.929292</v>
      </c>
    </row>
    <row r="10180" spans="18:20" x14ac:dyDescent="0.45">
      <c r="R10180" s="2">
        <v>118.56</v>
      </c>
      <c r="S10180" s="2">
        <v>1.6033139999999999</v>
      </c>
      <c r="T10180" s="2">
        <v>1.9312640000000001</v>
      </c>
    </row>
    <row r="10181" spans="18:20" x14ac:dyDescent="0.45">
      <c r="R10181" s="2">
        <v>118.57</v>
      </c>
      <c r="S10181" s="2">
        <v>1.604317</v>
      </c>
      <c r="T10181" s="2">
        <v>1.933235</v>
      </c>
    </row>
    <row r="10182" spans="18:20" x14ac:dyDescent="0.45">
      <c r="R10182" s="2">
        <v>118.58</v>
      </c>
      <c r="S10182" s="2">
        <v>1.6053189999999999</v>
      </c>
      <c r="T10182" s="2">
        <v>1.9352069999999999</v>
      </c>
    </row>
    <row r="10183" spans="18:20" x14ac:dyDescent="0.45">
      <c r="R10183" s="2">
        <v>118.59</v>
      </c>
      <c r="S10183" s="2">
        <v>1.606322</v>
      </c>
      <c r="T10183" s="2">
        <v>1.937179</v>
      </c>
    </row>
    <row r="10184" spans="18:20" x14ac:dyDescent="0.45">
      <c r="R10184" s="2">
        <v>118.6</v>
      </c>
      <c r="S10184" s="2">
        <v>1.607324</v>
      </c>
      <c r="T10184" s="2">
        <v>1.9391499999999999</v>
      </c>
    </row>
    <row r="10185" spans="18:20" x14ac:dyDescent="0.45">
      <c r="R10185" s="2">
        <v>118.61</v>
      </c>
      <c r="S10185" s="2">
        <v>1.6083259999999999</v>
      </c>
      <c r="T10185" s="2">
        <v>1.9411210000000001</v>
      </c>
    </row>
    <row r="10186" spans="18:20" x14ac:dyDescent="0.45">
      <c r="R10186" s="2">
        <v>118.62</v>
      </c>
      <c r="S10186" s="2">
        <v>1.609329</v>
      </c>
      <c r="T10186" s="2">
        <v>1.943093</v>
      </c>
    </row>
    <row r="10187" spans="18:20" x14ac:dyDescent="0.45">
      <c r="R10187" s="2">
        <v>118.63</v>
      </c>
      <c r="S10187" s="2">
        <v>1.610331</v>
      </c>
      <c r="T10187" s="2">
        <v>1.9450639999999999</v>
      </c>
    </row>
    <row r="10188" spans="18:20" x14ac:dyDescent="0.45">
      <c r="R10188" s="2">
        <v>118.64</v>
      </c>
      <c r="S10188" s="2">
        <v>1.611334</v>
      </c>
      <c r="T10188" s="2">
        <v>1.947036</v>
      </c>
    </row>
    <row r="10189" spans="18:20" x14ac:dyDescent="0.45">
      <c r="R10189" s="2">
        <v>118.65</v>
      </c>
      <c r="S10189" s="2">
        <v>1.612336</v>
      </c>
      <c r="T10189" s="2">
        <v>1.9490080000000001</v>
      </c>
    </row>
    <row r="10190" spans="18:20" x14ac:dyDescent="0.45">
      <c r="R10190" s="2">
        <v>118.66</v>
      </c>
      <c r="S10190" s="2">
        <v>1.6133379999999999</v>
      </c>
      <c r="T10190" s="2">
        <v>1.950979</v>
      </c>
    </row>
    <row r="10191" spans="18:20" x14ac:dyDescent="0.45">
      <c r="R10191" s="2">
        <v>118.67</v>
      </c>
      <c r="S10191" s="2">
        <v>1.614341</v>
      </c>
      <c r="T10191" s="2">
        <v>1.9529510000000001</v>
      </c>
    </row>
    <row r="10192" spans="18:20" x14ac:dyDescent="0.45">
      <c r="R10192" s="2">
        <v>118.68</v>
      </c>
      <c r="S10192" s="2">
        <v>1.615343</v>
      </c>
      <c r="T10192" s="2">
        <v>1.954922</v>
      </c>
    </row>
    <row r="10193" spans="18:20" x14ac:dyDescent="0.45">
      <c r="R10193" s="2">
        <v>118.69</v>
      </c>
      <c r="S10193" s="2">
        <v>1.6163460000000001</v>
      </c>
      <c r="T10193" s="2">
        <v>1.956893</v>
      </c>
    </row>
    <row r="10194" spans="18:20" x14ac:dyDescent="0.45">
      <c r="R10194" s="2">
        <v>118.7</v>
      </c>
      <c r="S10194" s="2">
        <v>1.617348</v>
      </c>
      <c r="T10194" s="2">
        <v>1.9588650000000001</v>
      </c>
    </row>
    <row r="10195" spans="18:20" x14ac:dyDescent="0.45">
      <c r="R10195" s="2">
        <v>118.71</v>
      </c>
      <c r="S10195" s="2">
        <v>1.61835</v>
      </c>
      <c r="T10195" s="2">
        <v>1.960836</v>
      </c>
    </row>
    <row r="10196" spans="18:20" x14ac:dyDescent="0.45">
      <c r="R10196" s="2">
        <v>118.72</v>
      </c>
      <c r="S10196" s="2">
        <v>1.619353</v>
      </c>
      <c r="T10196" s="2">
        <v>1.9628080000000001</v>
      </c>
    </row>
    <row r="10197" spans="18:20" x14ac:dyDescent="0.45">
      <c r="R10197" s="2">
        <v>118.73</v>
      </c>
      <c r="S10197" s="2">
        <v>1.620355</v>
      </c>
      <c r="T10197" s="2">
        <v>1.96478</v>
      </c>
    </row>
    <row r="10198" spans="18:20" x14ac:dyDescent="0.45">
      <c r="R10198" s="2">
        <v>118.74</v>
      </c>
      <c r="S10198" s="2">
        <v>1.6213580000000001</v>
      </c>
      <c r="T10198" s="2">
        <v>1.9667509999999999</v>
      </c>
    </row>
    <row r="10199" spans="18:20" x14ac:dyDescent="0.45">
      <c r="R10199" s="2">
        <v>118.75</v>
      </c>
      <c r="S10199" s="2">
        <v>1.62236</v>
      </c>
      <c r="T10199" s="2">
        <v>1.9687220000000001</v>
      </c>
    </row>
    <row r="10200" spans="18:20" x14ac:dyDescent="0.45">
      <c r="R10200" s="2">
        <v>118.76</v>
      </c>
      <c r="S10200" s="2">
        <v>1.623362</v>
      </c>
      <c r="T10200" s="2">
        <v>1.9706939999999999</v>
      </c>
    </row>
    <row r="10201" spans="18:20" x14ac:dyDescent="0.45">
      <c r="R10201" s="2">
        <v>118.77</v>
      </c>
      <c r="S10201" s="2">
        <v>1.6243650000000001</v>
      </c>
      <c r="T10201" s="2">
        <v>1.9726649999999999</v>
      </c>
    </row>
    <row r="10202" spans="18:20" x14ac:dyDescent="0.45">
      <c r="R10202" s="2">
        <v>118.78</v>
      </c>
      <c r="S10202" s="2">
        <v>1.625367</v>
      </c>
      <c r="T10202" s="2">
        <v>1.974637</v>
      </c>
    </row>
    <row r="10203" spans="18:20" x14ac:dyDescent="0.45">
      <c r="R10203" s="2">
        <v>118.79</v>
      </c>
      <c r="S10203" s="2">
        <v>1.6263700000000001</v>
      </c>
      <c r="T10203" s="2">
        <v>1.9766090000000001</v>
      </c>
    </row>
    <row r="10204" spans="18:20" x14ac:dyDescent="0.45">
      <c r="R10204" s="2">
        <v>118.8</v>
      </c>
      <c r="S10204" s="2">
        <v>1.627372</v>
      </c>
      <c r="T10204" s="2">
        <v>1.97858</v>
      </c>
    </row>
    <row r="10205" spans="18:20" x14ac:dyDescent="0.45">
      <c r="R10205" s="2">
        <v>118.81</v>
      </c>
      <c r="S10205" s="2">
        <v>1.628374</v>
      </c>
      <c r="T10205" s="2">
        <v>1.9805520000000001</v>
      </c>
    </row>
    <row r="10206" spans="18:20" x14ac:dyDescent="0.45">
      <c r="R10206" s="2">
        <v>118.82</v>
      </c>
      <c r="S10206" s="2">
        <v>1.6293770000000001</v>
      </c>
      <c r="T10206" s="2">
        <v>1.982523</v>
      </c>
    </row>
    <row r="10207" spans="18:20" x14ac:dyDescent="0.45">
      <c r="R10207" s="2">
        <v>118.83</v>
      </c>
      <c r="S10207" s="2">
        <v>1.630379</v>
      </c>
      <c r="T10207" s="2">
        <v>1.984494</v>
      </c>
    </row>
    <row r="10208" spans="18:20" x14ac:dyDescent="0.45">
      <c r="R10208" s="2">
        <v>118.84</v>
      </c>
      <c r="S10208" s="2">
        <v>1.6313820000000001</v>
      </c>
      <c r="T10208" s="2">
        <v>1.9864660000000001</v>
      </c>
    </row>
    <row r="10209" spans="18:20" x14ac:dyDescent="0.45">
      <c r="R10209" s="2">
        <v>118.85</v>
      </c>
      <c r="S10209" s="2">
        <v>1.6323840000000001</v>
      </c>
      <c r="T10209" s="2">
        <v>1.988437</v>
      </c>
    </row>
    <row r="10210" spans="18:20" x14ac:dyDescent="0.45">
      <c r="R10210" s="2">
        <v>118.86</v>
      </c>
      <c r="S10210" s="2">
        <v>1.633386</v>
      </c>
      <c r="T10210" s="2">
        <v>1.9904090000000001</v>
      </c>
    </row>
    <row r="10211" spans="18:20" x14ac:dyDescent="0.45">
      <c r="R10211" s="2">
        <v>118.87</v>
      </c>
      <c r="S10211" s="2">
        <v>1.6343890000000001</v>
      </c>
      <c r="T10211" s="2">
        <v>1.992381</v>
      </c>
    </row>
    <row r="10212" spans="18:20" x14ac:dyDescent="0.45">
      <c r="R10212" s="2">
        <v>118.88</v>
      </c>
      <c r="S10212" s="2">
        <v>1.635391</v>
      </c>
      <c r="T10212" s="2">
        <v>1.9943519999999999</v>
      </c>
    </row>
    <row r="10213" spans="18:20" x14ac:dyDescent="0.45">
      <c r="R10213" s="2">
        <v>118.89</v>
      </c>
      <c r="S10213" s="2">
        <v>1.6363939999999999</v>
      </c>
      <c r="T10213" s="2">
        <v>1.9963230000000001</v>
      </c>
    </row>
    <row r="10214" spans="18:20" x14ac:dyDescent="0.45">
      <c r="R10214" s="2">
        <v>118.9</v>
      </c>
      <c r="S10214" s="2">
        <v>1.6373960000000001</v>
      </c>
      <c r="T10214" s="2">
        <v>1.9982949999999999</v>
      </c>
    </row>
    <row r="10215" spans="18:20" x14ac:dyDescent="0.45">
      <c r="R10215" s="2">
        <v>118.91</v>
      </c>
      <c r="S10215" s="2">
        <v>1.638398</v>
      </c>
      <c r="T10215" s="2">
        <v>2.0002659999999999</v>
      </c>
    </row>
    <row r="10216" spans="18:20" x14ac:dyDescent="0.45">
      <c r="R10216" s="2">
        <v>118.92</v>
      </c>
      <c r="S10216" s="2">
        <v>1.6394010000000001</v>
      </c>
      <c r="T10216" s="2">
        <v>2.0022380000000002</v>
      </c>
    </row>
    <row r="10217" spans="18:20" x14ac:dyDescent="0.45">
      <c r="R10217" s="2">
        <v>118.93</v>
      </c>
      <c r="S10217" s="2">
        <v>1.6404030000000001</v>
      </c>
      <c r="T10217" s="2">
        <v>2.00421</v>
      </c>
    </row>
    <row r="10218" spans="18:20" x14ac:dyDescent="0.45">
      <c r="R10218" s="2">
        <v>118.94</v>
      </c>
      <c r="S10218" s="2">
        <v>1.6414059999999999</v>
      </c>
      <c r="T10218" s="2">
        <v>2.0061810000000002</v>
      </c>
    </row>
    <row r="10219" spans="18:20" x14ac:dyDescent="0.45">
      <c r="R10219" s="2">
        <v>118.95</v>
      </c>
      <c r="S10219" s="2">
        <v>1.6424080000000001</v>
      </c>
      <c r="T10219" s="2">
        <v>2.0081530000000001</v>
      </c>
    </row>
    <row r="10220" spans="18:20" x14ac:dyDescent="0.45">
      <c r="R10220" s="2">
        <v>118.96</v>
      </c>
      <c r="S10220" s="2">
        <v>1.64341</v>
      </c>
      <c r="T10220" s="2">
        <v>2.0101239999999998</v>
      </c>
    </row>
    <row r="10221" spans="18:20" x14ac:dyDescent="0.45">
      <c r="R10221" s="2">
        <v>118.97</v>
      </c>
      <c r="S10221" s="2">
        <v>1.6444129999999999</v>
      </c>
      <c r="T10221" s="2">
        <v>2.012095</v>
      </c>
    </row>
    <row r="10222" spans="18:20" x14ac:dyDescent="0.45">
      <c r="R10222" s="2">
        <v>118.98</v>
      </c>
      <c r="S10222" s="2">
        <v>1.6454150000000001</v>
      </c>
      <c r="T10222" s="2">
        <v>2.0140669999999998</v>
      </c>
    </row>
    <row r="10223" spans="18:20" x14ac:dyDescent="0.45">
      <c r="R10223" s="2">
        <v>118.99</v>
      </c>
      <c r="S10223" s="2">
        <v>1.6464179999999999</v>
      </c>
      <c r="T10223" s="2">
        <v>2.016038</v>
      </c>
    </row>
    <row r="10224" spans="18:20" x14ac:dyDescent="0.45">
      <c r="R10224" s="2">
        <v>119</v>
      </c>
      <c r="S10224" s="2">
        <v>1.6474200000000001</v>
      </c>
      <c r="T10224" s="2">
        <v>2.0180099999999999</v>
      </c>
    </row>
    <row r="10225" spans="18:20" x14ac:dyDescent="0.45">
      <c r="R10225" s="2">
        <v>119.01</v>
      </c>
      <c r="S10225" s="2">
        <v>1.650946</v>
      </c>
      <c r="T10225" s="2">
        <v>2.0278299999999998</v>
      </c>
    </row>
    <row r="10226" spans="18:20" x14ac:dyDescent="0.45">
      <c r="R10226" s="2">
        <v>119.02</v>
      </c>
      <c r="S10226" s="2">
        <v>1.6544719999999999</v>
      </c>
      <c r="T10226" s="2">
        <v>2.0376500000000002</v>
      </c>
    </row>
    <row r="10227" spans="18:20" x14ac:dyDescent="0.45">
      <c r="R10227" s="2">
        <v>119.03</v>
      </c>
      <c r="S10227" s="2">
        <v>1.6579969999999999</v>
      </c>
      <c r="T10227" s="2">
        <v>2.0474700000000001</v>
      </c>
    </row>
    <row r="10228" spans="18:20" x14ac:dyDescent="0.45">
      <c r="R10228" s="2">
        <v>119.04</v>
      </c>
      <c r="S10228" s="2">
        <v>1.6615230000000001</v>
      </c>
      <c r="T10228" s="2">
        <v>2.0572900000000001</v>
      </c>
    </row>
    <row r="10229" spans="18:20" x14ac:dyDescent="0.45">
      <c r="R10229" s="2">
        <v>119.05</v>
      </c>
      <c r="S10229" s="2">
        <v>1.665049</v>
      </c>
      <c r="T10229" s="2">
        <v>2.0671089999999999</v>
      </c>
    </row>
    <row r="10230" spans="18:20" x14ac:dyDescent="0.45">
      <c r="R10230" s="2">
        <v>119.06</v>
      </c>
      <c r="S10230" s="2">
        <v>1.6685749999999999</v>
      </c>
      <c r="T10230" s="2">
        <v>2.0769289999999998</v>
      </c>
    </row>
    <row r="10231" spans="18:20" x14ac:dyDescent="0.45">
      <c r="R10231" s="2">
        <v>119.07</v>
      </c>
      <c r="S10231" s="2">
        <v>1.6721010000000001</v>
      </c>
      <c r="T10231" s="2">
        <v>2.0867490000000002</v>
      </c>
    </row>
    <row r="10232" spans="18:20" x14ac:dyDescent="0.45">
      <c r="R10232" s="2">
        <v>119.08</v>
      </c>
      <c r="S10232" s="2">
        <v>1.6756260000000001</v>
      </c>
      <c r="T10232" s="2">
        <v>2.0965690000000001</v>
      </c>
    </row>
    <row r="10233" spans="18:20" x14ac:dyDescent="0.45">
      <c r="R10233" s="2">
        <v>119.09</v>
      </c>
      <c r="S10233" s="2">
        <v>1.679152</v>
      </c>
      <c r="T10233" s="2">
        <v>2.1063890000000001</v>
      </c>
    </row>
    <row r="10234" spans="18:20" x14ac:dyDescent="0.45">
      <c r="R10234" s="2">
        <v>119.1</v>
      </c>
      <c r="S10234" s="2">
        <v>1.6826779999999999</v>
      </c>
      <c r="T10234" s="2">
        <v>2.116209</v>
      </c>
    </row>
    <row r="10235" spans="18:20" x14ac:dyDescent="0.45">
      <c r="R10235" s="2">
        <v>119.11</v>
      </c>
      <c r="S10235" s="2">
        <v>1.686204</v>
      </c>
      <c r="T10235" s="2">
        <v>2.1260289999999999</v>
      </c>
    </row>
    <row r="10236" spans="18:20" x14ac:dyDescent="0.45">
      <c r="R10236" s="2">
        <v>119.12</v>
      </c>
      <c r="S10236" s="2">
        <v>1.68973</v>
      </c>
      <c r="T10236" s="2">
        <v>2.1358489999999999</v>
      </c>
    </row>
    <row r="10237" spans="18:20" x14ac:dyDescent="0.45">
      <c r="R10237" s="2">
        <v>119.13</v>
      </c>
      <c r="S10237" s="2">
        <v>1.693255</v>
      </c>
      <c r="T10237" s="2">
        <v>2.1456689999999998</v>
      </c>
    </row>
    <row r="10238" spans="18:20" x14ac:dyDescent="0.45">
      <c r="R10238" s="2">
        <v>119.14</v>
      </c>
      <c r="S10238" s="2">
        <v>1.6967810000000001</v>
      </c>
      <c r="T10238" s="2">
        <v>2.1554890000000002</v>
      </c>
    </row>
    <row r="10239" spans="18:20" x14ac:dyDescent="0.45">
      <c r="R10239" s="2">
        <v>119.15</v>
      </c>
      <c r="S10239" s="2">
        <v>1.700307</v>
      </c>
      <c r="T10239" s="2">
        <v>2.1653090000000002</v>
      </c>
    </row>
    <row r="10240" spans="18:20" x14ac:dyDescent="0.45">
      <c r="R10240" s="2">
        <v>119.16</v>
      </c>
      <c r="S10240" s="2">
        <v>1.7038329999999999</v>
      </c>
      <c r="T10240" s="2">
        <v>2.175128</v>
      </c>
    </row>
    <row r="10241" spans="18:20" x14ac:dyDescent="0.45">
      <c r="R10241" s="2">
        <v>119.17</v>
      </c>
      <c r="S10241" s="2">
        <v>1.7073590000000001</v>
      </c>
      <c r="T10241" s="2">
        <v>2.1849479999999999</v>
      </c>
    </row>
    <row r="10242" spans="18:20" x14ac:dyDescent="0.45">
      <c r="R10242" s="2">
        <v>119.18</v>
      </c>
      <c r="S10242" s="2">
        <v>1.7108840000000001</v>
      </c>
      <c r="T10242" s="2">
        <v>2.1947679999999998</v>
      </c>
    </row>
    <row r="10243" spans="18:20" x14ac:dyDescent="0.45">
      <c r="R10243" s="2">
        <v>119.19</v>
      </c>
      <c r="S10243" s="2">
        <v>1.71441</v>
      </c>
      <c r="T10243" s="2">
        <v>2.2045880000000002</v>
      </c>
    </row>
    <row r="10244" spans="18:20" x14ac:dyDescent="0.45">
      <c r="R10244" s="2">
        <v>119.2</v>
      </c>
      <c r="S10244" s="2">
        <v>1.7179359999999999</v>
      </c>
      <c r="T10244" s="2">
        <v>2.2144080000000002</v>
      </c>
    </row>
    <row r="10245" spans="18:20" x14ac:dyDescent="0.45">
      <c r="R10245" s="2">
        <v>119.21</v>
      </c>
      <c r="S10245" s="2">
        <v>1.721462</v>
      </c>
      <c r="T10245" s="2">
        <v>2.2242280000000001</v>
      </c>
    </row>
    <row r="10246" spans="18:20" x14ac:dyDescent="0.45">
      <c r="R10246" s="2">
        <v>119.22</v>
      </c>
      <c r="S10246" s="2">
        <v>1.724988</v>
      </c>
      <c r="T10246" s="2">
        <v>2.234048</v>
      </c>
    </row>
    <row r="10247" spans="18:20" x14ac:dyDescent="0.45">
      <c r="R10247" s="2">
        <v>119.23</v>
      </c>
      <c r="S10247" s="2">
        <v>1.728513</v>
      </c>
      <c r="T10247" s="2">
        <v>2.243868</v>
      </c>
    </row>
    <row r="10248" spans="18:20" x14ac:dyDescent="0.45">
      <c r="R10248" s="2">
        <v>119.24</v>
      </c>
      <c r="S10248" s="2">
        <v>1.7320390000000001</v>
      </c>
      <c r="T10248" s="2">
        <v>2.2536879999999999</v>
      </c>
    </row>
    <row r="10249" spans="18:20" x14ac:dyDescent="0.45">
      <c r="R10249" s="2">
        <v>119.25</v>
      </c>
      <c r="S10249" s="2">
        <v>1.735565</v>
      </c>
      <c r="T10249" s="2">
        <v>2.2635070000000002</v>
      </c>
    </row>
    <row r="10250" spans="18:20" x14ac:dyDescent="0.45">
      <c r="R10250" s="2">
        <v>119.26</v>
      </c>
      <c r="S10250" s="2">
        <v>1.7390909999999999</v>
      </c>
      <c r="T10250" s="2">
        <v>2.2733270000000001</v>
      </c>
    </row>
    <row r="10251" spans="18:20" x14ac:dyDescent="0.45">
      <c r="R10251" s="2">
        <v>119.27</v>
      </c>
      <c r="S10251" s="2">
        <v>1.7426170000000001</v>
      </c>
      <c r="T10251" s="2">
        <v>2.283147</v>
      </c>
    </row>
    <row r="10252" spans="18:20" x14ac:dyDescent="0.45">
      <c r="R10252" s="2">
        <v>119.28</v>
      </c>
      <c r="S10252" s="2">
        <v>1.7461420000000001</v>
      </c>
      <c r="T10252" s="2">
        <v>2.292967</v>
      </c>
    </row>
    <row r="10253" spans="18:20" x14ac:dyDescent="0.45">
      <c r="R10253" s="2">
        <v>119.29</v>
      </c>
      <c r="S10253" s="2">
        <v>1.749668</v>
      </c>
      <c r="T10253" s="2">
        <v>2.3027869999999999</v>
      </c>
    </row>
    <row r="10254" spans="18:20" x14ac:dyDescent="0.45">
      <c r="R10254" s="2">
        <v>119.3</v>
      </c>
      <c r="S10254" s="2">
        <v>1.7531939999999999</v>
      </c>
      <c r="T10254" s="2">
        <v>2.3126069999999999</v>
      </c>
    </row>
    <row r="10255" spans="18:20" x14ac:dyDescent="0.45">
      <c r="R10255" s="2">
        <v>119.31</v>
      </c>
      <c r="S10255" s="2">
        <v>1.7567200000000001</v>
      </c>
      <c r="T10255" s="2">
        <v>2.3224269999999998</v>
      </c>
    </row>
    <row r="10256" spans="18:20" x14ac:dyDescent="0.45">
      <c r="R10256" s="2">
        <v>119.32</v>
      </c>
      <c r="S10256" s="2">
        <v>1.760246</v>
      </c>
      <c r="T10256" s="2">
        <v>2.3322470000000002</v>
      </c>
    </row>
    <row r="10257" spans="18:20" x14ac:dyDescent="0.45">
      <c r="R10257" s="2">
        <v>119.33</v>
      </c>
      <c r="S10257" s="2">
        <v>1.763771</v>
      </c>
      <c r="T10257" s="2">
        <v>2.3420670000000001</v>
      </c>
    </row>
    <row r="10258" spans="18:20" x14ac:dyDescent="0.45">
      <c r="R10258" s="2">
        <v>119.34</v>
      </c>
      <c r="S10258" s="2">
        <v>1.7672969999999999</v>
      </c>
      <c r="T10258" s="2">
        <v>2.3518870000000001</v>
      </c>
    </row>
    <row r="10259" spans="18:20" x14ac:dyDescent="0.45">
      <c r="R10259" s="2">
        <v>119.35</v>
      </c>
      <c r="S10259" s="2">
        <v>1.770823</v>
      </c>
      <c r="T10259" s="2">
        <v>2.3617059999999999</v>
      </c>
    </row>
    <row r="10260" spans="18:20" x14ac:dyDescent="0.45">
      <c r="R10260" s="2">
        <v>119.36</v>
      </c>
      <c r="S10260" s="2">
        <v>1.774349</v>
      </c>
      <c r="T10260" s="2">
        <v>2.3715259999999998</v>
      </c>
    </row>
    <row r="10261" spans="18:20" x14ac:dyDescent="0.45">
      <c r="R10261" s="2">
        <v>119.37</v>
      </c>
      <c r="S10261" s="2">
        <v>1.7778750000000001</v>
      </c>
      <c r="T10261" s="2">
        <v>2.3813460000000002</v>
      </c>
    </row>
    <row r="10262" spans="18:20" x14ac:dyDescent="0.45">
      <c r="R10262" s="2">
        <v>119.38</v>
      </c>
      <c r="S10262" s="2">
        <v>1.7814000000000001</v>
      </c>
      <c r="T10262" s="2">
        <v>2.3911660000000001</v>
      </c>
    </row>
    <row r="10263" spans="18:20" x14ac:dyDescent="0.45">
      <c r="R10263" s="2">
        <v>119.39</v>
      </c>
      <c r="S10263" s="2">
        <v>1.784926</v>
      </c>
      <c r="T10263" s="2">
        <v>2.4009860000000001</v>
      </c>
    </row>
    <row r="10264" spans="18:20" x14ac:dyDescent="0.45">
      <c r="R10264" s="2">
        <v>119.4</v>
      </c>
      <c r="S10264" s="2">
        <v>1.7884519999999999</v>
      </c>
      <c r="T10264" s="2">
        <v>2.410806</v>
      </c>
    </row>
    <row r="10265" spans="18:20" x14ac:dyDescent="0.45">
      <c r="R10265" s="2">
        <v>119.41</v>
      </c>
      <c r="S10265" s="2">
        <v>1.7919780000000001</v>
      </c>
      <c r="T10265" s="2">
        <v>2.4206259999999999</v>
      </c>
    </row>
    <row r="10266" spans="18:20" x14ac:dyDescent="0.45">
      <c r="R10266" s="2">
        <v>119.42</v>
      </c>
      <c r="S10266" s="2">
        <v>1.795504</v>
      </c>
      <c r="T10266" s="2">
        <v>2.4304459999999999</v>
      </c>
    </row>
    <row r="10267" spans="18:20" x14ac:dyDescent="0.45">
      <c r="R10267" s="2">
        <v>119.43</v>
      </c>
      <c r="S10267" s="2">
        <v>1.799029</v>
      </c>
      <c r="T10267" s="2">
        <v>2.4402659999999998</v>
      </c>
    </row>
    <row r="10268" spans="18:20" x14ac:dyDescent="0.45">
      <c r="R10268" s="2">
        <v>119.44</v>
      </c>
      <c r="S10268" s="2">
        <v>1.8025549999999999</v>
      </c>
      <c r="T10268" s="2">
        <v>2.4500860000000002</v>
      </c>
    </row>
    <row r="10269" spans="18:20" x14ac:dyDescent="0.45">
      <c r="R10269" s="2">
        <v>119.45</v>
      </c>
      <c r="S10269" s="2">
        <v>1.806081</v>
      </c>
      <c r="T10269" s="2">
        <v>2.4599060000000001</v>
      </c>
    </row>
    <row r="10270" spans="18:20" x14ac:dyDescent="0.45">
      <c r="R10270" s="2">
        <v>119.46</v>
      </c>
      <c r="S10270" s="2">
        <v>1.809607</v>
      </c>
      <c r="T10270" s="2">
        <v>2.4697249999999999</v>
      </c>
    </row>
    <row r="10271" spans="18:20" x14ac:dyDescent="0.45">
      <c r="R10271" s="2">
        <v>119.47</v>
      </c>
      <c r="S10271" s="2">
        <v>1.8131330000000001</v>
      </c>
      <c r="T10271" s="2">
        <v>2.4795449999999999</v>
      </c>
    </row>
    <row r="10272" spans="18:20" x14ac:dyDescent="0.45">
      <c r="R10272" s="2">
        <v>119.48</v>
      </c>
      <c r="S10272" s="2">
        <v>1.8166580000000001</v>
      </c>
      <c r="T10272" s="2">
        <v>2.4893649999999998</v>
      </c>
    </row>
    <row r="10273" spans="18:20" x14ac:dyDescent="0.45">
      <c r="R10273" s="2">
        <v>119.49</v>
      </c>
      <c r="S10273" s="2">
        <v>1.820184</v>
      </c>
      <c r="T10273" s="2">
        <v>2.4991850000000002</v>
      </c>
    </row>
    <row r="10274" spans="18:20" x14ac:dyDescent="0.45">
      <c r="R10274" s="2">
        <v>119.5</v>
      </c>
      <c r="S10274" s="2">
        <v>1.8237099999999999</v>
      </c>
      <c r="T10274" s="2">
        <v>2.5090050000000002</v>
      </c>
    </row>
    <row r="10275" spans="18:20" x14ac:dyDescent="0.45">
      <c r="R10275" s="2">
        <v>119.51</v>
      </c>
      <c r="S10275" s="2">
        <v>1.8272360000000001</v>
      </c>
      <c r="T10275" s="2">
        <v>2.5188250000000001</v>
      </c>
    </row>
    <row r="10276" spans="18:20" x14ac:dyDescent="0.45">
      <c r="R10276" s="2">
        <v>119.52</v>
      </c>
      <c r="S10276" s="2">
        <v>1.830762</v>
      </c>
      <c r="T10276" s="2">
        <v>2.528645</v>
      </c>
    </row>
    <row r="10277" spans="18:20" x14ac:dyDescent="0.45">
      <c r="R10277" s="2">
        <v>119.53</v>
      </c>
      <c r="S10277" s="2">
        <v>1.834287</v>
      </c>
      <c r="T10277" s="2">
        <v>2.538465</v>
      </c>
    </row>
    <row r="10278" spans="18:20" x14ac:dyDescent="0.45">
      <c r="R10278" s="2">
        <v>119.54</v>
      </c>
      <c r="S10278" s="2">
        <v>1.8378129999999999</v>
      </c>
      <c r="T10278" s="2">
        <v>2.5482849999999999</v>
      </c>
    </row>
    <row r="10279" spans="18:20" x14ac:dyDescent="0.45">
      <c r="R10279" s="2">
        <v>119.55</v>
      </c>
      <c r="S10279" s="2">
        <v>1.8413390000000001</v>
      </c>
      <c r="T10279" s="2">
        <v>2.5581040000000002</v>
      </c>
    </row>
    <row r="10280" spans="18:20" x14ac:dyDescent="0.45">
      <c r="R10280" s="2">
        <v>119.56</v>
      </c>
      <c r="S10280" s="2">
        <v>1.844865</v>
      </c>
      <c r="T10280" s="2">
        <v>2.5679240000000001</v>
      </c>
    </row>
    <row r="10281" spans="18:20" x14ac:dyDescent="0.45">
      <c r="R10281" s="2">
        <v>119.57</v>
      </c>
      <c r="S10281" s="2">
        <v>1.8483909999999999</v>
      </c>
      <c r="T10281" s="2">
        <v>2.577744</v>
      </c>
    </row>
    <row r="10282" spans="18:20" x14ac:dyDescent="0.45">
      <c r="R10282" s="2">
        <v>119.58</v>
      </c>
      <c r="S10282" s="2">
        <v>1.8519159999999999</v>
      </c>
      <c r="T10282" s="2">
        <v>2.587564</v>
      </c>
    </row>
    <row r="10283" spans="18:20" x14ac:dyDescent="0.45">
      <c r="R10283" s="2">
        <v>119.59</v>
      </c>
      <c r="S10283" s="2">
        <v>1.855442</v>
      </c>
      <c r="T10283" s="2">
        <v>2.5973839999999999</v>
      </c>
    </row>
    <row r="10284" spans="18:20" x14ac:dyDescent="0.45">
      <c r="R10284" s="2">
        <v>119.6</v>
      </c>
      <c r="S10284" s="2">
        <v>1.858968</v>
      </c>
      <c r="T10284" s="2">
        <v>2.6072039999999999</v>
      </c>
    </row>
    <row r="10285" spans="18:20" x14ac:dyDescent="0.45">
      <c r="R10285" s="2">
        <v>119.61</v>
      </c>
      <c r="S10285" s="2">
        <v>1.8624940000000001</v>
      </c>
      <c r="T10285" s="2">
        <v>2.6170239999999998</v>
      </c>
    </row>
    <row r="10286" spans="18:20" x14ac:dyDescent="0.45">
      <c r="R10286" s="2">
        <v>119.62</v>
      </c>
      <c r="S10286" s="2">
        <v>1.86602</v>
      </c>
      <c r="T10286" s="2">
        <v>2.6268440000000002</v>
      </c>
    </row>
    <row r="10287" spans="18:20" x14ac:dyDescent="0.45">
      <c r="R10287" s="2">
        <v>119.63</v>
      </c>
      <c r="S10287" s="2">
        <v>1.869545</v>
      </c>
      <c r="T10287" s="2">
        <v>2.6366640000000001</v>
      </c>
    </row>
    <row r="10288" spans="18:20" x14ac:dyDescent="0.45">
      <c r="R10288" s="2">
        <v>119.64</v>
      </c>
      <c r="S10288" s="2">
        <v>1.8730709999999999</v>
      </c>
      <c r="T10288" s="2">
        <v>2.6464840000000001</v>
      </c>
    </row>
    <row r="10289" spans="18:20" x14ac:dyDescent="0.45">
      <c r="R10289" s="2">
        <v>119.65</v>
      </c>
      <c r="S10289" s="2">
        <v>1.8765970000000001</v>
      </c>
      <c r="T10289" s="2">
        <v>2.656304</v>
      </c>
    </row>
    <row r="10290" spans="18:20" x14ac:dyDescent="0.45">
      <c r="R10290" s="2">
        <v>119.66</v>
      </c>
      <c r="S10290" s="2">
        <v>1.880123</v>
      </c>
      <c r="T10290" s="2">
        <v>2.6661229999999998</v>
      </c>
    </row>
    <row r="10291" spans="18:20" x14ac:dyDescent="0.45">
      <c r="R10291" s="2">
        <v>119.67</v>
      </c>
      <c r="S10291" s="2">
        <v>1.8836489999999999</v>
      </c>
      <c r="T10291" s="2">
        <v>2.6759430000000002</v>
      </c>
    </row>
    <row r="10292" spans="18:20" x14ac:dyDescent="0.45">
      <c r="R10292" s="2">
        <v>119.68</v>
      </c>
      <c r="S10292" s="2">
        <v>1.8871739999999999</v>
      </c>
      <c r="T10292" s="2">
        <v>2.6857630000000001</v>
      </c>
    </row>
    <row r="10293" spans="18:20" x14ac:dyDescent="0.45">
      <c r="R10293" s="2">
        <v>119.69</v>
      </c>
      <c r="S10293" s="2">
        <v>1.8907</v>
      </c>
      <c r="T10293" s="2">
        <v>2.6955830000000001</v>
      </c>
    </row>
    <row r="10294" spans="18:20" x14ac:dyDescent="0.45">
      <c r="R10294" s="2">
        <v>119.7</v>
      </c>
      <c r="S10294" s="2">
        <v>1.894226</v>
      </c>
      <c r="T10294" s="2">
        <v>2.705403</v>
      </c>
    </row>
    <row r="10295" spans="18:20" x14ac:dyDescent="0.45">
      <c r="R10295" s="2">
        <v>119.71</v>
      </c>
      <c r="S10295" s="2">
        <v>1.8977520000000001</v>
      </c>
      <c r="T10295" s="2">
        <v>2.7152229999999999</v>
      </c>
    </row>
    <row r="10296" spans="18:20" x14ac:dyDescent="0.45">
      <c r="R10296" s="2">
        <v>119.72</v>
      </c>
      <c r="S10296" s="2">
        <v>1.901278</v>
      </c>
      <c r="T10296" s="2">
        <v>2.7250429999999999</v>
      </c>
    </row>
    <row r="10297" spans="18:20" x14ac:dyDescent="0.45">
      <c r="R10297" s="2">
        <v>119.73</v>
      </c>
      <c r="S10297" s="2">
        <v>1.904803</v>
      </c>
      <c r="T10297" s="2">
        <v>2.7348629999999998</v>
      </c>
    </row>
    <row r="10298" spans="18:20" x14ac:dyDescent="0.45">
      <c r="R10298" s="2">
        <v>119.74</v>
      </c>
      <c r="S10298" s="2">
        <v>1.9083289999999999</v>
      </c>
      <c r="T10298" s="2">
        <v>2.7446830000000002</v>
      </c>
    </row>
    <row r="10299" spans="18:20" x14ac:dyDescent="0.45">
      <c r="R10299" s="2">
        <v>119.75</v>
      </c>
      <c r="S10299" s="2">
        <v>1.9118550000000001</v>
      </c>
      <c r="T10299" s="2">
        <v>2.7545030000000001</v>
      </c>
    </row>
    <row r="10300" spans="18:20" x14ac:dyDescent="0.45">
      <c r="R10300" s="2">
        <v>119.76</v>
      </c>
      <c r="S10300" s="2">
        <v>1.915381</v>
      </c>
      <c r="T10300" s="2">
        <v>2.7643219999999999</v>
      </c>
    </row>
    <row r="10301" spans="18:20" x14ac:dyDescent="0.45">
      <c r="R10301" s="2">
        <v>119.77</v>
      </c>
      <c r="S10301" s="2">
        <v>1.9189069999999999</v>
      </c>
      <c r="T10301" s="2">
        <v>2.7741419999999999</v>
      </c>
    </row>
    <row r="10302" spans="18:20" x14ac:dyDescent="0.45">
      <c r="R10302" s="2">
        <v>119.78</v>
      </c>
      <c r="S10302" s="2">
        <v>1.9224319999999999</v>
      </c>
      <c r="T10302" s="2">
        <v>2.7839619999999998</v>
      </c>
    </row>
    <row r="10303" spans="18:20" x14ac:dyDescent="0.45">
      <c r="R10303" s="2">
        <v>119.79</v>
      </c>
      <c r="S10303" s="2">
        <v>1.9259580000000001</v>
      </c>
      <c r="T10303" s="2">
        <v>2.7937820000000002</v>
      </c>
    </row>
    <row r="10304" spans="18:20" x14ac:dyDescent="0.45">
      <c r="R10304" s="2">
        <v>119.8</v>
      </c>
      <c r="S10304" s="2">
        <v>1.929484</v>
      </c>
      <c r="T10304" s="2">
        <v>2.8036020000000001</v>
      </c>
    </row>
    <row r="10305" spans="18:20" x14ac:dyDescent="0.45">
      <c r="R10305" s="2">
        <v>119.81</v>
      </c>
      <c r="S10305" s="2">
        <v>1.9330099999999999</v>
      </c>
      <c r="T10305" s="2">
        <v>2.8134220000000001</v>
      </c>
    </row>
    <row r="10306" spans="18:20" x14ac:dyDescent="0.45">
      <c r="R10306" s="2">
        <v>119.82</v>
      </c>
      <c r="S10306" s="2">
        <v>1.936536</v>
      </c>
      <c r="T10306" s="2">
        <v>2.823242</v>
      </c>
    </row>
    <row r="10307" spans="18:20" x14ac:dyDescent="0.45">
      <c r="R10307" s="2">
        <v>119.83</v>
      </c>
      <c r="S10307" s="2">
        <v>1.940061</v>
      </c>
      <c r="T10307" s="2">
        <v>2.833062</v>
      </c>
    </row>
    <row r="10308" spans="18:20" x14ac:dyDescent="0.45">
      <c r="R10308" s="2">
        <v>119.84</v>
      </c>
      <c r="S10308" s="2">
        <v>1.943587</v>
      </c>
      <c r="T10308" s="2">
        <v>2.8428819999999999</v>
      </c>
    </row>
    <row r="10309" spans="18:20" x14ac:dyDescent="0.45">
      <c r="R10309" s="2">
        <v>119.85</v>
      </c>
      <c r="S10309" s="2">
        <v>1.9471130000000001</v>
      </c>
      <c r="T10309" s="2">
        <v>2.8527010000000002</v>
      </c>
    </row>
    <row r="10310" spans="18:20" x14ac:dyDescent="0.45">
      <c r="R10310" s="2">
        <v>119.86</v>
      </c>
      <c r="S10310" s="2">
        <v>1.950639</v>
      </c>
      <c r="T10310" s="2">
        <v>2.8625210000000001</v>
      </c>
    </row>
    <row r="10311" spans="18:20" x14ac:dyDescent="0.45">
      <c r="R10311" s="2">
        <v>119.87</v>
      </c>
      <c r="S10311" s="2">
        <v>1.9541649999999999</v>
      </c>
      <c r="T10311" s="2">
        <v>2.872341</v>
      </c>
    </row>
    <row r="10312" spans="18:20" x14ac:dyDescent="0.45">
      <c r="R10312" s="2">
        <v>119.88</v>
      </c>
      <c r="S10312" s="2">
        <v>1.9576899999999999</v>
      </c>
      <c r="T10312" s="2">
        <v>2.882161</v>
      </c>
    </row>
    <row r="10313" spans="18:20" x14ac:dyDescent="0.45">
      <c r="R10313" s="2">
        <v>119.89</v>
      </c>
      <c r="S10313" s="2">
        <v>1.9612160000000001</v>
      </c>
      <c r="T10313" s="2">
        <v>2.8919809999999999</v>
      </c>
    </row>
    <row r="10314" spans="18:20" x14ac:dyDescent="0.45">
      <c r="R10314" s="2">
        <v>119.9</v>
      </c>
      <c r="S10314" s="2">
        <v>1.964742</v>
      </c>
      <c r="T10314" s="2">
        <v>2.9018009999999999</v>
      </c>
    </row>
    <row r="10315" spans="18:20" x14ac:dyDescent="0.45">
      <c r="R10315" s="2">
        <v>119.91</v>
      </c>
      <c r="S10315" s="2">
        <v>1.9682679999999999</v>
      </c>
      <c r="T10315" s="2">
        <v>2.9116209999999998</v>
      </c>
    </row>
    <row r="10316" spans="18:20" x14ac:dyDescent="0.45">
      <c r="R10316" s="2">
        <v>119.92</v>
      </c>
      <c r="S10316" s="2">
        <v>1.971794</v>
      </c>
      <c r="T10316" s="2">
        <v>2.9214410000000002</v>
      </c>
    </row>
    <row r="10317" spans="18:20" x14ac:dyDescent="0.45">
      <c r="R10317" s="2">
        <v>119.93</v>
      </c>
      <c r="S10317" s="2">
        <v>1.975319</v>
      </c>
      <c r="T10317" s="2">
        <v>2.9312610000000001</v>
      </c>
    </row>
    <row r="10318" spans="18:20" x14ac:dyDescent="0.45">
      <c r="R10318" s="2">
        <v>119.94</v>
      </c>
      <c r="S10318" s="2">
        <v>1.978845</v>
      </c>
      <c r="T10318" s="2">
        <v>2.9410810000000001</v>
      </c>
    </row>
    <row r="10319" spans="18:20" x14ac:dyDescent="0.45">
      <c r="R10319" s="2">
        <v>119.95</v>
      </c>
      <c r="S10319" s="2">
        <v>1.9823710000000001</v>
      </c>
      <c r="T10319" s="2">
        <v>2.950901</v>
      </c>
    </row>
    <row r="10320" spans="18:20" x14ac:dyDescent="0.45">
      <c r="R10320" s="2">
        <v>119.96</v>
      </c>
      <c r="S10320" s="2">
        <v>1.985897</v>
      </c>
      <c r="T10320" s="2">
        <v>2.9607199999999998</v>
      </c>
    </row>
    <row r="10321" spans="18:20" x14ac:dyDescent="0.45">
      <c r="R10321" s="2">
        <v>119.97</v>
      </c>
      <c r="S10321" s="2">
        <v>1.9894229999999999</v>
      </c>
      <c r="T10321" s="2">
        <v>2.9705400000000002</v>
      </c>
    </row>
    <row r="10322" spans="18:20" x14ac:dyDescent="0.45">
      <c r="R10322" s="2">
        <v>119.98</v>
      </c>
      <c r="S10322" s="2">
        <v>1.9929479999999999</v>
      </c>
      <c r="T10322" s="2">
        <v>2.9803600000000001</v>
      </c>
    </row>
    <row r="10323" spans="18:20" x14ac:dyDescent="0.45">
      <c r="R10323" s="2">
        <v>119.99</v>
      </c>
      <c r="S10323" s="2">
        <v>1.9964740000000001</v>
      </c>
      <c r="T10323" s="2">
        <v>2.9901800000000001</v>
      </c>
    </row>
    <row r="10324" spans="18:20" x14ac:dyDescent="0.45">
      <c r="R10324" s="2">
        <v>120</v>
      </c>
      <c r="S10324" s="2">
        <v>2</v>
      </c>
      <c r="T10324" s="2">
        <v>3</v>
      </c>
    </row>
  </sheetData>
  <conditionalFormatting sqref="AP31:AR33">
    <cfRule type="cellIs" dxfId="1" priority="1" operator="notBetween">
      <formula>-0.0001</formula>
      <formula>0.0001</formula>
    </cfRule>
    <cfRule type="cellIs" dxfId="0" priority="2" operator="between">
      <formula>-0.0001</formula>
      <formula>0.0001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delta</vt:lpstr>
      <vt:lpstr>h_1</vt:lpstr>
      <vt:lpstr>h_2</vt:lpstr>
      <vt:lpstr>h_3</vt:lpstr>
      <vt:lpstr>Prem1</vt:lpstr>
      <vt:lpstr>Prem2</vt:lpstr>
      <vt:lpstr>Prem3</vt:lpstr>
      <vt:lpstr>Table_1</vt:lpstr>
      <vt:lpstr>Table_2</vt:lpstr>
      <vt:lpstr>Table_3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sharpe</dc:creator>
  <cp:keywords/>
  <dc:description/>
  <cp:lastModifiedBy>Marcus Gwee Wen Hong</cp:lastModifiedBy>
  <cp:revision/>
  <dcterms:created xsi:type="dcterms:W3CDTF">2021-02-04T10:16:04Z</dcterms:created>
  <dcterms:modified xsi:type="dcterms:W3CDTF">2026-01-31T09:07:04Z</dcterms:modified>
  <cp:category/>
  <cp:contentStatus/>
</cp:coreProperties>
</file>