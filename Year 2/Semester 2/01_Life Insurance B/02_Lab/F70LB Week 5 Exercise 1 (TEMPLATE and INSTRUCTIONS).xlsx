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u\OneDrive\Desktop\02_Courses\01_Life Insurance B\02_Lab\"/>
    </mc:Choice>
  </mc:AlternateContent>
  <xr:revisionPtr revIDLastSave="0" documentId="13_ncr:1_{814976FC-61EA-4354-ADFC-A32E4E2A8B7D}" xr6:coauthVersionLast="47" xr6:coauthVersionMax="47" xr10:uidLastSave="{00000000-0000-0000-0000-000000000000}"/>
  <bookViews>
    <workbookView xWindow="-98" yWindow="-98" windowWidth="21795" windowHeight="12975" activeTab="6" xr2:uid="{00000000-000D-0000-FFFF-FFFF00000000}"/>
  </bookViews>
  <sheets>
    <sheet name="Instructions" sheetId="12" r:id="rId1"/>
    <sheet name="Colour key" sheetId="13" r:id="rId2"/>
    <sheet name="Q1" sheetId="3" r:id="rId3"/>
    <sheet name="Q2" sheetId="10" r:id="rId4"/>
    <sheet name="Q3" sheetId="5" r:id="rId5"/>
    <sheet name="Q4" sheetId="7" r:id="rId6"/>
    <sheet name="Q5" sheetId="8" r:id="rId7"/>
  </sheets>
  <externalReferences>
    <externalReference r:id="rId8"/>
  </externalReferences>
  <definedNames>
    <definedName name="constant_q">[1]Q2!$E$11</definedName>
    <definedName name="Expenses">[1]Q1!$F$9</definedName>
    <definedName name="int_1">#REF!</definedName>
    <definedName name="int_2">#REF!</definedName>
    <definedName name="INT_Q3">[1]Q3!$E$6</definedName>
    <definedName name="interest">[1]Q1!$F$7</definedName>
    <definedName name="premium">#REF!</definedName>
    <definedName name="term">[1]Q5!$E$14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8" l="1"/>
  <c r="B10" i="8"/>
  <c r="B9" i="8"/>
  <c r="C11" i="8" l="1"/>
  <c r="C10" i="8"/>
  <c r="B6" i="8"/>
  <c r="F38" i="7"/>
  <c r="F39" i="7"/>
  <c r="F37" i="7"/>
  <c r="D38" i="7"/>
  <c r="D39" i="7"/>
  <c r="D37" i="7"/>
  <c r="B38" i="7"/>
  <c r="B39" i="7"/>
  <c r="B37" i="7"/>
  <c r="C39" i="7"/>
  <c r="C38" i="7"/>
  <c r="C37" i="7"/>
  <c r="F30" i="7"/>
  <c r="F31" i="7"/>
  <c r="F29" i="7"/>
  <c r="C12" i="8" l="1"/>
  <c r="J38" i="7"/>
  <c r="J39" i="7"/>
  <c r="J37" i="7"/>
  <c r="F10" i="7"/>
  <c r="H38" i="7"/>
  <c r="H39" i="7"/>
  <c r="H37" i="7"/>
  <c r="G39" i="7"/>
  <c r="G37" i="7"/>
  <c r="G29" i="7"/>
  <c r="H29" i="7" s="1"/>
  <c r="D30" i="7"/>
  <c r="D31" i="7"/>
  <c r="D29" i="7"/>
  <c r="C31" i="7"/>
  <c r="C30" i="7"/>
  <c r="C29" i="7"/>
  <c r="B30" i="7"/>
  <c r="B31" i="7"/>
  <c r="B29" i="7"/>
  <c r="C17" i="7"/>
  <c r="C18" i="7"/>
  <c r="C19" i="7"/>
  <c r="D16" i="7"/>
  <c r="D17" i="7" s="1"/>
  <c r="D18" i="7" s="1"/>
  <c r="D19" i="7" s="1"/>
  <c r="C16" i="7"/>
  <c r="F17" i="5"/>
  <c r="F16" i="5"/>
  <c r="G16" i="5" s="1"/>
  <c r="E17" i="5"/>
  <c r="E18" i="5"/>
  <c r="E16" i="5"/>
  <c r="D17" i="5"/>
  <c r="D18" i="5"/>
  <c r="D16" i="5"/>
  <c r="C17" i="5"/>
  <c r="C18" i="5"/>
  <c r="C16" i="5"/>
  <c r="B17" i="5"/>
  <c r="B18" i="5"/>
  <c r="B16" i="5"/>
  <c r="G31" i="10"/>
  <c r="G32" i="10"/>
  <c r="G30" i="10"/>
  <c r="C12" i="10"/>
  <c r="P31" i="10" s="1"/>
  <c r="K32" i="10"/>
  <c r="K30" i="10"/>
  <c r="J32" i="10"/>
  <c r="I32" i="10"/>
  <c r="H32" i="10"/>
  <c r="E32" i="10"/>
  <c r="D32" i="10"/>
  <c r="C32" i="10"/>
  <c r="L32" i="10" s="1"/>
  <c r="I31" i="10"/>
  <c r="H31" i="10"/>
  <c r="E31" i="10"/>
  <c r="D31" i="10"/>
  <c r="I30" i="10"/>
  <c r="H30" i="10"/>
  <c r="E30" i="10"/>
  <c r="D30" i="10"/>
  <c r="C31" i="10" s="1"/>
  <c r="C24" i="10"/>
  <c r="C23" i="10"/>
  <c r="C22" i="10"/>
  <c r="L31" i="10" s="1"/>
  <c r="D21" i="10"/>
  <c r="D22" i="10" s="1"/>
  <c r="N31" i="10" s="1"/>
  <c r="C21" i="10"/>
  <c r="L30" i="10" s="1"/>
  <c r="C20" i="10"/>
  <c r="C19" i="10"/>
  <c r="D33" i="3"/>
  <c r="G38" i="7" l="1"/>
  <c r="I29" i="7"/>
  <c r="H16" i="5"/>
  <c r="I16" i="5" s="1"/>
  <c r="P30" i="10"/>
  <c r="P32" i="10"/>
  <c r="J31" i="10"/>
  <c r="K31" i="10"/>
  <c r="J30" i="10"/>
  <c r="M30" i="10" s="1"/>
  <c r="M32" i="10"/>
  <c r="O32" i="10" s="1"/>
  <c r="D23" i="10"/>
  <c r="N32" i="10" s="1"/>
  <c r="N30" i="10"/>
  <c r="O30" i="10" s="1"/>
  <c r="J29" i="7" l="1"/>
  <c r="E37" i="7"/>
  <c r="G17" i="5"/>
  <c r="Q30" i="10"/>
  <c r="Q32" i="10"/>
  <c r="M31" i="10"/>
  <c r="O31" i="10" s="1"/>
  <c r="Q31" i="10" s="1"/>
  <c r="D24" i="10"/>
  <c r="G30" i="7" l="1"/>
  <c r="H30" i="7" s="1"/>
  <c r="I30" i="7" s="1"/>
  <c r="I37" i="7"/>
  <c r="H17" i="5"/>
  <c r="I17" i="5" s="1"/>
  <c r="F18" i="5" s="1"/>
  <c r="G18" i="5" s="1"/>
  <c r="H18" i="5" s="1"/>
  <c r="I18" i="5" s="1"/>
  <c r="H7" i="5" s="1"/>
  <c r="H10" i="10"/>
  <c r="K37" i="7" l="1"/>
  <c r="M8" i="7"/>
  <c r="J30" i="7"/>
  <c r="E38" i="7"/>
  <c r="Q32" i="3"/>
  <c r="Q31" i="3"/>
  <c r="P32" i="3"/>
  <c r="P33" i="3"/>
  <c r="P31" i="3"/>
  <c r="C12" i="3"/>
  <c r="O32" i="3"/>
  <c r="O31" i="3"/>
  <c r="M32" i="3"/>
  <c r="M31" i="3"/>
  <c r="G31" i="7" l="1"/>
  <c r="H31" i="7" s="1"/>
  <c r="I31" i="7" s="1"/>
  <c r="I38" i="7"/>
  <c r="N32" i="3"/>
  <c r="N33" i="3"/>
  <c r="N31" i="3"/>
  <c r="L32" i="3"/>
  <c r="L33" i="3"/>
  <c r="M33" i="3" s="1"/>
  <c r="O33" i="3" s="1"/>
  <c r="Q33" i="3" s="1"/>
  <c r="F10" i="3" s="1"/>
  <c r="L31" i="3"/>
  <c r="K32" i="3"/>
  <c r="K33" i="3"/>
  <c r="K31" i="3"/>
  <c r="J32" i="3"/>
  <c r="J33" i="3"/>
  <c r="I32" i="3"/>
  <c r="I31" i="3"/>
  <c r="J31" i="3" s="1"/>
  <c r="M9" i="7" l="1"/>
  <c r="K38" i="7"/>
  <c r="J31" i="7"/>
  <c r="E39" i="7"/>
  <c r="D24" i="3"/>
  <c r="D25" i="3"/>
  <c r="D23" i="3"/>
  <c r="D22" i="3"/>
  <c r="H32" i="3"/>
  <c r="H33" i="3"/>
  <c r="I33" i="3"/>
  <c r="H31" i="3"/>
  <c r="G32" i="3"/>
  <c r="G33" i="3"/>
  <c r="G31" i="3"/>
  <c r="C33" i="3"/>
  <c r="C32" i="3"/>
  <c r="D32" i="3"/>
  <c r="D31" i="3"/>
  <c r="E32" i="3"/>
  <c r="E33" i="3"/>
  <c r="E31" i="3"/>
  <c r="C21" i="3"/>
  <c r="C22" i="3"/>
  <c r="C23" i="3"/>
  <c r="C24" i="3"/>
  <c r="C25" i="3"/>
  <c r="C20" i="3"/>
  <c r="I39" i="7" l="1"/>
  <c r="M7" i="7"/>
  <c r="M10" i="7" l="1"/>
  <c r="K39" i="7"/>
  <c r="M12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6" authorId="0" shapeId="0" xr:uid="{8AFAC2D5-BC1A-470B-8018-10C9E2DB2CE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Discontinuous formula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Marcus Gwee Wen Hong</author>
  </authors>
  <commentList>
    <comment ref="H10" authorId="0" shapeId="0" xr:uid="{B1149F4D-88A1-4B3C-B062-5954C0D75D13}">
      <text>
        <r>
          <rPr>
            <b/>
            <sz val="9"/>
            <color indexed="81"/>
            <rFont val="Tahoma"/>
            <charset val="1"/>
          </rPr>
          <t>Marcus Gwee Wen Hong:</t>
        </r>
        <r>
          <rPr>
            <sz val="9"/>
            <color indexed="81"/>
            <rFont val="Tahoma"/>
            <charset val="1"/>
          </rPr>
          <t xml:space="preserve">
Goal Seek</t>
        </r>
      </text>
    </comment>
  </commentList>
</comments>
</file>

<file path=xl/sharedStrings.xml><?xml version="1.0" encoding="utf-8"?>
<sst xmlns="http://schemas.openxmlformats.org/spreadsheetml/2006/main" count="219" uniqueCount="141">
  <si>
    <t>Year</t>
  </si>
  <si>
    <t>Premium</t>
  </si>
  <si>
    <t>Expenses</t>
  </si>
  <si>
    <t>SCF</t>
  </si>
  <si>
    <t>t-1px</t>
  </si>
  <si>
    <t>Interest</t>
  </si>
  <si>
    <t>Age</t>
  </si>
  <si>
    <t>q(x)</t>
  </si>
  <si>
    <t>AM92</t>
  </si>
  <si>
    <t>Death benefit</t>
  </si>
  <si>
    <t>Survival benefit</t>
  </si>
  <si>
    <t>Cash flow</t>
  </si>
  <si>
    <t>p(x)</t>
  </si>
  <si>
    <t>(t)p(x)</t>
  </si>
  <si>
    <t>int on reserves</t>
  </si>
  <si>
    <t>EPV</t>
  </si>
  <si>
    <t>Allocation</t>
  </si>
  <si>
    <t>Bid/offer</t>
  </si>
  <si>
    <t>Allocated Premium</t>
  </si>
  <si>
    <t>fmc</t>
  </si>
  <si>
    <t>Unallocated prem</t>
  </si>
  <si>
    <t>mortality cost</t>
  </si>
  <si>
    <t>Profit Sig</t>
  </si>
  <si>
    <t>RDR</t>
  </si>
  <si>
    <t>Term</t>
  </si>
  <si>
    <t>Inc in reserves</t>
  </si>
  <si>
    <t>V(t)</t>
  </si>
  <si>
    <t>V(t-1)</t>
  </si>
  <si>
    <t>profit signature</t>
  </si>
  <si>
    <t>(t-1)p(x)</t>
  </si>
  <si>
    <t>profit vector</t>
  </si>
  <si>
    <t>v^n @ RDR</t>
  </si>
  <si>
    <t>Results</t>
  </si>
  <si>
    <t>EPV profit</t>
  </si>
  <si>
    <t>Parameters</t>
  </si>
  <si>
    <t>Mortality rates</t>
  </si>
  <si>
    <t>Calculations</t>
  </si>
  <si>
    <t>Lab 3 Exercise 2 - Question 1</t>
  </si>
  <si>
    <t>Lab 3 Exercise 2 - Question 2</t>
  </si>
  <si>
    <t>Year 1</t>
  </si>
  <si>
    <t>Year 2</t>
  </si>
  <si>
    <t>Year 3</t>
  </si>
  <si>
    <t>(t)p(62)</t>
  </si>
  <si>
    <t>Instructions</t>
  </si>
  <si>
    <t>(Note: If you would like to view these instructions at the same time as other sheets then you can use View&gt;New Window to create a second window.)</t>
  </si>
  <si>
    <t>Question 1</t>
  </si>
  <si>
    <t>Interest 6% a year</t>
  </si>
  <si>
    <t>Question 2</t>
  </si>
  <si>
    <t>Question 3</t>
  </si>
  <si>
    <t>Question 4</t>
  </si>
  <si>
    <t>Question 5</t>
  </si>
  <si>
    <t>Colour keys</t>
  </si>
  <si>
    <t xml:space="preserve">The colours below are used to make the worksheet more readable and easier to check. </t>
  </si>
  <si>
    <t>Using a colour key like this is considered good practice in the workplace.</t>
  </si>
  <si>
    <t xml:space="preserve">At the start of your career, it is especially important that you produce work that is easy to read, reuse and check. </t>
  </si>
  <si>
    <t xml:space="preserve">Your colleagues will appreciate it! And it is more efficient because it saves time for the more senior people. </t>
  </si>
  <si>
    <t>Not all of this key will be required in simple spreadsheets.</t>
  </si>
  <si>
    <t>Our colour key</t>
  </si>
  <si>
    <t>Parameters/inputs</t>
  </si>
  <si>
    <t>Data/values</t>
  </si>
  <si>
    <t>Calculations and text</t>
  </si>
  <si>
    <t>Discontinuous formulas are highlighted</t>
  </si>
  <si>
    <t>Value looked up from data</t>
  </si>
  <si>
    <t>62. The sum assured of $30,000 is payable on maturity or at the end of the year of</t>
  </si>
  <si>
    <t>death, if within 3 years, and there are level annual premiums of $9,350 payable in</t>
  </si>
  <si>
    <t>A life office issues a 3-year without profits endowment assurance policy to a life aged</t>
  </si>
  <si>
    <t>advance. The office uses the following `experience' basis:</t>
  </si>
  <si>
    <t>Mortality AM92 Ultimate</t>
  </si>
  <si>
    <t>Initial Expenses $400</t>
  </si>
  <si>
    <t>Renewal Expenses $100 at the beginning of the second and the third policy years.</t>
  </si>
  <si>
    <t>and $19,514 respectively.</t>
  </si>
  <si>
    <t>The reserves to be held at the end of the first and second policy years are $9,532</t>
  </si>
  <si>
    <t>(a) Determine the profit signature of this policy.</t>
  </si>
  <si>
    <t>(b) Find the net present value of the profit signature at a risk discount rate of 9% a year</t>
  </si>
  <si>
    <t>will cut interest rates over the next few years. You assume that the interest rate</t>
  </si>
  <si>
    <t>are as Q1.</t>
  </si>
  <si>
    <t>(b) Show that the internal rate of return lies between 7% and 8%.</t>
  </si>
  <si>
    <t>You are an actuary working for the life office in Q1. You believe that the government</t>
  </si>
  <si>
    <t>will be 6%, 5% and 5% in the first, second and third years respectively.</t>
  </si>
  <si>
    <t>(a) Find the net present value of the profit signature at a risk discount rate of 9%</t>
  </si>
  <si>
    <t>a year of the contract if the interest rate changes as above but all other details</t>
  </si>
  <si>
    <t>charge of 0.5% of the bid value of the units is deducted at the end of each policy</t>
  </si>
  <si>
    <t>year. The annual premium is $1,000.</t>
  </si>
  <si>
    <t>A life office issues 3-year unit-linked policies with level annual premiums. 95% of</t>
  </si>
  <si>
    <t>the first year's premium and 101% of each subsequent premium is invested in units</t>
  </si>
  <si>
    <t>at the offer price. The bid price is 95% of the o_x000B_er price. A fund management</t>
  </si>
  <si>
    <t>Calculate the estimated maturity value assuming 8% a year growth in unit values.</t>
  </si>
  <si>
    <t>FMC</t>
  </si>
  <si>
    <t>B\O spread</t>
  </si>
  <si>
    <t>End year subtotal</t>
  </si>
  <si>
    <t>End year after FMC</t>
  </si>
  <si>
    <t>Lab 3 Exercise 2 - Question 3</t>
  </si>
  <si>
    <t>Growth in unit price</t>
  </si>
  <si>
    <t>Fund at year start</t>
  </si>
  <si>
    <t>Result</t>
  </si>
  <si>
    <t>Maturity value</t>
  </si>
  <si>
    <t>Unit fund calculation</t>
  </si>
  <si>
    <t>Mortality</t>
  </si>
  <si>
    <t>time</t>
  </si>
  <si>
    <t>in year 2 and 3</t>
  </si>
  <si>
    <t>of first premium</t>
  </si>
  <si>
    <t>Initial expenses</t>
  </si>
  <si>
    <t>Renewal expenses</t>
  </si>
  <si>
    <t>Non-unit interest</t>
  </si>
  <si>
    <t>Non-unit fund calculation</t>
  </si>
  <si>
    <t>Lab 3 Exercise 2 - Question 4</t>
  </si>
  <si>
    <t>The units are subject to an annual management charge of 0.75% of the bid value of</t>
  </si>
  <si>
    <t>the fund at the end of each year.</t>
  </si>
  <si>
    <t>the annual premium and the bid value of the units (after the management charge</t>
  </si>
  <si>
    <t>has been deducted). There is no explicit mortality charge.</t>
  </si>
  <si>
    <t>mium. Renewal expenses are expected to be $20, payable at the beginning of each</t>
  </si>
  <si>
    <t>The mortality rate at each age is assumed to be 0.003. Ignore the possibility of</t>
  </si>
  <si>
    <t>surrender.</t>
  </si>
  <si>
    <t>Unit prices are assumed to grow at 9% p.a., and sterling reserves are assumed to</t>
  </si>
  <si>
    <t>earn interest at 4% p.a..</t>
  </si>
  <si>
    <t>Consider a policy with a level annual premium of $1000 (payable in advance).</t>
  </si>
  <si>
    <t>A life office issues a large block of 3-year unit-linked endowment assurances under</t>
  </si>
  <si>
    <t>which 80% of the firrst year's premium and 101% of subsequent premiums are in-</t>
  </si>
  <si>
    <t>vested in units at the offer price. The bid price of the units is 95% of the o_x000B_er price.</t>
  </si>
  <si>
    <t>The death benefit, payable at the end of the year of death, is the greater of twice</t>
  </si>
  <si>
    <t>The office expects to incur initial expenses on these policies of 20% of the first pre-</t>
  </si>
  <si>
    <t>policy year after the first.</t>
  </si>
  <si>
    <t>(a) Calculate the bid value of the units at maturity, according to the office's projections</t>
  </si>
  <si>
    <t>(ii) Using a risk discount rate of 10% p.a., calculate the expected present value</t>
  </si>
  <si>
    <t>(b) (i) Assuming that the office holds zero sterling reserves at the end of each</t>
  </si>
  <si>
    <t>policy year, calculate the profit signature.</t>
  </si>
  <si>
    <t>(at the issue date) of the profit on the policy.</t>
  </si>
  <si>
    <t>(a) bid value of units at maturity</t>
  </si>
  <si>
    <t>(b) (ii) EPV profit</t>
  </si>
  <si>
    <t>(b)(i) Profit signature</t>
  </si>
  <si>
    <t>Interest on non-unit fund</t>
  </si>
  <si>
    <t>Lab 3 Exercise 2 - Question 5</t>
  </si>
  <si>
    <t>We are given:</t>
  </si>
  <si>
    <t>Zeroise the following profit signature assuming a 3% rate of return on non-unit reserves:</t>
  </si>
  <si>
    <t>-</t>
  </si>
  <si>
    <t>Alloc Rate</t>
  </si>
  <si>
    <t>Spread</t>
  </si>
  <si>
    <t>Alloc Prem</t>
  </si>
  <si>
    <t>Fund BOY</t>
  </si>
  <si>
    <t>Fund EOY</t>
  </si>
  <si>
    <t>Fund EOY after FMC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</si>
</sst>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£&quot;#,##0;[Red]\-&quot;£&quot;#,##0"/>
    <numFmt numFmtId="165" formatCode="&quot;£&quot;#,##0.00;[Red]\-&quot;£&quot;#,##0.00"/>
    <numFmt numFmtId="166" formatCode="_-* #,##0.00000_-;\-* #,##0.00000_-;_-* &quot;-&quot;??_-;_-@_-"/>
    <numFmt numFmtId="167" formatCode="#,##0.000"/>
    <numFmt numFmtId="168" formatCode="_-* #,##0.0000_-;\-* #,##0.0000_-;_-* &quot;-&quot;??_-;_-@_-"/>
    <numFmt numFmtId="169" formatCode="_-* #,##0.000000_-;\-* #,##0.000000_-;_-* &quot;-&quot;??_-;_-@_-"/>
    <numFmt numFmtId="170" formatCode="0.00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FF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66FF"/>
      <name val="Arial"/>
      <family val="2"/>
    </font>
    <font>
      <sz val="10"/>
      <color theme="3" tint="0.499984740745262"/>
      <name val="Arial"/>
      <family val="2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right" wrapText="1"/>
    </xf>
    <xf numFmtId="0" fontId="0" fillId="3" borderId="1" xfId="0" applyFill="1" applyBorder="1" applyAlignment="1">
      <alignment horizontal="right"/>
    </xf>
    <xf numFmtId="43" fontId="0" fillId="3" borderId="1" xfId="1" applyFont="1" applyFill="1" applyBorder="1" applyAlignment="1">
      <alignment horizontal="right"/>
    </xf>
    <xf numFmtId="0" fontId="2" fillId="0" borderId="0" xfId="0" applyFont="1" applyAlignment="1">
      <alignment horizontal="right"/>
    </xf>
    <xf numFmtId="43" fontId="0" fillId="3" borderId="1" xfId="0" applyNumberFormat="1" applyFill="1" applyBorder="1" applyAlignment="1">
      <alignment horizontal="right"/>
    </xf>
    <xf numFmtId="166" fontId="0" fillId="3" borderId="1" xfId="1" applyNumberFormat="1" applyFont="1" applyFill="1" applyBorder="1" applyAlignment="1">
      <alignment horizontal="right"/>
    </xf>
    <xf numFmtId="9" fontId="0" fillId="3" borderId="1" xfId="1" applyNumberFormat="1" applyFont="1" applyFill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2" fillId="2" borderId="5" xfId="0" applyFont="1" applyFill="1" applyBorder="1" applyAlignment="1">
      <alignment horizontal="right" wrapText="1"/>
    </xf>
    <xf numFmtId="0" fontId="0" fillId="3" borderId="5" xfId="0" applyFill="1" applyBorder="1" applyAlignment="1">
      <alignment horizontal="right"/>
    </xf>
    <xf numFmtId="43" fontId="3" fillId="3" borderId="1" xfId="1" applyFont="1" applyFill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43" fontId="2" fillId="0" borderId="0" xfId="0" applyNumberFormat="1" applyFont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4" fillId="0" borderId="2" xfId="0" applyFont="1" applyBorder="1" applyAlignment="1">
      <alignment horizontal="left"/>
    </xf>
    <xf numFmtId="9" fontId="5" fillId="4" borderId="6" xfId="0" applyNumberFormat="1" applyFont="1" applyFill="1" applyBorder="1" applyAlignment="1">
      <alignment horizontal="center" vertical="center"/>
    </xf>
    <xf numFmtId="165" fontId="5" fillId="4" borderId="6" xfId="0" applyNumberFormat="1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top"/>
    </xf>
    <xf numFmtId="0" fontId="2" fillId="0" borderId="7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0" fillId="0" borderId="4" xfId="0" applyBorder="1"/>
    <xf numFmtId="0" fontId="0" fillId="0" borderId="8" xfId="0" applyBorder="1"/>
    <xf numFmtId="0" fontId="0" fillId="0" borderId="7" xfId="0" applyBorder="1"/>
    <xf numFmtId="0" fontId="0" fillId="0" borderId="11" xfId="0" applyBorder="1"/>
    <xf numFmtId="0" fontId="6" fillId="0" borderId="0" xfId="0" applyFont="1"/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 vertical="top"/>
    </xf>
    <xf numFmtId="0" fontId="13" fillId="0" borderId="0" xfId="0" applyFont="1"/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2" fillId="0" borderId="2" xfId="0" applyFont="1" applyBorder="1"/>
    <xf numFmtId="0" fontId="5" fillId="4" borderId="7" xfId="0" applyFont="1" applyFill="1" applyBorder="1"/>
    <xf numFmtId="0" fontId="3" fillId="0" borderId="7" xfId="0" applyFont="1" applyBorder="1" applyProtection="1">
      <protection locked="0"/>
    </xf>
    <xf numFmtId="0" fontId="15" fillId="0" borderId="7" xfId="0" applyFont="1" applyBorder="1"/>
    <xf numFmtId="0" fontId="15" fillId="5" borderId="7" xfId="0" applyFont="1" applyFill="1" applyBorder="1"/>
    <xf numFmtId="0" fontId="7" fillId="0" borderId="7" xfId="0" applyFont="1" applyBorder="1"/>
    <xf numFmtId="0" fontId="0" fillId="0" borderId="9" xfId="0" applyBorder="1"/>
    <xf numFmtId="9" fontId="7" fillId="3" borderId="1" xfId="1" applyNumberFormat="1" applyFont="1" applyFill="1" applyBorder="1" applyAlignment="1">
      <alignment horizontal="right"/>
    </xf>
    <xf numFmtId="165" fontId="0" fillId="3" borderId="1" xfId="1" applyNumberFormat="1" applyFont="1" applyFill="1" applyBorder="1" applyAlignment="1">
      <alignment horizontal="right"/>
    </xf>
    <xf numFmtId="165" fontId="7" fillId="3" borderId="1" xfId="1" applyNumberFormat="1" applyFont="1" applyFill="1" applyBorder="1" applyAlignment="1">
      <alignment horizontal="right"/>
    </xf>
    <xf numFmtId="10" fontId="5" fillId="4" borderId="6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left"/>
    </xf>
    <xf numFmtId="43" fontId="0" fillId="0" borderId="0" xfId="0" applyNumberFormat="1" applyAlignment="1">
      <alignment horizontal="right"/>
    </xf>
    <xf numFmtId="167" fontId="5" fillId="4" borderId="6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43" fontId="7" fillId="3" borderId="1" xfId="1" applyFont="1" applyFill="1" applyBorder="1" applyAlignment="1">
      <alignment horizontal="right"/>
    </xf>
    <xf numFmtId="168" fontId="0" fillId="3" borderId="1" xfId="0" applyNumberFormat="1" applyFill="1" applyBorder="1" applyAlignment="1">
      <alignment horizontal="right"/>
    </xf>
    <xf numFmtId="0" fontId="0" fillId="0" borderId="0" xfId="0" applyAlignment="1">
      <alignment horizontal="left"/>
    </xf>
    <xf numFmtId="0" fontId="4" fillId="0" borderId="7" xfId="0" applyFont="1" applyBorder="1" applyAlignment="1">
      <alignment horizontal="left"/>
    </xf>
    <xf numFmtId="43" fontId="0" fillId="0" borderId="8" xfId="0" applyNumberFormat="1" applyBorder="1" applyAlignment="1">
      <alignment horizontal="right"/>
    </xf>
    <xf numFmtId="0" fontId="2" fillId="2" borderId="1" xfId="0" applyFont="1" applyFill="1" applyBorder="1" applyAlignment="1">
      <alignment horizontal="center" wrapText="1"/>
    </xf>
    <xf numFmtId="165" fontId="3" fillId="3" borderId="1" xfId="0" applyNumberFormat="1" applyFont="1" applyFill="1" applyBorder="1" applyAlignment="1">
      <alignment horizontal="center"/>
    </xf>
    <xf numFmtId="169" fontId="0" fillId="3" borderId="1" xfId="1" applyNumberFormat="1" applyFont="1" applyFill="1" applyBorder="1" applyAlignment="1">
      <alignment horizontal="right"/>
    </xf>
    <xf numFmtId="2" fontId="0" fillId="3" borderId="1" xfId="1" applyNumberFormat="1" applyFont="1" applyFill="1" applyBorder="1" applyAlignment="1">
      <alignment horizontal="right"/>
    </xf>
    <xf numFmtId="170" fontId="0" fillId="0" borderId="0" xfId="0" applyNumberFormat="1" applyAlignment="1">
      <alignment horizontal="right"/>
    </xf>
    <xf numFmtId="10" fontId="7" fillId="3" borderId="1" xfId="1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169" fontId="0" fillId="3" borderId="1" xfId="0" applyNumberFormat="1" applyFill="1" applyBorder="1" applyAlignment="1">
      <alignment horizontal="right"/>
    </xf>
    <xf numFmtId="43" fontId="2" fillId="0" borderId="8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80963</xdr:colOff>
          <xdr:row>2</xdr:row>
          <xdr:rowOff>95250</xdr:rowOff>
        </xdr:from>
        <xdr:to>
          <xdr:col>13</xdr:col>
          <xdr:colOff>700089</xdr:colOff>
          <xdr:row>15</xdr:row>
          <xdr:rowOff>157163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04538986-2688-D873-D5D6-A2C51FBD7C3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nstructions!$C$7:$J$20" spid="_x0000_s1231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562601" y="457200"/>
              <a:ext cx="5110163" cy="253841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109538</xdr:colOff>
          <xdr:row>0</xdr:row>
          <xdr:rowOff>33338</xdr:rowOff>
        </xdr:from>
        <xdr:to>
          <xdr:col>9</xdr:col>
          <xdr:colOff>785812</xdr:colOff>
          <xdr:row>6</xdr:row>
          <xdr:rowOff>133351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08E2C9FA-4FEF-4669-C9D4-F38E3FC7269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nstructions!$C$24:$J$30" spid="_x0000_s1333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671763" y="33338"/>
              <a:ext cx="5110162" cy="1271588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19051</xdr:colOff>
          <xdr:row>1</xdr:row>
          <xdr:rowOff>242888</xdr:rowOff>
        </xdr:from>
        <xdr:to>
          <xdr:col>16</xdr:col>
          <xdr:colOff>266701</xdr:colOff>
          <xdr:row>9</xdr:row>
          <xdr:rowOff>133351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C5C0CEF3-9A15-F83B-016E-DD5E5E8FFF4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nstructions!$B$32:$J$39" spid="_x0000_s1435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172326" y="423863"/>
              <a:ext cx="5757863" cy="145256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61914</xdr:colOff>
          <xdr:row>3</xdr:row>
          <xdr:rowOff>14288</xdr:rowOff>
        </xdr:from>
        <xdr:to>
          <xdr:col>21</xdr:col>
          <xdr:colOff>342901</xdr:colOff>
          <xdr:row>27</xdr:row>
          <xdr:rowOff>300037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03F70249-292B-68BA-CC3C-CD64FA9C0A3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nstructions!$B$41:$J$66" spid="_x0000_s1538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1777664" y="642938"/>
              <a:ext cx="5757862" cy="471011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1265648</xdr:colOff>
          <xdr:row>1</xdr:row>
          <xdr:rowOff>3688</xdr:rowOff>
        </xdr:from>
        <xdr:to>
          <xdr:col>9</xdr:col>
          <xdr:colOff>780692</xdr:colOff>
          <xdr:row>8</xdr:row>
          <xdr:rowOff>104315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F67F30A1-1EE8-295D-663A-32071DA1B2E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nstructions!$B$68:$J$75" spid="_x0000_s1640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845205" y="182922"/>
              <a:ext cx="5762625" cy="145256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anmi\OneDrive\Documents\Heriot%20Watt\F71AA\Labs%20for%20F71AB%20F71AF%20and%20F71BF%20or%20UG%20version\Lab%203\Lab%203%20Exercise%201%20(MODEL%20SOLUTIONS).xlsx" TargetMode="External"/><Relationship Id="rId1" Type="http://schemas.openxmlformats.org/officeDocument/2006/relationships/externalLinkPath" Target="https://d.docs.live.net/55bcf56a11f402f5/Desktop/02_Courses/01_Life%20Insurance%20B/02_Lab/Lab%203%20Exercise%201%20(MODEL%20SOLUTION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Colour key"/>
      <sheetName val="Q1"/>
      <sheetName val="Q2"/>
      <sheetName val="Q3"/>
      <sheetName val="Q4"/>
      <sheetName val="Q5"/>
    </sheetNames>
    <sheetDataSet>
      <sheetData sheetId="0"/>
      <sheetData sheetId="1"/>
      <sheetData sheetId="2">
        <row r="7">
          <cell r="F7">
            <v>0.06</v>
          </cell>
        </row>
        <row r="9">
          <cell r="F9">
            <v>20</v>
          </cell>
        </row>
      </sheetData>
      <sheetData sheetId="3">
        <row r="11">
          <cell r="E11">
            <v>0.1</v>
          </cell>
        </row>
      </sheetData>
      <sheetData sheetId="4">
        <row r="6">
          <cell r="E6">
            <v>7.4999999999999997E-2</v>
          </cell>
        </row>
      </sheetData>
      <sheetData sheetId="5"/>
      <sheetData sheetId="6">
        <row r="14">
          <cell r="E14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09E02-1481-47D7-B336-6B35A3687FE5}">
  <dimension ref="B2:P75"/>
  <sheetViews>
    <sheetView zoomScale="160" zoomScaleNormal="160" workbookViewId="0">
      <pane xSplit="1" ySplit="3" topLeftCell="B65" activePane="bottomRight" state="frozen"/>
      <selection activeCell="B4" sqref="B4"/>
      <selection pane="topRight" activeCell="B4" sqref="B4"/>
      <selection pane="bottomLeft" activeCell="B4" sqref="B4"/>
      <selection pane="bottomRight" activeCell="J45" sqref="J45"/>
    </sheetView>
  </sheetViews>
  <sheetFormatPr defaultRowHeight="14.25" x14ac:dyDescent="0.45"/>
  <cols>
    <col min="4" max="4" width="8" bestFit="1" customWidth="1"/>
  </cols>
  <sheetData>
    <row r="2" spans="2:16" x14ac:dyDescent="0.45">
      <c r="B2" s="39" t="s">
        <v>43</v>
      </c>
    </row>
    <row r="3" spans="2:16" x14ac:dyDescent="0.45">
      <c r="B3" s="40" t="s">
        <v>44</v>
      </c>
    </row>
    <row r="4" spans="2:16" x14ac:dyDescent="0.45">
      <c r="B4" s="41"/>
    </row>
    <row r="5" spans="2:16" x14ac:dyDescent="0.45">
      <c r="B5" s="39" t="s">
        <v>45</v>
      </c>
      <c r="K5" s="42"/>
    </row>
    <row r="6" spans="2:16" x14ac:dyDescent="0.45">
      <c r="C6" s="41"/>
      <c r="K6" s="41"/>
    </row>
    <row r="7" spans="2:16" x14ac:dyDescent="0.45">
      <c r="C7" s="41" t="s">
        <v>65</v>
      </c>
      <c r="K7" s="41"/>
      <c r="L7" s="43"/>
    </row>
    <row r="8" spans="2:16" x14ac:dyDescent="0.45">
      <c r="C8" s="41" t="s">
        <v>63</v>
      </c>
      <c r="K8" s="41"/>
      <c r="L8" s="43"/>
    </row>
    <row r="9" spans="2:16" x14ac:dyDescent="0.45">
      <c r="C9" s="41" t="s">
        <v>64</v>
      </c>
      <c r="D9" s="44"/>
    </row>
    <row r="10" spans="2:16" x14ac:dyDescent="0.45">
      <c r="C10" t="s">
        <v>66</v>
      </c>
      <c r="D10" s="45"/>
      <c r="K10" s="41"/>
    </row>
    <row r="11" spans="2:16" x14ac:dyDescent="0.45">
      <c r="B11" s="41"/>
      <c r="C11" s="46"/>
      <c r="D11" s="45"/>
      <c r="K11" s="41"/>
      <c r="L11" s="47"/>
      <c r="N11" s="48"/>
      <c r="P11" s="48"/>
    </row>
    <row r="12" spans="2:16" x14ac:dyDescent="0.45">
      <c r="C12" s="46" t="s">
        <v>46</v>
      </c>
      <c r="D12" s="45"/>
      <c r="K12" s="41"/>
      <c r="L12" s="47"/>
    </row>
    <row r="13" spans="2:16" x14ac:dyDescent="0.45">
      <c r="B13" s="41"/>
      <c r="C13" s="46" t="s">
        <v>67</v>
      </c>
      <c r="D13" s="45"/>
      <c r="K13" s="41"/>
      <c r="L13" s="48"/>
      <c r="M13" s="41"/>
    </row>
    <row r="14" spans="2:16" x14ac:dyDescent="0.45">
      <c r="B14" s="41"/>
      <c r="C14" s="46" t="s">
        <v>68</v>
      </c>
      <c r="D14" s="45"/>
      <c r="K14" s="41"/>
      <c r="L14" s="48"/>
    </row>
    <row r="15" spans="2:16" x14ac:dyDescent="0.45">
      <c r="B15" s="41"/>
      <c r="C15" s="46" t="s">
        <v>69</v>
      </c>
      <c r="D15" s="46"/>
      <c r="F15" s="41"/>
      <c r="K15" s="41"/>
    </row>
    <row r="16" spans="2:16" x14ac:dyDescent="0.45">
      <c r="B16" s="39"/>
      <c r="C16" s="46" t="s">
        <v>71</v>
      </c>
      <c r="D16" s="46"/>
      <c r="F16" s="41"/>
    </row>
    <row r="17" spans="2:16" x14ac:dyDescent="0.45">
      <c r="C17" s="46" t="s">
        <v>70</v>
      </c>
      <c r="D17" s="46"/>
      <c r="F17" s="41"/>
    </row>
    <row r="18" spans="2:16" x14ac:dyDescent="0.45">
      <c r="D18" s="46"/>
      <c r="F18" s="41"/>
    </row>
    <row r="19" spans="2:16" x14ac:dyDescent="0.45">
      <c r="B19" s="41"/>
      <c r="C19" s="41" t="s">
        <v>72</v>
      </c>
    </row>
    <row r="20" spans="2:16" x14ac:dyDescent="0.45">
      <c r="C20" s="41" t="s">
        <v>73</v>
      </c>
      <c r="P20" s="48"/>
    </row>
    <row r="21" spans="2:16" x14ac:dyDescent="0.45">
      <c r="C21" s="41"/>
    </row>
    <row r="22" spans="2:16" x14ac:dyDescent="0.45">
      <c r="B22" s="39" t="s">
        <v>47</v>
      </c>
      <c r="C22" s="41"/>
    </row>
    <row r="23" spans="2:16" x14ac:dyDescent="0.45">
      <c r="B23" s="39"/>
      <c r="C23" s="41"/>
    </row>
    <row r="24" spans="2:16" x14ac:dyDescent="0.45">
      <c r="B24" s="41"/>
      <c r="C24" s="41" t="s">
        <v>77</v>
      </c>
      <c r="E24" s="49"/>
    </row>
    <row r="25" spans="2:16" x14ac:dyDescent="0.45">
      <c r="C25" s="41" t="s">
        <v>74</v>
      </c>
      <c r="E25" s="49"/>
    </row>
    <row r="26" spans="2:16" x14ac:dyDescent="0.45">
      <c r="B26" s="41"/>
      <c r="C26" s="41" t="s">
        <v>78</v>
      </c>
      <c r="E26" s="50"/>
    </row>
    <row r="27" spans="2:16" x14ac:dyDescent="0.45">
      <c r="B27" s="41"/>
      <c r="C27" s="41" t="s">
        <v>79</v>
      </c>
      <c r="E27" s="49"/>
    </row>
    <row r="28" spans="2:16" x14ac:dyDescent="0.45">
      <c r="C28" s="41" t="s">
        <v>80</v>
      </c>
    </row>
    <row r="29" spans="2:16" x14ac:dyDescent="0.45">
      <c r="B29" s="39"/>
      <c r="C29" s="41" t="s">
        <v>75</v>
      </c>
    </row>
    <row r="30" spans="2:16" x14ac:dyDescent="0.45">
      <c r="C30" s="41" t="s">
        <v>76</v>
      </c>
    </row>
    <row r="31" spans="2:16" x14ac:dyDescent="0.45">
      <c r="B31" s="41"/>
      <c r="C31" s="41"/>
    </row>
    <row r="32" spans="2:16" x14ac:dyDescent="0.45">
      <c r="B32" s="39" t="s">
        <v>48</v>
      </c>
    </row>
    <row r="33" spans="2:6" x14ac:dyDescent="0.45">
      <c r="C33" s="41"/>
    </row>
    <row r="34" spans="2:6" x14ac:dyDescent="0.45">
      <c r="C34" s="41" t="s">
        <v>83</v>
      </c>
    </row>
    <row r="35" spans="2:6" x14ac:dyDescent="0.45">
      <c r="C35" s="41" t="s">
        <v>84</v>
      </c>
    </row>
    <row r="36" spans="2:6" x14ac:dyDescent="0.45">
      <c r="C36" t="s">
        <v>85</v>
      </c>
    </row>
    <row r="37" spans="2:6" x14ac:dyDescent="0.45">
      <c r="C37" s="41" t="s">
        <v>81</v>
      </c>
    </row>
    <row r="38" spans="2:6" x14ac:dyDescent="0.45">
      <c r="C38" s="41" t="s">
        <v>82</v>
      </c>
    </row>
    <row r="39" spans="2:6" x14ac:dyDescent="0.45">
      <c r="C39" s="41" t="s">
        <v>86</v>
      </c>
      <c r="D39" s="46"/>
      <c r="F39" s="41"/>
    </row>
    <row r="40" spans="2:6" x14ac:dyDescent="0.45">
      <c r="C40" s="41"/>
      <c r="D40" s="46"/>
      <c r="F40" s="41"/>
    </row>
    <row r="41" spans="2:6" x14ac:dyDescent="0.45">
      <c r="B41" s="39" t="s">
        <v>49</v>
      </c>
      <c r="C41" s="41"/>
      <c r="D41" s="46"/>
      <c r="F41" s="41"/>
    </row>
    <row r="43" spans="2:6" x14ac:dyDescent="0.45">
      <c r="C43" s="40" t="s">
        <v>116</v>
      </c>
    </row>
    <row r="44" spans="2:6" x14ac:dyDescent="0.45">
      <c r="C44" s="40" t="s">
        <v>117</v>
      </c>
    </row>
    <row r="45" spans="2:6" x14ac:dyDescent="0.45">
      <c r="B45" s="39"/>
      <c r="C45" s="41" t="s">
        <v>118</v>
      </c>
    </row>
    <row r="46" spans="2:6" x14ac:dyDescent="0.45">
      <c r="C46" s="41" t="s">
        <v>106</v>
      </c>
    </row>
    <row r="47" spans="2:6" x14ac:dyDescent="0.45">
      <c r="C47" t="s">
        <v>107</v>
      </c>
    </row>
    <row r="48" spans="2:6" x14ac:dyDescent="0.45">
      <c r="B48" s="41"/>
      <c r="C48" t="s">
        <v>119</v>
      </c>
    </row>
    <row r="49" spans="2:3" x14ac:dyDescent="0.45">
      <c r="C49" s="41" t="s">
        <v>108</v>
      </c>
    </row>
    <row r="50" spans="2:3" x14ac:dyDescent="0.45">
      <c r="C50" s="41" t="s">
        <v>109</v>
      </c>
    </row>
    <row r="51" spans="2:3" x14ac:dyDescent="0.45">
      <c r="C51" s="41" t="s">
        <v>120</v>
      </c>
    </row>
    <row r="52" spans="2:3" x14ac:dyDescent="0.45">
      <c r="B52" s="39"/>
      <c r="C52" t="s">
        <v>110</v>
      </c>
    </row>
    <row r="53" spans="2:3" x14ac:dyDescent="0.45">
      <c r="C53" t="s">
        <v>121</v>
      </c>
    </row>
    <row r="54" spans="2:3" x14ac:dyDescent="0.45">
      <c r="C54" t="s">
        <v>111</v>
      </c>
    </row>
    <row r="55" spans="2:3" x14ac:dyDescent="0.45">
      <c r="C55" t="s">
        <v>112</v>
      </c>
    </row>
    <row r="56" spans="2:3" x14ac:dyDescent="0.45">
      <c r="C56" t="s">
        <v>113</v>
      </c>
    </row>
    <row r="57" spans="2:3" x14ac:dyDescent="0.45">
      <c r="C57" t="s">
        <v>114</v>
      </c>
    </row>
    <row r="58" spans="2:3" x14ac:dyDescent="0.45">
      <c r="C58" t="s">
        <v>115</v>
      </c>
    </row>
    <row r="60" spans="2:3" x14ac:dyDescent="0.45">
      <c r="C60" s="41" t="s">
        <v>122</v>
      </c>
    </row>
    <row r="61" spans="2:3" x14ac:dyDescent="0.45">
      <c r="C61" s="41"/>
    </row>
    <row r="62" spans="2:3" x14ac:dyDescent="0.45">
      <c r="C62" s="41" t="s">
        <v>124</v>
      </c>
    </row>
    <row r="63" spans="2:3" x14ac:dyDescent="0.45">
      <c r="C63" s="41" t="s">
        <v>125</v>
      </c>
    </row>
    <row r="65" spans="2:4" x14ac:dyDescent="0.45">
      <c r="C65" t="s">
        <v>123</v>
      </c>
    </row>
    <row r="66" spans="2:4" x14ac:dyDescent="0.45">
      <c r="C66" s="41" t="s">
        <v>126</v>
      </c>
    </row>
    <row r="67" spans="2:4" x14ac:dyDescent="0.45">
      <c r="C67" s="41"/>
    </row>
    <row r="68" spans="2:4" x14ac:dyDescent="0.45">
      <c r="B68" s="39" t="s">
        <v>50</v>
      </c>
    </row>
    <row r="70" spans="2:4" x14ac:dyDescent="0.45">
      <c r="C70" t="s">
        <v>133</v>
      </c>
    </row>
    <row r="72" spans="2:4" x14ac:dyDescent="0.45">
      <c r="D72" s="71" t="s">
        <v>22</v>
      </c>
    </row>
    <row r="73" spans="2:4" x14ac:dyDescent="0.45">
      <c r="D73" s="72">
        <v>123.09067999999999</v>
      </c>
    </row>
    <row r="74" spans="2:4" x14ac:dyDescent="0.45">
      <c r="D74" s="72">
        <v>-43.965830949184003</v>
      </c>
    </row>
    <row r="75" spans="2:4" x14ac:dyDescent="0.45">
      <c r="D75" s="72">
        <v>-38.402194362671707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A9977-6FFC-414D-9014-F2D35937E2B9}">
  <dimension ref="A2:B19"/>
  <sheetViews>
    <sheetView workbookViewId="0">
      <selection activeCell="B4" sqref="B4"/>
    </sheetView>
  </sheetViews>
  <sheetFormatPr defaultRowHeight="14.25" x14ac:dyDescent="0.45"/>
  <cols>
    <col min="1" max="1" width="37.3984375" customWidth="1"/>
  </cols>
  <sheetData>
    <row r="2" spans="1:2" x14ac:dyDescent="0.45">
      <c r="A2" s="39" t="s">
        <v>51</v>
      </c>
    </row>
    <row r="4" spans="1:2" x14ac:dyDescent="0.45">
      <c r="A4" s="41" t="s">
        <v>52</v>
      </c>
    </row>
    <row r="5" spans="1:2" x14ac:dyDescent="0.45">
      <c r="A5" s="41" t="s">
        <v>53</v>
      </c>
    </row>
    <row r="6" spans="1:2" x14ac:dyDescent="0.45">
      <c r="A6" s="41" t="s">
        <v>54</v>
      </c>
    </row>
    <row r="7" spans="1:2" x14ac:dyDescent="0.45">
      <c r="A7" s="41" t="s">
        <v>55</v>
      </c>
    </row>
    <row r="8" spans="1:2" x14ac:dyDescent="0.45">
      <c r="A8" s="41" t="s">
        <v>56</v>
      </c>
    </row>
    <row r="9" spans="1:2" x14ac:dyDescent="0.45">
      <c r="A9" s="41"/>
    </row>
    <row r="10" spans="1:2" ht="14.65" thickBot="1" x14ac:dyDescent="0.5"/>
    <row r="11" spans="1:2" x14ac:dyDescent="0.45">
      <c r="A11" s="51" t="s">
        <v>57</v>
      </c>
      <c r="B11" s="33"/>
    </row>
    <row r="12" spans="1:2" x14ac:dyDescent="0.45">
      <c r="A12" s="35"/>
      <c r="B12" s="34"/>
    </row>
    <row r="13" spans="1:2" x14ac:dyDescent="0.45">
      <c r="A13" s="52" t="s">
        <v>58</v>
      </c>
      <c r="B13" s="34"/>
    </row>
    <row r="14" spans="1:2" x14ac:dyDescent="0.45">
      <c r="A14" s="53" t="s">
        <v>59</v>
      </c>
      <c r="B14" s="34"/>
    </row>
    <row r="15" spans="1:2" x14ac:dyDescent="0.45">
      <c r="A15" s="54" t="s">
        <v>60</v>
      </c>
      <c r="B15" s="34"/>
    </row>
    <row r="16" spans="1:2" x14ac:dyDescent="0.45">
      <c r="A16" s="55" t="s">
        <v>61</v>
      </c>
      <c r="B16" s="34"/>
    </row>
    <row r="17" spans="1:2" x14ac:dyDescent="0.45">
      <c r="A17" s="56" t="s">
        <v>62</v>
      </c>
      <c r="B17" s="34"/>
    </row>
    <row r="18" spans="1:2" x14ac:dyDescent="0.45">
      <c r="A18" s="35"/>
      <c r="B18" s="34"/>
    </row>
    <row r="19" spans="1:2" ht="14.65" thickBot="1" x14ac:dyDescent="0.5">
      <c r="A19" s="57"/>
      <c r="B19" s="36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3:R48"/>
  <sheetViews>
    <sheetView topLeftCell="A3" workbookViewId="0">
      <pane xSplit="4" ySplit="14" topLeftCell="E26" activePane="bottomRight" state="frozen"/>
      <selection activeCell="A3" sqref="A3"/>
      <selection pane="topRight" activeCell="E3" sqref="E3"/>
      <selection pane="bottomLeft" activeCell="A17" sqref="A17"/>
      <selection pane="bottomRight" activeCell="F10" sqref="F10"/>
    </sheetView>
  </sheetViews>
  <sheetFormatPr defaultColWidth="9.1328125" defaultRowHeight="14.25" x14ac:dyDescent="0.45"/>
  <cols>
    <col min="1" max="2" width="13" style="1" bestFit="1" customWidth="1"/>
    <col min="3" max="3" width="9.86328125" style="1" bestFit="1" customWidth="1"/>
    <col min="4" max="4" width="11.73046875" style="1" bestFit="1" customWidth="1"/>
    <col min="5" max="5" width="9.265625" style="1" bestFit="1" customWidth="1"/>
    <col min="6" max="6" width="9.9296875" style="1" bestFit="1" customWidth="1"/>
    <col min="7" max="9" width="10.59765625" style="1" bestFit="1" customWidth="1"/>
    <col min="10" max="10" width="12" style="1" customWidth="1"/>
    <col min="11" max="11" width="9.1328125" style="1"/>
    <col min="12" max="12" width="10.3984375" style="1" customWidth="1"/>
    <col min="13" max="13" width="10.1328125" style="1" customWidth="1"/>
    <col min="14" max="14" width="12.796875" style="1" customWidth="1"/>
    <col min="15" max="15" width="10.59765625" style="1" customWidth="1"/>
    <col min="16" max="16" width="11.19921875" style="1" customWidth="1"/>
    <col min="17" max="17" width="10.46484375" style="1" customWidth="1"/>
    <col min="18" max="16384" width="9.1328125" style="1"/>
  </cols>
  <sheetData>
    <row r="3" spans="1:7" ht="21" x14ac:dyDescent="0.65">
      <c r="A3" s="37" t="s">
        <v>37</v>
      </c>
    </row>
    <row r="7" spans="1:7" ht="14.65" thickBot="1" x14ac:dyDescent="0.5"/>
    <row r="8" spans="1:7" ht="14.65" thickBot="1" x14ac:dyDescent="0.5">
      <c r="A8" s="21" t="s">
        <v>34</v>
      </c>
      <c r="B8" s="9"/>
      <c r="C8" s="10"/>
      <c r="E8" s="21" t="s">
        <v>32</v>
      </c>
      <c r="F8" s="9"/>
      <c r="G8" s="10"/>
    </row>
    <row r="9" spans="1:7" ht="14.65" thickBot="1" x14ac:dyDescent="0.5">
      <c r="A9" s="15" t="s">
        <v>5</v>
      </c>
      <c r="B9" s="22">
        <v>0.06</v>
      </c>
      <c r="C9" s="16"/>
      <c r="E9" s="15"/>
      <c r="G9" s="16"/>
    </row>
    <row r="10" spans="1:7" ht="14.65" thickBot="1" x14ac:dyDescent="0.5">
      <c r="A10" s="15" t="s">
        <v>9</v>
      </c>
      <c r="B10" s="23">
        <v>30000</v>
      </c>
      <c r="C10" s="16"/>
      <c r="E10" s="15" t="s">
        <v>33</v>
      </c>
      <c r="F10" s="17">
        <f>SUM(Q31:Q33)</f>
        <v>368.93371224284533</v>
      </c>
      <c r="G10" s="16"/>
    </row>
    <row r="11" spans="1:7" ht="14.65" thickBot="1" x14ac:dyDescent="0.5">
      <c r="A11" s="15" t="s">
        <v>10</v>
      </c>
      <c r="B11" s="23">
        <v>30000</v>
      </c>
      <c r="C11" s="16"/>
      <c r="E11" s="18"/>
      <c r="F11" s="19"/>
      <c r="G11" s="20"/>
    </row>
    <row r="12" spans="1:7" ht="14.65" thickBot="1" x14ac:dyDescent="0.5">
      <c r="A12" s="15" t="s">
        <v>23</v>
      </c>
      <c r="B12" s="22">
        <v>0.09</v>
      </c>
      <c r="C12" s="16">
        <f>1/(1+B12)</f>
        <v>0.9174311926605504</v>
      </c>
    </row>
    <row r="13" spans="1:7" ht="14.65" thickBot="1" x14ac:dyDescent="0.5">
      <c r="A13" s="15" t="s">
        <v>24</v>
      </c>
      <c r="B13" s="24">
        <v>3</v>
      </c>
      <c r="C13" s="16"/>
    </row>
    <row r="14" spans="1:7" ht="14.65" thickBot="1" x14ac:dyDescent="0.5">
      <c r="A14" s="18" t="s">
        <v>1</v>
      </c>
      <c r="B14" s="23">
        <v>9350</v>
      </c>
      <c r="C14" s="20"/>
    </row>
    <row r="16" spans="1:7" ht="14.65" thickBot="1" x14ac:dyDescent="0.5"/>
    <row r="17" spans="1:18" ht="14.65" thickBot="1" x14ac:dyDescent="0.5">
      <c r="A17" s="25" t="s">
        <v>35</v>
      </c>
      <c r="B17" s="9"/>
      <c r="C17" s="9"/>
      <c r="D17" s="10"/>
    </row>
    <row r="18" spans="1:18" x14ac:dyDescent="0.45">
      <c r="A18" s="31"/>
      <c r="B18" s="27" t="s">
        <v>8</v>
      </c>
      <c r="C18" s="9"/>
      <c r="D18" s="10"/>
    </row>
    <row r="19" spans="1:18" ht="14.65" thickBot="1" x14ac:dyDescent="0.5">
      <c r="A19" s="32" t="s">
        <v>6</v>
      </c>
      <c r="B19" s="5" t="s">
        <v>7</v>
      </c>
      <c r="C19" s="1" t="s">
        <v>12</v>
      </c>
      <c r="D19" s="16" t="s">
        <v>42</v>
      </c>
    </row>
    <row r="20" spans="1:18" x14ac:dyDescent="0.45">
      <c r="A20" s="15">
        <v>60</v>
      </c>
      <c r="B20" s="28">
        <v>8.0219999999999996E-3</v>
      </c>
      <c r="C20" s="9">
        <f>1-B20</f>
        <v>0.99197800000000003</v>
      </c>
      <c r="D20" s="10" t="s">
        <v>134</v>
      </c>
    </row>
    <row r="21" spans="1:18" x14ac:dyDescent="0.45">
      <c r="A21" s="15">
        <v>61</v>
      </c>
      <c r="B21" s="29">
        <v>9.0089999999999996E-3</v>
      </c>
      <c r="C21" s="1">
        <f t="shared" ref="C21:C25" si="0">1-B21</f>
        <v>0.99099099999999996</v>
      </c>
      <c r="D21" s="16" t="s">
        <v>134</v>
      </c>
    </row>
    <row r="22" spans="1:18" x14ac:dyDescent="0.45">
      <c r="A22" s="15">
        <v>62</v>
      </c>
      <c r="B22" s="29">
        <v>1.0111999999999999E-2</v>
      </c>
      <c r="C22" s="1">
        <f t="shared" si="0"/>
        <v>0.98988799999999999</v>
      </c>
      <c r="D22" s="16">
        <f>1</f>
        <v>1</v>
      </c>
    </row>
    <row r="23" spans="1:18" x14ac:dyDescent="0.45">
      <c r="A23" s="15">
        <v>63</v>
      </c>
      <c r="B23" s="29">
        <v>1.1344E-2</v>
      </c>
      <c r="C23" s="1">
        <f t="shared" si="0"/>
        <v>0.98865599999999998</v>
      </c>
      <c r="D23" s="16">
        <f>C22*D22</f>
        <v>0.98988799999999999</v>
      </c>
    </row>
    <row r="24" spans="1:18" x14ac:dyDescent="0.45">
      <c r="A24" s="15">
        <v>64</v>
      </c>
      <c r="B24" s="29">
        <v>1.2716E-2</v>
      </c>
      <c r="C24" s="1">
        <f t="shared" si="0"/>
        <v>0.98728400000000005</v>
      </c>
      <c r="D24" s="16">
        <f t="shared" ref="D24:D25" si="1">C23*D23</f>
        <v>0.97865871052800002</v>
      </c>
    </row>
    <row r="25" spans="1:18" customFormat="1" ht="14.65" thickBot="1" x14ac:dyDescent="0.5">
      <c r="A25" s="18">
        <v>65</v>
      </c>
      <c r="B25" s="30">
        <v>1.4243E-2</v>
      </c>
      <c r="C25" s="19">
        <f t="shared" si="0"/>
        <v>0.98575699999999999</v>
      </c>
      <c r="D25" s="20">
        <f t="shared" si="1"/>
        <v>0.96621408636492601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8" customFormat="1" ht="14.65" thickBot="1" x14ac:dyDescent="0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8" customFormat="1" x14ac:dyDescent="0.45">
      <c r="A27" s="25" t="s">
        <v>36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33"/>
    </row>
    <row r="28" spans="1:18" customFormat="1" x14ac:dyDescent="0.45">
      <c r="A28" s="15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34"/>
    </row>
    <row r="29" spans="1:18" customFormat="1" x14ac:dyDescent="0.45">
      <c r="A29" s="35"/>
      <c r="R29" s="34"/>
    </row>
    <row r="30" spans="1:18" customFormat="1" ht="28.5" x14ac:dyDescent="0.45">
      <c r="A30" s="11" t="s">
        <v>0</v>
      </c>
      <c r="B30" s="2" t="s">
        <v>6</v>
      </c>
      <c r="C30" s="2" t="s">
        <v>27</v>
      </c>
      <c r="D30" s="2" t="s">
        <v>26</v>
      </c>
      <c r="E30" s="2" t="s">
        <v>1</v>
      </c>
      <c r="F30" s="2" t="s">
        <v>2</v>
      </c>
      <c r="G30" s="2" t="s">
        <v>5</v>
      </c>
      <c r="H30" s="2" t="s">
        <v>9</v>
      </c>
      <c r="I30" s="2" t="s">
        <v>10</v>
      </c>
      <c r="J30" s="2" t="s">
        <v>11</v>
      </c>
      <c r="K30" s="2" t="s">
        <v>14</v>
      </c>
      <c r="L30" s="2" t="s">
        <v>25</v>
      </c>
      <c r="M30" s="2" t="s">
        <v>30</v>
      </c>
      <c r="N30" s="2" t="s">
        <v>29</v>
      </c>
      <c r="O30" s="2" t="s">
        <v>28</v>
      </c>
      <c r="P30" s="2" t="s">
        <v>31</v>
      </c>
      <c r="Q30" s="2" t="s">
        <v>15</v>
      </c>
      <c r="R30" s="34"/>
    </row>
    <row r="31" spans="1:18" customFormat="1" x14ac:dyDescent="0.45">
      <c r="A31" s="12">
        <v>1</v>
      </c>
      <c r="B31" s="3">
        <v>62</v>
      </c>
      <c r="C31" s="13">
        <v>0</v>
      </c>
      <c r="D31" s="13">
        <f>9532</f>
        <v>9532</v>
      </c>
      <c r="E31" s="4">
        <f>$B$14</f>
        <v>9350</v>
      </c>
      <c r="F31" s="13">
        <v>400</v>
      </c>
      <c r="G31" s="8">
        <f>$B$9</f>
        <v>0.06</v>
      </c>
      <c r="H31" s="4">
        <f>$B$10</f>
        <v>30000</v>
      </c>
      <c r="I31" s="4">
        <f>0</f>
        <v>0</v>
      </c>
      <c r="J31" s="4">
        <f>(E31-F31)*(1+G31)-B22*H31-C22*I31</f>
        <v>9183.64</v>
      </c>
      <c r="K31" s="4">
        <f>C31*G31</f>
        <v>0</v>
      </c>
      <c r="L31" s="4">
        <f>C22*D31-C31</f>
        <v>9435.6124159999999</v>
      </c>
      <c r="M31" s="4">
        <f>J31+K31-L31</f>
        <v>-251.97241600000052</v>
      </c>
      <c r="N31" s="7">
        <f>D22</f>
        <v>1</v>
      </c>
      <c r="O31" s="4">
        <f>M31*N31</f>
        <v>-251.97241600000052</v>
      </c>
      <c r="P31" s="73">
        <f>$C$12^A31</f>
        <v>0.9174311926605504</v>
      </c>
      <c r="Q31" s="6">
        <f>O31*P31</f>
        <v>-231.16735412844082</v>
      </c>
      <c r="R31" s="34"/>
    </row>
    <row r="32" spans="1:18" customFormat="1" x14ac:dyDescent="0.45">
      <c r="A32" s="12">
        <v>2</v>
      </c>
      <c r="B32" s="3">
        <v>63</v>
      </c>
      <c r="C32" s="13">
        <f>D31</f>
        <v>9532</v>
      </c>
      <c r="D32" s="13">
        <f>19514</f>
        <v>19514</v>
      </c>
      <c r="E32" s="4">
        <f t="shared" ref="E32:E33" si="2">$B$14</f>
        <v>9350</v>
      </c>
      <c r="F32" s="13">
        <v>100</v>
      </c>
      <c r="G32" s="8">
        <f t="shared" ref="G32:G33" si="3">$B$9</f>
        <v>0.06</v>
      </c>
      <c r="H32" s="4">
        <f t="shared" ref="H32:H33" si="4">$B$10</f>
        <v>30000</v>
      </c>
      <c r="I32" s="4">
        <f>0</f>
        <v>0</v>
      </c>
      <c r="J32" s="4">
        <f t="shared" ref="J32:J33" si="5">(E32-F32)*(1+G32)-B23*H32-C23*I32</f>
        <v>9464.68</v>
      </c>
      <c r="K32" s="4">
        <f t="shared" ref="K32:K33" si="6">C32*G32</f>
        <v>571.91999999999996</v>
      </c>
      <c r="L32" s="4">
        <f t="shared" ref="L32:L33" si="7">C23*D32-C32</f>
        <v>9760.6331839999984</v>
      </c>
      <c r="M32" s="4">
        <f t="shared" ref="M32:M33" si="8">J32+K32-L32</f>
        <v>275.96681600000193</v>
      </c>
      <c r="N32" s="7">
        <f t="shared" ref="N32:N33" si="9">D23</f>
        <v>0.98988799999999999</v>
      </c>
      <c r="O32" s="4">
        <f t="shared" ref="O32:O33" si="10">M32*N32</f>
        <v>273.17623955660991</v>
      </c>
      <c r="P32" s="73">
        <f t="shared" ref="P32:P33" si="11">$C$12^A32</f>
        <v>0.84167999326655996</v>
      </c>
      <c r="Q32" s="6">
        <f t="shared" ref="Q32:Q33" si="12">O32*P32</f>
        <v>229.9269754705916</v>
      </c>
      <c r="R32" s="34"/>
    </row>
    <row r="33" spans="1:18" customFormat="1" x14ac:dyDescent="0.45">
      <c r="A33" s="12">
        <v>3</v>
      </c>
      <c r="B33" s="3">
        <v>64</v>
      </c>
      <c r="C33" s="13">
        <f>D32</f>
        <v>19514</v>
      </c>
      <c r="D33" s="13">
        <f>0</f>
        <v>0</v>
      </c>
      <c r="E33" s="4">
        <f t="shared" si="2"/>
        <v>9350</v>
      </c>
      <c r="F33" s="13">
        <v>100</v>
      </c>
      <c r="G33" s="8">
        <f t="shared" si="3"/>
        <v>0.06</v>
      </c>
      <c r="H33" s="4">
        <f t="shared" si="4"/>
        <v>30000</v>
      </c>
      <c r="I33" s="4">
        <f t="shared" ref="I33" si="13">$B$11</f>
        <v>30000</v>
      </c>
      <c r="J33" s="4">
        <f t="shared" si="5"/>
        <v>-20195</v>
      </c>
      <c r="K33" s="4">
        <f t="shared" si="6"/>
        <v>1170.8399999999999</v>
      </c>
      <c r="L33" s="4">
        <f t="shared" si="7"/>
        <v>-19514</v>
      </c>
      <c r="M33" s="4">
        <f t="shared" si="8"/>
        <v>489.84000000000015</v>
      </c>
      <c r="N33" s="7">
        <f t="shared" si="9"/>
        <v>0.97865871052800002</v>
      </c>
      <c r="O33" s="4">
        <f t="shared" si="10"/>
        <v>479.3861827650357</v>
      </c>
      <c r="P33" s="73">
        <f t="shared" si="11"/>
        <v>0.77218348006106408</v>
      </c>
      <c r="Q33" s="6">
        <f t="shared" si="12"/>
        <v>370.17409090069458</v>
      </c>
      <c r="R33" s="34"/>
    </row>
    <row r="34" spans="1:18" customFormat="1" x14ac:dyDescent="0.45">
      <c r="A34" s="15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4"/>
    </row>
    <row r="35" spans="1:18" customFormat="1" x14ac:dyDescent="0.45">
      <c r="A35" s="15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4"/>
    </row>
    <row r="36" spans="1:18" customFormat="1" ht="14.65" thickBot="1" x14ac:dyDescent="0.5">
      <c r="A36" s="18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36"/>
    </row>
    <row r="37" spans="1:18" customFormat="1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8" customFormat="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8" customFormat="1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8" customFormat="1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8" customFormat="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8" customFormat="1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8" customFormat="1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8" customFormat="1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8" customFormat="1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8" customFormat="1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8" customFormat="1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8" customFormat="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</sheetData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7C857-C25C-4A9D-B4EC-9AF924D80269}">
  <dimension ref="A3:S48"/>
  <sheetViews>
    <sheetView workbookViewId="0">
      <pane xSplit="10" ySplit="14" topLeftCell="K27" activePane="bottomRight" state="frozen"/>
      <selection pane="topRight" activeCell="K1" sqref="K1"/>
      <selection pane="bottomLeft" activeCell="A15" sqref="A15"/>
      <selection pane="bottomRight" activeCell="O30" sqref="O30"/>
    </sheetView>
  </sheetViews>
  <sheetFormatPr defaultColWidth="9.1328125" defaultRowHeight="14.25" x14ac:dyDescent="0.45"/>
  <cols>
    <col min="1" max="2" width="13" style="1" bestFit="1" customWidth="1"/>
    <col min="3" max="3" width="9.86328125" style="1" bestFit="1" customWidth="1"/>
    <col min="4" max="4" width="11.73046875" style="1" bestFit="1" customWidth="1"/>
    <col min="5" max="6" width="9.265625" style="1" bestFit="1" customWidth="1"/>
    <col min="7" max="9" width="10.59765625" style="1" bestFit="1" customWidth="1"/>
    <col min="10" max="10" width="12" style="1" customWidth="1"/>
    <col min="11" max="11" width="9.86328125" style="1" bestFit="1" customWidth="1"/>
    <col min="12" max="12" width="10.3984375" style="1" customWidth="1"/>
    <col min="13" max="13" width="9.1328125" style="1"/>
    <col min="14" max="14" width="12.796875" style="1" customWidth="1"/>
    <col min="15" max="15" width="9.1328125" style="1"/>
    <col min="16" max="16" width="11.19921875" style="1" customWidth="1"/>
    <col min="17" max="16384" width="9.1328125" style="1"/>
  </cols>
  <sheetData>
    <row r="3" spans="1:19" ht="21" x14ac:dyDescent="0.65">
      <c r="A3" s="37" t="s">
        <v>38</v>
      </c>
    </row>
    <row r="7" spans="1:19" ht="14.65" thickBot="1" x14ac:dyDescent="0.5"/>
    <row r="8" spans="1:19" ht="14.65" thickBot="1" x14ac:dyDescent="0.5">
      <c r="A8" s="21" t="s">
        <v>34</v>
      </c>
      <c r="B8" s="9"/>
      <c r="C8" s="9"/>
      <c r="D8" s="9"/>
      <c r="E8" s="10"/>
      <c r="G8" s="21" t="s">
        <v>32</v>
      </c>
      <c r="H8" s="9"/>
      <c r="I8" s="10"/>
    </row>
    <row r="9" spans="1:19" ht="14.65" thickBot="1" x14ac:dyDescent="0.5">
      <c r="A9" s="15" t="s">
        <v>5</v>
      </c>
      <c r="B9" s="22">
        <v>0.06</v>
      </c>
      <c r="D9" s="1" t="s">
        <v>5</v>
      </c>
      <c r="E9" s="16"/>
      <c r="G9" s="15"/>
      <c r="I9" s="16"/>
    </row>
    <row r="10" spans="1:19" ht="14.65" thickBot="1" x14ac:dyDescent="0.5">
      <c r="A10" s="15" t="s">
        <v>9</v>
      </c>
      <c r="B10" s="23">
        <v>30000</v>
      </c>
      <c r="D10" s="1" t="s">
        <v>39</v>
      </c>
      <c r="E10" s="22">
        <v>0.06</v>
      </c>
      <c r="G10" s="15" t="s">
        <v>33</v>
      </c>
      <c r="H10" s="17">
        <f>SUM(Q30:Q32)</f>
        <v>-3.8464681699679204E-4</v>
      </c>
      <c r="I10" s="16"/>
    </row>
    <row r="11" spans="1:19" ht="14.65" thickBot="1" x14ac:dyDescent="0.5">
      <c r="A11" s="15" t="s">
        <v>10</v>
      </c>
      <c r="B11" s="23">
        <v>30000</v>
      </c>
      <c r="D11" s="1" t="s">
        <v>40</v>
      </c>
      <c r="E11" s="22">
        <v>0.05</v>
      </c>
      <c r="G11" s="18"/>
      <c r="H11" s="19"/>
      <c r="I11" s="20"/>
    </row>
    <row r="12" spans="1:19" ht="14.65" thickBot="1" x14ac:dyDescent="0.5">
      <c r="A12" s="15" t="s">
        <v>23</v>
      </c>
      <c r="B12" s="61">
        <v>7.6097900759631534E-2</v>
      </c>
      <c r="C12" s="1">
        <f>1/(1+B12)</f>
        <v>0.92928347810555789</v>
      </c>
      <c r="D12" s="1" t="s">
        <v>41</v>
      </c>
      <c r="E12" s="22">
        <v>0.05</v>
      </c>
    </row>
    <row r="13" spans="1:19" ht="14.65" thickBot="1" x14ac:dyDescent="0.5">
      <c r="A13" s="15" t="s">
        <v>24</v>
      </c>
      <c r="B13" s="24">
        <v>3</v>
      </c>
      <c r="E13" s="16"/>
      <c r="G13" s="38"/>
    </row>
    <row r="14" spans="1:19" ht="14.65" thickBot="1" x14ac:dyDescent="0.5">
      <c r="A14" s="18" t="s">
        <v>1</v>
      </c>
      <c r="B14" s="23">
        <v>9350</v>
      </c>
      <c r="C14" s="19"/>
      <c r="D14" s="19"/>
      <c r="E14" s="20"/>
      <c r="G14" s="38"/>
    </row>
    <row r="15" spans="1:19" ht="14.65" thickBot="1" x14ac:dyDescent="0.5"/>
    <row r="16" spans="1:19" ht="14.65" thickBot="1" x14ac:dyDescent="0.5">
      <c r="A16" s="25" t="s">
        <v>35</v>
      </c>
      <c r="B16" s="9"/>
      <c r="C16" s="9"/>
      <c r="D16" s="10"/>
      <c r="R16"/>
      <c r="S16"/>
    </row>
    <row r="17" spans="1:19" x14ac:dyDescent="0.45">
      <c r="A17" s="31"/>
      <c r="B17" s="27" t="s">
        <v>8</v>
      </c>
      <c r="C17" s="9"/>
      <c r="D17" s="10"/>
      <c r="R17"/>
      <c r="S17"/>
    </row>
    <row r="18" spans="1:19" ht="14.65" thickBot="1" x14ac:dyDescent="0.5">
      <c r="A18" s="32" t="s">
        <v>6</v>
      </c>
      <c r="B18" s="5" t="s">
        <v>7</v>
      </c>
      <c r="C18" s="1" t="s">
        <v>12</v>
      </c>
      <c r="D18" s="16" t="s">
        <v>42</v>
      </c>
      <c r="R18"/>
      <c r="S18"/>
    </row>
    <row r="19" spans="1:19" x14ac:dyDescent="0.45">
      <c r="A19" s="15">
        <v>60</v>
      </c>
      <c r="B19" s="28">
        <v>8.0219999999999996E-3</v>
      </c>
      <c r="C19" s="9">
        <f>1-B19</f>
        <v>0.99197800000000003</v>
      </c>
      <c r="D19" s="10" t="s">
        <v>134</v>
      </c>
      <c r="R19"/>
      <c r="S19"/>
    </row>
    <row r="20" spans="1:19" x14ac:dyDescent="0.45">
      <c r="A20" s="15">
        <v>61</v>
      </c>
      <c r="B20" s="29">
        <v>9.0089999999999996E-3</v>
      </c>
      <c r="C20" s="1">
        <f t="shared" ref="C20:C24" si="0">1-B20</f>
        <v>0.99099099999999996</v>
      </c>
      <c r="D20" s="16" t="s">
        <v>134</v>
      </c>
      <c r="R20"/>
      <c r="S20"/>
    </row>
    <row r="21" spans="1:19" x14ac:dyDescent="0.45">
      <c r="A21" s="15">
        <v>62</v>
      </c>
      <c r="B21" s="29">
        <v>1.0111999999999999E-2</v>
      </c>
      <c r="C21" s="1">
        <f t="shared" si="0"/>
        <v>0.98988799999999999</v>
      </c>
      <c r="D21" s="16">
        <f>1</f>
        <v>1</v>
      </c>
      <c r="R21"/>
      <c r="S21"/>
    </row>
    <row r="22" spans="1:19" x14ac:dyDescent="0.45">
      <c r="A22" s="15">
        <v>63</v>
      </c>
      <c r="B22" s="29">
        <v>1.1344E-2</v>
      </c>
      <c r="C22" s="1">
        <f t="shared" si="0"/>
        <v>0.98865599999999998</v>
      </c>
      <c r="D22" s="16">
        <f>C21*D21</f>
        <v>0.98988799999999999</v>
      </c>
      <c r="R22"/>
      <c r="S22"/>
    </row>
    <row r="23" spans="1:19" x14ac:dyDescent="0.45">
      <c r="A23" s="15">
        <v>64</v>
      </c>
      <c r="B23" s="29">
        <v>1.2716E-2</v>
      </c>
      <c r="C23" s="1">
        <f t="shared" si="0"/>
        <v>0.98728400000000005</v>
      </c>
      <c r="D23" s="16">
        <f t="shared" ref="D23:D24" si="1">C22*D22</f>
        <v>0.97865871052800002</v>
      </c>
      <c r="R23"/>
      <c r="S23"/>
    </row>
    <row r="24" spans="1:19" ht="14.65" thickBot="1" x14ac:dyDescent="0.5">
      <c r="A24" s="18">
        <v>65</v>
      </c>
      <c r="B24" s="30">
        <v>1.4243E-2</v>
      </c>
      <c r="C24" s="19">
        <f t="shared" si="0"/>
        <v>0.98575699999999999</v>
      </c>
      <c r="D24" s="20">
        <f t="shared" si="1"/>
        <v>0.96621408636492601</v>
      </c>
      <c r="R24"/>
      <c r="S24"/>
    </row>
    <row r="25" spans="1:19" customFormat="1" ht="14.65" thickBot="1" x14ac:dyDescent="0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9" customFormat="1" x14ac:dyDescent="0.45">
      <c r="A26" s="25" t="s">
        <v>36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9" customFormat="1" x14ac:dyDescent="0.45">
      <c r="A27" s="15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9" customFormat="1" x14ac:dyDescent="0.45">
      <c r="A28" s="35"/>
    </row>
    <row r="29" spans="1:19" customFormat="1" ht="28.5" x14ac:dyDescent="0.45">
      <c r="A29" s="11" t="s">
        <v>0</v>
      </c>
      <c r="B29" s="2" t="s">
        <v>6</v>
      </c>
      <c r="C29" s="2" t="s">
        <v>27</v>
      </c>
      <c r="D29" s="2" t="s">
        <v>26</v>
      </c>
      <c r="E29" s="2" t="s">
        <v>1</v>
      </c>
      <c r="F29" s="2" t="s">
        <v>2</v>
      </c>
      <c r="G29" s="2" t="s">
        <v>5</v>
      </c>
      <c r="H29" s="2" t="s">
        <v>9</v>
      </c>
      <c r="I29" s="2" t="s">
        <v>10</v>
      </c>
      <c r="J29" s="2" t="s">
        <v>11</v>
      </c>
      <c r="K29" s="2" t="s">
        <v>14</v>
      </c>
      <c r="L29" s="2" t="s">
        <v>25</v>
      </c>
      <c r="M29" s="2" t="s">
        <v>30</v>
      </c>
      <c r="N29" s="2" t="s">
        <v>29</v>
      </c>
      <c r="O29" s="2" t="s">
        <v>28</v>
      </c>
      <c r="P29" s="2" t="s">
        <v>31</v>
      </c>
      <c r="Q29" s="2" t="s">
        <v>15</v>
      </c>
    </row>
    <row r="30" spans="1:19" customFormat="1" x14ac:dyDescent="0.45">
      <c r="A30" s="12">
        <v>1</v>
      </c>
      <c r="B30" s="3">
        <v>62</v>
      </c>
      <c r="C30" s="13">
        <v>0</v>
      </c>
      <c r="D30" s="13">
        <f>9532</f>
        <v>9532</v>
      </c>
      <c r="E30" s="4">
        <f>$B$14</f>
        <v>9350</v>
      </c>
      <c r="F30" s="13">
        <v>400</v>
      </c>
      <c r="G30" s="8">
        <f>E10</f>
        <v>0.06</v>
      </c>
      <c r="H30" s="4">
        <f>$B$10</f>
        <v>30000</v>
      </c>
      <c r="I30" s="4">
        <f>0</f>
        <v>0</v>
      </c>
      <c r="J30" s="4">
        <f>(E30-F30)*(1+G30)-B21*H30-C21*I30</f>
        <v>9183.64</v>
      </c>
      <c r="K30" s="4">
        <f>C30*G30</f>
        <v>0</v>
      </c>
      <c r="L30" s="4">
        <f>C21*D30-C30</f>
        <v>9435.6124159999999</v>
      </c>
      <c r="M30" s="4">
        <f>J30+K30-L30</f>
        <v>-251.97241600000052</v>
      </c>
      <c r="N30" s="7">
        <f>D21</f>
        <v>1</v>
      </c>
      <c r="O30" s="4">
        <f>M30*N30</f>
        <v>-251.97241600000052</v>
      </c>
      <c r="P30" s="73">
        <f>$C$12^A30</f>
        <v>0.92928347810555789</v>
      </c>
      <c r="Q30" s="6">
        <f>O30*P30</f>
        <v>-234.153803127141</v>
      </c>
    </row>
    <row r="31" spans="1:19" customFormat="1" x14ac:dyDescent="0.45">
      <c r="A31" s="12">
        <v>2</v>
      </c>
      <c r="B31" s="3">
        <v>63</v>
      </c>
      <c r="C31" s="13">
        <f>D30</f>
        <v>9532</v>
      </c>
      <c r="D31" s="13">
        <f>19514</f>
        <v>19514</v>
      </c>
      <c r="E31" s="4">
        <f t="shared" ref="E31:E32" si="2">$B$14</f>
        <v>9350</v>
      </c>
      <c r="F31" s="13">
        <v>100</v>
      </c>
      <c r="G31" s="8">
        <f t="shared" ref="G31:G32" si="3">E11</f>
        <v>0.05</v>
      </c>
      <c r="H31" s="4">
        <f t="shared" ref="H31:H32" si="4">$B$10</f>
        <v>30000</v>
      </c>
      <c r="I31" s="4">
        <f>0</f>
        <v>0</v>
      </c>
      <c r="J31" s="4">
        <f t="shared" ref="J31:J32" si="5">(E31-F31)*(1+G31)-B22*H31-C22*I31</f>
        <v>9372.18</v>
      </c>
      <c r="K31" s="4">
        <f t="shared" ref="K31:K32" si="6">C31*G31</f>
        <v>476.6</v>
      </c>
      <c r="L31" s="4">
        <f t="shared" ref="L31:L32" si="7">C22*D31-C31</f>
        <v>9760.6331839999984</v>
      </c>
      <c r="M31" s="4">
        <f t="shared" ref="M31:M32" si="8">J31+K31-L31</f>
        <v>88.146816000002218</v>
      </c>
      <c r="N31" s="7">
        <f t="shared" ref="N31:N32" si="9">D22</f>
        <v>0.98988799999999999</v>
      </c>
      <c r="O31" s="4">
        <f t="shared" ref="O31:O32" si="10">M31*N31</f>
        <v>87.255475396610194</v>
      </c>
      <c r="P31" s="73">
        <f t="shared" ref="P31:P32" si="11">$C$12^A31</f>
        <v>0.86356778267996293</v>
      </c>
      <c r="Q31" s="6">
        <f t="shared" ref="Q31:Q32" si="12">O31*P31</f>
        <v>75.35101741493672</v>
      </c>
    </row>
    <row r="32" spans="1:19" customFormat="1" x14ac:dyDescent="0.45">
      <c r="A32" s="12">
        <v>3</v>
      </c>
      <c r="B32" s="3">
        <v>64</v>
      </c>
      <c r="C32" s="13">
        <f>D31</f>
        <v>19514</v>
      </c>
      <c r="D32" s="13">
        <f>0</f>
        <v>0</v>
      </c>
      <c r="E32" s="4">
        <f t="shared" si="2"/>
        <v>9350</v>
      </c>
      <c r="F32" s="13">
        <v>100</v>
      </c>
      <c r="G32" s="8">
        <f t="shared" si="3"/>
        <v>0.05</v>
      </c>
      <c r="H32" s="4">
        <f t="shared" si="4"/>
        <v>30000</v>
      </c>
      <c r="I32" s="4">
        <f t="shared" ref="I32" si="13">$B$11</f>
        <v>30000</v>
      </c>
      <c r="J32" s="4">
        <f t="shared" si="5"/>
        <v>-20287.5</v>
      </c>
      <c r="K32" s="4">
        <f t="shared" si="6"/>
        <v>975.7</v>
      </c>
      <c r="L32" s="4">
        <f t="shared" si="7"/>
        <v>-19514</v>
      </c>
      <c r="M32" s="4">
        <f t="shared" si="8"/>
        <v>202.20000000000073</v>
      </c>
      <c r="N32" s="7">
        <f t="shared" si="9"/>
        <v>0.97865871052800002</v>
      </c>
      <c r="O32" s="4">
        <f t="shared" si="10"/>
        <v>197.88479126876231</v>
      </c>
      <c r="P32" s="73">
        <f t="shared" si="11"/>
        <v>0.80249927266874055</v>
      </c>
      <c r="Q32" s="6">
        <f t="shared" si="12"/>
        <v>158.8024010653873</v>
      </c>
    </row>
    <row r="33" customFormat="1" x14ac:dyDescent="0.45"/>
    <row r="34" customFormat="1" x14ac:dyDescent="0.45"/>
    <row r="35" customFormat="1" x14ac:dyDescent="0.45"/>
    <row r="36" customFormat="1" x14ac:dyDescent="0.45"/>
    <row r="37" customFormat="1" x14ac:dyDescent="0.45"/>
    <row r="38" customFormat="1" x14ac:dyDescent="0.45"/>
    <row r="39" customFormat="1" x14ac:dyDescent="0.45"/>
    <row r="40" customFormat="1" x14ac:dyDescent="0.45"/>
    <row r="41" customFormat="1" x14ac:dyDescent="0.45"/>
    <row r="42" customFormat="1" x14ac:dyDescent="0.45"/>
    <row r="43" customFormat="1" x14ac:dyDescent="0.45"/>
    <row r="44" customFormat="1" x14ac:dyDescent="0.45"/>
    <row r="45" customFormat="1" x14ac:dyDescent="0.45"/>
    <row r="46" customFormat="1" x14ac:dyDescent="0.45"/>
    <row r="47" customFormat="1" x14ac:dyDescent="0.45"/>
    <row r="48" customFormat="1" x14ac:dyDescent="0.45"/>
  </sheetData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2:I27"/>
  <sheetViews>
    <sheetView topLeftCell="A2" workbookViewId="0">
      <selection activeCell="I16" sqref="I16"/>
    </sheetView>
  </sheetViews>
  <sheetFormatPr defaultColWidth="9.1328125" defaultRowHeight="14.25" x14ac:dyDescent="0.45"/>
  <cols>
    <col min="1" max="1" width="17.796875" style="1" customWidth="1"/>
    <col min="2" max="2" width="9.6640625" style="1" bestFit="1" customWidth="1"/>
    <col min="3" max="3" width="9.59765625" style="1" bestFit="1" customWidth="1"/>
    <col min="4" max="4" width="11" style="1" customWidth="1"/>
    <col min="5" max="6" width="9.265625" style="1" bestFit="1" customWidth="1"/>
    <col min="7" max="7" width="12.33203125" style="1" bestFit="1" customWidth="1"/>
    <col min="8" max="9" width="10.59765625" style="1" bestFit="1" customWidth="1"/>
    <col min="10" max="10" width="12" style="1" customWidth="1"/>
    <col min="11" max="12" width="11.86328125" style="1" customWidth="1"/>
    <col min="13" max="13" width="10.3984375" style="1" customWidth="1"/>
    <col min="14" max="14" width="11.1328125" style="1" customWidth="1"/>
    <col min="15" max="15" width="9.1328125" style="1"/>
    <col min="16" max="16" width="10.73046875" style="1" customWidth="1"/>
    <col min="17" max="16384" width="9.1328125" style="1"/>
  </cols>
  <sheetData>
    <row r="2" spans="1:9" ht="21" x14ac:dyDescent="0.65">
      <c r="A2" s="37" t="s">
        <v>91</v>
      </c>
    </row>
    <row r="4" spans="1:9" ht="14.65" thickBot="1" x14ac:dyDescent="0.5"/>
    <row r="5" spans="1:9" ht="14.65" thickBot="1" x14ac:dyDescent="0.5">
      <c r="A5" s="21" t="s">
        <v>34</v>
      </c>
      <c r="B5" s="9"/>
      <c r="C5" s="9"/>
      <c r="D5" s="9"/>
      <c r="E5" s="10"/>
      <c r="G5" s="21" t="s">
        <v>94</v>
      </c>
      <c r="H5" s="9"/>
      <c r="I5" s="10"/>
    </row>
    <row r="6" spans="1:9" ht="14.65" thickBot="1" x14ac:dyDescent="0.5">
      <c r="A6" s="15" t="s">
        <v>88</v>
      </c>
      <c r="B6" s="22">
        <v>0.05</v>
      </c>
      <c r="D6" s="1" t="s">
        <v>16</v>
      </c>
      <c r="E6" s="16"/>
      <c r="G6" s="15"/>
      <c r="I6" s="16"/>
    </row>
    <row r="7" spans="1:9" ht="14.65" thickBot="1" x14ac:dyDescent="0.5">
      <c r="A7" s="15" t="s">
        <v>92</v>
      </c>
      <c r="B7" s="22">
        <v>0.08</v>
      </c>
      <c r="D7" s="1" t="s">
        <v>39</v>
      </c>
      <c r="E7" s="22">
        <v>0.95</v>
      </c>
      <c r="G7" s="62" t="s">
        <v>95</v>
      </c>
      <c r="H7" s="17">
        <f>I18</f>
        <v>3258.9977244647403</v>
      </c>
      <c r="I7" s="16"/>
    </row>
    <row r="8" spans="1:9" ht="14.65" thickBot="1" x14ac:dyDescent="0.5">
      <c r="A8" s="15" t="s">
        <v>87</v>
      </c>
      <c r="B8" s="61">
        <v>5.0000000000000001E-3</v>
      </c>
      <c r="D8" s="1" t="s">
        <v>40</v>
      </c>
      <c r="E8" s="22">
        <v>1.01</v>
      </c>
      <c r="G8" s="18"/>
      <c r="H8" s="19"/>
      <c r="I8" s="20"/>
    </row>
    <row r="9" spans="1:9" ht="14.65" thickBot="1" x14ac:dyDescent="0.5">
      <c r="A9" s="15" t="s">
        <v>1</v>
      </c>
      <c r="B9" s="23">
        <v>1000</v>
      </c>
      <c r="D9" s="1" t="s">
        <v>41</v>
      </c>
      <c r="E9" s="22">
        <v>1.01</v>
      </c>
    </row>
    <row r="10" spans="1:9" x14ac:dyDescent="0.45">
      <c r="A10" s="15"/>
      <c r="E10" s="16"/>
    </row>
    <row r="11" spans="1:9" ht="14.65" thickBot="1" x14ac:dyDescent="0.5">
      <c r="A11" s="18"/>
      <c r="B11" s="19"/>
      <c r="C11" s="19"/>
      <c r="D11" s="19"/>
      <c r="E11" s="20"/>
    </row>
    <row r="15" spans="1:9" ht="28.5" x14ac:dyDescent="0.45">
      <c r="A15" s="2" t="s">
        <v>0</v>
      </c>
      <c r="B15" s="2" t="s">
        <v>1</v>
      </c>
      <c r="C15" s="2" t="s">
        <v>16</v>
      </c>
      <c r="D15" s="2" t="s">
        <v>17</v>
      </c>
      <c r="E15" s="2" t="s">
        <v>18</v>
      </c>
      <c r="F15" s="2" t="s">
        <v>93</v>
      </c>
      <c r="G15" s="2" t="s">
        <v>89</v>
      </c>
      <c r="H15" s="2" t="s">
        <v>87</v>
      </c>
      <c r="I15" s="2" t="s">
        <v>90</v>
      </c>
    </row>
    <row r="16" spans="1:9" x14ac:dyDescent="0.45">
      <c r="A16" s="3">
        <v>1</v>
      </c>
      <c r="B16" s="60">
        <f>$B$9</f>
        <v>1000</v>
      </c>
      <c r="C16" s="58">
        <f>E7</f>
        <v>0.95</v>
      </c>
      <c r="D16" s="8">
        <f>1-$B$6</f>
        <v>0.95</v>
      </c>
      <c r="E16" s="4">
        <f>B16*C16*D16</f>
        <v>902.5</v>
      </c>
      <c r="F16" s="4">
        <f>IF(A16=1, E16,I15+E16)</f>
        <v>902.5</v>
      </c>
      <c r="G16" s="4">
        <f>F16*($B$7+1)</f>
        <v>974.7</v>
      </c>
      <c r="H16" s="74">
        <f>G16*$B$8</f>
        <v>4.8734999999999999</v>
      </c>
      <c r="I16" s="4">
        <f>G16-H16</f>
        <v>969.82650000000001</v>
      </c>
    </row>
    <row r="17" spans="1:9" x14ac:dyDescent="0.45">
      <c r="A17" s="3">
        <v>2</v>
      </c>
      <c r="B17" s="60">
        <f t="shared" ref="B17:B18" si="0">$B$9</f>
        <v>1000</v>
      </c>
      <c r="C17" s="58">
        <f t="shared" ref="C17:C18" si="1">E8</f>
        <v>1.01</v>
      </c>
      <c r="D17" s="8">
        <f t="shared" ref="D17:D18" si="2">1-$B$6</f>
        <v>0.95</v>
      </c>
      <c r="E17" s="4">
        <f t="shared" ref="E17:E18" si="3">B17*C17*D17</f>
        <v>959.5</v>
      </c>
      <c r="F17" s="4">
        <f t="shared" ref="F17:F18" si="4">IF(A17=1, E17,I16+E17)</f>
        <v>1929.3265000000001</v>
      </c>
      <c r="G17" s="4">
        <f t="shared" ref="G17:G18" si="5">F17*($B$7+1)</f>
        <v>2083.6726200000003</v>
      </c>
      <c r="H17" s="74">
        <f t="shared" ref="H17:H18" si="6">G17*$B$8</f>
        <v>10.418363100000002</v>
      </c>
      <c r="I17" s="4">
        <f t="shared" ref="I17:I18" si="7">G17-H17</f>
        <v>2073.2542569000002</v>
      </c>
    </row>
    <row r="18" spans="1:9" x14ac:dyDescent="0.45">
      <c r="A18" s="3">
        <v>3</v>
      </c>
      <c r="B18" s="60">
        <f t="shared" si="0"/>
        <v>1000</v>
      </c>
      <c r="C18" s="58">
        <f t="shared" si="1"/>
        <v>1.01</v>
      </c>
      <c r="D18" s="8">
        <f t="shared" si="2"/>
        <v>0.95</v>
      </c>
      <c r="E18" s="4">
        <f t="shared" si="3"/>
        <v>959.5</v>
      </c>
      <c r="F18" s="4">
        <f t="shared" si="4"/>
        <v>3032.7542569000002</v>
      </c>
      <c r="G18" s="4">
        <f t="shared" si="5"/>
        <v>3275.3745974520002</v>
      </c>
      <c r="H18" s="74">
        <f t="shared" si="6"/>
        <v>16.376872987260001</v>
      </c>
      <c r="I18" s="4">
        <f t="shared" si="7"/>
        <v>3258.9977244647403</v>
      </c>
    </row>
    <row r="26" spans="1:9" x14ac:dyDescent="0.45">
      <c r="C26" s="5"/>
      <c r="D26" s="5"/>
    </row>
    <row r="27" spans="1:9" x14ac:dyDescent="0.45">
      <c r="D27" s="5"/>
      <c r="E27" s="5"/>
    </row>
  </sheetData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2:M43"/>
  <sheetViews>
    <sheetView topLeftCell="A20" workbookViewId="0">
      <selection activeCell="K42" sqref="K42"/>
    </sheetView>
  </sheetViews>
  <sheetFormatPr defaultColWidth="9.1328125" defaultRowHeight="14.25" x14ac:dyDescent="0.45"/>
  <cols>
    <col min="1" max="1" width="16.53125" style="1" customWidth="1"/>
    <col min="2" max="2" width="9.1328125" style="1"/>
    <col min="3" max="3" width="9.59765625" style="1" bestFit="1" customWidth="1"/>
    <col min="4" max="4" width="11" style="1" customWidth="1"/>
    <col min="5" max="6" width="9.265625" style="1" bestFit="1" customWidth="1"/>
    <col min="7" max="7" width="10.59765625" style="1" bestFit="1" customWidth="1"/>
    <col min="8" max="8" width="12.3984375" style="1" customWidth="1"/>
    <col min="9" max="9" width="11" style="1" bestFit="1" customWidth="1"/>
    <col min="10" max="10" width="17.9296875" style="1" customWidth="1"/>
    <col min="11" max="11" width="26.46484375" style="1" bestFit="1" customWidth="1"/>
    <col min="12" max="12" width="16.33203125" style="1" customWidth="1"/>
    <col min="13" max="13" width="10.3984375" style="1" customWidth="1"/>
    <col min="14" max="14" width="11.1328125" style="1" customWidth="1"/>
    <col min="15" max="15" width="9.1328125" style="1"/>
    <col min="16" max="16" width="10.73046875" style="1" customWidth="1"/>
    <col min="17" max="16384" width="9.1328125" style="1"/>
  </cols>
  <sheetData>
    <row r="2" spans="1:13" ht="21" x14ac:dyDescent="0.65">
      <c r="A2" s="37" t="s">
        <v>105</v>
      </c>
    </row>
    <row r="4" spans="1:13" ht="14.65" thickBot="1" x14ac:dyDescent="0.5"/>
    <row r="5" spans="1:13" ht="14.65" thickBot="1" x14ac:dyDescent="0.5">
      <c r="A5" s="21" t="s">
        <v>34</v>
      </c>
      <c r="B5" s="9"/>
      <c r="C5" s="9"/>
      <c r="D5" s="9"/>
      <c r="E5" s="9"/>
      <c r="F5" s="9"/>
      <c r="G5" s="9"/>
      <c r="H5" s="9"/>
      <c r="I5" s="10"/>
      <c r="K5" s="21" t="s">
        <v>32</v>
      </c>
      <c r="L5" s="9"/>
      <c r="M5" s="10"/>
    </row>
    <row r="6" spans="1:13" ht="14.65" thickBot="1" x14ac:dyDescent="0.5">
      <c r="A6" s="15" t="s">
        <v>88</v>
      </c>
      <c r="B6" s="22">
        <v>0.05</v>
      </c>
      <c r="D6" s="1" t="s">
        <v>101</v>
      </c>
      <c r="E6" s="22">
        <v>0.2</v>
      </c>
      <c r="F6" s="49" t="s">
        <v>100</v>
      </c>
      <c r="H6" s="1" t="s">
        <v>16</v>
      </c>
      <c r="I6" s="16"/>
      <c r="K6" s="15"/>
      <c r="M6" s="16"/>
    </row>
    <row r="7" spans="1:13" ht="14.65" thickBot="1" x14ac:dyDescent="0.5">
      <c r="A7" s="15" t="s">
        <v>92</v>
      </c>
      <c r="B7" s="22">
        <v>0.09</v>
      </c>
      <c r="D7" s="1" t="s">
        <v>102</v>
      </c>
      <c r="E7" s="65">
        <v>20</v>
      </c>
      <c r="F7" s="68" t="s">
        <v>99</v>
      </c>
      <c r="H7" s="1" t="s">
        <v>39</v>
      </c>
      <c r="I7" s="22">
        <v>0.8</v>
      </c>
      <c r="K7" s="62" t="s">
        <v>127</v>
      </c>
      <c r="M7" s="70">
        <f>J31</f>
        <v>3123.2001485852652</v>
      </c>
    </row>
    <row r="8" spans="1:13" ht="14.65" thickBot="1" x14ac:dyDescent="0.5">
      <c r="A8" s="15" t="s">
        <v>87</v>
      </c>
      <c r="B8" s="61">
        <v>7.4999999999999997E-3</v>
      </c>
      <c r="D8" s="1" t="s">
        <v>103</v>
      </c>
      <c r="E8" s="22">
        <v>0.04</v>
      </c>
      <c r="H8" s="1" t="s">
        <v>40</v>
      </c>
      <c r="I8" s="22">
        <v>1.01</v>
      </c>
      <c r="K8" s="62" t="s">
        <v>129</v>
      </c>
      <c r="L8" s="1" t="s">
        <v>39</v>
      </c>
      <c r="M8" s="70">
        <f>I37</f>
        <v>44.279561000000001</v>
      </c>
    </row>
    <row r="9" spans="1:13" ht="14.65" thickBot="1" x14ac:dyDescent="0.5">
      <c r="A9" s="15" t="s">
        <v>1</v>
      </c>
      <c r="B9" s="23">
        <v>1000</v>
      </c>
      <c r="H9" s="1" t="s">
        <v>41</v>
      </c>
      <c r="I9" s="22">
        <v>1.01</v>
      </c>
      <c r="K9" s="15"/>
      <c r="L9" s="1" t="s">
        <v>40</v>
      </c>
      <c r="M9" s="70">
        <f t="shared" ref="M9:M10" si="0">I38</f>
        <v>35.560708705801026</v>
      </c>
    </row>
    <row r="10" spans="1:13" ht="14.65" thickBot="1" x14ac:dyDescent="0.5">
      <c r="A10" s="15"/>
      <c r="D10" s="1" t="s">
        <v>23</v>
      </c>
      <c r="E10" s="22">
        <v>0.1</v>
      </c>
      <c r="F10" s="1">
        <f>1/(1+E10)</f>
        <v>0.90909090909090906</v>
      </c>
      <c r="I10" s="16"/>
      <c r="K10" s="15"/>
      <c r="L10" s="1" t="s">
        <v>41</v>
      </c>
      <c r="M10" s="70">
        <f t="shared" si="0"/>
        <v>44.651886916486824</v>
      </c>
    </row>
    <row r="11" spans="1:13" ht="14.65" thickBot="1" x14ac:dyDescent="0.5">
      <c r="A11" s="18"/>
      <c r="B11" s="19"/>
      <c r="C11" s="19"/>
      <c r="D11" s="19"/>
      <c r="E11" s="19"/>
      <c r="F11" s="19"/>
      <c r="G11" s="19"/>
      <c r="H11" s="19"/>
      <c r="I11" s="20"/>
      <c r="K11" s="15"/>
      <c r="M11" s="16"/>
    </row>
    <row r="12" spans="1:13" ht="14.65" thickBot="1" x14ac:dyDescent="0.5">
      <c r="K12" s="62" t="s">
        <v>128</v>
      </c>
      <c r="L12" s="63"/>
      <c r="M12" s="79">
        <f>SUM(K37:K39)</f>
        <v>103.19078535151611</v>
      </c>
    </row>
    <row r="13" spans="1:13" ht="14.65" thickBot="1" x14ac:dyDescent="0.5">
      <c r="A13" s="14" t="s">
        <v>97</v>
      </c>
      <c r="B13" s="9"/>
      <c r="C13" s="9"/>
      <c r="D13" s="9"/>
      <c r="E13" s="10"/>
      <c r="K13" s="18"/>
      <c r="L13" s="19"/>
      <c r="M13" s="20"/>
    </row>
    <row r="14" spans="1:13" x14ac:dyDescent="0.45">
      <c r="A14" s="26"/>
      <c r="B14" s="5"/>
      <c r="E14" s="16"/>
    </row>
    <row r="15" spans="1:13" ht="14.65" thickBot="1" x14ac:dyDescent="0.5">
      <c r="A15" s="26" t="s">
        <v>98</v>
      </c>
      <c r="B15" s="5" t="s">
        <v>7</v>
      </c>
      <c r="C15" s="1" t="s">
        <v>12</v>
      </c>
      <c r="D15" s="1" t="s">
        <v>13</v>
      </c>
      <c r="E15" s="16"/>
    </row>
    <row r="16" spans="1:13" ht="14.65" thickBot="1" x14ac:dyDescent="0.5">
      <c r="A16" s="15">
        <v>0</v>
      </c>
      <c r="B16" s="64">
        <v>3.0000000000000001E-3</v>
      </c>
      <c r="C16" s="75">
        <f>1-B16</f>
        <v>0.997</v>
      </c>
      <c r="D16" s="75">
        <f>1</f>
        <v>1</v>
      </c>
      <c r="E16" s="16"/>
    </row>
    <row r="17" spans="1:13" ht="14.65" thickBot="1" x14ac:dyDescent="0.5">
      <c r="A17" s="15">
        <v>1</v>
      </c>
      <c r="B17" s="64">
        <v>3.0000000000000001E-3</v>
      </c>
      <c r="C17" s="75">
        <f t="shared" ref="C17:C19" si="1">1-B17</f>
        <v>0.997</v>
      </c>
      <c r="D17" s="75">
        <f>D16*C16</f>
        <v>0.997</v>
      </c>
      <c r="E17" s="16"/>
    </row>
    <row r="18" spans="1:13" ht="14.65" thickBot="1" x14ac:dyDescent="0.5">
      <c r="A18" s="15">
        <v>2</v>
      </c>
      <c r="B18" s="64">
        <v>3.0000000000000001E-3</v>
      </c>
      <c r="C18" s="75">
        <f t="shared" si="1"/>
        <v>0.997</v>
      </c>
      <c r="D18" s="75">
        <f t="shared" ref="D18:D19" si="2">D17*C17</f>
        <v>0.99400900000000003</v>
      </c>
      <c r="E18" s="16"/>
    </row>
    <row r="19" spans="1:13" ht="14.65" thickBot="1" x14ac:dyDescent="0.5">
      <c r="A19" s="15">
        <v>3</v>
      </c>
      <c r="B19" s="64">
        <v>3.0000000000000001E-3</v>
      </c>
      <c r="C19" s="75">
        <f t="shared" si="1"/>
        <v>0.997</v>
      </c>
      <c r="D19" s="75">
        <f t="shared" si="2"/>
        <v>0.99102697299999998</v>
      </c>
      <c r="E19" s="16"/>
    </row>
    <row r="20" spans="1:13" x14ac:dyDescent="0.45">
      <c r="A20"/>
      <c r="B20"/>
      <c r="C20"/>
      <c r="D20"/>
      <c r="E20" s="16"/>
    </row>
    <row r="21" spans="1:13" x14ac:dyDescent="0.45">
      <c r="A21"/>
      <c r="B21"/>
      <c r="C21"/>
      <c r="D21"/>
      <c r="E21" s="16"/>
    </row>
    <row r="22" spans="1:13" ht="14.65" thickBot="1" x14ac:dyDescent="0.5">
      <c r="A22" s="18"/>
      <c r="B22" s="19"/>
      <c r="C22" s="19"/>
      <c r="D22" s="19"/>
      <c r="E22" s="20"/>
    </row>
    <row r="23" spans="1:13" ht="14.65" thickBot="1" x14ac:dyDescent="0.5"/>
    <row r="24" spans="1:13" x14ac:dyDescent="0.45">
      <c r="A24" s="21" t="s">
        <v>36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10"/>
    </row>
    <row r="25" spans="1:13" x14ac:dyDescent="0.45">
      <c r="A25" s="15"/>
      <c r="M25" s="16"/>
    </row>
    <row r="26" spans="1:13" x14ac:dyDescent="0.45">
      <c r="A26" s="69" t="s">
        <v>96</v>
      </c>
      <c r="M26" s="16"/>
    </row>
    <row r="27" spans="1:13" x14ac:dyDescent="0.45">
      <c r="A27" s="15"/>
      <c r="M27" s="16"/>
    </row>
    <row r="28" spans="1:13" ht="28.5" x14ac:dyDescent="0.45">
      <c r="A28" s="11" t="s">
        <v>0</v>
      </c>
      <c r="B28" s="2" t="s">
        <v>135</v>
      </c>
      <c r="C28" s="2" t="s">
        <v>136</v>
      </c>
      <c r="D28" s="2" t="s">
        <v>1</v>
      </c>
      <c r="E28" s="2"/>
      <c r="F28" s="2" t="s">
        <v>137</v>
      </c>
      <c r="G28" s="2" t="s">
        <v>138</v>
      </c>
      <c r="H28" s="2" t="s">
        <v>139</v>
      </c>
      <c r="I28" s="2" t="s">
        <v>87</v>
      </c>
      <c r="J28" s="77" t="s">
        <v>140</v>
      </c>
      <c r="M28" s="16"/>
    </row>
    <row r="29" spans="1:13" x14ac:dyDescent="0.45">
      <c r="A29" s="12">
        <v>1</v>
      </c>
      <c r="B29" s="76">
        <f>I7</f>
        <v>0.8</v>
      </c>
      <c r="C29" s="76">
        <f>1-$B$6</f>
        <v>0.95</v>
      </c>
      <c r="D29" s="74">
        <f>$B$9</f>
        <v>1000</v>
      </c>
      <c r="E29" s="4"/>
      <c r="F29" s="4">
        <f>D29*C29*B29</f>
        <v>760</v>
      </c>
      <c r="G29" s="4">
        <f>IF(A29=1,F29,F29+J28)</f>
        <v>760</v>
      </c>
      <c r="H29" s="4">
        <f>G29*(1+$B$7)</f>
        <v>828.40000000000009</v>
      </c>
      <c r="I29" s="4">
        <f>H29*$B$8</f>
        <v>6.2130000000000001</v>
      </c>
      <c r="J29" s="6">
        <f>H29-I29</f>
        <v>822.18700000000013</v>
      </c>
      <c r="M29" s="16"/>
    </row>
    <row r="30" spans="1:13" x14ac:dyDescent="0.45">
      <c r="A30" s="12">
        <v>2</v>
      </c>
      <c r="B30" s="76">
        <f>I8</f>
        <v>1.01</v>
      </c>
      <c r="C30" s="76">
        <f t="shared" ref="C30:C31" si="3">1-$B$6</f>
        <v>0.95</v>
      </c>
      <c r="D30" s="74">
        <f t="shared" ref="D30:D31" si="4">$B$9</f>
        <v>1000</v>
      </c>
      <c r="E30" s="4"/>
      <c r="F30" s="4">
        <f t="shared" ref="F30:F31" si="5">D30*C30*B30</f>
        <v>959.5</v>
      </c>
      <c r="G30" s="4">
        <f t="shared" ref="G30:G31" si="6">IF(A30=1,F30,F30+J29)</f>
        <v>1781.6870000000001</v>
      </c>
      <c r="H30" s="4">
        <f t="shared" ref="H30:H31" si="7">G30*(1+$B$7)</f>
        <v>1942.0388300000002</v>
      </c>
      <c r="I30" s="4">
        <f t="shared" ref="I30:I31" si="8">H30*$B$8</f>
        <v>14.565291225000001</v>
      </c>
      <c r="J30" s="6">
        <f t="shared" ref="J30:J31" si="9">H30-I30</f>
        <v>1927.4735387750002</v>
      </c>
      <c r="M30" s="16"/>
    </row>
    <row r="31" spans="1:13" x14ac:dyDescent="0.45">
      <c r="A31" s="12">
        <v>3</v>
      </c>
      <c r="B31" s="76">
        <f>I9</f>
        <v>1.01</v>
      </c>
      <c r="C31" s="76">
        <f t="shared" si="3"/>
        <v>0.95</v>
      </c>
      <c r="D31" s="74">
        <f t="shared" si="4"/>
        <v>1000</v>
      </c>
      <c r="E31" s="4"/>
      <c r="F31" s="4">
        <f t="shared" si="5"/>
        <v>959.5</v>
      </c>
      <c r="G31" s="4">
        <f t="shared" si="6"/>
        <v>2886.9735387750002</v>
      </c>
      <c r="H31" s="4">
        <f t="shared" si="7"/>
        <v>3146.8011572647506</v>
      </c>
      <c r="I31" s="4">
        <f t="shared" si="8"/>
        <v>23.601008679485627</v>
      </c>
      <c r="J31" s="6">
        <f t="shared" si="9"/>
        <v>3123.2001485852652</v>
      </c>
      <c r="M31" s="16"/>
    </row>
    <row r="32" spans="1:13" x14ac:dyDescent="0.45">
      <c r="A32" s="15"/>
      <c r="M32" s="16"/>
    </row>
    <row r="33" spans="1:13" x14ac:dyDescent="0.45">
      <c r="A33" s="15"/>
      <c r="M33" s="16"/>
    </row>
    <row r="34" spans="1:13" x14ac:dyDescent="0.45">
      <c r="A34" s="69" t="s">
        <v>104</v>
      </c>
      <c r="M34" s="16"/>
    </row>
    <row r="35" spans="1:13" x14ac:dyDescent="0.45">
      <c r="A35" s="69"/>
      <c r="M35" s="16"/>
    </row>
    <row r="36" spans="1:13" ht="28.5" x14ac:dyDescent="0.45">
      <c r="A36" s="11" t="s">
        <v>0</v>
      </c>
      <c r="B36" s="2" t="s">
        <v>20</v>
      </c>
      <c r="C36" s="2" t="s">
        <v>2</v>
      </c>
      <c r="D36" s="2" t="s">
        <v>5</v>
      </c>
      <c r="E36" s="2" t="s">
        <v>19</v>
      </c>
      <c r="F36" s="2" t="s">
        <v>21</v>
      </c>
      <c r="G36" s="2" t="s">
        <v>3</v>
      </c>
      <c r="H36" s="2" t="s">
        <v>4</v>
      </c>
      <c r="I36" s="2" t="s">
        <v>22</v>
      </c>
      <c r="J36" s="2" t="s">
        <v>31</v>
      </c>
      <c r="K36" s="2" t="s">
        <v>15</v>
      </c>
      <c r="M36" s="16"/>
    </row>
    <row r="37" spans="1:13" x14ac:dyDescent="0.45">
      <c r="A37" s="12">
        <v>1</v>
      </c>
      <c r="B37" s="59">
        <f>D29-F29</f>
        <v>240</v>
      </c>
      <c r="C37" s="4">
        <f>D29*E6</f>
        <v>200</v>
      </c>
      <c r="D37" s="74">
        <f>(B37-C37)*$E$8</f>
        <v>1.6</v>
      </c>
      <c r="E37" s="66">
        <f>I29</f>
        <v>6.2130000000000001</v>
      </c>
      <c r="F37" s="6">
        <f>MAX(B16*(2000-J29),0)</f>
        <v>3.5334389999999996</v>
      </c>
      <c r="G37" s="6">
        <f>B37-C37+D37+E37-F37</f>
        <v>44.279561000000001</v>
      </c>
      <c r="H37" s="67">
        <f>D16</f>
        <v>1</v>
      </c>
      <c r="I37" s="6">
        <f>G37*H37</f>
        <v>44.279561000000001</v>
      </c>
      <c r="J37" s="78">
        <f>$F$10^A37</f>
        <v>0.90909090909090906</v>
      </c>
      <c r="K37" s="6">
        <f>I37*J37</f>
        <v>40.254146363636366</v>
      </c>
      <c r="M37" s="16"/>
    </row>
    <row r="38" spans="1:13" x14ac:dyDescent="0.45">
      <c r="A38" s="12">
        <v>2</v>
      </c>
      <c r="B38" s="59">
        <f t="shared" ref="B38:B39" si="10">D30-F30</f>
        <v>40.5</v>
      </c>
      <c r="C38" s="4">
        <f>$E$7</f>
        <v>20</v>
      </c>
      <c r="D38" s="74">
        <f t="shared" ref="D38:D39" si="11">(B38-C38)*$E$8</f>
        <v>0.82000000000000006</v>
      </c>
      <c r="E38" s="66">
        <f t="shared" ref="E38:E39" si="12">I30</f>
        <v>14.565291225000001</v>
      </c>
      <c r="F38" s="6">
        <f t="shared" ref="F38:F39" si="13">MAX(B17*(2000-J30),0)</f>
        <v>0.21757938367499946</v>
      </c>
      <c r="G38" s="6">
        <f t="shared" ref="G38:G39" si="14">B38-C38+D38+E38-F38</f>
        <v>35.667711841325001</v>
      </c>
      <c r="H38" s="67">
        <f t="shared" ref="H38:H39" si="15">D17</f>
        <v>0.997</v>
      </c>
      <c r="I38" s="6">
        <f t="shared" ref="I38:I39" si="16">G38*H38</f>
        <v>35.560708705801026</v>
      </c>
      <c r="J38" s="78">
        <f t="shared" ref="J38:J39" si="17">$F$10^A38</f>
        <v>0.82644628099173545</v>
      </c>
      <c r="K38" s="6">
        <f t="shared" ref="K38:K39" si="18">I38*J38</f>
        <v>29.389015459339689</v>
      </c>
      <c r="M38" s="16"/>
    </row>
    <row r="39" spans="1:13" x14ac:dyDescent="0.45">
      <c r="A39" s="12">
        <v>3</v>
      </c>
      <c r="B39" s="59">
        <f t="shared" si="10"/>
        <v>40.5</v>
      </c>
      <c r="C39" s="4">
        <f>$E$7</f>
        <v>20</v>
      </c>
      <c r="D39" s="74">
        <f t="shared" si="11"/>
        <v>0.82000000000000006</v>
      </c>
      <c r="E39" s="66">
        <f t="shared" si="12"/>
        <v>23.601008679485627</v>
      </c>
      <c r="F39" s="6">
        <f t="shared" si="13"/>
        <v>0</v>
      </c>
      <c r="G39" s="6">
        <f t="shared" si="14"/>
        <v>44.921008679485624</v>
      </c>
      <c r="H39" s="67">
        <f t="shared" si="15"/>
        <v>0.99400900000000003</v>
      </c>
      <c r="I39" s="6">
        <f t="shared" si="16"/>
        <v>44.651886916486824</v>
      </c>
      <c r="J39" s="78">
        <f t="shared" si="17"/>
        <v>0.75131480090157765</v>
      </c>
      <c r="K39" s="6">
        <f t="shared" si="18"/>
        <v>33.547623528540058</v>
      </c>
      <c r="M39" s="16"/>
    </row>
    <row r="40" spans="1:13" x14ac:dyDescent="0.45">
      <c r="A40" s="15"/>
      <c r="M40" s="16"/>
    </row>
    <row r="41" spans="1:13" x14ac:dyDescent="0.45">
      <c r="A41" s="15"/>
      <c r="M41" s="16"/>
    </row>
    <row r="42" spans="1:13" x14ac:dyDescent="0.45">
      <c r="A42" s="15"/>
      <c r="M42" s="16"/>
    </row>
    <row r="43" spans="1:13" ht="14.65" thickBot="1" x14ac:dyDescent="0.5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20"/>
    </row>
  </sheetData>
  <phoneticPr fontId="18" type="noConversion"/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2:C24"/>
  <sheetViews>
    <sheetView tabSelected="1" zoomScale="93" workbookViewId="0">
      <selection activeCell="B10" sqref="B10"/>
    </sheetView>
  </sheetViews>
  <sheetFormatPr defaultColWidth="9.1328125" defaultRowHeight="14.25" x14ac:dyDescent="0.45"/>
  <cols>
    <col min="1" max="1" width="35.33203125" style="1" customWidth="1"/>
    <col min="2" max="2" width="14.73046875" style="1" bestFit="1" customWidth="1"/>
    <col min="3" max="3" width="24" style="1" customWidth="1"/>
    <col min="4" max="4" width="11" style="1" customWidth="1"/>
    <col min="5" max="6" width="9.265625" style="1" bestFit="1" customWidth="1"/>
    <col min="7" max="7" width="10.59765625" style="1" bestFit="1" customWidth="1"/>
    <col min="8" max="8" width="12.3984375" style="1" customWidth="1"/>
    <col min="9" max="9" width="11" style="1" bestFit="1" customWidth="1"/>
    <col min="10" max="10" width="12" style="1" customWidth="1"/>
    <col min="11" max="12" width="11.86328125" style="1" customWidth="1"/>
    <col min="13" max="13" width="10.3984375" style="1" customWidth="1"/>
    <col min="14" max="14" width="11.1328125" style="1" customWidth="1"/>
    <col min="15" max="15" width="9.1328125" style="1"/>
    <col min="16" max="16" width="10.73046875" style="1" customWidth="1"/>
    <col min="17" max="16384" width="9.1328125" style="1"/>
  </cols>
  <sheetData>
    <row r="2" spans="1:3" ht="21" x14ac:dyDescent="0.65">
      <c r="A2" s="37" t="s">
        <v>131</v>
      </c>
    </row>
    <row r="4" spans="1:3" ht="14.65" thickBot="1" x14ac:dyDescent="0.5"/>
    <row r="5" spans="1:3" ht="14.65" thickBot="1" x14ac:dyDescent="0.5">
      <c r="A5" s="1" t="s">
        <v>130</v>
      </c>
      <c r="B5" s="22">
        <v>0.03</v>
      </c>
    </row>
    <row r="6" spans="1:3" x14ac:dyDescent="0.45">
      <c r="B6" s="1">
        <f>1/(1+B5)</f>
        <v>0.970873786407767</v>
      </c>
    </row>
    <row r="7" spans="1:3" x14ac:dyDescent="0.45">
      <c r="A7" s="1" t="s">
        <v>132</v>
      </c>
    </row>
    <row r="8" spans="1:3" x14ac:dyDescent="0.45">
      <c r="A8" s="71" t="s">
        <v>22</v>
      </c>
    </row>
    <row r="9" spans="1:3" x14ac:dyDescent="0.45">
      <c r="A9" s="72">
        <v>123.09067999999999</v>
      </c>
      <c r="B9" s="1">
        <f>$B$6^0</f>
        <v>1</v>
      </c>
    </row>
    <row r="10" spans="1:3" x14ac:dyDescent="0.45">
      <c r="A10" s="72">
        <v>-43.965830949184003</v>
      </c>
      <c r="B10" s="1">
        <f>$B$6^1</f>
        <v>0.970873786407767</v>
      </c>
      <c r="C10" s="1">
        <f>A10*B10</f>
        <v>-42.685272766198061</v>
      </c>
    </row>
    <row r="11" spans="1:3" x14ac:dyDescent="0.45">
      <c r="A11" s="72">
        <v>-38.402194362671707</v>
      </c>
      <c r="B11" s="1">
        <f>$B$6^2</f>
        <v>0.94259590913375435</v>
      </c>
      <c r="C11" s="1">
        <f>A11*B11</f>
        <v>-36.197751308013672</v>
      </c>
    </row>
    <row r="12" spans="1:3" x14ac:dyDescent="0.45">
      <c r="C12" s="1">
        <f>SUM(C10:C11)</f>
        <v>-78.883024074211733</v>
      </c>
    </row>
    <row r="13" spans="1:3" x14ac:dyDescent="0.45">
      <c r="A13"/>
      <c r="B13"/>
      <c r="C13"/>
    </row>
    <row r="14" spans="1:3" x14ac:dyDescent="0.45">
      <c r="A14"/>
      <c r="B14"/>
      <c r="C14"/>
    </row>
    <row r="15" spans="1:3" x14ac:dyDescent="0.45">
      <c r="A15"/>
      <c r="B15"/>
      <c r="C15"/>
    </row>
    <row r="16" spans="1:3" x14ac:dyDescent="0.45">
      <c r="A16"/>
      <c r="B16"/>
      <c r="C16"/>
    </row>
    <row r="17" spans="1:3" x14ac:dyDescent="0.45">
      <c r="A17"/>
      <c r="B17"/>
      <c r="C17"/>
    </row>
    <row r="18" spans="1:3" x14ac:dyDescent="0.45">
      <c r="A18"/>
      <c r="B18"/>
      <c r="C18"/>
    </row>
    <row r="19" spans="1:3" x14ac:dyDescent="0.45">
      <c r="A19"/>
      <c r="B19"/>
      <c r="C19"/>
    </row>
    <row r="20" spans="1:3" x14ac:dyDescent="0.45">
      <c r="A20"/>
      <c r="B20"/>
      <c r="C20"/>
    </row>
    <row r="21" spans="1:3" x14ac:dyDescent="0.45">
      <c r="A21"/>
      <c r="B21"/>
      <c r="C21"/>
    </row>
    <row r="22" spans="1:3" x14ac:dyDescent="0.45">
      <c r="A22"/>
      <c r="B22"/>
      <c r="C22"/>
    </row>
    <row r="23" spans="1:3" x14ac:dyDescent="0.45">
      <c r="A23"/>
      <c r="B23"/>
      <c r="C23"/>
    </row>
    <row r="24" spans="1:3" x14ac:dyDescent="0.45">
      <c r="A24"/>
      <c r="B24"/>
      <c r="C24"/>
    </row>
  </sheetData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Colour key</vt:lpstr>
      <vt:lpstr>Q1</vt:lpstr>
      <vt:lpstr>Q2</vt:lpstr>
      <vt:lpstr>Q3</vt:lpstr>
      <vt:lpstr>Q4</vt:lpstr>
      <vt:lpstr>Q5</vt:lpstr>
    </vt:vector>
  </TitlesOfParts>
  <Company>Heriot-Watt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Finn, Jonathan</dc:creator>
  <cp:lastModifiedBy>Marcus Gwee Wen Hong</cp:lastModifiedBy>
  <dcterms:created xsi:type="dcterms:W3CDTF">2018-03-05T08:52:31Z</dcterms:created>
  <dcterms:modified xsi:type="dcterms:W3CDTF">2026-03-02T14:32:37Z</dcterms:modified>
</cp:coreProperties>
</file>