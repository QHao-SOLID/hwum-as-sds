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133" documentId="13_ncr:1_{31670041-E9BB-4D67-8F8A-28BA4D7F70FD}" xr6:coauthVersionLast="47" xr6:coauthVersionMax="47" xr10:uidLastSave="{8B5F4A2A-9CF5-417A-837C-69C0FFB12099}"/>
  <bookViews>
    <workbookView xWindow="-98" yWindow="-98" windowWidth="21795" windowHeight="12975" activeTab="3" xr2:uid="{948951B0-04B0-475E-9A44-65FFE789345B}"/>
  </bookViews>
  <sheets>
    <sheet name="Instructions" sheetId="5" r:id="rId1"/>
    <sheet name="Colour key" sheetId="4" r:id="rId2"/>
    <sheet name="Question 1" sheetId="1" r:id="rId3"/>
    <sheet name="Question 2" sheetId="6" r:id="rId4"/>
  </sheets>
  <definedNames>
    <definedName name="gompertz_B">Instructions!$L$7</definedName>
    <definedName name="gompertz_c">Instructions!$L$8</definedName>
    <definedName name="gompertz_g">'Question 2'!$C$10</definedName>
    <definedName name="InitialAge">'Question 1'!$B$5</definedName>
    <definedName name="InitialAgeQ2">'Question 2'!$C$5</definedName>
    <definedName name="IntRate">'Question 1'!$B$8</definedName>
    <definedName name="IntRateQ2">'Question 2'!$C$6</definedName>
    <definedName name="lx_ELT15_female">Instructions!$C$10:$D$15</definedName>
    <definedName name="_xlnm.Print_Area" localSheetId="2">'Question 1'!$A$1:$M$45</definedName>
    <definedName name="StepsEachYear">'Question 1'!$B$6</definedName>
    <definedName name="StepsEachYearQ2">'Question 2'!$C$7</definedName>
    <definedName name="StepSize">'Question 1'!$B$7</definedName>
    <definedName name="StepSizeQ2">'Question 2'!$C$8</definedName>
    <definedName name="TerminalAge">'Question 2'!$C$9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6" l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30" i="6"/>
  <c r="F17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30" i="6"/>
  <c r="E17" i="6"/>
  <c r="D17" i="6"/>
  <c r="H7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18" i="1"/>
  <c r="C10" i="6" l="1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30" i="6"/>
  <c r="E19" i="1"/>
  <c r="E20" i="1"/>
  <c r="E21" i="1"/>
  <c r="E22" i="1"/>
  <c r="E23" i="1"/>
  <c r="E18" i="1"/>
  <c r="H5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18" i="1"/>
  <c r="C19" i="1"/>
  <c r="D19" i="1" s="1"/>
  <c r="C20" i="1"/>
  <c r="D20" i="1" s="1"/>
  <c r="C21" i="1"/>
  <c r="C22" i="1"/>
  <c r="C23" i="1"/>
  <c r="C18" i="1"/>
  <c r="D18" i="1" s="1"/>
  <c r="D21" i="1"/>
  <c r="D22" i="1"/>
  <c r="D23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18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B19" i="1"/>
  <c r="B20" i="1"/>
  <c r="B21" i="1"/>
  <c r="B22" i="1"/>
  <c r="B23" i="1"/>
  <c r="B18" i="1"/>
  <c r="B17" i="6"/>
  <c r="C17" i="6"/>
  <c r="C8" i="6"/>
  <c r="C30" i="6" s="1"/>
  <c r="D30" i="6" s="1"/>
  <c r="B31" i="6"/>
  <c r="A18" i="1"/>
  <c r="B7" i="1"/>
  <c r="H18" i="1" s="1"/>
  <c r="B5" i="1"/>
  <c r="G19" i="1"/>
  <c r="E30" i="6" l="1"/>
  <c r="H6" i="1"/>
  <c r="B32" i="6"/>
  <c r="C31" i="6"/>
  <c r="D31" i="6" s="1"/>
  <c r="E31" i="6" s="1"/>
  <c r="H19" i="1"/>
  <c r="A19" i="1"/>
  <c r="A20" i="1" s="1"/>
  <c r="G20" i="1"/>
  <c r="H20" i="1" s="1"/>
  <c r="A21" i="1"/>
  <c r="B33" i="6" l="1"/>
  <c r="C32" i="6"/>
  <c r="G21" i="1"/>
  <c r="H21" i="1" s="1"/>
  <c r="A22" i="1"/>
  <c r="D32" i="6" l="1"/>
  <c r="E32" i="6" s="1"/>
  <c r="B34" i="6"/>
  <c r="C33" i="6"/>
  <c r="G22" i="1"/>
  <c r="H22" i="1" s="1"/>
  <c r="A23" i="1"/>
  <c r="D33" i="6" l="1"/>
  <c r="E33" i="6"/>
  <c r="C34" i="6"/>
  <c r="B35" i="6"/>
  <c r="G23" i="1"/>
  <c r="H23" i="1" s="1"/>
  <c r="D34" i="6" l="1"/>
  <c r="E34" i="6"/>
  <c r="B36" i="6"/>
  <c r="C35" i="6"/>
  <c r="D35" i="6" s="1"/>
  <c r="E35" i="6" s="1"/>
  <c r="G24" i="1"/>
  <c r="H24" i="1" s="1"/>
  <c r="B37" i="6" l="1"/>
  <c r="C36" i="6"/>
  <c r="D36" i="6" s="1"/>
  <c r="E36" i="6" s="1"/>
  <c r="G25" i="1"/>
  <c r="H25" i="1" s="1"/>
  <c r="B38" i="6" l="1"/>
  <c r="C37" i="6"/>
  <c r="D37" i="6" s="1"/>
  <c r="E37" i="6" s="1"/>
  <c r="G26" i="1"/>
  <c r="H26" i="1" s="1"/>
  <c r="C38" i="6" l="1"/>
  <c r="D38" i="6" s="1"/>
  <c r="E38" i="6" s="1"/>
  <c r="B39" i="6"/>
  <c r="G27" i="1"/>
  <c r="H27" i="1" s="1"/>
  <c r="B40" i="6" l="1"/>
  <c r="C39" i="6"/>
  <c r="D39" i="6" s="1"/>
  <c r="E39" i="6" s="1"/>
  <c r="G28" i="1"/>
  <c r="H28" i="1" s="1"/>
  <c r="C40" i="6" l="1"/>
  <c r="B41" i="6"/>
  <c r="G29" i="1"/>
  <c r="H29" i="1" s="1"/>
  <c r="D40" i="6" l="1"/>
  <c r="E40" i="6" s="1"/>
  <c r="C41" i="6"/>
  <c r="B42" i="6"/>
  <c r="G30" i="1"/>
  <c r="H30" i="1" s="1"/>
  <c r="D41" i="6" l="1"/>
  <c r="E41" i="6"/>
  <c r="C42" i="6"/>
  <c r="B43" i="6"/>
  <c r="G31" i="1"/>
  <c r="H31" i="1" s="1"/>
  <c r="D42" i="6" l="1"/>
  <c r="E42" i="6"/>
  <c r="B44" i="6"/>
  <c r="C43" i="6"/>
  <c r="D43" i="6" s="1"/>
  <c r="E43" i="6" s="1"/>
  <c r="G32" i="1"/>
  <c r="H32" i="1" s="1"/>
  <c r="C44" i="6" l="1"/>
  <c r="D44" i="6" s="1"/>
  <c r="E44" i="6" s="1"/>
  <c r="B45" i="6"/>
  <c r="G33" i="1"/>
  <c r="H33" i="1" s="1"/>
  <c r="C45" i="6" l="1"/>
  <c r="D45" i="6" s="1"/>
  <c r="E45" i="6" s="1"/>
  <c r="B46" i="6"/>
  <c r="G34" i="1"/>
  <c r="H34" i="1" s="1"/>
  <c r="C46" i="6" l="1"/>
  <c r="D46" i="6" s="1"/>
  <c r="E46" i="6" s="1"/>
  <c r="B47" i="6"/>
  <c r="G35" i="1"/>
  <c r="H35" i="1" s="1"/>
  <c r="C47" i="6" l="1"/>
  <c r="D47" i="6" s="1"/>
  <c r="E47" i="6" s="1"/>
  <c r="B48" i="6"/>
  <c r="G36" i="1"/>
  <c r="H36" i="1" s="1"/>
  <c r="C48" i="6" l="1"/>
  <c r="B49" i="6"/>
  <c r="G37" i="1"/>
  <c r="H37" i="1" s="1"/>
  <c r="D48" i="6" l="1"/>
  <c r="E48" i="6" s="1"/>
  <c r="B50" i="6"/>
  <c r="C49" i="6"/>
  <c r="G38" i="1"/>
  <c r="H38" i="1" s="1"/>
  <c r="D49" i="6" l="1"/>
  <c r="E49" i="6"/>
  <c r="C50" i="6"/>
  <c r="B51" i="6"/>
  <c r="G39" i="1"/>
  <c r="H39" i="1" s="1"/>
  <c r="D50" i="6" l="1"/>
  <c r="E50" i="6"/>
  <c r="B52" i="6"/>
  <c r="C51" i="6"/>
  <c r="G40" i="1"/>
  <c r="H40" i="1" s="1"/>
  <c r="D51" i="6" l="1"/>
  <c r="E51" i="6"/>
  <c r="C52" i="6"/>
  <c r="D52" i="6" s="1"/>
  <c r="E52" i="6" s="1"/>
  <c r="B53" i="6"/>
  <c r="G41" i="1"/>
  <c r="H41" i="1" s="1"/>
  <c r="B54" i="6" l="1"/>
  <c r="C53" i="6"/>
  <c r="D53" i="6" s="1"/>
  <c r="E53" i="6" s="1"/>
  <c r="G42" i="1"/>
  <c r="H42" i="1" s="1"/>
  <c r="C54" i="6" l="1"/>
  <c r="D54" i="6" s="1"/>
  <c r="E54" i="6" s="1"/>
  <c r="B55" i="6"/>
  <c r="G43" i="1"/>
  <c r="H43" i="1" s="1"/>
  <c r="C55" i="6" l="1"/>
  <c r="D55" i="6" s="1"/>
  <c r="E55" i="6" s="1"/>
  <c r="B56" i="6"/>
  <c r="G44" i="1"/>
  <c r="H44" i="1" s="1"/>
  <c r="C56" i="6" l="1"/>
  <c r="B57" i="6"/>
  <c r="G45" i="1"/>
  <c r="H45" i="1" s="1"/>
  <c r="D56" i="6" l="1"/>
  <c r="E56" i="6" s="1"/>
  <c r="B58" i="6"/>
  <c r="C57" i="6"/>
  <c r="G46" i="1"/>
  <c r="H46" i="1" s="1"/>
  <c r="D57" i="6" l="1"/>
  <c r="E57" i="6" s="1"/>
  <c r="C58" i="6"/>
  <c r="B59" i="6"/>
  <c r="G47" i="1"/>
  <c r="H47" i="1" s="1"/>
  <c r="D58" i="6" l="1"/>
  <c r="E58" i="6"/>
  <c r="B60" i="6"/>
  <c r="C59" i="6"/>
  <c r="D59" i="6" s="1"/>
  <c r="E59" i="6" s="1"/>
  <c r="G48" i="1"/>
  <c r="H48" i="1" s="1"/>
  <c r="C60" i="6" l="1"/>
  <c r="D60" i="6" s="1"/>
  <c r="E60" i="6" s="1"/>
  <c r="B61" i="6"/>
  <c r="G49" i="1"/>
  <c r="H49" i="1" s="1"/>
  <c r="B62" i="6" l="1"/>
  <c r="C61" i="6"/>
  <c r="D61" i="6" s="1"/>
  <c r="E61" i="6" s="1"/>
  <c r="G50" i="1"/>
  <c r="H50" i="1" s="1"/>
  <c r="C62" i="6" l="1"/>
  <c r="D62" i="6" s="1"/>
  <c r="E62" i="6" s="1"/>
  <c r="B63" i="6"/>
  <c r="G51" i="1"/>
  <c r="H51" i="1" s="1"/>
  <c r="B64" i="6" l="1"/>
  <c r="C63" i="6"/>
  <c r="D63" i="6" s="1"/>
  <c r="E63" i="6" s="1"/>
  <c r="G52" i="1"/>
  <c r="H52" i="1" s="1"/>
  <c r="B65" i="6" l="1"/>
  <c r="C64" i="6"/>
  <c r="G53" i="1"/>
  <c r="H53" i="1" s="1"/>
  <c r="D64" i="6" l="1"/>
  <c r="E64" i="6"/>
  <c r="C65" i="6"/>
  <c r="B66" i="6"/>
  <c r="G54" i="1"/>
  <c r="H54" i="1" s="1"/>
  <c r="D65" i="6" l="1"/>
  <c r="E65" i="6"/>
  <c r="B67" i="6"/>
  <c r="C66" i="6"/>
  <c r="G55" i="1"/>
  <c r="H55" i="1" s="1"/>
  <c r="D66" i="6" l="1"/>
  <c r="E66" i="6"/>
  <c r="B68" i="6"/>
  <c r="C67" i="6"/>
  <c r="D67" i="6" s="1"/>
  <c r="E67" i="6" s="1"/>
  <c r="G56" i="1"/>
  <c r="H56" i="1" s="1"/>
  <c r="C68" i="6" l="1"/>
  <c r="D68" i="6" s="1"/>
  <c r="E68" i="6" s="1"/>
  <c r="B69" i="6"/>
  <c r="G57" i="1"/>
  <c r="H57" i="1" s="1"/>
  <c r="B70" i="6" l="1"/>
  <c r="C69" i="6"/>
  <c r="D69" i="6" s="1"/>
  <c r="E69" i="6" s="1"/>
  <c r="G58" i="1"/>
  <c r="H58" i="1" s="1"/>
  <c r="C70" i="6" l="1"/>
  <c r="D70" i="6" s="1"/>
  <c r="E70" i="6" s="1"/>
  <c r="B71" i="6"/>
  <c r="G59" i="1"/>
  <c r="H59" i="1" s="1"/>
  <c r="B72" i="6" l="1"/>
  <c r="C71" i="6"/>
  <c r="D71" i="6" s="1"/>
  <c r="E71" i="6" s="1"/>
  <c r="G60" i="1"/>
  <c r="H60" i="1" s="1"/>
  <c r="C72" i="6" l="1"/>
  <c r="B73" i="6"/>
  <c r="G61" i="1"/>
  <c r="H61" i="1" s="1"/>
  <c r="D72" i="6" l="1"/>
  <c r="E72" i="6" s="1"/>
  <c r="B74" i="6"/>
  <c r="C73" i="6"/>
  <c r="G62" i="1"/>
  <c r="H62" i="1" s="1"/>
  <c r="D73" i="6" l="1"/>
  <c r="E73" i="6" s="1"/>
  <c r="C74" i="6"/>
  <c r="B75" i="6"/>
  <c r="G63" i="1"/>
  <c r="H63" i="1" s="1"/>
  <c r="D74" i="6" l="1"/>
  <c r="E74" i="6" s="1"/>
  <c r="B76" i="6"/>
  <c r="C75" i="6"/>
  <c r="D75" i="6" s="1"/>
  <c r="E75" i="6" s="1"/>
  <c r="G64" i="1"/>
  <c r="H64" i="1" s="1"/>
  <c r="C76" i="6" l="1"/>
  <c r="D76" i="6" s="1"/>
  <c r="E76" i="6" s="1"/>
  <c r="B77" i="6"/>
  <c r="G65" i="1"/>
  <c r="H65" i="1" s="1"/>
  <c r="B78" i="6" l="1"/>
  <c r="C77" i="6"/>
  <c r="D77" i="6" s="1"/>
  <c r="E77" i="6" s="1"/>
  <c r="G66" i="1"/>
  <c r="H66" i="1" s="1"/>
  <c r="C78" i="6" l="1"/>
  <c r="D78" i="6" s="1"/>
  <c r="E78" i="6" s="1"/>
  <c r="B79" i="6"/>
  <c r="G67" i="1"/>
  <c r="H67" i="1" s="1"/>
  <c r="B80" i="6" l="1"/>
  <c r="C79" i="6"/>
  <c r="D79" i="6" s="1"/>
  <c r="E79" i="6" s="1"/>
  <c r="G68" i="1"/>
  <c r="H68" i="1" s="1"/>
  <c r="C80" i="6" l="1"/>
  <c r="B81" i="6"/>
  <c r="G69" i="1"/>
  <c r="H69" i="1" s="1"/>
  <c r="D80" i="6" l="1"/>
  <c r="E80" i="6" s="1"/>
  <c r="B82" i="6"/>
  <c r="C81" i="6"/>
  <c r="G70" i="1"/>
  <c r="H70" i="1" s="1"/>
  <c r="D81" i="6" l="1"/>
  <c r="E81" i="6" s="1"/>
  <c r="C82" i="6"/>
  <c r="B83" i="6"/>
  <c r="G71" i="1"/>
  <c r="H71" i="1" s="1"/>
  <c r="D82" i="6" l="1"/>
  <c r="E82" i="6" s="1"/>
  <c r="B84" i="6"/>
  <c r="C83" i="6"/>
  <c r="G72" i="1"/>
  <c r="H72" i="1" s="1"/>
  <c r="D83" i="6" l="1"/>
  <c r="E83" i="6" s="1"/>
  <c r="C84" i="6"/>
  <c r="D84" i="6" s="1"/>
  <c r="E84" i="6" s="1"/>
  <c r="B85" i="6"/>
  <c r="G73" i="1"/>
  <c r="H73" i="1" s="1"/>
  <c r="B86" i="6" l="1"/>
  <c r="C85" i="6"/>
  <c r="D85" i="6" s="1"/>
  <c r="E85" i="6" s="1"/>
  <c r="G74" i="1"/>
  <c r="H74" i="1" s="1"/>
  <c r="C86" i="6" l="1"/>
  <c r="D86" i="6" s="1"/>
  <c r="E86" i="6" s="1"/>
  <c r="B87" i="6"/>
  <c r="G75" i="1"/>
  <c r="H75" i="1" s="1"/>
  <c r="B88" i="6" l="1"/>
  <c r="C87" i="6"/>
  <c r="D87" i="6" s="1"/>
  <c r="E87" i="6" s="1"/>
  <c r="G76" i="1"/>
  <c r="H76" i="1" s="1"/>
  <c r="C88" i="6" l="1"/>
  <c r="B89" i="6"/>
  <c r="G77" i="1"/>
  <c r="H77" i="1" s="1"/>
  <c r="D88" i="6" l="1"/>
  <c r="E88" i="6"/>
  <c r="B90" i="6"/>
  <c r="C89" i="6"/>
  <c r="G78" i="1"/>
  <c r="H78" i="1" s="1"/>
  <c r="D89" i="6" l="1"/>
  <c r="E89" i="6"/>
  <c r="B91" i="6"/>
  <c r="C90" i="6"/>
  <c r="D90" i="6" l="1"/>
  <c r="E90" i="6"/>
  <c r="B92" i="6"/>
  <c r="C91" i="6"/>
  <c r="D91" i="6" l="1"/>
  <c r="E91" i="6" s="1"/>
  <c r="C92" i="6"/>
  <c r="D92" i="6" s="1"/>
  <c r="E92" i="6" s="1"/>
  <c r="B93" i="6"/>
  <c r="B94" i="6" l="1"/>
  <c r="C93" i="6"/>
  <c r="D93" i="6" s="1"/>
  <c r="E93" i="6" s="1"/>
  <c r="C94" i="6" l="1"/>
  <c r="B95" i="6"/>
  <c r="D94" i="6" l="1"/>
  <c r="E94" i="6"/>
  <c r="B96" i="6"/>
  <c r="C95" i="6"/>
  <c r="D95" i="6" s="1"/>
  <c r="E95" i="6" s="1"/>
  <c r="C96" i="6" l="1"/>
  <c r="B97" i="6"/>
  <c r="D96" i="6" l="1"/>
  <c r="E96" i="6"/>
  <c r="B98" i="6"/>
  <c r="C97" i="6"/>
  <c r="D97" i="6" l="1"/>
  <c r="E97" i="6" s="1"/>
  <c r="C98" i="6"/>
  <c r="B99" i="6"/>
  <c r="D98" i="6" l="1"/>
  <c r="E98" i="6" s="1"/>
  <c r="B100" i="6"/>
  <c r="C99" i="6"/>
  <c r="D99" i="6" s="1"/>
  <c r="E99" i="6" s="1"/>
  <c r="C100" i="6" l="1"/>
  <c r="D100" i="6" s="1"/>
  <c r="E100" i="6" s="1"/>
  <c r="B101" i="6"/>
  <c r="B102" i="6" l="1"/>
  <c r="C101" i="6"/>
  <c r="D101" i="6" s="1"/>
  <c r="E101" i="6" s="1"/>
  <c r="C102" i="6" l="1"/>
  <c r="D102" i="6" s="1"/>
  <c r="E102" i="6" s="1"/>
  <c r="B103" i="6"/>
  <c r="B104" i="6" l="1"/>
  <c r="C103" i="6"/>
  <c r="D103" i="6" s="1"/>
  <c r="E103" i="6" s="1"/>
  <c r="C104" i="6" l="1"/>
  <c r="B105" i="6"/>
  <c r="D104" i="6" l="1"/>
  <c r="E104" i="6" s="1"/>
  <c r="B106" i="6"/>
  <c r="C105" i="6"/>
  <c r="D105" i="6" l="1"/>
  <c r="E105" i="6"/>
  <c r="C106" i="6"/>
  <c r="B107" i="6"/>
  <c r="D106" i="6" l="1"/>
  <c r="E106" i="6"/>
  <c r="B108" i="6"/>
  <c r="C107" i="6"/>
  <c r="D107" i="6" s="1"/>
  <c r="E107" i="6" s="1"/>
  <c r="C108" i="6" l="1"/>
  <c r="D108" i="6" s="1"/>
  <c r="E108" i="6" s="1"/>
  <c r="B109" i="6"/>
  <c r="B110" i="6" l="1"/>
  <c r="C109" i="6"/>
  <c r="D109" i="6" s="1"/>
  <c r="E109" i="6" s="1"/>
  <c r="C110" i="6" l="1"/>
  <c r="B111" i="6"/>
  <c r="D110" i="6" l="1"/>
  <c r="E110" i="6"/>
  <c r="B112" i="6"/>
  <c r="C111" i="6"/>
  <c r="D111" i="6" s="1"/>
  <c r="E111" i="6" s="1"/>
  <c r="C112" i="6" l="1"/>
  <c r="B113" i="6"/>
  <c r="D112" i="6" l="1"/>
  <c r="E112" i="6"/>
  <c r="B114" i="6"/>
  <c r="C113" i="6"/>
  <c r="D113" i="6" l="1"/>
  <c r="E113" i="6"/>
  <c r="C114" i="6"/>
  <c r="B115" i="6"/>
  <c r="D114" i="6" l="1"/>
  <c r="E114" i="6"/>
  <c r="B116" i="6"/>
  <c r="C115" i="6"/>
  <c r="D115" i="6" s="1"/>
  <c r="E115" i="6" s="1"/>
  <c r="C116" i="6" l="1"/>
  <c r="D116" i="6" s="1"/>
  <c r="E116" i="6" s="1"/>
  <c r="B117" i="6"/>
  <c r="B118" i="6" l="1"/>
  <c r="C117" i="6"/>
  <c r="D117" i="6" s="1"/>
  <c r="E117" i="6" s="1"/>
  <c r="C118" i="6" l="1"/>
  <c r="D118" i="6" s="1"/>
  <c r="E118" i="6" s="1"/>
  <c r="B119" i="6"/>
  <c r="C119" i="6" l="1"/>
  <c r="D119" i="6" s="1"/>
  <c r="E119" i="6" s="1"/>
  <c r="B120" i="6"/>
  <c r="B121" i="6" l="1"/>
  <c r="C120" i="6"/>
  <c r="D120" i="6" l="1"/>
  <c r="E120" i="6"/>
  <c r="B122" i="6"/>
  <c r="C121" i="6"/>
  <c r="D121" i="6" l="1"/>
  <c r="E121" i="6"/>
  <c r="C122" i="6"/>
  <c r="B123" i="6"/>
  <c r="D122" i="6" l="1"/>
  <c r="E122" i="6" s="1"/>
  <c r="B124" i="6"/>
  <c r="C123" i="6"/>
  <c r="D123" i="6" l="1"/>
  <c r="E123" i="6" s="1"/>
  <c r="B125" i="6"/>
  <c r="C124" i="6"/>
  <c r="D124" i="6" s="1"/>
  <c r="E124" i="6" s="1"/>
  <c r="B126" i="6" l="1"/>
  <c r="C125" i="6"/>
  <c r="D125" i="6" s="1"/>
  <c r="E125" i="6" s="1"/>
  <c r="C126" i="6" l="1"/>
  <c r="B127" i="6"/>
  <c r="D126" i="6" l="1"/>
  <c r="E126" i="6" s="1"/>
  <c r="B128" i="6"/>
  <c r="C127" i="6"/>
  <c r="D127" i="6" s="1"/>
  <c r="E127" i="6" s="1"/>
  <c r="C128" i="6" l="1"/>
  <c r="B129" i="6"/>
  <c r="D128" i="6" l="1"/>
  <c r="E128" i="6" s="1"/>
  <c r="B130" i="6"/>
  <c r="C129" i="6"/>
  <c r="D129" i="6" l="1"/>
  <c r="E129" i="6" s="1"/>
  <c r="B131" i="6"/>
  <c r="C130" i="6"/>
  <c r="D130" i="6" l="1"/>
  <c r="E130" i="6" s="1"/>
  <c r="B132" i="6"/>
  <c r="C131" i="6"/>
  <c r="D131" i="6" s="1"/>
  <c r="E131" i="6" s="1"/>
  <c r="B133" i="6" l="1"/>
  <c r="C132" i="6"/>
  <c r="D132" i="6" s="1"/>
  <c r="E132" i="6" s="1"/>
  <c r="B134" i="6" l="1"/>
  <c r="C133" i="6"/>
  <c r="D133" i="6" s="1"/>
  <c r="E133" i="6" s="1"/>
  <c r="C134" i="6" l="1"/>
  <c r="D134" i="6" s="1"/>
  <c r="E134" i="6" s="1"/>
  <c r="B135" i="6"/>
  <c r="B136" i="6" l="1"/>
  <c r="C135" i="6"/>
  <c r="D135" i="6" s="1"/>
  <c r="E135" i="6" s="1"/>
  <c r="C136" i="6" l="1"/>
  <c r="B137" i="6"/>
  <c r="D136" i="6" l="1"/>
  <c r="E136" i="6" s="1"/>
  <c r="B138" i="6"/>
  <c r="C137" i="6"/>
  <c r="D137" i="6" l="1"/>
  <c r="E137" i="6" s="1"/>
  <c r="C138" i="6"/>
  <c r="B139" i="6"/>
  <c r="D138" i="6" l="1"/>
  <c r="E138" i="6" s="1"/>
  <c r="B140" i="6"/>
  <c r="C139" i="6"/>
  <c r="D139" i="6" l="1"/>
  <c r="E139" i="6" s="1"/>
  <c r="C140" i="6"/>
  <c r="D140" i="6" s="1"/>
  <c r="E140" i="6" s="1"/>
  <c r="B141" i="6"/>
  <c r="B142" i="6" l="1"/>
  <c r="C141" i="6"/>
  <c r="D141" i="6" s="1"/>
  <c r="E141" i="6" s="1"/>
  <c r="B143" i="6" l="1"/>
  <c r="C142" i="6"/>
  <c r="D142" i="6" s="1"/>
  <c r="E142" i="6" s="1"/>
  <c r="B144" i="6" l="1"/>
  <c r="C143" i="6"/>
  <c r="D143" i="6" s="1"/>
  <c r="E143" i="6" s="1"/>
  <c r="C144" i="6" l="1"/>
  <c r="B145" i="6"/>
  <c r="D144" i="6" l="1"/>
  <c r="E144" i="6" s="1"/>
  <c r="B146" i="6"/>
  <c r="C145" i="6"/>
  <c r="D145" i="6" l="1"/>
  <c r="E145" i="6" s="1"/>
  <c r="C146" i="6"/>
  <c r="B147" i="6"/>
  <c r="D146" i="6" l="1"/>
  <c r="E146" i="6" s="1"/>
  <c r="B148" i="6"/>
  <c r="C147" i="6"/>
  <c r="D147" i="6" s="1"/>
  <c r="E147" i="6" s="1"/>
  <c r="C148" i="6" l="1"/>
  <c r="D148" i="6" s="1"/>
  <c r="E148" i="6" s="1"/>
  <c r="B149" i="6"/>
  <c r="B150" i="6" l="1"/>
  <c r="C149" i="6"/>
  <c r="D149" i="6" s="1"/>
  <c r="E149" i="6" s="1"/>
  <c r="C150" i="6" l="1"/>
  <c r="D150" i="6" s="1"/>
  <c r="E150" i="6" s="1"/>
  <c r="B151" i="6"/>
  <c r="B152" i="6" l="1"/>
  <c r="C151" i="6"/>
  <c r="D151" i="6" s="1"/>
  <c r="E151" i="6" s="1"/>
  <c r="C152" i="6" l="1"/>
  <c r="B153" i="6"/>
  <c r="D152" i="6" l="1"/>
  <c r="E152" i="6" s="1"/>
  <c r="B154" i="6"/>
  <c r="C153" i="6"/>
  <c r="D153" i="6" l="1"/>
  <c r="E153" i="6" s="1"/>
  <c r="C154" i="6"/>
  <c r="B155" i="6"/>
  <c r="D154" i="6" l="1"/>
  <c r="E154" i="6"/>
  <c r="B156" i="6"/>
  <c r="C155" i="6"/>
  <c r="D155" i="6" s="1"/>
  <c r="E155" i="6" s="1"/>
  <c r="C156" i="6" l="1"/>
  <c r="D156" i="6" s="1"/>
  <c r="E156" i="6" s="1"/>
  <c r="B157" i="6"/>
  <c r="B158" i="6" l="1"/>
  <c r="C157" i="6"/>
  <c r="D157" i="6" s="1"/>
  <c r="E157" i="6" s="1"/>
  <c r="C158" i="6" l="1"/>
  <c r="D158" i="6" s="1"/>
  <c r="E158" i="6" s="1"/>
  <c r="B159" i="6"/>
  <c r="B160" i="6" l="1"/>
  <c r="C159" i="6"/>
  <c r="D159" i="6" s="1"/>
  <c r="E159" i="6" s="1"/>
  <c r="B161" i="6" l="1"/>
  <c r="C160" i="6"/>
  <c r="D160" i="6" l="1"/>
  <c r="E160" i="6"/>
  <c r="B162" i="6"/>
  <c r="C161" i="6"/>
  <c r="D161" i="6" l="1"/>
  <c r="E161" i="6"/>
  <c r="C162" i="6"/>
  <c r="B163" i="6"/>
  <c r="D162" i="6" l="1"/>
  <c r="E162" i="6" s="1"/>
  <c r="B164" i="6"/>
  <c r="C163" i="6"/>
  <c r="D163" i="6" l="1"/>
  <c r="E163" i="6"/>
  <c r="B165" i="6"/>
  <c r="C164" i="6"/>
  <c r="D164" i="6" s="1"/>
  <c r="E164" i="6" s="1"/>
  <c r="C165" i="6" l="1"/>
  <c r="D165" i="6" s="1"/>
  <c r="E165" i="6" s="1"/>
  <c r="B166" i="6"/>
  <c r="C166" i="6" l="1"/>
  <c r="D166" i="6" s="1"/>
  <c r="E166" i="6" s="1"/>
  <c r="B167" i="6"/>
  <c r="B168" i="6" l="1"/>
  <c r="C167" i="6"/>
  <c r="D167" i="6" s="1"/>
  <c r="E167" i="6" s="1"/>
  <c r="C168" i="6" l="1"/>
  <c r="B169" i="6"/>
  <c r="D168" i="6" l="1"/>
  <c r="E168" i="6"/>
  <c r="C169" i="6"/>
  <c r="B170" i="6"/>
  <c r="D169" i="6" l="1"/>
  <c r="E169" i="6"/>
  <c r="C170" i="6"/>
  <c r="B171" i="6"/>
  <c r="D170" i="6" l="1"/>
  <c r="E170" i="6"/>
  <c r="B172" i="6"/>
  <c r="C171" i="6"/>
  <c r="D171" i="6" s="1"/>
  <c r="E171" i="6" s="1"/>
  <c r="C172" i="6" l="1"/>
  <c r="D172" i="6" s="1"/>
  <c r="E172" i="6" s="1"/>
  <c r="B173" i="6"/>
  <c r="B174" i="6" l="1"/>
  <c r="C173" i="6"/>
  <c r="D173" i="6" s="1"/>
  <c r="E173" i="6" s="1"/>
  <c r="C174" i="6" l="1"/>
  <c r="D174" i="6" s="1"/>
  <c r="E174" i="6" s="1"/>
  <c r="B175" i="6"/>
  <c r="B176" i="6" l="1"/>
  <c r="C175" i="6"/>
  <c r="D175" i="6" s="1"/>
  <c r="E175" i="6" s="1"/>
  <c r="C176" i="6" l="1"/>
  <c r="B177" i="6"/>
  <c r="D176" i="6" l="1"/>
  <c r="E176" i="6"/>
  <c r="B178" i="6"/>
  <c r="C177" i="6"/>
  <c r="D177" i="6" l="1"/>
  <c r="E177" i="6"/>
  <c r="C178" i="6"/>
  <c r="B179" i="6"/>
  <c r="D178" i="6" l="1"/>
  <c r="E178" i="6"/>
  <c r="B180" i="6"/>
  <c r="C179" i="6"/>
  <c r="D179" i="6" s="1"/>
  <c r="E179" i="6" s="1"/>
  <c r="C180" i="6" l="1"/>
  <c r="D180" i="6" s="1"/>
  <c r="E180" i="6" s="1"/>
  <c r="B181" i="6"/>
  <c r="B182" i="6" l="1"/>
  <c r="C181" i="6"/>
  <c r="D181" i="6" s="1"/>
  <c r="E181" i="6" s="1"/>
  <c r="C182" i="6" l="1"/>
  <c r="D182" i="6" s="1"/>
  <c r="E182" i="6" s="1"/>
  <c r="B183" i="6"/>
  <c r="B184" i="6" l="1"/>
  <c r="C183" i="6"/>
  <c r="D183" i="6" s="1"/>
  <c r="E183" i="6" s="1"/>
  <c r="C184" i="6" l="1"/>
  <c r="B185" i="6"/>
  <c r="D184" i="6" l="1"/>
  <c r="E184" i="6"/>
  <c r="B186" i="6"/>
  <c r="C185" i="6"/>
  <c r="D185" i="6" l="1"/>
  <c r="E185" i="6" s="1"/>
  <c r="C186" i="6"/>
  <c r="B187" i="6"/>
  <c r="D186" i="6" l="1"/>
  <c r="E186" i="6"/>
  <c r="C187" i="6"/>
  <c r="D187" i="6" s="1"/>
  <c r="E187" i="6" s="1"/>
  <c r="B188" i="6"/>
  <c r="B189" i="6" l="1"/>
  <c r="C188" i="6"/>
  <c r="D188" i="6" s="1"/>
  <c r="E188" i="6" s="1"/>
  <c r="B190" i="6" l="1"/>
  <c r="C189" i="6"/>
  <c r="D189" i="6" s="1"/>
  <c r="E189" i="6" s="1"/>
  <c r="C190" i="6" l="1"/>
  <c r="D190" i="6" s="1"/>
  <c r="E190" i="6" s="1"/>
  <c r="B191" i="6"/>
  <c r="B192" i="6" l="1"/>
  <c r="C191" i="6"/>
  <c r="D191" i="6" s="1"/>
  <c r="E191" i="6" s="1"/>
  <c r="C192" i="6" l="1"/>
  <c r="B193" i="6"/>
  <c r="D192" i="6" l="1"/>
  <c r="E192" i="6"/>
  <c r="B194" i="6"/>
  <c r="C193" i="6"/>
  <c r="D193" i="6" l="1"/>
  <c r="E193" i="6"/>
  <c r="C194" i="6"/>
  <c r="B195" i="6"/>
  <c r="D194" i="6" l="1"/>
  <c r="E194" i="6"/>
  <c r="B196" i="6"/>
  <c r="C195" i="6"/>
  <c r="D195" i="6" s="1"/>
  <c r="E195" i="6" s="1"/>
  <c r="C196" i="6" l="1"/>
  <c r="D196" i="6" s="1"/>
  <c r="E196" i="6" s="1"/>
  <c r="B197" i="6"/>
  <c r="C197" i="6" l="1"/>
  <c r="D197" i="6" s="1"/>
  <c r="E197" i="6" s="1"/>
  <c r="B198" i="6"/>
  <c r="C198" i="6" l="1"/>
  <c r="D198" i="6" s="1"/>
  <c r="E198" i="6" s="1"/>
  <c r="B199" i="6"/>
  <c r="B200" i="6" l="1"/>
  <c r="C199" i="6"/>
  <c r="D199" i="6" s="1"/>
  <c r="E199" i="6" s="1"/>
  <c r="C200" i="6" l="1"/>
  <c r="B201" i="6"/>
  <c r="D200" i="6" l="1"/>
  <c r="E200" i="6"/>
  <c r="C201" i="6"/>
  <c r="B202" i="6"/>
  <c r="D201" i="6" l="1"/>
  <c r="E201" i="6" s="1"/>
  <c r="C202" i="6"/>
  <c r="B203" i="6"/>
  <c r="D202" i="6" l="1"/>
  <c r="E202" i="6" s="1"/>
  <c r="B204" i="6"/>
  <c r="C203" i="6"/>
  <c r="D203" i="6" s="1"/>
  <c r="E203" i="6" s="1"/>
  <c r="B205" i="6" l="1"/>
  <c r="C204" i="6"/>
  <c r="D204" i="6" s="1"/>
  <c r="E204" i="6" s="1"/>
  <c r="B206" i="6" l="1"/>
  <c r="C205" i="6"/>
  <c r="D205" i="6" s="1"/>
  <c r="E205" i="6" s="1"/>
  <c r="B207" i="6" l="1"/>
  <c r="C206" i="6"/>
  <c r="D206" i="6" s="1"/>
  <c r="E206" i="6" s="1"/>
  <c r="B208" i="6" l="1"/>
  <c r="C207" i="6"/>
  <c r="D207" i="6" s="1"/>
  <c r="E207" i="6" s="1"/>
  <c r="C208" i="6" l="1"/>
  <c r="B209" i="6"/>
  <c r="D208" i="6" l="1"/>
  <c r="E208" i="6"/>
  <c r="B210" i="6"/>
  <c r="C209" i="6"/>
  <c r="D209" i="6" l="1"/>
  <c r="E209" i="6"/>
  <c r="C210" i="6"/>
  <c r="B211" i="6"/>
  <c r="D210" i="6" l="1"/>
  <c r="E210" i="6" s="1"/>
  <c r="B212" i="6"/>
  <c r="C211" i="6"/>
  <c r="D211" i="6" s="1"/>
  <c r="E211" i="6" s="1"/>
  <c r="C212" i="6" l="1"/>
  <c r="D212" i="6" s="1"/>
  <c r="E212" i="6" s="1"/>
  <c r="B213" i="6"/>
  <c r="B214" i="6" l="1"/>
  <c r="C213" i="6"/>
  <c r="D213" i="6" s="1"/>
  <c r="E213" i="6" s="1"/>
  <c r="C214" i="6" l="1"/>
  <c r="B215" i="6"/>
  <c r="D214" i="6" l="1"/>
  <c r="E214" i="6"/>
  <c r="B216" i="6"/>
  <c r="C215" i="6"/>
  <c r="D215" i="6" s="1"/>
  <c r="E215" i="6" s="1"/>
  <c r="C216" i="6" l="1"/>
  <c r="B217" i="6"/>
  <c r="D216" i="6" l="1"/>
  <c r="E216" i="6"/>
  <c r="B218" i="6"/>
  <c r="C217" i="6"/>
  <c r="D217" i="6" s="1"/>
  <c r="E217" i="6" s="1"/>
  <c r="C218" i="6" l="1"/>
  <c r="B219" i="6"/>
  <c r="D218" i="6" l="1"/>
  <c r="E218" i="6" s="1"/>
  <c r="C219" i="6"/>
  <c r="D219" i="6" s="1"/>
  <c r="E219" i="6" s="1"/>
  <c r="B220" i="6"/>
  <c r="C220" i="6" l="1"/>
  <c r="D220" i="6" s="1"/>
  <c r="E220" i="6" s="1"/>
  <c r="B221" i="6"/>
  <c r="B222" i="6" l="1"/>
  <c r="C221" i="6"/>
  <c r="D221" i="6" s="1"/>
  <c r="E221" i="6" s="1"/>
  <c r="C222" i="6" l="1"/>
  <c r="D222" i="6" s="1"/>
  <c r="E222" i="6" s="1"/>
  <c r="B223" i="6"/>
  <c r="B224" i="6" l="1"/>
  <c r="C223" i="6"/>
  <c r="D223" i="6" s="1"/>
  <c r="E223" i="6" s="1"/>
  <c r="C224" i="6" l="1"/>
  <c r="B225" i="6"/>
  <c r="D224" i="6" l="1"/>
  <c r="E224" i="6"/>
  <c r="C225" i="6"/>
  <c r="D225" i="6" s="1"/>
  <c r="E225" i="6" s="1"/>
  <c r="B226" i="6"/>
  <c r="C226" i="6" l="1"/>
  <c r="B227" i="6"/>
  <c r="D226" i="6" l="1"/>
  <c r="E226" i="6"/>
  <c r="B228" i="6"/>
  <c r="C227" i="6"/>
  <c r="D227" i="6" s="1"/>
  <c r="E227" i="6" s="1"/>
  <c r="C228" i="6" l="1"/>
  <c r="D228" i="6" s="1"/>
  <c r="E228" i="6" s="1"/>
  <c r="B229" i="6"/>
  <c r="B230" i="6" l="1"/>
  <c r="C229" i="6"/>
  <c r="D229" i="6" s="1"/>
  <c r="E229" i="6" s="1"/>
  <c r="C230" i="6" l="1"/>
  <c r="B231" i="6"/>
  <c r="D230" i="6" l="1"/>
  <c r="E230" i="6"/>
  <c r="B232" i="6"/>
  <c r="C231" i="6"/>
  <c r="D231" i="6" s="1"/>
  <c r="E231" i="6" s="1"/>
  <c r="C232" i="6" l="1"/>
  <c r="B233" i="6"/>
  <c r="D232" i="6" l="1"/>
  <c r="E232" i="6"/>
  <c r="B234" i="6"/>
  <c r="C233" i="6"/>
  <c r="D233" i="6" s="1"/>
  <c r="E233" i="6" s="1"/>
  <c r="C234" i="6" l="1"/>
  <c r="B235" i="6"/>
  <c r="D234" i="6" l="1"/>
  <c r="E234" i="6" s="1"/>
  <c r="B236" i="6"/>
  <c r="C235" i="6"/>
  <c r="D235" i="6" s="1"/>
  <c r="E235" i="6" s="1"/>
  <c r="C236" i="6" l="1"/>
  <c r="D236" i="6" s="1"/>
  <c r="E236" i="6" s="1"/>
  <c r="B237" i="6"/>
  <c r="B238" i="6" l="1"/>
  <c r="C237" i="6"/>
  <c r="D237" i="6" s="1"/>
  <c r="E237" i="6" s="1"/>
  <c r="C238" i="6" l="1"/>
  <c r="D238" i="6" s="1"/>
  <c r="E238" i="6" s="1"/>
  <c r="B239" i="6"/>
  <c r="B240" i="6" l="1"/>
  <c r="C239" i="6"/>
  <c r="D239" i="6" s="1"/>
  <c r="E239" i="6" s="1"/>
  <c r="C240" i="6" l="1"/>
  <c r="B241" i="6"/>
  <c r="D240" i="6" l="1"/>
  <c r="E240" i="6"/>
  <c r="B242" i="6"/>
  <c r="C241" i="6"/>
  <c r="D241" i="6" l="1"/>
  <c r="E241" i="6"/>
  <c r="C242" i="6"/>
  <c r="B243" i="6"/>
  <c r="D242" i="6" l="1"/>
  <c r="E242" i="6"/>
  <c r="B244" i="6"/>
  <c r="C243" i="6"/>
  <c r="D243" i="6" l="1"/>
  <c r="E243" i="6"/>
  <c r="C244" i="6"/>
  <c r="D244" i="6" s="1"/>
  <c r="E244" i="6" s="1"/>
  <c r="B245" i="6"/>
  <c r="B246" i="6" l="1"/>
  <c r="C245" i="6"/>
  <c r="D245" i="6" s="1"/>
  <c r="E245" i="6" s="1"/>
  <c r="C246" i="6" l="1"/>
  <c r="B247" i="6"/>
  <c r="D246" i="6" l="1"/>
  <c r="E246" i="6"/>
  <c r="B248" i="6"/>
  <c r="C247" i="6"/>
  <c r="D247" i="6" s="1"/>
  <c r="E247" i="6" s="1"/>
  <c r="C248" i="6" l="1"/>
  <c r="B249" i="6"/>
  <c r="D248" i="6" l="1"/>
  <c r="E248" i="6" s="1"/>
  <c r="B250" i="6"/>
  <c r="C249" i="6"/>
  <c r="D249" i="6" s="1"/>
  <c r="E249" i="6" s="1"/>
  <c r="C250" i="6" l="1"/>
  <c r="B251" i="6"/>
  <c r="D250" i="6" l="1"/>
  <c r="E250" i="6"/>
  <c r="B252" i="6"/>
  <c r="C251" i="6"/>
  <c r="D251" i="6" s="1"/>
  <c r="E251" i="6" s="1"/>
  <c r="C252" i="6" l="1"/>
  <c r="D252" i="6" s="1"/>
  <c r="E252" i="6" s="1"/>
  <c r="B253" i="6"/>
  <c r="B254" i="6" l="1"/>
  <c r="C253" i="6"/>
  <c r="D253" i="6" s="1"/>
  <c r="E253" i="6" s="1"/>
  <c r="C254" i="6" l="1"/>
  <c r="D254" i="6" s="1"/>
  <c r="E254" i="6" s="1"/>
  <c r="B255" i="6"/>
  <c r="C255" i="6" l="1"/>
  <c r="D255" i="6" s="1"/>
  <c r="E255" i="6" s="1"/>
  <c r="B256" i="6"/>
  <c r="C256" i="6" l="1"/>
  <c r="B257" i="6"/>
  <c r="D256" i="6" l="1"/>
  <c r="E256" i="6"/>
  <c r="B258" i="6"/>
  <c r="C257" i="6"/>
  <c r="D257" i="6" l="1"/>
  <c r="E257" i="6"/>
  <c r="B259" i="6"/>
  <c r="C258" i="6"/>
  <c r="D258" i="6" l="1"/>
  <c r="E258" i="6" s="1"/>
  <c r="B260" i="6"/>
  <c r="C259" i="6"/>
  <c r="D259" i="6" s="1"/>
  <c r="E259" i="6" s="1"/>
  <c r="C260" i="6" l="1"/>
  <c r="D260" i="6" s="1"/>
  <c r="E260" i="6" s="1"/>
  <c r="B261" i="6"/>
  <c r="B262" i="6" l="1"/>
  <c r="C261" i="6"/>
  <c r="D261" i="6" s="1"/>
  <c r="E261" i="6" s="1"/>
  <c r="C262" i="6" l="1"/>
  <c r="D262" i="6" s="1"/>
  <c r="E262" i="6" s="1"/>
  <c r="B263" i="6"/>
  <c r="B264" i="6" l="1"/>
  <c r="C263" i="6"/>
  <c r="D263" i="6" l="1"/>
  <c r="E263" i="6" s="1"/>
  <c r="C264" i="6"/>
  <c r="B265" i="6"/>
  <c r="D264" i="6" l="1"/>
  <c r="E264" i="6"/>
  <c r="B266" i="6"/>
  <c r="C265" i="6"/>
  <c r="D265" i="6" s="1"/>
  <c r="E265" i="6" s="1"/>
  <c r="C266" i="6" l="1"/>
  <c r="B267" i="6"/>
  <c r="D266" i="6" l="1"/>
  <c r="E266" i="6"/>
  <c r="B268" i="6"/>
  <c r="C267" i="6"/>
  <c r="D267" i="6" l="1"/>
  <c r="E267" i="6"/>
  <c r="C268" i="6"/>
  <c r="D268" i="6" s="1"/>
  <c r="E268" i="6" s="1"/>
  <c r="B269" i="6"/>
  <c r="B270" i="6" l="1"/>
  <c r="C269" i="6"/>
  <c r="D269" i="6" s="1"/>
  <c r="E269" i="6" s="1"/>
  <c r="C270" i="6" l="1"/>
  <c r="D270" i="6" s="1"/>
  <c r="E270" i="6" s="1"/>
  <c r="B271" i="6"/>
  <c r="B272" i="6" l="1"/>
  <c r="C271" i="6"/>
  <c r="D271" i="6" l="1"/>
  <c r="E271" i="6"/>
  <c r="C272" i="6"/>
  <c r="B273" i="6"/>
  <c r="D272" i="6" l="1"/>
  <c r="E272" i="6" s="1"/>
  <c r="B274" i="6"/>
  <c r="C273" i="6"/>
  <c r="D273" i="6" l="1"/>
  <c r="E273" i="6"/>
  <c r="C274" i="6"/>
  <c r="B275" i="6"/>
  <c r="D274" i="6" l="1"/>
  <c r="E274" i="6" s="1"/>
  <c r="B276" i="6"/>
  <c r="C275" i="6"/>
  <c r="D275" i="6" s="1"/>
  <c r="E275" i="6" s="1"/>
  <c r="C276" i="6" l="1"/>
  <c r="D276" i="6" s="1"/>
  <c r="E276" i="6" s="1"/>
  <c r="B277" i="6"/>
  <c r="B278" i="6" l="1"/>
  <c r="C277" i="6"/>
  <c r="D277" i="6" s="1"/>
  <c r="E277" i="6" s="1"/>
  <c r="C278" i="6" l="1"/>
  <c r="D278" i="6" s="1"/>
  <c r="E278" i="6" s="1"/>
  <c r="B279" i="6"/>
  <c r="B280" i="6" l="1"/>
  <c r="C279" i="6"/>
  <c r="D279" i="6" l="1"/>
  <c r="E279" i="6" s="1"/>
  <c r="C280" i="6"/>
  <c r="B281" i="6"/>
  <c r="D280" i="6" l="1"/>
  <c r="E280" i="6"/>
  <c r="B282" i="6"/>
  <c r="C281" i="6"/>
  <c r="D281" i="6" l="1"/>
  <c r="E281" i="6" s="1"/>
  <c r="C282" i="6"/>
  <c r="B283" i="6"/>
  <c r="D282" i="6" l="1"/>
  <c r="E282" i="6"/>
  <c r="B284" i="6"/>
  <c r="C283" i="6"/>
  <c r="D283" i="6" l="1"/>
  <c r="E283" i="6"/>
  <c r="C284" i="6"/>
  <c r="D284" i="6" s="1"/>
  <c r="E284" i="6" s="1"/>
  <c r="B285" i="6"/>
  <c r="B286" i="6" l="1"/>
  <c r="C285" i="6"/>
  <c r="D285" i="6" s="1"/>
  <c r="E285" i="6" s="1"/>
  <c r="C286" i="6" l="1"/>
  <c r="D286" i="6" s="1"/>
  <c r="E286" i="6" s="1"/>
  <c r="B287" i="6"/>
  <c r="C287" i="6" l="1"/>
  <c r="B288" i="6"/>
  <c r="D287" i="6" l="1"/>
  <c r="E287" i="6" s="1"/>
  <c r="B289" i="6"/>
  <c r="C288" i="6"/>
  <c r="D288" i="6" l="1"/>
  <c r="E288" i="6" s="1"/>
  <c r="B290" i="6"/>
  <c r="C289" i="6"/>
  <c r="D289" i="6" s="1"/>
  <c r="E289" i="6" s="1"/>
  <c r="B291" i="6" l="1"/>
  <c r="C290" i="6"/>
  <c r="D290" i="6" l="1"/>
  <c r="E290" i="6" s="1"/>
  <c r="B292" i="6"/>
  <c r="C291" i="6"/>
  <c r="D291" i="6" s="1"/>
  <c r="E291" i="6" s="1"/>
  <c r="B293" i="6" l="1"/>
  <c r="C292" i="6"/>
  <c r="D292" i="6" s="1"/>
  <c r="E292" i="6" s="1"/>
  <c r="B294" i="6" l="1"/>
  <c r="C293" i="6"/>
  <c r="D293" i="6" s="1"/>
  <c r="E293" i="6" s="1"/>
  <c r="B295" i="6" l="1"/>
  <c r="C294" i="6"/>
  <c r="D294" i="6" s="1"/>
  <c r="E294" i="6" s="1"/>
  <c r="B296" i="6" l="1"/>
  <c r="C295" i="6"/>
  <c r="D295" i="6" l="1"/>
  <c r="E295" i="6" s="1"/>
  <c r="B297" i="6"/>
  <c r="C296" i="6"/>
  <c r="D296" i="6" l="1"/>
  <c r="E296" i="6" s="1"/>
  <c r="B298" i="6"/>
  <c r="C297" i="6"/>
  <c r="D297" i="6" l="1"/>
  <c r="E297" i="6"/>
  <c r="C298" i="6"/>
  <c r="B299" i="6"/>
  <c r="D298" i="6" l="1"/>
  <c r="E298" i="6"/>
  <c r="B300" i="6"/>
  <c r="C299" i="6"/>
  <c r="D299" i="6" s="1"/>
  <c r="E299" i="6" s="1"/>
  <c r="B301" i="6" l="1"/>
  <c r="C300" i="6"/>
  <c r="D300" i="6" s="1"/>
  <c r="E300" i="6" s="1"/>
  <c r="B302" i="6" l="1"/>
  <c r="C301" i="6"/>
  <c r="D301" i="6" s="1"/>
  <c r="E301" i="6" s="1"/>
  <c r="C302" i="6" l="1"/>
  <c r="D302" i="6" s="1"/>
  <c r="E302" i="6" s="1"/>
  <c r="B303" i="6"/>
  <c r="B304" i="6" l="1"/>
  <c r="C303" i="6"/>
  <c r="D303" i="6" l="1"/>
  <c r="E303" i="6"/>
  <c r="B305" i="6"/>
  <c r="C304" i="6"/>
  <c r="D304" i="6" l="1"/>
  <c r="E304" i="6" s="1"/>
  <c r="B306" i="6"/>
  <c r="C305" i="6"/>
  <c r="D305" i="6" s="1"/>
  <c r="E305" i="6" s="1"/>
  <c r="B307" i="6" l="1"/>
  <c r="C306" i="6"/>
  <c r="D306" i="6" l="1"/>
  <c r="E306" i="6" s="1"/>
  <c r="C307" i="6"/>
  <c r="D307" i="6" s="1"/>
  <c r="E307" i="6" s="1"/>
  <c r="B308" i="6"/>
  <c r="B309" i="6" l="1"/>
  <c r="C308" i="6"/>
  <c r="D308" i="6" s="1"/>
  <c r="E308" i="6" s="1"/>
  <c r="B310" i="6" l="1"/>
  <c r="C309" i="6"/>
  <c r="D309" i="6" s="1"/>
  <c r="E309" i="6" s="1"/>
  <c r="C310" i="6" l="1"/>
  <c r="D310" i="6" s="1"/>
  <c r="E310" i="6" s="1"/>
  <c r="B311" i="6"/>
  <c r="B312" i="6" l="1"/>
  <c r="C311" i="6"/>
  <c r="D311" i="6" l="1"/>
  <c r="E311" i="6"/>
  <c r="B313" i="6"/>
  <c r="C312" i="6"/>
  <c r="D312" i="6" l="1"/>
  <c r="E312" i="6"/>
  <c r="B314" i="6"/>
  <c r="C313" i="6"/>
  <c r="D313" i="6" l="1"/>
  <c r="E313" i="6" s="1"/>
  <c r="C314" i="6"/>
  <c r="B315" i="6"/>
  <c r="D314" i="6" l="1"/>
  <c r="E314" i="6" s="1"/>
  <c r="B316" i="6"/>
  <c r="C315" i="6"/>
  <c r="D315" i="6" l="1"/>
  <c r="E315" i="6"/>
  <c r="B317" i="6"/>
  <c r="C316" i="6"/>
  <c r="D316" i="6" s="1"/>
  <c r="E316" i="6" s="1"/>
  <c r="B318" i="6" l="1"/>
  <c r="C317" i="6"/>
  <c r="D317" i="6" s="1"/>
  <c r="E317" i="6" s="1"/>
  <c r="C318" i="6" l="1"/>
  <c r="D318" i="6" s="1"/>
  <c r="E318" i="6" s="1"/>
  <c r="B319" i="6"/>
  <c r="B320" i="6" l="1"/>
  <c r="C319" i="6"/>
  <c r="D319" i="6" l="1"/>
  <c r="E319" i="6" s="1"/>
  <c r="B321" i="6"/>
  <c r="C320" i="6"/>
  <c r="D320" i="6" l="1"/>
  <c r="E320" i="6"/>
  <c r="B322" i="6"/>
  <c r="C321" i="6"/>
  <c r="D321" i="6" l="1"/>
  <c r="E321" i="6"/>
  <c r="C322" i="6"/>
  <c r="B323" i="6"/>
  <c r="D322" i="6" l="1"/>
  <c r="E322" i="6"/>
  <c r="B324" i="6"/>
  <c r="C323" i="6"/>
  <c r="D323" i="6" s="1"/>
  <c r="E323" i="6" s="1"/>
  <c r="B325" i="6" l="1"/>
  <c r="C324" i="6"/>
  <c r="D324" i="6" s="1"/>
  <c r="E324" i="6" s="1"/>
  <c r="B326" i="6" l="1"/>
  <c r="C325" i="6"/>
  <c r="D325" i="6" s="1"/>
  <c r="E325" i="6" s="1"/>
  <c r="C326" i="6" l="1"/>
  <c r="D326" i="6" s="1"/>
  <c r="E326" i="6" s="1"/>
  <c r="B327" i="6"/>
  <c r="B328" i="6" l="1"/>
  <c r="C327" i="6"/>
  <c r="D327" i="6" l="1"/>
  <c r="E327" i="6"/>
  <c r="B329" i="6"/>
  <c r="C328" i="6"/>
  <c r="D328" i="6" l="1"/>
  <c r="E328" i="6" s="1"/>
  <c r="B330" i="6"/>
  <c r="C329" i="6"/>
  <c r="D329" i="6" l="1"/>
  <c r="E329" i="6" s="1"/>
  <c r="C330" i="6"/>
  <c r="B331" i="6"/>
  <c r="D330" i="6" l="1"/>
  <c r="E330" i="6"/>
  <c r="B332" i="6"/>
  <c r="C331" i="6"/>
  <c r="D331" i="6" l="1"/>
  <c r="E331" i="6"/>
  <c r="C332" i="6"/>
  <c r="B333" i="6"/>
  <c r="D332" i="6" l="1"/>
  <c r="E332" i="6" s="1"/>
  <c r="B334" i="6"/>
  <c r="C333" i="6"/>
  <c r="D333" i="6" l="1"/>
  <c r="E333" i="6" s="1"/>
  <c r="C334" i="6"/>
  <c r="D334" i="6" s="1"/>
  <c r="E334" i="6" s="1"/>
  <c r="B335" i="6"/>
  <c r="B336" i="6" l="1"/>
  <c r="C335" i="6"/>
  <c r="D335" i="6" l="1"/>
  <c r="E335" i="6" s="1"/>
  <c r="B337" i="6"/>
  <c r="C336" i="6"/>
  <c r="D336" i="6" l="1"/>
  <c r="E336" i="6" s="1"/>
  <c r="B338" i="6"/>
  <c r="C337" i="6"/>
  <c r="D337" i="6" l="1"/>
  <c r="E337" i="6"/>
  <c r="C338" i="6"/>
  <c r="B339" i="6"/>
  <c r="D338" i="6" l="1"/>
  <c r="E338" i="6"/>
  <c r="B340" i="6"/>
  <c r="C339" i="6"/>
  <c r="D339" i="6" s="1"/>
  <c r="E339" i="6" s="1"/>
  <c r="B341" i="6" l="1"/>
  <c r="C340" i="6"/>
  <c r="D340" i="6" s="1"/>
  <c r="E340" i="6" s="1"/>
  <c r="B342" i="6" l="1"/>
  <c r="C341" i="6"/>
  <c r="D341" i="6" s="1"/>
  <c r="E341" i="6" s="1"/>
  <c r="C342" i="6" l="1"/>
  <c r="D342" i="6" s="1"/>
  <c r="E342" i="6" s="1"/>
  <c r="B343" i="6"/>
  <c r="B344" i="6" l="1"/>
  <c r="C343" i="6"/>
  <c r="D343" i="6" l="1"/>
  <c r="E343" i="6"/>
  <c r="C344" i="6"/>
  <c r="B345" i="6"/>
  <c r="D344" i="6" l="1"/>
  <c r="E344" i="6" s="1"/>
  <c r="B346" i="6"/>
  <c r="C345" i="6"/>
  <c r="D345" i="6" l="1"/>
  <c r="E345" i="6" s="1"/>
  <c r="C346" i="6"/>
  <c r="D346" i="6" s="1"/>
  <c r="E346" i="6" s="1"/>
  <c r="B347" i="6"/>
  <c r="B348" i="6" l="1"/>
  <c r="C347" i="6"/>
  <c r="D347" i="6" s="1"/>
  <c r="E347" i="6" s="1"/>
  <c r="C348" i="6" l="1"/>
  <c r="D348" i="6" s="1"/>
  <c r="E348" i="6" s="1"/>
  <c r="B349" i="6"/>
  <c r="B350" i="6" l="1"/>
  <c r="C349" i="6"/>
  <c r="D349" i="6" s="1"/>
  <c r="E349" i="6" s="1"/>
  <c r="C350" i="6" l="1"/>
  <c r="B351" i="6"/>
  <c r="D350" i="6" l="1"/>
  <c r="E350" i="6" s="1"/>
  <c r="C351" i="6"/>
  <c r="B352" i="6"/>
  <c r="D351" i="6" l="1"/>
  <c r="E351" i="6" s="1"/>
  <c r="B353" i="6"/>
  <c r="C352" i="6"/>
  <c r="D352" i="6" l="1"/>
  <c r="E352" i="6" s="1"/>
  <c r="B354" i="6"/>
  <c r="C353" i="6"/>
  <c r="D353" i="6" l="1"/>
  <c r="E353" i="6" s="1"/>
  <c r="C354" i="6"/>
  <c r="B355" i="6"/>
  <c r="D354" i="6" l="1"/>
  <c r="E354" i="6" s="1"/>
  <c r="C355" i="6"/>
  <c r="D355" i="6" s="1"/>
  <c r="E355" i="6" s="1"/>
  <c r="B356" i="6"/>
  <c r="B357" i="6" l="1"/>
  <c r="C356" i="6"/>
  <c r="D356" i="6" s="1"/>
  <c r="E356" i="6" s="1"/>
  <c r="B358" i="6" l="1"/>
  <c r="C357" i="6"/>
  <c r="D357" i="6" s="1"/>
  <c r="E357" i="6" s="1"/>
  <c r="B359" i="6" l="1"/>
  <c r="C358" i="6"/>
  <c r="D358" i="6" s="1"/>
  <c r="E358" i="6" s="1"/>
  <c r="C359" i="6" l="1"/>
  <c r="B360" i="6"/>
  <c r="D359" i="6" l="1"/>
  <c r="E359" i="6" s="1"/>
  <c r="C360" i="6"/>
  <c r="B361" i="6"/>
  <c r="D360" i="6" l="1"/>
  <c r="E360" i="6" s="1"/>
  <c r="B362" i="6"/>
  <c r="C361" i="6"/>
  <c r="D361" i="6" l="1"/>
  <c r="E361" i="6" s="1"/>
  <c r="C362" i="6"/>
  <c r="B363" i="6"/>
  <c r="D362" i="6" l="1"/>
  <c r="E362" i="6"/>
  <c r="C363" i="6"/>
  <c r="B364" i="6"/>
  <c r="D363" i="6" l="1"/>
  <c r="E363" i="6"/>
  <c r="C364" i="6"/>
  <c r="B365" i="6"/>
  <c r="D364" i="6" l="1"/>
  <c r="E364" i="6"/>
  <c r="B366" i="6"/>
  <c r="C365" i="6"/>
  <c r="D365" i="6" s="1"/>
  <c r="E365" i="6" s="1"/>
  <c r="B367" i="6" l="1"/>
  <c r="C366" i="6"/>
  <c r="D366" i="6" l="1"/>
  <c r="E366" i="6"/>
  <c r="B368" i="6"/>
  <c r="C367" i="6"/>
  <c r="D367" i="6" l="1"/>
  <c r="E367" i="6"/>
  <c r="C368" i="6"/>
  <c r="B369" i="6"/>
  <c r="D368" i="6" l="1"/>
  <c r="E368" i="6" s="1"/>
  <c r="B370" i="6"/>
  <c r="C369" i="6"/>
  <c r="D369" i="6" l="1"/>
  <c r="E369" i="6"/>
  <c r="C370" i="6"/>
  <c r="B371" i="6"/>
  <c r="D370" i="6" l="1"/>
  <c r="E370" i="6" s="1"/>
  <c r="C371" i="6"/>
  <c r="D371" i="6" s="1"/>
  <c r="E371" i="6" s="1"/>
  <c r="B372" i="6"/>
  <c r="C372" i="6" l="1"/>
  <c r="D372" i="6" s="1"/>
  <c r="E372" i="6" s="1"/>
  <c r="B373" i="6"/>
  <c r="C373" i="6" l="1"/>
  <c r="D373" i="6" s="1"/>
  <c r="E373" i="6" s="1"/>
  <c r="B374" i="6"/>
  <c r="B375" i="6" l="1"/>
  <c r="C374" i="6"/>
  <c r="D374" i="6" s="1"/>
  <c r="E374" i="6" s="1"/>
  <c r="B376" i="6" l="1"/>
  <c r="C375" i="6"/>
  <c r="D375" i="6" l="1"/>
  <c r="E375" i="6"/>
  <c r="C376" i="6"/>
  <c r="B377" i="6"/>
  <c r="D376" i="6" l="1"/>
  <c r="E376" i="6"/>
  <c r="C377" i="6"/>
  <c r="B378" i="6"/>
  <c r="D377" i="6" l="1"/>
  <c r="E377" i="6" s="1"/>
  <c r="C378" i="6"/>
  <c r="B379" i="6"/>
  <c r="D378" i="6" l="1"/>
  <c r="E378" i="6" s="1"/>
  <c r="B380" i="6"/>
  <c r="C379" i="6"/>
  <c r="D379" i="6" s="1"/>
  <c r="E379" i="6" s="1"/>
  <c r="C380" i="6" l="1"/>
  <c r="D380" i="6" s="1"/>
  <c r="E380" i="6" s="1"/>
  <c r="B381" i="6"/>
  <c r="C381" i="6" l="1"/>
  <c r="D381" i="6" s="1"/>
  <c r="E381" i="6" s="1"/>
  <c r="B382" i="6"/>
  <c r="C382" i="6" l="1"/>
  <c r="D382" i="6" s="1"/>
  <c r="E382" i="6" s="1"/>
  <c r="B383" i="6"/>
  <c r="C383" i="6" l="1"/>
  <c r="B384" i="6"/>
  <c r="D383" i="6" l="1"/>
  <c r="E383" i="6" s="1"/>
  <c r="C384" i="6"/>
  <c r="B385" i="6"/>
  <c r="D384" i="6" l="1"/>
  <c r="E384" i="6" s="1"/>
  <c r="C385" i="6"/>
  <c r="D385" i="6" s="1"/>
  <c r="E385" i="6" s="1"/>
  <c r="B386" i="6"/>
  <c r="C386" i="6" l="1"/>
  <c r="B387" i="6"/>
  <c r="D386" i="6" l="1"/>
  <c r="E386" i="6"/>
  <c r="B388" i="6"/>
  <c r="C387" i="6"/>
  <c r="D387" i="6" s="1"/>
  <c r="E387" i="6" s="1"/>
  <c r="B389" i="6" l="1"/>
  <c r="C388" i="6"/>
  <c r="D388" i="6" s="1"/>
  <c r="E388" i="6" s="1"/>
  <c r="C389" i="6" l="1"/>
  <c r="D389" i="6" s="1"/>
  <c r="E389" i="6" s="1"/>
  <c r="B390" i="6"/>
  <c r="C390" i="6" l="1"/>
  <c r="D390" i="6" s="1"/>
  <c r="E390" i="6" s="1"/>
  <c r="B391" i="6"/>
  <c r="C391" i="6" l="1"/>
  <c r="B392" i="6"/>
  <c r="D391" i="6" l="1"/>
  <c r="E391" i="6"/>
  <c r="C392" i="6"/>
  <c r="B393" i="6"/>
  <c r="D392" i="6" l="1"/>
  <c r="E392" i="6" s="1"/>
  <c r="C393" i="6"/>
  <c r="B394" i="6"/>
  <c r="D393" i="6" l="1"/>
  <c r="E393" i="6"/>
  <c r="C394" i="6"/>
  <c r="B395" i="6"/>
  <c r="D394" i="6" l="1"/>
  <c r="E394" i="6"/>
  <c r="C395" i="6"/>
  <c r="D395" i="6" s="1"/>
  <c r="E395" i="6" s="1"/>
  <c r="B396" i="6"/>
  <c r="B397" i="6" l="1"/>
  <c r="C396" i="6"/>
  <c r="D396" i="6" s="1"/>
  <c r="E396" i="6" s="1"/>
  <c r="C397" i="6" l="1"/>
  <c r="D397" i="6" s="1"/>
  <c r="E397" i="6" s="1"/>
  <c r="B398" i="6"/>
  <c r="C398" i="6" l="1"/>
  <c r="D398" i="6" s="1"/>
  <c r="E398" i="6" s="1"/>
  <c r="B399" i="6"/>
  <c r="C399" i="6" l="1"/>
  <c r="B400" i="6"/>
  <c r="D399" i="6" l="1"/>
  <c r="E399" i="6"/>
  <c r="C400" i="6"/>
  <c r="B401" i="6"/>
  <c r="D400" i="6" l="1"/>
  <c r="E400" i="6" s="1"/>
  <c r="B402" i="6"/>
  <c r="C401" i="6"/>
  <c r="D401" i="6" l="1"/>
  <c r="E401" i="6"/>
  <c r="B403" i="6"/>
  <c r="C402" i="6"/>
  <c r="D402" i="6" l="1"/>
  <c r="E402" i="6"/>
  <c r="C403" i="6"/>
  <c r="D403" i="6" s="1"/>
  <c r="E403" i="6" s="1"/>
  <c r="B404" i="6"/>
  <c r="C404" i="6" l="1"/>
  <c r="D404" i="6" s="1"/>
  <c r="E404" i="6" s="1"/>
  <c r="B405" i="6"/>
  <c r="C405" i="6" l="1"/>
  <c r="D405" i="6" s="1"/>
  <c r="E405" i="6" s="1"/>
  <c r="B406" i="6"/>
  <c r="C406" i="6" l="1"/>
  <c r="D406" i="6" s="1"/>
  <c r="E406" i="6" s="1"/>
  <c r="B407" i="6"/>
  <c r="B408" i="6" l="1"/>
  <c r="C407" i="6"/>
  <c r="D407" i="6" l="1"/>
  <c r="E407" i="6" s="1"/>
  <c r="C408" i="6"/>
  <c r="B409" i="6"/>
  <c r="D408" i="6" l="1"/>
  <c r="E408" i="6"/>
  <c r="C409" i="6"/>
  <c r="D409" i="6" s="1"/>
  <c r="E409" i="6" s="1"/>
  <c r="B410" i="6"/>
  <c r="C410" i="6" l="1"/>
  <c r="B411" i="6"/>
  <c r="D410" i="6" l="1"/>
  <c r="E410" i="6"/>
  <c r="C411" i="6"/>
  <c r="D411" i="6" s="1"/>
  <c r="E411" i="6" s="1"/>
  <c r="B412" i="6"/>
  <c r="C412" i="6" l="1"/>
  <c r="D412" i="6" s="1"/>
  <c r="E412" i="6" s="1"/>
  <c r="B413" i="6"/>
  <c r="C413" i="6" l="1"/>
  <c r="D413" i="6" s="1"/>
  <c r="E413" i="6" s="1"/>
  <c r="B414" i="6"/>
  <c r="C414" i="6" l="1"/>
  <c r="D414" i="6" s="1"/>
  <c r="E414" i="6" s="1"/>
  <c r="B415" i="6"/>
  <c r="B416" i="6" l="1"/>
  <c r="C415" i="6"/>
  <c r="D415" i="6" l="1"/>
  <c r="E415" i="6" s="1"/>
  <c r="B417" i="6"/>
  <c r="C416" i="6"/>
  <c r="D416" i="6" l="1"/>
  <c r="E416" i="6"/>
  <c r="C417" i="6"/>
  <c r="B418" i="6"/>
  <c r="D417" i="6" l="1"/>
  <c r="E417" i="6"/>
  <c r="C418" i="6"/>
  <c r="B419" i="6"/>
  <c r="D418" i="6" l="1"/>
  <c r="E418" i="6"/>
  <c r="C419" i="6"/>
  <c r="B420" i="6"/>
  <c r="D419" i="6" l="1"/>
  <c r="E419" i="6"/>
  <c r="C420" i="6"/>
  <c r="B421" i="6"/>
  <c r="D420" i="6" l="1"/>
  <c r="E420" i="6"/>
  <c r="B422" i="6"/>
  <c r="C421" i="6"/>
  <c r="D421" i="6" s="1"/>
  <c r="E421" i="6" s="1"/>
  <c r="C422" i="6" l="1"/>
  <c r="B423" i="6"/>
  <c r="D422" i="6" l="1"/>
  <c r="E422" i="6" s="1"/>
  <c r="C423" i="6"/>
  <c r="B424" i="6"/>
  <c r="D423" i="6" l="1"/>
  <c r="E423" i="6" s="1"/>
  <c r="C424" i="6"/>
  <c r="B425" i="6"/>
  <c r="D424" i="6" l="1"/>
  <c r="E424" i="6"/>
  <c r="B426" i="6"/>
  <c r="C425" i="6"/>
  <c r="D425" i="6" l="1"/>
  <c r="E425" i="6" s="1"/>
  <c r="C426" i="6"/>
  <c r="B427" i="6"/>
  <c r="D426" i="6" l="1"/>
  <c r="E426" i="6"/>
  <c r="C427" i="6"/>
  <c r="D427" i="6" s="1"/>
  <c r="E427" i="6" s="1"/>
  <c r="B428" i="6"/>
  <c r="B429" i="6" l="1"/>
  <c r="C428" i="6"/>
  <c r="D428" i="6" s="1"/>
  <c r="E428" i="6" s="1"/>
  <c r="B430" i="6" l="1"/>
  <c r="C429" i="6"/>
  <c r="D429" i="6" s="1"/>
  <c r="E429" i="6" s="1"/>
  <c r="C430" i="6" l="1"/>
  <c r="D430" i="6" s="1"/>
  <c r="E430" i="6" s="1"/>
  <c r="B431" i="6"/>
  <c r="C431" i="6" l="1"/>
  <c r="B432" i="6"/>
  <c r="D431" i="6" l="1"/>
  <c r="E431" i="6"/>
  <c r="C432" i="6"/>
  <c r="B433" i="6"/>
  <c r="D432" i="6" l="1"/>
  <c r="E432" i="6" s="1"/>
  <c r="B434" i="6"/>
  <c r="C433" i="6"/>
  <c r="D433" i="6" l="1"/>
  <c r="E433" i="6" s="1"/>
  <c r="B435" i="6"/>
  <c r="C434" i="6"/>
  <c r="D434" i="6" l="1"/>
  <c r="E434" i="6" s="1"/>
  <c r="C435" i="6"/>
  <c r="D435" i="6" s="1"/>
  <c r="E435" i="6" s="1"/>
  <c r="B436" i="6"/>
  <c r="C436" i="6" l="1"/>
  <c r="D436" i="6" s="1"/>
  <c r="E436" i="6" s="1"/>
  <c r="B437" i="6"/>
  <c r="B438" i="6" l="1"/>
  <c r="C437" i="6"/>
  <c r="D437" i="6" s="1"/>
  <c r="E437" i="6" s="1"/>
  <c r="B439" i="6" l="1"/>
  <c r="C438" i="6"/>
  <c r="D438" i="6" s="1"/>
  <c r="E438" i="6" s="1"/>
  <c r="C439" i="6" l="1"/>
  <c r="B440" i="6"/>
  <c r="D439" i="6" l="1"/>
  <c r="E439" i="6" s="1"/>
  <c r="B441" i="6"/>
  <c r="C440" i="6"/>
  <c r="D440" i="6" l="1"/>
  <c r="E440" i="6" s="1"/>
  <c r="B442" i="6"/>
  <c r="C441" i="6"/>
  <c r="D441" i="6" s="1"/>
  <c r="E441" i="6" s="1"/>
  <c r="C442" i="6" l="1"/>
  <c r="B443" i="6"/>
  <c r="D442" i="6" l="1"/>
  <c r="E442" i="6"/>
  <c r="C443" i="6"/>
  <c r="D443" i="6" s="1"/>
  <c r="E443" i="6" s="1"/>
  <c r="B444" i="6"/>
  <c r="B445" i="6" l="1"/>
  <c r="C444" i="6"/>
  <c r="D444" i="6" s="1"/>
  <c r="E444" i="6" s="1"/>
  <c r="B446" i="6" l="1"/>
  <c r="C445" i="6"/>
  <c r="D445" i="6" s="1"/>
  <c r="E445" i="6" s="1"/>
  <c r="C446" i="6" l="1"/>
  <c r="D446" i="6" s="1"/>
  <c r="E446" i="6" s="1"/>
  <c r="B447" i="6"/>
  <c r="C447" i="6" l="1"/>
  <c r="B448" i="6"/>
  <c r="D447" i="6" l="1"/>
  <c r="E447" i="6"/>
  <c r="C448" i="6"/>
  <c r="D448" i="6" s="1"/>
  <c r="E448" i="6" s="1"/>
  <c r="B449" i="6"/>
  <c r="C449" i="6" l="1"/>
  <c r="B450" i="6"/>
  <c r="D449" i="6" l="1"/>
  <c r="E449" i="6" s="1"/>
  <c r="C450" i="6"/>
  <c r="B451" i="6"/>
  <c r="D450" i="6" l="1"/>
  <c r="E450" i="6" s="1"/>
  <c r="B452" i="6"/>
  <c r="C451" i="6"/>
  <c r="D451" i="6" s="1"/>
  <c r="E451" i="6" s="1"/>
  <c r="C452" i="6" l="1"/>
  <c r="D452" i="6" s="1"/>
  <c r="E452" i="6" s="1"/>
  <c r="B453" i="6"/>
  <c r="B454" i="6" l="1"/>
  <c r="C453" i="6"/>
  <c r="D453" i="6" s="1"/>
  <c r="E453" i="6" s="1"/>
  <c r="C454" i="6" l="1"/>
  <c r="D454" i="6" s="1"/>
  <c r="E454" i="6" s="1"/>
  <c r="B455" i="6"/>
  <c r="C455" i="6" l="1"/>
  <c r="B456" i="6"/>
  <c r="D455" i="6" l="1"/>
  <c r="E455" i="6" s="1"/>
  <c r="B457" i="6"/>
  <c r="C456" i="6"/>
  <c r="D456" i="6" l="1"/>
  <c r="E456" i="6" s="1"/>
  <c r="B458" i="6"/>
  <c r="C457" i="6"/>
  <c r="D457" i="6" l="1"/>
  <c r="E457" i="6" s="1"/>
  <c r="C458" i="6"/>
  <c r="B459" i="6"/>
  <c r="D458" i="6" l="1"/>
  <c r="E458" i="6"/>
  <c r="C459" i="6"/>
  <c r="B460" i="6"/>
  <c r="D459" i="6" l="1"/>
  <c r="E459" i="6"/>
  <c r="C460" i="6"/>
  <c r="B461" i="6"/>
  <c r="D460" i="6" l="1"/>
  <c r="E460" i="6" s="1"/>
  <c r="B462" i="6"/>
  <c r="C461" i="6"/>
  <c r="D461" i="6" s="1"/>
  <c r="E461" i="6" s="1"/>
  <c r="C462" i="6" l="1"/>
  <c r="D462" i="6" s="1"/>
  <c r="E462" i="6" s="1"/>
  <c r="B463" i="6"/>
  <c r="C463" i="6" l="1"/>
  <c r="B464" i="6"/>
  <c r="D463" i="6" l="1"/>
  <c r="E463" i="6"/>
  <c r="B465" i="6"/>
  <c r="C464" i="6"/>
  <c r="D464" i="6" s="1"/>
  <c r="E464" i="6" s="1"/>
  <c r="B466" i="6" l="1"/>
  <c r="C465" i="6"/>
  <c r="D465" i="6" s="1"/>
  <c r="E465" i="6" s="1"/>
  <c r="C466" i="6" l="1"/>
  <c r="B467" i="6"/>
  <c r="D466" i="6" l="1"/>
  <c r="E466" i="6"/>
  <c r="C467" i="6"/>
  <c r="B468" i="6"/>
  <c r="D467" i="6" l="1"/>
  <c r="E467" i="6"/>
  <c r="C468" i="6"/>
  <c r="D468" i="6" s="1"/>
  <c r="E468" i="6" s="1"/>
  <c r="B469" i="6"/>
  <c r="C469" i="6" l="1"/>
  <c r="D469" i="6" s="1"/>
  <c r="E469" i="6" s="1"/>
  <c r="B470" i="6"/>
  <c r="C470" i="6" l="1"/>
  <c r="D470" i="6" s="1"/>
  <c r="E470" i="6" s="1"/>
  <c r="B471" i="6"/>
  <c r="B472" i="6" l="1"/>
  <c r="C471" i="6"/>
  <c r="D471" i="6" l="1"/>
  <c r="E471" i="6"/>
  <c r="C472" i="6"/>
  <c r="D472" i="6" s="1"/>
  <c r="E472" i="6" s="1"/>
  <c r="B473" i="6"/>
  <c r="B474" i="6" l="1"/>
  <c r="C473" i="6"/>
  <c r="D473" i="6" s="1"/>
  <c r="E473" i="6" s="1"/>
  <c r="C474" i="6" l="1"/>
  <c r="D474" i="6" s="1"/>
  <c r="E474" i="6" s="1"/>
  <c r="B475" i="6"/>
  <c r="C475" i="6" l="1"/>
  <c r="D475" i="6" s="1"/>
  <c r="E475" i="6" s="1"/>
  <c r="B476" i="6"/>
  <c r="C476" i="6" l="1"/>
  <c r="D476" i="6" s="1"/>
  <c r="E476" i="6" s="1"/>
  <c r="B477" i="6"/>
  <c r="C477" i="6" l="1"/>
  <c r="D477" i="6" s="1"/>
  <c r="E477" i="6" s="1"/>
  <c r="B478" i="6"/>
  <c r="C478" i="6" l="1"/>
  <c r="D478" i="6" s="1"/>
  <c r="E478" i="6" s="1"/>
  <c r="B479" i="6"/>
  <c r="B480" i="6" l="1"/>
  <c r="C479" i="6"/>
  <c r="D479" i="6" l="1"/>
  <c r="E479" i="6"/>
  <c r="C480" i="6"/>
  <c r="B481" i="6"/>
  <c r="D480" i="6" l="1"/>
  <c r="E480" i="6" s="1"/>
  <c r="C481" i="6"/>
  <c r="B482" i="6"/>
  <c r="D481" i="6" l="1"/>
  <c r="E481" i="6"/>
  <c r="C482" i="6"/>
  <c r="B483" i="6"/>
  <c r="D482" i="6" l="1"/>
  <c r="E482" i="6" s="1"/>
  <c r="C483" i="6"/>
  <c r="D483" i="6" s="1"/>
  <c r="E483" i="6" s="1"/>
  <c r="B484" i="6"/>
  <c r="C484" i="6" l="1"/>
  <c r="D484" i="6" s="1"/>
  <c r="E484" i="6" s="1"/>
  <c r="B485" i="6"/>
  <c r="C485" i="6" l="1"/>
  <c r="D485" i="6" s="1"/>
  <c r="E485" i="6" s="1"/>
  <c r="B486" i="6"/>
  <c r="C486" i="6" l="1"/>
  <c r="D486" i="6" s="1"/>
  <c r="E486" i="6" s="1"/>
  <c r="B487" i="6"/>
  <c r="C487" i="6" l="1"/>
  <c r="B488" i="6"/>
  <c r="D487" i="6" l="1"/>
  <c r="E487" i="6" s="1"/>
  <c r="B489" i="6"/>
  <c r="C488" i="6"/>
  <c r="D488" i="6" l="1"/>
  <c r="E488" i="6" s="1"/>
  <c r="C489" i="6"/>
  <c r="B490" i="6"/>
  <c r="D489" i="6" l="1"/>
  <c r="E489" i="6" s="1"/>
  <c r="C490" i="6"/>
  <c r="B491" i="6"/>
  <c r="D490" i="6" l="1"/>
  <c r="E490" i="6" s="1"/>
  <c r="B492" i="6"/>
  <c r="C491" i="6"/>
  <c r="D491" i="6" l="1"/>
  <c r="E491" i="6" s="1"/>
  <c r="B493" i="6"/>
  <c r="C492" i="6"/>
  <c r="D492" i="6" l="1"/>
  <c r="E492" i="6"/>
  <c r="C493" i="6"/>
  <c r="B494" i="6"/>
  <c r="D493" i="6" l="1"/>
  <c r="E493" i="6" s="1"/>
  <c r="C494" i="6"/>
  <c r="D494" i="6" s="1"/>
  <c r="E494" i="6" s="1"/>
  <c r="B495" i="6"/>
  <c r="B496" i="6" l="1"/>
  <c r="C495" i="6"/>
  <c r="D495" i="6" l="1"/>
  <c r="E495" i="6" s="1"/>
  <c r="B497" i="6"/>
  <c r="C496" i="6"/>
  <c r="D496" i="6" l="1"/>
  <c r="E496" i="6" s="1"/>
  <c r="B498" i="6"/>
  <c r="C497" i="6"/>
  <c r="D497" i="6" s="1"/>
  <c r="E497" i="6" s="1"/>
  <c r="C498" i="6" l="1"/>
  <c r="B499" i="6"/>
  <c r="D498" i="6" l="1"/>
  <c r="E498" i="6" s="1"/>
  <c r="C499" i="6"/>
  <c r="D499" i="6" s="1"/>
  <c r="E499" i="6" s="1"/>
  <c r="B500" i="6"/>
  <c r="B501" i="6" l="1"/>
  <c r="C500" i="6"/>
  <c r="D500" i="6" s="1"/>
  <c r="E500" i="6" s="1"/>
  <c r="B502" i="6" l="1"/>
  <c r="C501" i="6"/>
  <c r="D501" i="6" s="1"/>
  <c r="E501" i="6" s="1"/>
  <c r="C502" i="6" l="1"/>
  <c r="D502" i="6" s="1"/>
  <c r="E502" i="6" s="1"/>
  <c r="B503" i="6"/>
  <c r="C503" i="6" l="1"/>
  <c r="B504" i="6"/>
  <c r="D503" i="6" l="1"/>
  <c r="E503" i="6"/>
  <c r="B505" i="6"/>
  <c r="C504" i="6"/>
  <c r="D504" i="6" l="1"/>
  <c r="E504" i="6"/>
  <c r="C505" i="6"/>
  <c r="D505" i="6" s="1"/>
  <c r="E505" i="6" s="1"/>
  <c r="B506" i="6"/>
  <c r="B507" i="6" l="1"/>
  <c r="C506" i="6"/>
  <c r="D506" i="6" l="1"/>
  <c r="E506" i="6" s="1"/>
  <c r="B508" i="6"/>
  <c r="C507" i="6"/>
  <c r="D507" i="6" s="1"/>
  <c r="E507" i="6" s="1"/>
  <c r="B509" i="6" l="1"/>
  <c r="C508" i="6"/>
  <c r="D508" i="6" s="1"/>
  <c r="E508" i="6" s="1"/>
  <c r="C509" i="6" l="1"/>
  <c r="D509" i="6" s="1"/>
  <c r="E509" i="6" s="1"/>
  <c r="B510" i="6"/>
  <c r="C510" i="6" l="1"/>
  <c r="D510" i="6" s="1"/>
  <c r="E510" i="6" s="1"/>
  <c r="B511" i="6"/>
  <c r="C511" i="6" l="1"/>
  <c r="B512" i="6"/>
  <c r="D511" i="6" l="1"/>
  <c r="E511" i="6" s="1"/>
  <c r="C512" i="6"/>
  <c r="B513" i="6"/>
  <c r="D512" i="6" l="1"/>
  <c r="E512" i="6"/>
  <c r="C513" i="6"/>
  <c r="B514" i="6"/>
  <c r="D513" i="6" l="1"/>
  <c r="E513" i="6"/>
  <c r="C514" i="6"/>
  <c r="B515" i="6"/>
  <c r="D514" i="6" l="1"/>
  <c r="E514" i="6" s="1"/>
  <c r="B516" i="6"/>
  <c r="C515" i="6"/>
  <c r="D515" i="6" s="1"/>
  <c r="E515" i="6" s="1"/>
  <c r="B517" i="6" l="1"/>
  <c r="C516" i="6"/>
  <c r="D516" i="6" s="1"/>
  <c r="E516" i="6" s="1"/>
  <c r="B518" i="6" l="1"/>
  <c r="C517" i="6"/>
  <c r="D517" i="6" s="1"/>
  <c r="E517" i="6" s="1"/>
  <c r="B519" i="6" l="1"/>
  <c r="C518" i="6"/>
  <c r="D518" i="6" s="1"/>
  <c r="E518" i="6" s="1"/>
  <c r="C519" i="6" l="1"/>
  <c r="B520" i="6"/>
  <c r="D519" i="6" l="1"/>
  <c r="E519" i="6"/>
  <c r="B521" i="6"/>
  <c r="C520" i="6"/>
  <c r="D520" i="6" l="1"/>
  <c r="E520" i="6"/>
  <c r="C521" i="6"/>
  <c r="B522" i="6"/>
  <c r="D521" i="6" l="1"/>
  <c r="E521" i="6"/>
  <c r="B523" i="6"/>
  <c r="C522" i="6"/>
  <c r="D522" i="6" l="1"/>
  <c r="E522" i="6" s="1"/>
  <c r="B524" i="6"/>
  <c r="C523" i="6"/>
  <c r="D523" i="6" s="1"/>
  <c r="E523" i="6" s="1"/>
  <c r="B525" i="6" l="1"/>
  <c r="C524" i="6"/>
  <c r="D524" i="6" s="1"/>
  <c r="E524" i="6" s="1"/>
  <c r="C525" i="6" l="1"/>
  <c r="D525" i="6" s="1"/>
  <c r="E525" i="6" s="1"/>
  <c r="B526" i="6"/>
  <c r="B527" i="6" l="1"/>
  <c r="C526" i="6"/>
  <c r="D526" i="6" s="1"/>
  <c r="E526" i="6" s="1"/>
  <c r="B528" i="6" l="1"/>
  <c r="C527" i="6"/>
  <c r="D527" i="6" l="1"/>
  <c r="E527" i="6" s="1"/>
  <c r="B529" i="6"/>
  <c r="C528" i="6"/>
  <c r="D528" i="6" l="1"/>
  <c r="E528" i="6" s="1"/>
  <c r="C529" i="6"/>
  <c r="D529" i="6" s="1"/>
  <c r="E529" i="6" s="1"/>
  <c r="B530" i="6"/>
  <c r="C530" i="6" l="1"/>
  <c r="B531" i="6"/>
  <c r="D530" i="6" l="1"/>
  <c r="E530" i="6"/>
  <c r="C531" i="6"/>
  <c r="B532" i="6"/>
  <c r="D531" i="6" l="1"/>
  <c r="E531" i="6"/>
  <c r="C532" i="6"/>
  <c r="B533" i="6"/>
  <c r="D532" i="6" l="1"/>
  <c r="E532" i="6"/>
  <c r="C533" i="6"/>
  <c r="D533" i="6" s="1"/>
  <c r="E533" i="6" s="1"/>
  <c r="B534" i="6"/>
  <c r="B535" i="6" l="1"/>
  <c r="C534" i="6"/>
  <c r="D534" i="6" s="1"/>
  <c r="E534" i="6" s="1"/>
  <c r="C535" i="6" l="1"/>
  <c r="B536" i="6"/>
  <c r="D535" i="6" l="1"/>
  <c r="E535" i="6" s="1"/>
  <c r="C536" i="6"/>
  <c r="B537" i="6"/>
  <c r="D536" i="6" l="1"/>
  <c r="E536" i="6" s="1"/>
  <c r="C537" i="6"/>
  <c r="B538" i="6"/>
  <c r="D537" i="6" l="1"/>
  <c r="E537" i="6" s="1"/>
  <c r="C538" i="6"/>
  <c r="B539" i="6"/>
  <c r="D538" i="6" l="1"/>
  <c r="E538" i="6"/>
  <c r="B540" i="6"/>
  <c r="C539" i="6"/>
  <c r="D539" i="6" s="1"/>
  <c r="E539" i="6" s="1"/>
  <c r="B541" i="6" l="1"/>
  <c r="C540" i="6"/>
  <c r="D540" i="6" s="1"/>
  <c r="E540" i="6" s="1"/>
  <c r="C541" i="6" l="1"/>
  <c r="D541" i="6" s="1"/>
  <c r="E541" i="6" s="1"/>
  <c r="B542" i="6"/>
  <c r="C542" i="6" l="1"/>
  <c r="D542" i="6" s="1"/>
  <c r="E542" i="6" s="1"/>
  <c r="B543" i="6"/>
  <c r="B544" i="6" l="1"/>
  <c r="C543" i="6"/>
  <c r="D543" i="6" l="1"/>
  <c r="E543" i="6"/>
  <c r="B545" i="6"/>
  <c r="C544" i="6"/>
  <c r="D544" i="6" l="1"/>
  <c r="E544" i="6"/>
  <c r="B546" i="6"/>
  <c r="C545" i="6"/>
  <c r="D545" i="6" l="1"/>
  <c r="E545" i="6" s="1"/>
  <c r="C546" i="6"/>
  <c r="B547" i="6"/>
  <c r="D546" i="6" l="1"/>
  <c r="E546" i="6" s="1"/>
  <c r="B548" i="6"/>
  <c r="C547" i="6"/>
  <c r="D547" i="6" s="1"/>
  <c r="E547" i="6" s="1"/>
  <c r="C548" i="6" l="1"/>
  <c r="D548" i="6" s="1"/>
  <c r="E548" i="6" s="1"/>
  <c r="B549" i="6"/>
  <c r="B550" i="6" l="1"/>
  <c r="C549" i="6"/>
  <c r="D549" i="6" s="1"/>
  <c r="E549" i="6" s="1"/>
  <c r="C550" i="6" l="1"/>
  <c r="D550" i="6" s="1"/>
  <c r="E550" i="6" s="1"/>
  <c r="B551" i="6"/>
  <c r="C551" i="6" l="1"/>
  <c r="B552" i="6"/>
  <c r="D551" i="6" l="1"/>
  <c r="E551" i="6" s="1"/>
  <c r="B553" i="6"/>
  <c r="C552" i="6"/>
  <c r="D552" i="6" l="1"/>
  <c r="E552" i="6" s="1"/>
  <c r="C553" i="6"/>
  <c r="B554" i="6"/>
  <c r="D553" i="6" l="1"/>
  <c r="E553" i="6" s="1"/>
  <c r="B555" i="6"/>
  <c r="C554" i="6"/>
  <c r="D554" i="6" l="1"/>
  <c r="E554" i="6"/>
  <c r="C555" i="6"/>
  <c r="D555" i="6" s="1"/>
  <c r="E555" i="6" s="1"/>
  <c r="B556" i="6"/>
  <c r="B557" i="6" l="1"/>
  <c r="C556" i="6"/>
  <c r="D556" i="6" s="1"/>
  <c r="E556" i="6" s="1"/>
  <c r="C557" i="6" l="1"/>
  <c r="D557" i="6" s="1"/>
  <c r="E557" i="6" s="1"/>
  <c r="B558" i="6"/>
  <c r="B559" i="6" l="1"/>
  <c r="C558" i="6"/>
  <c r="D558" i="6" s="1"/>
  <c r="E558" i="6" s="1"/>
  <c r="B560" i="6" l="1"/>
  <c r="C559" i="6"/>
  <c r="D559" i="6" l="1"/>
  <c r="E559" i="6"/>
  <c r="B561" i="6"/>
  <c r="C560" i="6"/>
  <c r="D560" i="6" l="1"/>
  <c r="E560" i="6"/>
  <c r="C561" i="6"/>
  <c r="D561" i="6" s="1"/>
  <c r="E561" i="6" s="1"/>
  <c r="B562" i="6"/>
  <c r="C562" i="6" l="1"/>
  <c r="D562" i="6" s="1"/>
  <c r="E562" i="6" s="1"/>
  <c r="B563" i="6"/>
  <c r="B564" i="6" l="1"/>
  <c r="C563" i="6"/>
  <c r="D563" i="6" s="1"/>
  <c r="E563" i="6" s="1"/>
  <c r="B565" i="6" l="1"/>
  <c r="C564" i="6"/>
  <c r="D564" i="6" s="1"/>
  <c r="E564" i="6" s="1"/>
  <c r="B566" i="6" l="1"/>
  <c r="C565" i="6"/>
  <c r="D565" i="6" s="1"/>
  <c r="E565" i="6" s="1"/>
  <c r="C566" i="6" l="1"/>
  <c r="D566" i="6" s="1"/>
  <c r="E566" i="6" s="1"/>
  <c r="B567" i="6"/>
  <c r="B568" i="6" l="1"/>
  <c r="C567" i="6"/>
  <c r="D567" i="6" l="1"/>
  <c r="E567" i="6"/>
  <c r="B569" i="6"/>
  <c r="C568" i="6"/>
  <c r="D568" i="6" l="1"/>
  <c r="E568" i="6" s="1"/>
  <c r="B570" i="6"/>
  <c r="C569" i="6"/>
  <c r="D569" i="6" l="1"/>
  <c r="E569" i="6" s="1"/>
  <c r="B571" i="6"/>
  <c r="C570" i="6"/>
  <c r="D570" i="6" l="1"/>
  <c r="E570" i="6" s="1"/>
  <c r="C571" i="6"/>
  <c r="B572" i="6"/>
  <c r="D571" i="6" l="1"/>
  <c r="E571" i="6"/>
  <c r="B573" i="6"/>
  <c r="C572" i="6"/>
  <c r="D572" i="6" s="1"/>
  <c r="E572" i="6" s="1"/>
  <c r="C573" i="6" l="1"/>
  <c r="D573" i="6" s="1"/>
  <c r="E573" i="6" s="1"/>
  <c r="B574" i="6"/>
  <c r="B575" i="6" l="1"/>
  <c r="C574" i="6"/>
  <c r="D574" i="6" s="1"/>
  <c r="E574" i="6" s="1"/>
  <c r="B576" i="6" l="1"/>
  <c r="C575" i="6"/>
  <c r="D575" i="6" l="1"/>
  <c r="E575" i="6"/>
  <c r="B577" i="6"/>
  <c r="C576" i="6"/>
  <c r="D576" i="6" l="1"/>
  <c r="E576" i="6"/>
  <c r="B578" i="6"/>
  <c r="C577" i="6"/>
  <c r="D577" i="6" s="1"/>
  <c r="E577" i="6" s="1"/>
  <c r="C578" i="6" l="1"/>
  <c r="B579" i="6"/>
  <c r="D578" i="6" l="1"/>
  <c r="E578" i="6"/>
  <c r="B580" i="6"/>
  <c r="C579" i="6"/>
  <c r="D579" i="6" s="1"/>
  <c r="E579" i="6" s="1"/>
  <c r="B581" i="6" l="1"/>
  <c r="C580" i="6"/>
  <c r="D580" i="6" s="1"/>
  <c r="E580" i="6" s="1"/>
  <c r="C581" i="6" l="1"/>
  <c r="D581" i="6" s="1"/>
  <c r="E581" i="6" s="1"/>
  <c r="B582" i="6"/>
  <c r="C582" i="6" l="1"/>
  <c r="D582" i="6" s="1"/>
  <c r="E582" i="6" s="1"/>
  <c r="B583" i="6"/>
  <c r="C583" i="6" l="1"/>
  <c r="B584" i="6"/>
  <c r="D583" i="6" l="1"/>
  <c r="E583" i="6"/>
  <c r="B585" i="6"/>
  <c r="C584" i="6"/>
  <c r="D584" i="6" l="1"/>
  <c r="E584" i="6" s="1"/>
  <c r="C585" i="6"/>
  <c r="B586" i="6"/>
  <c r="D585" i="6" l="1"/>
  <c r="E585" i="6"/>
  <c r="C586" i="6"/>
  <c r="B587" i="6"/>
  <c r="D586" i="6" l="1"/>
  <c r="E586" i="6"/>
  <c r="C587" i="6"/>
  <c r="D587" i="6" s="1"/>
  <c r="E587" i="6" s="1"/>
  <c r="B588" i="6"/>
  <c r="B589" i="6" l="1"/>
  <c r="C588" i="6"/>
  <c r="D588" i="6" s="1"/>
  <c r="E588" i="6" s="1"/>
  <c r="B590" i="6" l="1"/>
  <c r="C589" i="6"/>
  <c r="D589" i="6" s="1"/>
  <c r="E589" i="6" s="1"/>
  <c r="B591" i="6" l="1"/>
  <c r="C590" i="6"/>
  <c r="D590" i="6" s="1"/>
  <c r="E590" i="6" s="1"/>
  <c r="B592" i="6" l="1"/>
  <c r="C591" i="6"/>
  <c r="D591" i="6" l="1"/>
  <c r="E591" i="6"/>
  <c r="C592" i="6"/>
  <c r="D592" i="6" s="1"/>
  <c r="E592" i="6" s="1"/>
  <c r="B593" i="6"/>
  <c r="C593" i="6" l="1"/>
  <c r="B594" i="6"/>
  <c r="D593" i="6" l="1"/>
  <c r="E593" i="6"/>
  <c r="C594" i="6"/>
  <c r="B595" i="6"/>
  <c r="D594" i="6" l="1"/>
  <c r="E594" i="6"/>
  <c r="B596" i="6"/>
  <c r="C595" i="6"/>
  <c r="D595" i="6" s="1"/>
  <c r="E595" i="6" s="1"/>
  <c r="C596" i="6" l="1"/>
  <c r="D596" i="6" s="1"/>
  <c r="E596" i="6" s="1"/>
  <c r="B597" i="6"/>
  <c r="B598" i="6" l="1"/>
  <c r="C597" i="6"/>
  <c r="D597" i="6" s="1"/>
  <c r="E597" i="6" s="1"/>
  <c r="B599" i="6" l="1"/>
  <c r="C598" i="6"/>
  <c r="D598" i="6" s="1"/>
  <c r="E598" i="6" s="1"/>
  <c r="C599" i="6" l="1"/>
  <c r="B600" i="6"/>
  <c r="D599" i="6" l="1"/>
  <c r="E599" i="6"/>
  <c r="B601" i="6"/>
  <c r="C600" i="6"/>
  <c r="D600" i="6" l="1"/>
  <c r="E600" i="6"/>
  <c r="B602" i="6"/>
  <c r="C601" i="6"/>
  <c r="D601" i="6" s="1"/>
  <c r="E601" i="6" s="1"/>
  <c r="C602" i="6" l="1"/>
  <c r="B603" i="6"/>
  <c r="D602" i="6" l="1"/>
  <c r="E602" i="6" s="1"/>
  <c r="C603" i="6"/>
  <c r="D603" i="6" s="1"/>
  <c r="E603" i="6" s="1"/>
  <c r="B604" i="6"/>
  <c r="B605" i="6" l="1"/>
  <c r="C604" i="6"/>
  <c r="D604" i="6" s="1"/>
  <c r="E604" i="6" s="1"/>
  <c r="B606" i="6" l="1"/>
  <c r="C605" i="6"/>
  <c r="D605" i="6" s="1"/>
  <c r="E605" i="6" s="1"/>
  <c r="C606" i="6" l="1"/>
  <c r="D606" i="6" s="1"/>
  <c r="E606" i="6" s="1"/>
  <c r="B607" i="6"/>
  <c r="B608" i="6" l="1"/>
  <c r="C607" i="6"/>
  <c r="D607" i="6" l="1"/>
  <c r="E607" i="6"/>
  <c r="C608" i="6"/>
  <c r="B609" i="6"/>
  <c r="D608" i="6" l="1"/>
  <c r="E608" i="6" s="1"/>
  <c r="C609" i="6"/>
  <c r="B610" i="6"/>
  <c r="D609" i="6" l="1"/>
  <c r="E609" i="6"/>
  <c r="C610" i="6"/>
  <c r="B611" i="6"/>
  <c r="D610" i="6" l="1"/>
  <c r="E610" i="6"/>
  <c r="C611" i="6"/>
  <c r="B612" i="6"/>
  <c r="D611" i="6" l="1"/>
  <c r="E611" i="6"/>
  <c r="B613" i="6"/>
  <c r="C612" i="6"/>
  <c r="D612" i="6" s="1"/>
  <c r="E612" i="6" s="1"/>
  <c r="C613" i="6" l="1"/>
  <c r="D613" i="6" s="1"/>
  <c r="E613" i="6" s="1"/>
  <c r="B614" i="6"/>
  <c r="C614" i="6" l="1"/>
  <c r="D614" i="6" s="1"/>
  <c r="E614" i="6" s="1"/>
  <c r="B615" i="6"/>
  <c r="B616" i="6" l="1"/>
  <c r="C615" i="6"/>
  <c r="D615" i="6" l="1"/>
  <c r="E615" i="6" s="1"/>
  <c r="C616" i="6"/>
  <c r="B617" i="6"/>
  <c r="D616" i="6" l="1"/>
  <c r="E616" i="6" s="1"/>
  <c r="C617" i="6"/>
  <c r="D617" i="6" s="1"/>
  <c r="E617" i="6" s="1"/>
  <c r="B618" i="6"/>
  <c r="B619" i="6" l="1"/>
  <c r="C618" i="6"/>
  <c r="D618" i="6" l="1"/>
  <c r="E618" i="6" s="1"/>
  <c r="C619" i="6"/>
  <c r="B620" i="6"/>
  <c r="D619" i="6" l="1"/>
  <c r="E619" i="6" s="1"/>
  <c r="B621" i="6"/>
  <c r="C620" i="6"/>
  <c r="D620" i="6" l="1"/>
  <c r="E620" i="6" s="1"/>
  <c r="C621" i="6"/>
  <c r="D621" i="6" s="1"/>
  <c r="E621" i="6" s="1"/>
  <c r="B622" i="6"/>
  <c r="C622" i="6" l="1"/>
  <c r="D622" i="6" s="1"/>
  <c r="E622" i="6" s="1"/>
  <c r="B623" i="6"/>
  <c r="C623" i="6" l="1"/>
  <c r="B624" i="6"/>
  <c r="D623" i="6" l="1"/>
  <c r="E623" i="6" s="1"/>
  <c r="B625" i="6"/>
  <c r="C624" i="6"/>
  <c r="D624" i="6" s="1"/>
  <c r="E624" i="6" s="1"/>
  <c r="C625" i="6" l="1"/>
  <c r="D625" i="6" s="1"/>
  <c r="E625" i="6" s="1"/>
  <c r="B626" i="6"/>
  <c r="C626" i="6" l="1"/>
  <c r="B627" i="6"/>
  <c r="D626" i="6" l="1"/>
  <c r="E626" i="6" s="1"/>
  <c r="C627" i="6"/>
  <c r="D627" i="6" s="1"/>
  <c r="E627" i="6" s="1"/>
  <c r="B628" i="6"/>
  <c r="B629" i="6" l="1"/>
  <c r="C628" i="6"/>
  <c r="D628" i="6" s="1"/>
  <c r="E628" i="6" s="1"/>
  <c r="C629" i="6" l="1"/>
  <c r="D629" i="6" s="1"/>
  <c r="E629" i="6" s="1"/>
  <c r="B630" i="6"/>
  <c r="C630" i="6" l="1"/>
  <c r="D630" i="6" s="1"/>
  <c r="E630" i="6" s="1"/>
  <c r="B631" i="6"/>
  <c r="B632" i="6" l="1"/>
  <c r="C631" i="6"/>
  <c r="D631" i="6" l="1"/>
  <c r="E631" i="6" s="1"/>
  <c r="C632" i="6"/>
  <c r="B633" i="6"/>
  <c r="D632" i="6" l="1"/>
  <c r="E632" i="6" s="1"/>
  <c r="C633" i="6"/>
  <c r="B634" i="6"/>
  <c r="D633" i="6" l="1"/>
  <c r="E633" i="6" s="1"/>
  <c r="C634" i="6"/>
  <c r="B635" i="6"/>
  <c r="D634" i="6" l="1"/>
  <c r="E634" i="6" s="1"/>
  <c r="C635" i="6"/>
  <c r="D635" i="6" s="1"/>
  <c r="E635" i="6" s="1"/>
  <c r="B636" i="6"/>
  <c r="B637" i="6" l="1"/>
  <c r="C636" i="6"/>
  <c r="D636" i="6" s="1"/>
  <c r="E636" i="6" s="1"/>
  <c r="B638" i="6" l="1"/>
  <c r="C637" i="6"/>
  <c r="D637" i="6" s="1"/>
  <c r="E637" i="6" s="1"/>
  <c r="B639" i="6" l="1"/>
  <c r="C638" i="6"/>
  <c r="D638" i="6" s="1"/>
  <c r="E638" i="6" s="1"/>
  <c r="B640" i="6" l="1"/>
  <c r="C639" i="6"/>
  <c r="D639" i="6" l="1"/>
  <c r="E639" i="6" s="1"/>
  <c r="B641" i="6"/>
  <c r="C640" i="6"/>
  <c r="D640" i="6" l="1"/>
  <c r="E640" i="6" s="1"/>
  <c r="C641" i="6"/>
  <c r="B642" i="6"/>
  <c r="D641" i="6" l="1"/>
  <c r="E641" i="6" s="1"/>
  <c r="B643" i="6"/>
  <c r="C642" i="6"/>
  <c r="D642" i="6" l="1"/>
  <c r="E642" i="6" s="1"/>
  <c r="C643" i="6"/>
  <c r="D643" i="6" s="1"/>
  <c r="E643" i="6" s="1"/>
  <c r="B644" i="6"/>
  <c r="B645" i="6" l="1"/>
  <c r="C644" i="6"/>
  <c r="D644" i="6" s="1"/>
  <c r="E644" i="6" s="1"/>
  <c r="B646" i="6" l="1"/>
  <c r="C645" i="6"/>
  <c r="D645" i="6" s="1"/>
  <c r="E645" i="6" s="1"/>
  <c r="C646" i="6" l="1"/>
  <c r="D646" i="6" s="1"/>
  <c r="E646" i="6" s="1"/>
  <c r="B647" i="6"/>
  <c r="C647" i="6" l="1"/>
  <c r="B648" i="6"/>
  <c r="D647" i="6" l="1"/>
  <c r="E647" i="6" s="1"/>
  <c r="C648" i="6"/>
  <c r="D648" i="6" s="1"/>
  <c r="E648" i="6" s="1"/>
  <c r="B649" i="6"/>
  <c r="C649" i="6" l="1"/>
  <c r="D649" i="6" s="1"/>
  <c r="E649" i="6" s="1"/>
  <c r="B650" i="6"/>
  <c r="B651" i="6" l="1"/>
  <c r="C650" i="6"/>
  <c r="D650" i="6" l="1"/>
  <c r="E650" i="6"/>
  <c r="B652" i="6"/>
  <c r="C651" i="6"/>
  <c r="D651" i="6" s="1"/>
  <c r="E651" i="6" s="1"/>
  <c r="C652" i="6" l="1"/>
  <c r="D652" i="6" s="1"/>
  <c r="E652" i="6" s="1"/>
  <c r="B653" i="6"/>
  <c r="C653" i="6" l="1"/>
  <c r="D653" i="6" s="1"/>
  <c r="E653" i="6" s="1"/>
  <c r="B654" i="6"/>
  <c r="C654" i="6" l="1"/>
  <c r="D654" i="6" s="1"/>
  <c r="E654" i="6" s="1"/>
  <c r="B655" i="6"/>
  <c r="C655" i="6" l="1"/>
  <c r="B656" i="6"/>
  <c r="D655" i="6" l="1"/>
  <c r="E655" i="6" s="1"/>
  <c r="B657" i="6"/>
  <c r="C656" i="6"/>
  <c r="D656" i="6" l="1"/>
  <c r="E656" i="6" s="1"/>
  <c r="B658" i="6"/>
  <c r="C657" i="6"/>
  <c r="D657" i="6" l="1"/>
  <c r="E657" i="6"/>
  <c r="C658" i="6"/>
  <c r="B659" i="6"/>
  <c r="D658" i="6" l="1"/>
  <c r="E658" i="6" s="1"/>
  <c r="C659" i="6"/>
  <c r="B660" i="6"/>
  <c r="D659" i="6" l="1"/>
  <c r="E659" i="6" s="1"/>
  <c r="C660" i="6"/>
  <c r="D660" i="6" s="1"/>
  <c r="E660" i="6" s="1"/>
  <c r="B661" i="6"/>
  <c r="B662" i="6" l="1"/>
  <c r="C661" i="6"/>
  <c r="D661" i="6" s="1"/>
  <c r="E661" i="6" s="1"/>
  <c r="C662" i="6" l="1"/>
  <c r="B663" i="6"/>
  <c r="D662" i="6" l="1"/>
  <c r="E662" i="6" s="1"/>
  <c r="B664" i="6"/>
  <c r="C663" i="6"/>
  <c r="D663" i="6" l="1"/>
  <c r="E663" i="6" s="1"/>
  <c r="C664" i="6"/>
  <c r="D664" i="6" s="1"/>
  <c r="E664" i="6" s="1"/>
  <c r="B665" i="6"/>
  <c r="C665" i="6" l="1"/>
  <c r="D665" i="6" s="1"/>
  <c r="E665" i="6" s="1"/>
  <c r="B666" i="6"/>
  <c r="C666" i="6" l="1"/>
  <c r="D666" i="6" s="1"/>
  <c r="E666" i="6" s="1"/>
  <c r="B667" i="6"/>
  <c r="C667" i="6" l="1"/>
  <c r="D667" i="6" s="1"/>
  <c r="E667" i="6" s="1"/>
  <c r="B668" i="6"/>
  <c r="C668" i="6" l="1"/>
  <c r="D668" i="6" s="1"/>
  <c r="E668" i="6" s="1"/>
  <c r="B669" i="6"/>
  <c r="B670" i="6" l="1"/>
  <c r="C669" i="6"/>
  <c r="D669" i="6" s="1"/>
  <c r="E669" i="6" s="1"/>
  <c r="G17" i="6" l="1"/>
  <c r="C670" i="6"/>
  <c r="D670" i="6" s="1"/>
  <c r="E67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6" authorId="0" shapeId="0" xr:uid="{98151C9A-1520-431A-BD6C-2047DF91D2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sharedStrings.xml><?xml version="1.0" encoding="utf-8"?>
<sst xmlns="http://schemas.openxmlformats.org/spreadsheetml/2006/main" count="139" uniqueCount="109">
  <si>
    <t>(a)</t>
  </si>
  <si>
    <r>
      <t>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80</t>
    </r>
  </si>
  <si>
    <r>
      <t>v</t>
    </r>
    <r>
      <rPr>
        <vertAlign val="superscript"/>
        <sz val="10"/>
        <rFont val="Arial"/>
        <family val="2"/>
      </rPr>
      <t>t</t>
    </r>
    <r>
      <rPr>
        <sz val="10"/>
        <rFont val="Arial"/>
      </rPr>
      <t xml:space="preserve"> </t>
    </r>
    <r>
      <rPr>
        <vertAlign val="subscript"/>
        <sz val="10"/>
        <rFont val="Arial"/>
        <family val="2"/>
      </rPr>
      <t>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80</t>
    </r>
  </si>
  <si>
    <r>
      <t>ä</t>
    </r>
    <r>
      <rPr>
        <vertAlign val="subscript"/>
        <sz val="10"/>
        <rFont val="Arial"/>
        <family val="2"/>
      </rPr>
      <t>x</t>
    </r>
  </si>
  <si>
    <r>
      <t>ä</t>
    </r>
    <r>
      <rPr>
        <vertAlign val="superscript"/>
        <sz val="10"/>
        <rFont val="Arial"/>
        <family val="2"/>
      </rPr>
      <t>(2)</t>
    </r>
    <r>
      <rPr>
        <vertAlign val="subscript"/>
        <sz val="10"/>
        <rFont val="Arial"/>
        <family val="2"/>
      </rPr>
      <t>x</t>
    </r>
  </si>
  <si>
    <r>
      <t xml:space="preserve"> </t>
    </r>
    <r>
      <rPr>
        <sz val="10"/>
        <rFont val="Arial"/>
        <family val="2"/>
      </rPr>
      <t>ā</t>
    </r>
    <r>
      <rPr>
        <vertAlign val="subscript"/>
        <sz val="10"/>
        <rFont val="Arial"/>
        <family val="2"/>
      </rPr>
      <t>x</t>
    </r>
  </si>
  <si>
    <r>
      <t>(I</t>
    </r>
    <r>
      <rPr>
        <sz val="10"/>
        <rFont val="Arial"/>
        <family val="2"/>
      </rPr>
      <t>ä</t>
    </r>
    <r>
      <rPr>
        <sz val="10"/>
        <rFont val="Arial"/>
      </rPr>
      <t>)</t>
    </r>
    <r>
      <rPr>
        <vertAlign val="subscript"/>
        <sz val="10"/>
        <rFont val="Arial"/>
        <family val="2"/>
      </rPr>
      <t>x</t>
    </r>
  </si>
  <si>
    <t>Age x+t</t>
  </si>
  <si>
    <t>l(int(x))</t>
  </si>
  <si>
    <t>Step</t>
  </si>
  <si>
    <t>InitialAge</t>
  </si>
  <si>
    <t>l(int(x)+1)</t>
  </si>
  <si>
    <t>Step number</t>
  </si>
  <si>
    <t>StepSize</t>
  </si>
  <si>
    <t>Notional deaths before next step</t>
  </si>
  <si>
    <t>l(x+t)</t>
  </si>
  <si>
    <t>IntRate</t>
  </si>
  <si>
    <r>
      <t>ä</t>
    </r>
    <r>
      <rPr>
        <b/>
        <vertAlign val="superscript"/>
        <sz val="10"/>
        <rFont val="Arial"/>
        <family val="2"/>
      </rPr>
      <t>(12)</t>
    </r>
    <r>
      <rPr>
        <b/>
        <vertAlign val="subscript"/>
        <sz val="10"/>
        <rFont val="Arial"/>
        <family val="2"/>
      </rPr>
      <t>80:5</t>
    </r>
  </si>
  <si>
    <t>(for non-annual calcs)</t>
  </si>
  <si>
    <t>Instructions</t>
  </si>
  <si>
    <t>(Note: If you would like to view these instructions at the same time as other sheets then you can use View&gt;New Window to create a second window.)</t>
  </si>
  <si>
    <t>(b)</t>
  </si>
  <si>
    <t>Colour keys</t>
  </si>
  <si>
    <t xml:space="preserve">The colours below are used to make the worksheet more readable and easier to check. </t>
  </si>
  <si>
    <t>Using a colour key like this is considered good practice in the workplace.</t>
  </si>
  <si>
    <t xml:space="preserve">At the start of your career, it is especially important that you produce work that is easy to read, reuse and check. </t>
  </si>
  <si>
    <t xml:space="preserve">Your colleagues will appreciate it! And it is more efficient because it saves time for the more senior people. </t>
  </si>
  <si>
    <t>Not all of this key will be required in simple spreadsheets.</t>
  </si>
  <si>
    <t>Our colour key</t>
  </si>
  <si>
    <t>Parameters/inputs</t>
  </si>
  <si>
    <t>Data/values</t>
  </si>
  <si>
    <t>Calculations and text</t>
  </si>
  <si>
    <t>Discontinuous formulas are highlighted</t>
  </si>
  <si>
    <t>Value looked up from data</t>
  </si>
  <si>
    <t>(d)</t>
  </si>
  <si>
    <t>Parameters</t>
  </si>
  <si>
    <r>
      <t>ä</t>
    </r>
    <r>
      <rPr>
        <b/>
        <vertAlign val="subscript"/>
        <sz val="10"/>
        <rFont val="Arial"/>
        <family val="2"/>
      </rPr>
      <t>80:5</t>
    </r>
  </si>
  <si>
    <t>using annual steps</t>
  </si>
  <si>
    <t>using monthly steps and UDD</t>
  </si>
  <si>
    <t>Results</t>
  </si>
  <si>
    <t>Calculations</t>
  </si>
  <si>
    <t>(a) Annual steps</t>
  </si>
  <si>
    <t>Age</t>
  </si>
  <si>
    <t>You will need the following lifetable for ELT15 Females:</t>
  </si>
  <si>
    <t>l(x)</t>
  </si>
  <si>
    <t>(We colour this blue because it is information we have copied from another source.)</t>
  </si>
  <si>
    <t>Monthly steps</t>
  </si>
  <si>
    <t xml:space="preserve">(a) </t>
  </si>
  <si>
    <t>Calculate an annuity-due paid to a life from age 80 for a term of 5 years or until earlier death.</t>
  </si>
  <si>
    <t>StepsEachYear</t>
  </si>
  <si>
    <t>using Woolhouse approximation</t>
  </si>
  <si>
    <t>(b) D(x+t)</t>
  </si>
  <si>
    <t>(c) UDD</t>
  </si>
  <si>
    <t>(c)</t>
  </si>
  <si>
    <t>Use an 
effective annual rate of interest of 4%.</t>
  </si>
  <si>
    <t>Exercise:</t>
  </si>
  <si>
    <t>Hint: The answer is 4.083</t>
  </si>
  <si>
    <t xml:space="preserve">(b) </t>
  </si>
  <si>
    <r>
      <t xml:space="preserve">Calculate an annuity-due paid </t>
    </r>
    <r>
      <rPr>
        <b/>
        <sz val="10"/>
        <rFont val="Arial"/>
        <family val="2"/>
      </rPr>
      <t xml:space="preserve">monthly </t>
    </r>
    <r>
      <rPr>
        <sz val="10"/>
        <rFont val="Arial"/>
        <family val="2"/>
      </rPr>
      <t>to a life from age 80 for a term of 5 years or until earlier death.</t>
    </r>
  </si>
  <si>
    <t>Use your answer to part (a) and the Woolhouse approximation.</t>
  </si>
  <si>
    <t>Hint: The answer is 3.883</t>
  </si>
  <si>
    <t xml:space="preserve">(c) </t>
  </si>
  <si>
    <t xml:space="preserve">Do the same calculation as part (b), but don't use the Woolhouse approximation. </t>
  </si>
  <si>
    <t>Instead, use monthly steps and use UDD to calculate the survival probabilities at each step.</t>
  </si>
  <si>
    <t>Hint 1: (3.5)p(80) = 0.7829</t>
  </si>
  <si>
    <t>Hint 2: The final answer is 3.880</t>
  </si>
  <si>
    <t xml:space="preserve">(d) </t>
  </si>
  <si>
    <t>How would you convince yourself (and maybe your boss!) that these are the correct answers?</t>
  </si>
  <si>
    <t>(If you didn't have the numerical hints to help you!)</t>
  </si>
  <si>
    <t>Do the answers seem plausible? How to do they compare to each other?</t>
  </si>
  <si>
    <t>B</t>
  </si>
  <si>
    <t>c</t>
  </si>
  <si>
    <t>Interest</t>
  </si>
  <si>
    <t>Hint: Here are the numerical answers.</t>
  </si>
  <si>
    <r>
      <rPr>
        <b/>
        <sz val="10"/>
        <rFont val="Arial"/>
        <family val="2"/>
      </rPr>
      <t xml:space="preserve">Exercise: </t>
    </r>
    <r>
      <rPr>
        <sz val="10"/>
        <rFont val="Arial"/>
        <family val="2"/>
      </rPr>
      <t>Calculate the following functions for ages x = 40, 60 and 80.</t>
    </r>
  </si>
  <si>
    <t>Question 1</t>
  </si>
  <si>
    <t>A survival model is given by ELT15 Females.</t>
  </si>
  <si>
    <t>A survival model follows Gompertz' Law with parameters:</t>
  </si>
  <si>
    <t>Question 2</t>
  </si>
  <si>
    <t>Age (x+t)</t>
  </si>
  <si>
    <t>InitialAgeQ2</t>
  </si>
  <si>
    <t>IntRateQ2</t>
  </si>
  <si>
    <r>
      <t>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x</t>
    </r>
  </si>
  <si>
    <r>
      <t>v</t>
    </r>
    <r>
      <rPr>
        <vertAlign val="superscript"/>
        <sz val="10"/>
        <rFont val="Arial"/>
        <family val="2"/>
      </rPr>
      <t>t</t>
    </r>
    <r>
      <rPr>
        <sz val="10"/>
        <rFont val="Arial"/>
      </rPr>
      <t xml:space="preserve"> </t>
    </r>
    <r>
      <rPr>
        <vertAlign val="subscript"/>
        <sz val="10"/>
        <rFont val="Arial"/>
        <family val="2"/>
      </rPr>
      <t>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x</t>
    </r>
  </si>
  <si>
    <t>StepSizeQ2</t>
  </si>
  <si>
    <t>TerminalAge</t>
  </si>
  <si>
    <t>gompertz_g</t>
  </si>
  <si>
    <t>Payments</t>
  </si>
  <si>
    <t>StepsEachYearQ2</t>
  </si>
  <si>
    <t>Simpson</t>
  </si>
  <si>
    <t>weights</t>
  </si>
  <si>
    <r>
      <t>ä</t>
    </r>
    <r>
      <rPr>
        <b/>
        <vertAlign val="subscript"/>
        <sz val="10"/>
        <rFont val="Arial"/>
        <family val="2"/>
      </rPr>
      <t>x</t>
    </r>
  </si>
  <si>
    <r>
      <t>ä</t>
    </r>
    <r>
      <rPr>
        <b/>
        <vertAlign val="superscript"/>
        <sz val="10"/>
        <rFont val="Arial"/>
        <family val="2"/>
      </rPr>
      <t>(2)</t>
    </r>
    <r>
      <rPr>
        <b/>
        <vertAlign val="subscript"/>
        <sz val="10"/>
        <rFont val="Arial"/>
        <family val="2"/>
      </rPr>
      <t>x</t>
    </r>
  </si>
  <si>
    <r>
      <t>ā</t>
    </r>
    <r>
      <rPr>
        <b/>
        <vertAlign val="subscript"/>
        <sz val="10"/>
        <rFont val="Arial"/>
        <family val="2"/>
      </rPr>
      <t>x</t>
    </r>
  </si>
  <si>
    <r>
      <t>(Iä)</t>
    </r>
    <r>
      <rPr>
        <b/>
        <vertAlign val="subscript"/>
        <sz val="10"/>
        <rFont val="Arial"/>
        <family val="2"/>
      </rPr>
      <t>x</t>
    </r>
  </si>
  <si>
    <t>Interest rate</t>
  </si>
  <si>
    <t>NOTE: Some parameters are on the instructions sheet.</t>
  </si>
  <si>
    <t>Or you can use a data table (More advanced and beyond this tutorial, but a very nice way to do it!)</t>
  </si>
  <si>
    <t>Note: To get all of the different combinations of interest/age you can change the parameters above.</t>
  </si>
  <si>
    <t>(use Simpson's rule with step size 1/8 to estimate the integral)</t>
  </si>
  <si>
    <t>&lt;----  HINT: To find these answers, you can either use SUMPRODUCT() with the calcs below, or you can add more columns below and just use SUM()</t>
  </si>
  <si>
    <t xml:space="preserve">HINT: You can set out the calculations however you like so long as you get to the right answers. </t>
  </si>
  <si>
    <t>..and so long as you comply with good spreadsheet standards.</t>
  </si>
  <si>
    <t>The layout below is just one way to do it.</t>
  </si>
  <si>
    <t>HINT: If you take the right approach below, you can get the answers above using SUM()</t>
  </si>
  <si>
    <t xml:space="preserve">HINT: The formula INT() can be used to round a number down to its integer part. </t>
  </si>
  <si>
    <t>(d) Comments on plausibility of results</t>
  </si>
  <si>
    <t>Lab 1 - Part 2 - Question 1</t>
  </si>
  <si>
    <t>Lab 1 - Part 2 - Question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</si>
</sst>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3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0"/>
      <name val="Arial"/>
      <family val="2"/>
    </font>
    <font>
      <i/>
      <sz val="10"/>
      <name val="Arial"/>
      <family val="2"/>
    </font>
    <font>
      <sz val="11"/>
      <color rgb="FFFF00FF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4"/>
      <name val="Arial"/>
      <family val="2"/>
    </font>
    <font>
      <sz val="10"/>
      <color theme="3" tint="0.499984740745262"/>
      <name val="Arial"/>
      <family val="2"/>
    </font>
    <font>
      <sz val="10"/>
      <color rgb="FF00B050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10"/>
      <color rgb="FFFF66FF"/>
      <name val="Arial"/>
      <family val="2"/>
    </font>
    <font>
      <b/>
      <i/>
      <sz val="10"/>
      <name val="Arial"/>
      <family val="2"/>
    </font>
    <font>
      <i/>
      <sz val="12"/>
      <name val="Arial"/>
      <family val="2"/>
    </font>
    <font>
      <b/>
      <i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0" xfId="0" applyFont="1"/>
    <xf numFmtId="0" fontId="9" fillId="0" borderId="0" xfId="0" applyFont="1"/>
    <xf numFmtId="0" fontId="1" fillId="0" borderId="13" xfId="0" applyFont="1" applyBorder="1"/>
    <xf numFmtId="0" fontId="1" fillId="0" borderId="4" xfId="0" applyFont="1" applyBorder="1" applyAlignment="1">
      <alignment horizontal="center"/>
    </xf>
    <xf numFmtId="0" fontId="9" fillId="0" borderId="14" xfId="0" applyFont="1" applyBorder="1"/>
    <xf numFmtId="0" fontId="0" fillId="0" borderId="14" xfId="0" applyBorder="1"/>
    <xf numFmtId="0" fontId="0" fillId="0" borderId="15" xfId="0" applyBorder="1"/>
    <xf numFmtId="0" fontId="10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2" borderId="5" xfId="0" applyFont="1" applyFill="1" applyBorder="1"/>
    <xf numFmtId="0" fontId="14" fillId="0" borderId="5" xfId="0" applyFont="1" applyBorder="1" applyProtection="1">
      <protection locked="0"/>
    </xf>
    <xf numFmtId="0" fontId="15" fillId="0" borderId="5" xfId="0" applyFont="1" applyBorder="1"/>
    <xf numFmtId="0" fontId="15" fillId="3" borderId="5" xfId="0" applyFont="1" applyFill="1" applyBorder="1"/>
    <xf numFmtId="0" fontId="16" fillId="0" borderId="5" xfId="0" applyFont="1" applyBorder="1"/>
    <xf numFmtId="0" fontId="0" fillId="0" borderId="7" xfId="0" applyBorder="1"/>
    <xf numFmtId="0" fontId="0" fillId="0" borderId="9" xfId="0" applyBorder="1"/>
    <xf numFmtId="10" fontId="13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65" fontId="0" fillId="0" borderId="0" xfId="0" applyNumberFormat="1"/>
    <xf numFmtId="0" fontId="19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19" fillId="0" borderId="2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21" fillId="0" borderId="3" xfId="0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3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8" xfId="0" applyBorder="1"/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4" fontId="0" fillId="0" borderId="2" xfId="0" applyNumberFormat="1" applyBorder="1" applyAlignment="1">
      <alignment horizontal="center"/>
    </xf>
    <xf numFmtId="0" fontId="22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3" fontId="13" fillId="2" borderId="1" xfId="0" applyNumberFormat="1" applyFont="1" applyFill="1" applyBorder="1" applyAlignment="1">
      <alignment horizontal="center" vertical="center"/>
    </xf>
    <xf numFmtId="0" fontId="2" fillId="0" borderId="6" xfId="0" applyFont="1" applyBorder="1"/>
    <xf numFmtId="4" fontId="0" fillId="0" borderId="14" xfId="0" applyNumberForma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1" fontId="13" fillId="2" borderId="13" xfId="0" applyNumberFormat="1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 vertical="top"/>
    </xf>
    <xf numFmtId="0" fontId="0" fillId="0" borderId="3" xfId="0" applyBorder="1"/>
    <xf numFmtId="0" fontId="0" fillId="0" borderId="13" xfId="0" applyBorder="1"/>
    <xf numFmtId="0" fontId="9" fillId="0" borderId="5" xfId="0" applyFont="1" applyBorder="1"/>
    <xf numFmtId="0" fontId="9" fillId="0" borderId="0" xfId="0" applyFont="1" applyAlignment="1">
      <alignment horizontal="center"/>
    </xf>
    <xf numFmtId="0" fontId="9" fillId="0" borderId="8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 vertical="top"/>
    </xf>
    <xf numFmtId="0" fontId="9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1" fillId="0" borderId="2" xfId="0" applyFont="1" applyBorder="1"/>
    <xf numFmtId="0" fontId="9" fillId="0" borderId="7" xfId="0" applyFont="1" applyBorder="1" applyAlignment="1">
      <alignment horizontal="center"/>
    </xf>
    <xf numFmtId="9" fontId="13" fillId="2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9" fontId="0" fillId="0" borderId="7" xfId="0" applyNumberFormat="1" applyBorder="1"/>
    <xf numFmtId="0" fontId="9" fillId="0" borderId="10" xfId="0" applyFont="1" applyBorder="1"/>
    <xf numFmtId="0" fontId="9" fillId="0" borderId="12" xfId="0" applyFont="1" applyBorder="1"/>
    <xf numFmtId="0" fontId="12" fillId="0" borderId="5" xfId="0" applyFont="1" applyBorder="1"/>
    <xf numFmtId="0" fontId="12" fillId="0" borderId="7" xfId="0" applyFont="1" applyBorder="1"/>
    <xf numFmtId="0" fontId="27" fillId="0" borderId="0" xfId="0" applyFont="1"/>
    <xf numFmtId="164" fontId="0" fillId="0" borderId="1" xfId="0" applyNumberFormat="1" applyBorder="1" applyAlignment="1">
      <alignment horizontal="center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0" fillId="4" borderId="5" xfId="0" applyFill="1" applyBorder="1"/>
    <xf numFmtId="164" fontId="9" fillId="4" borderId="1" xfId="0" applyNumberFormat="1" applyFont="1" applyFill="1" applyBorder="1" applyAlignment="1">
      <alignment horizontal="center"/>
    </xf>
    <xf numFmtId="0" fontId="26" fillId="2" borderId="1" xfId="0" applyFont="1" applyFill="1" applyBorder="1"/>
    <xf numFmtId="0" fontId="29" fillId="0" borderId="0" xfId="0" applyFont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0" fillId="0" borderId="8" xfId="0" applyBorder="1" applyAlignment="1">
      <alignment horizontal="left" vertical="top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1943-2017-47AF-82AC-8473F632A451}">
  <dimension ref="B2:Q40"/>
  <sheetViews>
    <sheetView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R10" sqref="R10"/>
    </sheetView>
  </sheetViews>
  <sheetFormatPr defaultRowHeight="12.75" x14ac:dyDescent="0.35"/>
  <cols>
    <col min="3" max="3" width="20.19921875" customWidth="1"/>
    <col min="4" max="4" width="22.1328125" customWidth="1"/>
  </cols>
  <sheetData>
    <row r="2" spans="2:17" ht="13.15" x14ac:dyDescent="0.4">
      <c r="B2" s="23" t="s">
        <v>19</v>
      </c>
    </row>
    <row r="3" spans="2:17" x14ac:dyDescent="0.35">
      <c r="B3" s="122" t="s">
        <v>20</v>
      </c>
    </row>
    <row r="4" spans="2:17" ht="13.15" thickBot="1" x14ac:dyDescent="0.4">
      <c r="B4" s="24"/>
    </row>
    <row r="5" spans="2:17" ht="13.15" x14ac:dyDescent="0.4">
      <c r="B5" s="101" t="s">
        <v>75</v>
      </c>
      <c r="C5" s="96"/>
      <c r="D5" s="96"/>
      <c r="E5" s="96"/>
      <c r="F5" s="96"/>
      <c r="G5" s="96"/>
      <c r="H5" s="96"/>
      <c r="I5" s="31"/>
      <c r="K5" s="102" t="s">
        <v>78</v>
      </c>
      <c r="L5" s="96"/>
      <c r="M5" s="96"/>
      <c r="N5" s="96"/>
      <c r="O5" s="96"/>
      <c r="P5" s="96"/>
      <c r="Q5" s="31"/>
    </row>
    <row r="6" spans="2:17" ht="13.15" thickBot="1" x14ac:dyDescent="0.4">
      <c r="B6" s="98"/>
      <c r="C6" s="24" t="s">
        <v>76</v>
      </c>
      <c r="I6" s="33"/>
      <c r="K6" s="98" t="s">
        <v>77</v>
      </c>
      <c r="Q6" s="33"/>
    </row>
    <row r="7" spans="2:17" ht="13.15" thickBot="1" x14ac:dyDescent="0.4">
      <c r="B7" s="98"/>
      <c r="C7" s="24" t="s">
        <v>43</v>
      </c>
      <c r="I7" s="33"/>
      <c r="K7" s="98" t="s">
        <v>70</v>
      </c>
      <c r="L7" s="121">
        <v>5.0000000000000001E-4</v>
      </c>
      <c r="Q7" s="33"/>
    </row>
    <row r="8" spans="2:17" ht="13.15" thickBot="1" x14ac:dyDescent="0.4">
      <c r="B8" s="98"/>
      <c r="C8" s="24"/>
      <c r="I8" s="33"/>
      <c r="K8" s="98" t="s">
        <v>71</v>
      </c>
      <c r="L8" s="121">
        <v>1.0900000000000001</v>
      </c>
      <c r="Q8" s="33"/>
    </row>
    <row r="9" spans="2:17" ht="13.5" thickBot="1" x14ac:dyDescent="0.45">
      <c r="B9" s="32"/>
      <c r="C9" s="25" t="s">
        <v>42</v>
      </c>
      <c r="D9" s="26" t="s">
        <v>44</v>
      </c>
      <c r="I9" s="33"/>
      <c r="K9" s="32"/>
      <c r="Q9" s="33"/>
    </row>
    <row r="10" spans="2:17" ht="13.15" x14ac:dyDescent="0.4">
      <c r="B10" s="32"/>
      <c r="C10" s="60">
        <v>80</v>
      </c>
      <c r="D10" s="61">
        <v>55607</v>
      </c>
      <c r="I10" s="33"/>
      <c r="K10" s="98" t="s">
        <v>74</v>
      </c>
      <c r="Q10" s="33"/>
    </row>
    <row r="11" spans="2:17" ht="15" x14ac:dyDescent="0.5">
      <c r="B11" s="98"/>
      <c r="C11" s="62">
        <v>81</v>
      </c>
      <c r="D11" s="63">
        <v>52293</v>
      </c>
      <c r="I11" s="33"/>
      <c r="K11" s="98" t="s">
        <v>0</v>
      </c>
      <c r="L11" s="99" t="s">
        <v>3</v>
      </c>
      <c r="N11" s="4"/>
      <c r="P11" s="4"/>
      <c r="Q11" s="33"/>
    </row>
    <row r="12" spans="2:17" ht="15.4" x14ac:dyDescent="0.5">
      <c r="B12" s="32"/>
      <c r="C12" s="62">
        <v>82</v>
      </c>
      <c r="D12" s="63">
        <v>48858</v>
      </c>
      <c r="I12" s="33"/>
      <c r="K12" s="98" t="s">
        <v>21</v>
      </c>
      <c r="L12" s="99" t="s">
        <v>4</v>
      </c>
      <c r="Q12" s="33"/>
    </row>
    <row r="13" spans="2:17" ht="15" x14ac:dyDescent="0.5">
      <c r="B13" s="98"/>
      <c r="C13" s="62">
        <v>83</v>
      </c>
      <c r="D13" s="63">
        <v>45332</v>
      </c>
      <c r="I13" s="33"/>
      <c r="K13" s="98" t="s">
        <v>61</v>
      </c>
      <c r="L13" s="4" t="s">
        <v>5</v>
      </c>
      <c r="M13" s="24" t="s">
        <v>99</v>
      </c>
      <c r="Q13" s="33"/>
    </row>
    <row r="14" spans="2:17" ht="15" x14ac:dyDescent="0.5">
      <c r="B14" s="98"/>
      <c r="C14" s="62">
        <v>84</v>
      </c>
      <c r="D14" s="63">
        <v>41736</v>
      </c>
      <c r="I14" s="33"/>
      <c r="K14" s="98" t="s">
        <v>34</v>
      </c>
      <c r="L14" s="4" t="s">
        <v>6</v>
      </c>
      <c r="Q14" s="33"/>
    </row>
    <row r="15" spans="2:17" ht="13.15" thickBot="1" x14ac:dyDescent="0.4">
      <c r="B15" s="98"/>
      <c r="C15" s="64">
        <v>85</v>
      </c>
      <c r="D15" s="65">
        <v>38081</v>
      </c>
      <c r="I15" s="33"/>
      <c r="K15" s="98" t="s">
        <v>54</v>
      </c>
      <c r="Q15" s="33"/>
    </row>
    <row r="16" spans="2:17" x14ac:dyDescent="0.35">
      <c r="B16" s="32"/>
      <c r="I16" s="33"/>
      <c r="K16" s="32"/>
      <c r="Q16" s="33"/>
    </row>
    <row r="17" spans="2:17" x14ac:dyDescent="0.35">
      <c r="B17" s="32"/>
      <c r="C17" s="24" t="s">
        <v>45</v>
      </c>
      <c r="I17" s="33"/>
      <c r="K17" s="32"/>
      <c r="Q17" s="33"/>
    </row>
    <row r="18" spans="2:17" x14ac:dyDescent="0.35">
      <c r="B18" s="32"/>
      <c r="I18" s="33"/>
      <c r="K18" s="98" t="s">
        <v>73</v>
      </c>
      <c r="Q18" s="33"/>
    </row>
    <row r="19" spans="2:17" ht="13.5" thickBot="1" x14ac:dyDescent="0.45">
      <c r="B19" s="98" t="s">
        <v>47</v>
      </c>
      <c r="C19" s="1" t="s">
        <v>55</v>
      </c>
      <c r="I19" s="33"/>
      <c r="K19" s="32"/>
      <c r="Q19" s="33"/>
    </row>
    <row r="20" spans="2:17" ht="15.75" thickBot="1" x14ac:dyDescent="0.55000000000000004">
      <c r="B20" s="32"/>
      <c r="C20" s="24" t="s">
        <v>48</v>
      </c>
      <c r="I20" s="33"/>
      <c r="K20" s="97" t="s">
        <v>72</v>
      </c>
      <c r="L20" s="97" t="s">
        <v>42</v>
      </c>
      <c r="M20" s="50" t="s">
        <v>3</v>
      </c>
      <c r="N20" s="51" t="s">
        <v>4</v>
      </c>
      <c r="O20" s="17" t="s">
        <v>5</v>
      </c>
      <c r="P20" s="20" t="s">
        <v>6</v>
      </c>
      <c r="Q20" s="33"/>
    </row>
    <row r="21" spans="2:17" x14ac:dyDescent="0.35">
      <c r="B21" s="32"/>
      <c r="C21" s="24" t="s">
        <v>54</v>
      </c>
      <c r="I21" s="33"/>
      <c r="K21" s="126">
        <v>0.04</v>
      </c>
      <c r="L21" s="97">
        <v>40</v>
      </c>
      <c r="M21" s="96">
        <v>12.62</v>
      </c>
      <c r="N21" s="96">
        <v>12.37</v>
      </c>
      <c r="O21" s="96">
        <v>12.12</v>
      </c>
      <c r="P21" s="31">
        <v>123.12</v>
      </c>
      <c r="Q21" s="33"/>
    </row>
    <row r="22" spans="2:17" x14ac:dyDescent="0.35">
      <c r="B22" s="32"/>
      <c r="C22" s="24" t="s">
        <v>56</v>
      </c>
      <c r="I22" s="33"/>
      <c r="K22" s="127"/>
      <c r="L22" s="28">
        <v>60</v>
      </c>
      <c r="M22">
        <v>6.16</v>
      </c>
      <c r="N22">
        <v>5.9</v>
      </c>
      <c r="O22">
        <v>5.65</v>
      </c>
      <c r="P22" s="33">
        <v>31.59</v>
      </c>
      <c r="Q22" s="33"/>
    </row>
    <row r="23" spans="2:17" ht="13.15" thickBot="1" x14ac:dyDescent="0.4">
      <c r="B23" s="32"/>
      <c r="I23" s="33"/>
      <c r="K23" s="128"/>
      <c r="L23" s="29">
        <v>80</v>
      </c>
      <c r="M23" s="74">
        <v>2.2000000000000002</v>
      </c>
      <c r="N23" s="74">
        <v>1.92</v>
      </c>
      <c r="O23" s="74">
        <v>1.65</v>
      </c>
      <c r="P23" s="40">
        <v>4.59</v>
      </c>
      <c r="Q23" s="33"/>
    </row>
    <row r="24" spans="2:17" ht="13.15" x14ac:dyDescent="0.4">
      <c r="B24" s="98" t="s">
        <v>57</v>
      </c>
      <c r="C24" s="1" t="s">
        <v>55</v>
      </c>
      <c r="I24" s="33"/>
      <c r="K24" s="126">
        <v>0.06</v>
      </c>
      <c r="L24" s="97">
        <v>40</v>
      </c>
      <c r="M24" s="96">
        <v>10.78</v>
      </c>
      <c r="N24" s="96">
        <v>10.53</v>
      </c>
      <c r="O24" s="96">
        <v>10.28</v>
      </c>
      <c r="P24" s="31">
        <v>95.07</v>
      </c>
      <c r="Q24" s="33"/>
    </row>
    <row r="25" spans="2:17" ht="13.15" x14ac:dyDescent="0.4">
      <c r="B25" s="32"/>
      <c r="C25" s="24" t="s">
        <v>58</v>
      </c>
      <c r="I25" s="33"/>
      <c r="K25" s="127"/>
      <c r="L25" s="28">
        <v>60</v>
      </c>
      <c r="M25">
        <v>5.71</v>
      </c>
      <c r="N25">
        <v>5.45</v>
      </c>
      <c r="O25">
        <v>5.2</v>
      </c>
      <c r="P25" s="33">
        <v>27.76</v>
      </c>
      <c r="Q25" s="33"/>
    </row>
    <row r="26" spans="2:17" ht="13.15" thickBot="1" x14ac:dyDescent="0.4">
      <c r="B26" s="32"/>
      <c r="C26" s="24" t="s">
        <v>54</v>
      </c>
      <c r="I26" s="33"/>
      <c r="K26" s="128"/>
      <c r="L26" s="29">
        <v>80</v>
      </c>
      <c r="M26" s="74">
        <v>2.15</v>
      </c>
      <c r="N26" s="74">
        <v>1.87</v>
      </c>
      <c r="O26" s="74">
        <v>1.61</v>
      </c>
      <c r="P26" s="40">
        <v>4.42</v>
      </c>
      <c r="Q26" s="33"/>
    </row>
    <row r="27" spans="2:17" x14ac:dyDescent="0.35">
      <c r="B27" s="32"/>
      <c r="C27" s="24" t="s">
        <v>59</v>
      </c>
      <c r="I27" s="33"/>
      <c r="K27" s="32"/>
      <c r="Q27" s="33"/>
    </row>
    <row r="28" spans="2:17" x14ac:dyDescent="0.35">
      <c r="B28" s="32"/>
      <c r="C28" s="24" t="s">
        <v>60</v>
      </c>
      <c r="I28" s="33"/>
      <c r="K28" s="32"/>
      <c r="Q28" s="33"/>
    </row>
    <row r="29" spans="2:17" x14ac:dyDescent="0.35">
      <c r="B29" s="32"/>
      <c r="I29" s="33"/>
      <c r="K29" s="32"/>
      <c r="Q29" s="33"/>
    </row>
    <row r="30" spans="2:17" ht="13.5" thickBot="1" x14ac:dyDescent="0.45">
      <c r="B30" s="98" t="s">
        <v>61</v>
      </c>
      <c r="C30" s="1" t="s">
        <v>55</v>
      </c>
      <c r="I30" s="33"/>
      <c r="K30" s="39"/>
      <c r="L30" s="74"/>
      <c r="M30" s="74"/>
      <c r="N30" s="74"/>
      <c r="O30" s="74"/>
      <c r="P30" s="74"/>
      <c r="Q30" s="40"/>
    </row>
    <row r="31" spans="2:17" x14ac:dyDescent="0.35">
      <c r="B31" s="32"/>
      <c r="C31" s="24" t="s">
        <v>62</v>
      </c>
      <c r="I31" s="33"/>
    </row>
    <row r="32" spans="2:17" x14ac:dyDescent="0.35">
      <c r="B32" s="32"/>
      <c r="C32" s="24" t="s">
        <v>63</v>
      </c>
      <c r="I32" s="33"/>
    </row>
    <row r="33" spans="2:9" x14ac:dyDescent="0.35">
      <c r="B33" s="32"/>
      <c r="I33" s="33"/>
    </row>
    <row r="34" spans="2:9" x14ac:dyDescent="0.35">
      <c r="B34" s="32"/>
      <c r="C34" s="24" t="s">
        <v>64</v>
      </c>
      <c r="I34" s="33"/>
    </row>
    <row r="35" spans="2:9" x14ac:dyDescent="0.35">
      <c r="B35" s="32"/>
      <c r="C35" s="24" t="s">
        <v>65</v>
      </c>
      <c r="I35" s="33"/>
    </row>
    <row r="36" spans="2:9" x14ac:dyDescent="0.35">
      <c r="B36" s="32"/>
      <c r="I36" s="33"/>
    </row>
    <row r="37" spans="2:9" ht="13.15" x14ac:dyDescent="0.4">
      <c r="B37" s="98" t="s">
        <v>66</v>
      </c>
      <c r="C37" s="1" t="s">
        <v>55</v>
      </c>
      <c r="I37" s="33"/>
    </row>
    <row r="38" spans="2:9" x14ac:dyDescent="0.35">
      <c r="B38" s="98"/>
      <c r="C38" s="24" t="s">
        <v>67</v>
      </c>
      <c r="I38" s="33"/>
    </row>
    <row r="39" spans="2:9" x14ac:dyDescent="0.35">
      <c r="B39" s="32"/>
      <c r="C39" s="24" t="s">
        <v>68</v>
      </c>
      <c r="I39" s="33"/>
    </row>
    <row r="40" spans="2:9" ht="13.15" thickBot="1" x14ac:dyDescent="0.4">
      <c r="B40" s="39"/>
      <c r="C40" s="100" t="s">
        <v>69</v>
      </c>
      <c r="D40" s="74"/>
      <c r="E40" s="74"/>
      <c r="F40" s="74"/>
      <c r="G40" s="74"/>
      <c r="H40" s="74"/>
      <c r="I40" s="40"/>
    </row>
  </sheetData>
  <mergeCells count="2">
    <mergeCell ref="K21:K23"/>
    <mergeCell ref="K24:K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2885-679B-46F1-A23D-133183013B23}">
  <dimension ref="A2:B19"/>
  <sheetViews>
    <sheetView workbookViewId="0">
      <selection activeCell="A18" sqref="A18"/>
    </sheetView>
  </sheetViews>
  <sheetFormatPr defaultRowHeight="12.75" x14ac:dyDescent="0.35"/>
  <cols>
    <col min="1" max="1" width="37.3984375" customWidth="1"/>
  </cols>
  <sheetData>
    <row r="2" spans="1:2" ht="13.15" x14ac:dyDescent="0.4">
      <c r="A2" s="23" t="s">
        <v>22</v>
      </c>
    </row>
    <row r="4" spans="1:2" x14ac:dyDescent="0.35">
      <c r="A4" s="24" t="s">
        <v>23</v>
      </c>
    </row>
    <row r="5" spans="1:2" x14ac:dyDescent="0.35">
      <c r="A5" s="24" t="s">
        <v>24</v>
      </c>
    </row>
    <row r="6" spans="1:2" x14ac:dyDescent="0.35">
      <c r="A6" s="24" t="s">
        <v>25</v>
      </c>
    </row>
    <row r="7" spans="1:2" x14ac:dyDescent="0.35">
      <c r="A7" s="24" t="s">
        <v>26</v>
      </c>
    </row>
    <row r="8" spans="1:2" x14ac:dyDescent="0.35">
      <c r="A8" s="24" t="s">
        <v>27</v>
      </c>
    </row>
    <row r="9" spans="1:2" x14ac:dyDescent="0.35">
      <c r="A9" s="24"/>
    </row>
    <row r="10" spans="1:2" ht="13.15" thickBot="1" x14ac:dyDescent="0.4"/>
    <row r="11" spans="1:2" ht="14.25" x14ac:dyDescent="0.45">
      <c r="A11" s="30" t="s">
        <v>28</v>
      </c>
      <c r="B11" s="31"/>
    </row>
    <row r="12" spans="1:2" x14ac:dyDescent="0.35">
      <c r="A12" s="32"/>
      <c r="B12" s="33"/>
    </row>
    <row r="13" spans="1:2" ht="14.25" x14ac:dyDescent="0.45">
      <c r="A13" s="34" t="s">
        <v>29</v>
      </c>
      <c r="B13" s="33"/>
    </row>
    <row r="14" spans="1:2" ht="14.25" x14ac:dyDescent="0.45">
      <c r="A14" s="35" t="s">
        <v>30</v>
      </c>
      <c r="B14" s="33"/>
    </row>
    <row r="15" spans="1:2" ht="14.25" x14ac:dyDescent="0.45">
      <c r="A15" s="36" t="s">
        <v>31</v>
      </c>
      <c r="B15" s="33"/>
    </row>
    <row r="16" spans="1:2" ht="14.25" x14ac:dyDescent="0.45">
      <c r="A16" s="37" t="s">
        <v>32</v>
      </c>
      <c r="B16" s="33"/>
    </row>
    <row r="17" spans="1:2" ht="14.25" x14ac:dyDescent="0.45">
      <c r="A17" s="38" t="s">
        <v>33</v>
      </c>
      <c r="B17" s="33"/>
    </row>
    <row r="18" spans="1:2" x14ac:dyDescent="0.35">
      <c r="A18" s="119" t="s">
        <v>39</v>
      </c>
      <c r="B18" s="33"/>
    </row>
    <row r="19" spans="1:2" ht="13.15" thickBot="1" x14ac:dyDescent="0.4">
      <c r="A19" s="39"/>
      <c r="B19" s="4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DF57-AA83-4246-8C01-7CEA5A565027}">
  <sheetPr>
    <tabColor rgb="FF92D050"/>
  </sheetPr>
  <dimension ref="A1:W84"/>
  <sheetViews>
    <sheetView topLeftCell="A5" zoomScale="115" zoomScaleNormal="115" workbookViewId="0">
      <selection activeCell="H8" sqref="H8"/>
    </sheetView>
  </sheetViews>
  <sheetFormatPr defaultRowHeight="12.75" x14ac:dyDescent="0.35"/>
  <cols>
    <col min="1" max="1" width="37.3984375" style="4" customWidth="1"/>
    <col min="2" max="2" width="9.06640625" style="4"/>
    <col min="3" max="3" width="18.3984375" style="4" bestFit="1" customWidth="1"/>
    <col min="4" max="4" width="9.06640625" style="4"/>
    <col min="5" max="5" width="15.796875" style="4" customWidth="1"/>
    <col min="6" max="6" width="9.06640625" style="4"/>
    <col min="7" max="7" width="11.06640625" style="4" bestFit="1" customWidth="1"/>
    <col min="8" max="8" width="9.06640625" style="4"/>
    <col min="9" max="9" width="11.265625" style="4" bestFit="1" customWidth="1"/>
    <col min="10" max="10" width="16.6640625" style="4" customWidth="1"/>
    <col min="11" max="11" width="19.06640625" style="4" bestFit="1" customWidth="1"/>
    <col min="12" max="13" width="9.1328125" style="4" customWidth="1"/>
    <col min="14" max="15" width="12.46484375" style="4" customWidth="1"/>
    <col min="16" max="16" width="17.9296875" style="4" customWidth="1"/>
    <col min="17" max="20" width="9.1328125" style="4" customWidth="1"/>
  </cols>
  <sheetData>
    <row r="1" spans="1:23" s="2" customFormat="1" ht="17.649999999999999" x14ac:dyDescent="0.5">
      <c r="A1" s="80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3" s="2" customFormat="1" ht="17.649999999999999" x14ac:dyDescent="0.5">
      <c r="A2" s="8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3" s="2" customFormat="1" ht="18" thickBot="1" x14ac:dyDescent="0.55000000000000004">
      <c r="A3" s="8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3" s="2" customFormat="1" ht="18" thickBot="1" x14ac:dyDescent="0.55000000000000004">
      <c r="A4" s="58" t="s">
        <v>35</v>
      </c>
      <c r="B4" s="45"/>
      <c r="C4" s="45"/>
      <c r="D4" s="46"/>
      <c r="E4" s="6"/>
      <c r="F4" s="44" t="s">
        <v>39</v>
      </c>
      <c r="G4" s="45"/>
      <c r="H4" s="45"/>
      <c r="I4" s="45"/>
      <c r="J4" s="46"/>
      <c r="L4" s="95" t="s">
        <v>106</v>
      </c>
      <c r="M4" s="6"/>
      <c r="N4" s="6"/>
      <c r="O4" s="6"/>
      <c r="P4" s="6"/>
      <c r="Q4" s="6"/>
      <c r="R4" s="6"/>
      <c r="S4" s="6"/>
      <c r="T4" s="6"/>
    </row>
    <row r="5" spans="1:23" s="2" customFormat="1" ht="18" thickBot="1" x14ac:dyDescent="0.55000000000000004">
      <c r="A5" s="10" t="s">
        <v>10</v>
      </c>
      <c r="B5" s="88">
        <f>80</f>
        <v>80</v>
      </c>
      <c r="C5" s="11"/>
      <c r="D5" s="46"/>
      <c r="E5" s="6"/>
      <c r="F5" s="85" t="s">
        <v>0</v>
      </c>
      <c r="G5" s="56" t="s">
        <v>36</v>
      </c>
      <c r="H5" s="120">
        <f>SUM(D18:D22)</f>
        <v>4.0828814514888165</v>
      </c>
      <c r="I5" s="57" t="s">
        <v>37</v>
      </c>
      <c r="J5" s="46"/>
      <c r="L5" s="92"/>
      <c r="M5" s="6"/>
      <c r="N5" s="6"/>
      <c r="O5" s="6"/>
      <c r="P5" s="6"/>
      <c r="Q5" s="6"/>
      <c r="R5" s="6"/>
      <c r="S5" s="6"/>
      <c r="T5" s="6"/>
    </row>
    <row r="6" spans="1:23" s="2" customFormat="1" ht="18" thickBot="1" x14ac:dyDescent="0.55000000000000004">
      <c r="A6" s="81" t="s">
        <v>49</v>
      </c>
      <c r="B6" s="82">
        <v>12</v>
      </c>
      <c r="C6" s="4" t="s">
        <v>18</v>
      </c>
      <c r="D6" s="47"/>
      <c r="E6" s="6"/>
      <c r="F6" s="86" t="s">
        <v>21</v>
      </c>
      <c r="G6" s="123" t="s">
        <v>17</v>
      </c>
      <c r="H6" s="120">
        <f>$H$5-((StepsEachYear-1)/(2*StepsEachYear))*(1-E23/E18)</f>
        <v>3.8825326252600529</v>
      </c>
      <c r="I6" s="124" t="s">
        <v>50</v>
      </c>
      <c r="J6" s="83"/>
      <c r="L6" s="93"/>
      <c r="M6" s="6"/>
      <c r="N6" s="6"/>
      <c r="O6" s="6"/>
      <c r="P6" s="6"/>
      <c r="Q6" s="6"/>
      <c r="R6" s="6"/>
      <c r="S6" s="6"/>
      <c r="T6" s="6"/>
    </row>
    <row r="7" spans="1:23" s="2" customFormat="1" ht="18" thickBot="1" x14ac:dyDescent="0.55000000000000004">
      <c r="A7" s="13" t="s">
        <v>13</v>
      </c>
      <c r="B7" s="48">
        <f>1/StepsEachYear</f>
        <v>8.3333333333333329E-2</v>
      </c>
      <c r="C7" s="4" t="s">
        <v>18</v>
      </c>
      <c r="D7" s="83"/>
      <c r="F7" s="87" t="s">
        <v>53</v>
      </c>
      <c r="G7" s="55" t="s">
        <v>17</v>
      </c>
      <c r="H7" s="120">
        <f>SUM(N18:N77)*StepSize</f>
        <v>3.8801868074878563</v>
      </c>
      <c r="I7" s="125" t="s">
        <v>38</v>
      </c>
      <c r="J7" s="49"/>
      <c r="L7" s="93"/>
      <c r="M7" s="6"/>
      <c r="N7" s="6"/>
      <c r="O7" s="6"/>
      <c r="P7" s="6"/>
      <c r="Q7" s="6"/>
      <c r="R7" s="6"/>
      <c r="S7" s="6"/>
      <c r="T7" s="6"/>
    </row>
    <row r="8" spans="1:23" s="2" customFormat="1" ht="18" thickBot="1" x14ac:dyDescent="0.55000000000000004">
      <c r="A8" s="14" t="s">
        <v>16</v>
      </c>
      <c r="B8" s="41">
        <v>0.04</v>
      </c>
      <c r="C8" s="15"/>
      <c r="D8" s="49"/>
      <c r="E8" s="6"/>
      <c r="F8"/>
      <c r="G8"/>
      <c r="H8"/>
      <c r="I8"/>
      <c r="J8"/>
      <c r="L8" s="94"/>
      <c r="M8" s="6"/>
      <c r="N8" s="6"/>
      <c r="O8" s="6"/>
      <c r="P8" s="6"/>
      <c r="Q8" s="6"/>
      <c r="R8" s="6"/>
      <c r="S8" s="6"/>
      <c r="T8" s="6"/>
    </row>
    <row r="9" spans="1:23" s="2" customFormat="1" ht="17.649999999999999" x14ac:dyDescent="0.5">
      <c r="A9" s="5"/>
      <c r="B9" s="5"/>
      <c r="C9" s="6"/>
      <c r="D9" s="6"/>
      <c r="E9" s="6"/>
      <c r="F9" s="117" t="s">
        <v>104</v>
      </c>
      <c r="G9" s="6"/>
      <c r="H9" s="6"/>
      <c r="I9" s="6"/>
      <c r="J9" s="6"/>
      <c r="K9" s="6"/>
      <c r="L9" s="94"/>
      <c r="M9" s="6"/>
      <c r="N9" s="4"/>
      <c r="O9" s="6"/>
      <c r="P9" s="6"/>
      <c r="Q9" s="6"/>
    </row>
    <row r="10" spans="1:23" s="2" customFormat="1" ht="17.649999999999999" x14ac:dyDescent="0.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94"/>
      <c r="M10" s="6"/>
      <c r="N10" s="6"/>
      <c r="O10" s="6"/>
      <c r="P10" s="6"/>
      <c r="Q10" s="6"/>
    </row>
    <row r="11" spans="1:23" s="2" customFormat="1" ht="18" thickBot="1" x14ac:dyDescent="0.55000000000000004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23" s="1" customFormat="1" ht="17.25" x14ac:dyDescent="0.45">
      <c r="A12" s="58" t="s">
        <v>40</v>
      </c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0"/>
      <c r="M12" s="70"/>
      <c r="N12" s="70"/>
      <c r="O12" s="26"/>
      <c r="P12" s="5"/>
      <c r="Q12" s="5"/>
    </row>
    <row r="13" spans="1:23" s="3" customFormat="1" ht="15" x14ac:dyDescent="0.4">
      <c r="A13" s="72"/>
      <c r="B13" s="7"/>
      <c r="C13" s="7"/>
      <c r="D13" s="7"/>
      <c r="E13" s="7"/>
      <c r="F13" s="7"/>
      <c r="H13" s="7"/>
      <c r="I13" s="7"/>
      <c r="L13" s="7"/>
      <c r="M13" s="7"/>
      <c r="N13" s="7"/>
      <c r="O13" s="75"/>
      <c r="P13" s="7"/>
      <c r="Q13" s="7"/>
    </row>
    <row r="14" spans="1:23" x14ac:dyDescent="0.35">
      <c r="A14" s="13"/>
      <c r="G14" s="118" t="s">
        <v>105</v>
      </c>
      <c r="O14" s="21"/>
      <c r="R14"/>
      <c r="S14"/>
      <c r="T14"/>
    </row>
    <row r="15" spans="1:23" s="1" customFormat="1" ht="13.5" thickBot="1" x14ac:dyDescent="0.45">
      <c r="B15" s="5"/>
      <c r="C15" s="5"/>
      <c r="D15" s="5"/>
      <c r="E15" s="5"/>
      <c r="F15" s="5"/>
      <c r="H15" s="5"/>
      <c r="J15" s="5"/>
      <c r="O15" s="73"/>
      <c r="S15" s="5"/>
      <c r="T15" s="5"/>
      <c r="V15" s="5"/>
      <c r="W15" s="5"/>
    </row>
    <row r="16" spans="1:23" ht="13.5" thickBot="1" x14ac:dyDescent="0.45">
      <c r="A16" s="129" t="s">
        <v>41</v>
      </c>
      <c r="B16" s="130"/>
      <c r="C16" s="130"/>
      <c r="D16" s="131"/>
      <c r="E16" s="132" t="s">
        <v>51</v>
      </c>
      <c r="G16" s="129" t="s">
        <v>46</v>
      </c>
      <c r="H16" s="130"/>
      <c r="I16" s="130"/>
      <c r="J16" s="131"/>
      <c r="K16" s="129" t="s">
        <v>52</v>
      </c>
      <c r="L16" s="130"/>
      <c r="M16" s="130"/>
      <c r="N16" s="131"/>
      <c r="O16" s="21"/>
      <c r="R16"/>
      <c r="S16"/>
      <c r="T16"/>
    </row>
    <row r="17" spans="1:22" ht="27" thickBot="1" x14ac:dyDescent="0.55000000000000004">
      <c r="A17" s="52" t="s">
        <v>7</v>
      </c>
      <c r="B17" s="51" t="s">
        <v>15</v>
      </c>
      <c r="C17" s="19" t="s">
        <v>1</v>
      </c>
      <c r="D17" s="20" t="s">
        <v>2</v>
      </c>
      <c r="E17" s="133"/>
      <c r="G17" s="16" t="s">
        <v>12</v>
      </c>
      <c r="H17" s="20" t="s">
        <v>7</v>
      </c>
      <c r="I17" s="17" t="s">
        <v>8</v>
      </c>
      <c r="J17" s="17" t="s">
        <v>11</v>
      </c>
      <c r="K17" s="78" t="s">
        <v>14</v>
      </c>
      <c r="L17" s="18" t="s">
        <v>15</v>
      </c>
      <c r="M17" s="19" t="s">
        <v>1</v>
      </c>
      <c r="N17" s="20" t="s">
        <v>2</v>
      </c>
      <c r="O17" s="21"/>
      <c r="Q17" s="9"/>
      <c r="S17"/>
      <c r="T17"/>
      <c r="U17" s="4"/>
    </row>
    <row r="18" spans="1:22" ht="13.15" thickBot="1" x14ac:dyDescent="0.4">
      <c r="A18" s="53">
        <f>InitialAge</f>
        <v>80</v>
      </c>
      <c r="B18" s="66">
        <f>VLOOKUP(A18,Instructions!$C$9:$D$15,2)</f>
        <v>55607</v>
      </c>
      <c r="C18" s="11">
        <f>B18/$B$18</f>
        <v>1</v>
      </c>
      <c r="D18" s="67">
        <f>(1+IntRate)^(-(A18-InitialAge)) * C18</f>
        <v>1</v>
      </c>
      <c r="E18" s="84">
        <f>(1+IntRate)^(-(A18-InitialAge))*B18</f>
        <v>55607</v>
      </c>
      <c r="G18" s="10">
        <v>0</v>
      </c>
      <c r="H18" s="89">
        <f t="shared" ref="H18:H49" si="0">InitialAge+G18*StepSize</f>
        <v>80</v>
      </c>
      <c r="I18" s="68">
        <f>VLOOKUP(INT(H18),Instructions!$C$9:$D$15,2)</f>
        <v>55607</v>
      </c>
      <c r="J18" s="68">
        <f>VLOOKUP(INT(H18)+1,Instructions!$C$9:$D$15,2)</f>
        <v>52293</v>
      </c>
      <c r="K18" s="79">
        <f>H18-INT(H18)</f>
        <v>0</v>
      </c>
      <c r="L18" s="69">
        <f>K18*J18 +(1-K18)*I18</f>
        <v>55607</v>
      </c>
      <c r="M18" s="11">
        <f>L18/$L$18</f>
        <v>1</v>
      </c>
      <c r="N18" s="67">
        <f>(1+IntRate)^(-(H18-InitialAge))*M18</f>
        <v>1</v>
      </c>
      <c r="O18" s="21"/>
      <c r="S18" s="43"/>
      <c r="T18"/>
      <c r="U18" s="4"/>
      <c r="V18" s="43"/>
    </row>
    <row r="19" spans="1:22" ht="13.15" thickBot="1" x14ac:dyDescent="0.4">
      <c r="A19" s="53">
        <f>A18+1</f>
        <v>81</v>
      </c>
      <c r="B19" s="66">
        <f>VLOOKUP(A19,Instructions!$C$9:$D$15,2)</f>
        <v>52293</v>
      </c>
      <c r="C19" s="11">
        <f t="shared" ref="C19:C23" si="1">B19/$B$18</f>
        <v>0.94040318664916289</v>
      </c>
      <c r="D19" s="67">
        <f>(1+IntRate)^(-(A19-InitialAge)) * C19</f>
        <v>0.90423383331650276</v>
      </c>
      <c r="E19" s="84">
        <f>(1+IntRate)^(-(A19-InitialAge))*B19</f>
        <v>50281.730769230766</v>
      </c>
      <c r="G19" s="13">
        <f t="shared" ref="G19:G50" si="2">G18+1</f>
        <v>1</v>
      </c>
      <c r="H19" s="90">
        <f t="shared" si="0"/>
        <v>80.083333333333329</v>
      </c>
      <c r="I19" s="68">
        <f>VLOOKUP(INT(H19),Instructions!$C$9:$D$15,2)</f>
        <v>55607</v>
      </c>
      <c r="J19" s="68">
        <f>VLOOKUP(INT(H19)+1,Instructions!$C$9:$D$15,2)</f>
        <v>52293</v>
      </c>
      <c r="K19" s="79">
        <f t="shared" ref="K19:K78" si="3">H19-INT(H19)</f>
        <v>8.3333333333328596E-2</v>
      </c>
      <c r="L19" s="69">
        <f t="shared" ref="L19:L78" si="4">K19*J19 +(1-K19)*I19</f>
        <v>55330.83333333335</v>
      </c>
      <c r="M19" s="11">
        <f t="shared" ref="M19:M78" si="5">L19/$L$18</f>
        <v>0.99503359888743059</v>
      </c>
      <c r="N19" s="67">
        <f>(1+IntRate)^(-(H19-InitialAge))*M19</f>
        <v>0.99178674715780268</v>
      </c>
      <c r="O19" s="21"/>
      <c r="S19" s="43"/>
      <c r="T19"/>
      <c r="U19" s="4"/>
      <c r="V19" s="43"/>
    </row>
    <row r="20" spans="1:22" ht="13.15" thickBot="1" x14ac:dyDescent="0.4">
      <c r="A20" s="53">
        <f>A19+1</f>
        <v>82</v>
      </c>
      <c r="B20" s="66">
        <f>VLOOKUP(A20,Instructions!$C$9:$D$15,2)</f>
        <v>48858</v>
      </c>
      <c r="C20" s="11">
        <f t="shared" si="1"/>
        <v>0.8786303882604708</v>
      </c>
      <c r="D20" s="67">
        <f>(1+IntRate)^(-(A20-InitialAge)) * C20</f>
        <v>0.81234318441241748</v>
      </c>
      <c r="E20" s="84">
        <f>(1+IntRate)^(-(A20-InitialAge))*B20</f>
        <v>45171.967455621299</v>
      </c>
      <c r="G20" s="13">
        <f t="shared" si="2"/>
        <v>2</v>
      </c>
      <c r="H20" s="90">
        <f t="shared" si="0"/>
        <v>80.166666666666671</v>
      </c>
      <c r="I20" s="68">
        <f>VLOOKUP(INT(H20),Instructions!$C$9:$D$15,2)</f>
        <v>55607</v>
      </c>
      <c r="J20" s="68">
        <f>VLOOKUP(INT(H20)+1,Instructions!$C$9:$D$15,2)</f>
        <v>52293</v>
      </c>
      <c r="K20" s="79">
        <f t="shared" si="3"/>
        <v>0.1666666666666714</v>
      </c>
      <c r="L20" s="69">
        <f t="shared" si="4"/>
        <v>55054.66666666665</v>
      </c>
      <c r="M20" s="11">
        <f t="shared" si="5"/>
        <v>0.99006719777486019</v>
      </c>
      <c r="N20" s="67">
        <f>(1+IntRate)^(-(H20-InitialAge))*M20</f>
        <v>0.98361644740275389</v>
      </c>
      <c r="O20" s="21"/>
      <c r="S20" s="43"/>
      <c r="T20"/>
      <c r="U20" s="4"/>
      <c r="V20" s="43"/>
    </row>
    <row r="21" spans="1:22" ht="13.15" thickBot="1" x14ac:dyDescent="0.4">
      <c r="A21" s="53">
        <f>A20+1</f>
        <v>83</v>
      </c>
      <c r="B21" s="66">
        <f>VLOOKUP(A21,Instructions!$C$9:$D$15,2)</f>
        <v>45332</v>
      </c>
      <c r="C21" s="11">
        <f t="shared" si="1"/>
        <v>0.81522110525653246</v>
      </c>
      <c r="D21" s="67">
        <f>(1+IntRate)^(-(A21-InitialAge)) * C21</f>
        <v>0.724728594084736</v>
      </c>
      <c r="E21" s="84">
        <f>(1+IntRate)^(-(A21-InitialAge))*B21</f>
        <v>40299.982931269915</v>
      </c>
      <c r="G21" s="13">
        <f t="shared" si="2"/>
        <v>3</v>
      </c>
      <c r="H21" s="90">
        <f t="shared" si="0"/>
        <v>80.25</v>
      </c>
      <c r="I21" s="68">
        <f>VLOOKUP(INT(H21),Instructions!$C$9:$D$15,2)</f>
        <v>55607</v>
      </c>
      <c r="J21" s="68">
        <f>VLOOKUP(INT(H21)+1,Instructions!$C$9:$D$15,2)</f>
        <v>52293</v>
      </c>
      <c r="K21" s="79">
        <f t="shared" si="3"/>
        <v>0.25</v>
      </c>
      <c r="L21" s="69">
        <f t="shared" si="4"/>
        <v>54778.5</v>
      </c>
      <c r="M21" s="11">
        <f t="shared" si="5"/>
        <v>0.98510079666229067</v>
      </c>
      <c r="N21" s="67">
        <f>(1+IntRate)^(-(H21-InitialAge))*M21</f>
        <v>0.97548890786904729</v>
      </c>
      <c r="O21" s="21"/>
      <c r="S21" s="43"/>
      <c r="T21"/>
      <c r="U21" s="4"/>
      <c r="V21" s="43"/>
    </row>
    <row r="22" spans="1:22" ht="13.15" thickBot="1" x14ac:dyDescent="0.4">
      <c r="A22" s="53">
        <f>A21+1</f>
        <v>84</v>
      </c>
      <c r="B22" s="66">
        <f>VLOOKUP(A22,Instructions!$C$9:$D$15,2)</f>
        <v>41736</v>
      </c>
      <c r="C22" s="11">
        <f t="shared" si="1"/>
        <v>0.75055298793317393</v>
      </c>
      <c r="D22" s="67">
        <f>(1+IntRate)^(-(A22-InitialAge)) * C22</f>
        <v>0.64157583967516019</v>
      </c>
      <c r="E22" s="84">
        <f>(1+IntRate)^(-(A22-InitialAge))*B22</f>
        <v>35676.10771681663</v>
      </c>
      <c r="G22" s="13">
        <f t="shared" si="2"/>
        <v>4</v>
      </c>
      <c r="H22" s="90">
        <f t="shared" si="0"/>
        <v>80.333333333333329</v>
      </c>
      <c r="I22" s="68">
        <f>VLOOKUP(INT(H22),Instructions!$C$9:$D$15,2)</f>
        <v>55607</v>
      </c>
      <c r="J22" s="68">
        <f>VLOOKUP(INT(H22)+1,Instructions!$C$9:$D$15,2)</f>
        <v>52293</v>
      </c>
      <c r="K22" s="79">
        <f t="shared" si="3"/>
        <v>0.3333333333333286</v>
      </c>
      <c r="L22" s="69">
        <f t="shared" si="4"/>
        <v>54502.33333333335</v>
      </c>
      <c r="M22" s="11">
        <f t="shared" si="5"/>
        <v>0.98013439554972126</v>
      </c>
      <c r="N22" s="67">
        <f>(1+IntRate)^(-(H22-InitialAge))*M22</f>
        <v>0.96740393649219159</v>
      </c>
      <c r="O22" s="21"/>
      <c r="S22" s="43"/>
      <c r="T22"/>
      <c r="U22" s="4"/>
      <c r="V22" s="43"/>
    </row>
    <row r="23" spans="1:22" ht="13.15" thickBot="1" x14ac:dyDescent="0.4">
      <c r="A23" s="54">
        <f>A22+1</f>
        <v>85</v>
      </c>
      <c r="B23" s="66">
        <f>VLOOKUP(A23,Instructions!$C$9:$D$15,2)</f>
        <v>38081</v>
      </c>
      <c r="C23" s="11">
        <f t="shared" si="1"/>
        <v>0.68482385311201832</v>
      </c>
      <c r="D23" s="67">
        <f>(1+IntRate)^(-(A23-InitialAge)) * C23</f>
        <v>0.56287528822815236</v>
      </c>
      <c r="E23" s="84">
        <f>(1+IntRate)^(-(A23-InitialAge))*B23</f>
        <v>31299.806152502868</v>
      </c>
      <c r="G23" s="13">
        <f t="shared" si="2"/>
        <v>5</v>
      </c>
      <c r="H23" s="90">
        <f t="shared" si="0"/>
        <v>80.416666666666671</v>
      </c>
      <c r="I23" s="68">
        <f>VLOOKUP(INT(H23),Instructions!$C$9:$D$15,2)</f>
        <v>55607</v>
      </c>
      <c r="J23" s="68">
        <f>VLOOKUP(INT(H23)+1,Instructions!$C$9:$D$15,2)</f>
        <v>52293</v>
      </c>
      <c r="K23" s="79">
        <f t="shared" si="3"/>
        <v>0.4166666666666714</v>
      </c>
      <c r="L23" s="69">
        <f t="shared" si="4"/>
        <v>54226.16666666665</v>
      </c>
      <c r="M23" s="11">
        <f t="shared" si="5"/>
        <v>0.97516799443715085</v>
      </c>
      <c r="N23" s="67">
        <f>(1+IntRate)^(-(H23-InitialAge))*M23</f>
        <v>0.95936134200583878</v>
      </c>
      <c r="O23" s="21"/>
      <c r="S23" s="43"/>
      <c r="T23"/>
      <c r="U23" s="4"/>
      <c r="V23" s="43"/>
    </row>
    <row r="24" spans="1:22" ht="13.15" thickBot="1" x14ac:dyDescent="0.4">
      <c r="A24" s="13"/>
      <c r="G24" s="13">
        <f t="shared" si="2"/>
        <v>6</v>
      </c>
      <c r="H24" s="90">
        <f t="shared" si="0"/>
        <v>80.5</v>
      </c>
      <c r="I24" s="68">
        <f>VLOOKUP(INT(H24),Instructions!$C$9:$D$15,2)</f>
        <v>55607</v>
      </c>
      <c r="J24" s="68">
        <f>VLOOKUP(INT(H24)+1,Instructions!$C$9:$D$15,2)</f>
        <v>52293</v>
      </c>
      <c r="K24" s="79">
        <f t="shared" si="3"/>
        <v>0.5</v>
      </c>
      <c r="L24" s="69">
        <f t="shared" si="4"/>
        <v>53950</v>
      </c>
      <c r="M24" s="11">
        <f t="shared" si="5"/>
        <v>0.97020159332458145</v>
      </c>
      <c r="N24" s="67">
        <f>(1+IntRate)^(-(H24-InitialAge))*M24</f>
        <v>0.95136093393862531</v>
      </c>
      <c r="O24" s="21"/>
      <c r="S24" s="43"/>
      <c r="T24"/>
      <c r="U24" s="4"/>
      <c r="V24" s="43"/>
    </row>
    <row r="25" spans="1:22" ht="13.15" thickBot="1" x14ac:dyDescent="0.4">
      <c r="A25" s="13"/>
      <c r="G25" s="13">
        <f t="shared" si="2"/>
        <v>7</v>
      </c>
      <c r="H25" s="90">
        <f t="shared" si="0"/>
        <v>80.583333333333329</v>
      </c>
      <c r="I25" s="68">
        <f>VLOOKUP(INT(H25),Instructions!$C$9:$D$15,2)</f>
        <v>55607</v>
      </c>
      <c r="J25" s="68">
        <f>VLOOKUP(INT(H25)+1,Instructions!$C$9:$D$15,2)</f>
        <v>52293</v>
      </c>
      <c r="K25" s="79">
        <f t="shared" si="3"/>
        <v>0.5833333333333286</v>
      </c>
      <c r="L25" s="69">
        <f t="shared" si="4"/>
        <v>53673.83333333335</v>
      </c>
      <c r="M25" s="11">
        <f t="shared" si="5"/>
        <v>0.96523519221201193</v>
      </c>
      <c r="N25" s="67">
        <f>(1+IntRate)^(-(H25-InitialAge))*M25</f>
        <v>0.94340252261101143</v>
      </c>
      <c r="O25" s="21"/>
      <c r="S25" s="43"/>
      <c r="T25"/>
      <c r="U25" s="4"/>
      <c r="V25" s="43"/>
    </row>
    <row r="26" spans="1:22" ht="13.15" thickBot="1" x14ac:dyDescent="0.4">
      <c r="A26" s="13"/>
      <c r="G26" s="13">
        <f t="shared" si="2"/>
        <v>8</v>
      </c>
      <c r="H26" s="90">
        <f t="shared" si="0"/>
        <v>80.666666666666671</v>
      </c>
      <c r="I26" s="68">
        <f>VLOOKUP(INT(H26),Instructions!$C$9:$D$15,2)</f>
        <v>55607</v>
      </c>
      <c r="J26" s="68">
        <f>VLOOKUP(INT(H26)+1,Instructions!$C$9:$D$15,2)</f>
        <v>52293</v>
      </c>
      <c r="K26" s="79">
        <f t="shared" si="3"/>
        <v>0.6666666666666714</v>
      </c>
      <c r="L26" s="69">
        <f t="shared" si="4"/>
        <v>53397.66666666665</v>
      </c>
      <c r="M26" s="11">
        <f t="shared" si="5"/>
        <v>0.96026879109944163</v>
      </c>
      <c r="N26" s="67">
        <f>(1+IntRate)^(-(H26-InitialAge))*M26</f>
        <v>0.93548591913214663</v>
      </c>
      <c r="O26" s="21"/>
      <c r="S26" s="43"/>
      <c r="T26"/>
      <c r="U26" s="4"/>
      <c r="V26" s="43"/>
    </row>
    <row r="27" spans="1:22" ht="13.15" thickBot="1" x14ac:dyDescent="0.4">
      <c r="A27" s="13"/>
      <c r="G27" s="13">
        <f t="shared" si="2"/>
        <v>9</v>
      </c>
      <c r="H27" s="90">
        <f t="shared" si="0"/>
        <v>80.75</v>
      </c>
      <c r="I27" s="68">
        <f>VLOOKUP(INT(H27),Instructions!$C$9:$D$15,2)</f>
        <v>55607</v>
      </c>
      <c r="J27" s="68">
        <f>VLOOKUP(INT(H27)+1,Instructions!$C$9:$D$15,2)</f>
        <v>52293</v>
      </c>
      <c r="K27" s="79">
        <f t="shared" si="3"/>
        <v>0.75</v>
      </c>
      <c r="L27" s="69">
        <f t="shared" si="4"/>
        <v>53121.5</v>
      </c>
      <c r="M27" s="11">
        <f t="shared" si="5"/>
        <v>0.95530238998687211</v>
      </c>
      <c r="N27" s="67">
        <f>(1+IntRate)^(-(H27-InitialAge))*M27</f>
        <v>0.92761093539674466</v>
      </c>
      <c r="O27" s="21"/>
      <c r="S27" s="43"/>
      <c r="T27"/>
      <c r="U27" s="4"/>
      <c r="V27" s="43"/>
    </row>
    <row r="28" spans="1:22" ht="13.15" thickBot="1" x14ac:dyDescent="0.4">
      <c r="A28" s="13"/>
      <c r="G28" s="13">
        <f t="shared" si="2"/>
        <v>10</v>
      </c>
      <c r="H28" s="90">
        <f t="shared" si="0"/>
        <v>80.833333333333329</v>
      </c>
      <c r="I28" s="68">
        <f>VLOOKUP(INT(H28),Instructions!$C$9:$D$15,2)</f>
        <v>55607</v>
      </c>
      <c r="J28" s="68">
        <f>VLOOKUP(INT(H28)+1,Instructions!$C$9:$D$15,2)</f>
        <v>52293</v>
      </c>
      <c r="K28" s="79">
        <f t="shared" si="3"/>
        <v>0.8333333333333286</v>
      </c>
      <c r="L28" s="69">
        <f t="shared" si="4"/>
        <v>52845.33333333335</v>
      </c>
      <c r="M28" s="11">
        <f t="shared" si="5"/>
        <v>0.95033598887430271</v>
      </c>
      <c r="N28" s="67">
        <f>(1+IntRate)^(-(H28-InitialAge))*M28</f>
        <v>0.91977738408196186</v>
      </c>
      <c r="O28" s="21"/>
      <c r="S28" s="43"/>
      <c r="T28"/>
      <c r="U28" s="4"/>
      <c r="V28" s="43"/>
    </row>
    <row r="29" spans="1:22" ht="13.15" thickBot="1" x14ac:dyDescent="0.4">
      <c r="A29" s="13"/>
      <c r="G29" s="13">
        <f t="shared" si="2"/>
        <v>11</v>
      </c>
      <c r="H29" s="90">
        <f t="shared" si="0"/>
        <v>80.916666666666671</v>
      </c>
      <c r="I29" s="68">
        <f>VLOOKUP(INT(H29),Instructions!$C$9:$D$15,2)</f>
        <v>55607</v>
      </c>
      <c r="J29" s="68">
        <f>VLOOKUP(INT(H29)+1,Instructions!$C$9:$D$15,2)</f>
        <v>52293</v>
      </c>
      <c r="K29" s="79">
        <f t="shared" si="3"/>
        <v>0.9166666666666714</v>
      </c>
      <c r="L29" s="69">
        <f t="shared" si="4"/>
        <v>52569.16666666665</v>
      </c>
      <c r="M29" s="11">
        <f t="shared" si="5"/>
        <v>0.9453695877617323</v>
      </c>
      <c r="N29" s="67">
        <f>(1+IntRate)^(-(H29-InitialAge))*M29</f>
        <v>0.9119850786442969</v>
      </c>
      <c r="O29" s="21"/>
      <c r="S29" s="43"/>
      <c r="T29"/>
      <c r="U29" s="4"/>
      <c r="V29" s="43"/>
    </row>
    <row r="30" spans="1:22" ht="13.15" thickBot="1" x14ac:dyDescent="0.4">
      <c r="A30" s="13"/>
      <c r="G30" s="13">
        <f t="shared" si="2"/>
        <v>12</v>
      </c>
      <c r="H30" s="90">
        <f t="shared" si="0"/>
        <v>81</v>
      </c>
      <c r="I30" s="68">
        <f>VLOOKUP(INT(H30),Instructions!$C$9:$D$15,2)</f>
        <v>52293</v>
      </c>
      <c r="J30" s="68">
        <f>VLOOKUP(INT(H30)+1,Instructions!$C$9:$D$15,2)</f>
        <v>48858</v>
      </c>
      <c r="K30" s="79">
        <f t="shared" si="3"/>
        <v>0</v>
      </c>
      <c r="L30" s="69">
        <f t="shared" si="4"/>
        <v>52293</v>
      </c>
      <c r="M30" s="11">
        <f t="shared" si="5"/>
        <v>0.94040318664916289</v>
      </c>
      <c r="N30" s="67">
        <f>(1+IntRate)^(-(H30-InitialAge))*M30</f>
        <v>0.90423383331650276</v>
      </c>
      <c r="O30" s="21"/>
      <c r="S30" s="43"/>
      <c r="T30"/>
      <c r="U30" s="4"/>
      <c r="V30" s="43"/>
    </row>
    <row r="31" spans="1:22" ht="13.15" thickBot="1" x14ac:dyDescent="0.4">
      <c r="A31" s="13"/>
      <c r="G31" s="13">
        <f t="shared" si="2"/>
        <v>13</v>
      </c>
      <c r="H31" s="90">
        <f t="shared" si="0"/>
        <v>81.083333333333329</v>
      </c>
      <c r="I31" s="68">
        <f>VLOOKUP(INT(H31),Instructions!$C$9:$D$15,2)</f>
        <v>52293</v>
      </c>
      <c r="J31" s="68">
        <f>VLOOKUP(INT(H31)+1,Instructions!$C$9:$D$15,2)</f>
        <v>48858</v>
      </c>
      <c r="K31" s="79">
        <f t="shared" si="3"/>
        <v>8.3333333333328596E-2</v>
      </c>
      <c r="L31" s="69">
        <f t="shared" si="4"/>
        <v>52006.750000000015</v>
      </c>
      <c r="M31" s="11">
        <f t="shared" si="5"/>
        <v>0.93525545345010541</v>
      </c>
      <c r="N31" s="67">
        <f>(1+IntRate)^(-(H31-InitialAge))*M31</f>
        <v>0.89634967426845702</v>
      </c>
      <c r="O31" s="21"/>
      <c r="S31" s="43"/>
      <c r="T31"/>
      <c r="U31" s="4"/>
      <c r="V31" s="43"/>
    </row>
    <row r="32" spans="1:22" ht="13.15" thickBot="1" x14ac:dyDescent="0.4">
      <c r="A32" s="13"/>
      <c r="G32" s="13">
        <f t="shared" si="2"/>
        <v>14</v>
      </c>
      <c r="H32" s="90">
        <f t="shared" si="0"/>
        <v>81.166666666666671</v>
      </c>
      <c r="I32" s="68">
        <f>VLOOKUP(INT(H32),Instructions!$C$9:$D$15,2)</f>
        <v>52293</v>
      </c>
      <c r="J32" s="68">
        <f>VLOOKUP(INT(H32)+1,Instructions!$C$9:$D$15,2)</f>
        <v>48858</v>
      </c>
      <c r="K32" s="79">
        <f t="shared" si="3"/>
        <v>0.1666666666666714</v>
      </c>
      <c r="L32" s="69">
        <f t="shared" si="4"/>
        <v>51720.499999999985</v>
      </c>
      <c r="M32" s="11">
        <f t="shared" si="5"/>
        <v>0.93010772025104727</v>
      </c>
      <c r="N32" s="67">
        <f>(1+IntRate)^(-(H32-InitialAge))*M32</f>
        <v>0.88850734027811518</v>
      </c>
      <c r="O32" s="21"/>
      <c r="S32" s="43"/>
      <c r="T32"/>
      <c r="U32" s="4"/>
      <c r="V32" s="43"/>
    </row>
    <row r="33" spans="1:22" ht="13.15" thickBot="1" x14ac:dyDescent="0.4">
      <c r="A33" s="13"/>
      <c r="G33" s="13">
        <f t="shared" si="2"/>
        <v>15</v>
      </c>
      <c r="H33" s="90">
        <f t="shared" si="0"/>
        <v>81.25</v>
      </c>
      <c r="I33" s="68">
        <f>VLOOKUP(INT(H33),Instructions!$C$9:$D$15,2)</f>
        <v>52293</v>
      </c>
      <c r="J33" s="68">
        <f>VLOOKUP(INT(H33)+1,Instructions!$C$9:$D$15,2)</f>
        <v>48858</v>
      </c>
      <c r="K33" s="79">
        <f t="shared" si="3"/>
        <v>0.25</v>
      </c>
      <c r="L33" s="69">
        <f t="shared" si="4"/>
        <v>51434.25</v>
      </c>
      <c r="M33" s="11">
        <f t="shared" si="5"/>
        <v>0.9249599870519899</v>
      </c>
      <c r="N33" s="67">
        <f>(1+IntRate)^(-(H33-InitialAge))*M33</f>
        <v>0.88070664233727913</v>
      </c>
      <c r="O33" s="21"/>
      <c r="S33" s="43"/>
      <c r="T33"/>
      <c r="U33" s="4"/>
      <c r="V33" s="43"/>
    </row>
    <row r="34" spans="1:22" ht="13.15" thickBot="1" x14ac:dyDescent="0.4">
      <c r="A34" s="13"/>
      <c r="G34" s="13">
        <f t="shared" si="2"/>
        <v>16</v>
      </c>
      <c r="H34" s="90">
        <f t="shared" si="0"/>
        <v>81.333333333333329</v>
      </c>
      <c r="I34" s="68">
        <f>VLOOKUP(INT(H34),Instructions!$C$9:$D$15,2)</f>
        <v>52293</v>
      </c>
      <c r="J34" s="68">
        <f>VLOOKUP(INT(H34)+1,Instructions!$C$9:$D$15,2)</f>
        <v>48858</v>
      </c>
      <c r="K34" s="79">
        <f t="shared" si="3"/>
        <v>0.3333333333333286</v>
      </c>
      <c r="L34" s="69">
        <f t="shared" si="4"/>
        <v>51148.000000000015</v>
      </c>
      <c r="M34" s="11">
        <f t="shared" si="5"/>
        <v>0.91981225385293242</v>
      </c>
      <c r="N34" s="67">
        <f>(1+IntRate)^(-(H34-InitialAge))*M34</f>
        <v>0.87294739222590234</v>
      </c>
      <c r="O34" s="21"/>
      <c r="S34" s="43"/>
      <c r="T34"/>
      <c r="U34" s="4"/>
      <c r="V34" s="43"/>
    </row>
    <row r="35" spans="1:22" ht="13.15" thickBot="1" x14ac:dyDescent="0.4">
      <c r="A35" s="13"/>
      <c r="G35" s="13">
        <f t="shared" si="2"/>
        <v>17</v>
      </c>
      <c r="H35" s="90">
        <f t="shared" si="0"/>
        <v>81.416666666666671</v>
      </c>
      <c r="I35" s="68">
        <f>VLOOKUP(INT(H35),Instructions!$C$9:$D$15,2)</f>
        <v>52293</v>
      </c>
      <c r="J35" s="68">
        <f>VLOOKUP(INT(H35)+1,Instructions!$C$9:$D$15,2)</f>
        <v>48858</v>
      </c>
      <c r="K35" s="79">
        <f t="shared" si="3"/>
        <v>0.4166666666666714</v>
      </c>
      <c r="L35" s="69">
        <f t="shared" si="4"/>
        <v>50861.749999999985</v>
      </c>
      <c r="M35" s="11">
        <f t="shared" si="5"/>
        <v>0.91466452065387427</v>
      </c>
      <c r="N35" s="67">
        <f>(1+IntRate)^(-(H35-InitialAge))*M35</f>
        <v>0.8652294025089623</v>
      </c>
      <c r="O35" s="21"/>
      <c r="S35" s="43"/>
      <c r="T35"/>
      <c r="U35" s="4"/>
      <c r="V35" s="43"/>
    </row>
    <row r="36" spans="1:22" ht="13.15" thickBot="1" x14ac:dyDescent="0.4">
      <c r="A36" s="13"/>
      <c r="G36" s="13">
        <f t="shared" si="2"/>
        <v>18</v>
      </c>
      <c r="H36" s="90">
        <f t="shared" si="0"/>
        <v>81.5</v>
      </c>
      <c r="I36" s="68">
        <f>VLOOKUP(INT(H36),Instructions!$C$9:$D$15,2)</f>
        <v>52293</v>
      </c>
      <c r="J36" s="68">
        <f>VLOOKUP(INT(H36)+1,Instructions!$C$9:$D$15,2)</f>
        <v>48858</v>
      </c>
      <c r="K36" s="79">
        <f t="shared" si="3"/>
        <v>0.5</v>
      </c>
      <c r="L36" s="69">
        <f t="shared" si="4"/>
        <v>50575.5</v>
      </c>
      <c r="M36" s="11">
        <f t="shared" si="5"/>
        <v>0.90951678745481679</v>
      </c>
      <c r="N36" s="67">
        <f>(1+IntRate)^(-(H36-InitialAge))*M36</f>
        <v>0.85755248653334537</v>
      </c>
      <c r="O36" s="21"/>
      <c r="S36" s="43"/>
      <c r="T36"/>
      <c r="U36" s="4"/>
      <c r="V36" s="43"/>
    </row>
    <row r="37" spans="1:22" ht="13.15" thickBot="1" x14ac:dyDescent="0.4">
      <c r="A37" s="13"/>
      <c r="G37" s="13">
        <f t="shared" si="2"/>
        <v>19</v>
      </c>
      <c r="H37" s="90">
        <f t="shared" si="0"/>
        <v>81.583333333333329</v>
      </c>
      <c r="I37" s="68">
        <f>VLOOKUP(INT(H37),Instructions!$C$9:$D$15,2)</f>
        <v>52293</v>
      </c>
      <c r="J37" s="68">
        <f>VLOOKUP(INT(H37)+1,Instructions!$C$9:$D$15,2)</f>
        <v>48858</v>
      </c>
      <c r="K37" s="79">
        <f t="shared" si="3"/>
        <v>0.5833333333333286</v>
      </c>
      <c r="L37" s="69">
        <f t="shared" si="4"/>
        <v>50289.250000000015</v>
      </c>
      <c r="M37" s="11">
        <f t="shared" si="5"/>
        <v>0.90436905425575942</v>
      </c>
      <c r="N37" s="67">
        <f>(1+IntRate)^(-(H37-InitialAge))*M37</f>
        <v>0.84991645842473151</v>
      </c>
      <c r="O37" s="21"/>
      <c r="S37" s="43"/>
      <c r="T37"/>
      <c r="U37" s="4"/>
      <c r="V37" s="43"/>
    </row>
    <row r="38" spans="1:22" ht="13.15" thickBot="1" x14ac:dyDescent="0.4">
      <c r="A38" s="13"/>
      <c r="G38" s="13">
        <f t="shared" si="2"/>
        <v>20</v>
      </c>
      <c r="H38" s="90">
        <f t="shared" si="0"/>
        <v>81.666666666666671</v>
      </c>
      <c r="I38" s="68">
        <f>VLOOKUP(INT(H38),Instructions!$C$9:$D$15,2)</f>
        <v>52293</v>
      </c>
      <c r="J38" s="68">
        <f>VLOOKUP(INT(H38)+1,Instructions!$C$9:$D$15,2)</f>
        <v>48858</v>
      </c>
      <c r="K38" s="79">
        <f t="shared" si="3"/>
        <v>0.6666666666666714</v>
      </c>
      <c r="L38" s="69">
        <f t="shared" si="4"/>
        <v>50002.999999999985</v>
      </c>
      <c r="M38" s="11">
        <f t="shared" si="5"/>
        <v>0.89922132105670127</v>
      </c>
      <c r="N38" s="67">
        <f>(1+IntRate)^(-(H38-InitialAge))*M38</f>
        <v>0.84232113308450385</v>
      </c>
      <c r="O38" s="21"/>
      <c r="S38" s="43"/>
      <c r="T38"/>
      <c r="U38" s="4"/>
      <c r="V38" s="43"/>
    </row>
    <row r="39" spans="1:22" ht="13.15" thickBot="1" x14ac:dyDescent="0.4">
      <c r="A39" s="13"/>
      <c r="G39" s="13">
        <f t="shared" si="2"/>
        <v>21</v>
      </c>
      <c r="H39" s="90">
        <f t="shared" si="0"/>
        <v>81.75</v>
      </c>
      <c r="I39" s="68">
        <f>VLOOKUP(INT(H39),Instructions!$C$9:$D$15,2)</f>
        <v>52293</v>
      </c>
      <c r="J39" s="68">
        <f>VLOOKUP(INT(H39)+1,Instructions!$C$9:$D$15,2)</f>
        <v>48858</v>
      </c>
      <c r="K39" s="79">
        <f t="shared" si="3"/>
        <v>0.75</v>
      </c>
      <c r="L39" s="69">
        <f t="shared" si="4"/>
        <v>49716.75</v>
      </c>
      <c r="M39" s="11">
        <f t="shared" si="5"/>
        <v>0.89407358785764379</v>
      </c>
      <c r="N39" s="67">
        <f>(1+IntRate)^(-(H39-InitialAge))*M39</f>
        <v>0.83476632618666835</v>
      </c>
      <c r="O39" s="21"/>
      <c r="S39" s="43"/>
      <c r="T39"/>
      <c r="U39" s="4"/>
      <c r="V39" s="43"/>
    </row>
    <row r="40" spans="1:22" ht="13.15" thickBot="1" x14ac:dyDescent="0.4">
      <c r="A40" s="13"/>
      <c r="G40" s="13">
        <f t="shared" si="2"/>
        <v>22</v>
      </c>
      <c r="H40" s="90">
        <f t="shared" si="0"/>
        <v>81.833333333333329</v>
      </c>
      <c r="I40" s="68">
        <f>VLOOKUP(INT(H40),Instructions!$C$9:$D$15,2)</f>
        <v>52293</v>
      </c>
      <c r="J40" s="68">
        <f>VLOOKUP(INT(H40)+1,Instructions!$C$9:$D$15,2)</f>
        <v>48858</v>
      </c>
      <c r="K40" s="79">
        <f t="shared" si="3"/>
        <v>0.8333333333333286</v>
      </c>
      <c r="L40" s="69">
        <f t="shared" si="4"/>
        <v>49430.500000000015</v>
      </c>
      <c r="M40" s="11">
        <f t="shared" si="5"/>
        <v>0.88892585465858642</v>
      </c>
      <c r="N40" s="67">
        <f>(1+IntRate)^(-(H40-InitialAge))*M40</f>
        <v>0.82725185417477509</v>
      </c>
      <c r="O40" s="21"/>
      <c r="S40" s="43"/>
      <c r="T40"/>
      <c r="U40" s="4"/>
      <c r="V40" s="43"/>
    </row>
    <row r="41" spans="1:22" ht="13.15" thickBot="1" x14ac:dyDescent="0.4">
      <c r="A41" s="13"/>
      <c r="G41" s="13">
        <f t="shared" si="2"/>
        <v>23</v>
      </c>
      <c r="H41" s="90">
        <f t="shared" si="0"/>
        <v>81.916666666666671</v>
      </c>
      <c r="I41" s="68">
        <f>VLOOKUP(INT(H41),Instructions!$C$9:$D$15,2)</f>
        <v>52293</v>
      </c>
      <c r="J41" s="68">
        <f>VLOOKUP(INT(H41)+1,Instructions!$C$9:$D$15,2)</f>
        <v>48858</v>
      </c>
      <c r="K41" s="79">
        <f t="shared" si="3"/>
        <v>0.9166666666666714</v>
      </c>
      <c r="L41" s="69">
        <f t="shared" si="4"/>
        <v>49144.249999999985</v>
      </c>
      <c r="M41" s="11">
        <f t="shared" si="5"/>
        <v>0.88377812145952817</v>
      </c>
      <c r="N41" s="67">
        <f>(1+IntRate)^(-(H41-InitialAge))*M41</f>
        <v>0.81977753425886368</v>
      </c>
      <c r="O41" s="21"/>
      <c r="S41" s="43"/>
      <c r="T41"/>
      <c r="U41" s="4"/>
      <c r="V41" s="43"/>
    </row>
    <row r="42" spans="1:22" ht="13.15" thickBot="1" x14ac:dyDescent="0.4">
      <c r="A42" s="13"/>
      <c r="G42" s="13">
        <f t="shared" si="2"/>
        <v>24</v>
      </c>
      <c r="H42" s="90">
        <f t="shared" si="0"/>
        <v>82</v>
      </c>
      <c r="I42" s="68">
        <f>VLOOKUP(INT(H42),Instructions!$C$9:$D$15,2)</f>
        <v>48858</v>
      </c>
      <c r="J42" s="68">
        <f>VLOOKUP(INT(H42)+1,Instructions!$C$9:$D$15,2)</f>
        <v>45332</v>
      </c>
      <c r="K42" s="79">
        <f t="shared" si="3"/>
        <v>0</v>
      </c>
      <c r="L42" s="69">
        <f t="shared" si="4"/>
        <v>48858</v>
      </c>
      <c r="M42" s="11">
        <f t="shared" si="5"/>
        <v>0.8786303882604708</v>
      </c>
      <c r="N42" s="67">
        <f>(1+IntRate)^(-(H42-InitialAge))*M42</f>
        <v>0.81234318441241748</v>
      </c>
      <c r="O42" s="21"/>
      <c r="S42" s="43"/>
      <c r="T42"/>
      <c r="U42" s="4"/>
      <c r="V42" s="43"/>
    </row>
    <row r="43" spans="1:22" ht="13.15" thickBot="1" x14ac:dyDescent="0.4">
      <c r="A43" s="13"/>
      <c r="G43" s="13">
        <f t="shared" si="2"/>
        <v>25</v>
      </c>
      <c r="H43" s="90">
        <f t="shared" si="0"/>
        <v>82.083333333333329</v>
      </c>
      <c r="I43" s="68">
        <f>VLOOKUP(INT(H43),Instructions!$C$9:$D$15,2)</f>
        <v>48858</v>
      </c>
      <c r="J43" s="68">
        <f>VLOOKUP(INT(H43)+1,Instructions!$C$9:$D$15,2)</f>
        <v>45332</v>
      </c>
      <c r="K43" s="79">
        <f t="shared" si="3"/>
        <v>8.3333333333328596E-2</v>
      </c>
      <c r="L43" s="69">
        <f t="shared" si="4"/>
        <v>48564.166666666686</v>
      </c>
      <c r="M43" s="11">
        <f t="shared" si="5"/>
        <v>0.87334628134347625</v>
      </c>
      <c r="N43" s="67">
        <f>(1+IntRate)^(-(H43-InitialAge))*M43</f>
        <v>0.80482294962424883</v>
      </c>
      <c r="O43" s="21"/>
      <c r="S43" s="43"/>
      <c r="T43"/>
      <c r="U43" s="4"/>
      <c r="V43" s="43"/>
    </row>
    <row r="44" spans="1:22" ht="13.15" thickBot="1" x14ac:dyDescent="0.4">
      <c r="A44" s="13"/>
      <c r="G44" s="13">
        <f t="shared" si="2"/>
        <v>26</v>
      </c>
      <c r="H44" s="90">
        <f t="shared" si="0"/>
        <v>82.166666666666671</v>
      </c>
      <c r="I44" s="68">
        <f>VLOOKUP(INT(H44),Instructions!$C$9:$D$15,2)</f>
        <v>48858</v>
      </c>
      <c r="J44" s="68">
        <f>VLOOKUP(INT(H44)+1,Instructions!$C$9:$D$15,2)</f>
        <v>45332</v>
      </c>
      <c r="K44" s="79">
        <f t="shared" si="3"/>
        <v>0.1666666666666714</v>
      </c>
      <c r="L44" s="69">
        <f t="shared" si="4"/>
        <v>48270.333333333314</v>
      </c>
      <c r="M44" s="11">
        <f t="shared" si="5"/>
        <v>0.8680621744264807</v>
      </c>
      <c r="N44" s="67">
        <f>(1+IntRate)^(-(H44-InitialAge))*M44</f>
        <v>0.79734314329197753</v>
      </c>
      <c r="O44" s="21"/>
      <c r="S44" s="43"/>
      <c r="T44"/>
      <c r="U44" s="4"/>
      <c r="V44" s="43"/>
    </row>
    <row r="45" spans="1:22" ht="13.15" thickBot="1" x14ac:dyDescent="0.4">
      <c r="A45" s="13"/>
      <c r="G45" s="13">
        <f t="shared" si="2"/>
        <v>27</v>
      </c>
      <c r="H45" s="90">
        <f t="shared" si="0"/>
        <v>82.25</v>
      </c>
      <c r="I45" s="68">
        <f>VLOOKUP(INT(H45),Instructions!$C$9:$D$15,2)</f>
        <v>48858</v>
      </c>
      <c r="J45" s="68">
        <f>VLOOKUP(INT(H45)+1,Instructions!$C$9:$D$15,2)</f>
        <v>45332</v>
      </c>
      <c r="K45" s="79">
        <f t="shared" si="3"/>
        <v>0.25</v>
      </c>
      <c r="L45" s="69">
        <f t="shared" si="4"/>
        <v>47976.5</v>
      </c>
      <c r="M45" s="11">
        <f t="shared" si="5"/>
        <v>0.86277806750948627</v>
      </c>
      <c r="N45" s="67">
        <f>(1+IntRate)^(-(H45-InitialAge))*M45</f>
        <v>0.78990358164689101</v>
      </c>
      <c r="O45" s="21"/>
      <c r="S45" s="43"/>
      <c r="T45"/>
      <c r="U45" s="4"/>
      <c r="V45" s="43"/>
    </row>
    <row r="46" spans="1:22" ht="13.15" thickBot="1" x14ac:dyDescent="0.4">
      <c r="A46" s="13"/>
      <c r="G46" s="13">
        <f t="shared" si="2"/>
        <v>28</v>
      </c>
      <c r="H46" s="90">
        <f t="shared" si="0"/>
        <v>82.333333333333329</v>
      </c>
      <c r="I46" s="68">
        <f>VLOOKUP(INT(H46),Instructions!$C$9:$D$15,2)</f>
        <v>48858</v>
      </c>
      <c r="J46" s="68">
        <f>VLOOKUP(INT(H46)+1,Instructions!$C$9:$D$15,2)</f>
        <v>45332</v>
      </c>
      <c r="K46" s="79">
        <f t="shared" si="3"/>
        <v>0.3333333333333286</v>
      </c>
      <c r="L46" s="69">
        <f t="shared" si="4"/>
        <v>47682.666666666686</v>
      </c>
      <c r="M46" s="11">
        <f t="shared" si="5"/>
        <v>0.85749396059249172</v>
      </c>
      <c r="N46" s="67">
        <f>(1+IntRate)^(-(H46-InitialAge))*M46</f>
        <v>0.78250408168910335</v>
      </c>
      <c r="O46" s="21"/>
      <c r="S46" s="43"/>
      <c r="T46"/>
      <c r="U46" s="4"/>
      <c r="V46" s="43"/>
    </row>
    <row r="47" spans="1:22" ht="13.15" thickBot="1" x14ac:dyDescent="0.4">
      <c r="A47" s="13"/>
      <c r="G47" s="13">
        <f t="shared" si="2"/>
        <v>29</v>
      </c>
      <c r="H47" s="90">
        <f t="shared" si="0"/>
        <v>82.416666666666671</v>
      </c>
      <c r="I47" s="68">
        <f>VLOOKUP(INT(H47),Instructions!$C$9:$D$15,2)</f>
        <v>48858</v>
      </c>
      <c r="J47" s="68">
        <f>VLOOKUP(INT(H47)+1,Instructions!$C$9:$D$15,2)</f>
        <v>45332</v>
      </c>
      <c r="K47" s="79">
        <f t="shared" si="3"/>
        <v>0.4166666666666714</v>
      </c>
      <c r="L47" s="69">
        <f t="shared" si="4"/>
        <v>47388.833333333314</v>
      </c>
      <c r="M47" s="11">
        <f t="shared" si="5"/>
        <v>0.85220985367549618</v>
      </c>
      <c r="N47" s="67">
        <f>(1+IntRate)^(-(H47-InitialAge))*M47</f>
        <v>0.77514446118450042</v>
      </c>
      <c r="O47" s="21"/>
      <c r="S47" s="43"/>
      <c r="T47"/>
      <c r="U47" s="4"/>
      <c r="V47" s="43"/>
    </row>
    <row r="48" spans="1:22" ht="13.15" thickBot="1" x14ac:dyDescent="0.4">
      <c r="A48" s="13"/>
      <c r="G48" s="13">
        <f t="shared" si="2"/>
        <v>30</v>
      </c>
      <c r="H48" s="90">
        <f t="shared" si="0"/>
        <v>82.5</v>
      </c>
      <c r="I48" s="68">
        <f>VLOOKUP(INT(H48),Instructions!$C$9:$D$15,2)</f>
        <v>48858</v>
      </c>
      <c r="J48" s="68">
        <f>VLOOKUP(INT(H48)+1,Instructions!$C$9:$D$15,2)</f>
        <v>45332</v>
      </c>
      <c r="K48" s="79">
        <f t="shared" si="3"/>
        <v>0.5</v>
      </c>
      <c r="L48" s="69">
        <f t="shared" si="4"/>
        <v>47095</v>
      </c>
      <c r="M48" s="11">
        <f t="shared" si="5"/>
        <v>0.84692574675850163</v>
      </c>
      <c r="N48" s="67">
        <f>(1+IntRate)^(-(H48-InitialAge))*M48</f>
        <v>0.76782453866169431</v>
      </c>
      <c r="O48" s="21"/>
      <c r="S48" s="43"/>
      <c r="T48"/>
      <c r="U48" s="4"/>
      <c r="V48" s="43"/>
    </row>
    <row r="49" spans="1:22" ht="13.15" thickBot="1" x14ac:dyDescent="0.4">
      <c r="A49" s="13"/>
      <c r="G49" s="13">
        <f t="shared" si="2"/>
        <v>31</v>
      </c>
      <c r="H49" s="90">
        <f t="shared" si="0"/>
        <v>82.583333333333329</v>
      </c>
      <c r="I49" s="68">
        <f>VLOOKUP(INT(H49),Instructions!$C$9:$D$15,2)</f>
        <v>48858</v>
      </c>
      <c r="J49" s="68">
        <f>VLOOKUP(INT(H49)+1,Instructions!$C$9:$D$15,2)</f>
        <v>45332</v>
      </c>
      <c r="K49" s="79">
        <f t="shared" si="3"/>
        <v>0.5833333333333286</v>
      </c>
      <c r="L49" s="69">
        <f t="shared" si="4"/>
        <v>46801.166666666686</v>
      </c>
      <c r="M49" s="11">
        <f t="shared" si="5"/>
        <v>0.84164163984150708</v>
      </c>
      <c r="N49" s="67">
        <f>(1+IntRate)^(-(H49-InitialAge))*M49</f>
        <v>0.76054413340897786</v>
      </c>
      <c r="O49" s="21"/>
      <c r="S49" s="43"/>
      <c r="T49"/>
      <c r="U49" s="4"/>
      <c r="V49" s="43"/>
    </row>
    <row r="50" spans="1:22" ht="13.15" thickBot="1" x14ac:dyDescent="0.4">
      <c r="A50" s="13"/>
      <c r="G50" s="13">
        <f t="shared" si="2"/>
        <v>32</v>
      </c>
      <c r="H50" s="90">
        <f t="shared" ref="H50:H78" si="6">InitialAge+G50*StepSize</f>
        <v>82.666666666666671</v>
      </c>
      <c r="I50" s="68">
        <f>VLOOKUP(INT(H50),Instructions!$C$9:$D$15,2)</f>
        <v>48858</v>
      </c>
      <c r="J50" s="68">
        <f>VLOOKUP(INT(H50)+1,Instructions!$C$9:$D$15,2)</f>
        <v>45332</v>
      </c>
      <c r="K50" s="79">
        <f t="shared" si="3"/>
        <v>0.6666666666666714</v>
      </c>
      <c r="L50" s="69">
        <f t="shared" si="4"/>
        <v>46507.333333333314</v>
      </c>
      <c r="M50" s="11">
        <f t="shared" si="5"/>
        <v>0.83635753292451154</v>
      </c>
      <c r="N50" s="67">
        <f>(1+IntRate)^(-(H50-InitialAge))*M50</f>
        <v>0.75330306547130332</v>
      </c>
      <c r="O50" s="21"/>
      <c r="S50" s="43"/>
      <c r="T50"/>
      <c r="U50" s="4"/>
      <c r="V50" s="43"/>
    </row>
    <row r="51" spans="1:22" ht="13.15" thickBot="1" x14ac:dyDescent="0.4">
      <c r="A51" s="13"/>
      <c r="G51" s="13">
        <f t="shared" ref="G51:G78" si="7">G50+1</f>
        <v>33</v>
      </c>
      <c r="H51" s="90">
        <f t="shared" si="6"/>
        <v>82.75</v>
      </c>
      <c r="I51" s="68">
        <f>VLOOKUP(INT(H51),Instructions!$C$9:$D$15,2)</f>
        <v>48858</v>
      </c>
      <c r="J51" s="68">
        <f>VLOOKUP(INT(H51)+1,Instructions!$C$9:$D$15,2)</f>
        <v>45332</v>
      </c>
      <c r="K51" s="79">
        <f t="shared" si="3"/>
        <v>0.75</v>
      </c>
      <c r="L51" s="69">
        <f t="shared" si="4"/>
        <v>46213.5</v>
      </c>
      <c r="M51" s="11">
        <f t="shared" si="5"/>
        <v>0.83107342600751699</v>
      </c>
      <c r="N51" s="67">
        <f>(1+IntRate)^(-(H51-InitialAge))*M51</f>
        <v>0.74610115564727242</v>
      </c>
      <c r="O51" s="21"/>
      <c r="S51" s="43"/>
      <c r="T51"/>
      <c r="U51" s="4"/>
      <c r="V51" s="43"/>
    </row>
    <row r="52" spans="1:22" ht="13.15" thickBot="1" x14ac:dyDescent="0.4">
      <c r="A52" s="13"/>
      <c r="G52" s="13">
        <f t="shared" si="7"/>
        <v>34</v>
      </c>
      <c r="H52" s="90">
        <f t="shared" si="6"/>
        <v>82.833333333333329</v>
      </c>
      <c r="I52" s="68">
        <f>VLOOKUP(INT(H52),Instructions!$C$9:$D$15,2)</f>
        <v>48858</v>
      </c>
      <c r="J52" s="68">
        <f>VLOOKUP(INT(H52)+1,Instructions!$C$9:$D$15,2)</f>
        <v>45332</v>
      </c>
      <c r="K52" s="79">
        <f t="shared" si="3"/>
        <v>0.8333333333333286</v>
      </c>
      <c r="L52" s="69">
        <f t="shared" si="4"/>
        <v>45919.666666666686</v>
      </c>
      <c r="M52" s="11">
        <f t="shared" si="5"/>
        <v>0.82578931909052256</v>
      </c>
      <c r="N52" s="67">
        <f>(1+IntRate)^(-(H52-InitialAge))*M52</f>
        <v>0.73893822548612598</v>
      </c>
      <c r="O52" s="21"/>
      <c r="S52" s="43"/>
      <c r="T52"/>
      <c r="U52" s="4"/>
      <c r="V52" s="43"/>
    </row>
    <row r="53" spans="1:22" ht="13.15" thickBot="1" x14ac:dyDescent="0.4">
      <c r="A53" s="13"/>
      <c r="G53" s="13">
        <f t="shared" si="7"/>
        <v>35</v>
      </c>
      <c r="H53" s="90">
        <f t="shared" si="6"/>
        <v>82.916666666666671</v>
      </c>
      <c r="I53" s="68">
        <f>VLOOKUP(INT(H53),Instructions!$C$9:$D$15,2)</f>
        <v>48858</v>
      </c>
      <c r="J53" s="68">
        <f>VLOOKUP(INT(H53)+1,Instructions!$C$9:$D$15,2)</f>
        <v>45332</v>
      </c>
      <c r="K53" s="79">
        <f t="shared" si="3"/>
        <v>0.9166666666666714</v>
      </c>
      <c r="L53" s="69">
        <f t="shared" si="4"/>
        <v>45625.833333333314</v>
      </c>
      <c r="M53" s="11">
        <f t="shared" si="5"/>
        <v>0.82050521217352701</v>
      </c>
      <c r="N53" s="67">
        <f>(1+IntRate)^(-(H53-InitialAge))*M53</f>
        <v>0.73181409728475699</v>
      </c>
      <c r="O53" s="21"/>
      <c r="S53" s="43"/>
      <c r="T53"/>
      <c r="U53" s="4"/>
      <c r="V53" s="43"/>
    </row>
    <row r="54" spans="1:22" ht="13.15" thickBot="1" x14ac:dyDescent="0.4">
      <c r="A54" s="13"/>
      <c r="G54" s="13">
        <f t="shared" si="7"/>
        <v>36</v>
      </c>
      <c r="H54" s="90">
        <f t="shared" si="6"/>
        <v>83</v>
      </c>
      <c r="I54" s="68">
        <f>VLOOKUP(INT(H54),Instructions!$C$9:$D$15,2)</f>
        <v>45332</v>
      </c>
      <c r="J54" s="68">
        <f>VLOOKUP(INT(H54)+1,Instructions!$C$9:$D$15,2)</f>
        <v>41736</v>
      </c>
      <c r="K54" s="79">
        <f t="shared" si="3"/>
        <v>0</v>
      </c>
      <c r="L54" s="69">
        <f t="shared" si="4"/>
        <v>45332</v>
      </c>
      <c r="M54" s="11">
        <f t="shared" si="5"/>
        <v>0.81522110525653246</v>
      </c>
      <c r="N54" s="67">
        <f>(1+IntRate)^(-(H54-InitialAge))*M54</f>
        <v>0.724728594084736</v>
      </c>
      <c r="O54" s="21"/>
      <c r="S54" s="43"/>
      <c r="T54"/>
      <c r="U54" s="4"/>
      <c r="V54" s="43"/>
    </row>
    <row r="55" spans="1:22" ht="13.15" thickBot="1" x14ac:dyDescent="0.4">
      <c r="A55" s="13"/>
      <c r="G55" s="13">
        <f t="shared" si="7"/>
        <v>37</v>
      </c>
      <c r="H55" s="90">
        <f t="shared" si="6"/>
        <v>83.083333333333329</v>
      </c>
      <c r="I55" s="68">
        <f>VLOOKUP(INT(H55),Instructions!$C$9:$D$15,2)</f>
        <v>45332</v>
      </c>
      <c r="J55" s="68">
        <f>VLOOKUP(INT(H55)+1,Instructions!$C$9:$D$15,2)</f>
        <v>41736</v>
      </c>
      <c r="K55" s="79">
        <f t="shared" si="3"/>
        <v>8.3333333333328596E-2</v>
      </c>
      <c r="L55" s="69">
        <f t="shared" si="4"/>
        <v>45032.33333333335</v>
      </c>
      <c r="M55" s="11">
        <f t="shared" si="5"/>
        <v>0.80983209547958623</v>
      </c>
      <c r="N55" s="67">
        <f>(1+IntRate)^(-(H55-InitialAge))*M55</f>
        <v>0.71758858571587891</v>
      </c>
      <c r="O55" s="21"/>
      <c r="S55" s="43"/>
      <c r="T55"/>
      <c r="U55" s="4"/>
      <c r="V55" s="43"/>
    </row>
    <row r="56" spans="1:22" ht="13.15" thickBot="1" x14ac:dyDescent="0.4">
      <c r="A56" s="13"/>
      <c r="G56" s="13">
        <f t="shared" si="7"/>
        <v>38</v>
      </c>
      <c r="H56" s="90">
        <f t="shared" si="6"/>
        <v>83.166666666666671</v>
      </c>
      <c r="I56" s="68">
        <f>VLOOKUP(INT(H56),Instructions!$C$9:$D$15,2)</f>
        <v>45332</v>
      </c>
      <c r="J56" s="68">
        <f>VLOOKUP(INT(H56)+1,Instructions!$C$9:$D$15,2)</f>
        <v>41736</v>
      </c>
      <c r="K56" s="79">
        <f t="shared" si="3"/>
        <v>0.1666666666666714</v>
      </c>
      <c r="L56" s="69">
        <f t="shared" si="4"/>
        <v>44732.66666666665</v>
      </c>
      <c r="M56" s="11">
        <f t="shared" si="5"/>
        <v>0.804443085702639</v>
      </c>
      <c r="N56" s="67">
        <f>(1+IntRate)^(-(H56-InitialAge))*M56</f>
        <v>0.71048745728183105</v>
      </c>
      <c r="O56" s="21"/>
      <c r="S56" s="43"/>
      <c r="T56"/>
      <c r="U56" s="4"/>
      <c r="V56" s="43"/>
    </row>
    <row r="57" spans="1:22" ht="13.15" thickBot="1" x14ac:dyDescent="0.4">
      <c r="A57" s="13"/>
      <c r="G57" s="13">
        <f t="shared" si="7"/>
        <v>39</v>
      </c>
      <c r="H57" s="90">
        <f t="shared" si="6"/>
        <v>83.25</v>
      </c>
      <c r="I57" s="68">
        <f>VLOOKUP(INT(H57),Instructions!$C$9:$D$15,2)</f>
        <v>45332</v>
      </c>
      <c r="J57" s="68">
        <f>VLOOKUP(INT(H57)+1,Instructions!$C$9:$D$15,2)</f>
        <v>41736</v>
      </c>
      <c r="K57" s="79">
        <f t="shared" si="3"/>
        <v>0.25</v>
      </c>
      <c r="L57" s="69">
        <f t="shared" si="4"/>
        <v>44433</v>
      </c>
      <c r="M57" s="11">
        <f t="shared" si="5"/>
        <v>0.79905407592569277</v>
      </c>
      <c r="N57" s="67">
        <f>(1+IntRate)^(-(H57-InitialAge))*M57</f>
        <v>0.70342503107122767</v>
      </c>
      <c r="O57" s="21"/>
      <c r="S57" s="43"/>
      <c r="T57"/>
      <c r="U57" s="4"/>
      <c r="V57" s="43"/>
    </row>
    <row r="58" spans="1:22" ht="13.15" thickBot="1" x14ac:dyDescent="0.4">
      <c r="A58" s="13"/>
      <c r="G58" s="13">
        <f t="shared" si="7"/>
        <v>40</v>
      </c>
      <c r="H58" s="90">
        <f t="shared" si="6"/>
        <v>83.333333333333329</v>
      </c>
      <c r="I58" s="68">
        <f>VLOOKUP(INT(H58),Instructions!$C$9:$D$15,2)</f>
        <v>45332</v>
      </c>
      <c r="J58" s="68">
        <f>VLOOKUP(INT(H58)+1,Instructions!$C$9:$D$15,2)</f>
        <v>41736</v>
      </c>
      <c r="K58" s="79">
        <f t="shared" si="3"/>
        <v>0.3333333333333286</v>
      </c>
      <c r="L58" s="69">
        <f t="shared" si="4"/>
        <v>44133.33333333335</v>
      </c>
      <c r="M58" s="11">
        <f t="shared" si="5"/>
        <v>0.79366506614874655</v>
      </c>
      <c r="N58" s="67">
        <f>(1+IntRate)^(-(H58-InitialAge))*M58</f>
        <v>0.69640113011848959</v>
      </c>
      <c r="O58" s="21"/>
      <c r="S58" s="43"/>
      <c r="T58"/>
      <c r="U58" s="4"/>
      <c r="V58" s="43"/>
    </row>
    <row r="59" spans="1:22" ht="13.15" thickBot="1" x14ac:dyDescent="0.4">
      <c r="A59" s="13"/>
      <c r="G59" s="13">
        <f t="shared" si="7"/>
        <v>41</v>
      </c>
      <c r="H59" s="90">
        <f t="shared" si="6"/>
        <v>83.416666666666671</v>
      </c>
      <c r="I59" s="68">
        <f>VLOOKUP(INT(H59),Instructions!$C$9:$D$15,2)</f>
        <v>45332</v>
      </c>
      <c r="J59" s="68">
        <f>VLOOKUP(INT(H59)+1,Instructions!$C$9:$D$15,2)</f>
        <v>41736</v>
      </c>
      <c r="K59" s="79">
        <f t="shared" si="3"/>
        <v>0.4166666666666714</v>
      </c>
      <c r="L59" s="69">
        <f t="shared" si="4"/>
        <v>43833.66666666665</v>
      </c>
      <c r="M59" s="11">
        <f t="shared" si="5"/>
        <v>0.78827605637179943</v>
      </c>
      <c r="N59" s="67">
        <f>(1+IntRate)^(-(H59-InitialAge))*M59</f>
        <v>0.68941557820085142</v>
      </c>
      <c r="O59" s="21"/>
      <c r="S59" s="43"/>
      <c r="T59"/>
      <c r="U59" s="4"/>
      <c r="V59" s="43"/>
    </row>
    <row r="60" spans="1:22" ht="13.15" thickBot="1" x14ac:dyDescent="0.4">
      <c r="A60" s="13"/>
      <c r="G60" s="13">
        <f t="shared" si="7"/>
        <v>42</v>
      </c>
      <c r="H60" s="90">
        <f t="shared" si="6"/>
        <v>83.5</v>
      </c>
      <c r="I60" s="68">
        <f>VLOOKUP(INT(H60),Instructions!$C$9:$D$15,2)</f>
        <v>45332</v>
      </c>
      <c r="J60" s="68">
        <f>VLOOKUP(INT(H60)+1,Instructions!$C$9:$D$15,2)</f>
        <v>41736</v>
      </c>
      <c r="K60" s="79">
        <f t="shared" si="3"/>
        <v>0.5</v>
      </c>
      <c r="L60" s="69">
        <f t="shared" si="4"/>
        <v>43534</v>
      </c>
      <c r="M60" s="11">
        <f t="shared" si="5"/>
        <v>0.7828870465948532</v>
      </c>
      <c r="N60" s="67">
        <f>(1+IntRate)^(-(H60-InitialAge))*M60</f>
        <v>0.68246819983540219</v>
      </c>
      <c r="O60" s="21"/>
      <c r="S60" s="43"/>
      <c r="T60"/>
      <c r="U60" s="4"/>
      <c r="V60" s="43"/>
    </row>
    <row r="61" spans="1:22" ht="13.15" thickBot="1" x14ac:dyDescent="0.4">
      <c r="A61" s="13"/>
      <c r="G61" s="13">
        <f t="shared" si="7"/>
        <v>43</v>
      </c>
      <c r="H61" s="90">
        <f t="shared" si="6"/>
        <v>83.583333333333329</v>
      </c>
      <c r="I61" s="68">
        <f>VLOOKUP(INT(H61),Instructions!$C$9:$D$15,2)</f>
        <v>45332</v>
      </c>
      <c r="J61" s="68">
        <f>VLOOKUP(INT(H61)+1,Instructions!$C$9:$D$15,2)</f>
        <v>41736</v>
      </c>
      <c r="K61" s="79">
        <f t="shared" si="3"/>
        <v>0.5833333333333286</v>
      </c>
      <c r="L61" s="69">
        <f t="shared" si="4"/>
        <v>43234.33333333335</v>
      </c>
      <c r="M61" s="11">
        <f t="shared" si="5"/>
        <v>0.77749803681790697</v>
      </c>
      <c r="N61" s="67">
        <f>(1+IntRate)^(-(H61-InitialAge))*M61</f>
        <v>0.67555882027612624</v>
      </c>
      <c r="O61" s="21"/>
      <c r="S61" s="43"/>
      <c r="T61"/>
      <c r="U61" s="4"/>
      <c r="V61" s="43"/>
    </row>
    <row r="62" spans="1:22" ht="13.15" thickBot="1" x14ac:dyDescent="0.4">
      <c r="A62" s="13"/>
      <c r="G62" s="13">
        <f t="shared" si="7"/>
        <v>44</v>
      </c>
      <c r="H62" s="90">
        <f t="shared" si="6"/>
        <v>83.666666666666671</v>
      </c>
      <c r="I62" s="68">
        <f>VLOOKUP(INT(H62),Instructions!$C$9:$D$15,2)</f>
        <v>45332</v>
      </c>
      <c r="J62" s="68">
        <f>VLOOKUP(INT(H62)+1,Instructions!$C$9:$D$15,2)</f>
        <v>41736</v>
      </c>
      <c r="K62" s="79">
        <f t="shared" si="3"/>
        <v>0.6666666666666714</v>
      </c>
      <c r="L62" s="69">
        <f t="shared" si="4"/>
        <v>42934.66666666665</v>
      </c>
      <c r="M62" s="11">
        <f t="shared" si="5"/>
        <v>0.77210902704095974</v>
      </c>
      <c r="N62" s="67">
        <f>(1+IntRate)^(-(H62-InitialAge))*M62</f>
        <v>0.66868726551096536</v>
      </c>
      <c r="O62" s="21"/>
      <c r="S62" s="43"/>
      <c r="T62"/>
      <c r="U62" s="4"/>
      <c r="V62" s="43"/>
    </row>
    <row r="63" spans="1:22" ht="13.15" thickBot="1" x14ac:dyDescent="0.4">
      <c r="A63" s="13"/>
      <c r="G63" s="13">
        <f t="shared" si="7"/>
        <v>45</v>
      </c>
      <c r="H63" s="90">
        <f t="shared" si="6"/>
        <v>83.75</v>
      </c>
      <c r="I63" s="68">
        <f>VLOOKUP(INT(H63),Instructions!$C$9:$D$15,2)</f>
        <v>45332</v>
      </c>
      <c r="J63" s="68">
        <f>VLOOKUP(INT(H63)+1,Instructions!$C$9:$D$15,2)</f>
        <v>41736</v>
      </c>
      <c r="K63" s="79">
        <f t="shared" si="3"/>
        <v>0.75</v>
      </c>
      <c r="L63" s="69">
        <f t="shared" si="4"/>
        <v>42635</v>
      </c>
      <c r="M63" s="11">
        <f t="shared" si="5"/>
        <v>0.76672001726401351</v>
      </c>
      <c r="N63" s="67">
        <f>(1+IntRate)^(-(H63-InitialAge))*M63</f>
        <v>0.66185336225889413</v>
      </c>
      <c r="O63" s="21"/>
      <c r="S63" s="43"/>
      <c r="T63"/>
      <c r="U63" s="4"/>
      <c r="V63" s="43"/>
    </row>
    <row r="64" spans="1:22" ht="13.15" thickBot="1" x14ac:dyDescent="0.4">
      <c r="A64" s="13"/>
      <c r="G64" s="13">
        <f t="shared" si="7"/>
        <v>46</v>
      </c>
      <c r="H64" s="90">
        <f t="shared" si="6"/>
        <v>83.833333333333329</v>
      </c>
      <c r="I64" s="68">
        <f>VLOOKUP(INT(H64),Instructions!$C$9:$D$15,2)</f>
        <v>45332</v>
      </c>
      <c r="J64" s="68">
        <f>VLOOKUP(INT(H64)+1,Instructions!$C$9:$D$15,2)</f>
        <v>41736</v>
      </c>
      <c r="K64" s="79">
        <f t="shared" si="3"/>
        <v>0.8333333333333286</v>
      </c>
      <c r="L64" s="69">
        <f t="shared" si="4"/>
        <v>42335.33333333335</v>
      </c>
      <c r="M64" s="11">
        <f t="shared" si="5"/>
        <v>0.76133100748706728</v>
      </c>
      <c r="N64" s="67">
        <f>(1+IntRate)^(-(H64-InitialAge))*M64</f>
        <v>0.65505693796699371</v>
      </c>
      <c r="O64" s="21"/>
      <c r="S64" s="43"/>
      <c r="T64"/>
      <c r="U64" s="4"/>
      <c r="V64" s="43"/>
    </row>
    <row r="65" spans="1:23" ht="13.15" thickBot="1" x14ac:dyDescent="0.4">
      <c r="A65" s="13"/>
      <c r="G65" s="13">
        <f t="shared" si="7"/>
        <v>47</v>
      </c>
      <c r="H65" s="90">
        <f t="shared" si="6"/>
        <v>83.916666666666671</v>
      </c>
      <c r="I65" s="68">
        <f>VLOOKUP(INT(H65),Instructions!$C$9:$D$15,2)</f>
        <v>45332</v>
      </c>
      <c r="J65" s="68">
        <f>VLOOKUP(INT(H65)+1,Instructions!$C$9:$D$15,2)</f>
        <v>41736</v>
      </c>
      <c r="K65" s="79">
        <f t="shared" si="3"/>
        <v>0.9166666666666714</v>
      </c>
      <c r="L65" s="69">
        <f t="shared" si="4"/>
        <v>42035.66666666665</v>
      </c>
      <c r="M65" s="11">
        <f t="shared" si="5"/>
        <v>0.75594199771012016</v>
      </c>
      <c r="N65" s="67">
        <f>(1+IntRate)^(-(H65-InitialAge))*M65</f>
        <v>0.64829782080754994</v>
      </c>
      <c r="O65" s="21"/>
      <c r="S65" s="43"/>
      <c r="T65"/>
      <c r="U65" s="4"/>
      <c r="V65" s="43"/>
    </row>
    <row r="66" spans="1:23" ht="13.15" thickBot="1" x14ac:dyDescent="0.4">
      <c r="A66" s="13"/>
      <c r="G66" s="13">
        <f t="shared" si="7"/>
        <v>48</v>
      </c>
      <c r="H66" s="90">
        <f t="shared" si="6"/>
        <v>84</v>
      </c>
      <c r="I66" s="68">
        <f>VLOOKUP(INT(H66),Instructions!$C$9:$D$15,2)</f>
        <v>41736</v>
      </c>
      <c r="J66" s="68">
        <f>VLOOKUP(INT(H66)+1,Instructions!$C$9:$D$15,2)</f>
        <v>38081</v>
      </c>
      <c r="K66" s="79">
        <f t="shared" si="3"/>
        <v>0</v>
      </c>
      <c r="L66" s="69">
        <f t="shared" si="4"/>
        <v>41736</v>
      </c>
      <c r="M66" s="11">
        <f t="shared" si="5"/>
        <v>0.75055298793317393</v>
      </c>
      <c r="N66" s="67">
        <f>(1+IntRate)^(-(H66-InitialAge))*M66</f>
        <v>0.64157583967516019</v>
      </c>
      <c r="O66" s="21"/>
      <c r="S66" s="43"/>
      <c r="T66"/>
      <c r="U66" s="4"/>
      <c r="V66" s="43"/>
    </row>
    <row r="67" spans="1:23" ht="13.15" thickBot="1" x14ac:dyDescent="0.4">
      <c r="A67" s="13"/>
      <c r="G67" s="13">
        <f t="shared" si="7"/>
        <v>49</v>
      </c>
      <c r="H67" s="90">
        <f t="shared" si="6"/>
        <v>84.083333333333329</v>
      </c>
      <c r="I67" s="68">
        <f>VLOOKUP(INT(H67),Instructions!$C$9:$D$15,2)</f>
        <v>41736</v>
      </c>
      <c r="J67" s="68">
        <f>VLOOKUP(INT(H67)+1,Instructions!$C$9:$D$15,2)</f>
        <v>38081</v>
      </c>
      <c r="K67" s="79">
        <f t="shared" si="3"/>
        <v>8.3333333333328596E-2</v>
      </c>
      <c r="L67" s="69">
        <f t="shared" si="4"/>
        <v>41431.416666666686</v>
      </c>
      <c r="M67" s="11">
        <f t="shared" si="5"/>
        <v>0.74507556003141129</v>
      </c>
      <c r="N67" s="67">
        <f>(1+IntRate)^(-(H67-InitialAge))*M67</f>
        <v>0.63481549062266296</v>
      </c>
      <c r="O67" s="21"/>
      <c r="S67" s="43"/>
      <c r="T67"/>
      <c r="U67" s="4"/>
      <c r="V67" s="43"/>
    </row>
    <row r="68" spans="1:23" ht="13.15" thickBot="1" x14ac:dyDescent="0.4">
      <c r="A68" s="13"/>
      <c r="G68" s="13">
        <f t="shared" si="7"/>
        <v>50</v>
      </c>
      <c r="H68" s="90">
        <f t="shared" si="6"/>
        <v>84.166666666666671</v>
      </c>
      <c r="I68" s="68">
        <f>VLOOKUP(INT(H68),Instructions!$C$9:$D$15,2)</f>
        <v>41736</v>
      </c>
      <c r="J68" s="68">
        <f>VLOOKUP(INT(H68)+1,Instructions!$C$9:$D$15,2)</f>
        <v>38081</v>
      </c>
      <c r="K68" s="79">
        <f t="shared" si="3"/>
        <v>0.1666666666666714</v>
      </c>
      <c r="L68" s="69">
        <f t="shared" si="4"/>
        <v>41126.833333333314</v>
      </c>
      <c r="M68" s="11">
        <f t="shared" si="5"/>
        <v>0.73959813212964765</v>
      </c>
      <c r="N68" s="67">
        <f>(1+IntRate)^(-(H68-InitialAge))*M68</f>
        <v>0.62809242917727304</v>
      </c>
      <c r="O68" s="21"/>
      <c r="S68" s="43"/>
      <c r="T68"/>
      <c r="U68" s="4"/>
      <c r="V68" s="43"/>
    </row>
    <row r="69" spans="1:23" ht="13.15" thickBot="1" x14ac:dyDescent="0.4">
      <c r="A69" s="13"/>
      <c r="G69" s="13">
        <f t="shared" si="7"/>
        <v>51</v>
      </c>
      <c r="H69" s="90">
        <f t="shared" si="6"/>
        <v>84.25</v>
      </c>
      <c r="I69" s="68">
        <f>VLOOKUP(INT(H69),Instructions!$C$9:$D$15,2)</f>
        <v>41736</v>
      </c>
      <c r="J69" s="68">
        <f>VLOOKUP(INT(H69)+1,Instructions!$C$9:$D$15,2)</f>
        <v>38081</v>
      </c>
      <c r="K69" s="79">
        <f t="shared" si="3"/>
        <v>0.25</v>
      </c>
      <c r="L69" s="69">
        <f t="shared" si="4"/>
        <v>40822.25</v>
      </c>
      <c r="M69" s="11">
        <f t="shared" si="5"/>
        <v>0.734120704227885</v>
      </c>
      <c r="N69" s="67">
        <f>(1+IntRate)^(-(H69-InitialAge))*M69</f>
        <v>0.62140648397690013</v>
      </c>
      <c r="O69" s="21"/>
      <c r="S69" s="43"/>
      <c r="T69"/>
      <c r="U69" s="4"/>
      <c r="V69" s="43"/>
    </row>
    <row r="70" spans="1:23" ht="13.15" thickBot="1" x14ac:dyDescent="0.4">
      <c r="A70" s="13"/>
      <c r="G70" s="13">
        <f t="shared" si="7"/>
        <v>52</v>
      </c>
      <c r="H70" s="90">
        <f t="shared" si="6"/>
        <v>84.333333333333329</v>
      </c>
      <c r="I70" s="68">
        <f>VLOOKUP(INT(H70),Instructions!$C$9:$D$15,2)</f>
        <v>41736</v>
      </c>
      <c r="J70" s="68">
        <f>VLOOKUP(INT(H70)+1,Instructions!$C$9:$D$15,2)</f>
        <v>38081</v>
      </c>
      <c r="K70" s="79">
        <f t="shared" si="3"/>
        <v>0.3333333333333286</v>
      </c>
      <c r="L70" s="69">
        <f t="shared" si="4"/>
        <v>40517.666666666686</v>
      </c>
      <c r="M70" s="11">
        <f t="shared" si="5"/>
        <v>0.72864327632612236</v>
      </c>
      <c r="N70" s="67">
        <f>(1+IntRate)^(-(H70-InitialAge))*M70</f>
        <v>0.61475748438075728</v>
      </c>
      <c r="O70" s="21"/>
      <c r="S70" s="43"/>
      <c r="T70"/>
      <c r="U70" s="4"/>
      <c r="V70" s="43"/>
    </row>
    <row r="71" spans="1:23" ht="13.15" thickBot="1" x14ac:dyDescent="0.4">
      <c r="A71" s="13"/>
      <c r="G71" s="13">
        <f t="shared" si="7"/>
        <v>53</v>
      </c>
      <c r="H71" s="90">
        <f t="shared" si="6"/>
        <v>84.416666666666671</v>
      </c>
      <c r="I71" s="68">
        <f>VLOOKUP(INT(H71),Instructions!$C$9:$D$15,2)</f>
        <v>41736</v>
      </c>
      <c r="J71" s="68">
        <f>VLOOKUP(INT(H71)+1,Instructions!$C$9:$D$15,2)</f>
        <v>38081</v>
      </c>
      <c r="K71" s="79">
        <f t="shared" si="3"/>
        <v>0.4166666666666714</v>
      </c>
      <c r="L71" s="69">
        <f t="shared" si="4"/>
        <v>40213.083333333314</v>
      </c>
      <c r="M71" s="11">
        <f t="shared" si="5"/>
        <v>0.72316584842435871</v>
      </c>
      <c r="N71" s="67">
        <f>(1+IntRate)^(-(H71-InitialAge))*M71</f>
        <v>0.60814526046648254</v>
      </c>
      <c r="O71" s="21"/>
      <c r="S71" s="43"/>
      <c r="T71"/>
      <c r="U71" s="4"/>
      <c r="V71" s="43"/>
    </row>
    <row r="72" spans="1:23" ht="13.15" thickBot="1" x14ac:dyDescent="0.4">
      <c r="A72" s="13"/>
      <c r="G72" s="13">
        <f t="shared" si="7"/>
        <v>54</v>
      </c>
      <c r="H72" s="90">
        <f t="shared" si="6"/>
        <v>84.5</v>
      </c>
      <c r="I72" s="68">
        <f>VLOOKUP(INT(H72),Instructions!$C$9:$D$15,2)</f>
        <v>41736</v>
      </c>
      <c r="J72" s="68">
        <f>VLOOKUP(INT(H72)+1,Instructions!$C$9:$D$15,2)</f>
        <v>38081</v>
      </c>
      <c r="K72" s="79">
        <f t="shared" si="3"/>
        <v>0.5</v>
      </c>
      <c r="L72" s="69">
        <f t="shared" si="4"/>
        <v>39908.5</v>
      </c>
      <c r="M72" s="11">
        <f t="shared" si="5"/>
        <v>0.71768842052259607</v>
      </c>
      <c r="N72" s="67">
        <f>(1+IntRate)^(-(H72-InitialAge))*M72</f>
        <v>0.60156964302727023</v>
      </c>
      <c r="O72" s="21"/>
      <c r="S72" s="43"/>
      <c r="T72"/>
      <c r="U72" s="4"/>
      <c r="V72" s="43"/>
    </row>
    <row r="73" spans="1:23" ht="13.15" thickBot="1" x14ac:dyDescent="0.4">
      <c r="A73" s="13"/>
      <c r="G73" s="13">
        <f t="shared" si="7"/>
        <v>55</v>
      </c>
      <c r="H73" s="90">
        <f t="shared" si="6"/>
        <v>84.583333333333329</v>
      </c>
      <c r="I73" s="68">
        <f>VLOOKUP(INT(H73),Instructions!$C$9:$D$15,2)</f>
        <v>41736</v>
      </c>
      <c r="J73" s="68">
        <f>VLOOKUP(INT(H73)+1,Instructions!$C$9:$D$15,2)</f>
        <v>38081</v>
      </c>
      <c r="K73" s="79">
        <f t="shared" si="3"/>
        <v>0.5833333333333286</v>
      </c>
      <c r="L73" s="69">
        <f t="shared" si="4"/>
        <v>39603.916666666686</v>
      </c>
      <c r="M73" s="11">
        <f t="shared" si="5"/>
        <v>0.71221099262083343</v>
      </c>
      <c r="N73" s="67">
        <f>(1+IntRate)^(-(H73-InitialAge))*M73</f>
        <v>0.59503046356900324</v>
      </c>
      <c r="O73" s="21"/>
      <c r="S73" s="43"/>
      <c r="T73"/>
      <c r="U73" s="4"/>
      <c r="V73" s="43"/>
    </row>
    <row r="74" spans="1:23" ht="13.15" thickBot="1" x14ac:dyDescent="0.4">
      <c r="A74" s="13"/>
      <c r="G74" s="13">
        <f t="shared" si="7"/>
        <v>56</v>
      </c>
      <c r="H74" s="90">
        <f t="shared" si="6"/>
        <v>84.666666666666671</v>
      </c>
      <c r="I74" s="68">
        <f>VLOOKUP(INT(H74),Instructions!$C$9:$D$15,2)</f>
        <v>41736</v>
      </c>
      <c r="J74" s="68">
        <f>VLOOKUP(INT(H74)+1,Instructions!$C$9:$D$15,2)</f>
        <v>38081</v>
      </c>
      <c r="K74" s="79">
        <f t="shared" si="3"/>
        <v>0.6666666666666714</v>
      </c>
      <c r="L74" s="69">
        <f t="shared" si="4"/>
        <v>39299.333333333314</v>
      </c>
      <c r="M74" s="11">
        <f t="shared" si="5"/>
        <v>0.70673356471906978</v>
      </c>
      <c r="N74" s="67">
        <f>(1+IntRate)^(-(H74-InitialAge))*M74</f>
        <v>0.58852755430740766</v>
      </c>
      <c r="O74" s="21"/>
      <c r="S74" s="43"/>
      <c r="T74"/>
      <c r="U74" s="4"/>
      <c r="V74" s="43"/>
    </row>
    <row r="75" spans="1:23" ht="13.15" thickBot="1" x14ac:dyDescent="0.4">
      <c r="A75" s="13"/>
      <c r="G75" s="13">
        <f t="shared" si="7"/>
        <v>57</v>
      </c>
      <c r="H75" s="90">
        <f t="shared" si="6"/>
        <v>84.75</v>
      </c>
      <c r="I75" s="68">
        <f>VLOOKUP(INT(H75),Instructions!$C$9:$D$15,2)</f>
        <v>41736</v>
      </c>
      <c r="J75" s="68">
        <f>VLOOKUP(INT(H75)+1,Instructions!$C$9:$D$15,2)</f>
        <v>38081</v>
      </c>
      <c r="K75" s="79">
        <f t="shared" si="3"/>
        <v>0.75</v>
      </c>
      <c r="L75" s="69">
        <f t="shared" si="4"/>
        <v>38994.75</v>
      </c>
      <c r="M75" s="11">
        <f t="shared" si="5"/>
        <v>0.70125613681730714</v>
      </c>
      <c r="N75" s="67">
        <f>(1+IntRate)^(-(H75-InitialAge))*M75</f>
        <v>0.58206074816521747</v>
      </c>
      <c r="O75" s="21"/>
      <c r="S75" s="43"/>
      <c r="T75"/>
      <c r="U75" s="4"/>
      <c r="V75" s="43"/>
    </row>
    <row r="76" spans="1:23" ht="13.15" thickBot="1" x14ac:dyDescent="0.4">
      <c r="A76" s="13"/>
      <c r="G76" s="13">
        <f t="shared" si="7"/>
        <v>58</v>
      </c>
      <c r="H76" s="90">
        <f t="shared" si="6"/>
        <v>84.833333333333329</v>
      </c>
      <c r="I76" s="68">
        <f>VLOOKUP(INT(H76),Instructions!$C$9:$D$15,2)</f>
        <v>41736</v>
      </c>
      <c r="J76" s="68">
        <f>VLOOKUP(INT(H76)+1,Instructions!$C$9:$D$15,2)</f>
        <v>38081</v>
      </c>
      <c r="K76" s="79">
        <f t="shared" si="3"/>
        <v>0.8333333333333286</v>
      </c>
      <c r="L76" s="69">
        <f t="shared" si="4"/>
        <v>38690.166666666686</v>
      </c>
      <c r="M76" s="11">
        <f t="shared" si="5"/>
        <v>0.69577870891554461</v>
      </c>
      <c r="N76" s="67">
        <f>(1+IntRate)^(-(H76-InitialAge))*M76</f>
        <v>0.57562987876934002</v>
      </c>
      <c r="O76" s="21"/>
      <c r="S76" s="43"/>
      <c r="T76"/>
      <c r="U76" s="4"/>
      <c r="V76" s="43"/>
    </row>
    <row r="77" spans="1:23" ht="13.15" thickBot="1" x14ac:dyDescent="0.4">
      <c r="A77" s="13"/>
      <c r="G77" s="13">
        <f t="shared" si="7"/>
        <v>59</v>
      </c>
      <c r="H77" s="90">
        <f t="shared" si="6"/>
        <v>84.916666666666671</v>
      </c>
      <c r="I77" s="68">
        <f>VLOOKUP(INT(H77),Instructions!$C$9:$D$15,2)</f>
        <v>41736</v>
      </c>
      <c r="J77" s="68">
        <f>VLOOKUP(INT(H77)+1,Instructions!$C$9:$D$15,2)</f>
        <v>38081</v>
      </c>
      <c r="K77" s="79">
        <f t="shared" si="3"/>
        <v>0.9166666666666714</v>
      </c>
      <c r="L77" s="69">
        <f t="shared" si="4"/>
        <v>38385.583333333314</v>
      </c>
      <c r="M77" s="11">
        <f t="shared" si="5"/>
        <v>0.69030128101378085</v>
      </c>
      <c r="N77" s="67">
        <f>(1+IntRate)^(-(H77-InitialAge))*M77</f>
        <v>0.56923478044804299</v>
      </c>
      <c r="O77" s="21"/>
      <c r="S77" s="43"/>
      <c r="T77"/>
      <c r="U77" s="4"/>
      <c r="V77" s="43"/>
    </row>
    <row r="78" spans="1:23" ht="13.15" thickBot="1" x14ac:dyDescent="0.4">
      <c r="A78" s="13"/>
      <c r="G78" s="14">
        <f t="shared" si="7"/>
        <v>60</v>
      </c>
      <c r="H78" s="91">
        <f t="shared" si="6"/>
        <v>85</v>
      </c>
      <c r="I78" s="68">
        <f>VLOOKUP(INT(H78),Instructions!$C$9:$D$15,2)</f>
        <v>38081</v>
      </c>
      <c r="J78" s="68">
        <f>VLOOKUP(INT(H78)+1,Instructions!$C$9:$D$15,2)</f>
        <v>38081</v>
      </c>
      <c r="K78" s="79">
        <f t="shared" si="3"/>
        <v>0</v>
      </c>
      <c r="L78" s="69">
        <f t="shared" si="4"/>
        <v>38081</v>
      </c>
      <c r="M78" s="11">
        <f t="shared" si="5"/>
        <v>0.68482385311201832</v>
      </c>
      <c r="N78" s="67">
        <f>(1+IntRate)^(-(H78-InitialAge))*M78</f>
        <v>0.56287528822815236</v>
      </c>
      <c r="O78" s="21"/>
      <c r="S78" s="43"/>
      <c r="T78"/>
      <c r="U78" s="4"/>
      <c r="V78" s="43"/>
    </row>
    <row r="79" spans="1:23" x14ac:dyDescent="0.35">
      <c r="A79" s="13"/>
      <c r="O79" s="21"/>
      <c r="U79" s="4"/>
      <c r="V79" s="4"/>
      <c r="W79" s="4"/>
    </row>
    <row r="80" spans="1:23" x14ac:dyDescent="0.35">
      <c r="A80" s="13"/>
      <c r="O80" s="21"/>
      <c r="R80"/>
      <c r="S80"/>
      <c r="T80"/>
    </row>
    <row r="81" spans="1:20" x14ac:dyDescent="0.35">
      <c r="A81" s="13"/>
      <c r="O81" s="21"/>
      <c r="R81"/>
      <c r="S81"/>
      <c r="T81"/>
    </row>
    <row r="82" spans="1:20" ht="13.15" thickBot="1" x14ac:dyDescent="0.4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22"/>
      <c r="R82"/>
      <c r="S82"/>
      <c r="T82"/>
    </row>
    <row r="83" spans="1:20" x14ac:dyDescent="0.35">
      <c r="R83"/>
      <c r="S83"/>
      <c r="T83"/>
    </row>
    <row r="84" spans="1:20" s="3" customFormat="1" ht="15" x14ac:dyDescent="0.4"/>
  </sheetData>
  <mergeCells count="4">
    <mergeCell ref="A16:D16"/>
    <mergeCell ref="K16:N16"/>
    <mergeCell ref="G16:J16"/>
    <mergeCell ref="E16:E17"/>
  </mergeCells>
  <phoneticPr fontId="4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1EC8-C1F2-43E8-B08A-8E1722D567D9}">
  <sheetPr>
    <tabColor rgb="FF92D050"/>
  </sheetPr>
  <dimension ref="A1:R989"/>
  <sheetViews>
    <sheetView tabSelected="1" topLeftCell="A6" workbookViewId="0">
      <selection activeCell="J28" sqref="J28"/>
    </sheetView>
  </sheetViews>
  <sheetFormatPr defaultRowHeight="12.75" x14ac:dyDescent="0.35"/>
  <cols>
    <col min="2" max="2" width="22" customWidth="1"/>
    <col min="3" max="7" width="10.33203125" customWidth="1"/>
    <col min="12" max="12" width="12.796875" customWidth="1"/>
  </cols>
  <sheetData>
    <row r="1" spans="1:18" ht="17.649999999999999" x14ac:dyDescent="0.5">
      <c r="A1" s="80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7.649999999999999" x14ac:dyDescent="0.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.4" thickBot="1" x14ac:dyDescent="0.45">
      <c r="A3" s="7"/>
      <c r="B3" s="7"/>
      <c r="C3" s="7"/>
      <c r="D3" s="7"/>
      <c r="E3" s="7"/>
      <c r="F3" s="7"/>
      <c r="G3" s="7"/>
      <c r="H3" s="7"/>
      <c r="M3" s="4"/>
      <c r="N3" s="4"/>
    </row>
    <row r="4" spans="1:18" ht="13.5" thickBot="1" x14ac:dyDescent="0.45">
      <c r="A4" s="4"/>
      <c r="B4" s="106" t="s">
        <v>35</v>
      </c>
      <c r="C4" s="31"/>
      <c r="D4" s="4"/>
      <c r="E4" s="4"/>
      <c r="F4" s="4"/>
      <c r="G4" s="4"/>
      <c r="H4" s="4"/>
      <c r="M4" s="4"/>
      <c r="N4" s="4"/>
    </row>
    <row r="5" spans="1:18" ht="14.65" thickBot="1" x14ac:dyDescent="0.45">
      <c r="A5" s="4"/>
      <c r="B5" s="81" t="s">
        <v>80</v>
      </c>
      <c r="C5" s="88">
        <v>40</v>
      </c>
      <c r="D5" s="4"/>
      <c r="E5" s="4"/>
      <c r="F5" s="4"/>
      <c r="G5" s="4"/>
      <c r="H5" s="4"/>
      <c r="I5" s="42"/>
      <c r="J5" s="42"/>
      <c r="K5" s="42"/>
      <c r="L5" s="42"/>
      <c r="N5" s="5"/>
    </row>
    <row r="6" spans="1:18" ht="14.65" thickBot="1" x14ac:dyDescent="0.4">
      <c r="A6" s="4"/>
      <c r="B6" s="81" t="s">
        <v>81</v>
      </c>
      <c r="C6" s="108">
        <v>0.04</v>
      </c>
      <c r="D6" s="4"/>
      <c r="E6" s="4"/>
      <c r="F6" s="4"/>
      <c r="G6" s="4"/>
      <c r="H6" s="4"/>
      <c r="J6" s="4"/>
      <c r="K6" s="4"/>
      <c r="L6" s="4"/>
      <c r="M6" s="4"/>
      <c r="N6" s="4"/>
    </row>
    <row r="7" spans="1:18" ht="14.65" thickBot="1" x14ac:dyDescent="0.4">
      <c r="A7" s="4"/>
      <c r="B7" s="98" t="s">
        <v>88</v>
      </c>
      <c r="C7" s="109">
        <v>8</v>
      </c>
      <c r="J7" s="4"/>
      <c r="K7" s="4"/>
      <c r="L7" s="4"/>
      <c r="M7" s="4"/>
    </row>
    <row r="8" spans="1:18" ht="13.15" thickBot="1" x14ac:dyDescent="0.4">
      <c r="A8" s="4"/>
      <c r="B8" s="81" t="s">
        <v>84</v>
      </c>
      <c r="C8" s="116">
        <f>1/C7</f>
        <v>0.125</v>
      </c>
    </row>
    <row r="9" spans="1:18" ht="14.65" thickBot="1" x14ac:dyDescent="0.4">
      <c r="A9" s="4"/>
      <c r="B9" s="81" t="s">
        <v>85</v>
      </c>
      <c r="C9" s="88">
        <v>120</v>
      </c>
    </row>
    <row r="10" spans="1:18" ht="13.15" thickBot="1" x14ac:dyDescent="0.4">
      <c r="A10" s="4"/>
      <c r="B10" s="107" t="s">
        <v>86</v>
      </c>
      <c r="C10" s="116">
        <f>EXP(-gompertz_B/LOG(gompertz_c,EXP(1)))</f>
        <v>0.99421483363329899</v>
      </c>
    </row>
    <row r="11" spans="1:18" x14ac:dyDescent="0.35">
      <c r="A11" s="4"/>
      <c r="B11" s="115" t="s">
        <v>96</v>
      </c>
    </row>
    <row r="12" spans="1:18" x14ac:dyDescent="0.35">
      <c r="A12" s="4"/>
    </row>
    <row r="13" spans="1:18" ht="13.15" thickBot="1" x14ac:dyDescent="0.4">
      <c r="A13" s="4"/>
    </row>
    <row r="14" spans="1:18" ht="13.15" x14ac:dyDescent="0.4">
      <c r="A14" s="4"/>
      <c r="B14" s="106" t="s">
        <v>39</v>
      </c>
      <c r="C14" s="96"/>
      <c r="D14" s="96"/>
      <c r="E14" s="96"/>
      <c r="F14" s="96"/>
      <c r="G14" s="96"/>
      <c r="H14" s="31"/>
    </row>
    <row r="15" spans="1:18" ht="13.15" thickBot="1" x14ac:dyDescent="0.4">
      <c r="A15" s="4"/>
      <c r="B15" s="32"/>
      <c r="H15" s="33"/>
    </row>
    <row r="16" spans="1:18" ht="16.149999999999999" thickBot="1" x14ac:dyDescent="0.55000000000000004">
      <c r="A16" s="4"/>
      <c r="B16" s="111" t="s">
        <v>95</v>
      </c>
      <c r="C16" s="112" t="s">
        <v>42</v>
      </c>
      <c r="D16" s="76" t="s">
        <v>91</v>
      </c>
      <c r="E16" s="76" t="s">
        <v>92</v>
      </c>
      <c r="F16" s="76" t="s">
        <v>93</v>
      </c>
      <c r="G16" s="77" t="s">
        <v>94</v>
      </c>
      <c r="H16" s="33"/>
    </row>
    <row r="17" spans="1:13" ht="13.15" thickBot="1" x14ac:dyDescent="0.4">
      <c r="A17" s="4"/>
      <c r="B17" s="110">
        <f>IntRateQ2</f>
        <v>0.04</v>
      </c>
      <c r="C17" s="40">
        <f>InitialAgeQ2</f>
        <v>40</v>
      </c>
      <c r="D17" s="120">
        <f>SUMPRODUCT($E$30:$E$670,F30:F670)</f>
        <v>12.623159375761288</v>
      </c>
      <c r="E17" s="120">
        <f>SUMPRODUCT($E$30:$E$670,G30:G670)</f>
        <v>12.36972661406363</v>
      </c>
      <c r="F17" s="120">
        <f>(2/StepsEachYearQ2)/6*SUMPRODUCT($E$30:$E$670,H30:H670)</f>
        <v>12.118582339644281</v>
      </c>
      <c r="G17" s="120">
        <f>SUMPRODUCT($E$30:$E$669,I30:I669)</f>
        <v>123.11663752391168</v>
      </c>
      <c r="H17" s="33"/>
      <c r="I17" s="24" t="s">
        <v>100</v>
      </c>
    </row>
    <row r="18" spans="1:13" x14ac:dyDescent="0.35">
      <c r="A18" s="4"/>
      <c r="B18" s="113" t="s">
        <v>98</v>
      </c>
      <c r="H18" s="33"/>
    </row>
    <row r="19" spans="1:13" ht="13.15" thickBot="1" x14ac:dyDescent="0.4">
      <c r="A19" s="4"/>
      <c r="B19" s="114" t="s">
        <v>97</v>
      </c>
      <c r="C19" s="74"/>
      <c r="D19" s="74"/>
      <c r="E19" s="74"/>
      <c r="F19" s="74"/>
      <c r="G19" s="74"/>
      <c r="H19" s="40"/>
    </row>
    <row r="20" spans="1:13" x14ac:dyDescent="0.35">
      <c r="A20" s="4"/>
    </row>
    <row r="21" spans="1:13" ht="13.15" thickBot="1" x14ac:dyDescent="0.4">
      <c r="A21" s="4"/>
    </row>
    <row r="22" spans="1:13" ht="13.15" x14ac:dyDescent="0.4">
      <c r="A22" s="4"/>
      <c r="B22" s="106" t="s">
        <v>40</v>
      </c>
      <c r="C22" s="96"/>
      <c r="D22" s="96"/>
      <c r="E22" s="96"/>
      <c r="F22" s="96"/>
      <c r="G22" s="96"/>
      <c r="H22" s="96"/>
      <c r="I22" s="96"/>
      <c r="J22" s="11"/>
      <c r="K22" s="96"/>
      <c r="L22" s="96"/>
      <c r="M22" s="31"/>
    </row>
    <row r="23" spans="1:13" x14ac:dyDescent="0.35">
      <c r="A23" s="4"/>
      <c r="B23" s="32"/>
      <c r="D23" s="4"/>
      <c r="H23" s="4"/>
      <c r="I23" s="4"/>
      <c r="M23" s="33"/>
    </row>
    <row r="24" spans="1:13" x14ac:dyDescent="0.35">
      <c r="A24" s="4"/>
      <c r="B24" s="98" t="s">
        <v>101</v>
      </c>
      <c r="D24" s="4"/>
      <c r="H24" s="4"/>
      <c r="M24" s="33"/>
    </row>
    <row r="25" spans="1:13" x14ac:dyDescent="0.35">
      <c r="A25" s="4"/>
      <c r="B25" s="98" t="s">
        <v>102</v>
      </c>
      <c r="D25" s="4"/>
      <c r="H25" s="4"/>
      <c r="M25" s="33"/>
    </row>
    <row r="26" spans="1:13" ht="13.15" thickBot="1" x14ac:dyDescent="0.4">
      <c r="A26" s="4"/>
      <c r="B26" s="98" t="s">
        <v>103</v>
      </c>
      <c r="D26" s="4"/>
      <c r="H26" s="4"/>
      <c r="M26" s="33"/>
    </row>
    <row r="27" spans="1:13" ht="15.4" thickBot="1" x14ac:dyDescent="0.55000000000000004">
      <c r="A27" s="4"/>
      <c r="B27" s="32"/>
      <c r="D27" s="4"/>
      <c r="E27" s="4"/>
      <c r="F27" s="4"/>
      <c r="G27" s="4"/>
      <c r="H27" s="59" t="s">
        <v>5</v>
      </c>
      <c r="M27" s="33"/>
    </row>
    <row r="28" spans="1:13" ht="15.75" thickBot="1" x14ac:dyDescent="0.55000000000000004">
      <c r="A28" s="4"/>
      <c r="B28" s="32"/>
      <c r="E28" s="4"/>
      <c r="F28" s="103" t="s">
        <v>3</v>
      </c>
      <c r="G28" s="103" t="s">
        <v>4</v>
      </c>
      <c r="H28" s="27" t="s">
        <v>89</v>
      </c>
      <c r="I28" s="59" t="s">
        <v>6</v>
      </c>
      <c r="M28" s="33"/>
    </row>
    <row r="29" spans="1:13" ht="15.75" thickBot="1" x14ac:dyDescent="0.55000000000000004">
      <c r="A29" s="4"/>
      <c r="B29" s="50" t="s">
        <v>9</v>
      </c>
      <c r="C29" s="104" t="s">
        <v>79</v>
      </c>
      <c r="D29" s="19" t="s">
        <v>82</v>
      </c>
      <c r="E29" s="51" t="s">
        <v>83</v>
      </c>
      <c r="F29" s="105" t="s">
        <v>87</v>
      </c>
      <c r="G29" s="105" t="s">
        <v>87</v>
      </c>
      <c r="H29" s="105" t="s">
        <v>90</v>
      </c>
      <c r="I29" s="105" t="s">
        <v>87</v>
      </c>
      <c r="M29" s="33"/>
    </row>
    <row r="30" spans="1:13" ht="13.15" thickBot="1" x14ac:dyDescent="0.4">
      <c r="A30" s="4"/>
      <c r="B30" s="13">
        <v>0</v>
      </c>
      <c r="C30" s="21">
        <f t="shared" ref="C30:C93" si="0">InitialAgeQ2+B30*StepSizeQ2</f>
        <v>40</v>
      </c>
      <c r="D30" s="4">
        <f>POWER(gompertz_g,POWER(gompertz_c,InitialAgeQ2)*(gompertz_c^('Question 2'!C30-InitialAgeQ2)-1))</f>
        <v>1</v>
      </c>
      <c r="E30" s="21">
        <f>(1+IntRateQ2)^(-(C30-InitialAgeQ2))*D30</f>
        <v>1</v>
      </c>
      <c r="F30" s="10">
        <f>IF(MOD(B30,8)=0,1,0)</f>
        <v>1</v>
      </c>
      <c r="G30" s="10">
        <f>IF(MOD(B30,4)=0,1/2,0)</f>
        <v>0.5</v>
      </c>
      <c r="H30" s="10">
        <f>IF(B30=0,1,IF(ISEVEN(B30),2,4))</f>
        <v>1</v>
      </c>
      <c r="I30" s="12">
        <f>IF(MOD(B30,StepsEachYearQ2)=0,1+B30/StepsEachYearQ2,0)</f>
        <v>1</v>
      </c>
      <c r="M30" s="33"/>
    </row>
    <row r="31" spans="1:13" ht="13.15" thickBot="1" x14ac:dyDescent="0.4">
      <c r="A31" s="4"/>
      <c r="B31" s="13">
        <f>B30+1</f>
        <v>1</v>
      </c>
      <c r="C31" s="21">
        <f t="shared" si="0"/>
        <v>40.125</v>
      </c>
      <c r="D31" s="4">
        <f>POWER(gompertz_g,POWER(gompertz_c,InitialAgeQ2)*(gompertz_c^('Question 2'!C31-InitialAgeQ2)-1))</f>
        <v>0.99802824623920117</v>
      </c>
      <c r="E31" s="21">
        <f>(1+IntRateQ2)^(-(C31-InitialAgeQ2))*D31</f>
        <v>0.99314729821131398</v>
      </c>
      <c r="F31" s="10">
        <f t="shared" ref="F31:F94" si="1">IF(MOD(B31,8)=0,1,0)</f>
        <v>0</v>
      </c>
      <c r="G31" s="10">
        <f t="shared" ref="G31:G94" si="2">IF(MOD(B31,4)=0,1/2,0)</f>
        <v>0</v>
      </c>
      <c r="H31" s="10">
        <f t="shared" ref="H31:H94" si="3">IF(B31=0,1,IF(ISEVEN(B31),2,4))</f>
        <v>4</v>
      </c>
      <c r="I31" s="12">
        <f>IF(MOD(B31,StepsEachYearQ2)=0,1+B31/StepsEachYearQ2,0)</f>
        <v>0</v>
      </c>
      <c r="M31" s="33"/>
    </row>
    <row r="32" spans="1:13" ht="13.15" thickBot="1" x14ac:dyDescent="0.4">
      <c r="A32" s="4"/>
      <c r="B32" s="13">
        <f t="shared" ref="B32:B95" si="4">B31+1</f>
        <v>2</v>
      </c>
      <c r="C32" s="21">
        <f t="shared" si="0"/>
        <v>40.25</v>
      </c>
      <c r="D32" s="4">
        <f>POWER(gompertz_g,POWER(gompertz_c,InitialAgeQ2)*(gompertz_c^('Question 2'!C32-InitialAgeQ2)-1))</f>
        <v>0.99603908868809155</v>
      </c>
      <c r="E32" s="21">
        <f>(1+IntRateQ2)^(-(C32-InitialAgeQ2))*D32</f>
        <v>0.98632047208902751</v>
      </c>
      <c r="F32" s="10">
        <f t="shared" si="1"/>
        <v>0</v>
      </c>
      <c r="G32" s="10">
        <f t="shared" si="2"/>
        <v>0</v>
      </c>
      <c r="H32" s="10">
        <f t="shared" si="3"/>
        <v>2</v>
      </c>
      <c r="I32" s="12">
        <f>IF(MOD(B32,StepsEachYearQ2)=0,1+B32/StepsEachYearQ2,0)</f>
        <v>0</v>
      </c>
      <c r="M32" s="33"/>
    </row>
    <row r="33" spans="1:13" ht="13.15" thickBot="1" x14ac:dyDescent="0.4">
      <c r="A33" s="4"/>
      <c r="B33" s="13">
        <f t="shared" si="4"/>
        <v>3</v>
      </c>
      <c r="C33" s="21">
        <f t="shared" si="0"/>
        <v>40.375</v>
      </c>
      <c r="D33" s="4">
        <f>POWER(gompertz_g,POWER(gompertz_c,InitialAgeQ2)*(gompertz_c^('Question 2'!C33-InitialAgeQ2)-1))</f>
        <v>0.99403241685848165</v>
      </c>
      <c r="E33" s="21">
        <f>(1+IntRateQ2)^(-(C33-InitialAgeQ2))*D33</f>
        <v>0.9795194078499273</v>
      </c>
      <c r="F33" s="10">
        <f t="shared" si="1"/>
        <v>0</v>
      </c>
      <c r="G33" s="10">
        <f t="shared" si="2"/>
        <v>0</v>
      </c>
      <c r="H33" s="10">
        <f t="shared" si="3"/>
        <v>4</v>
      </c>
      <c r="I33" s="12">
        <f>IF(MOD(B33,StepsEachYearQ2)=0,1+B33/StepsEachYearQ2,0)</f>
        <v>0</v>
      </c>
      <c r="M33" s="33"/>
    </row>
    <row r="34" spans="1:13" ht="13.15" thickBot="1" x14ac:dyDescent="0.4">
      <c r="A34" s="4"/>
      <c r="B34" s="13">
        <f t="shared" si="4"/>
        <v>4</v>
      </c>
      <c r="C34" s="21">
        <f t="shared" si="0"/>
        <v>40.5</v>
      </c>
      <c r="D34" s="4">
        <f>POWER(gompertz_g,POWER(gompertz_c,InitialAgeQ2)*(gompertz_c^('Question 2'!C34-InitialAgeQ2)-1))</f>
        <v>0.99200812051666121</v>
      </c>
      <c r="E34" s="21">
        <f>(1+IntRateQ2)^(-(C34-InitialAgeQ2))*D34</f>
        <v>0.97274399310710735</v>
      </c>
      <c r="F34" s="10">
        <f t="shared" si="1"/>
        <v>0</v>
      </c>
      <c r="G34" s="10">
        <f t="shared" si="2"/>
        <v>0.5</v>
      </c>
      <c r="H34" s="10">
        <f t="shared" si="3"/>
        <v>2</v>
      </c>
      <c r="I34" s="12">
        <f>IF(MOD(B34,StepsEachYearQ2)=0,1+B34/StepsEachYearQ2,0)</f>
        <v>0</v>
      </c>
      <c r="M34" s="33"/>
    </row>
    <row r="35" spans="1:13" ht="13.15" thickBot="1" x14ac:dyDescent="0.4">
      <c r="A35" s="4"/>
      <c r="B35" s="13">
        <f t="shared" si="4"/>
        <v>5</v>
      </c>
      <c r="C35" s="21">
        <f t="shared" si="0"/>
        <v>40.625</v>
      </c>
      <c r="D35" s="4">
        <f>POWER(gompertz_g,POWER(gompertz_c,InitialAgeQ2)*(gompertz_c^('Question 2'!C35-InitialAgeQ2)-1))</f>
        <v>0.98996608971032263</v>
      </c>
      <c r="E35" s="21">
        <f>(1+IntRateQ2)^(-(C35-InitialAgeQ2))*D35</f>
        <v>0.96599411687584658</v>
      </c>
      <c r="F35" s="10">
        <f t="shared" si="1"/>
        <v>0</v>
      </c>
      <c r="G35" s="10">
        <f t="shared" si="2"/>
        <v>0</v>
      </c>
      <c r="H35" s="10">
        <f t="shared" si="3"/>
        <v>4</v>
      </c>
      <c r="I35" s="12">
        <f>IF(MOD(B35,StepsEachYearQ2)=0,1+B35/StepsEachYearQ2,0)</f>
        <v>0</v>
      </c>
      <c r="M35" s="33"/>
    </row>
    <row r="36" spans="1:13" ht="13.15" thickBot="1" x14ac:dyDescent="0.4">
      <c r="A36" s="4"/>
      <c r="B36" s="13">
        <f t="shared" si="4"/>
        <v>6</v>
      </c>
      <c r="C36" s="21">
        <f t="shared" si="0"/>
        <v>40.75</v>
      </c>
      <c r="D36" s="4">
        <f>POWER(gompertz_g,POWER(gompertz_c,InitialAgeQ2)*(gompertz_c^('Question 2'!C36-InitialAgeQ2)-1))</f>
        <v>0.9879062147960872</v>
      </c>
      <c r="E36" s="21">
        <f>(1+IntRateQ2)^(-(C36-InitialAgeQ2))*D36</f>
        <v>0.95926966957954429</v>
      </c>
      <c r="F36" s="10">
        <f t="shared" si="1"/>
        <v>0</v>
      </c>
      <c r="G36" s="10">
        <f t="shared" si="2"/>
        <v>0</v>
      </c>
      <c r="H36" s="10">
        <f t="shared" si="3"/>
        <v>2</v>
      </c>
      <c r="I36" s="12">
        <f>IF(MOD(B36,StepsEachYearQ2)=0,1+B36/StepsEachYearQ2,0)</f>
        <v>0</v>
      </c>
      <c r="M36" s="33"/>
    </row>
    <row r="37" spans="1:13" ht="13.15" thickBot="1" x14ac:dyDescent="0.4">
      <c r="A37" s="4"/>
      <c r="B37" s="13">
        <f t="shared" si="4"/>
        <v>7</v>
      </c>
      <c r="C37" s="21">
        <f t="shared" si="0"/>
        <v>40.875</v>
      </c>
      <c r="D37" s="4">
        <f>POWER(gompertz_g,POWER(gompertz_c,InitialAgeQ2)*(gompertz_c^('Question 2'!C37-InitialAgeQ2)-1))</f>
        <v>0.9858283864676407</v>
      </c>
      <c r="E37" s="21">
        <f>(1+IntRateQ2)^(-(C37-InitialAgeQ2))*D37</f>
        <v>0.95257054305570976</v>
      </c>
      <c r="F37" s="10">
        <f t="shared" si="1"/>
        <v>0</v>
      </c>
      <c r="G37" s="10">
        <f t="shared" si="2"/>
        <v>0</v>
      </c>
      <c r="H37" s="10">
        <f t="shared" si="3"/>
        <v>4</v>
      </c>
      <c r="I37" s="12">
        <f>IF(MOD(B37,StepsEachYearQ2)=0,1+B37/StepsEachYearQ2,0)</f>
        <v>0</v>
      </c>
      <c r="M37" s="33"/>
    </row>
    <row r="38" spans="1:13" ht="13.15" thickBot="1" x14ac:dyDescent="0.4">
      <c r="A38" s="4"/>
      <c r="B38" s="13">
        <f t="shared" si="4"/>
        <v>8</v>
      </c>
      <c r="C38" s="21">
        <f t="shared" si="0"/>
        <v>41</v>
      </c>
      <c r="D38" s="4">
        <f>POWER(gompertz_g,POWER(gompertz_c,InitialAgeQ2)*(gompertz_c^('Question 2'!C38-InitialAgeQ2)-1))</f>
        <v>0.98373249578448763</v>
      </c>
      <c r="E38" s="21">
        <f>(1+IntRateQ2)^(-(C38-InitialAgeQ2))*D38</f>
        <v>0.94589663056200723</v>
      </c>
      <c r="F38" s="10">
        <f t="shared" si="1"/>
        <v>1</v>
      </c>
      <c r="G38" s="10">
        <f t="shared" si="2"/>
        <v>0.5</v>
      </c>
      <c r="H38" s="10">
        <f t="shared" si="3"/>
        <v>2</v>
      </c>
      <c r="I38" s="12">
        <f>IF(MOD(B38,StepsEachYearQ2)=0,1+B38/StepsEachYearQ2,0)</f>
        <v>2</v>
      </c>
      <c r="M38" s="33"/>
    </row>
    <row r="39" spans="1:13" ht="13.15" thickBot="1" x14ac:dyDescent="0.4">
      <c r="A39" s="4"/>
      <c r="B39" s="13">
        <f t="shared" si="4"/>
        <v>9</v>
      </c>
      <c r="C39" s="21">
        <f t="shared" si="0"/>
        <v>41.125</v>
      </c>
      <c r="D39" s="4">
        <f>POWER(gompertz_g,POWER(gompertz_c,InitialAgeQ2)*(gompertz_c^('Question 2'!C39-InitialAgeQ2)-1))</f>
        <v>0.98161843420132877</v>
      </c>
      <c r="E39" s="21">
        <f>(1+IntRateQ2)^(-(C39-InitialAgeQ2))*D39</f>
        <v>0.93924782678234764</v>
      </c>
      <c r="F39" s="10">
        <f t="shared" si="1"/>
        <v>0</v>
      </c>
      <c r="G39" s="10">
        <f t="shared" si="2"/>
        <v>0</v>
      </c>
      <c r="H39" s="10">
        <f t="shared" si="3"/>
        <v>4</v>
      </c>
      <c r="I39" s="12">
        <f>IF(MOD(B39,StepsEachYearQ2)=0,1+B39/StepsEachYearQ2,0)</f>
        <v>0</v>
      </c>
      <c r="M39" s="33"/>
    </row>
    <row r="40" spans="1:13" ht="13.15" thickBot="1" x14ac:dyDescent="0.4">
      <c r="A40" s="4"/>
      <c r="B40" s="13">
        <f t="shared" si="4"/>
        <v>10</v>
      </c>
      <c r="C40" s="21">
        <f t="shared" si="0"/>
        <v>41.25</v>
      </c>
      <c r="D40" s="4">
        <f>POWER(gompertz_g,POWER(gompertz_c,InitialAgeQ2)*(gompertz_c^('Question 2'!C40-InitialAgeQ2)-1))</f>
        <v>0.97948609359807115</v>
      </c>
      <c r="E40" s="21">
        <f>(1+IntRateQ2)^(-(C40-InitialAgeQ2))*D40</f>
        <v>0.93262402783303111</v>
      </c>
      <c r="F40" s="10">
        <f t="shared" si="1"/>
        <v>0</v>
      </c>
      <c r="G40" s="10">
        <f t="shared" si="2"/>
        <v>0</v>
      </c>
      <c r="H40" s="10">
        <f t="shared" si="3"/>
        <v>2</v>
      </c>
      <c r="I40" s="12">
        <f>IF(MOD(B40,StepsEachYearQ2)=0,1+B40/StepsEachYearQ2,0)</f>
        <v>0</v>
      </c>
      <c r="M40" s="33"/>
    </row>
    <row r="41" spans="1:13" ht="13.15" thickBot="1" x14ac:dyDescent="0.4">
      <c r="A41" s="4"/>
      <c r="B41" s="13">
        <f t="shared" si="4"/>
        <v>11</v>
      </c>
      <c r="C41" s="21">
        <f t="shared" si="0"/>
        <v>41.375</v>
      </c>
      <c r="D41" s="4">
        <f>POWER(gompertz_g,POWER(gompertz_c,InitialAgeQ2)*(gompertz_c^('Question 2'!C41-InitialAgeQ2)-1))</f>
        <v>0.97733536631047724</v>
      </c>
      <c r="E41" s="21">
        <f>(1+IntRateQ2)^(-(C41-InitialAgeQ2))*D41</f>
        <v>0.92602513126893504</v>
      </c>
      <c r="F41" s="10">
        <f t="shared" si="1"/>
        <v>0</v>
      </c>
      <c r="G41" s="10">
        <f t="shared" si="2"/>
        <v>0</v>
      </c>
      <c r="H41" s="10">
        <f t="shared" si="3"/>
        <v>4</v>
      </c>
      <c r="I41" s="12">
        <f>IF(MOD(B41,StepsEachYearQ2)=0,1+B41/StepsEachYearQ2,0)</f>
        <v>0</v>
      </c>
      <c r="M41" s="33"/>
    </row>
    <row r="42" spans="1:13" ht="13.15" thickBot="1" x14ac:dyDescent="0.4">
      <c r="A42" s="4"/>
      <c r="B42" s="13">
        <f t="shared" si="4"/>
        <v>12</v>
      </c>
      <c r="C42" s="21">
        <f t="shared" si="0"/>
        <v>41.5</v>
      </c>
      <c r="D42" s="4">
        <f>POWER(gompertz_g,POWER(gompertz_c,InitialAgeQ2)*(gompertz_c^('Question 2'!C42-InitialAgeQ2)-1))</f>
        <v>0.97516614516146005</v>
      </c>
      <c r="E42" s="21">
        <f>(1+IntRateQ2)^(-(C42-InitialAgeQ2))*D42</f>
        <v>0.91945103608974454</v>
      </c>
      <c r="F42" s="10">
        <f t="shared" si="1"/>
        <v>0</v>
      </c>
      <c r="G42" s="10">
        <f t="shared" si="2"/>
        <v>0.5</v>
      </c>
      <c r="H42" s="10">
        <f t="shared" si="3"/>
        <v>2</v>
      </c>
      <c r="I42" s="12">
        <f>IF(MOD(B42,StepsEachYearQ2)=0,1+B42/StepsEachYearQ2,0)</f>
        <v>0</v>
      </c>
      <c r="M42" s="33"/>
    </row>
    <row r="43" spans="1:13" ht="13.15" thickBot="1" x14ac:dyDescent="0.4">
      <c r="A43" s="4"/>
      <c r="B43" s="13">
        <f t="shared" si="4"/>
        <v>13</v>
      </c>
      <c r="C43" s="21">
        <f t="shared" si="0"/>
        <v>41.625</v>
      </c>
      <c r="D43" s="4">
        <f>POWER(gompertz_g,POWER(gompertz_c,InitialAgeQ2)*(gompertz_c^('Question 2'!C43-InitialAgeQ2)-1))</f>
        <v>0.97297832349303148</v>
      </c>
      <c r="E43" s="21">
        <f>(1+IntRateQ2)^(-(C43-InitialAgeQ2))*D43</f>
        <v>0.9129016427462231</v>
      </c>
      <c r="F43" s="10">
        <f t="shared" si="1"/>
        <v>0</v>
      </c>
      <c r="G43" s="10">
        <f t="shared" si="2"/>
        <v>0</v>
      </c>
      <c r="H43" s="10">
        <f t="shared" si="3"/>
        <v>4</v>
      </c>
      <c r="I43" s="12">
        <f>IF(MOD(B43,StepsEachYearQ2)=0,1+B43/StepsEachYearQ2,0)</f>
        <v>0</v>
      </c>
      <c r="M43" s="33"/>
    </row>
    <row r="44" spans="1:13" ht="13.15" thickBot="1" x14ac:dyDescent="0.4">
      <c r="A44" s="4"/>
      <c r="B44" s="13">
        <f t="shared" si="4"/>
        <v>14</v>
      </c>
      <c r="C44" s="21">
        <f t="shared" si="0"/>
        <v>41.75</v>
      </c>
      <c r="D44" s="4">
        <f>POWER(gompertz_g,POWER(gompertz_c,InitialAgeQ2)*(gompertz_c^('Question 2'!C44-InitialAgeQ2)-1))</f>
        <v>0.97077179519891077</v>
      </c>
      <c r="E44" s="21">
        <f>(1+IntRateQ2)^(-(C44-InitialAgeQ2))*D44</f>
        <v>0.90637685314652183</v>
      </c>
      <c r="F44" s="10">
        <f t="shared" si="1"/>
        <v>0</v>
      </c>
      <c r="G44" s="10">
        <f t="shared" si="2"/>
        <v>0</v>
      </c>
      <c r="H44" s="10">
        <f t="shared" si="3"/>
        <v>2</v>
      </c>
      <c r="I44" s="12">
        <f>IF(MOD(B44,StepsEachYearQ2)=0,1+B44/StepsEachYearQ2,0)</f>
        <v>0</v>
      </c>
      <c r="M44" s="33"/>
    </row>
    <row r="45" spans="1:13" ht="13.15" thickBot="1" x14ac:dyDescent="0.4">
      <c r="A45" s="4"/>
      <c r="B45" s="13">
        <f t="shared" si="4"/>
        <v>15</v>
      </c>
      <c r="C45" s="21">
        <f t="shared" si="0"/>
        <v>41.875</v>
      </c>
      <c r="D45" s="4">
        <f>POWER(gompertz_g,POWER(gompertz_c,InitialAgeQ2)*(gompertz_c^('Question 2'!C45-InitialAgeQ2)-1))</f>
        <v>0.96854645475779932</v>
      </c>
      <c r="E45" s="21">
        <f>(1+IntRateQ2)^(-(C45-InitialAgeQ2))*D45</f>
        <v>0.89987657066252269</v>
      </c>
      <c r="F45" s="10">
        <f t="shared" si="1"/>
        <v>0</v>
      </c>
      <c r="G45" s="10">
        <f t="shared" si="2"/>
        <v>0</v>
      </c>
      <c r="H45" s="10">
        <f t="shared" si="3"/>
        <v>4</v>
      </c>
      <c r="I45" s="12">
        <f>IF(MOD(B45,StepsEachYearQ2)=0,1+B45/StepsEachYearQ2,0)</f>
        <v>0</v>
      </c>
      <c r="M45" s="33"/>
    </row>
    <row r="46" spans="1:13" ht="13.15" thickBot="1" x14ac:dyDescent="0.4">
      <c r="A46" s="4"/>
      <c r="B46" s="13">
        <f t="shared" si="4"/>
        <v>16</v>
      </c>
      <c r="C46" s="21">
        <f t="shared" si="0"/>
        <v>42</v>
      </c>
      <c r="D46" s="4">
        <f>POWER(gompertz_g,POWER(gompertz_c,InitialAgeQ2)*(gompertz_c^('Question 2'!C46-InitialAgeQ2)-1))</f>
        <v>0.96630219726733035</v>
      </c>
      <c r="E46" s="21">
        <f>(1+IntRateQ2)^(-(C46-InitialAgeQ2))*D46</f>
        <v>0.89340070013621509</v>
      </c>
      <c r="F46" s="10">
        <f t="shared" si="1"/>
        <v>1</v>
      </c>
      <c r="G46" s="10">
        <f t="shared" si="2"/>
        <v>0.5</v>
      </c>
      <c r="H46" s="10">
        <f t="shared" si="3"/>
        <v>2</v>
      </c>
      <c r="I46" s="12">
        <f>IF(MOD(B46,StepsEachYearQ2)=0,1+B46/StepsEachYearQ2,0)</f>
        <v>3</v>
      </c>
      <c r="M46" s="33"/>
    </row>
    <row r="47" spans="1:13" ht="13.15" thickBot="1" x14ac:dyDescent="0.4">
      <c r="A47" s="4"/>
      <c r="B47" s="13">
        <f t="shared" si="4"/>
        <v>17</v>
      </c>
      <c r="C47" s="21">
        <f t="shared" si="0"/>
        <v>42.125</v>
      </c>
      <c r="D47" s="4">
        <f>POWER(gompertz_g,POWER(gompertz_c,InitialAgeQ2)*(gompertz_c^('Question 2'!C47-InitialAgeQ2)-1))</f>
        <v>0.9640389184786976</v>
      </c>
      <c r="E47" s="21">
        <f>(1+IntRateQ2)^(-(C47-InitialAgeQ2))*D47</f>
        <v>0.88694914788609891</v>
      </c>
      <c r="F47" s="10">
        <f t="shared" si="1"/>
        <v>0</v>
      </c>
      <c r="G47" s="10">
        <f t="shared" si="2"/>
        <v>0</v>
      </c>
      <c r="H47" s="10">
        <f t="shared" si="3"/>
        <v>4</v>
      </c>
      <c r="I47" s="12">
        <f>IF(MOD(B47,StepsEachYearQ2)=0,1+B47/StepsEachYearQ2,0)</f>
        <v>0</v>
      </c>
      <c r="M47" s="33"/>
    </row>
    <row r="48" spans="1:13" ht="13.15" thickBot="1" x14ac:dyDescent="0.4">
      <c r="A48" s="4"/>
      <c r="B48" s="13">
        <f t="shared" si="4"/>
        <v>18</v>
      </c>
      <c r="C48" s="21">
        <f t="shared" si="0"/>
        <v>42.25</v>
      </c>
      <c r="D48" s="4">
        <f>POWER(gompertz_g,POWER(gompertz_c,InitialAgeQ2)*(gompertz_c^('Question 2'!C48-InitialAgeQ2)-1))</f>
        <v>0.96175651483197122</v>
      </c>
      <c r="E48" s="21">
        <f>(1+IntRateQ2)^(-(C48-InitialAgeQ2))*D48</f>
        <v>0.88052182171361515</v>
      </c>
      <c r="F48" s="10">
        <f t="shared" si="1"/>
        <v>0</v>
      </c>
      <c r="G48" s="10">
        <f t="shared" si="2"/>
        <v>0</v>
      </c>
      <c r="H48" s="10">
        <f t="shared" si="3"/>
        <v>2</v>
      </c>
      <c r="I48" s="12">
        <f>IF(MOD(B48,StepsEachYearQ2)=0,1+B48/StepsEachYearQ2,0)</f>
        <v>0</v>
      </c>
      <c r="M48" s="33"/>
    </row>
    <row r="49" spans="1:13" ht="13.15" thickBot="1" x14ac:dyDescent="0.4">
      <c r="A49" s="4"/>
      <c r="B49" s="13">
        <f t="shared" si="4"/>
        <v>19</v>
      </c>
      <c r="C49" s="21">
        <f t="shared" si="0"/>
        <v>42.375</v>
      </c>
      <c r="D49" s="4">
        <f>POWER(gompertz_g,POWER(gompertz_c,InitialAgeQ2)*(gompertz_c^('Question 2'!C49-InitialAgeQ2)-1))</f>
        <v>0.95945488349210672</v>
      </c>
      <c r="E49" s="21">
        <f>(1+IntRateQ2)^(-(C49-InitialAgeQ2))*D49</f>
        <v>0.8741186309095984</v>
      </c>
      <c r="F49" s="10">
        <f t="shared" si="1"/>
        <v>0</v>
      </c>
      <c r="G49" s="10">
        <f t="shared" si="2"/>
        <v>0</v>
      </c>
      <c r="H49" s="10">
        <f t="shared" si="3"/>
        <v>4</v>
      </c>
      <c r="I49" s="12">
        <f>IF(MOD(B49,StepsEachYearQ2)=0,1+B49/StepsEachYearQ2,0)</f>
        <v>0</v>
      </c>
      <c r="M49" s="33"/>
    </row>
    <row r="50" spans="1:13" ht="13.15" thickBot="1" x14ac:dyDescent="0.4">
      <c r="A50" s="4"/>
      <c r="B50" s="13">
        <f t="shared" si="4"/>
        <v>20</v>
      </c>
      <c r="C50" s="21">
        <f t="shared" si="0"/>
        <v>42.5</v>
      </c>
      <c r="D50" s="4">
        <f>POWER(gompertz_g,POWER(gompertz_c,InitialAgeQ2)*(gompertz_c^('Question 2'!C50-InitialAgeQ2)-1))</f>
        <v>0.95713392238565342</v>
      </c>
      <c r="E50" s="21">
        <f>(1+IntRateQ2)^(-(C50-InitialAgeQ2))*D50</f>
        <v>0.86773948626074759</v>
      </c>
      <c r="F50" s="10">
        <f t="shared" si="1"/>
        <v>0</v>
      </c>
      <c r="G50" s="10">
        <f t="shared" si="2"/>
        <v>0.5</v>
      </c>
      <c r="H50" s="10">
        <f t="shared" si="3"/>
        <v>2</v>
      </c>
      <c r="I50" s="12">
        <f>IF(MOD(B50,StepsEachYearQ2)=0,1+B50/StepsEachYearQ2,0)</f>
        <v>0</v>
      </c>
      <c r="M50" s="33"/>
    </row>
    <row r="51" spans="1:13" ht="13.15" thickBot="1" x14ac:dyDescent="0.4">
      <c r="A51" s="4"/>
      <c r="B51" s="13">
        <f t="shared" si="4"/>
        <v>21</v>
      </c>
      <c r="C51" s="21">
        <f t="shared" si="0"/>
        <v>42.625</v>
      </c>
      <c r="D51" s="4">
        <f>POWER(gompertz_g,POWER(gompertz_c,InitialAgeQ2)*(gompertz_c^('Question 2'!C51-InitialAgeQ2)-1))</f>
        <v>0.95479353023816727</v>
      </c>
      <c r="E51" s="21">
        <f>(1+IntRateQ2)^(-(C51-InitialAgeQ2))*D51</f>
        <v>0.86138430005611366</v>
      </c>
      <c r="F51" s="10">
        <f t="shared" si="1"/>
        <v>0</v>
      </c>
      <c r="G51" s="10">
        <f t="shared" si="2"/>
        <v>0</v>
      </c>
      <c r="H51" s="10">
        <f t="shared" si="3"/>
        <v>4</v>
      </c>
      <c r="I51" s="12">
        <f>IF(MOD(B51,StepsEachYearQ2)=0,1+B51/StepsEachYearQ2,0)</f>
        <v>0</v>
      </c>
      <c r="M51" s="33"/>
    </row>
    <row r="52" spans="1:13" ht="13.15" thickBot="1" x14ac:dyDescent="0.4">
      <c r="A52" s="4"/>
      <c r="B52" s="13">
        <f t="shared" si="4"/>
        <v>22</v>
      </c>
      <c r="C52" s="21">
        <f t="shared" si="0"/>
        <v>42.75</v>
      </c>
      <c r="D52" s="4">
        <f>POWER(gompertz_g,POWER(gompertz_c,InitialAgeQ2)*(gompertz_c^('Question 2'!C52-InitialAgeQ2)-1))</f>
        <v>0.95243360661233656</v>
      </c>
      <c r="E52" s="21">
        <f>(1+IntRateQ2)^(-(C52-InitialAgeQ2))*D52</f>
        <v>0.85505298609359759</v>
      </c>
      <c r="F52" s="10">
        <f t="shared" si="1"/>
        <v>0</v>
      </c>
      <c r="G52" s="10">
        <f t="shared" si="2"/>
        <v>0</v>
      </c>
      <c r="H52" s="10">
        <f t="shared" si="3"/>
        <v>2</v>
      </c>
      <c r="I52" s="12">
        <f>IF(MOD(B52,StepsEachYearQ2)=0,1+B52/StepsEachYearQ2,0)</f>
        <v>0</v>
      </c>
      <c r="M52" s="33"/>
    </row>
    <row r="53" spans="1:13" ht="13.15" thickBot="1" x14ac:dyDescent="0.4">
      <c r="A53" s="4"/>
      <c r="B53" s="13">
        <f t="shared" si="4"/>
        <v>23</v>
      </c>
      <c r="C53" s="21">
        <f t="shared" si="0"/>
        <v>42.875</v>
      </c>
      <c r="D53" s="4">
        <f>POWER(gompertz_g,POWER(gompertz_c,InitialAgeQ2)*(gompertz_c^('Question 2'!C53-InitialAgeQ2)-1))</f>
        <v>0.95005405194682291</v>
      </c>
      <c r="E53" s="21">
        <f>(1+IntRateQ2)^(-(C53-InitialAgeQ2))*D53</f>
        <v>0.84874545968645776</v>
      </c>
      <c r="F53" s="10">
        <f t="shared" si="1"/>
        <v>0</v>
      </c>
      <c r="G53" s="10">
        <f t="shared" si="2"/>
        <v>0</v>
      </c>
      <c r="H53" s="10">
        <f t="shared" si="3"/>
        <v>4</v>
      </c>
      <c r="I53" s="12">
        <f>IF(MOD(B53,StepsEachYearQ2)=0,1+B53/StepsEachYearQ2,0)</f>
        <v>0</v>
      </c>
      <c r="M53" s="33"/>
    </row>
    <row r="54" spans="1:13" ht="13.15" thickBot="1" x14ac:dyDescent="0.4">
      <c r="A54" s="4"/>
      <c r="B54" s="13">
        <f t="shared" si="4"/>
        <v>24</v>
      </c>
      <c r="C54" s="21">
        <f t="shared" si="0"/>
        <v>43</v>
      </c>
      <c r="D54" s="4">
        <f>POWER(gompertz_g,POWER(gompertz_c,InitialAgeQ2)*(gompertz_c^('Question 2'!C54-InitialAgeQ2)-1))</f>
        <v>0.94765476759582568</v>
      </c>
      <c r="E54" s="21">
        <f>(1+IntRateQ2)^(-(C54-InitialAgeQ2))*D54</f>
        <v>0.84246163766982107</v>
      </c>
      <c r="F54" s="10">
        <f t="shared" si="1"/>
        <v>1</v>
      </c>
      <c r="G54" s="10">
        <f t="shared" si="2"/>
        <v>0.5</v>
      </c>
      <c r="H54" s="10">
        <f t="shared" si="3"/>
        <v>2</v>
      </c>
      <c r="I54" s="12">
        <f>IF(MOD(B54,StepsEachYearQ2)=0,1+B54/StepsEachYearQ2,0)</f>
        <v>4</v>
      </c>
      <c r="M54" s="33"/>
    </row>
    <row r="55" spans="1:13" ht="13.15" thickBot="1" x14ac:dyDescent="0.4">
      <c r="A55" s="4"/>
      <c r="B55" s="13">
        <f t="shared" si="4"/>
        <v>25</v>
      </c>
      <c r="C55" s="21">
        <f t="shared" si="0"/>
        <v>43.125</v>
      </c>
      <c r="D55" s="4">
        <f>POWER(gompertz_g,POWER(gompertz_c,InitialAgeQ2)*(gompertz_c^('Question 2'!C55-InitialAgeQ2)-1))</f>
        <v>0.94523565586937441</v>
      </c>
      <c r="E55" s="21">
        <f>(1+IntRateQ2)^(-(C55-InitialAgeQ2))*D55</f>
        <v>0.83620143840719485</v>
      </c>
      <c r="F55" s="10">
        <f t="shared" si="1"/>
        <v>0</v>
      </c>
      <c r="G55" s="10">
        <f t="shared" si="2"/>
        <v>0</v>
      </c>
      <c r="H55" s="10">
        <f t="shared" si="3"/>
        <v>4</v>
      </c>
      <c r="I55" s="12">
        <f>IF(MOD(B55,StepsEachYearQ2)=0,1+B55/StepsEachYearQ2,0)</f>
        <v>0</v>
      </c>
      <c r="M55" s="33"/>
    </row>
    <row r="56" spans="1:13" ht="13.15" thickBot="1" x14ac:dyDescent="0.4">
      <c r="A56" s="4"/>
      <c r="B56" s="13">
        <f t="shared" si="4"/>
        <v>26</v>
      </c>
      <c r="C56" s="21">
        <f t="shared" si="0"/>
        <v>43.25</v>
      </c>
      <c r="D56" s="4">
        <f>POWER(gompertz_g,POWER(gompertz_c,InitialAgeQ2)*(gompertz_c^('Question 2'!C56-InitialAgeQ2)-1))</f>
        <v>0.94279662007435361</v>
      </c>
      <c r="E56" s="21">
        <f>(1+IntRateQ2)^(-(C56-InitialAgeQ2))*D56</f>
        <v>0.82996478179697442</v>
      </c>
      <c r="F56" s="10">
        <f t="shared" si="1"/>
        <v>0</v>
      </c>
      <c r="G56" s="10">
        <f t="shared" si="2"/>
        <v>0</v>
      </c>
      <c r="H56" s="10">
        <f t="shared" si="3"/>
        <v>2</v>
      </c>
      <c r="I56" s="12">
        <f>IF(MOD(B56,StepsEachYearQ2)=0,1+B56/StepsEachYearQ2,0)</f>
        <v>0</v>
      </c>
      <c r="M56" s="33"/>
    </row>
    <row r="57" spans="1:13" ht="13.15" thickBot="1" x14ac:dyDescent="0.4">
      <c r="A57" s="4"/>
      <c r="B57" s="13">
        <f t="shared" si="4"/>
        <v>27</v>
      </c>
      <c r="C57" s="21">
        <f t="shared" si="0"/>
        <v>43.375</v>
      </c>
      <c r="D57" s="4">
        <f>POWER(gompertz_g,POWER(gompertz_c,InitialAgeQ2)*(gompertz_c^('Question 2'!C57-InitialAgeQ2)-1))</f>
        <v>0.94033756455626583</v>
      </c>
      <c r="E57" s="21">
        <f>(1+IntRateQ2)^(-(C57-InitialAgeQ2))*D57</f>
        <v>0.82375158927894343</v>
      </c>
      <c r="F57" s="10">
        <f t="shared" si="1"/>
        <v>0</v>
      </c>
      <c r="G57" s="10">
        <f t="shared" si="2"/>
        <v>0</v>
      </c>
      <c r="H57" s="10">
        <f t="shared" si="3"/>
        <v>4</v>
      </c>
      <c r="I57" s="12">
        <f>IF(MOD(B57,StepsEachYearQ2)=0,1+B57/StepsEachYearQ2,0)</f>
        <v>0</v>
      </c>
      <c r="M57" s="33"/>
    </row>
    <row r="58" spans="1:13" ht="13.15" thickBot="1" x14ac:dyDescent="0.4">
      <c r="A58" s="4"/>
      <c r="B58" s="13">
        <f t="shared" si="4"/>
        <v>28</v>
      </c>
      <c r="C58" s="21">
        <f t="shared" si="0"/>
        <v>43.5</v>
      </c>
      <c r="D58" s="4">
        <f>POWER(gompertz_g,POWER(gompertz_c,InitialAgeQ2)*(gompertz_c^('Question 2'!C58-InitialAgeQ2)-1))</f>
        <v>0.93785839474173782</v>
      </c>
      <c r="E58" s="21">
        <f>(1+IntRateQ2)^(-(C58-InitialAgeQ2))*D58</f>
        <v>0.81756178384076195</v>
      </c>
      <c r="F58" s="10">
        <f t="shared" si="1"/>
        <v>0</v>
      </c>
      <c r="G58" s="10">
        <f t="shared" si="2"/>
        <v>0.5</v>
      </c>
      <c r="H58" s="10">
        <f t="shared" si="3"/>
        <v>2</v>
      </c>
      <c r="I58" s="12">
        <f>IF(MOD(B58,StepsEachYearQ2)=0,1+B58/StepsEachYearQ2,0)</f>
        <v>0</v>
      </c>
      <c r="M58" s="33"/>
    </row>
    <row r="59" spans="1:13" ht="13.15" thickBot="1" x14ac:dyDescent="0.4">
      <c r="A59" s="4"/>
      <c r="B59" s="13">
        <f t="shared" si="4"/>
        <v>29</v>
      </c>
      <c r="C59" s="21">
        <f t="shared" si="0"/>
        <v>43.625</v>
      </c>
      <c r="D59" s="4">
        <f>POWER(gompertz_g,POWER(gompertz_c,InitialAgeQ2)*(gompertz_c^('Question 2'!C59-InitialAgeQ2)-1))</f>
        <v>0.93535901718177317</v>
      </c>
      <c r="E59" s="21">
        <f>(1+IntRateQ2)^(-(C59-InitialAgeQ2))*D59</f>
        <v>0.81139529002443711</v>
      </c>
      <c r="F59" s="10">
        <f t="shared" si="1"/>
        <v>0</v>
      </c>
      <c r="G59" s="10">
        <f t="shared" si="2"/>
        <v>0</v>
      </c>
      <c r="H59" s="10">
        <f t="shared" si="3"/>
        <v>4</v>
      </c>
      <c r="I59" s="12">
        <f>IF(MOD(B59,StepsEachYearQ2)=0,1+B59/StepsEachYearQ2,0)</f>
        <v>0</v>
      </c>
      <c r="M59" s="33"/>
    </row>
    <row r="60" spans="1:13" ht="13.15" thickBot="1" x14ac:dyDescent="0.4">
      <c r="A60" s="4"/>
      <c r="B60" s="13">
        <f t="shared" si="4"/>
        <v>30</v>
      </c>
      <c r="C60" s="21">
        <f t="shared" si="0"/>
        <v>43.75</v>
      </c>
      <c r="D60" s="4">
        <f>POWER(gompertz_g,POWER(gompertz_c,InitialAgeQ2)*(gompertz_c^('Question 2'!C60-InitialAgeQ2)-1))</f>
        <v>0.93283933959575682</v>
      </c>
      <c r="E60" s="21">
        <f>(1+IntRateQ2)^(-(C60-InitialAgeQ2))*D60</f>
        <v>0.80525203393277345</v>
      </c>
      <c r="F60" s="10">
        <f t="shared" si="1"/>
        <v>0</v>
      </c>
      <c r="G60" s="10">
        <f t="shared" si="2"/>
        <v>0</v>
      </c>
      <c r="H60" s="10">
        <f t="shared" si="3"/>
        <v>2</v>
      </c>
      <c r="I60" s="12">
        <f>IF(MOD(B60,StepsEachYearQ2)=0,1+B60/StepsEachYearQ2,0)</f>
        <v>0</v>
      </c>
      <c r="M60" s="33"/>
    </row>
    <row r="61" spans="1:13" ht="13.15" thickBot="1" x14ac:dyDescent="0.4">
      <c r="A61" s="4"/>
      <c r="B61" s="13">
        <f t="shared" si="4"/>
        <v>31</v>
      </c>
      <c r="C61" s="21">
        <f t="shared" si="0"/>
        <v>43.875</v>
      </c>
      <c r="D61" s="4">
        <f>POWER(gompertz_g,POWER(gompertz_c,InitialAgeQ2)*(gompertz_c^('Question 2'!C61-InitialAgeQ2)-1))</f>
        <v>0.93029927091621523</v>
      </c>
      <c r="E61" s="21">
        <f>(1+IntRateQ2)^(-(C61-InitialAgeQ2))*D61</f>
        <v>0.79913194323579684</v>
      </c>
      <c r="F61" s="10">
        <f t="shared" si="1"/>
        <v>0</v>
      </c>
      <c r="G61" s="10">
        <f t="shared" si="2"/>
        <v>0</v>
      </c>
      <c r="H61" s="10">
        <f t="shared" si="3"/>
        <v>4</v>
      </c>
      <c r="I61" s="12">
        <f>IF(MOD(B61,StepsEachYearQ2)=0,1+B61/StepsEachYearQ2,0)</f>
        <v>0</v>
      </c>
      <c r="M61" s="33"/>
    </row>
    <row r="62" spans="1:13" ht="13.15" thickBot="1" x14ac:dyDescent="0.4">
      <c r="A62" s="4"/>
      <c r="B62" s="13">
        <f t="shared" si="4"/>
        <v>32</v>
      </c>
      <c r="C62" s="21">
        <f t="shared" si="0"/>
        <v>44</v>
      </c>
      <c r="D62" s="4">
        <f>POWER(gompertz_g,POWER(gompertz_c,InitialAgeQ2)*(gompertz_c^('Question 2'!C62-InitialAgeQ2)-1))</f>
        <v>0.92773872133433455</v>
      </c>
      <c r="E62" s="21">
        <f>(1+IntRateQ2)^(-(C62-InitialAgeQ2))*D62</f>
        <v>0.79303494717714795</v>
      </c>
      <c r="F62" s="10">
        <f t="shared" si="1"/>
        <v>1</v>
      </c>
      <c r="G62" s="10">
        <f t="shared" si="2"/>
        <v>0.5</v>
      </c>
      <c r="H62" s="10">
        <f t="shared" si="3"/>
        <v>2</v>
      </c>
      <c r="I62" s="12">
        <f>IF(MOD(B62,StepsEachYearQ2)=0,1+B62/StepsEachYearQ2,0)</f>
        <v>5</v>
      </c>
      <c r="M62" s="33"/>
    </row>
    <row r="63" spans="1:13" ht="13.15" thickBot="1" x14ac:dyDescent="0.4">
      <c r="A63" s="4"/>
      <c r="B63" s="13">
        <f t="shared" si="4"/>
        <v>33</v>
      </c>
      <c r="C63" s="21">
        <f t="shared" si="0"/>
        <v>44.125</v>
      </c>
      <c r="D63" s="4">
        <f>POWER(gompertz_g,POWER(gompertz_c,InitialAgeQ2)*(gompertz_c^('Question 2'!C63-InitialAgeQ2)-1))</f>
        <v>0.92515760234624222</v>
      </c>
      <c r="E63" s="21">
        <f>(1+IntRateQ2)^(-(C63-InitialAgeQ2))*D63</f>
        <v>0.78696097658043895</v>
      </c>
      <c r="F63" s="10">
        <f t="shared" si="1"/>
        <v>0</v>
      </c>
      <c r="G63" s="10">
        <f t="shared" si="2"/>
        <v>0</v>
      </c>
      <c r="H63" s="10">
        <f t="shared" si="3"/>
        <v>4</v>
      </c>
      <c r="I63" s="12">
        <f>IF(MOD(B63,StepsEachYearQ2)=0,1+B63/StepsEachYearQ2,0)</f>
        <v>0</v>
      </c>
      <c r="M63" s="33"/>
    </row>
    <row r="64" spans="1:13" ht="13.15" thickBot="1" x14ac:dyDescent="0.4">
      <c r="A64" s="4"/>
      <c r="B64" s="13">
        <f t="shared" si="4"/>
        <v>34</v>
      </c>
      <c r="C64" s="21">
        <f t="shared" si="0"/>
        <v>44.25</v>
      </c>
      <c r="D64" s="4">
        <f>POWER(gompertz_g,POWER(gompertz_c,InitialAgeQ2)*(gompertz_c^('Question 2'!C64-InitialAgeQ2)-1))</f>
        <v>0.92255582680005455</v>
      </c>
      <c r="E64" s="21">
        <f>(1+IntRateQ2)^(-(C64-InitialAgeQ2))*D64</f>
        <v>0.78090996385557088</v>
      </c>
      <c r="F64" s="10">
        <f t="shared" si="1"/>
        <v>0</v>
      </c>
      <c r="G64" s="10">
        <f t="shared" si="2"/>
        <v>0</v>
      </c>
      <c r="H64" s="10">
        <f t="shared" si="3"/>
        <v>2</v>
      </c>
      <c r="I64" s="12">
        <f>IF(MOD(B64,StepsEachYearQ2)=0,1+B64/StepsEachYearQ2,0)</f>
        <v>0</v>
      </c>
      <c r="M64" s="33"/>
    </row>
    <row r="65" spans="1:13" ht="13.15" thickBot="1" x14ac:dyDescent="0.4">
      <c r="A65" s="4"/>
      <c r="B65" s="13">
        <f t="shared" si="4"/>
        <v>35</v>
      </c>
      <c r="C65" s="21">
        <f t="shared" si="0"/>
        <v>44.375</v>
      </c>
      <c r="D65" s="4">
        <f>POWER(gompertz_g,POWER(gompertz_c,InitialAgeQ2)*(gompertz_c^('Question 2'!C65-InitialAgeQ2)-1))</f>
        <v>0.91993330894369107</v>
      </c>
      <c r="E65" s="21">
        <f>(1+IntRateQ2)^(-(C65-InitialAgeQ2))*D65</f>
        <v>0.77488184300500274</v>
      </c>
      <c r="F65" s="10">
        <f t="shared" si="1"/>
        <v>0</v>
      </c>
      <c r="G65" s="10">
        <f t="shared" si="2"/>
        <v>0</v>
      </c>
      <c r="H65" s="10">
        <f t="shared" si="3"/>
        <v>4</v>
      </c>
      <c r="I65" s="12">
        <f>IF(MOD(B65,StepsEachYearQ2)=0,1+B65/StepsEachYearQ2,0)</f>
        <v>0</v>
      </c>
      <c r="M65" s="33"/>
    </row>
    <row r="66" spans="1:13" ht="13.15" thickBot="1" x14ac:dyDescent="0.4">
      <c r="A66" s="4"/>
      <c r="B66" s="13">
        <f t="shared" si="4"/>
        <v>36</v>
      </c>
      <c r="C66" s="21">
        <f t="shared" si="0"/>
        <v>44.5</v>
      </c>
      <c r="D66" s="4">
        <f>POWER(gompertz_g,POWER(gompertz_c,InitialAgeQ2)*(gompertz_c^('Question 2'!C66-InitialAgeQ2)-1))</f>
        <v>0.91728996447346156</v>
      </c>
      <c r="E66" s="21">
        <f>(1+IntRateQ2)^(-(C66-InitialAgeQ2))*D66</f>
        <v>0.76887654962997143</v>
      </c>
      <c r="F66" s="10">
        <f t="shared" si="1"/>
        <v>0</v>
      </c>
      <c r="G66" s="10">
        <f t="shared" si="2"/>
        <v>0.5</v>
      </c>
      <c r="H66" s="10">
        <f t="shared" si="3"/>
        <v>2</v>
      </c>
      <c r="I66" s="12">
        <f>IF(MOD(B66,StepsEachYearQ2)=0,1+B66/StepsEachYearQ2,0)</f>
        <v>0</v>
      </c>
      <c r="M66" s="33"/>
    </row>
    <row r="67" spans="1:13" ht="13.15" thickBot="1" x14ac:dyDescent="0.4">
      <c r="A67" s="4"/>
      <c r="B67" s="13">
        <f t="shared" si="4"/>
        <v>37</v>
      </c>
      <c r="C67" s="21">
        <f t="shared" si="0"/>
        <v>44.625</v>
      </c>
      <c r="D67" s="4">
        <f>POWER(gompertz_g,POWER(gompertz_c,InitialAgeQ2)*(gompertz_c^('Question 2'!C67-InitialAgeQ2)-1))</f>
        <v>0.9146257105834249</v>
      </c>
      <c r="E67" s="21">
        <f>(1+IntRateQ2)^(-(C67-InitialAgeQ2))*D67</f>
        <v>0.76289402093665271</v>
      </c>
      <c r="F67" s="10">
        <f t="shared" si="1"/>
        <v>0</v>
      </c>
      <c r="G67" s="10">
        <f t="shared" si="2"/>
        <v>0</v>
      </c>
      <c r="H67" s="10">
        <f t="shared" si="3"/>
        <v>4</v>
      </c>
      <c r="I67" s="12">
        <f>IF(MOD(B67,StepsEachYearQ2)=0,1+B67/StepsEachYearQ2,0)</f>
        <v>0</v>
      </c>
      <c r="M67" s="33"/>
    </row>
    <row r="68" spans="1:13" ht="13.15" thickBot="1" x14ac:dyDescent="0.4">
      <c r="A68" s="4"/>
      <c r="B68" s="13">
        <f t="shared" si="4"/>
        <v>38</v>
      </c>
      <c r="C68" s="21">
        <f t="shared" si="0"/>
        <v>44.75</v>
      </c>
      <c r="D68" s="4">
        <f>POWER(gompertz_g,POWER(gompertz_c,InitialAgeQ2)*(gompertz_c^('Question 2'!C68-InitialAgeQ2)-1))</f>
        <v>0.91194046601552303</v>
      </c>
      <c r="E68" s="21">
        <f>(1+IntRateQ2)^(-(C68-InitialAgeQ2))*D68</f>
        <v>0.75693419574225962</v>
      </c>
      <c r="F68" s="10">
        <f t="shared" si="1"/>
        <v>0</v>
      </c>
      <c r="G68" s="10">
        <f t="shared" si="2"/>
        <v>0</v>
      </c>
      <c r="H68" s="10">
        <f t="shared" si="3"/>
        <v>2</v>
      </c>
      <c r="I68" s="12">
        <f>IF(MOD(B68,StepsEachYearQ2)=0,1+B68/StepsEachYearQ2,0)</f>
        <v>0</v>
      </c>
      <c r="M68" s="33"/>
    </row>
    <row r="69" spans="1:13" ht="13.15" thickBot="1" x14ac:dyDescent="0.4">
      <c r="A69" s="4"/>
      <c r="B69" s="13">
        <f t="shared" si="4"/>
        <v>39</v>
      </c>
      <c r="C69" s="21">
        <f t="shared" si="0"/>
        <v>44.875</v>
      </c>
      <c r="D69" s="4">
        <f>POWER(gompertz_g,POWER(gompertz_c,InitialAgeQ2)*(gompertz_c^('Question 2'!C69-InitialAgeQ2)-1))</f>
        <v>0.90923415111049111</v>
      </c>
      <c r="E69" s="21">
        <f>(1+IntRateQ2)^(-(C69-InitialAgeQ2))*D69</f>
        <v>0.75099701448107337</v>
      </c>
      <c r="F69" s="10">
        <f t="shared" si="1"/>
        <v>0</v>
      </c>
      <c r="G69" s="10">
        <f t="shared" si="2"/>
        <v>0</v>
      </c>
      <c r="H69" s="10">
        <f t="shared" si="3"/>
        <v>4</v>
      </c>
      <c r="I69" s="12">
        <f>IF(MOD(B69,StepsEachYearQ2)=0,1+B69/StepsEachYearQ2,0)</f>
        <v>0</v>
      </c>
      <c r="M69" s="33"/>
    </row>
    <row r="70" spans="1:13" ht="13.15" thickBot="1" x14ac:dyDescent="0.4">
      <c r="A70" s="4"/>
      <c r="B70" s="13">
        <f t="shared" si="4"/>
        <v>40</v>
      </c>
      <c r="C70" s="21">
        <f t="shared" si="0"/>
        <v>45</v>
      </c>
      <c r="D70" s="4">
        <f>POWER(gompertz_g,POWER(gompertz_c,InitialAgeQ2)*(gompertz_c^('Question 2'!C70-InitialAgeQ2)-1))</f>
        <v>0.90650668785954502</v>
      </c>
      <c r="E70" s="21">
        <f>(1+IntRateQ2)^(-(C70-InitialAgeQ2))*D70</f>
        <v>0.74508241921039842</v>
      </c>
      <c r="F70" s="10">
        <f t="shared" si="1"/>
        <v>1</v>
      </c>
      <c r="G70" s="10">
        <f t="shared" si="2"/>
        <v>0.5</v>
      </c>
      <c r="H70" s="10">
        <f t="shared" si="3"/>
        <v>2</v>
      </c>
      <c r="I70" s="12">
        <f>IF(MOD(B70,StepsEachYearQ2)=0,1+B70/StepsEachYearQ2,0)</f>
        <v>6</v>
      </c>
      <c r="M70" s="33"/>
    </row>
    <row r="71" spans="1:13" ht="13.15" thickBot="1" x14ac:dyDescent="0.4">
      <c r="A71" s="4"/>
      <c r="B71" s="13">
        <f t="shared" si="4"/>
        <v>41</v>
      </c>
      <c r="C71" s="21">
        <f t="shared" si="0"/>
        <v>45.125</v>
      </c>
      <c r="D71" s="4">
        <f>POWER(gompertz_g,POWER(gompertz_c,InitialAgeQ2)*(gompertz_c^('Question 2'!C71-InitialAgeQ2)-1))</f>
        <v>0.90375799995684569</v>
      </c>
      <c r="E71" s="21">
        <f>(1+IntRateQ2)^(-(C71-InitialAgeQ2))*D71</f>
        <v>0.7391903536164367</v>
      </c>
      <c r="F71" s="10">
        <f t="shared" si="1"/>
        <v>0</v>
      </c>
      <c r="G71" s="10">
        <f t="shared" si="2"/>
        <v>0</v>
      </c>
      <c r="H71" s="10">
        <f t="shared" si="3"/>
        <v>4</v>
      </c>
      <c r="I71" s="12">
        <f>IF(MOD(B71,StepsEachYearQ2)=0,1+B71/StepsEachYearQ2,0)</f>
        <v>0</v>
      </c>
      <c r="M71" s="33"/>
    </row>
    <row r="72" spans="1:13" ht="13.15" thickBot="1" x14ac:dyDescent="0.4">
      <c r="A72" s="4"/>
      <c r="B72" s="13">
        <f t="shared" si="4"/>
        <v>42</v>
      </c>
      <c r="C72" s="21">
        <f t="shared" si="0"/>
        <v>45.25</v>
      </c>
      <c r="D72" s="4">
        <f>POWER(gompertz_g,POWER(gompertz_c,InitialAgeQ2)*(gompertz_c^('Question 2'!C72-InitialAgeQ2)-1))</f>
        <v>0.90098801285274266</v>
      </c>
      <c r="E72" s="21">
        <f>(1+IntRateQ2)^(-(C72-InitialAgeQ2))*D72</f>
        <v>0.73332076302007543</v>
      </c>
      <c r="F72" s="10">
        <f t="shared" si="1"/>
        <v>0</v>
      </c>
      <c r="G72" s="10">
        <f t="shared" si="2"/>
        <v>0</v>
      </c>
      <c r="H72" s="10">
        <f t="shared" si="3"/>
        <v>2</v>
      </c>
      <c r="I72" s="12">
        <f>IF(MOD(B72,StepsEachYearQ2)=0,1+B72/StepsEachYearQ2,0)</f>
        <v>0</v>
      </c>
      <c r="M72" s="33"/>
    </row>
    <row r="73" spans="1:13" ht="13.15" thickBot="1" x14ac:dyDescent="0.4">
      <c r="A73" s="4"/>
      <c r="B73" s="13">
        <f t="shared" si="4"/>
        <v>43</v>
      </c>
      <c r="C73" s="21">
        <f t="shared" si="0"/>
        <v>45.375</v>
      </c>
      <c r="D73" s="4">
        <f>POWER(gompertz_g,POWER(gompertz_c,InitialAgeQ2)*(gompertz_c^('Question 2'!C73-InitialAgeQ2)-1))</f>
        <v>0.89819665380779412</v>
      </c>
      <c r="E73" s="21">
        <f>(1+IntRateQ2)^(-(C73-InitialAgeQ2))*D73</f>
        <v>0.72747359438258152</v>
      </c>
      <c r="F73" s="10">
        <f t="shared" si="1"/>
        <v>0</v>
      </c>
      <c r="G73" s="10">
        <f t="shared" si="2"/>
        <v>0</v>
      </c>
      <c r="H73" s="10">
        <f t="shared" si="3"/>
        <v>4</v>
      </c>
      <c r="I73" s="12">
        <f>IF(MOD(B73,StepsEachYearQ2)=0,1+B73/StepsEachYearQ2,0)</f>
        <v>0</v>
      </c>
      <c r="M73" s="33"/>
    </row>
    <row r="74" spans="1:13" ht="13.15" thickBot="1" x14ac:dyDescent="0.4">
      <c r="A74" s="4"/>
      <c r="B74" s="13">
        <f t="shared" si="4"/>
        <v>44</v>
      </c>
      <c r="C74" s="21">
        <f t="shared" si="0"/>
        <v>45.5</v>
      </c>
      <c r="D74" s="4">
        <f>POWER(gompertz_g,POWER(gompertz_c,InitialAgeQ2)*(gompertz_c^('Question 2'!C74-InitialAgeQ2)-1))</f>
        <v>0.89538385194756476</v>
      </c>
      <c r="E74" s="21">
        <f>(1+IntRateQ2)^(-(C74-InitialAgeQ2))*D74</f>
        <v>0.72164879631119483</v>
      </c>
      <c r="F74" s="10">
        <f t="shared" si="1"/>
        <v>0</v>
      </c>
      <c r="G74" s="10">
        <f t="shared" si="2"/>
        <v>0.5</v>
      </c>
      <c r="H74" s="10">
        <f t="shared" si="3"/>
        <v>2</v>
      </c>
      <c r="I74" s="12">
        <f>IF(MOD(B74,StepsEachYearQ2)=0,1+B74/StepsEachYearQ2,0)</f>
        <v>0</v>
      </c>
      <c r="M74" s="33"/>
    </row>
    <row r="75" spans="1:13" ht="13.15" thickBot="1" x14ac:dyDescent="0.4">
      <c r="A75" s="4"/>
      <c r="B75" s="13">
        <f t="shared" si="4"/>
        <v>45</v>
      </c>
      <c r="C75" s="21">
        <f t="shared" si="0"/>
        <v>45.625</v>
      </c>
      <c r="D75" s="4">
        <f>POWER(gompertz_g,POWER(gompertz_c,InitialAgeQ2)*(gompertz_c^('Question 2'!C75-InitialAgeQ2)-1))</f>
        <v>0.89254953831819828</v>
      </c>
      <c r="E75" s="21">
        <f>(1+IntRateQ2)^(-(C75-InitialAgeQ2))*D75</f>
        <v>0.71584631906461549</v>
      </c>
      <c r="F75" s="10">
        <f t="shared" si="1"/>
        <v>0</v>
      </c>
      <c r="G75" s="10">
        <f t="shared" si="2"/>
        <v>0</v>
      </c>
      <c r="H75" s="10">
        <f t="shared" si="3"/>
        <v>4</v>
      </c>
      <c r="I75" s="12">
        <f>IF(MOD(B75,StepsEachYearQ2)=0,1+B75/StepsEachYearQ2,0)</f>
        <v>0</v>
      </c>
      <c r="M75" s="33"/>
    </row>
    <row r="76" spans="1:13" ht="13.15" thickBot="1" x14ac:dyDescent="0.4">
      <c r="A76" s="4"/>
      <c r="B76" s="13">
        <f t="shared" si="4"/>
        <v>46</v>
      </c>
      <c r="C76" s="21">
        <f t="shared" si="0"/>
        <v>45.75</v>
      </c>
      <c r="D76" s="4">
        <f>POWER(gompertz_g,POWER(gompertz_c,InitialAgeQ2)*(gompertz_c^('Question 2'!C76-InitialAgeQ2)-1))</f>
        <v>0.88969364594276534</v>
      </c>
      <c r="E76" s="21">
        <f>(1+IntRateQ2)^(-(C76-InitialAgeQ2))*D76</f>
        <v>0.71006611455837665</v>
      </c>
      <c r="F76" s="10">
        <f t="shared" si="1"/>
        <v>0</v>
      </c>
      <c r="G76" s="10">
        <f t="shared" si="2"/>
        <v>0</v>
      </c>
      <c r="H76" s="10">
        <f t="shared" si="3"/>
        <v>2</v>
      </c>
      <c r="I76" s="12">
        <f>IF(MOD(B76,StepsEachYearQ2)=0,1+B76/StepsEachYearQ2,0)</f>
        <v>0</v>
      </c>
      <c r="M76" s="33"/>
    </row>
    <row r="77" spans="1:13" ht="13.15" thickBot="1" x14ac:dyDescent="0.4">
      <c r="A77" s="4"/>
      <c r="B77" s="13">
        <f t="shared" si="4"/>
        <v>47</v>
      </c>
      <c r="C77" s="21">
        <f t="shared" si="0"/>
        <v>45.875</v>
      </c>
      <c r="D77" s="4">
        <f>POWER(gompertz_g,POWER(gompertz_c,InitialAgeQ2)*(gompertz_c^('Question 2'!C77-InitialAgeQ2)-1))</f>
        <v>0.886816109878382</v>
      </c>
      <c r="E77" s="21">
        <f>(1+IntRateQ2)^(-(C77-InitialAgeQ2))*D77</f>
        <v>0.70430813637009726</v>
      </c>
      <c r="F77" s="10">
        <f t="shared" si="1"/>
        <v>0</v>
      </c>
      <c r="G77" s="10">
        <f t="shared" si="2"/>
        <v>0</v>
      </c>
      <c r="H77" s="10">
        <f t="shared" si="3"/>
        <v>4</v>
      </c>
      <c r="I77" s="12">
        <f>IF(MOD(B77,StepsEachYearQ2)=0,1+B77/StepsEachYearQ2,0)</f>
        <v>0</v>
      </c>
      <c r="M77" s="33"/>
    </row>
    <row r="78" spans="1:13" ht="13.15" thickBot="1" x14ac:dyDescent="0.4">
      <c r="A78" s="4"/>
      <c r="B78" s="13">
        <f t="shared" si="4"/>
        <v>48</v>
      </c>
      <c r="C78" s="21">
        <f t="shared" si="0"/>
        <v>46</v>
      </c>
      <c r="D78" s="4">
        <f>POWER(gompertz_g,POWER(gompertz_c,InitialAgeQ2)*(gompertz_c^('Question 2'!C78-InitialAgeQ2)-1))</f>
        <v>0.88391686727409813</v>
      </c>
      <c r="E78" s="21">
        <f>(1+IntRateQ2)^(-(C78-InitialAgeQ2))*D78</f>
        <v>0.69857233974460498</v>
      </c>
      <c r="F78" s="10">
        <f t="shared" si="1"/>
        <v>1</v>
      </c>
      <c r="G78" s="10">
        <f t="shared" si="2"/>
        <v>0.5</v>
      </c>
      <c r="H78" s="10">
        <f t="shared" si="3"/>
        <v>2</v>
      </c>
      <c r="I78" s="12">
        <f>IF(MOD(B78,StepsEachYearQ2)=0,1+B78/StepsEachYearQ2,0)</f>
        <v>7</v>
      </c>
      <c r="M78" s="33"/>
    </row>
    <row r="79" spans="1:13" ht="13.15" thickBot="1" x14ac:dyDescent="0.4">
      <c r="A79" s="4"/>
      <c r="B79" s="13">
        <f t="shared" si="4"/>
        <v>49</v>
      </c>
      <c r="C79" s="21">
        <f t="shared" si="0"/>
        <v>46.125</v>
      </c>
      <c r="D79" s="4">
        <f>POWER(gompertz_g,POWER(gompertz_c,InitialAgeQ2)*(gompertz_c^('Question 2'!C79-InitialAgeQ2)-1))</f>
        <v>0.88099585742955144</v>
      </c>
      <c r="E79" s="21">
        <f>(1+IntRateQ2)^(-(C79-InitialAgeQ2))*D79</f>
        <v>0.69285868159892638</v>
      </c>
      <c r="F79" s="10">
        <f t="shared" si="1"/>
        <v>0</v>
      </c>
      <c r="G79" s="10">
        <f t="shared" si="2"/>
        <v>0</v>
      </c>
      <c r="H79" s="10">
        <f t="shared" si="3"/>
        <v>4</v>
      </c>
      <c r="I79" s="12">
        <f>IF(MOD(B79,StepsEachYearQ2)=0,1+B79/StepsEachYearQ2,0)</f>
        <v>0</v>
      </c>
      <c r="M79" s="33"/>
    </row>
    <row r="80" spans="1:13" ht="13.15" thickBot="1" x14ac:dyDescent="0.4">
      <c r="A80" s="4"/>
      <c r="B80" s="13">
        <f t="shared" si="4"/>
        <v>50</v>
      </c>
      <c r="C80" s="21">
        <f t="shared" si="0"/>
        <v>46.25</v>
      </c>
      <c r="D80" s="4">
        <f>POWER(gompertz_g,POWER(gompertz_c,InitialAgeQ2)*(gompertz_c^('Question 2'!C80-InitialAgeQ2)-1))</f>
        <v>0.87805302185438361</v>
      </c>
      <c r="E80" s="21">
        <f>(1+IntRateQ2)^(-(C80-InitialAgeQ2))*D80</f>
        <v>0.68716712052713036</v>
      </c>
      <c r="F80" s="10">
        <f t="shared" si="1"/>
        <v>0</v>
      </c>
      <c r="G80" s="10">
        <f t="shared" si="2"/>
        <v>0</v>
      </c>
      <c r="H80" s="10">
        <f t="shared" si="3"/>
        <v>2</v>
      </c>
      <c r="I80" s="12">
        <f>IF(MOD(B80,StepsEachYearQ2)=0,1+B80/StepsEachYearQ2,0)</f>
        <v>0</v>
      </c>
      <c r="M80" s="33"/>
    </row>
    <row r="81" spans="1:13" ht="13.15" thickBot="1" x14ac:dyDescent="0.4">
      <c r="A81" s="4"/>
      <c r="B81" s="13">
        <f t="shared" si="4"/>
        <v>51</v>
      </c>
      <c r="C81" s="21">
        <f t="shared" si="0"/>
        <v>46.375</v>
      </c>
      <c r="D81" s="4">
        <f>POWER(gompertz_g,POWER(gompertz_c,InitialAgeQ2)*(gompertz_c^('Question 2'!C81-InitialAgeQ2)-1))</f>
        <v>0.87508830432841334</v>
      </c>
      <c r="E81" s="21">
        <f>(1+IntRateQ2)^(-(C81-InitialAgeQ2))*D81</f>
        <v>0.68149761680502396</v>
      </c>
      <c r="F81" s="10">
        <f t="shared" si="1"/>
        <v>0</v>
      </c>
      <c r="G81" s="10">
        <f t="shared" si="2"/>
        <v>0</v>
      </c>
      <c r="H81" s="10">
        <f t="shared" si="3"/>
        <v>4</v>
      </c>
      <c r="I81" s="12">
        <f>IF(MOD(B81,StepsEachYearQ2)=0,1+B81/StepsEachYearQ2,0)</f>
        <v>0</v>
      </c>
      <c r="M81" s="33"/>
    </row>
    <row r="82" spans="1:13" ht="13.15" thickBot="1" x14ac:dyDescent="0.4">
      <c r="A82" s="4"/>
      <c r="B82" s="13">
        <f t="shared" si="4"/>
        <v>52</v>
      </c>
      <c r="C82" s="21">
        <f t="shared" si="0"/>
        <v>46.5</v>
      </c>
      <c r="D82" s="4">
        <f>POWER(gompertz_g,POWER(gompertz_c,InitialAgeQ2)*(gompertz_c^('Question 2'!C82-InitialAgeQ2)-1))</f>
        <v>0.87210165096256331</v>
      </c>
      <c r="E82" s="21">
        <f>(1+IntRateQ2)^(-(C82-InitialAgeQ2))*D82</f>
        <v>0.67585013239468716</v>
      </c>
      <c r="F82" s="10">
        <f t="shared" si="1"/>
        <v>0</v>
      </c>
      <c r="G82" s="10">
        <f t="shared" si="2"/>
        <v>0.5</v>
      </c>
      <c r="H82" s="10">
        <f t="shared" si="3"/>
        <v>2</v>
      </c>
      <c r="I82" s="12">
        <f>IF(MOD(B82,StepsEachYearQ2)=0,1+B82/StepsEachYearQ2,0)</f>
        <v>0</v>
      </c>
      <c r="M82" s="33"/>
    </row>
    <row r="83" spans="1:13" ht="13.15" thickBot="1" x14ac:dyDescent="0.4">
      <c r="A83" s="4"/>
      <c r="B83" s="13">
        <f t="shared" si="4"/>
        <v>53</v>
      </c>
      <c r="C83" s="21">
        <f t="shared" si="0"/>
        <v>46.625</v>
      </c>
      <c r="D83" s="4">
        <f>POWER(gompertz_g,POWER(gompertz_c,InitialAgeQ2)*(gompertz_c^('Question 2'!C83-InitialAgeQ2)-1))</f>
        <v>0.86909301026053287</v>
      </c>
      <c r="E83" s="21">
        <f>(1+IntRateQ2)^(-(C83-InitialAgeQ2))*D83</f>
        <v>0.67022463094884177</v>
      </c>
      <c r="F83" s="10">
        <f t="shared" si="1"/>
        <v>0</v>
      </c>
      <c r="G83" s="10">
        <f t="shared" si="2"/>
        <v>0</v>
      </c>
      <c r="H83" s="10">
        <f t="shared" si="3"/>
        <v>4</v>
      </c>
      <c r="I83" s="12">
        <f>IF(MOD(B83,StepsEachYearQ2)=0,1+B83/StepsEachYearQ2,0)</f>
        <v>0</v>
      </c>
      <c r="M83" s="33"/>
    </row>
    <row r="84" spans="1:13" ht="13.15" thickBot="1" x14ac:dyDescent="0.4">
      <c r="A84" s="4"/>
      <c r="B84" s="13">
        <f t="shared" si="4"/>
        <v>54</v>
      </c>
      <c r="C84" s="21">
        <f t="shared" si="0"/>
        <v>46.75</v>
      </c>
      <c r="D84" s="4">
        <f>POWER(gompertz_g,POWER(gompertz_c,InitialAgeQ2)*(gompertz_c^('Question 2'!C84-InitialAgeQ2)-1))</f>
        <v>0.86606233318121217</v>
      </c>
      <c r="E84" s="21">
        <f>(1+IntRateQ2)^(-(C84-InitialAgeQ2))*D84</f>
        <v>0.66462107781504587</v>
      </c>
      <c r="F84" s="10">
        <f t="shared" si="1"/>
        <v>0</v>
      </c>
      <c r="G84" s="10">
        <f t="shared" si="2"/>
        <v>0</v>
      </c>
      <c r="H84" s="10">
        <f t="shared" si="3"/>
        <v>2</v>
      </c>
      <c r="I84" s="12">
        <f>IF(MOD(B84,StepsEachYearQ2)=0,1+B84/StepsEachYearQ2,0)</f>
        <v>0</v>
      </c>
      <c r="M84" s="33"/>
    </row>
    <row r="85" spans="1:13" ht="13.15" thickBot="1" x14ac:dyDescent="0.4">
      <c r="A85" s="4"/>
      <c r="B85" s="13">
        <f t="shared" si="4"/>
        <v>55</v>
      </c>
      <c r="C85" s="21">
        <f t="shared" si="0"/>
        <v>46.875</v>
      </c>
      <c r="D85" s="4">
        <f>POWER(gompertz_g,POWER(gompertz_c,InitialAgeQ2)*(gompertz_c^('Question 2'!C85-InitialAgeQ2)-1))</f>
        <v>0.86300957320182925</v>
      </c>
      <c r="E85" s="21">
        <f>(1+IntRateQ2)^(-(C85-InitialAgeQ2))*D85</f>
        <v>0.65903944003970227</v>
      </c>
      <c r="F85" s="10">
        <f t="shared" si="1"/>
        <v>0</v>
      </c>
      <c r="G85" s="10">
        <f t="shared" si="2"/>
        <v>0</v>
      </c>
      <c r="H85" s="10">
        <f t="shared" si="3"/>
        <v>4</v>
      </c>
      <c r="I85" s="12">
        <f>IF(MOD(B85,StepsEachYearQ2)=0,1+B85/StepsEachYearQ2,0)</f>
        <v>0</v>
      </c>
      <c r="M85" s="33"/>
    </row>
    <row r="86" spans="1:13" ht="13.15" thickBot="1" x14ac:dyDescent="0.4">
      <c r="A86" s="4"/>
      <c r="B86" s="13">
        <f t="shared" si="4"/>
        <v>56</v>
      </c>
      <c r="C86" s="21">
        <f t="shared" si="0"/>
        <v>47</v>
      </c>
      <c r="D86" s="4">
        <f>POWER(gompertz_g,POWER(gompertz_c,InitialAgeQ2)*(gompertz_c^('Question 2'!C86-InitialAgeQ2)-1))</f>
        <v>0.85993468638182402</v>
      </c>
      <c r="E86" s="21">
        <f>(1+IntRateQ2)^(-(C86-InitialAgeQ2))*D86</f>
        <v>0.65347968637187781</v>
      </c>
      <c r="F86" s="10">
        <f t="shared" si="1"/>
        <v>1</v>
      </c>
      <c r="G86" s="10">
        <f t="shared" si="2"/>
        <v>0.5</v>
      </c>
      <c r="H86" s="10">
        <f t="shared" si="3"/>
        <v>2</v>
      </c>
      <c r="I86" s="12">
        <f>IF(MOD(B86,StepsEachYearQ2)=0,1+B86/StepsEachYearQ2,0)</f>
        <v>8</v>
      </c>
      <c r="M86" s="33"/>
    </row>
    <row r="87" spans="1:13" ht="13.15" thickBot="1" x14ac:dyDescent="0.4">
      <c r="A87" s="4"/>
      <c r="B87" s="13">
        <f t="shared" si="4"/>
        <v>57</v>
      </c>
      <c r="C87" s="21">
        <f t="shared" si="0"/>
        <v>47.125</v>
      </c>
      <c r="D87" s="4">
        <f>POWER(gompertz_g,POWER(gompertz_c,InitialAgeQ2)*(gompertz_c^('Question 2'!C87-InitialAgeQ2)-1))</f>
        <v>0.85683763142743907</v>
      </c>
      <c r="E87" s="21">
        <f>(1+IntRateQ2)^(-(C87-InitialAgeQ2))*D87</f>
        <v>0.64794178726691964</v>
      </c>
      <c r="F87" s="10">
        <f t="shared" si="1"/>
        <v>0</v>
      </c>
      <c r="G87" s="10">
        <f t="shared" si="2"/>
        <v>0</v>
      </c>
      <c r="H87" s="10">
        <f t="shared" si="3"/>
        <v>4</v>
      </c>
      <c r="I87" s="12">
        <f>IF(MOD(B87,StepsEachYearQ2)=0,1+B87/StepsEachYearQ2,0)</f>
        <v>0</v>
      </c>
      <c r="M87" s="33"/>
    </row>
    <row r="88" spans="1:13" ht="13.15" thickBot="1" x14ac:dyDescent="0.4">
      <c r="A88" s="4"/>
      <c r="B88" s="13">
        <f t="shared" si="4"/>
        <v>58</v>
      </c>
      <c r="C88" s="21">
        <f t="shared" si="0"/>
        <v>47.25</v>
      </c>
      <c r="D88" s="4">
        <f>POWER(gompertz_g,POWER(gompertz_c,InitialAgeQ2)*(gompertz_c^('Question 2'!C88-InitialAgeQ2)-1))</f>
        <v>0.85371836975702031</v>
      </c>
      <c r="E88" s="21">
        <f>(1+IntRateQ2)^(-(C88-InitialAgeQ2))*D88</f>
        <v>0.64242571488986366</v>
      </c>
      <c r="F88" s="10">
        <f t="shared" si="1"/>
        <v>0</v>
      </c>
      <c r="G88" s="10">
        <f t="shared" si="2"/>
        <v>0</v>
      </c>
      <c r="H88" s="10">
        <f t="shared" si="3"/>
        <v>2</v>
      </c>
      <c r="I88" s="12">
        <f>IF(MOD(B88,StepsEachYearQ2)=0,1+B88/StepsEachYearQ2,0)</f>
        <v>0</v>
      </c>
      <c r="M88" s="33"/>
    </row>
    <row r="89" spans="1:13" ht="13.15" thickBot="1" x14ac:dyDescent="0.4">
      <c r="A89" s="4"/>
      <c r="B89" s="13">
        <f t="shared" si="4"/>
        <v>59</v>
      </c>
      <c r="C89" s="21">
        <f t="shared" si="0"/>
        <v>47.375</v>
      </c>
      <c r="D89" s="4">
        <f>POWER(gompertz_g,POWER(gompertz_c,InitialAgeQ2)*(gompertz_c^('Question 2'!C89-InitialAgeQ2)-1))</f>
        <v>0.85057686556701473</v>
      </c>
      <c r="E89" s="21">
        <f>(1+IntRateQ2)^(-(C89-InitialAgeQ2))*D89</f>
        <v>0.63693144311862049</v>
      </c>
      <c r="F89" s="10">
        <f t="shared" si="1"/>
        <v>0</v>
      </c>
      <c r="G89" s="10">
        <f t="shared" si="2"/>
        <v>0</v>
      </c>
      <c r="H89" s="10">
        <f t="shared" si="3"/>
        <v>4</v>
      </c>
      <c r="I89" s="12">
        <f>IF(MOD(B89,StepsEachYearQ2)=0,1+B89/StepsEachYearQ2,0)</f>
        <v>0</v>
      </c>
      <c r="M89" s="33"/>
    </row>
    <row r="90" spans="1:13" ht="13.15" thickBot="1" x14ac:dyDescent="0.4">
      <c r="A90" s="4"/>
      <c r="B90" s="13">
        <f t="shared" si="4"/>
        <v>60</v>
      </c>
      <c r="C90" s="21">
        <f t="shared" si="0"/>
        <v>47.5</v>
      </c>
      <c r="D90" s="4">
        <f>POWER(gompertz_g,POWER(gompertz_c,InitialAgeQ2)*(gompertz_c^('Question 2'!C90-InitialAgeQ2)-1))</f>
        <v>0.84741308589865805</v>
      </c>
      <c r="E90" s="21">
        <f>(1+IntRateQ2)^(-(C90-InitialAgeQ2))*D90</f>
        <v>0.63145894754693843</v>
      </c>
      <c r="F90" s="10">
        <f t="shared" si="1"/>
        <v>0</v>
      </c>
      <c r="G90" s="10">
        <f t="shared" si="2"/>
        <v>0.5</v>
      </c>
      <c r="H90" s="10">
        <f t="shared" si="3"/>
        <v>2</v>
      </c>
      <c r="I90" s="12">
        <f>IF(MOD(B90,StepsEachYearQ2)=0,1+B90/StepsEachYearQ2,0)</f>
        <v>0</v>
      </c>
      <c r="M90" s="33"/>
    </row>
    <row r="91" spans="1:13" ht="13.15" thickBot="1" x14ac:dyDescent="0.4">
      <c r="A91" s="4"/>
      <c r="B91" s="13">
        <f t="shared" si="4"/>
        <v>61</v>
      </c>
      <c r="C91" s="21">
        <f t="shared" si="0"/>
        <v>47.625</v>
      </c>
      <c r="D91" s="4">
        <f>POWER(gompertz_g,POWER(gompertz_c,InitialAgeQ2)*(gompertz_c^('Question 2'!C91-InitialAgeQ2)-1))</f>
        <v>0.84422700070533774</v>
      </c>
      <c r="E91" s="21">
        <f>(1+IntRateQ2)^(-(C91-InitialAgeQ2))*D91</f>
        <v>0.62600820548712377</v>
      </c>
      <c r="F91" s="10">
        <f t="shared" si="1"/>
        <v>0</v>
      </c>
      <c r="G91" s="10">
        <f t="shared" si="2"/>
        <v>0</v>
      </c>
      <c r="H91" s="10">
        <f t="shared" si="3"/>
        <v>4</v>
      </c>
      <c r="I91" s="12">
        <f>IF(MOD(B91,StepsEachYearQ2)=0,1+B91/StepsEachYearQ2,0)</f>
        <v>0</v>
      </c>
      <c r="M91" s="33"/>
    </row>
    <row r="92" spans="1:13" ht="13.15" thickBot="1" x14ac:dyDescent="0.4">
      <c r="A92" s="4"/>
      <c r="B92" s="13">
        <f t="shared" si="4"/>
        <v>62</v>
      </c>
      <c r="C92" s="21">
        <f t="shared" si="0"/>
        <v>47.75</v>
      </c>
      <c r="D92" s="4">
        <f>POWER(gompertz_g,POWER(gompertz_c,InitialAgeQ2)*(gompertz_c^('Question 2'!C92-InitialAgeQ2)-1))</f>
        <v>0.84101858292062204</v>
      </c>
      <c r="E92" s="21">
        <f>(1+IntRateQ2)^(-(C92-InitialAgeQ2))*D92</f>
        <v>0.62057919597251754</v>
      </c>
      <c r="F92" s="10">
        <f t="shared" si="1"/>
        <v>0</v>
      </c>
      <c r="G92" s="10">
        <f t="shared" si="2"/>
        <v>0</v>
      </c>
      <c r="H92" s="10">
        <f t="shared" si="3"/>
        <v>2</v>
      </c>
      <c r="I92" s="12">
        <f>IF(MOD(B92,StepsEachYearQ2)=0,1+B92/StepsEachYearQ2,0)</f>
        <v>0</v>
      </c>
      <c r="M92" s="33"/>
    </row>
    <row r="93" spans="1:13" ht="13.15" thickBot="1" x14ac:dyDescent="0.4">
      <c r="A93" s="4"/>
      <c r="B93" s="13">
        <f t="shared" si="4"/>
        <v>63</v>
      </c>
      <c r="C93" s="21">
        <f t="shared" si="0"/>
        <v>47.875</v>
      </c>
      <c r="D93" s="4">
        <f>POWER(gompertz_g,POWER(gompertz_c,InitialAgeQ2)*(gompertz_c^('Question 2'!C93-InitialAgeQ2)-1))</f>
        <v>0.83778780852693879</v>
      </c>
      <c r="E93" s="21">
        <f>(1+IntRateQ2)^(-(C93-InitialAgeQ2))*D93</f>
        <v>0.61517189975971198</v>
      </c>
      <c r="F93" s="10">
        <f t="shared" si="1"/>
        <v>0</v>
      </c>
      <c r="G93" s="10">
        <f t="shared" si="2"/>
        <v>0</v>
      </c>
      <c r="H93" s="10">
        <f t="shared" si="3"/>
        <v>4</v>
      </c>
      <c r="I93" s="12">
        <f>IF(MOD(B93,StepsEachYearQ2)=0,1+B93/StepsEachYearQ2,0)</f>
        <v>0</v>
      </c>
      <c r="M93" s="33"/>
    </row>
    <row r="94" spans="1:13" ht="13.15" thickBot="1" x14ac:dyDescent="0.4">
      <c r="A94" s="4"/>
      <c r="B94" s="13">
        <f t="shared" si="4"/>
        <v>64</v>
      </c>
      <c r="C94" s="21">
        <f t="shared" ref="C94:C157" si="5">InitialAgeQ2+B94*StepSizeQ2</f>
        <v>48</v>
      </c>
      <c r="D94" s="4">
        <f>POWER(gompertz_g,POWER(gompertz_c,InitialAgeQ2)*(gompertz_c^('Question 2'!C94-InitialAgeQ2)-1))</f>
        <v>0.83453465662489401</v>
      </c>
      <c r="E94" s="21">
        <f>(1+IntRateQ2)^(-(C94-InitialAgeQ2))*D94</f>
        <v>0.60978629933050399</v>
      </c>
      <c r="F94" s="10">
        <f t="shared" si="1"/>
        <v>1</v>
      </c>
      <c r="G94" s="10">
        <f t="shared" si="2"/>
        <v>0.5</v>
      </c>
      <c r="H94" s="10">
        <f t="shared" si="3"/>
        <v>2</v>
      </c>
      <c r="I94" s="12">
        <f>IF(MOD(B94,StepsEachYearQ2)=0,1+B94/StepsEachYearQ2,0)</f>
        <v>9</v>
      </c>
      <c r="M94" s="33"/>
    </row>
    <row r="95" spans="1:13" ht="13.15" thickBot="1" x14ac:dyDescent="0.4">
      <c r="A95" s="4"/>
      <c r="B95" s="13">
        <f t="shared" si="4"/>
        <v>65</v>
      </c>
      <c r="C95" s="21">
        <f t="shared" si="5"/>
        <v>48.125</v>
      </c>
      <c r="D95" s="4">
        <f>POWER(gompertz_g,POWER(gompertz_c,InitialAgeQ2)*(gompertz_c^('Question 2'!C95-InitialAgeQ2)-1))</f>
        <v>0.83125910950321058</v>
      </c>
      <c r="E95" s="21">
        <f>(1+IntRateQ2)^(-(C95-InitialAgeQ2))*D95</f>
        <v>0.6044223788935672</v>
      </c>
      <c r="F95" s="10">
        <f t="shared" ref="F95:F158" si="6">IF(MOD(B95,8)=0,1,0)</f>
        <v>0</v>
      </c>
      <c r="G95" s="10">
        <f t="shared" ref="G95:G158" si="7">IF(MOD(B95,4)=0,1/2,0)</f>
        <v>0</v>
      </c>
      <c r="H95" s="10">
        <f t="shared" ref="H95:H158" si="8">IF(B95=0,1,IF(ISEVEN(B95),2,4))</f>
        <v>4</v>
      </c>
      <c r="I95" s="12">
        <f>IF(MOD(B95,StepsEachYearQ2)=0,1+B95/StepsEachYearQ2,0)</f>
        <v>0</v>
      </c>
      <c r="M95" s="33"/>
    </row>
    <row r="96" spans="1:13" ht="13.15" thickBot="1" x14ac:dyDescent="0.4">
      <c r="A96" s="4"/>
      <c r="B96" s="13">
        <f t="shared" ref="B96:B159" si="9">B95+1</f>
        <v>66</v>
      </c>
      <c r="C96" s="21">
        <f t="shared" si="5"/>
        <v>48.25</v>
      </c>
      <c r="D96" s="4">
        <f>POWER(gompertz_g,POWER(gompertz_c,InitialAgeQ2)*(gompertz_c^('Question 2'!C96-InitialAgeQ2)-1))</f>
        <v>0.82796115270927684</v>
      </c>
      <c r="E96" s="21">
        <f>(1+IntRateQ2)^(-(C96-InitialAgeQ2))*D96</f>
        <v>0.5990801243858398</v>
      </c>
      <c r="F96" s="10">
        <f t="shared" si="6"/>
        <v>0</v>
      </c>
      <c r="G96" s="10">
        <f t="shared" si="7"/>
        <v>0</v>
      </c>
      <c r="H96" s="10">
        <f t="shared" si="8"/>
        <v>2</v>
      </c>
      <c r="I96" s="12">
        <f>IF(MOD(B96,StepsEachYearQ2)=0,1+B96/StepsEachYearQ2,0)</f>
        <v>0</v>
      </c>
      <c r="M96" s="33"/>
    </row>
    <row r="97" spans="1:13" ht="13.15" thickBot="1" x14ac:dyDescent="0.4">
      <c r="A97" s="4"/>
      <c r="B97" s="13">
        <f t="shared" si="9"/>
        <v>67</v>
      </c>
      <c r="C97" s="21">
        <f t="shared" si="5"/>
        <v>48.375</v>
      </c>
      <c r="D97" s="4">
        <f>POWER(gompertz_g,POWER(gompertz_c,InitialAgeQ2)*(gompertz_c^('Question 2'!C97-InitialAgeQ2)-1))</f>
        <v>0.82464077512028333</v>
      </c>
      <c r="E97" s="21">
        <f>(1+IntRateQ2)^(-(C97-InitialAgeQ2))*D97</f>
        <v>0.59375952347361283</v>
      </c>
      <c r="F97" s="10">
        <f t="shared" si="6"/>
        <v>0</v>
      </c>
      <c r="G97" s="10">
        <f t="shared" si="7"/>
        <v>0</v>
      </c>
      <c r="H97" s="10">
        <f t="shared" si="8"/>
        <v>4</v>
      </c>
      <c r="I97" s="12">
        <f>IF(MOD(B97,StepsEachYearQ2)=0,1+B97/StepsEachYearQ2,0)</f>
        <v>0</v>
      </c>
      <c r="M97" s="33"/>
    </row>
    <row r="98" spans="1:13" ht="13.15" thickBot="1" x14ac:dyDescent="0.4">
      <c r="A98" s="4"/>
      <c r="B98" s="13">
        <f t="shared" si="9"/>
        <v>68</v>
      </c>
      <c r="C98" s="21">
        <f t="shared" si="5"/>
        <v>48.5</v>
      </c>
      <c r="D98" s="4">
        <f>POWER(gompertz_g,POWER(gompertz_c,InitialAgeQ2)*(gompertz_c^('Question 2'!C98-InitialAgeQ2)-1))</f>
        <v>0.82129796901493368</v>
      </c>
      <c r="E98" s="21">
        <f>(1+IntRateQ2)^(-(C98-InitialAgeQ2))*D98</f>
        <v>0.58846056555331017</v>
      </c>
      <c r="F98" s="10">
        <f t="shared" si="6"/>
        <v>0</v>
      </c>
      <c r="G98" s="10">
        <f t="shared" si="7"/>
        <v>0.5</v>
      </c>
      <c r="H98" s="10">
        <f t="shared" si="8"/>
        <v>2</v>
      </c>
      <c r="I98" s="12">
        <f>IF(MOD(B98,StepsEachYearQ2)=0,1+B98/StepsEachYearQ2,0)</f>
        <v>0</v>
      </c>
      <c r="M98" s="33"/>
    </row>
    <row r="99" spans="1:13" ht="13.15" thickBot="1" x14ac:dyDescent="0.4">
      <c r="A99" s="4"/>
      <c r="B99" s="13">
        <f t="shared" si="9"/>
        <v>69</v>
      </c>
      <c r="C99" s="21">
        <f t="shared" si="5"/>
        <v>48.625</v>
      </c>
      <c r="D99" s="4">
        <f>POWER(gompertz_g,POWER(gompertz_c,InitialAgeQ2)*(gompertz_c^('Question 2'!C99-InitialAgeQ2)-1))</f>
        <v>0.81793273014570855</v>
      </c>
      <c r="E99" s="21">
        <f>(1+IntRateQ2)^(-(C99-InitialAgeQ2))*D99</f>
        <v>0.58318324175194958</v>
      </c>
      <c r="F99" s="10">
        <f t="shared" si="6"/>
        <v>0</v>
      </c>
      <c r="G99" s="10">
        <f t="shared" si="7"/>
        <v>0</v>
      </c>
      <c r="H99" s="10">
        <f t="shared" si="8"/>
        <v>4</v>
      </c>
      <c r="I99" s="12">
        <f>IF(MOD(B99,StepsEachYearQ2)=0,1+B99/StepsEachYearQ2,0)</f>
        <v>0</v>
      </c>
      <c r="M99" s="33"/>
    </row>
    <row r="100" spans="1:13" ht="13.15" thickBot="1" x14ac:dyDescent="0.4">
      <c r="A100" s="4"/>
      <c r="B100" s="13">
        <f t="shared" si="9"/>
        <v>70</v>
      </c>
      <c r="C100" s="21">
        <f t="shared" si="5"/>
        <v>48.75</v>
      </c>
      <c r="D100" s="4">
        <f>POWER(gompertz_g,POWER(gompertz_c,InitialAgeQ2)*(gompertz_c^('Question 2'!C100-InitialAgeQ2)-1))</f>
        <v>0.81454505781166586</v>
      </c>
      <c r="E100" s="21">
        <f>(1+IntRateQ2)^(-(C100-InitialAgeQ2))*D100</f>
        <v>0.57792754492727405</v>
      </c>
      <c r="F100" s="10">
        <f t="shared" si="6"/>
        <v>0</v>
      </c>
      <c r="G100" s="10">
        <f t="shared" si="7"/>
        <v>0</v>
      </c>
      <c r="H100" s="10">
        <f t="shared" si="8"/>
        <v>2</v>
      </c>
      <c r="I100" s="12">
        <f>IF(MOD(B100,StepsEachYearQ2)=0,1+B100/StepsEachYearQ2,0)</f>
        <v>0</v>
      </c>
      <c r="M100" s="33"/>
    </row>
    <row r="101" spans="1:13" ht="13.15" thickBot="1" x14ac:dyDescent="0.4">
      <c r="A101" s="4"/>
      <c r="B101" s="13">
        <f t="shared" si="9"/>
        <v>71</v>
      </c>
      <c r="C101" s="21">
        <f t="shared" si="5"/>
        <v>48.875</v>
      </c>
      <c r="D101" s="4">
        <f>POWER(gompertz_g,POWER(gompertz_c,InitialAgeQ2)*(gompertz_c^('Question 2'!C101-InitialAgeQ2)-1))</f>
        <v>0.81113495493175269</v>
      </c>
      <c r="E101" s="21">
        <f>(1+IntRateQ2)^(-(C101-InitialAgeQ2))*D101</f>
        <v>0.57269346966753898</v>
      </c>
      <c r="F101" s="10">
        <f t="shared" si="6"/>
        <v>0</v>
      </c>
      <c r="G101" s="10">
        <f t="shared" si="7"/>
        <v>0</v>
      </c>
      <c r="H101" s="10">
        <f t="shared" si="8"/>
        <v>4</v>
      </c>
      <c r="I101" s="12">
        <f>IF(MOD(B101,StepsEachYearQ2)=0,1+B101/StepsEachYearQ2,0)</f>
        <v>0</v>
      </c>
      <c r="M101" s="33"/>
    </row>
    <row r="102" spans="1:13" ht="13.15" thickBot="1" x14ac:dyDescent="0.4">
      <c r="A102" s="4"/>
      <c r="B102" s="13">
        <f t="shared" si="9"/>
        <v>72</v>
      </c>
      <c r="C102" s="21">
        <f t="shared" si="5"/>
        <v>49</v>
      </c>
      <c r="D102" s="4">
        <f>POWER(gompertz_g,POWER(gompertz_c,InitialAgeQ2)*(gompertz_c^('Question 2'!C102-InitialAgeQ2)-1))</f>
        <v>0.80770242811861159</v>
      </c>
      <c r="E102" s="21">
        <f>(1+IntRateQ2)^(-(C102-InitialAgeQ2))*D102</f>
        <v>0.56748101229095027</v>
      </c>
      <c r="F102" s="10">
        <f t="shared" si="6"/>
        <v>1</v>
      </c>
      <c r="G102" s="10">
        <f t="shared" si="7"/>
        <v>0.5</v>
      </c>
      <c r="H102" s="10">
        <f t="shared" si="8"/>
        <v>2</v>
      </c>
      <c r="I102" s="12">
        <f>IF(MOD(B102,StepsEachYearQ2)=0,1+B102/StepsEachYearQ2,0)</f>
        <v>10</v>
      </c>
      <c r="M102" s="33"/>
    </row>
    <row r="103" spans="1:13" ht="13.15" thickBot="1" x14ac:dyDescent="0.4">
      <c r="A103" s="4"/>
      <c r="B103" s="13">
        <f t="shared" si="9"/>
        <v>73</v>
      </c>
      <c r="C103" s="21">
        <f t="shared" si="5"/>
        <v>49.125</v>
      </c>
      <c r="D103" s="4">
        <f>POWER(gompertz_g,POWER(gompertz_c,InitialAgeQ2)*(gompertz_c^('Question 2'!C103-InitialAgeQ2)-1))</f>
        <v>0.8042474877528546</v>
      </c>
      <c r="E103" s="21">
        <f>(1+IntRateQ2)^(-(C103-InitialAgeQ2))*D103</f>
        <v>0.56229017084473587</v>
      </c>
      <c r="F103" s="10">
        <f t="shared" si="6"/>
        <v>0</v>
      </c>
      <c r="G103" s="10">
        <f t="shared" si="7"/>
        <v>0</v>
      </c>
      <c r="H103" s="10">
        <f t="shared" si="8"/>
        <v>4</v>
      </c>
      <c r="I103" s="12">
        <f>IF(MOD(B103,StepsEachYearQ2)=0,1+B103/StepsEachYearQ2,0)</f>
        <v>0</v>
      </c>
      <c r="M103" s="33"/>
    </row>
    <row r="104" spans="1:13" ht="13.15" thickBot="1" x14ac:dyDescent="0.4">
      <c r="A104" s="4"/>
      <c r="B104" s="13">
        <f t="shared" si="9"/>
        <v>74</v>
      </c>
      <c r="C104" s="21">
        <f t="shared" si="5"/>
        <v>49.25</v>
      </c>
      <c r="D104" s="4">
        <f>POWER(gompertz_g,POWER(gompertz_c,InitialAgeQ2)*(gompertz_c^('Question 2'!C104-InitialAgeQ2)-1))</f>
        <v>0.80077014805778479</v>
      </c>
      <c r="E104" s="21">
        <f>(1+IntRateQ2)^(-(C104-InitialAgeQ2))*D104</f>
        <v>0.55712094510384191</v>
      </c>
      <c r="F104" s="10">
        <f t="shared" si="6"/>
        <v>0</v>
      </c>
      <c r="G104" s="10">
        <f t="shared" si="7"/>
        <v>0</v>
      </c>
      <c r="H104" s="10">
        <f t="shared" si="8"/>
        <v>2</v>
      </c>
      <c r="I104" s="12">
        <f>IF(MOD(B104,StepsEachYearQ2)=0,1+B104/StepsEachYearQ2,0)</f>
        <v>0</v>
      </c>
      <c r="M104" s="33"/>
    </row>
    <row r="105" spans="1:13" ht="13.15" thickBot="1" x14ac:dyDescent="0.4">
      <c r="A105" s="4"/>
      <c r="B105" s="13">
        <f t="shared" si="9"/>
        <v>75</v>
      </c>
      <c r="C105" s="21">
        <f t="shared" si="5"/>
        <v>49.375</v>
      </c>
      <c r="D105" s="4">
        <f>POWER(gompertz_g,POWER(gompertz_c,InitialAgeQ2)*(gompertz_c^('Question 2'!C105-InitialAgeQ2)-1))</f>
        <v>0.79727042717453589</v>
      </c>
      <c r="E105" s="21">
        <f>(1+IntRateQ2)^(-(C105-InitialAgeQ2))*D105</f>
        <v>0.55197333656924175</v>
      </c>
      <c r="F105" s="10">
        <f t="shared" si="6"/>
        <v>0</v>
      </c>
      <c r="G105" s="10">
        <f t="shared" si="7"/>
        <v>0</v>
      </c>
      <c r="H105" s="10">
        <f t="shared" si="8"/>
        <v>4</v>
      </c>
      <c r="I105" s="12">
        <f>IF(MOD(B105,StepsEachYearQ2)=0,1+B105/StepsEachYearQ2,0)</f>
        <v>0</v>
      </c>
      <c r="M105" s="33"/>
    </row>
    <row r="106" spans="1:13" ht="13.15" thickBot="1" x14ac:dyDescent="0.4">
      <c r="A106" s="4"/>
      <c r="B106" s="13">
        <f t="shared" si="9"/>
        <v>76</v>
      </c>
      <c r="C106" s="21">
        <f t="shared" si="5"/>
        <v>49.5</v>
      </c>
      <c r="D106" s="4">
        <f>POWER(gompertz_g,POWER(gompertz_c,InitialAgeQ2)*(gompertz_c^('Question 2'!C106-InitialAgeQ2)-1))</f>
        <v>0.79374834723760879</v>
      </c>
      <c r="E106" s="21">
        <f>(1+IntRateQ2)^(-(C106-InitialAgeQ2))*D106</f>
        <v>0.54684734846584526</v>
      </c>
      <c r="F106" s="10">
        <f t="shared" si="6"/>
        <v>0</v>
      </c>
      <c r="G106" s="10">
        <f t="shared" si="7"/>
        <v>0.5</v>
      </c>
      <c r="H106" s="10">
        <f t="shared" si="8"/>
        <v>2</v>
      </c>
      <c r="I106" s="12">
        <f>IF(MOD(B106,StepsEachYearQ2)=0,1+B106/StepsEachYearQ2,0)</f>
        <v>0</v>
      </c>
      <c r="M106" s="33"/>
    </row>
    <row r="107" spans="1:13" ht="13.15" thickBot="1" x14ac:dyDescent="0.4">
      <c r="A107" s="4"/>
      <c r="B107" s="13">
        <f t="shared" si="9"/>
        <v>77</v>
      </c>
      <c r="C107" s="21">
        <f t="shared" si="5"/>
        <v>49.625</v>
      </c>
      <c r="D107" s="4">
        <f>POWER(gompertz_g,POWER(gompertz_c,InitialAgeQ2)*(gompertz_c^('Question 2'!C107-InitialAgeQ2)-1))</f>
        <v>0.79020393445077342</v>
      </c>
      <c r="E107" s="21">
        <f>(1+IntRateQ2)^(-(C107-InitialAgeQ2))*D107</f>
        <v>0.54174298573999657</v>
      </c>
      <c r="F107" s="10">
        <f t="shared" si="6"/>
        <v>0</v>
      </c>
      <c r="G107" s="10">
        <f t="shared" si="7"/>
        <v>0</v>
      </c>
      <c r="H107" s="10">
        <f t="shared" si="8"/>
        <v>4</v>
      </c>
      <c r="I107" s="12">
        <f>IF(MOD(B107,StepsEachYearQ2)=0,1+B107/StepsEachYearQ2,0)</f>
        <v>0</v>
      </c>
      <c r="M107" s="33"/>
    </row>
    <row r="108" spans="1:13" ht="13.15" thickBot="1" x14ac:dyDescent="0.4">
      <c r="A108" s="4"/>
      <c r="B108" s="13">
        <f t="shared" si="9"/>
        <v>78</v>
      </c>
      <c r="C108" s="21">
        <f t="shared" si="5"/>
        <v>49.75</v>
      </c>
      <c r="D108" s="4">
        <f>POWER(gompertz_g,POWER(gompertz_c,InitialAgeQ2)*(gompertz_c^('Question 2'!C108-InitialAgeQ2)-1))</f>
        <v>0.78663721916331042</v>
      </c>
      <c r="E108" s="21">
        <f>(1+IntRateQ2)^(-(C108-InitialAgeQ2))*D108</f>
        <v>0.53666025505654846</v>
      </c>
      <c r="F108" s="10">
        <f t="shared" si="6"/>
        <v>0</v>
      </c>
      <c r="G108" s="10">
        <f t="shared" si="7"/>
        <v>0</v>
      </c>
      <c r="H108" s="10">
        <f t="shared" si="8"/>
        <v>2</v>
      </c>
      <c r="I108" s="12">
        <f>IF(MOD(B108,StepsEachYearQ2)=0,1+B108/StepsEachYearQ2,0)</f>
        <v>0</v>
      </c>
      <c r="M108" s="33"/>
    </row>
    <row r="109" spans="1:13" ht="13.15" thickBot="1" x14ac:dyDescent="0.4">
      <c r="A109" s="4"/>
      <c r="B109" s="13">
        <f t="shared" si="9"/>
        <v>79</v>
      </c>
      <c r="C109" s="21">
        <f t="shared" si="5"/>
        <v>49.875</v>
      </c>
      <c r="D109" s="4">
        <f>POWER(gompertz_g,POWER(gompertz_c,InitialAgeQ2)*(gompertz_c^('Question 2'!C109-InitialAgeQ2)-1))</f>
        <v>0.7830482359465607</v>
      </c>
      <c r="E109" s="21">
        <f>(1+IntRateQ2)^(-(C109-InitialAgeQ2))*D109</f>
        <v>0.53159916479550007</v>
      </c>
      <c r="F109" s="10">
        <f t="shared" si="6"/>
        <v>0</v>
      </c>
      <c r="G109" s="10">
        <f t="shared" si="7"/>
        <v>0</v>
      </c>
      <c r="H109" s="10">
        <f t="shared" si="8"/>
        <v>4</v>
      </c>
      <c r="I109" s="12">
        <f>IF(MOD(B109,StepsEachYearQ2)=0,1+B109/StepsEachYearQ2,0)</f>
        <v>0</v>
      </c>
      <c r="M109" s="33"/>
    </row>
    <row r="110" spans="1:13" ht="13.15" thickBot="1" x14ac:dyDescent="0.4">
      <c r="A110" s="4"/>
      <c r="B110" s="13">
        <f t="shared" si="9"/>
        <v>80</v>
      </c>
      <c r="C110" s="21">
        <f t="shared" si="5"/>
        <v>50</v>
      </c>
      <c r="D110" s="4">
        <f>POWER(gompertz_g,POWER(gompertz_c,InitialAgeQ2)*(gompertz_c^('Question 2'!C110-InitialAgeQ2)-1))</f>
        <v>0.77943702367075285</v>
      </c>
      <c r="E110" s="21">
        <f>(1+IntRateQ2)^(-(C110-InitialAgeQ2))*D110</f>
        <v>0.52655972504818638</v>
      </c>
      <c r="F110" s="10">
        <f t="shared" si="6"/>
        <v>1</v>
      </c>
      <c r="G110" s="10">
        <f t="shared" si="7"/>
        <v>0.5</v>
      </c>
      <c r="H110" s="10">
        <f t="shared" si="8"/>
        <v>2</v>
      </c>
      <c r="I110" s="12">
        <f>IF(MOD(B110,StepsEachYearQ2)=0,1+B110/StepsEachYearQ2,0)</f>
        <v>11</v>
      </c>
      <c r="M110" s="33"/>
    </row>
    <row r="111" spans="1:13" ht="13.15" thickBot="1" x14ac:dyDescent="0.4">
      <c r="A111" s="4"/>
      <c r="B111" s="13">
        <f t="shared" si="9"/>
        <v>81</v>
      </c>
      <c r="C111" s="21">
        <f t="shared" si="5"/>
        <v>50.125</v>
      </c>
      <c r="D111" s="4">
        <f>POWER(gompertz_g,POWER(gompertz_c,InitialAgeQ2)*(gompertz_c^('Question 2'!C111-InitialAgeQ2)-1))</f>
        <v>0.77580362558207694</v>
      </c>
      <c r="E111" s="21">
        <f>(1+IntRateQ2)^(-(C111-InitialAgeQ2))*D111</f>
        <v>0.5215419476130071</v>
      </c>
      <c r="F111" s="10">
        <f t="shared" si="6"/>
        <v>0</v>
      </c>
      <c r="G111" s="10">
        <f t="shared" si="7"/>
        <v>0</v>
      </c>
      <c r="H111" s="10">
        <f t="shared" si="8"/>
        <v>4</v>
      </c>
      <c r="I111" s="12">
        <f>IF(MOD(B111,StepsEachYearQ2)=0,1+B111/StepsEachYearQ2,0)</f>
        <v>0</v>
      </c>
      <c r="M111" s="33"/>
    </row>
    <row r="112" spans="1:13" ht="13.15" thickBot="1" x14ac:dyDescent="0.4">
      <c r="A112" s="4"/>
      <c r="B112" s="13">
        <f t="shared" si="9"/>
        <v>82</v>
      </c>
      <c r="C112" s="21">
        <f t="shared" si="5"/>
        <v>50.25</v>
      </c>
      <c r="D112" s="4">
        <f>POWER(gompertz_g,POWER(gompertz_c,InitialAgeQ2)*(gompertz_c^('Question 2'!C112-InitialAgeQ2)-1))</f>
        <v>0.77214808937996915</v>
      </c>
      <c r="E112" s="21">
        <f>(1+IntRateQ2)^(-(C112-InitialAgeQ2))*D112</f>
        <v>0.5165458459906801</v>
      </c>
      <c r="F112" s="10">
        <f t="shared" si="6"/>
        <v>0</v>
      </c>
      <c r="G112" s="10">
        <f t="shared" si="7"/>
        <v>0</v>
      </c>
      <c r="H112" s="10">
        <f t="shared" si="8"/>
        <v>2</v>
      </c>
      <c r="I112" s="12">
        <f>IF(MOD(B112,StepsEachYearQ2)=0,1+B112/StepsEachYearQ2,0)</f>
        <v>0</v>
      </c>
      <c r="M112" s="33"/>
    </row>
    <row r="113" spans="1:13" ht="13.15" thickBot="1" x14ac:dyDescent="0.4">
      <c r="A113" s="4"/>
      <c r="B113" s="13">
        <f t="shared" si="9"/>
        <v>83</v>
      </c>
      <c r="C113" s="21">
        <f t="shared" si="5"/>
        <v>50.375</v>
      </c>
      <c r="D113" s="4">
        <f>POWER(gompertz_g,POWER(gompertz_c,InitialAgeQ2)*(gompertz_c^('Question 2'!C113-InitialAgeQ2)-1))</f>
        <v>0.76847046729457413</v>
      </c>
      <c r="E113" s="21">
        <f>(1+IntRateQ2)^(-(C113-InitialAgeQ2))*D113</f>
        <v>0.51157143537901018</v>
      </c>
      <c r="F113" s="10">
        <f t="shared" si="6"/>
        <v>0</v>
      </c>
      <c r="G113" s="10">
        <f t="shared" si="7"/>
        <v>0</v>
      </c>
      <c r="H113" s="10">
        <f t="shared" si="8"/>
        <v>4</v>
      </c>
      <c r="I113" s="12">
        <f>IF(MOD(B113,StepsEachYearQ2)=0,1+B113/StepsEachYearQ2,0)</f>
        <v>0</v>
      </c>
      <c r="M113" s="33"/>
    </row>
    <row r="114" spans="1:13" ht="13.15" thickBot="1" x14ac:dyDescent="0.4">
      <c r="A114" s="4"/>
      <c r="B114" s="13">
        <f t="shared" si="9"/>
        <v>84</v>
      </c>
      <c r="C114" s="21">
        <f t="shared" si="5"/>
        <v>50.5</v>
      </c>
      <c r="D114" s="4">
        <f>POWER(gompertz_g,POWER(gompertz_c,InitialAgeQ2)*(gompertz_c^('Question 2'!C114-InitialAgeQ2)-1))</f>
        <v>0.76477081616434806</v>
      </c>
      <c r="E114" s="21">
        <f>(1+IntRateQ2)^(-(C114-InitialAgeQ2))*D114</f>
        <v>0.5066187326671564</v>
      </c>
      <c r="F114" s="10">
        <f t="shared" si="6"/>
        <v>0</v>
      </c>
      <c r="G114" s="10">
        <f t="shared" si="7"/>
        <v>0.5</v>
      </c>
      <c r="H114" s="10">
        <f t="shared" si="8"/>
        <v>2</v>
      </c>
      <c r="I114" s="12">
        <f>IF(MOD(B114,StepsEachYearQ2)=0,1+B114/StepsEachYearQ2,0)</f>
        <v>0</v>
      </c>
      <c r="M114" s="33"/>
    </row>
    <row r="115" spans="1:13" ht="13.15" thickBot="1" x14ac:dyDescent="0.4">
      <c r="A115" s="4"/>
      <c r="B115" s="13">
        <f t="shared" si="9"/>
        <v>85</v>
      </c>
      <c r="C115" s="21">
        <f t="shared" si="5"/>
        <v>50.625</v>
      </c>
      <c r="D115" s="4">
        <f>POWER(gompertz_g,POWER(gompertz_c,InitialAgeQ2)*(gompertz_c^('Question 2'!C115-InitialAgeQ2)-1))</f>
        <v>0.76104919751376421</v>
      </c>
      <c r="E115" s="21">
        <f>(1+IntRateQ2)^(-(C115-InitialAgeQ2))*D115</f>
        <v>0.5016877564293879</v>
      </c>
      <c r="F115" s="10">
        <f t="shared" si="6"/>
        <v>0</v>
      </c>
      <c r="G115" s="10">
        <f t="shared" si="7"/>
        <v>0</v>
      </c>
      <c r="H115" s="10">
        <f t="shared" si="8"/>
        <v>4</v>
      </c>
      <c r="I115" s="12">
        <f>IF(MOD(B115,StepsEachYearQ2)=0,1+B115/StepsEachYearQ2,0)</f>
        <v>0</v>
      </c>
      <c r="M115" s="33"/>
    </row>
    <row r="116" spans="1:13" ht="13.15" thickBot="1" x14ac:dyDescent="0.4">
      <c r="A116" s="4"/>
      <c r="B116" s="13">
        <f t="shared" si="9"/>
        <v>86</v>
      </c>
      <c r="C116" s="21">
        <f t="shared" si="5"/>
        <v>50.75</v>
      </c>
      <c r="D116" s="4">
        <f>POWER(gompertz_g,POWER(gompertz_c,InitialAgeQ2)*(gompertz_c^('Question 2'!C116-InitialAgeQ2)-1))</f>
        <v>0.75730567763108425</v>
      </c>
      <c r="E116" s="21">
        <f>(1+IntRateQ2)^(-(C116-InitialAgeQ2))*D116</f>
        <v>0.4967785269183127</v>
      </c>
      <c r="F116" s="10">
        <f t="shared" si="6"/>
        <v>0</v>
      </c>
      <c r="G116" s="10">
        <f t="shared" si="7"/>
        <v>0</v>
      </c>
      <c r="H116" s="10">
        <f t="shared" si="8"/>
        <v>2</v>
      </c>
      <c r="I116" s="12">
        <f>IF(MOD(B116,StepsEachYearQ2)=0,1+B116/StepsEachYearQ2,0)</f>
        <v>0</v>
      </c>
      <c r="M116" s="33"/>
    </row>
    <row r="117" spans="1:13" ht="13.15" thickBot="1" x14ac:dyDescent="0.4">
      <c r="A117" s="4"/>
      <c r="B117" s="13">
        <f t="shared" si="9"/>
        <v>87</v>
      </c>
      <c r="C117" s="21">
        <f t="shared" si="5"/>
        <v>50.875</v>
      </c>
      <c r="D117" s="4">
        <f>POWER(gompertz_g,POWER(gompertz_c,InitialAgeQ2)*(gompertz_c^('Question 2'!C117-InitialAgeQ2)-1))</f>
        <v>0.75354032764615175</v>
      </c>
      <c r="E117" s="21">
        <f>(1+IntRateQ2)^(-(C117-InitialAgeQ2))*D117</f>
        <v>0.49189106605756783</v>
      </c>
      <c r="F117" s="10">
        <f t="shared" si="6"/>
        <v>0</v>
      </c>
      <c r="G117" s="10">
        <f t="shared" si="7"/>
        <v>0</v>
      </c>
      <c r="H117" s="10">
        <f t="shared" si="8"/>
        <v>4</v>
      </c>
      <c r="I117" s="12">
        <f>IF(MOD(B117,StepsEachYearQ2)=0,1+B117/StepsEachYearQ2,0)</f>
        <v>0</v>
      </c>
      <c r="M117" s="33"/>
    </row>
    <row r="118" spans="1:13" ht="13.15" thickBot="1" x14ac:dyDescent="0.4">
      <c r="A118" s="4"/>
      <c r="B118" s="13">
        <f t="shared" si="9"/>
        <v>88</v>
      </c>
      <c r="C118" s="21">
        <f t="shared" si="5"/>
        <v>51</v>
      </c>
      <c r="D118" s="4">
        <f>POWER(gompertz_g,POWER(gompertz_c,InitialAgeQ2)*(gompertz_c^('Question 2'!C118-InitialAgeQ2)-1))</f>
        <v>0.74975322360816843</v>
      </c>
      <c r="E118" s="21">
        <f>(1+IntRateQ2)^(-(C118-InitialAgeQ2))*D118</f>
        <v>0.48702539743395717</v>
      </c>
      <c r="F118" s="10">
        <f t="shared" si="6"/>
        <v>1</v>
      </c>
      <c r="G118" s="10">
        <f t="shared" si="7"/>
        <v>0.5</v>
      </c>
      <c r="H118" s="10">
        <f t="shared" si="8"/>
        <v>2</v>
      </c>
      <c r="I118" s="12">
        <f>IF(MOD(B118,StepsEachYearQ2)=0,1+B118/StepsEachYearQ2,0)</f>
        <v>12</v>
      </c>
      <c r="M118" s="33"/>
    </row>
    <row r="119" spans="1:13" ht="13.15" thickBot="1" x14ac:dyDescent="0.4">
      <c r="A119" s="4"/>
      <c r="B119" s="13">
        <f t="shared" si="9"/>
        <v>89</v>
      </c>
      <c r="C119" s="21">
        <f t="shared" si="5"/>
        <v>51.125</v>
      </c>
      <c r="D119" s="4">
        <f>POWER(gompertz_g,POWER(gompertz_c,InitialAgeQ2)*(gompertz_c^('Question 2'!C119-InitialAgeQ2)-1))</f>
        <v>0.74594444656340919</v>
      </c>
      <c r="E119" s="21">
        <f>(1+IntRateQ2)^(-(C119-InitialAgeQ2))*D119</f>
        <v>0.48218154628902193</v>
      </c>
      <c r="F119" s="10">
        <f t="shared" si="6"/>
        <v>0</v>
      </c>
      <c r="G119" s="10">
        <f t="shared" si="7"/>
        <v>0</v>
      </c>
      <c r="H119" s="10">
        <f t="shared" si="8"/>
        <v>4</v>
      </c>
      <c r="I119" s="12">
        <f>IF(MOD(B119,StepsEachYearQ2)=0,1+B119/StepsEachYearQ2,0)</f>
        <v>0</v>
      </c>
      <c r="M119" s="33"/>
    </row>
    <row r="120" spans="1:13" ht="13.15" thickBot="1" x14ac:dyDescent="0.4">
      <c r="A120" s="4"/>
      <c r="B120" s="13">
        <f t="shared" si="9"/>
        <v>90</v>
      </c>
      <c r="C120" s="21">
        <f t="shared" si="5"/>
        <v>51.25</v>
      </c>
      <c r="D120" s="4">
        <f>POWER(gompertz_g,POWER(gompertz_c,InitialAgeQ2)*(gompertz_c^('Question 2'!C120-InitialAgeQ2)-1))</f>
        <v>0.74211408263283152</v>
      </c>
      <c r="E120" s="21">
        <f>(1+IntRateQ2)^(-(C120-InitialAgeQ2))*D120</f>
        <v>0.47735953951003374</v>
      </c>
      <c r="F120" s="10">
        <f t="shared" si="6"/>
        <v>0</v>
      </c>
      <c r="G120" s="10">
        <f t="shared" si="7"/>
        <v>0</v>
      </c>
      <c r="H120" s="10">
        <f t="shared" si="8"/>
        <v>2</v>
      </c>
      <c r="I120" s="12">
        <f>IF(MOD(B120,StepsEachYearQ2)=0,1+B120/StepsEachYearQ2,0)</f>
        <v>0</v>
      </c>
      <c r="M120" s="33"/>
    </row>
    <row r="121" spans="1:13" ht="13.15" thickBot="1" x14ac:dyDescent="0.4">
      <c r="A121" s="4"/>
      <c r="B121" s="13">
        <f t="shared" si="9"/>
        <v>91</v>
      </c>
      <c r="C121" s="21">
        <f t="shared" si="5"/>
        <v>51.375</v>
      </c>
      <c r="D121" s="4">
        <f>POWER(gompertz_g,POWER(gompertz_c,InitialAgeQ2)*(gompertz_c^('Question 2'!C121-InitialAgeQ2)-1))</f>
        <v>0.73826222308953116</v>
      </c>
      <c r="E121" s="21">
        <f>(1+IntRateQ2)^(-(C121-InitialAgeQ2))*D121</f>
        <v>0.4725594056203915</v>
      </c>
      <c r="F121" s="10">
        <f t="shared" si="6"/>
        <v>0</v>
      </c>
      <c r="G121" s="10">
        <f t="shared" si="7"/>
        <v>0</v>
      </c>
      <c r="H121" s="10">
        <f t="shared" si="8"/>
        <v>4</v>
      </c>
      <c r="I121" s="12">
        <f>IF(MOD(B121,StepsEachYearQ2)=0,1+B121/StepsEachYearQ2,0)</f>
        <v>0</v>
      </c>
      <c r="M121" s="33"/>
    </row>
    <row r="122" spans="1:13" ht="13.15" thickBot="1" x14ac:dyDescent="0.4">
      <c r="A122" s="4"/>
      <c r="B122" s="13">
        <f t="shared" si="9"/>
        <v>92</v>
      </c>
      <c r="C122" s="21">
        <f t="shared" si="5"/>
        <v>51.5</v>
      </c>
      <c r="D122" s="4">
        <f>POWER(gompertz_g,POWER(gompertz_c,InitialAgeQ2)*(gompertz_c^('Question 2'!C122-InitialAgeQ2)-1))</f>
        <v>0.73438896443599999</v>
      </c>
      <c r="E122" s="21">
        <f>(1+IntRateQ2)^(-(C122-InitialAgeQ2))*D122</f>
        <v>0.46778117476941466</v>
      </c>
      <c r="F122" s="10">
        <f t="shared" si="6"/>
        <v>0</v>
      </c>
      <c r="G122" s="10">
        <f t="shared" si="7"/>
        <v>0.5</v>
      </c>
      <c r="H122" s="10">
        <f t="shared" si="8"/>
        <v>2</v>
      </c>
      <c r="I122" s="12">
        <f>IF(MOD(B122,StepsEachYearQ2)=0,1+B122/StepsEachYearQ2,0)</f>
        <v>0</v>
      </c>
      <c r="M122" s="33"/>
    </row>
    <row r="123" spans="1:13" ht="13.15" thickBot="1" x14ac:dyDescent="0.4">
      <c r="A123" s="4"/>
      <c r="B123" s="13">
        <f t="shared" si="9"/>
        <v>93</v>
      </c>
      <c r="C123" s="21">
        <f t="shared" si="5"/>
        <v>51.625</v>
      </c>
      <c r="D123" s="4">
        <f>POWER(gompertz_g,POWER(gompertz_c,InitialAgeQ2)*(gompertz_c^('Question 2'!C123-InitialAgeQ2)-1))</f>
        <v>0.73049440848113301</v>
      </c>
      <c r="E123" s="21">
        <f>(1+IntRateQ2)^(-(C123-InitialAgeQ2))*D123</f>
        <v>0.46302487872151349</v>
      </c>
      <c r="F123" s="10">
        <f t="shared" si="6"/>
        <v>0</v>
      </c>
      <c r="G123" s="10">
        <f t="shared" si="7"/>
        <v>0</v>
      </c>
      <c r="H123" s="10">
        <f t="shared" si="8"/>
        <v>4</v>
      </c>
      <c r="I123" s="12">
        <f>IF(MOD(B123,StepsEachYearQ2)=0,1+B123/StepsEachYearQ2,0)</f>
        <v>0</v>
      </c>
      <c r="M123" s="33"/>
    </row>
    <row r="124" spans="1:13" ht="13.15" thickBot="1" x14ac:dyDescent="0.4">
      <c r="A124" s="4"/>
      <c r="B124" s="13">
        <f t="shared" si="9"/>
        <v>94</v>
      </c>
      <c r="C124" s="21">
        <f t="shared" si="5"/>
        <v>51.75</v>
      </c>
      <c r="D124" s="4">
        <f>POWER(gompertz_g,POWER(gompertz_c,InitialAgeQ2)*(gompertz_c^('Question 2'!C124-InitialAgeQ2)-1))</f>
        <v>0.72657866241693636</v>
      </c>
      <c r="E124" s="21">
        <f>(1+IntRateQ2)^(-(C124-InitialAgeQ2))*D124</f>
        <v>0.45829055084472592</v>
      </c>
      <c r="F124" s="10">
        <f t="shared" si="6"/>
        <v>0</v>
      </c>
      <c r="G124" s="10">
        <f t="shared" si="7"/>
        <v>0</v>
      </c>
      <c r="H124" s="10">
        <f t="shared" si="8"/>
        <v>2</v>
      </c>
      <c r="I124" s="12">
        <f>IF(MOD(B124,StepsEachYearQ2)=0,1+B124/StepsEachYearQ2,0)</f>
        <v>0</v>
      </c>
      <c r="M124" s="33"/>
    </row>
    <row r="125" spans="1:13" ht="13.15" thickBot="1" x14ac:dyDescent="0.4">
      <c r="A125" s="4"/>
      <c r="B125" s="13">
        <f t="shared" si="9"/>
        <v>95</v>
      </c>
      <c r="C125" s="21">
        <f t="shared" si="5"/>
        <v>51.875</v>
      </c>
      <c r="D125" s="4">
        <f>POWER(gompertz_g,POWER(gompertz_c,InitialAgeQ2)*(gompertz_c^('Question 2'!C125-InitialAgeQ2)-1))</f>
        <v>0.72264183889488232</v>
      </c>
      <c r="E125" s="21">
        <f>(1+IntRateQ2)^(-(C125-InitialAgeQ2))*D125</f>
        <v>0.4535782260986071</v>
      </c>
      <c r="F125" s="10">
        <f t="shared" si="6"/>
        <v>0</v>
      </c>
      <c r="G125" s="10">
        <f t="shared" si="7"/>
        <v>0</v>
      </c>
      <c r="H125" s="10">
        <f t="shared" si="8"/>
        <v>4</v>
      </c>
      <c r="I125" s="12">
        <f>IF(MOD(B125,StepsEachYearQ2)=0,1+B125/StepsEachYearQ2,0)</f>
        <v>0</v>
      </c>
      <c r="M125" s="33"/>
    </row>
    <row r="126" spans="1:13" ht="13.15" thickBot="1" x14ac:dyDescent="0.4">
      <c r="A126" s="4"/>
      <c r="B126" s="13">
        <f t="shared" si="9"/>
        <v>96</v>
      </c>
      <c r="C126" s="21">
        <f t="shared" si="5"/>
        <v>52</v>
      </c>
      <c r="D126" s="4">
        <f>POWER(gompertz_g,POWER(gompertz_c,InitialAgeQ2)*(gompertz_c^('Question 2'!C126-InitialAgeQ2)-1))</f>
        <v>0.71868405610185904</v>
      </c>
      <c r="E126" s="21">
        <f>(1+IntRateQ2)^(-(C126-InitialAgeQ2))*D126</f>
        <v>0.44888794102145513</v>
      </c>
      <c r="F126" s="10">
        <f t="shared" si="6"/>
        <v>1</v>
      </c>
      <c r="G126" s="10">
        <f t="shared" si="7"/>
        <v>0.5</v>
      </c>
      <c r="H126" s="10">
        <f t="shared" si="8"/>
        <v>2</v>
      </c>
      <c r="I126" s="12">
        <f>IF(MOD(B126,StepsEachYearQ2)=0,1+B126/StepsEachYearQ2,0)</f>
        <v>13</v>
      </c>
      <c r="M126" s="33"/>
    </row>
    <row r="127" spans="1:13" ht="13.15" thickBot="1" x14ac:dyDescent="0.4">
      <c r="A127" s="4"/>
      <c r="B127" s="13">
        <f t="shared" si="9"/>
        <v>97</v>
      </c>
      <c r="C127" s="21">
        <f t="shared" si="5"/>
        <v>52.125</v>
      </c>
      <c r="D127" s="4">
        <f>POWER(gompertz_g,POWER(gompertz_c,InitialAgeQ2)*(gompertz_c^('Question 2'!C127-InitialAgeQ2)-1))</f>
        <v>0.71470543783565665</v>
      </c>
      <c r="E127" s="21">
        <f>(1+IntRateQ2)^(-(C127-InitialAgeQ2))*D127</f>
        <v>0.4442197337168633</v>
      </c>
      <c r="F127" s="10">
        <f t="shared" si="6"/>
        <v>0</v>
      </c>
      <c r="G127" s="10">
        <f t="shared" si="7"/>
        <v>0</v>
      </c>
      <c r="H127" s="10">
        <f t="shared" si="8"/>
        <v>4</v>
      </c>
      <c r="I127" s="12">
        <f>IF(MOD(B127,StepsEachYearQ2)=0,1+B127/StepsEachYearQ2,0)</f>
        <v>0</v>
      </c>
      <c r="M127" s="33"/>
    </row>
    <row r="128" spans="1:13" ht="13.15" thickBot="1" x14ac:dyDescent="0.4">
      <c r="A128" s="4"/>
      <c r="B128" s="13">
        <f t="shared" si="9"/>
        <v>98</v>
      </c>
      <c r="C128" s="21">
        <f t="shared" si="5"/>
        <v>52.25</v>
      </c>
      <c r="D128" s="4">
        <f>POWER(gompertz_g,POWER(gompertz_c,InitialAgeQ2)*(gompertz_c^('Question 2'!C128-InitialAgeQ2)-1))</f>
        <v>0.71070611357993829</v>
      </c>
      <c r="E128" s="21">
        <f>(1+IntRateQ2)^(-(C128-InitialAgeQ2))*D128</f>
        <v>0.4395736438395812</v>
      </c>
      <c r="F128" s="10">
        <f t="shared" si="6"/>
        <v>0</v>
      </c>
      <c r="G128" s="10">
        <f t="shared" si="7"/>
        <v>0</v>
      </c>
      <c r="H128" s="10">
        <f t="shared" si="8"/>
        <v>2</v>
      </c>
      <c r="I128" s="12">
        <f>IF(MOD(B128,StepsEachYearQ2)=0,1+B128/StepsEachYearQ2,0)</f>
        <v>0</v>
      </c>
      <c r="M128" s="33"/>
    </row>
    <row r="129" spans="1:13" ht="13.15" thickBot="1" x14ac:dyDescent="0.4">
      <c r="A129" s="4"/>
      <c r="B129" s="13">
        <f t="shared" si="9"/>
        <v>99</v>
      </c>
      <c r="C129" s="21">
        <f t="shared" si="5"/>
        <v>52.375</v>
      </c>
      <c r="D129" s="4">
        <f>POWER(gompertz_g,POWER(gompertz_c,InitialAgeQ2)*(gompertz_c^('Question 2'!C129-InitialAgeQ2)-1))</f>
        <v>0.70668621857862879</v>
      </c>
      <c r="E129" s="21">
        <f>(1+IntRateQ2)^(-(C129-InitialAgeQ2))*D129</f>
        <v>0.43494971258067328</v>
      </c>
      <c r="F129" s="10">
        <f t="shared" si="6"/>
        <v>0</v>
      </c>
      <c r="G129" s="10">
        <f t="shared" si="7"/>
        <v>0</v>
      </c>
      <c r="H129" s="10">
        <f t="shared" si="8"/>
        <v>4</v>
      </c>
      <c r="I129" s="12">
        <f>IF(MOD(B129,StepsEachYearQ2)=0,1+B129/StepsEachYearQ2,0)</f>
        <v>0</v>
      </c>
      <c r="M129" s="33"/>
    </row>
    <row r="130" spans="1:13" ht="13.15" thickBot="1" x14ac:dyDescent="0.4">
      <c r="A130" s="4"/>
      <c r="B130" s="13">
        <f t="shared" si="9"/>
        <v>100</v>
      </c>
      <c r="C130" s="21">
        <f t="shared" si="5"/>
        <v>52.5</v>
      </c>
      <c r="D130" s="4">
        <f>POWER(gompertz_g,POWER(gompertz_c,InitialAgeQ2)*(gompertz_c^('Question 2'!C130-InitialAgeQ2)-1))</f>
        <v>0.70264589390967036</v>
      </c>
      <c r="E130" s="21">
        <f>(1+IntRateQ2)^(-(C130-InitialAgeQ2))*D130</f>
        <v>0.430347982651961</v>
      </c>
      <c r="F130" s="10">
        <f t="shared" si="6"/>
        <v>0</v>
      </c>
      <c r="G130" s="10">
        <f t="shared" si="7"/>
        <v>0.5</v>
      </c>
      <c r="H130" s="10">
        <f t="shared" si="8"/>
        <v>2</v>
      </c>
      <c r="I130" s="12">
        <f>IF(MOD(B130,StepsEachYearQ2)=0,1+B130/StepsEachYearQ2,0)</f>
        <v>0</v>
      </c>
      <c r="M130" s="33"/>
    </row>
    <row r="131" spans="1:13" ht="13.15" thickBot="1" x14ac:dyDescent="0.4">
      <c r="A131" s="4"/>
      <c r="B131" s="13">
        <f t="shared" si="9"/>
        <v>101</v>
      </c>
      <c r="C131" s="21">
        <f t="shared" si="5"/>
        <v>52.625</v>
      </c>
      <c r="D131" s="4">
        <f>POWER(gompertz_g,POWER(gompertz_c,InitialAgeQ2)*(gompertz_c^('Question 2'!C131-InitialAgeQ2)-1))</f>
        <v>0.6985852865580745</v>
      </c>
      <c r="E131" s="21">
        <f>(1+IntRateQ2)^(-(C131-InitialAgeQ2))*D131</f>
        <v>0.42576849826973207</v>
      </c>
      <c r="F131" s="10">
        <f t="shared" si="6"/>
        <v>0</v>
      </c>
      <c r="G131" s="10">
        <f t="shared" si="7"/>
        <v>0</v>
      </c>
      <c r="H131" s="10">
        <f t="shared" si="8"/>
        <v>4</v>
      </c>
      <c r="I131" s="12">
        <f>IF(MOD(B131,StepsEachYearQ2)=0,1+B131/StepsEachYearQ2,0)</f>
        <v>0</v>
      </c>
      <c r="M131" s="33"/>
    </row>
    <row r="132" spans="1:13" ht="13.15" thickBot="1" x14ac:dyDescent="0.4">
      <c r="A132" s="4"/>
      <c r="B132" s="13">
        <f t="shared" si="9"/>
        <v>102</v>
      </c>
      <c r="C132" s="21">
        <f t="shared" si="5"/>
        <v>52.75</v>
      </c>
      <c r="D132" s="4">
        <f>POWER(gompertz_g,POWER(gompertz_c,InitialAgeQ2)*(gompertz_c^('Question 2'!C132-InitialAgeQ2)-1))</f>
        <v>0.6945045494882135</v>
      </c>
      <c r="E132" s="21">
        <f>(1+IntRateQ2)^(-(C132-InitialAgeQ2))*D132</f>
        <v>0.42121130513770771</v>
      </c>
      <c r="F132" s="10">
        <f t="shared" si="6"/>
        <v>0</v>
      </c>
      <c r="G132" s="10">
        <f t="shared" si="7"/>
        <v>0</v>
      </c>
      <c r="H132" s="10">
        <f t="shared" si="8"/>
        <v>2</v>
      </c>
      <c r="I132" s="12">
        <f>IF(MOD(B132,StepsEachYearQ2)=0,1+B132/StepsEachYearQ2,0)</f>
        <v>0</v>
      </c>
      <c r="M132" s="33"/>
    </row>
    <row r="133" spans="1:13" ht="13.15" thickBot="1" x14ac:dyDescent="0.4">
      <c r="A133" s="4"/>
      <c r="B133" s="13">
        <f t="shared" si="9"/>
        <v>103</v>
      </c>
      <c r="C133" s="21">
        <f t="shared" si="5"/>
        <v>52.875</v>
      </c>
      <c r="D133" s="4">
        <f>POWER(gompertz_g,POWER(gompertz_c,InitialAgeQ2)*(gompertz_c^('Question 2'!C133-InitialAgeQ2)-1))</f>
        <v>0.6904038417152828</v>
      </c>
      <c r="E133" s="21">
        <f>(1+IntRateQ2)^(-(C133-InitialAgeQ2))*D133</f>
        <v>0.41667645042925072</v>
      </c>
      <c r="F133" s="10">
        <f t="shared" si="6"/>
        <v>0</v>
      </c>
      <c r="G133" s="10">
        <f t="shared" si="7"/>
        <v>0</v>
      </c>
      <c r="H133" s="10">
        <f t="shared" si="8"/>
        <v>4</v>
      </c>
      <c r="I133" s="12">
        <f>IF(MOD(B133,StepsEachYearQ2)=0,1+B133/StepsEachYearQ2,0)</f>
        <v>0</v>
      </c>
      <c r="M133" s="33"/>
    </row>
    <row r="134" spans="1:13" ht="13.15" thickBot="1" x14ac:dyDescent="0.4">
      <c r="A134" s="4"/>
      <c r="B134" s="13">
        <f t="shared" si="9"/>
        <v>104</v>
      </c>
      <c r="C134" s="21">
        <f t="shared" si="5"/>
        <v>53</v>
      </c>
      <c r="D134" s="4">
        <f>POWER(gompertz_g,POWER(gompertz_c,InitialAgeQ2)*(gompertz_c^('Question 2'!C134-InitialAgeQ2)-1))</f>
        <v>0.68628332837586692</v>
      </c>
      <c r="E134" s="21">
        <f>(1+IntRateQ2)^(-(C134-InitialAgeQ2))*D134</f>
        <v>0.4121639827688014</v>
      </c>
      <c r="F134" s="10">
        <f t="shared" si="6"/>
        <v>1</v>
      </c>
      <c r="G134" s="10">
        <f t="shared" si="7"/>
        <v>0.5</v>
      </c>
      <c r="H134" s="10">
        <f t="shared" si="8"/>
        <v>2</v>
      </c>
      <c r="I134" s="12">
        <f>IF(MOD(B134,StepsEachYearQ2)=0,1+B134/StepsEachYearQ2,0)</f>
        <v>14</v>
      </c>
      <c r="M134" s="33"/>
    </row>
    <row r="135" spans="1:13" ht="13.15" thickBot="1" x14ac:dyDescent="0.4">
      <c r="A135" s="4"/>
      <c r="B135" s="13">
        <f t="shared" si="9"/>
        <v>105</v>
      </c>
      <c r="C135" s="21">
        <f t="shared" si="5"/>
        <v>53.125</v>
      </c>
      <c r="D135" s="4">
        <f>POWER(gompertz_g,POWER(gompertz_c,InitialAgeQ2)*(gompertz_c^('Question 2'!C135-InitialAgeQ2)-1))</f>
        <v>0.68214318079754255</v>
      </c>
      <c r="E135" s="21">
        <f>(1+IntRateQ2)^(-(C135-InitialAgeQ2))*D135</f>
        <v>0.40767395221252956</v>
      </c>
      <c r="F135" s="10">
        <f t="shared" si="6"/>
        <v>0</v>
      </c>
      <c r="G135" s="10">
        <f t="shared" si="7"/>
        <v>0</v>
      </c>
      <c r="H135" s="10">
        <f t="shared" si="8"/>
        <v>4</v>
      </c>
      <c r="I135" s="12">
        <f>IF(MOD(B135,StepsEachYearQ2)=0,1+B135/StepsEachYearQ2,0)</f>
        <v>0</v>
      </c>
      <c r="M135" s="33"/>
    </row>
    <row r="136" spans="1:13" ht="13.15" thickBot="1" x14ac:dyDescent="0.4">
      <c r="A136" s="4"/>
      <c r="B136" s="13">
        <f t="shared" si="9"/>
        <v>106</v>
      </c>
      <c r="C136" s="21">
        <f t="shared" si="5"/>
        <v>53.25</v>
      </c>
      <c r="D136" s="4">
        <f>POWER(gompertz_g,POWER(gompertz_c,InitialAgeQ2)*(gompertz_c^('Question 2'!C136-InitialAgeQ2)-1))</f>
        <v>0.6779835765674489</v>
      </c>
      <c r="E136" s="21">
        <f>(1+IntRateQ2)^(-(C136-InitialAgeQ2))*D136</f>
        <v>0.40320641022818754</v>
      </c>
      <c r="F136" s="10">
        <f t="shared" si="6"/>
        <v>0</v>
      </c>
      <c r="G136" s="10">
        <f t="shared" si="7"/>
        <v>0</v>
      </c>
      <c r="H136" s="10">
        <f t="shared" si="8"/>
        <v>2</v>
      </c>
      <c r="I136" s="12">
        <f>IF(MOD(B136,StepsEachYearQ2)=0,1+B136/StepsEachYearQ2,0)</f>
        <v>0</v>
      </c>
      <c r="M136" s="33"/>
    </row>
    <row r="137" spans="1:13" ht="13.15" thickBot="1" x14ac:dyDescent="0.4">
      <c r="A137" s="4"/>
      <c r="B137" s="13">
        <f t="shared" si="9"/>
        <v>107</v>
      </c>
      <c r="C137" s="21">
        <f t="shared" si="5"/>
        <v>53.375</v>
      </c>
      <c r="D137" s="4">
        <f>POWER(gompertz_g,POWER(gompertz_c,InitialAgeQ2)*(gompertz_c^('Question 2'!C137-InitialAgeQ2)-1))</f>
        <v>0.67380469959974976</v>
      </c>
      <c r="E137" s="21">
        <f>(1+IntRateQ2)^(-(C137-InitialAgeQ2))*D137</f>
        <v>0.39876140967415169</v>
      </c>
      <c r="F137" s="10">
        <f t="shared" si="6"/>
        <v>0</v>
      </c>
      <c r="G137" s="10">
        <f t="shared" si="7"/>
        <v>0</v>
      </c>
      <c r="H137" s="10">
        <f t="shared" si="8"/>
        <v>4</v>
      </c>
      <c r="I137" s="12">
        <f>IF(MOD(B137,StepsEachYearQ2)=0,1+B137/StepsEachYearQ2,0)</f>
        <v>0</v>
      </c>
      <c r="M137" s="33"/>
    </row>
    <row r="138" spans="1:13" ht="13.15" thickBot="1" x14ac:dyDescent="0.4">
      <c r="A138" s="4"/>
      <c r="B138" s="13">
        <f t="shared" si="9"/>
        <v>108</v>
      </c>
      <c r="C138" s="21">
        <f t="shared" si="5"/>
        <v>53.5</v>
      </c>
      <c r="D138" s="4">
        <f>POWER(gompertz_g,POWER(gompertz_c,InitialAgeQ2)*(gompertz_c^('Question 2'!C138-InitialAgeQ2)-1))</f>
        <v>0.66960674020191802</v>
      </c>
      <c r="E138" s="21">
        <f>(1+IntRateQ2)^(-(C138-InitialAgeQ2))*D138</f>
        <v>0.39433900477763878</v>
      </c>
      <c r="F138" s="10">
        <f t="shared" si="6"/>
        <v>0</v>
      </c>
      <c r="G138" s="10">
        <f t="shared" si="7"/>
        <v>0.5</v>
      </c>
      <c r="H138" s="10">
        <f t="shared" si="8"/>
        <v>2</v>
      </c>
      <c r="I138" s="12">
        <f>IF(MOD(B138,StepsEachYearQ2)=0,1+B138/StepsEachYearQ2,0)</f>
        <v>0</v>
      </c>
      <c r="M138" s="33"/>
    </row>
    <row r="139" spans="1:13" ht="13.15" thickBot="1" x14ac:dyDescent="0.4">
      <c r="A139" s="4"/>
      <c r="B139" s="13">
        <f t="shared" si="9"/>
        <v>109</v>
      </c>
      <c r="C139" s="21">
        <f t="shared" si="5"/>
        <v>53.625</v>
      </c>
      <c r="D139" s="4">
        <f>POWER(gompertz_g,POWER(gompertz_c,InitialAgeQ2)*(gompertz_c^('Question 2'!C139-InitialAgeQ2)-1))</f>
        <v>0.66538989513976698</v>
      </c>
      <c r="E139" s="21">
        <f>(1+IntRateQ2)^(-(C139-InitialAgeQ2))*D139</f>
        <v>0.38993925111208655</v>
      </c>
      <c r="F139" s="10">
        <f t="shared" si="6"/>
        <v>0</v>
      </c>
      <c r="G139" s="10">
        <f t="shared" si="7"/>
        <v>0</v>
      </c>
      <c r="H139" s="10">
        <f t="shared" si="8"/>
        <v>4</v>
      </c>
      <c r="I139" s="12">
        <f>IF(MOD(B139,StepsEachYearQ2)=0,1+B139/StepsEachYearQ2,0)</f>
        <v>0</v>
      </c>
      <c r="M139" s="33"/>
    </row>
    <row r="140" spans="1:13" ht="13.15" thickBot="1" x14ac:dyDescent="0.4">
      <c r="A140" s="4"/>
      <c r="B140" s="13">
        <f t="shared" si="9"/>
        <v>110</v>
      </c>
      <c r="C140" s="21">
        <f t="shared" si="5"/>
        <v>53.75</v>
      </c>
      <c r="D140" s="4">
        <f>POWER(gompertz_g,POWER(gompertz_c,InitialAgeQ2)*(gompertz_c^('Question 2'!C140-InitialAgeQ2)-1))</f>
        <v>0.66115436770114899</v>
      </c>
      <c r="E140" s="21">
        <f>(1+IntRateQ2)^(-(C140-InitialAgeQ2))*D140</f>
        <v>0.38556220557368143</v>
      </c>
      <c r="F140" s="10">
        <f t="shared" si="6"/>
        <v>0</v>
      </c>
      <c r="G140" s="10">
        <f t="shared" si="7"/>
        <v>0</v>
      </c>
      <c r="H140" s="10">
        <f t="shared" si="8"/>
        <v>2</v>
      </c>
      <c r="I140" s="12">
        <f>IF(MOD(B140,StepsEachYearQ2)=0,1+B140/StepsEachYearQ2,0)</f>
        <v>0</v>
      </c>
      <c r="M140" s="33"/>
    </row>
    <row r="141" spans="1:13" ht="13.15" thickBot="1" x14ac:dyDescent="0.4">
      <c r="A141" s="4"/>
      <c r="B141" s="13">
        <f t="shared" si="9"/>
        <v>111</v>
      </c>
      <c r="C141" s="21">
        <f t="shared" si="5"/>
        <v>53.875</v>
      </c>
      <c r="D141" s="4">
        <f>POWER(gompertz_g,POWER(gompertz_c,InitialAgeQ2)*(gompertz_c^('Question 2'!C141-InitialAgeQ2)-1))</f>
        <v>0.65690036775824623</v>
      </c>
      <c r="E141" s="21">
        <f>(1+IntRateQ2)^(-(C141-InitialAgeQ2))*D141</f>
        <v>0.38120792635702572</v>
      </c>
      <c r="F141" s="10">
        <f t="shared" si="6"/>
        <v>0</v>
      </c>
      <c r="G141" s="10">
        <f t="shared" si="7"/>
        <v>0</v>
      </c>
      <c r="H141" s="10">
        <f t="shared" si="8"/>
        <v>4</v>
      </c>
      <c r="I141" s="12">
        <f>IF(MOD(B141,StepsEachYearQ2)=0,1+B141/StepsEachYearQ2,0)</f>
        <v>0</v>
      </c>
      <c r="M141" s="33"/>
    </row>
    <row r="142" spans="1:13" ht="13.15" thickBot="1" x14ac:dyDescent="0.4">
      <c r="A142" s="4"/>
      <c r="B142" s="13">
        <f t="shared" si="9"/>
        <v>112</v>
      </c>
      <c r="C142" s="21">
        <f t="shared" si="5"/>
        <v>54</v>
      </c>
      <c r="D142" s="4">
        <f>POWER(gompertz_g,POWER(gompertz_c,InitialAgeQ2)*(gompertz_c^('Question 2'!C142-InitialAgeQ2)-1))</f>
        <v>0.6526281118283721</v>
      </c>
      <c r="E142" s="21">
        <f>(1+IntRateQ2)^(-(C142-InitialAgeQ2))*D142</f>
        <v>0.37687647292992793</v>
      </c>
      <c r="F142" s="10">
        <f t="shared" si="6"/>
        <v>1</v>
      </c>
      <c r="G142" s="10">
        <f t="shared" si="7"/>
        <v>0.5</v>
      </c>
      <c r="H142" s="10">
        <f t="shared" si="8"/>
        <v>2</v>
      </c>
      <c r="I142" s="12">
        <f>IF(MOD(B142,StepsEachYearQ2)=0,1+B142/StepsEachYearQ2,0)</f>
        <v>15</v>
      </c>
      <c r="M142" s="33"/>
    </row>
    <row r="143" spans="1:13" ht="13.15" thickBot="1" x14ac:dyDescent="0.4">
      <c r="A143" s="4"/>
      <c r="B143" s="13">
        <f t="shared" si="9"/>
        <v>113</v>
      </c>
      <c r="C143" s="21">
        <f t="shared" si="5"/>
        <v>54.125</v>
      </c>
      <c r="D143" s="4">
        <f>POWER(gompertz_g,POWER(gompertz_c,InitialAgeQ2)*(gompertz_c^('Question 2'!C143-InitialAgeQ2)-1))</f>
        <v>0.6483378231332021</v>
      </c>
      <c r="E143" s="21">
        <f>(1+IntRateQ2)^(-(C143-InitialAgeQ2))*D143</f>
        <v>0.37256790600730705</v>
      </c>
      <c r="F143" s="10">
        <f t="shared" si="6"/>
        <v>0</v>
      </c>
      <c r="G143" s="10">
        <f t="shared" si="7"/>
        <v>0</v>
      </c>
      <c r="H143" s="10">
        <f t="shared" si="8"/>
        <v>4</v>
      </c>
      <c r="I143" s="12">
        <f>IF(MOD(B143,StepsEachYearQ2)=0,1+B143/StepsEachYearQ2,0)</f>
        <v>0</v>
      </c>
      <c r="M143" s="33"/>
    </row>
    <row r="144" spans="1:13" ht="13.15" thickBot="1" x14ac:dyDescent="0.4">
      <c r="A144" s="4"/>
      <c r="B144" s="13">
        <f t="shared" si="9"/>
        <v>114</v>
      </c>
      <c r="C144" s="21">
        <f t="shared" si="5"/>
        <v>54.25</v>
      </c>
      <c r="D144" s="4">
        <f>POWER(gompertz_g,POWER(gompertz_c,InitialAgeQ2)*(gompertz_c^('Question 2'!C144-InitialAgeQ2)-1))</f>
        <v>0.64402973165635236</v>
      </c>
      <c r="E144" s="21">
        <f>(1+IntRateQ2)^(-(C144-InitialAgeQ2))*D144</f>
        <v>0.36828228752419728</v>
      </c>
      <c r="F144" s="10">
        <f t="shared" si="6"/>
        <v>0</v>
      </c>
      <c r="G144" s="10">
        <f t="shared" si="7"/>
        <v>0</v>
      </c>
      <c r="H144" s="10">
        <f t="shared" si="8"/>
        <v>2</v>
      </c>
      <c r="I144" s="12">
        <f>IF(MOD(B144,StepsEachYearQ2)=0,1+B144/StepsEachYearQ2,0)</f>
        <v>0</v>
      </c>
      <c r="M144" s="33"/>
    </row>
    <row r="145" spans="1:13" ht="13.15" thickBot="1" x14ac:dyDescent="0.4">
      <c r="A145" s="4"/>
      <c r="B145" s="13">
        <f t="shared" si="9"/>
        <v>115</v>
      </c>
      <c r="C145" s="21">
        <f t="shared" si="5"/>
        <v>54.375</v>
      </c>
      <c r="D145" s="4">
        <f>POWER(gompertz_g,POWER(gompertz_c,InitialAgeQ2)*(gompertz_c^('Question 2'!C145-InitialAgeQ2)-1))</f>
        <v>0.63970407419921793</v>
      </c>
      <c r="E145" s="21">
        <f>(1+IntRateQ2)^(-(C145-InitialAgeQ2))*D145</f>
        <v>0.36401968060784173</v>
      </c>
      <c r="F145" s="10">
        <f t="shared" si="6"/>
        <v>0</v>
      </c>
      <c r="G145" s="10">
        <f t="shared" si="7"/>
        <v>0</v>
      </c>
      <c r="H145" s="10">
        <f t="shared" si="8"/>
        <v>4</v>
      </c>
      <c r="I145" s="12">
        <f>IF(MOD(B145,StepsEachYearQ2)=0,1+B145/StepsEachYearQ2,0)</f>
        <v>0</v>
      </c>
      <c r="M145" s="33"/>
    </row>
    <row r="146" spans="1:13" ht="13.15" thickBot="1" x14ac:dyDescent="0.4">
      <c r="A146" s="4"/>
      <c r="B146" s="13">
        <f t="shared" si="9"/>
        <v>116</v>
      </c>
      <c r="C146" s="21">
        <f t="shared" si="5"/>
        <v>54.5</v>
      </c>
      <c r="D146" s="4">
        <f>POWER(gompertz_g,POWER(gompertz_c,InitialAgeQ2)*(gompertz_c^('Question 2'!C146-InitialAgeQ2)-1))</f>
        <v>0.63536109443498878</v>
      </c>
      <c r="E146" s="21">
        <f>(1+IntRateQ2)^(-(C146-InitialAgeQ2))*D146</f>
        <v>0.35978014954886478</v>
      </c>
      <c r="F146" s="10">
        <f t="shared" si="6"/>
        <v>0</v>
      </c>
      <c r="G146" s="10">
        <f t="shared" si="7"/>
        <v>0.5</v>
      </c>
      <c r="H146" s="10">
        <f t="shared" si="8"/>
        <v>2</v>
      </c>
      <c r="I146" s="12">
        <f>IF(MOD(B146,StepsEachYearQ2)=0,1+B146/StepsEachYearQ2,0)</f>
        <v>0</v>
      </c>
      <c r="M146" s="33"/>
    </row>
    <row r="147" spans="1:13" ht="13.15" thickBot="1" x14ac:dyDescent="0.4">
      <c r="A147" s="4"/>
      <c r="B147" s="13">
        <f t="shared" si="9"/>
        <v>117</v>
      </c>
      <c r="C147" s="21">
        <f t="shared" si="5"/>
        <v>54.625</v>
      </c>
      <c r="D147" s="4">
        <f>POWER(gompertz_g,POWER(gompertz_c,InitialAgeQ2)*(gompertz_c^('Question 2'!C147-InitialAgeQ2)-1))</f>
        <v>0.6310010429607531</v>
      </c>
      <c r="E147" s="21">
        <f>(1+IntRateQ2)^(-(C147-InitialAgeQ2))*D147</f>
        <v>0.35556375977151089</v>
      </c>
      <c r="F147" s="10">
        <f t="shared" si="6"/>
        <v>0</v>
      </c>
      <c r="G147" s="10">
        <f t="shared" si="7"/>
        <v>0</v>
      </c>
      <c r="H147" s="10">
        <f t="shared" si="8"/>
        <v>4</v>
      </c>
      <c r="I147" s="12">
        <f>IF(MOD(B147,StepsEachYearQ2)=0,1+B147/StepsEachYearQ2,0)</f>
        <v>0</v>
      </c>
      <c r="M147" s="33"/>
    </row>
    <row r="148" spans="1:13" ht="13.15" thickBot="1" x14ac:dyDescent="0.4">
      <c r="A148" s="4"/>
      <c r="B148" s="13">
        <f t="shared" si="9"/>
        <v>118</v>
      </c>
      <c r="C148" s="21">
        <f t="shared" si="5"/>
        <v>54.75</v>
      </c>
      <c r="D148" s="4">
        <f>POWER(gompertz_g,POWER(gompertz_c,InitialAgeQ2)*(gompertz_c^('Question 2'!C148-InitialAgeQ2)-1))</f>
        <v>0.62662417734759945</v>
      </c>
      <c r="E148" s="21">
        <f>(1+IntRateQ2)^(-(C148-InitialAgeQ2))*D148</f>
        <v>0.35137057780294056</v>
      </c>
      <c r="F148" s="10">
        <f t="shared" si="6"/>
        <v>0</v>
      </c>
      <c r="G148" s="10">
        <f t="shared" si="7"/>
        <v>0</v>
      </c>
      <c r="H148" s="10">
        <f t="shared" si="8"/>
        <v>2</v>
      </c>
      <c r="I148" s="12">
        <f>IF(MOD(B148,StepsEachYearQ2)=0,1+B148/StepsEachYearQ2,0)</f>
        <v>0</v>
      </c>
      <c r="M148" s="33"/>
    </row>
    <row r="149" spans="1:13" ht="13.15" thickBot="1" x14ac:dyDescent="0.4">
      <c r="A149" s="4"/>
      <c r="B149" s="13">
        <f t="shared" si="9"/>
        <v>119</v>
      </c>
      <c r="C149" s="21">
        <f t="shared" si="5"/>
        <v>54.875</v>
      </c>
      <c r="D149" s="4">
        <f>POWER(gompertz_g,POWER(gompertz_c,InitialAgeQ2)*(gompertz_c^('Question 2'!C149-InitialAgeQ2)-1))</f>
        <v>0.62223076218862761</v>
      </c>
      <c r="E149" s="21">
        <f>(1+IntRateQ2)^(-(C149-InitialAgeQ2))*D149</f>
        <v>0.34720067124157172</v>
      </c>
      <c r="F149" s="10">
        <f t="shared" si="6"/>
        <v>0</v>
      </c>
      <c r="G149" s="10">
        <f t="shared" si="7"/>
        <v>0</v>
      </c>
      <c r="H149" s="10">
        <f t="shared" si="8"/>
        <v>4</v>
      </c>
      <c r="I149" s="12">
        <f>IF(MOD(B149,StepsEachYearQ2)=0,1+B149/StepsEachYearQ2,0)</f>
        <v>0</v>
      </c>
      <c r="M149" s="33"/>
    </row>
    <row r="150" spans="1:13" ht="13.15" thickBot="1" x14ac:dyDescent="0.4">
      <c r="A150" s="4"/>
      <c r="B150" s="13">
        <f t="shared" si="9"/>
        <v>120</v>
      </c>
      <c r="C150" s="21">
        <f t="shared" si="5"/>
        <v>55</v>
      </c>
      <c r="D150" s="4">
        <f>POWER(gompertz_g,POWER(gompertz_c,InitialAgeQ2)*(gompertz_c^('Question 2'!C150-InitialAgeQ2)-1))</f>
        <v>0.61782106914477652</v>
      </c>
      <c r="E150" s="21">
        <f>(1+IntRateQ2)^(-(C150-InitialAgeQ2))*D150</f>
        <v>0.34305410872445807</v>
      </c>
      <c r="F150" s="10">
        <f t="shared" si="6"/>
        <v>1</v>
      </c>
      <c r="G150" s="10">
        <f t="shared" si="7"/>
        <v>0.5</v>
      </c>
      <c r="H150" s="10">
        <f t="shared" si="8"/>
        <v>2</v>
      </c>
      <c r="I150" s="12">
        <f>IF(MOD(B150,StepsEachYearQ2)=0,1+B150/StepsEachYearQ2,0)</f>
        <v>16</v>
      </c>
      <c r="M150" s="33"/>
    </row>
    <row r="151" spans="1:13" ht="13.15" thickBot="1" x14ac:dyDescent="0.4">
      <c r="A151" s="4"/>
      <c r="B151" s="13">
        <f t="shared" si="9"/>
        <v>121</v>
      </c>
      <c r="C151" s="21">
        <f t="shared" si="5"/>
        <v>55.125</v>
      </c>
      <c r="D151" s="4">
        <f>POWER(gompertz_g,POWER(gompertz_c,InitialAgeQ2)*(gompertz_c^('Question 2'!C151-InitialAgeQ2)-1))</f>
        <v>0.61339537698837276</v>
      </c>
      <c r="E151" s="21">
        <f>(1+IntRateQ2)^(-(C151-InitialAgeQ2))*D151</f>
        <v>0.33893095989369337</v>
      </c>
      <c r="F151" s="10">
        <f t="shared" si="6"/>
        <v>0</v>
      </c>
      <c r="G151" s="10">
        <f t="shared" si="7"/>
        <v>0</v>
      </c>
      <c r="H151" s="10">
        <f t="shared" si="8"/>
        <v>4</v>
      </c>
      <c r="I151" s="12">
        <f>IF(MOD(B151,StepsEachYearQ2)=0,1+B151/StepsEachYearQ2,0)</f>
        <v>0</v>
      </c>
      <c r="M151" s="33"/>
    </row>
    <row r="152" spans="1:13" ht="13.15" thickBot="1" x14ac:dyDescent="0.4">
      <c r="A152" s="4"/>
      <c r="B152" s="13">
        <f t="shared" si="9"/>
        <v>122</v>
      </c>
      <c r="C152" s="21">
        <f t="shared" si="5"/>
        <v>55.25</v>
      </c>
      <c r="D152" s="4">
        <f>POWER(gompertz_g,POWER(gompertz_c,InitialAgeQ2)*(gompertz_c^('Question 2'!C152-InitialAgeQ2)-1))</f>
        <v>0.60895397164431153</v>
      </c>
      <c r="E152" s="21">
        <f>(1+IntRateQ2)^(-(C152-InitialAgeQ2))*D152</f>
        <v>0.33483129536183426</v>
      </c>
      <c r="F152" s="10">
        <f t="shared" si="6"/>
        <v>0</v>
      </c>
      <c r="G152" s="10">
        <f t="shared" si="7"/>
        <v>0</v>
      </c>
      <c r="H152" s="10">
        <f t="shared" si="8"/>
        <v>2</v>
      </c>
      <c r="I152" s="12">
        <f>IF(MOD(B152,StepsEachYearQ2)=0,1+B152/StepsEachYearQ2,0)</f>
        <v>0</v>
      </c>
      <c r="M152" s="33"/>
    </row>
    <row r="153" spans="1:13" ht="13.15" thickBot="1" x14ac:dyDescent="0.4">
      <c r="A153" s="4"/>
      <c r="B153" s="13">
        <f t="shared" si="9"/>
        <v>123</v>
      </c>
      <c r="C153" s="21">
        <f t="shared" si="5"/>
        <v>55.375</v>
      </c>
      <c r="D153" s="4">
        <f>POWER(gompertz_g,POWER(gompertz_c,InitialAgeQ2)*(gompertz_c^('Question 2'!C153-InitialAgeQ2)-1))</f>
        <v>0.6044971462287656</v>
      </c>
      <c r="E153" s="21">
        <f>(1+IntRateQ2)^(-(C153-InitialAgeQ2))*D153</f>
        <v>0.33075518667633158</v>
      </c>
      <c r="F153" s="10">
        <f t="shared" si="6"/>
        <v>0</v>
      </c>
      <c r="G153" s="10">
        <f t="shared" si="7"/>
        <v>0</v>
      </c>
      <c r="H153" s="10">
        <f t="shared" si="8"/>
        <v>4</v>
      </c>
      <c r="I153" s="12">
        <f>IF(MOD(B153,StepsEachYearQ2)=0,1+B153/StepsEachYearQ2,0)</f>
        <v>0</v>
      </c>
      <c r="M153" s="33"/>
    </row>
    <row r="154" spans="1:13" ht="13.15" thickBot="1" x14ac:dyDescent="0.4">
      <c r="A154" s="4"/>
      <c r="B154" s="13">
        <f t="shared" si="9"/>
        <v>124</v>
      </c>
      <c r="C154" s="21">
        <f t="shared" si="5"/>
        <v>55.5</v>
      </c>
      <c r="D154" s="4">
        <f>POWER(gompertz_g,POWER(gompertz_c,InitialAgeQ2)*(gompertz_c^('Question 2'!C154-InitialAgeQ2)-1))</f>
        <v>0.60002520108533286</v>
      </c>
      <c r="E154" s="21">
        <f>(1+IntRateQ2)^(-(C154-InitialAgeQ2))*D154</f>
        <v>0.32670270628296305</v>
      </c>
      <c r="F154" s="10">
        <f t="shared" si="6"/>
        <v>0</v>
      </c>
      <c r="G154" s="10">
        <f t="shared" si="7"/>
        <v>0.5</v>
      </c>
      <c r="H154" s="10">
        <f t="shared" si="8"/>
        <v>2</v>
      </c>
      <c r="I154" s="12">
        <f>IF(MOD(B154,StepsEachYearQ2)=0,1+B154/StepsEachYearQ2,0)</f>
        <v>0</v>
      </c>
      <c r="M154" s="33"/>
    </row>
    <row r="155" spans="1:13" ht="13.15" thickBot="1" x14ac:dyDescent="0.4">
      <c r="A155" s="4"/>
      <c r="B155" s="13">
        <f t="shared" si="9"/>
        <v>125</v>
      </c>
      <c r="C155" s="21">
        <f t="shared" si="5"/>
        <v>55.625</v>
      </c>
      <c r="D155" s="4">
        <f>POWER(gompertz_g,POWER(gompertz_c,InitialAgeQ2)*(gompertz_c^('Question 2'!C155-InitialAgeQ2)-1))</f>
        <v>0.59553844381851795</v>
      </c>
      <c r="E155" s="21">
        <f>(1+IntRateQ2)^(-(C155-InitialAgeQ2))*D155</f>
        <v>0.32267392748825857</v>
      </c>
      <c r="F155" s="10">
        <f t="shared" si="6"/>
        <v>0</v>
      </c>
      <c r="G155" s="10">
        <f t="shared" si="7"/>
        <v>0</v>
      </c>
      <c r="H155" s="10">
        <f t="shared" si="8"/>
        <v>4</v>
      </c>
      <c r="I155" s="12">
        <f>IF(MOD(B155,StepsEachYearQ2)=0,1+B155/StepsEachYearQ2,0)</f>
        <v>0</v>
      </c>
      <c r="M155" s="33"/>
    </row>
    <row r="156" spans="1:13" ht="13.15" thickBot="1" x14ac:dyDescent="0.4">
      <c r="A156" s="4"/>
      <c r="B156" s="13">
        <f t="shared" si="9"/>
        <v>126</v>
      </c>
      <c r="C156" s="21">
        <f t="shared" si="5"/>
        <v>55.75</v>
      </c>
      <c r="D156" s="4">
        <f>POWER(gompertz_g,POWER(gompertz_c,InitialAgeQ2)*(gompertz_c^('Question 2'!C156-InitialAgeQ2)-1))</f>
        <v>0.59103718932445337</v>
      </c>
      <c r="E156" s="21">
        <f>(1+IntRateQ2)^(-(C156-InitialAgeQ2))*D156</f>
        <v>0.31866892442091327</v>
      </c>
      <c r="F156" s="10">
        <f t="shared" si="6"/>
        <v>0</v>
      </c>
      <c r="G156" s="10">
        <f t="shared" si="7"/>
        <v>0</v>
      </c>
      <c r="H156" s="10">
        <f t="shared" si="8"/>
        <v>2</v>
      </c>
      <c r="I156" s="12">
        <f>IF(MOD(B156,StepsEachYearQ2)=0,1+B156/StepsEachYearQ2,0)</f>
        <v>0</v>
      </c>
      <c r="M156" s="33"/>
    </row>
    <row r="157" spans="1:13" ht="13.15" thickBot="1" x14ac:dyDescent="0.4">
      <c r="A157" s="4"/>
      <c r="B157" s="13">
        <f t="shared" si="9"/>
        <v>127</v>
      </c>
      <c r="C157" s="21">
        <f t="shared" si="5"/>
        <v>55.875</v>
      </c>
      <c r="D157" s="4">
        <f>POWER(gompertz_g,POWER(gompertz_c,InitialAgeQ2)*(gompertz_c^('Question 2'!C157-InitialAgeQ2)-1))</f>
        <v>0.58652175981875465</v>
      </c>
      <c r="E157" s="21">
        <f>(1+IntRateQ2)^(-(C157-InitialAgeQ2))*D157</f>
        <v>0.31468777199217829</v>
      </c>
      <c r="F157" s="10">
        <f t="shared" si="6"/>
        <v>0</v>
      </c>
      <c r="G157" s="10">
        <f t="shared" si="7"/>
        <v>0</v>
      </c>
      <c r="H157" s="10">
        <f t="shared" si="8"/>
        <v>4</v>
      </c>
      <c r="I157" s="12">
        <f>IF(MOD(B157,StepsEachYearQ2)=0,1+B157/StepsEachYearQ2,0)</f>
        <v>0</v>
      </c>
      <c r="M157" s="33"/>
    </row>
    <row r="158" spans="1:13" ht="13.15" thickBot="1" x14ac:dyDescent="0.4">
      <c r="A158" s="4"/>
      <c r="B158" s="13">
        <f t="shared" si="9"/>
        <v>128</v>
      </c>
      <c r="C158" s="21">
        <f t="shared" ref="C158:C221" si="10">InitialAgeQ2+B158*StepSizeQ2</f>
        <v>56</v>
      </c>
      <c r="D158" s="4">
        <f>POWER(gompertz_g,POWER(gompertz_c,InitialAgeQ2)*(gompertz_c^('Question 2'!C158-InitialAgeQ2)-1))</f>
        <v>0.5819924848614132</v>
      </c>
      <c r="E158" s="21">
        <f>(1+IntRateQ2)^(-(C158-InitialAgeQ2))*D158</f>
        <v>0.31073054585522658</v>
      </c>
      <c r="F158" s="10">
        <f t="shared" si="6"/>
        <v>1</v>
      </c>
      <c r="G158" s="10">
        <f t="shared" si="7"/>
        <v>0.5</v>
      </c>
      <c r="H158" s="10">
        <f t="shared" si="8"/>
        <v>2</v>
      </c>
      <c r="I158" s="12">
        <f>IF(MOD(B158,StepsEachYearQ2)=0,1+B158/StepsEachYearQ2,0)</f>
        <v>17</v>
      </c>
      <c r="M158" s="33"/>
    </row>
    <row r="159" spans="1:13" ht="13.15" thickBot="1" x14ac:dyDescent="0.4">
      <c r="A159" s="4"/>
      <c r="B159" s="13">
        <f t="shared" si="9"/>
        <v>129</v>
      </c>
      <c r="C159" s="21">
        <f t="shared" si="10"/>
        <v>56.125</v>
      </c>
      <c r="D159" s="4">
        <f>POWER(gompertz_g,POWER(gompertz_c,InitialAgeQ2)*(gompertz_c^('Question 2'!C159-InitialAgeQ2)-1))</f>
        <v>0.57744970137861762</v>
      </c>
      <c r="E159" s="21">
        <f>(1+IntRateQ2)^(-(C159-InitialAgeQ2))*D159</f>
        <v>0.30679732236348706</v>
      </c>
      <c r="F159" s="10">
        <f t="shared" ref="F159:F222" si="11">IF(MOD(B159,8)=0,1,0)</f>
        <v>0</v>
      </c>
      <c r="G159" s="10">
        <f t="shared" ref="G159:G222" si="12">IF(MOD(B159,4)=0,1/2,0)</f>
        <v>0</v>
      </c>
      <c r="H159" s="10">
        <f t="shared" ref="H159:H222" si="13">IF(B159=0,1,IF(ISEVEN(B159),2,4))</f>
        <v>4</v>
      </c>
      <c r="I159" s="12">
        <f>IF(MOD(B159,StepsEachYearQ2)=0,1+B159/StepsEachYearQ2,0)</f>
        <v>0</v>
      </c>
      <c r="M159" s="33"/>
    </row>
    <row r="160" spans="1:13" ht="13.15" thickBot="1" x14ac:dyDescent="0.4">
      <c r="A160" s="4"/>
      <c r="B160" s="13">
        <f t="shared" ref="B160:B223" si="14">B159+1</f>
        <v>130</v>
      </c>
      <c r="C160" s="21">
        <f t="shared" si="10"/>
        <v>56.25</v>
      </c>
      <c r="D160" s="4">
        <f>POWER(gompertz_g,POWER(gompertz_c,InitialAgeQ2)*(gompertz_c^('Question 2'!C160-InitialAgeQ2)-1))</f>
        <v>0.57289375368140816</v>
      </c>
      <c r="E160" s="21">
        <f>(1+IntRateQ2)^(-(C160-InitialAgeQ2))*D160</f>
        <v>0.30288817852794181</v>
      </c>
      <c r="F160" s="10">
        <f t="shared" si="11"/>
        <v>0</v>
      </c>
      <c r="G160" s="10">
        <f t="shared" si="12"/>
        <v>0</v>
      </c>
      <c r="H160" s="10">
        <f t="shared" si="13"/>
        <v>2</v>
      </c>
      <c r="I160" s="12">
        <f>IF(MOD(B160,StepsEachYearQ2)=0,1+B160/StepsEachYearQ2,0)</f>
        <v>0</v>
      </c>
      <c r="M160" s="33"/>
    </row>
    <row r="161" spans="1:13" ht="13.15" thickBot="1" x14ac:dyDescent="0.4">
      <c r="A161" s="4"/>
      <c r="B161" s="13">
        <f t="shared" si="14"/>
        <v>131</v>
      </c>
      <c r="C161" s="21">
        <f t="shared" si="10"/>
        <v>56.375</v>
      </c>
      <c r="D161" s="4">
        <f>POWER(gompertz_g,POWER(gompertz_c,InitialAgeQ2)*(gompertz_c^('Question 2'!C161-InitialAgeQ2)-1))</f>
        <v>0.56832499348105248</v>
      </c>
      <c r="E161" s="21">
        <f>(1+IntRateQ2)^(-(C161-InitialAgeQ2))*D161</f>
        <v>0.29900319197338393</v>
      </c>
      <c r="F161" s="10">
        <f t="shared" si="11"/>
        <v>0</v>
      </c>
      <c r="G161" s="10">
        <f t="shared" si="12"/>
        <v>0</v>
      </c>
      <c r="H161" s="10">
        <f t="shared" si="13"/>
        <v>4</v>
      </c>
      <c r="I161" s="12">
        <f>IF(MOD(B161,StepsEachYearQ2)=0,1+B161/StepsEachYearQ2,0)</f>
        <v>0</v>
      </c>
      <c r="M161" s="33"/>
    </row>
    <row r="162" spans="1:13" ht="13.15" thickBot="1" x14ac:dyDescent="0.4">
      <c r="A162" s="4"/>
      <c r="B162" s="13">
        <f t="shared" si="14"/>
        <v>132</v>
      </c>
      <c r="C162" s="21">
        <f t="shared" si="10"/>
        <v>56.5</v>
      </c>
      <c r="D162" s="4">
        <f>POWER(gompertz_g,POWER(gompertz_c,InitialAgeQ2)*(gompertz_c^('Question 2'!C162-InitialAgeQ2)-1))</f>
        <v>0.56374377990104085</v>
      </c>
      <c r="E162" s="21">
        <f>(1+IntRateQ2)^(-(C162-InitialAgeQ2))*D162</f>
        <v>0.29514244089363018</v>
      </c>
      <c r="F162" s="10">
        <f t="shared" si="11"/>
        <v>0</v>
      </c>
      <c r="G162" s="10">
        <f t="shared" si="12"/>
        <v>0.5</v>
      </c>
      <c r="H162" s="10">
        <f t="shared" si="13"/>
        <v>2</v>
      </c>
      <c r="I162" s="12">
        <f>IF(MOD(B162,StepsEachYearQ2)=0,1+B162/StepsEachYearQ2,0)</f>
        <v>0</v>
      </c>
      <c r="M162" s="33"/>
    </row>
    <row r="163" spans="1:13" ht="13.15" thickBot="1" x14ac:dyDescent="0.4">
      <c r="A163" s="4"/>
      <c r="B163" s="13">
        <f t="shared" si="14"/>
        <v>133</v>
      </c>
      <c r="C163" s="21">
        <f t="shared" si="10"/>
        <v>56.625</v>
      </c>
      <c r="D163" s="4">
        <f>POWER(gompertz_g,POWER(gompertz_c,InitialAgeQ2)*(gompertz_c^('Question 2'!C163-InitialAgeQ2)-1))</f>
        <v>0.55915047948559804</v>
      </c>
      <c r="E163" s="21">
        <f>(1+IntRateQ2)^(-(C163-InitialAgeQ2))*D163</f>
        <v>0.29130600400568957</v>
      </c>
      <c r="F163" s="10">
        <f t="shared" si="11"/>
        <v>0</v>
      </c>
      <c r="G163" s="10">
        <f t="shared" si="12"/>
        <v>0</v>
      </c>
      <c r="H163" s="10">
        <f t="shared" si="13"/>
        <v>4</v>
      </c>
      <c r="I163" s="12">
        <f>IF(MOD(B163,StepsEachYearQ2)=0,1+B163/StepsEachYearQ2,0)</f>
        <v>0</v>
      </c>
      <c r="M163" s="33"/>
    </row>
    <row r="164" spans="1:13" ht="13.15" thickBot="1" x14ac:dyDescent="0.4">
      <c r="A164" s="4"/>
      <c r="B164" s="13">
        <f t="shared" si="14"/>
        <v>134</v>
      </c>
      <c r="C164" s="21">
        <f t="shared" si="10"/>
        <v>56.75</v>
      </c>
      <c r="D164" s="4">
        <f>POWER(gompertz_g,POWER(gompertz_c,InitialAgeQ2)*(gompertz_c^('Question 2'!C164-InitialAgeQ2)-1))</f>
        <v>0.55454546620459899</v>
      </c>
      <c r="E164" s="21">
        <f>(1+IntRateQ2)^(-(C164-InitialAgeQ2))*D164</f>
        <v>0.28749396050288134</v>
      </c>
      <c r="F164" s="10">
        <f t="shared" si="11"/>
        <v>0</v>
      </c>
      <c r="G164" s="10">
        <f t="shared" si="12"/>
        <v>0</v>
      </c>
      <c r="H164" s="10">
        <f t="shared" si="13"/>
        <v>2</v>
      </c>
      <c r="I164" s="12">
        <f>IF(MOD(B164,StepsEachYearQ2)=0,1+B164/StepsEachYearQ2,0)</f>
        <v>0</v>
      </c>
      <c r="M164" s="33"/>
    </row>
    <row r="165" spans="1:13" ht="13.15" thickBot="1" x14ac:dyDescent="0.4">
      <c r="A165" s="4"/>
      <c r="B165" s="13">
        <f t="shared" si="14"/>
        <v>135</v>
      </c>
      <c r="C165" s="21">
        <f t="shared" si="10"/>
        <v>56.875</v>
      </c>
      <c r="D165" s="4">
        <f>POWER(gompertz_g,POWER(gompertz_c,InitialAgeQ2)*(gompertz_c^('Question 2'!C165-InitialAgeQ2)-1))</f>
        <v>0.54992912145478934</v>
      </c>
      <c r="E165" s="21">
        <f>(1+IntRateQ2)^(-(C165-InitialAgeQ2))*D165</f>
        <v>0.28370639000690623</v>
      </c>
      <c r="F165" s="10">
        <f t="shared" si="11"/>
        <v>0</v>
      </c>
      <c r="G165" s="10">
        <f t="shared" si="12"/>
        <v>0</v>
      </c>
      <c r="H165" s="10">
        <f t="shared" si="13"/>
        <v>4</v>
      </c>
      <c r="I165" s="12">
        <f>IF(MOD(B165,StepsEachYearQ2)=0,1+B165/StepsEachYearQ2,0)</f>
        <v>0</v>
      </c>
      <c r="M165" s="33"/>
    </row>
    <row r="166" spans="1:13" ht="13.15" thickBot="1" x14ac:dyDescent="0.4">
      <c r="A166" s="4"/>
      <c r="B166" s="13">
        <f t="shared" si="14"/>
        <v>136</v>
      </c>
      <c r="C166" s="21">
        <f t="shared" si="10"/>
        <v>57</v>
      </c>
      <c r="D166" s="4">
        <f>POWER(gompertz_g,POWER(gompertz_c,InitialAgeQ2)*(gompertz_c^('Question 2'!C166-InitialAgeQ2)-1))</f>
        <v>0.54530183405719646</v>
      </c>
      <c r="E166" s="21">
        <f>(1+IntRateQ2)^(-(C166-InitialAgeQ2))*D166</f>
        <v>0.27994337251886636</v>
      </c>
      <c r="F166" s="10">
        <f t="shared" si="11"/>
        <v>1</v>
      </c>
      <c r="G166" s="10">
        <f t="shared" si="12"/>
        <v>0.5</v>
      </c>
      <c r="H166" s="10">
        <f t="shared" si="13"/>
        <v>2</v>
      </c>
      <c r="I166" s="12">
        <f>IF(MOD(B166,StepsEachYearQ2)=0,1+B166/StepsEachYearQ2,0)</f>
        <v>18</v>
      </c>
      <c r="M166" s="33"/>
    </row>
    <row r="167" spans="1:13" ht="13.15" thickBot="1" x14ac:dyDescent="0.4">
      <c r="A167" s="4"/>
      <c r="B167" s="13">
        <f t="shared" si="14"/>
        <v>137</v>
      </c>
      <c r="C167" s="21">
        <f t="shared" si="10"/>
        <v>57.125</v>
      </c>
      <c r="D167" s="4">
        <f>POWER(gompertz_g,POWER(gompertz_c,InitialAgeQ2)*(gompertz_c^('Question 2'!C167-InitialAgeQ2)-1))</f>
        <v>0.54066400025062922</v>
      </c>
      <c r="E167" s="21">
        <f>(1+IntRateQ2)^(-(C167-InitialAgeQ2))*D167</f>
        <v>0.2762049883692374</v>
      </c>
      <c r="F167" s="10">
        <f t="shared" si="11"/>
        <v>0</v>
      </c>
      <c r="G167" s="10">
        <f t="shared" si="12"/>
        <v>0</v>
      </c>
      <c r="H167" s="10">
        <f t="shared" si="13"/>
        <v>4</v>
      </c>
      <c r="I167" s="12">
        <f>IF(MOD(B167,StepsEachYearQ2)=0,1+B167/StepsEachYearQ2,0)</f>
        <v>0</v>
      </c>
      <c r="M167" s="33"/>
    </row>
    <row r="168" spans="1:13" ht="13.15" thickBot="1" x14ac:dyDescent="0.4">
      <c r="A168" s="4"/>
      <c r="B168" s="13">
        <f t="shared" si="14"/>
        <v>138</v>
      </c>
      <c r="C168" s="21">
        <f t="shared" si="10"/>
        <v>57.25</v>
      </c>
      <c r="D168" s="4">
        <f>POWER(gompertz_g,POWER(gompertz_c,InitialAgeQ2)*(gompertz_c^('Question 2'!C168-InitialAgeQ2)-1))</f>
        <v>0.53601602368115842</v>
      </c>
      <c r="E168" s="21">
        <f>(1+IntRateQ2)^(-(C168-InitialAgeQ2))*D168</f>
        <v>0.27249131816679389</v>
      </c>
      <c r="F168" s="10">
        <f t="shared" si="11"/>
        <v>0</v>
      </c>
      <c r="G168" s="10">
        <f t="shared" si="12"/>
        <v>0</v>
      </c>
      <c r="H168" s="10">
        <f t="shared" si="13"/>
        <v>2</v>
      </c>
      <c r="I168" s="12">
        <f>IF(MOD(B168,StepsEachYearQ2)=0,1+B168/StepsEachYearQ2,0)</f>
        <v>0</v>
      </c>
      <c r="M168" s="33"/>
    </row>
    <row r="169" spans="1:13" ht="13.15" thickBot="1" x14ac:dyDescent="0.4">
      <c r="A169" s="4"/>
      <c r="B169" s="13">
        <f t="shared" si="14"/>
        <v>139</v>
      </c>
      <c r="C169" s="21">
        <f t="shared" si="10"/>
        <v>57.375</v>
      </c>
      <c r="D169" s="4">
        <f>POWER(gompertz_g,POWER(gompertz_c,InitialAgeQ2)*(gompertz_c^('Question 2'!C169-InitialAgeQ2)-1))</f>
        <v>0.53135831538746492</v>
      </c>
      <c r="E169" s="21">
        <f>(1+IntRateQ2)^(-(C169-InitialAgeQ2))*D169</f>
        <v>0.26880244274648751</v>
      </c>
      <c r="F169" s="10">
        <f t="shared" si="11"/>
        <v>0</v>
      </c>
      <c r="G169" s="10">
        <f t="shared" si="12"/>
        <v>0</v>
      </c>
      <c r="H169" s="10">
        <f t="shared" si="13"/>
        <v>4</v>
      </c>
      <c r="I169" s="12">
        <f>IF(MOD(B169,StepsEachYearQ2)=0,1+B169/StepsEachYearQ2,0)</f>
        <v>0</v>
      </c>
      <c r="M169" s="33"/>
    </row>
    <row r="170" spans="1:13" ht="13.15" thickBot="1" x14ac:dyDescent="0.4">
      <c r="A170" s="4"/>
      <c r="B170" s="13">
        <f t="shared" si="14"/>
        <v>140</v>
      </c>
      <c r="C170" s="21">
        <f t="shared" si="10"/>
        <v>57.5</v>
      </c>
      <c r="D170" s="4">
        <f>POWER(gompertz_g,POWER(gompertz_c,InitialAgeQ2)*(gompertz_c^('Question 2'!C170-InitialAgeQ2)-1))</f>
        <v>0.52669129378195756</v>
      </c>
      <c r="E170" s="21">
        <f>(1+IntRateQ2)^(-(C170-InitialAgeQ2))*D170</f>
        <v>0.26513844311628726</v>
      </c>
      <c r="F170" s="10">
        <f t="shared" si="11"/>
        <v>0</v>
      </c>
      <c r="G170" s="10">
        <f t="shared" si="12"/>
        <v>0.5</v>
      </c>
      <c r="H170" s="10">
        <f t="shared" si="13"/>
        <v>2</v>
      </c>
      <c r="I170" s="12">
        <f>IF(MOD(B170,StepsEachYearQ2)=0,1+B170/StepsEachYearQ2,0)</f>
        <v>0</v>
      </c>
      <c r="M170" s="33"/>
    </row>
    <row r="171" spans="1:13" ht="13.15" thickBot="1" x14ac:dyDescent="0.4">
      <c r="A171" s="4"/>
      <c r="B171" s="13">
        <f t="shared" si="14"/>
        <v>141</v>
      </c>
      <c r="C171" s="21">
        <f t="shared" si="10"/>
        <v>57.625</v>
      </c>
      <c r="D171" s="4">
        <f>POWER(gompertz_g,POWER(gompertz_c,InitialAgeQ2)*(gompertz_c^('Question 2'!C171-InitialAgeQ2)-1))</f>
        <v>0.5220153846275446</v>
      </c>
      <c r="E171" s="21">
        <f>(1+IntRateQ2)^(-(C171-InitialAgeQ2))*D171</f>
        <v>0.26149940040297914</v>
      </c>
      <c r="F171" s="10">
        <f t="shared" si="11"/>
        <v>0</v>
      </c>
      <c r="G171" s="10">
        <f t="shared" si="12"/>
        <v>0</v>
      </c>
      <c r="H171" s="10">
        <f t="shared" si="13"/>
        <v>4</v>
      </c>
      <c r="I171" s="12">
        <f>IF(MOD(B171,StepsEachYearQ2)=0,1+B171/StepsEachYearQ2,0)</f>
        <v>0</v>
      </c>
      <c r="M171" s="33"/>
    </row>
    <row r="172" spans="1:13" ht="13.15" thickBot="1" x14ac:dyDescent="0.4">
      <c r="A172" s="4"/>
      <c r="B172" s="13">
        <f t="shared" si="14"/>
        <v>142</v>
      </c>
      <c r="C172" s="21">
        <f t="shared" si="10"/>
        <v>57.75</v>
      </c>
      <c r="D172" s="4">
        <f>POWER(gompertz_g,POWER(gompertz_c,InitialAgeQ2)*(gompertz_c^('Question 2'!C172-InitialAgeQ2)-1))</f>
        <v>0.51733102100995865</v>
      </c>
      <c r="E172" s="21">
        <f>(1+IntRateQ2)^(-(C172-InitialAgeQ2))*D172</f>
        <v>0.2578853957969362</v>
      </c>
      <c r="F172" s="10">
        <f t="shared" si="11"/>
        <v>0</v>
      </c>
      <c r="G172" s="10">
        <f t="shared" si="12"/>
        <v>0</v>
      </c>
      <c r="H172" s="10">
        <f t="shared" si="13"/>
        <v>2</v>
      </c>
      <c r="I172" s="12">
        <f>IF(MOD(B172,StepsEachYearQ2)=0,1+B172/StepsEachYearQ2,0)</f>
        <v>0</v>
      </c>
      <c r="M172" s="33"/>
    </row>
    <row r="173" spans="1:13" ht="13.15" thickBot="1" x14ac:dyDescent="0.4">
      <c r="A173" s="4"/>
      <c r="B173" s="13">
        <f t="shared" si="14"/>
        <v>143</v>
      </c>
      <c r="C173" s="21">
        <f t="shared" si="10"/>
        <v>57.875</v>
      </c>
      <c r="D173" s="4">
        <f>POWER(gompertz_g,POWER(gompertz_c,InitialAgeQ2)*(gompertz_c^('Question 2'!C173-InitialAgeQ2)-1))</f>
        <v>0.512638643305524</v>
      </c>
      <c r="E173" s="21">
        <f>(1+IntRateQ2)^(-(C173-InitialAgeQ2))*D173</f>
        <v>0.25429651049586188</v>
      </c>
      <c r="F173" s="10">
        <f t="shared" si="11"/>
        <v>0</v>
      </c>
      <c r="G173" s="10">
        <f t="shared" si="12"/>
        <v>0</v>
      </c>
      <c r="H173" s="10">
        <f t="shared" si="13"/>
        <v>4</v>
      </c>
      <c r="I173" s="12">
        <f>IF(MOD(B173,StepsEachYearQ2)=0,1+B173/StepsEachYearQ2,0)</f>
        <v>0</v>
      </c>
      <c r="M173" s="33"/>
    </row>
    <row r="174" spans="1:13" ht="13.15" thickBot="1" x14ac:dyDescent="0.4">
      <c r="A174" s="4"/>
      <c r="B174" s="13">
        <f t="shared" si="14"/>
        <v>144</v>
      </c>
      <c r="C174" s="21">
        <f t="shared" si="10"/>
        <v>58</v>
      </c>
      <c r="D174" s="4">
        <f>POWER(gompertz_g,POWER(gompertz_c,InitialAgeQ2)*(gompertz_c^('Question 2'!C174-InitialAgeQ2)-1))</f>
        <v>0.50793869914426482</v>
      </c>
      <c r="E174" s="21">
        <f>(1+IntRateQ2)^(-(C174-InitialAgeQ2))*D174</f>
        <v>0.25073282564751631</v>
      </c>
      <c r="F174" s="10">
        <f t="shared" si="11"/>
        <v>1</v>
      </c>
      <c r="G174" s="10">
        <f t="shared" si="12"/>
        <v>0.5</v>
      </c>
      <c r="H174" s="10">
        <f t="shared" si="13"/>
        <v>2</v>
      </c>
      <c r="I174" s="12">
        <f>IF(MOD(B174,StepsEachYearQ2)=0,1+B174/StepsEachYearQ2,0)</f>
        <v>19</v>
      </c>
      <c r="M174" s="33"/>
    </row>
    <row r="175" spans="1:13" ht="13.15" thickBot="1" x14ac:dyDescent="0.4">
      <c r="A175" s="4"/>
      <c r="B175" s="13">
        <f t="shared" si="14"/>
        <v>145</v>
      </c>
      <c r="C175" s="21">
        <f t="shared" si="10"/>
        <v>58.125</v>
      </c>
      <c r="D175" s="4">
        <f>POWER(gompertz_g,POWER(gompertz_c,InitialAgeQ2)*(gompertz_c^('Question 2'!C175-InitialAgeQ2)-1))</f>
        <v>0.50323164336824477</v>
      </c>
      <c r="E175" s="21">
        <f>(1+IntRateQ2)^(-(C175-InitialAgeQ2))*D175</f>
        <v>0.24719442229143235</v>
      </c>
      <c r="F175" s="10">
        <f t="shared" si="11"/>
        <v>0</v>
      </c>
      <c r="G175" s="10">
        <f t="shared" si="12"/>
        <v>0</v>
      </c>
      <c r="H175" s="10">
        <f t="shared" si="13"/>
        <v>4</v>
      </c>
      <c r="I175" s="12">
        <f>IF(MOD(B175,StepsEachYearQ2)=0,1+B175/StepsEachYearQ2,0)</f>
        <v>0</v>
      </c>
      <c r="M175" s="33"/>
    </row>
    <row r="176" spans="1:13" ht="13.15" thickBot="1" x14ac:dyDescent="0.4">
      <c r="A176" s="4"/>
      <c r="B176" s="13">
        <f t="shared" si="14"/>
        <v>146</v>
      </c>
      <c r="C176" s="21">
        <f t="shared" si="10"/>
        <v>58.25</v>
      </c>
      <c r="D176" s="4">
        <f>POWER(gompertz_g,POWER(gompertz_c,InitialAgeQ2)*(gompertz_c^('Question 2'!C176-InitialAgeQ2)-1))</f>
        <v>0.49851793798504002</v>
      </c>
      <c r="E176" s="21">
        <f>(1+IntRateQ2)^(-(C176-InitialAgeQ2))*D176</f>
        <v>0.24368138129963229</v>
      </c>
      <c r="F176" s="10">
        <f t="shared" si="11"/>
        <v>0</v>
      </c>
      <c r="G176" s="10">
        <f t="shared" si="12"/>
        <v>0</v>
      </c>
      <c r="H176" s="10">
        <f t="shared" si="13"/>
        <v>2</v>
      </c>
      <c r="I176" s="12">
        <f>IF(MOD(B176,StepsEachYearQ2)=0,1+B176/StepsEachYearQ2,0)</f>
        <v>0</v>
      </c>
      <c r="M176" s="33"/>
    </row>
    <row r="177" spans="1:13" ht="13.15" thickBot="1" x14ac:dyDescent="0.4">
      <c r="A177" s="4"/>
      <c r="B177" s="13">
        <f t="shared" si="14"/>
        <v>147</v>
      </c>
      <c r="C177" s="21">
        <f t="shared" si="10"/>
        <v>58.375</v>
      </c>
      <c r="D177" s="4">
        <f>POWER(gompertz_g,POWER(gompertz_c,InitialAgeQ2)*(gompertz_c^('Question 2'!C177-InitialAgeQ2)-1))</f>
        <v>0.4937980521162354</v>
      </c>
      <c r="E177" s="21">
        <f>(1+IntRateQ2)^(-(C177-InitialAgeQ2))*D177</f>
        <v>0.2401937833163558</v>
      </c>
      <c r="F177" s="10">
        <f t="shared" si="11"/>
        <v>0</v>
      </c>
      <c r="G177" s="10">
        <f t="shared" si="12"/>
        <v>0</v>
      </c>
      <c r="H177" s="10">
        <f t="shared" si="13"/>
        <v>4</v>
      </c>
      <c r="I177" s="12">
        <f>IF(MOD(B177,StepsEachYearQ2)=0,1+B177/StepsEachYearQ2,0)</f>
        <v>0</v>
      </c>
      <c r="M177" s="33"/>
    </row>
    <row r="178" spans="1:13" ht="13.15" thickBot="1" x14ac:dyDescent="0.4">
      <c r="A178" s="4"/>
      <c r="B178" s="13">
        <f t="shared" si="14"/>
        <v>148</v>
      </c>
      <c r="C178" s="21">
        <f t="shared" si="10"/>
        <v>58.5</v>
      </c>
      <c r="D178" s="4">
        <f>POWER(gompertz_g,POWER(gompertz_c,InitialAgeQ2)*(gompertz_c^('Question 2'!C178-InitialAgeQ2)-1))</f>
        <v>0.48907246194084775</v>
      </c>
      <c r="E178" s="21">
        <f>(1+IntRateQ2)^(-(C178-InitialAgeQ2))*D178</f>
        <v>0.2367317086968104</v>
      </c>
      <c r="F178" s="10">
        <f t="shared" si="11"/>
        <v>0</v>
      </c>
      <c r="G178" s="10">
        <f t="shared" si="12"/>
        <v>0.5</v>
      </c>
      <c r="H178" s="10">
        <f t="shared" si="13"/>
        <v>2</v>
      </c>
      <c r="I178" s="12">
        <f>IF(MOD(B178,StepsEachYearQ2)=0,1+B178/StepsEachYearQ2,0)</f>
        <v>0</v>
      </c>
      <c r="M178" s="33"/>
    </row>
    <row r="179" spans="1:13" ht="13.15" thickBot="1" x14ac:dyDescent="0.4">
      <c r="A179" s="4"/>
      <c r="B179" s="13">
        <f t="shared" si="14"/>
        <v>149</v>
      </c>
      <c r="C179" s="21">
        <f t="shared" si="10"/>
        <v>58.625</v>
      </c>
      <c r="D179" s="4">
        <f>POWER(gompertz_g,POWER(gompertz_c,InitialAgeQ2)*(gompertz_c^('Question 2'!C179-InitialAgeQ2)-1))</f>
        <v>0.48434165063357465</v>
      </c>
      <c r="E179" s="21">
        <f>(1+IntRateQ2)^(-(C179-InitialAgeQ2))*D179</f>
        <v>0.23329523744495934</v>
      </c>
      <c r="F179" s="10">
        <f t="shared" si="11"/>
        <v>0</v>
      </c>
      <c r="G179" s="10">
        <f t="shared" si="12"/>
        <v>0</v>
      </c>
      <c r="H179" s="10">
        <f t="shared" si="13"/>
        <v>4</v>
      </c>
      <c r="I179" s="12">
        <f>IF(MOD(B179,StepsEachYearQ2)=0,1+B179/StepsEachYearQ2,0)</f>
        <v>0</v>
      </c>
      <c r="M179" s="33"/>
    </row>
    <row r="180" spans="1:13" ht="13.15" thickBot="1" x14ac:dyDescent="0.4">
      <c r="A180" s="4"/>
      <c r="B180" s="13">
        <f t="shared" si="14"/>
        <v>150</v>
      </c>
      <c r="C180" s="21">
        <f t="shared" si="10"/>
        <v>58.75</v>
      </c>
      <c r="D180" s="4">
        <f>POWER(gompertz_g,POWER(gompertz_c,InitialAgeQ2)*(gompertz_c^('Question 2'!C180-InitialAgeQ2)-1))</f>
        <v>0.47960610829776756</v>
      </c>
      <c r="E180" s="21">
        <f>(1+IntRateQ2)^(-(C180-InitialAgeQ2))*D180</f>
        <v>0.22988444915035938</v>
      </c>
      <c r="F180" s="10">
        <f t="shared" si="11"/>
        <v>0</v>
      </c>
      <c r="G180" s="10">
        <f t="shared" si="12"/>
        <v>0</v>
      </c>
      <c r="H180" s="10">
        <f t="shared" si="13"/>
        <v>2</v>
      </c>
      <c r="I180" s="12">
        <f>IF(MOD(B180,StepsEachYearQ2)=0,1+B180/StepsEachYearQ2,0)</f>
        <v>0</v>
      </c>
      <c r="M180" s="33"/>
    </row>
    <row r="181" spans="1:13" ht="13.15" thickBot="1" x14ac:dyDescent="0.4">
      <c r="A181" s="4"/>
      <c r="B181" s="13">
        <f t="shared" si="14"/>
        <v>151</v>
      </c>
      <c r="C181" s="21">
        <f t="shared" si="10"/>
        <v>58.875</v>
      </c>
      <c r="D181" s="4">
        <f>POWER(gompertz_g,POWER(gompertz_c,InitialAgeQ2)*(gompertz_c^('Question 2'!C181-InitialAgeQ2)-1))</f>
        <v>0.47486633189303495</v>
      </c>
      <c r="E181" s="21">
        <f>(1+IntRateQ2)^(-(C181-InitialAgeQ2))*D181</f>
        <v>0.22649942292406638</v>
      </c>
      <c r="F181" s="10">
        <f t="shared" si="11"/>
        <v>0</v>
      </c>
      <c r="G181" s="10">
        <f t="shared" si="12"/>
        <v>0</v>
      </c>
      <c r="H181" s="10">
        <f t="shared" si="13"/>
        <v>4</v>
      </c>
      <c r="I181" s="12">
        <f>IF(MOD(B181,StepsEachYearQ2)=0,1+B181/StepsEachYearQ2,0)</f>
        <v>0</v>
      </c>
      <c r="M181" s="33"/>
    </row>
    <row r="182" spans="1:13" ht="13.15" thickBot="1" x14ac:dyDescent="0.4">
      <c r="A182" s="4"/>
      <c r="B182" s="13">
        <f t="shared" si="14"/>
        <v>152</v>
      </c>
      <c r="C182" s="21">
        <f t="shared" si="10"/>
        <v>59</v>
      </c>
      <c r="D182" s="4">
        <f>POWER(gompertz_g,POWER(gompertz_c,InitialAgeQ2)*(gompertz_c^('Question 2'!C182-InitialAgeQ2)-1))</f>
        <v>0.47012282515738002</v>
      </c>
      <c r="E182" s="21">
        <f>(1+IntRateQ2)^(-(C182-InitialAgeQ2))*D182</f>
        <v>0.22314023733362467</v>
      </c>
      <c r="F182" s="10">
        <f t="shared" si="11"/>
        <v>1</v>
      </c>
      <c r="G182" s="10">
        <f t="shared" si="12"/>
        <v>0.5</v>
      </c>
      <c r="H182" s="10">
        <f t="shared" si="13"/>
        <v>2</v>
      </c>
      <c r="I182" s="12">
        <f>IF(MOD(B182,StepsEachYearQ2)=0,1+B182/StepsEachYearQ2,0)</f>
        <v>20</v>
      </c>
      <c r="M182" s="33"/>
    </row>
    <row r="183" spans="1:13" ht="13.15" thickBot="1" x14ac:dyDescent="0.4">
      <c r="A183" s="4"/>
      <c r="B183" s="13">
        <f t="shared" si="14"/>
        <v>153</v>
      </c>
      <c r="C183" s="21">
        <f t="shared" si="10"/>
        <v>59.125</v>
      </c>
      <c r="D183" s="4">
        <f>POWER(gompertz_g,POWER(gompertz_c,InitialAgeQ2)*(gompertz_c^('Question 2'!C183-InitialAgeQ2)-1))</f>
        <v>0.46537609852377676</v>
      </c>
      <c r="E183" s="21">
        <f>(1+IntRateQ2)^(-(C183-InitialAgeQ2))*D183</f>
        <v>0.21980697033715826</v>
      </c>
      <c r="F183" s="10">
        <f t="shared" si="11"/>
        <v>0</v>
      </c>
      <c r="G183" s="10">
        <f t="shared" si="12"/>
        <v>0</v>
      </c>
      <c r="H183" s="10">
        <f t="shared" si="13"/>
        <v>4</v>
      </c>
      <c r="I183" s="12">
        <f>IF(MOD(B183,StepsEachYearQ2)=0,1+B183/StepsEachYearQ2,0)</f>
        <v>0</v>
      </c>
      <c r="M183" s="33"/>
    </row>
    <row r="184" spans="1:13" ht="13.15" thickBot="1" x14ac:dyDescent="0.4">
      <c r="A184" s="4"/>
      <c r="B184" s="13">
        <f t="shared" si="14"/>
        <v>154</v>
      </c>
      <c r="C184" s="21">
        <f t="shared" si="10"/>
        <v>59.25</v>
      </c>
      <c r="D184" s="4">
        <f>POWER(gompertz_g,POWER(gompertz_c,InitialAgeQ2)*(gompertz_c^('Question 2'!C184-InitialAgeQ2)-1))</f>
        <v>0.46062666903110011</v>
      </c>
      <c r="E184" s="21">
        <f>(1+IntRateQ2)^(-(C184-InitialAgeQ2))*D184</f>
        <v>0.21649969921658568</v>
      </c>
      <c r="F184" s="10">
        <f t="shared" si="11"/>
        <v>0</v>
      </c>
      <c r="G184" s="10">
        <f t="shared" si="12"/>
        <v>0</v>
      </c>
      <c r="H184" s="10">
        <f t="shared" si="13"/>
        <v>2</v>
      </c>
      <c r="I184" s="12">
        <f>IF(MOD(B184,StepsEachYearQ2)=0,1+B184/StepsEachYearQ2,0)</f>
        <v>0</v>
      </c>
      <c r="M184" s="33"/>
    </row>
    <row r="185" spans="1:13" ht="13.15" thickBot="1" x14ac:dyDescent="0.4">
      <c r="A185" s="4"/>
      <c r="B185" s="13">
        <f t="shared" si="14"/>
        <v>155</v>
      </c>
      <c r="C185" s="21">
        <f t="shared" si="10"/>
        <v>59.375</v>
      </c>
      <c r="D185" s="4">
        <f>POWER(gompertz_g,POWER(gompertz_c,InitialAgeQ2)*(gompertz_c^('Question 2'!C185-InitialAgeQ2)-1))</f>
        <v>0.45587506022931329</v>
      </c>
      <c r="E185" s="21">
        <f>(1+IntRateQ2)^(-(C185-InitialAgeQ2))*D185</f>
        <v>0.21321850050997754</v>
      </c>
      <c r="F185" s="10">
        <f t="shared" si="11"/>
        <v>0</v>
      </c>
      <c r="G185" s="10">
        <f t="shared" si="12"/>
        <v>0</v>
      </c>
      <c r="H185" s="10">
        <f t="shared" si="13"/>
        <v>4</v>
      </c>
      <c r="I185" s="12">
        <f>IF(MOD(B185,StepsEachYearQ2)=0,1+B185/StepsEachYearQ2,0)</f>
        <v>0</v>
      </c>
      <c r="M185" s="33"/>
    </row>
    <row r="186" spans="1:13" ht="13.15" thickBot="1" x14ac:dyDescent="0.4">
      <c r="A186" s="4"/>
      <c r="B186" s="13">
        <f t="shared" si="14"/>
        <v>156</v>
      </c>
      <c r="C186" s="21">
        <f t="shared" si="10"/>
        <v>59.5</v>
      </c>
      <c r="D186" s="4">
        <f>POWER(gompertz_g,POWER(gompertz_c,InitialAgeQ2)*(gompertz_c^('Question 2'!C186-InitialAgeQ2)-1))</f>
        <v>0.45112180207883545</v>
      </c>
      <c r="E186" s="21">
        <f>(1+IntRateQ2)^(-(C186-InitialAgeQ2))*D186</f>
        <v>0.20996344994308141</v>
      </c>
      <c r="F186" s="10">
        <f t="shared" si="11"/>
        <v>0</v>
      </c>
      <c r="G186" s="10">
        <f t="shared" si="12"/>
        <v>0.5</v>
      </c>
      <c r="H186" s="10">
        <f t="shared" si="13"/>
        <v>2</v>
      </c>
      <c r="I186" s="12">
        <f>IF(MOD(B186,StepsEachYearQ2)=0,1+B186/StepsEachYearQ2,0)</f>
        <v>0</v>
      </c>
      <c r="M186" s="33"/>
    </row>
    <row r="187" spans="1:13" ht="13.15" thickBot="1" x14ac:dyDescent="0.4">
      <c r="A187" s="4"/>
      <c r="B187" s="13">
        <f t="shared" si="14"/>
        <v>157</v>
      </c>
      <c r="C187" s="21">
        <f t="shared" si="10"/>
        <v>59.625</v>
      </c>
      <c r="D187" s="4">
        <f>POWER(gompertz_g,POWER(gompertz_c,InitialAgeQ2)*(gompertz_c^('Question 2'!C187-InitialAgeQ2)-1))</f>
        <v>0.44636743084400027</v>
      </c>
      <c r="E187" s="21">
        <f>(1+IntRateQ2)^(-(C187-InitialAgeQ2))*D187</f>
        <v>0.2067346223600364</v>
      </c>
      <c r="F187" s="10">
        <f t="shared" si="11"/>
        <v>0</v>
      </c>
      <c r="G187" s="10">
        <f t="shared" si="12"/>
        <v>0</v>
      </c>
      <c r="H187" s="10">
        <f t="shared" si="13"/>
        <v>4</v>
      </c>
      <c r="I187" s="12">
        <f>IF(MOD(B187,StepsEachYearQ2)=0,1+B187/StepsEachYearQ2,0)</f>
        <v>0</v>
      </c>
      <c r="M187" s="33"/>
    </row>
    <row r="188" spans="1:13" ht="13.15" thickBot="1" x14ac:dyDescent="0.4">
      <c r="A188" s="4"/>
      <c r="B188" s="13">
        <f t="shared" si="14"/>
        <v>158</v>
      </c>
      <c r="C188" s="21">
        <f t="shared" si="10"/>
        <v>59.75</v>
      </c>
      <c r="D188" s="4">
        <f>POWER(gompertz_g,POWER(gompertz_c,InitialAgeQ2)*(gompertz_c^('Question 2'!C188-InitialAgeQ2)-1))</f>
        <v>0.4416124889805299</v>
      </c>
      <c r="E188" s="21">
        <f>(1+IntRateQ2)^(-(C188-InitialAgeQ2))*D188</f>
        <v>0.20353209165330552</v>
      </c>
      <c r="F188" s="10">
        <f t="shared" si="11"/>
        <v>0</v>
      </c>
      <c r="G188" s="10">
        <f t="shared" si="12"/>
        <v>0</v>
      </c>
      <c r="H188" s="10">
        <f t="shared" si="13"/>
        <v>2</v>
      </c>
      <c r="I188" s="12">
        <f>IF(MOD(B188,StepsEachYearQ2)=0,1+B188/StepsEachYearQ2,0)</f>
        <v>0</v>
      </c>
      <c r="M188" s="33"/>
    </row>
    <row r="189" spans="1:13" ht="13.15" thickBot="1" x14ac:dyDescent="0.4">
      <c r="A189" s="4"/>
      <c r="B189" s="13">
        <f t="shared" si="14"/>
        <v>159</v>
      </c>
      <c r="C189" s="21">
        <f t="shared" si="10"/>
        <v>59.875</v>
      </c>
      <c r="D189" s="4">
        <f>POWER(gompertz_g,POWER(gompertz_c,InitialAgeQ2)*(gompertz_c^('Question 2'!C189-InitialAgeQ2)-1))</f>
        <v>0.43685752501694686</v>
      </c>
      <c r="E189" s="21">
        <f>(1+IntRateQ2)^(-(C189-InitialAgeQ2))*D189</f>
        <v>0.20035593069285076</v>
      </c>
      <c r="F189" s="10">
        <f t="shared" si="11"/>
        <v>0</v>
      </c>
      <c r="G189" s="10">
        <f t="shared" si="12"/>
        <v>0</v>
      </c>
      <c r="H189" s="10">
        <f t="shared" si="13"/>
        <v>4</v>
      </c>
      <c r="I189" s="12">
        <f>IF(MOD(B189,StepsEachYearQ2)=0,1+B189/StepsEachYearQ2,0)</f>
        <v>0</v>
      </c>
      <c r="M189" s="33"/>
    </row>
    <row r="190" spans="1:13" ht="13.15" thickBot="1" x14ac:dyDescent="0.4">
      <c r="A190" s="4"/>
      <c r="B190" s="13">
        <f t="shared" si="14"/>
        <v>160</v>
      </c>
      <c r="C190" s="21">
        <f t="shared" si="10"/>
        <v>60</v>
      </c>
      <c r="D190" s="4">
        <f>POWER(gompertz_g,POWER(gompertz_c,InitialAgeQ2)*(gompertz_c^('Question 2'!C190-InitialAgeQ2)-1))</f>
        <v>0.43210309342984954</v>
      </c>
      <c r="E190" s="21">
        <f>(1+IntRateQ2)^(-(C190-InitialAgeQ2))*D190</f>
        <v>0.19720621125458063</v>
      </c>
      <c r="F190" s="10">
        <f t="shared" si="11"/>
        <v>1</v>
      </c>
      <c r="G190" s="10">
        <f t="shared" si="12"/>
        <v>0.5</v>
      </c>
      <c r="H190" s="10">
        <f t="shared" si="13"/>
        <v>2</v>
      </c>
      <c r="I190" s="12">
        <f>IF(MOD(B190,StepsEachYearQ2)=0,1+B190/StepsEachYearQ2,0)</f>
        <v>21</v>
      </c>
      <c r="M190" s="33"/>
    </row>
    <row r="191" spans="1:13" ht="13.15" thickBot="1" x14ac:dyDescent="0.4">
      <c r="A191" s="4"/>
      <c r="B191" s="13">
        <f t="shared" si="14"/>
        <v>161</v>
      </c>
      <c r="C191" s="21">
        <f t="shared" si="10"/>
        <v>60.125</v>
      </c>
      <c r="D191" s="4">
        <f>POWER(gompertz_g,POWER(gompertz_c,InitialAgeQ2)*(gompertz_c^('Question 2'!C191-InitialAgeQ2)-1))</f>
        <v>0.42734975451298518</v>
      </c>
      <c r="E191" s="21">
        <f>(1+IntRateQ2)^(-(C191-InitialAgeQ2))*D191</f>
        <v>0.19408300394810077</v>
      </c>
      <c r="F191" s="10">
        <f t="shared" si="11"/>
        <v>0</v>
      </c>
      <c r="G191" s="10">
        <f t="shared" si="12"/>
        <v>0</v>
      </c>
      <c r="H191" s="10">
        <f t="shared" si="13"/>
        <v>4</v>
      </c>
      <c r="I191" s="12">
        <f>IF(MOD(B191,StepsEachYearQ2)=0,1+B191/StepsEachYearQ2,0)</f>
        <v>0</v>
      </c>
      <c r="M191" s="33"/>
    </row>
    <row r="192" spans="1:13" ht="13.15" thickBot="1" x14ac:dyDescent="0.4">
      <c r="A192" s="4"/>
      <c r="B192" s="13">
        <f t="shared" si="14"/>
        <v>162</v>
      </c>
      <c r="C192" s="21">
        <f t="shared" si="10"/>
        <v>60.25</v>
      </c>
      <c r="D192" s="4">
        <f>POWER(gompertz_g,POWER(gompertz_c,InitialAgeQ2)*(gompertz_c^('Question 2'!C192-InitialAgeQ2)-1))</f>
        <v>0.42259807424005513</v>
      </c>
      <c r="E192" s="21">
        <f>(1+IntRateQ2)^(-(C192-InitialAgeQ2))*D192</f>
        <v>0.19098637814379973</v>
      </c>
      <c r="F192" s="10">
        <f t="shared" si="11"/>
        <v>0</v>
      </c>
      <c r="G192" s="10">
        <f t="shared" si="12"/>
        <v>0</v>
      </c>
      <c r="H192" s="10">
        <f t="shared" si="13"/>
        <v>2</v>
      </c>
      <c r="I192" s="12">
        <f>IF(MOD(B192,StepsEachYearQ2)=0,1+B192/StepsEachYearQ2,0)</f>
        <v>0</v>
      </c>
      <c r="M192" s="33"/>
    </row>
    <row r="193" spans="1:13" ht="13.15" thickBot="1" x14ac:dyDescent="0.4">
      <c r="A193" s="4"/>
      <c r="B193" s="13">
        <f t="shared" si="14"/>
        <v>163</v>
      </c>
      <c r="C193" s="21">
        <f t="shared" si="10"/>
        <v>60.375</v>
      </c>
      <c r="D193" s="4">
        <f>POWER(gompertz_g,POWER(gompertz_c,InitialAgeQ2)*(gompertz_c^('Question 2'!C193-InitialAgeQ2)-1))</f>
        <v>0.41784862412118745</v>
      </c>
      <c r="E193" s="21">
        <f>(1+IntRateQ2)^(-(C193-InitialAgeQ2))*D193</f>
        <v>0.18791640189930175</v>
      </c>
      <c r="F193" s="10">
        <f t="shared" si="11"/>
        <v>0</v>
      </c>
      <c r="G193" s="10">
        <f t="shared" si="12"/>
        <v>0</v>
      </c>
      <c r="H193" s="10">
        <f t="shared" si="13"/>
        <v>4</v>
      </c>
      <c r="I193" s="12">
        <f>IF(MOD(B193,StepsEachYearQ2)=0,1+B193/StepsEachYearQ2,0)</f>
        <v>0</v>
      </c>
      <c r="M193" s="33"/>
    </row>
    <row r="194" spans="1:13" ht="13.15" thickBot="1" x14ac:dyDescent="0.4">
      <c r="A194" s="4"/>
      <c r="B194" s="13">
        <f t="shared" si="14"/>
        <v>164</v>
      </c>
      <c r="C194" s="21">
        <f t="shared" si="10"/>
        <v>60.5</v>
      </c>
      <c r="D194" s="4">
        <f>POWER(gompertz_g,POWER(gompertz_c,InitialAgeQ2)*(gompertz_c^('Question 2'!C194-InitialAgeQ2)-1))</f>
        <v>0.41310198105302637</v>
      </c>
      <c r="E194" s="21">
        <f>(1+IntRateQ2)^(-(C194-InitialAgeQ2))*D194</f>
        <v>0.18487314188532383</v>
      </c>
      <c r="F194" s="10">
        <f t="shared" si="11"/>
        <v>0</v>
      </c>
      <c r="G194" s="10">
        <f t="shared" si="12"/>
        <v>0.5</v>
      </c>
      <c r="H194" s="10">
        <f t="shared" si="13"/>
        <v>2</v>
      </c>
      <c r="I194" s="12">
        <f>IF(MOD(B194,StepsEachYearQ2)=0,1+B194/StepsEachYearQ2,0)</f>
        <v>0</v>
      </c>
      <c r="M194" s="33"/>
    </row>
    <row r="195" spans="1:13" ht="13.15" thickBot="1" x14ac:dyDescent="0.4">
      <c r="A195" s="4"/>
      <c r="B195" s="13">
        <f t="shared" si="14"/>
        <v>165</v>
      </c>
      <c r="C195" s="21">
        <f t="shared" si="10"/>
        <v>60.625</v>
      </c>
      <c r="D195" s="4">
        <f>POWER(gompertz_g,POWER(gompertz_c,InitialAgeQ2)*(gompertz_c^('Question 2'!C195-InitialAgeQ2)-1))</f>
        <v>0.40835872716238392</v>
      </c>
      <c r="E195" s="21">
        <f>(1+IntRateQ2)^(-(C195-InitialAgeQ2))*D195</f>
        <v>0.18185666331097286</v>
      </c>
      <c r="F195" s="10">
        <f t="shared" si="11"/>
        <v>0</v>
      </c>
      <c r="G195" s="10">
        <f t="shared" si="12"/>
        <v>0</v>
      </c>
      <c r="H195" s="10">
        <f t="shared" si="13"/>
        <v>4</v>
      </c>
      <c r="I195" s="12">
        <f>IF(MOD(B195,StepsEachYearQ2)=0,1+B195/StepsEachYearQ2,0)</f>
        <v>0</v>
      </c>
      <c r="M195" s="33"/>
    </row>
    <row r="196" spans="1:13" ht="13.15" thickBot="1" x14ac:dyDescent="0.4">
      <c r="A196" s="4"/>
      <c r="B196" s="13">
        <f t="shared" si="14"/>
        <v>166</v>
      </c>
      <c r="C196" s="21">
        <f t="shared" si="10"/>
        <v>60.75</v>
      </c>
      <c r="D196" s="4">
        <f>POWER(gompertz_g,POWER(gompertz_c,InitialAgeQ2)*(gompertz_c^('Question 2'!C196-InitialAgeQ2)-1))</f>
        <v>0.40361944964340712</v>
      </c>
      <c r="E196" s="21">
        <f>(1+IntRateQ2)^(-(C196-InitialAgeQ2))*D196</f>
        <v>0.1788670298485214</v>
      </c>
      <c r="F196" s="10">
        <f t="shared" si="11"/>
        <v>0</v>
      </c>
      <c r="G196" s="10">
        <f t="shared" si="12"/>
        <v>0</v>
      </c>
      <c r="H196" s="10">
        <f t="shared" si="13"/>
        <v>2</v>
      </c>
      <c r="I196" s="12">
        <f>IF(MOD(B196,StepsEachYearQ2)=0,1+B196/StepsEachYearQ2,0)</f>
        <v>0</v>
      </c>
      <c r="M196" s="33"/>
    </row>
    <row r="197" spans="1:13" ht="13.15" thickBot="1" x14ac:dyDescent="0.4">
      <c r="A197" s="4"/>
      <c r="B197" s="13">
        <f t="shared" si="14"/>
        <v>167</v>
      </c>
      <c r="C197" s="21">
        <f t="shared" si="10"/>
        <v>60.875</v>
      </c>
      <c r="D197" s="4">
        <f>POWER(gompertz_g,POWER(gompertz_c,InitialAgeQ2)*(gompertz_c^('Question 2'!C197-InitialAgeQ2)-1))</f>
        <v>0.3988847405882201</v>
      </c>
      <c r="E197" s="21">
        <f>(1+IntRateQ2)^(-(C197-InitialAgeQ2))*D197</f>
        <v>0.17590430355770173</v>
      </c>
      <c r="F197" s="10">
        <f t="shared" si="11"/>
        <v>0</v>
      </c>
      <c r="G197" s="10">
        <f t="shared" si="12"/>
        <v>0</v>
      </c>
      <c r="H197" s="10">
        <f t="shared" si="13"/>
        <v>4</v>
      </c>
      <c r="I197" s="12">
        <f>IF(MOD(B197,StepsEachYearQ2)=0,1+B197/StepsEachYearQ2,0)</f>
        <v>0</v>
      </c>
      <c r="M197" s="33"/>
    </row>
    <row r="198" spans="1:13" ht="13.15" thickBot="1" x14ac:dyDescent="0.4">
      <c r="A198" s="4"/>
      <c r="B198" s="13">
        <f t="shared" si="14"/>
        <v>168</v>
      </c>
      <c r="C198" s="21">
        <f t="shared" si="10"/>
        <v>61</v>
      </c>
      <c r="D198" s="4">
        <f>POWER(gompertz_g,POWER(gompertz_c,InitialAgeQ2)*(gompertz_c^('Question 2'!C198-InitialAgeQ2)-1))</f>
        <v>0.39415519681100564</v>
      </c>
      <c r="E198" s="21">
        <f>(1+IntRateQ2)^(-(C198-InitialAgeQ2))*D198</f>
        <v>0.17296854480956161</v>
      </c>
      <c r="F198" s="10">
        <f t="shared" si="11"/>
        <v>1</v>
      </c>
      <c r="G198" s="10">
        <f t="shared" si="12"/>
        <v>0.5</v>
      </c>
      <c r="H198" s="10">
        <f t="shared" si="13"/>
        <v>2</v>
      </c>
      <c r="I198" s="12">
        <f>IF(MOD(B198,StepsEachYearQ2)=0,1+B198/StepsEachYearQ2,0)</f>
        <v>22</v>
      </c>
      <c r="M198" s="33"/>
    </row>
    <row r="199" spans="1:13" ht="13.15" thickBot="1" x14ac:dyDescent="0.4">
      <c r="A199" s="4"/>
      <c r="B199" s="13">
        <f t="shared" si="14"/>
        <v>169</v>
      </c>
      <c r="C199" s="21">
        <f t="shared" si="10"/>
        <v>61.125</v>
      </c>
      <c r="D199" s="4">
        <f>POWER(gompertz_g,POWER(gompertz_c,InitialAgeQ2)*(gompertz_c^('Question 2'!C199-InitialAgeQ2)-1))</f>
        <v>0.38943141966549261</v>
      </c>
      <c r="E199" s="21">
        <f>(1+IntRateQ2)^(-(C199-InitialAgeQ2))*D199</f>
        <v>0.17005981220992283</v>
      </c>
      <c r="F199" s="10">
        <f t="shared" si="11"/>
        <v>0</v>
      </c>
      <c r="G199" s="10">
        <f t="shared" si="12"/>
        <v>0</v>
      </c>
      <c r="H199" s="10">
        <f t="shared" si="13"/>
        <v>4</v>
      </c>
      <c r="I199" s="12">
        <f>IF(MOD(B199,StepsEachYearQ2)=0,1+B199/StepsEachYearQ2,0)</f>
        <v>0</v>
      </c>
      <c r="M199" s="33"/>
    </row>
    <row r="200" spans="1:13" ht="13.15" thickBot="1" x14ac:dyDescent="0.4">
      <c r="A200" s="4"/>
      <c r="B200" s="13">
        <f t="shared" si="14"/>
        <v>170</v>
      </c>
      <c r="C200" s="21">
        <f t="shared" si="10"/>
        <v>61.25</v>
      </c>
      <c r="D200" s="4">
        <f>POWER(gompertz_g,POWER(gompertz_c,InitialAgeQ2)*(gompertz_c^('Question 2'!C200-InitialAgeQ2)-1))</f>
        <v>0.38471401485583201</v>
      </c>
      <c r="E200" s="21">
        <f>(1+IntRateQ2)^(-(C200-InitialAgeQ2))*D200</f>
        <v>0.16717816252249065</v>
      </c>
      <c r="F200" s="10">
        <f t="shared" si="11"/>
        <v>0</v>
      </c>
      <c r="G200" s="10">
        <f t="shared" si="12"/>
        <v>0</v>
      </c>
      <c r="H200" s="10">
        <f t="shared" si="13"/>
        <v>2</v>
      </c>
      <c r="I200" s="12">
        <f>IF(MOD(B200,StepsEachYearQ2)=0,1+B200/StepsEachYearQ2,0)</f>
        <v>0</v>
      </c>
      <c r="M200" s="33"/>
    </row>
    <row r="201" spans="1:13" ht="13.15" thickBot="1" x14ac:dyDescent="0.4">
      <c r="A201" s="4"/>
      <c r="B201" s="13">
        <f t="shared" si="14"/>
        <v>171</v>
      </c>
      <c r="C201" s="21">
        <f t="shared" si="10"/>
        <v>61.375</v>
      </c>
      <c r="D201" s="4">
        <f>POWER(gompertz_g,POWER(gompertz_c,InitialAgeQ2)*(gompertz_c^('Question 2'!C201-InitialAgeQ2)-1))</f>
        <v>0.3800035922408333</v>
      </c>
      <c r="E201" s="21">
        <f>(1+IntRateQ2)^(-(C201-InitialAgeQ2))*D201</f>
        <v>0.16432365059165793</v>
      </c>
      <c r="F201" s="10">
        <f t="shared" si="11"/>
        <v>0</v>
      </c>
      <c r="G201" s="10">
        <f t="shared" si="12"/>
        <v>0</v>
      </c>
      <c r="H201" s="10">
        <f t="shared" si="13"/>
        <v>4</v>
      </c>
      <c r="I201" s="12">
        <f>IF(MOD(B201,StepsEachYearQ2)=0,1+B201/StepsEachYearQ2,0)</f>
        <v>0</v>
      </c>
      <c r="M201" s="33"/>
    </row>
    <row r="202" spans="1:13" ht="13.15" thickBot="1" x14ac:dyDescent="0.4">
      <c r="A202" s="4"/>
      <c r="B202" s="13">
        <f t="shared" si="14"/>
        <v>172</v>
      </c>
      <c r="C202" s="21">
        <f t="shared" si="10"/>
        <v>61.5</v>
      </c>
      <c r="D202" s="4">
        <f>POWER(gompertz_g,POWER(gompertz_c,InitialAgeQ2)*(gompertz_c^('Question 2'!C202-InitialAgeQ2)-1))</f>
        <v>0.37530076563155884</v>
      </c>
      <c r="E202" s="21">
        <f>(1+IntRateQ2)^(-(C202-InitialAgeQ2))*D202</f>
        <v>0.1614963292650558</v>
      </c>
      <c r="F202" s="10">
        <f t="shared" si="11"/>
        <v>0</v>
      </c>
      <c r="G202" s="10">
        <f t="shared" si="12"/>
        <v>0.5</v>
      </c>
      <c r="H202" s="10">
        <f t="shared" si="13"/>
        <v>2</v>
      </c>
      <c r="I202" s="12">
        <f>IF(MOD(B202,StepsEachYearQ2)=0,1+B202/StepsEachYearQ2,0)</f>
        <v>0</v>
      </c>
      <c r="M202" s="33"/>
    </row>
    <row r="203" spans="1:13" ht="13.15" thickBot="1" x14ac:dyDescent="0.4">
      <c r="A203" s="4"/>
      <c r="B203" s="13">
        <f t="shared" si="14"/>
        <v>173</v>
      </c>
      <c r="C203" s="21">
        <f t="shared" si="10"/>
        <v>61.625</v>
      </c>
      <c r="D203" s="4">
        <f>POWER(gompertz_g,POWER(gompertz_c,InitialAgeQ2)*(gompertz_c^('Question 2'!C203-InitialAgeQ2)-1))</f>
        <v>0.3706061525822657</v>
      </c>
      <c r="E203" s="21">
        <f>(1+IntRateQ2)^(-(C203-InitialAgeQ2))*D203</f>
        <v>0.15869624931589874</v>
      </c>
      <c r="F203" s="10">
        <f t="shared" si="11"/>
        <v>0</v>
      </c>
      <c r="G203" s="10">
        <f t="shared" si="12"/>
        <v>0</v>
      </c>
      <c r="H203" s="10">
        <f t="shared" si="13"/>
        <v>4</v>
      </c>
      <c r="I203" s="12">
        <f>IF(MOD(B203,StepsEachYearQ2)=0,1+B203/StepsEachYearQ2,0)</f>
        <v>0</v>
      </c>
      <c r="M203" s="33"/>
    </row>
    <row r="204" spans="1:13" ht="13.15" thickBot="1" x14ac:dyDescent="0.4">
      <c r="A204" s="4"/>
      <c r="B204" s="13">
        <f t="shared" si="14"/>
        <v>174</v>
      </c>
      <c r="C204" s="21">
        <f t="shared" si="10"/>
        <v>61.75</v>
      </c>
      <c r="D204" s="4">
        <f>POWER(gompertz_g,POWER(gompertz_c,InitialAgeQ2)*(gompertz_c^('Question 2'!C204-InitialAgeQ2)-1))</f>
        <v>0.36592037417469875</v>
      </c>
      <c r="E204" s="21">
        <f>(1+IntRateQ2)^(-(C204-InitialAgeQ2))*D204</f>
        <v>0.15592345936517771</v>
      </c>
      <c r="F204" s="10">
        <f t="shared" si="11"/>
        <v>0</v>
      </c>
      <c r="G204" s="10">
        <f t="shared" si="12"/>
        <v>0</v>
      </c>
      <c r="H204" s="10">
        <f t="shared" si="13"/>
        <v>2</v>
      </c>
      <c r="I204" s="12">
        <f>IF(MOD(B204,StepsEachYearQ2)=0,1+B204/StepsEachYearQ2,0)</f>
        <v>0</v>
      </c>
      <c r="M204" s="33"/>
    </row>
    <row r="205" spans="1:13" ht="13.15" thickBot="1" x14ac:dyDescent="0.4">
      <c r="A205" s="4"/>
      <c r="B205" s="13">
        <f t="shared" si="14"/>
        <v>175</v>
      </c>
      <c r="C205" s="21">
        <f t="shared" si="10"/>
        <v>61.875</v>
      </c>
      <c r="D205" s="4">
        <f>POWER(gompertz_g,POWER(gompertz_c,InitialAgeQ2)*(gompertz_c^('Question 2'!C205-InitialAgeQ2)-1))</f>
        <v>0.36124405479574356</v>
      </c>
      <c r="E205" s="21">
        <f>(1+IntRateQ2)^(-(C205-InitialAgeQ2))*D205</f>
        <v>0.15317800580375443</v>
      </c>
      <c r="F205" s="10">
        <f t="shared" si="11"/>
        <v>0</v>
      </c>
      <c r="G205" s="10">
        <f t="shared" si="12"/>
        <v>0</v>
      </c>
      <c r="H205" s="10">
        <f t="shared" si="13"/>
        <v>4</v>
      </c>
      <c r="I205" s="12">
        <f>IF(MOD(B205,StepsEachYearQ2)=0,1+B205/StepsEachYearQ2,0)</f>
        <v>0</v>
      </c>
      <c r="M205" s="33"/>
    </row>
    <row r="206" spans="1:13" ht="13.15" thickBot="1" x14ac:dyDescent="0.4">
      <c r="A206" s="4"/>
      <c r="B206" s="13">
        <f t="shared" si="14"/>
        <v>176</v>
      </c>
      <c r="C206" s="21">
        <f t="shared" si="10"/>
        <v>62</v>
      </c>
      <c r="D206" s="4">
        <f>POWER(gompertz_g,POWER(gompertz_c,InitialAgeQ2)*(gompertz_c^('Question 2'!C206-InitialAgeQ2)-1))</f>
        <v>0.35657782190845588</v>
      </c>
      <c r="E206" s="21">
        <f>(1+IntRateQ2)^(-(C206-InitialAgeQ2))*D206</f>
        <v>0.15045993271441227</v>
      </c>
      <c r="F206" s="10">
        <f t="shared" si="11"/>
        <v>1</v>
      </c>
      <c r="G206" s="10">
        <f t="shared" si="12"/>
        <v>0.5</v>
      </c>
      <c r="H206" s="10">
        <f t="shared" si="13"/>
        <v>2</v>
      </c>
      <c r="I206" s="12">
        <f>IF(MOD(B206,StepsEachYearQ2)=0,1+B206/StepsEachYearQ2,0)</f>
        <v>23</v>
      </c>
      <c r="M206" s="33"/>
    </row>
    <row r="207" spans="1:13" ht="13.15" thickBot="1" x14ac:dyDescent="0.4">
      <c r="A207" s="4"/>
      <c r="B207" s="13">
        <f t="shared" si="14"/>
        <v>177</v>
      </c>
      <c r="C207" s="21">
        <f t="shared" si="10"/>
        <v>62.125</v>
      </c>
      <c r="D207" s="4">
        <f>POWER(gompertz_g,POWER(gompertz_c,InitialAgeQ2)*(gompertz_c^('Question 2'!C207-InitialAgeQ2)-1))</f>
        <v>0.35192230581649164</v>
      </c>
      <c r="E207" s="21">
        <f>(1+IntRateQ2)^(-(C207-InitialAgeQ2))*D207</f>
        <v>0.1477692817939221</v>
      </c>
      <c r="F207" s="10">
        <f t="shared" si="11"/>
        <v>0</v>
      </c>
      <c r="G207" s="10">
        <f t="shared" si="12"/>
        <v>0</v>
      </c>
      <c r="H207" s="10">
        <f t="shared" si="13"/>
        <v>4</v>
      </c>
      <c r="I207" s="12">
        <f>IF(MOD(B207,StepsEachYearQ2)=0,1+B207/StepsEachYearQ2,0)</f>
        <v>0</v>
      </c>
      <c r="M207" s="33"/>
    </row>
    <row r="208" spans="1:13" ht="13.15" thickBot="1" x14ac:dyDescent="0.4">
      <c r="A208" s="4"/>
      <c r="B208" s="13">
        <f t="shared" si="14"/>
        <v>178</v>
      </c>
      <c r="C208" s="21">
        <f t="shared" si="10"/>
        <v>62.25</v>
      </c>
      <c r="D208" s="4">
        <f>POWER(gompertz_g,POWER(gompertz_c,InitialAgeQ2)*(gompertz_c^('Question 2'!C208-InitialAgeQ2)-1))</f>
        <v>0.347278139421972</v>
      </c>
      <c r="E208" s="21">
        <f>(1+IntRateQ2)^(-(C208-InitialAgeQ2))*D208</f>
        <v>0.14510609227518065</v>
      </c>
      <c r="F208" s="10">
        <f t="shared" si="11"/>
        <v>0</v>
      </c>
      <c r="G208" s="10">
        <f t="shared" si="12"/>
        <v>0</v>
      </c>
      <c r="H208" s="10">
        <f t="shared" si="13"/>
        <v>2</v>
      </c>
      <c r="I208" s="12">
        <f>IF(MOD(B208,StepsEachYearQ2)=0,1+B208/StepsEachYearQ2,0)</f>
        <v>0</v>
      </c>
      <c r="M208" s="33"/>
    </row>
    <row r="209" spans="1:13" ht="13.15" thickBot="1" x14ac:dyDescent="0.4">
      <c r="A209" s="4"/>
      <c r="B209" s="13">
        <f t="shared" si="14"/>
        <v>179</v>
      </c>
      <c r="C209" s="21">
        <f t="shared" si="10"/>
        <v>62.375</v>
      </c>
      <c r="D209" s="4">
        <f>POWER(gompertz_g,POWER(gompertz_c,InitialAgeQ2)*(gompertz_c^('Question 2'!C209-InitialAgeQ2)-1))</f>
        <v>0.34264595797681813</v>
      </c>
      <c r="E209" s="21">
        <f>(1+IntRateQ2)^(-(C209-InitialAgeQ2))*D209</f>
        <v>0.1424704008494824</v>
      </c>
      <c r="F209" s="10">
        <f t="shared" si="11"/>
        <v>0</v>
      </c>
      <c r="G209" s="10">
        <f t="shared" si="12"/>
        <v>0</v>
      </c>
      <c r="H209" s="10">
        <f t="shared" si="13"/>
        <v>4</v>
      </c>
      <c r="I209" s="12">
        <f>IF(MOD(B209,StepsEachYearQ2)=0,1+B209/StepsEachYearQ2,0)</f>
        <v>0</v>
      </c>
      <c r="M209" s="33"/>
    </row>
    <row r="210" spans="1:13" ht="13.15" thickBot="1" x14ac:dyDescent="0.4">
      <c r="A210" s="4"/>
      <c r="B210" s="13">
        <f t="shared" si="14"/>
        <v>180</v>
      </c>
      <c r="C210" s="21">
        <f t="shared" si="10"/>
        <v>62.5</v>
      </c>
      <c r="D210" s="4">
        <f>POWER(gompertz_g,POWER(gompertz_c,InitialAgeQ2)*(gompertz_c^('Question 2'!C210-InitialAgeQ2)-1))</f>
        <v>0.33802639882761193</v>
      </c>
      <c r="E210" s="21">
        <f>(1+IntRateQ2)^(-(C210-InitialAgeQ2))*D210</f>
        <v>0.13986224158898827</v>
      </c>
      <c r="F210" s="10">
        <f t="shared" si="11"/>
        <v>0</v>
      </c>
      <c r="G210" s="10">
        <f t="shared" si="12"/>
        <v>0.5</v>
      </c>
      <c r="H210" s="10">
        <f t="shared" si="13"/>
        <v>2</v>
      </c>
      <c r="I210" s="12">
        <f>IF(MOD(B210,StepsEachYearQ2)=0,1+B210/StepsEachYearQ2,0)</f>
        <v>0</v>
      </c>
      <c r="M210" s="33"/>
    </row>
    <row r="211" spans="1:13" ht="13.15" thickBot="1" x14ac:dyDescent="0.4">
      <c r="A211" s="4"/>
      <c r="B211" s="13">
        <f t="shared" si="14"/>
        <v>181</v>
      </c>
      <c r="C211" s="21">
        <f t="shared" si="10"/>
        <v>62.625</v>
      </c>
      <c r="D211" s="4">
        <f>POWER(gompertz_g,POWER(gompertz_c,InitialAgeQ2)*(gompertz_c^('Question 2'!C211-InitialAgeQ2)-1))</f>
        <v>0.33342010115403492</v>
      </c>
      <c r="E211" s="21">
        <f>(1+IntRateQ2)^(-(C211-InitialAgeQ2))*D211</f>
        <v>0.13728164586945368</v>
      </c>
      <c r="F211" s="10">
        <f t="shared" si="11"/>
        <v>0</v>
      </c>
      <c r="G211" s="10">
        <f t="shared" si="12"/>
        <v>0</v>
      </c>
      <c r="H211" s="10">
        <f t="shared" si="13"/>
        <v>4</v>
      </c>
      <c r="I211" s="12">
        <f>IF(MOD(B211,StepsEachYearQ2)=0,1+B211/StepsEachYearQ2,0)</f>
        <v>0</v>
      </c>
      <c r="M211" s="33"/>
    </row>
    <row r="212" spans="1:13" ht="13.15" thickBot="1" x14ac:dyDescent="0.4">
      <c r="A212" s="4"/>
      <c r="B212" s="13">
        <f t="shared" si="14"/>
        <v>182</v>
      </c>
      <c r="C212" s="21">
        <f t="shared" si="10"/>
        <v>62.75</v>
      </c>
      <c r="D212" s="4">
        <f>POWER(gompertz_g,POWER(gompertz_c,InitialAgeQ2)*(gompertz_c^('Question 2'!C212-InitialAgeQ2)-1))</f>
        <v>0.32882770570095388</v>
      </c>
      <c r="E212" s="21">
        <f>(1+IntRateQ2)^(-(C212-InitialAgeQ2))*D212</f>
        <v>0.13472864229328235</v>
      </c>
      <c r="F212" s="10">
        <f t="shared" si="11"/>
        <v>0</v>
      </c>
      <c r="G212" s="10">
        <f t="shared" si="12"/>
        <v>0</v>
      </c>
      <c r="H212" s="10">
        <f t="shared" si="13"/>
        <v>2</v>
      </c>
      <c r="I212" s="12">
        <f>IF(MOD(B212,StepsEachYearQ2)=0,1+B212/StepsEachYearQ2,0)</f>
        <v>0</v>
      </c>
      <c r="M212" s="33"/>
    </row>
    <row r="213" spans="1:13" ht="13.15" thickBot="1" x14ac:dyDescent="0.4">
      <c r="A213" s="4"/>
      <c r="B213" s="13">
        <f t="shared" si="14"/>
        <v>183</v>
      </c>
      <c r="C213" s="21">
        <f t="shared" si="10"/>
        <v>62.875</v>
      </c>
      <c r="D213" s="4">
        <f>POWER(gompertz_g,POWER(gompertz_c,InitialAgeQ2)*(gompertz_c^('Question 2'!C213-InitialAgeQ2)-1))</f>
        <v>0.32424985450422877</v>
      </c>
      <c r="E213" s="21">
        <f>(1+IntRateQ2)^(-(C213-InitialAgeQ2))*D213</f>
        <v>0.13220325661297247</v>
      </c>
      <c r="F213" s="10">
        <f t="shared" si="11"/>
        <v>0</v>
      </c>
      <c r="G213" s="10">
        <f t="shared" si="12"/>
        <v>0</v>
      </c>
      <c r="H213" s="10">
        <f t="shared" si="13"/>
        <v>4</v>
      </c>
      <c r="I213" s="12">
        <f>IF(MOD(B213,StepsEachYearQ2)=0,1+B213/StepsEachYearQ2,0)</f>
        <v>0</v>
      </c>
      <c r="M213" s="33"/>
    </row>
    <row r="214" spans="1:13" ht="13.15" thickBot="1" x14ac:dyDescent="0.4">
      <c r="A214" s="4"/>
      <c r="B214" s="13">
        <f t="shared" si="14"/>
        <v>184</v>
      </c>
      <c r="C214" s="21">
        <f t="shared" si="10"/>
        <v>63</v>
      </c>
      <c r="D214" s="4">
        <f>POWER(gompertz_g,POWER(gompertz_c,InitialAgeQ2)*(gompertz_c^('Question 2'!C214-InitialAgeQ2)-1))</f>
        <v>0.31968719061032813</v>
      </c>
      <c r="E214" s="21">
        <f>(1+IntRateQ2)^(-(C214-InitialAgeQ2))*D214</f>
        <v>0.12970551165502497</v>
      </c>
      <c r="F214" s="10">
        <f t="shared" si="11"/>
        <v>1</v>
      </c>
      <c r="G214" s="10">
        <f t="shared" si="12"/>
        <v>0.5</v>
      </c>
      <c r="H214" s="10">
        <f t="shared" si="13"/>
        <v>2</v>
      </c>
      <c r="I214" s="12">
        <f>IF(MOD(B214,StepsEachYearQ2)=0,1+B214/StepsEachYearQ2,0)</f>
        <v>24</v>
      </c>
      <c r="M214" s="33"/>
    </row>
    <row r="215" spans="1:13" ht="13.15" thickBot="1" x14ac:dyDescent="0.4">
      <c r="A215" s="4"/>
      <c r="B215" s="13">
        <f t="shared" si="14"/>
        <v>185</v>
      </c>
      <c r="C215" s="21">
        <f t="shared" si="10"/>
        <v>63.125</v>
      </c>
      <c r="D215" s="4">
        <f>POWER(gompertz_g,POWER(gompertz_c,InitialAgeQ2)*(gompertz_c^('Question 2'!C215-InitialAgeQ2)-1))</f>
        <v>0.31514035778984456</v>
      </c>
      <c r="E215" s="21">
        <f>(1+IntRateQ2)^(-(C215-InitialAgeQ2))*D215</f>
        <v>0.12723542724438208</v>
      </c>
      <c r="F215" s="10">
        <f t="shared" si="11"/>
        <v>0</v>
      </c>
      <c r="G215" s="10">
        <f t="shared" si="12"/>
        <v>0</v>
      </c>
      <c r="H215" s="10">
        <f t="shared" si="13"/>
        <v>4</v>
      </c>
      <c r="I215" s="12">
        <f>IF(MOD(B215,StepsEachYearQ2)=0,1+B215/StepsEachYearQ2,0)</f>
        <v>0</v>
      </c>
      <c r="M215" s="33"/>
    </row>
    <row r="216" spans="1:13" ht="13.15" thickBot="1" x14ac:dyDescent="0.4">
      <c r="A216" s="4"/>
      <c r="B216" s="13">
        <f t="shared" si="14"/>
        <v>186</v>
      </c>
      <c r="C216" s="21">
        <f t="shared" si="10"/>
        <v>63.25</v>
      </c>
      <c r="D216" s="4">
        <f>POWER(gompertz_g,POWER(gompertz_c,InitialAgeQ2)*(gompertz_c^('Question 2'!C216-InitialAgeQ2)-1))</f>
        <v>0.31061000024502033</v>
      </c>
      <c r="E216" s="21">
        <f>(1+IntRateQ2)^(-(C216-InitialAgeQ2))*D216</f>
        <v>0.1247930201294709</v>
      </c>
      <c r="F216" s="10">
        <f t="shared" si="11"/>
        <v>0</v>
      </c>
      <c r="G216" s="10">
        <f t="shared" si="12"/>
        <v>0</v>
      </c>
      <c r="H216" s="10">
        <f t="shared" si="13"/>
        <v>2</v>
      </c>
      <c r="I216" s="12">
        <f>IF(MOD(B216,StepsEachYearQ2)=0,1+B216/StepsEachYearQ2,0)</f>
        <v>0</v>
      </c>
      <c r="M216" s="33"/>
    </row>
    <row r="217" spans="1:13" ht="13.15" thickBot="1" x14ac:dyDescent="0.4">
      <c r="A217" s="4"/>
      <c r="B217" s="13">
        <f t="shared" si="14"/>
        <v>187</v>
      </c>
      <c r="C217" s="21">
        <f t="shared" si="10"/>
        <v>63.375</v>
      </c>
      <c r="D217" s="4">
        <f>POWER(gompertz_g,POWER(gompertz_c,InitialAgeQ2)*(gompertz_c^('Question 2'!C217-InitialAgeQ2)-1))</f>
        <v>0.3060967623113896</v>
      </c>
      <c r="E217" s="21">
        <f>(1+IntRateQ2)^(-(C217-InitialAgeQ2))*D217</f>
        <v>0.1223783039079219</v>
      </c>
      <c r="F217" s="10">
        <f t="shared" si="11"/>
        <v>0</v>
      </c>
      <c r="G217" s="10">
        <f t="shared" si="12"/>
        <v>0</v>
      </c>
      <c r="H217" s="10">
        <f t="shared" si="13"/>
        <v>4</v>
      </c>
      <c r="I217" s="12">
        <f>IF(MOD(B217,StepsEachYearQ2)=0,1+B217/StepsEachYearQ2,0)</f>
        <v>0</v>
      </c>
      <c r="M217" s="33"/>
    </row>
    <row r="218" spans="1:13" ht="13.15" thickBot="1" x14ac:dyDescent="0.4">
      <c r="A218" s="4"/>
      <c r="B218" s="13">
        <f t="shared" si="14"/>
        <v>188</v>
      </c>
      <c r="C218" s="21">
        <f t="shared" si="10"/>
        <v>63.5</v>
      </c>
      <c r="D218" s="4">
        <f>POWER(gompertz_g,POWER(gompertz_c,InitialAgeQ2)*(gompertz_c^('Question 2'!C218-InitialAgeQ2)-1))</f>
        <v>0.30160128815366871</v>
      </c>
      <c r="E218" s="21">
        <f>(1+IntRateQ2)^(-(C218-InitialAgeQ2))*D218</f>
        <v>0.11999128895303934</v>
      </c>
      <c r="F218" s="10">
        <f t="shared" si="11"/>
        <v>0</v>
      </c>
      <c r="G218" s="10">
        <f t="shared" si="12"/>
        <v>0.5</v>
      </c>
      <c r="H218" s="10">
        <f t="shared" si="13"/>
        <v>2</v>
      </c>
      <c r="I218" s="12">
        <f>IF(MOD(B218,StepsEachYearQ2)=0,1+B218/StepsEachYearQ2,0)</f>
        <v>0</v>
      </c>
      <c r="M218" s="33"/>
    </row>
    <row r="219" spans="1:13" ht="13.15" thickBot="1" x14ac:dyDescent="0.4">
      <c r="A219" s="4"/>
      <c r="B219" s="13">
        <f t="shared" si="14"/>
        <v>189</v>
      </c>
      <c r="C219" s="21">
        <f t="shared" si="10"/>
        <v>63.625</v>
      </c>
      <c r="D219" s="4">
        <f>POWER(gompertz_g,POWER(gompertz_c,InitialAgeQ2)*(gompertz_c^('Question 2'!C219-InitialAgeQ2)-1))</f>
        <v>0.29712422145602635</v>
      </c>
      <c r="E219" s="21">
        <f>(1+IntRateQ2)^(-(C219-InitialAgeQ2))*D219</f>
        <v>0.11763198234109817</v>
      </c>
      <c r="F219" s="10">
        <f t="shared" si="11"/>
        <v>0</v>
      </c>
      <c r="G219" s="10">
        <f t="shared" si="12"/>
        <v>0</v>
      </c>
      <c r="H219" s="10">
        <f t="shared" si="13"/>
        <v>4</v>
      </c>
      <c r="I219" s="12">
        <f>IF(MOD(B219,StepsEachYearQ2)=0,1+B219/StepsEachYearQ2,0)</f>
        <v>0</v>
      </c>
      <c r="M219" s="33"/>
    </row>
    <row r="220" spans="1:13" ht="13.15" thickBot="1" x14ac:dyDescent="0.4">
      <c r="A220" s="4"/>
      <c r="B220" s="13">
        <f t="shared" si="14"/>
        <v>190</v>
      </c>
      <c r="C220" s="21">
        <f t="shared" si="10"/>
        <v>63.75</v>
      </c>
      <c r="D220" s="4">
        <f>POWER(gompertz_g,POWER(gompertz_c,InitialAgeQ2)*(gompertz_c^('Question 2'!C220-InitialAgeQ2)-1))</f>
        <v>0.29266620510688124</v>
      </c>
      <c r="E220" s="21">
        <f>(1+IntRateQ2)^(-(C220-InitialAgeQ2))*D220</f>
        <v>0.11530038777954559</v>
      </c>
      <c r="F220" s="10">
        <f t="shared" si="11"/>
        <v>0</v>
      </c>
      <c r="G220" s="10">
        <f t="shared" si="12"/>
        <v>0</v>
      </c>
      <c r="H220" s="10">
        <f t="shared" si="13"/>
        <v>2</v>
      </c>
      <c r="I220" s="12">
        <f>IF(MOD(B220,StepsEachYearQ2)=0,1+B220/StepsEachYearQ2,0)</f>
        <v>0</v>
      </c>
      <c r="M220" s="33"/>
    </row>
    <row r="221" spans="1:13" ht="13.15" thickBot="1" x14ac:dyDescent="0.4">
      <c r="A221" s="4"/>
      <c r="B221" s="13">
        <f t="shared" si="14"/>
        <v>191</v>
      </c>
      <c r="C221" s="21">
        <f t="shared" si="10"/>
        <v>63.875</v>
      </c>
      <c r="D221" s="4">
        <f>POWER(gompertz_g,POWER(gompertz_c,InitialAgeQ2)*(gompertz_c^('Question 2'!C221-InitialAgeQ2)-1))</f>
        <v>0.28822788087838103</v>
      </c>
      <c r="E221" s="21">
        <f>(1+IntRateQ2)^(-(C221-InitialAgeQ2))*D221</f>
        <v>0.11299650553618451</v>
      </c>
      <c r="F221" s="10">
        <f t="shared" si="11"/>
        <v>0</v>
      </c>
      <c r="G221" s="10">
        <f t="shared" si="12"/>
        <v>0</v>
      </c>
      <c r="H221" s="10">
        <f t="shared" si="13"/>
        <v>4</v>
      </c>
      <c r="I221" s="12">
        <f>IF(MOD(B221,StepsEachYearQ2)=0,1+B221/StepsEachYearQ2,0)</f>
        <v>0</v>
      </c>
      <c r="M221" s="33"/>
    </row>
    <row r="222" spans="1:13" ht="13.15" thickBot="1" x14ac:dyDescent="0.4">
      <c r="A222" s="4"/>
      <c r="B222" s="13">
        <f t="shared" si="14"/>
        <v>192</v>
      </c>
      <c r="C222" s="21">
        <f t="shared" ref="C222:C285" si="15">InitialAgeQ2+B222*StepSizeQ2</f>
        <v>64</v>
      </c>
      <c r="D222" s="4">
        <f>POWER(gompertz_g,POWER(gompertz_c,InitialAgeQ2)*(gompertz_c^('Question 2'!C222-InitialAgeQ2)-1))</f>
        <v>0.28380988910073313</v>
      </c>
      <c r="E222" s="21">
        <f>(1+IntRateQ2)^(-(C222-InitialAgeQ2))*D222</f>
        <v>0.11072033236941989</v>
      </c>
      <c r="F222" s="10">
        <f t="shared" si="11"/>
        <v>1</v>
      </c>
      <c r="G222" s="10">
        <f t="shared" si="12"/>
        <v>0.5</v>
      </c>
      <c r="H222" s="10">
        <f t="shared" si="13"/>
        <v>2</v>
      </c>
      <c r="I222" s="12">
        <f>IF(MOD(B222,StepsEachYearQ2)=0,1+B222/StepsEachYearQ2,0)</f>
        <v>25</v>
      </c>
      <c r="M222" s="33"/>
    </row>
    <row r="223" spans="1:13" ht="13.15" thickBot="1" x14ac:dyDescent="0.4">
      <c r="A223" s="4"/>
      <c r="B223" s="13">
        <f t="shared" si="14"/>
        <v>193</v>
      </c>
      <c r="C223" s="21">
        <f t="shared" si="15"/>
        <v>64.125</v>
      </c>
      <c r="D223" s="4">
        <f>POWER(gompertz_g,POWER(gompertz_c,InitialAgeQ2)*(gompertz_c^('Question 2'!C223-InitialAgeQ2)-1))</f>
        <v>0.27941286833156248</v>
      </c>
      <c r="E223" s="21">
        <f>(1+IntRateQ2)^(-(C223-InitialAgeQ2))*D223</f>
        <v>0.10847186145964724</v>
      </c>
      <c r="F223" s="10">
        <f t="shared" ref="F223:F286" si="16">IF(MOD(B223,8)=0,1,0)</f>
        <v>0</v>
      </c>
      <c r="G223" s="10">
        <f t="shared" ref="G223:G286" si="17">IF(MOD(B223,4)=0,1/2,0)</f>
        <v>0</v>
      </c>
      <c r="H223" s="10">
        <f t="shared" ref="H223:H286" si="18">IF(B223=0,1,IF(ISEVEN(B223),2,4))</f>
        <v>4</v>
      </c>
      <c r="I223" s="12">
        <f>IF(MOD(B223,StepsEachYearQ2)=0,1+B223/StepsEachYearQ2,0)</f>
        <v>0</v>
      </c>
      <c r="M223" s="33"/>
    </row>
    <row r="224" spans="1:13" ht="13.15" thickBot="1" x14ac:dyDescent="0.4">
      <c r="A224" s="4"/>
      <c r="B224" s="13">
        <f t="shared" ref="B224:B287" si="19">B223+1</f>
        <v>194</v>
      </c>
      <c r="C224" s="21">
        <f t="shared" si="15"/>
        <v>64.25</v>
      </c>
      <c r="D224" s="4">
        <f>POWER(gompertz_g,POWER(gompertz_c,InitialAgeQ2)*(gompertz_c^('Question 2'!C224-InitialAgeQ2)-1))</f>
        <v>0.27503745502049104</v>
      </c>
      <c r="E224" s="21">
        <f>(1+IntRateQ2)^(-(C224-InitialAgeQ2))*D224</f>
        <v>0.10625108234186686</v>
      </c>
      <c r="F224" s="10">
        <f t="shared" si="16"/>
        <v>0</v>
      </c>
      <c r="G224" s="10">
        <f t="shared" si="17"/>
        <v>0</v>
      </c>
      <c r="H224" s="10">
        <f t="shared" si="18"/>
        <v>2</v>
      </c>
      <c r="I224" s="12">
        <f>IF(MOD(B224,StepsEachYearQ2)=0,1+B224/StepsEachYearQ2,0)</f>
        <v>0</v>
      </c>
      <c r="M224" s="33"/>
    </row>
    <row r="225" spans="1:13" ht="13.15" thickBot="1" x14ac:dyDescent="0.4">
      <c r="A225" s="4"/>
      <c r="B225" s="13">
        <f t="shared" si="19"/>
        <v>195</v>
      </c>
      <c r="C225" s="21">
        <f t="shared" si="15"/>
        <v>64.375</v>
      </c>
      <c r="D225" s="4">
        <f>POWER(gompertz_g,POWER(gompertz_c,InitialAgeQ2)*(gompertz_c^('Question 2'!C225-InitialAgeQ2)-1))</f>
        <v>0.27068428316913312</v>
      </c>
      <c r="E225" s="21">
        <f>(1+IntRateQ2)^(-(C225-InitialAgeQ2))*D225</f>
        <v>0.1040579808396047</v>
      </c>
      <c r="F225" s="10">
        <f t="shared" si="16"/>
        <v>0</v>
      </c>
      <c r="G225" s="10">
        <f t="shared" si="17"/>
        <v>0</v>
      </c>
      <c r="H225" s="10">
        <f t="shared" si="18"/>
        <v>4</v>
      </c>
      <c r="I225" s="12">
        <f>IF(MOD(B225,StepsEachYearQ2)=0,1+B225/StepsEachYearQ2,0)</f>
        <v>0</v>
      </c>
      <c r="M225" s="33"/>
    </row>
    <row r="226" spans="1:13" ht="13.15" thickBot="1" x14ac:dyDescent="0.4">
      <c r="A226" s="4"/>
      <c r="B226" s="13">
        <f t="shared" si="19"/>
        <v>196</v>
      </c>
      <c r="C226" s="21">
        <f t="shared" si="15"/>
        <v>64.5</v>
      </c>
      <c r="D226" s="4">
        <f>POWER(gompertz_g,POWER(gompertz_c,InitialAgeQ2)*(gompertz_c^('Question 2'!C226-InitialAgeQ2)-1))</f>
        <v>0.266353983986723</v>
      </c>
      <c r="E226" s="21">
        <f>(1+IntRateQ2)^(-(C226-InitialAgeQ2))*D226</f>
        <v>0.10189253900022396</v>
      </c>
      <c r="F226" s="10">
        <f t="shared" si="16"/>
        <v>0</v>
      </c>
      <c r="G226" s="10">
        <f t="shared" si="17"/>
        <v>0.5</v>
      </c>
      <c r="H226" s="10">
        <f t="shared" si="18"/>
        <v>2</v>
      </c>
      <c r="I226" s="12">
        <f>IF(MOD(B226,StepsEachYearQ2)=0,1+B226/StepsEachYearQ2,0)</f>
        <v>0</v>
      </c>
      <c r="M226" s="33"/>
    </row>
    <row r="227" spans="1:13" ht="13.15" thickBot="1" x14ac:dyDescent="0.4">
      <c r="A227" s="4"/>
      <c r="B227" s="13">
        <f t="shared" si="19"/>
        <v>197</v>
      </c>
      <c r="C227" s="21">
        <f t="shared" si="15"/>
        <v>64.625</v>
      </c>
      <c r="D227" s="4">
        <f>POWER(gompertz_g,POWER(gompertz_c,InitialAgeQ2)*(gompertz_c^('Question 2'!C227-InitialAgeQ2)-1))</f>
        <v>0.26204718554159973</v>
      </c>
      <c r="E227" s="21">
        <f>(1+IntRateQ2)^(-(C227-InitialAgeQ2))*D227</f>
        <v>9.9754735031713046E-2</v>
      </c>
      <c r="F227" s="10">
        <f t="shared" si="16"/>
        <v>0</v>
      </c>
      <c r="G227" s="10">
        <f t="shared" si="17"/>
        <v>0</v>
      </c>
      <c r="H227" s="10">
        <f t="shared" si="18"/>
        <v>4</v>
      </c>
      <c r="I227" s="12">
        <f>IF(MOD(B227,StepsEachYearQ2)=0,1+B227/StepsEachYearQ2,0)</f>
        <v>0</v>
      </c>
      <c r="M227" s="33"/>
    </row>
    <row r="228" spans="1:13" ht="13.15" thickBot="1" x14ac:dyDescent="0.4">
      <c r="A228" s="4"/>
      <c r="B228" s="13">
        <f t="shared" si="19"/>
        <v>198</v>
      </c>
      <c r="C228" s="21">
        <f t="shared" si="15"/>
        <v>64.75</v>
      </c>
      <c r="D228" s="4">
        <f>POWER(gompertz_g,POWER(gompertz_c,InitialAgeQ2)*(gompertz_c^('Question 2'!C228-InitialAgeQ2)-1))</f>
        <v>0.25776451240878029</v>
      </c>
      <c r="E228" s="21">
        <f>(1+IntRateQ2)^(-(C228-InitialAgeQ2))*D228</f>
        <v>9.7644543241033124E-2</v>
      </c>
      <c r="F228" s="10">
        <f t="shared" si="16"/>
        <v>0</v>
      </c>
      <c r="G228" s="10">
        <f t="shared" si="17"/>
        <v>0</v>
      </c>
      <c r="H228" s="10">
        <f t="shared" si="18"/>
        <v>2</v>
      </c>
      <c r="I228" s="12">
        <f>IF(MOD(B228,StepsEachYearQ2)=0,1+B228/StepsEachYearQ2,0)</f>
        <v>0</v>
      </c>
      <c r="M228" s="33"/>
    </row>
    <row r="229" spans="1:13" ht="13.15" thickBot="1" x14ac:dyDescent="0.4">
      <c r="A229" s="4"/>
      <c r="B229" s="13">
        <f t="shared" si="19"/>
        <v>199</v>
      </c>
      <c r="C229" s="21">
        <f t="shared" si="15"/>
        <v>64.875</v>
      </c>
      <c r="D229" s="4">
        <f>POWER(gompertz_g,POWER(gompertz_c,InitialAgeQ2)*(gompertz_c^('Question 2'!C229-InitialAgeQ2)-1))</f>
        <v>0.2535065853138726</v>
      </c>
      <c r="E229" s="21">
        <f>(1+IntRateQ2)^(-(C229-InitialAgeQ2))*D229</f>
        <v>9.5561933974112806E-2</v>
      </c>
      <c r="F229" s="10">
        <f t="shared" si="16"/>
        <v>0</v>
      </c>
      <c r="G229" s="10">
        <f t="shared" si="17"/>
        <v>0</v>
      </c>
      <c r="H229" s="10">
        <f t="shared" si="18"/>
        <v>4</v>
      </c>
      <c r="I229" s="12">
        <f>IF(MOD(B229,StepsEachYearQ2)=0,1+B229/StepsEachYearQ2,0)</f>
        <v>0</v>
      </c>
      <c r="M229" s="33"/>
    </row>
    <row r="230" spans="1:13" ht="13.15" thickBot="1" x14ac:dyDescent="0.4">
      <c r="A230" s="4"/>
      <c r="B230" s="13">
        <f t="shared" si="19"/>
        <v>200</v>
      </c>
      <c r="C230" s="21">
        <f t="shared" si="15"/>
        <v>65</v>
      </c>
      <c r="D230" s="4">
        <f>POWER(gompertz_g,POWER(gompertz_c,InitialAgeQ2)*(gompertz_c^('Question 2'!C230-InitialAgeQ2)-1))</f>
        <v>0.24927402077358149</v>
      </c>
      <c r="E230" s="21">
        <f>(1+IntRateQ2)^(-(C230-InitialAgeQ2))*D230</f>
        <v>9.3506873557574019E-2</v>
      </c>
      <c r="F230" s="10">
        <f t="shared" si="16"/>
        <v>1</v>
      </c>
      <c r="G230" s="10">
        <f t="shared" si="17"/>
        <v>0.5</v>
      </c>
      <c r="H230" s="10">
        <f t="shared" si="18"/>
        <v>2</v>
      </c>
      <c r="I230" s="12">
        <f>IF(MOD(B230,StepsEachYearQ2)=0,1+B230/StepsEachYearQ2,0)</f>
        <v>26</v>
      </c>
      <c r="M230" s="33"/>
    </row>
    <row r="231" spans="1:13" ht="13.15" thickBot="1" x14ac:dyDescent="0.4">
      <c r="A231" s="4"/>
      <c r="B231" s="13">
        <f t="shared" si="19"/>
        <v>201</v>
      </c>
      <c r="C231" s="21">
        <f t="shared" si="15"/>
        <v>65.125</v>
      </c>
      <c r="D231" s="4">
        <f>POWER(gompertz_g,POWER(gompertz_c,InitialAgeQ2)*(gompertz_c^('Question 2'!C231-InitialAgeQ2)-1))</f>
        <v>0.24506743073308249</v>
      </c>
      <c r="E231" s="21">
        <f>(1+IntRateQ2)^(-(C231-InitialAgeQ2))*D231</f>
        <v>9.1479324242277879E-2</v>
      </c>
      <c r="F231" s="10">
        <f t="shared" si="16"/>
        <v>0</v>
      </c>
      <c r="G231" s="10">
        <f t="shared" si="17"/>
        <v>0</v>
      </c>
      <c r="H231" s="10">
        <f t="shared" si="18"/>
        <v>4</v>
      </c>
      <c r="I231" s="12">
        <f>IF(MOD(B231,StepsEachYearQ2)=0,1+B231/StepsEachYearQ2,0)</f>
        <v>0</v>
      </c>
      <c r="M231" s="33"/>
    </row>
    <row r="232" spans="1:13" ht="13.15" thickBot="1" x14ac:dyDescent="0.4">
      <c r="A232" s="4"/>
      <c r="B232" s="13">
        <f t="shared" si="19"/>
        <v>202</v>
      </c>
      <c r="C232" s="21">
        <f t="shared" si="15"/>
        <v>65.25</v>
      </c>
      <c r="D232" s="4">
        <f>POWER(gompertz_g,POWER(gompertz_c,InitialAgeQ2)*(gompertz_c^('Question 2'!C232-InitialAgeQ2)-1))</f>
        <v>0.24088742220054479</v>
      </c>
      <c r="E232" s="21">
        <f>(1+IntRateQ2)^(-(C232-InitialAgeQ2))*D232</f>
        <v>8.9479244148776532E-2</v>
      </c>
      <c r="F232" s="10">
        <f t="shared" si="16"/>
        <v>0</v>
      </c>
      <c r="G232" s="10">
        <f t="shared" si="17"/>
        <v>0</v>
      </c>
      <c r="H232" s="10">
        <f t="shared" si="18"/>
        <v>2</v>
      </c>
      <c r="I232" s="12">
        <f>IF(MOD(B232,StepsEachYearQ2)=0,1+B232/StepsEachYearQ2,0)</f>
        <v>0</v>
      </c>
      <c r="M232" s="33"/>
    </row>
    <row r="233" spans="1:13" ht="13.15" thickBot="1" x14ac:dyDescent="0.4">
      <c r="A233" s="4"/>
      <c r="B233" s="13">
        <f t="shared" si="19"/>
        <v>203</v>
      </c>
      <c r="C233" s="21">
        <f t="shared" si="15"/>
        <v>65.375</v>
      </c>
      <c r="D233" s="4">
        <f>POWER(gompertz_g,POWER(gompertz_c,InitialAgeQ2)*(gompertz_c^('Question 2'!C233-InitialAgeQ2)-1))</f>
        <v>0.23673459687909074</v>
      </c>
      <c r="E233" s="21">
        <f>(1+IntRateQ2)^(-(C233-InitialAgeQ2))*D233</f>
        <v>8.750658721475732E-2</v>
      </c>
      <c r="F233" s="10">
        <f t="shared" si="16"/>
        <v>0</v>
      </c>
      <c r="G233" s="10">
        <f t="shared" si="17"/>
        <v>0</v>
      </c>
      <c r="H233" s="10">
        <f t="shared" si="18"/>
        <v>4</v>
      </c>
      <c r="I233" s="12">
        <f>IF(MOD(B233,StepsEachYearQ2)=0,1+B233/StepsEachYearQ2,0)</f>
        <v>0</v>
      </c>
      <c r="M233" s="33"/>
    </row>
    <row r="234" spans="1:13" ht="13.15" thickBot="1" x14ac:dyDescent="0.4">
      <c r="A234" s="4"/>
      <c r="B234" s="13">
        <f t="shared" si="19"/>
        <v>204</v>
      </c>
      <c r="C234" s="21">
        <f t="shared" si="15"/>
        <v>65.5</v>
      </c>
      <c r="D234" s="4">
        <f>POWER(gompertz_g,POWER(gompertz_c,InitialAgeQ2)*(gompertz_c^('Question 2'!C234-InitialAgeQ2)-1))</f>
        <v>0.23260955079650575</v>
      </c>
      <c r="E234" s="21">
        <f>(1+IntRateQ2)^(-(C234-InitialAgeQ2))*D234</f>
        <v>8.5561303144568224E-2</v>
      </c>
      <c r="F234" s="10">
        <f t="shared" si="16"/>
        <v>0</v>
      </c>
      <c r="G234" s="10">
        <f t="shared" si="17"/>
        <v>0.5</v>
      </c>
      <c r="H234" s="10">
        <f t="shared" si="18"/>
        <v>2</v>
      </c>
      <c r="I234" s="12">
        <f>IF(MOD(B234,StepsEachYearQ2)=0,1+B234/StepsEachYearQ2,0)</f>
        <v>0</v>
      </c>
      <c r="M234" s="33"/>
    </row>
    <row r="235" spans="1:13" ht="13.15" thickBot="1" x14ac:dyDescent="0.4">
      <c r="A235" s="4"/>
      <c r="B235" s="13">
        <f t="shared" si="19"/>
        <v>205</v>
      </c>
      <c r="C235" s="21">
        <f t="shared" si="15"/>
        <v>65.625</v>
      </c>
      <c r="D235" s="4">
        <f>POWER(gompertz_g,POWER(gompertz_c,InitialAgeQ2)*(gompertz_c^('Question 2'!C235-InitialAgeQ2)-1))</f>
        <v>0.22851287393300623</v>
      </c>
      <c r="E235" s="21">
        <f>(1+IntRateQ2)^(-(C235-InitialAgeQ2))*D235</f>
        <v>8.3643337360909856E-2</v>
      </c>
      <c r="F235" s="10">
        <f t="shared" si="16"/>
        <v>0</v>
      </c>
      <c r="G235" s="10">
        <f t="shared" si="17"/>
        <v>0</v>
      </c>
      <c r="H235" s="10">
        <f t="shared" si="18"/>
        <v>4</v>
      </c>
      <c r="I235" s="12">
        <f>IF(MOD(B235,StepsEachYearQ2)=0,1+B235/StepsEachYearQ2,0)</f>
        <v>0</v>
      </c>
      <c r="M235" s="33"/>
    </row>
    <row r="236" spans="1:13" ht="13.15" thickBot="1" x14ac:dyDescent="0.4">
      <c r="A236" s="4"/>
      <c r="B236" s="13">
        <f t="shared" si="19"/>
        <v>206</v>
      </c>
      <c r="C236" s="21">
        <f t="shared" si="15"/>
        <v>65.75</v>
      </c>
      <c r="D236" s="4">
        <f>POWER(gompertz_g,POWER(gompertz_c,InitialAgeQ2)*(gompertz_c^('Question 2'!C236-InitialAgeQ2)-1))</f>
        <v>0.22444514984739863</v>
      </c>
      <c r="E236" s="21">
        <f>(1+IntRateQ2)^(-(C236-InitialAgeQ2))*D236</f>
        <v>8.1752630958782227E-2</v>
      </c>
      <c r="F236" s="10">
        <f t="shared" si="16"/>
        <v>0</v>
      </c>
      <c r="G236" s="10">
        <f t="shared" si="17"/>
        <v>0</v>
      </c>
      <c r="H236" s="10">
        <f t="shared" si="18"/>
        <v>2</v>
      </c>
      <c r="I236" s="12">
        <f>IF(MOD(B236,StepsEachYearQ2)=0,1+B236/StepsEachYearQ2,0)</f>
        <v>0</v>
      </c>
      <c r="M236" s="33"/>
    </row>
    <row r="237" spans="1:13" ht="13.15" thickBot="1" x14ac:dyDescent="0.4">
      <c r="A237" s="4"/>
      <c r="B237" s="13">
        <f t="shared" si="19"/>
        <v>207</v>
      </c>
      <c r="C237" s="21">
        <f t="shared" si="15"/>
        <v>65.875</v>
      </c>
      <c r="D237" s="4">
        <f>POWER(gompertz_g,POWER(gompertz_c,InitialAgeQ2)*(gompertz_c^('Question 2'!C237-InitialAgeQ2)-1))</f>
        <v>0.22040695530196591</v>
      </c>
      <c r="E237" s="21">
        <f>(1+IntRateQ2)^(-(C237-InitialAgeQ2))*D237</f>
        <v>7.98891206617727E-2</v>
      </c>
      <c r="F237" s="10">
        <f t="shared" si="16"/>
        <v>0</v>
      </c>
      <c r="G237" s="10">
        <f t="shared" si="17"/>
        <v>0</v>
      </c>
      <c r="H237" s="10">
        <f t="shared" si="18"/>
        <v>4</v>
      </c>
      <c r="I237" s="12">
        <f>IF(MOD(B237,StepsEachYearQ2)=0,1+B237/StepsEachYearQ2,0)</f>
        <v>0</v>
      </c>
      <c r="M237" s="33"/>
    </row>
    <row r="238" spans="1:13" ht="13.15" thickBot="1" x14ac:dyDescent="0.4">
      <c r="A238" s="4"/>
      <c r="B238" s="13">
        <f t="shared" si="19"/>
        <v>208</v>
      </c>
      <c r="C238" s="21">
        <f t="shared" si="15"/>
        <v>66</v>
      </c>
      <c r="D238" s="4">
        <f>POWER(gompertz_g,POWER(gompertz_c,InitialAgeQ2)*(gompertz_c^('Question 2'!C238-InitialAgeQ2)-1))</f>
        <v>0.21639885988643115</v>
      </c>
      <c r="E238" s="21">
        <f>(1+IntRateQ2)^(-(C238-InitialAgeQ2))*D238</f>
        <v>7.8052738780770792E-2</v>
      </c>
      <c r="F238" s="10">
        <f t="shared" si="16"/>
        <v>1</v>
      </c>
      <c r="G238" s="10">
        <f t="shared" si="17"/>
        <v>0.5</v>
      </c>
      <c r="H238" s="10">
        <f t="shared" si="18"/>
        <v>2</v>
      </c>
      <c r="I238" s="12">
        <f>IF(MOD(B238,StepsEachYearQ2)=0,1+B238/StepsEachYearQ2,0)</f>
        <v>27</v>
      </c>
      <c r="M238" s="33"/>
    </row>
    <row r="239" spans="1:13" ht="13.15" thickBot="1" x14ac:dyDescent="0.4">
      <c r="A239" s="4"/>
      <c r="B239" s="13">
        <f t="shared" si="19"/>
        <v>209</v>
      </c>
      <c r="C239" s="21">
        <f t="shared" si="15"/>
        <v>66.125</v>
      </c>
      <c r="D239" s="4">
        <f>POWER(gompertz_g,POWER(gompertz_c,InitialAgeQ2)*(gompertz_c^('Question 2'!C239-InitialAgeQ2)-1))</f>
        <v>0.21242142564135866</v>
      </c>
      <c r="E239" s="21">
        <f>(1+IntRateQ2)^(-(C239-InitialAgeQ2))*D239</f>
        <v>7.6243413175195951E-2</v>
      </c>
      <c r="F239" s="10">
        <f t="shared" si="16"/>
        <v>0</v>
      </c>
      <c r="G239" s="10">
        <f t="shared" si="17"/>
        <v>0</v>
      </c>
      <c r="H239" s="10">
        <f t="shared" si="18"/>
        <v>4</v>
      </c>
      <c r="I239" s="12">
        <f>IF(MOD(B239,StepsEachYearQ2)=0,1+B239/StepsEachYearQ2,0)</f>
        <v>0</v>
      </c>
      <c r="M239" s="33"/>
    </row>
    <row r="240" spans="1:13" ht="13.15" thickBot="1" x14ac:dyDescent="0.4">
      <c r="A240" s="4"/>
      <c r="B240" s="13">
        <f t="shared" si="19"/>
        <v>210</v>
      </c>
      <c r="C240" s="21">
        <f t="shared" si="15"/>
        <v>66.25</v>
      </c>
      <c r="D240" s="4">
        <f>POWER(gompertz_g,POWER(gompertz_c,InitialAgeQ2)*(gompertz_c^('Question 2'!C240-InitialAgeQ2)-1))</f>
        <v>0.20847520668136596</v>
      </c>
      <c r="E240" s="21">
        <f>(1+IntRateQ2)^(-(C240-InitialAgeQ2))*D240</f>
        <v>7.4461067216823523E-2</v>
      </c>
      <c r="F240" s="10">
        <f t="shared" si="16"/>
        <v>0</v>
      </c>
      <c r="G240" s="10">
        <f t="shared" si="17"/>
        <v>0</v>
      </c>
      <c r="H240" s="10">
        <f t="shared" si="18"/>
        <v>2</v>
      </c>
      <c r="I240" s="12">
        <f>IF(MOD(B240,StepsEachYearQ2)=0,1+B240/StepsEachYearQ2,0)</f>
        <v>0</v>
      </c>
      <c r="M240" s="33"/>
    </row>
    <row r="241" spans="1:13" ht="13.15" thickBot="1" x14ac:dyDescent="0.4">
      <c r="A241" s="4"/>
      <c r="B241" s="13">
        <f t="shared" si="19"/>
        <v>211</v>
      </c>
      <c r="C241" s="21">
        <f t="shared" si="15"/>
        <v>66.375</v>
      </c>
      <c r="D241" s="4">
        <f>POWER(gompertz_g,POWER(gompertz_c,InitialAgeQ2)*(gompertz_c^('Question 2'!C241-InitialAgeQ2)-1))</f>
        <v>0.20456074881852288</v>
      </c>
      <c r="E241" s="21">
        <f>(1+IntRateQ2)^(-(C241-InitialAgeQ2))*D241</f>
        <v>7.2705619756291529E-2</v>
      </c>
      <c r="F241" s="10">
        <f t="shared" si="16"/>
        <v>0</v>
      </c>
      <c r="G241" s="10">
        <f t="shared" si="17"/>
        <v>0</v>
      </c>
      <c r="H241" s="10">
        <f t="shared" si="18"/>
        <v>4</v>
      </c>
      <c r="I241" s="12">
        <f>IF(MOD(B241,StepsEachYearQ2)=0,1+B241/StepsEachYearQ2,0)</f>
        <v>0</v>
      </c>
      <c r="M241" s="33"/>
    </row>
    <row r="242" spans="1:13" ht="13.15" thickBot="1" x14ac:dyDescent="0.4">
      <c r="A242" s="4"/>
      <c r="B242" s="13">
        <f t="shared" si="19"/>
        <v>212</v>
      </c>
      <c r="C242" s="21">
        <f t="shared" si="15"/>
        <v>66.5</v>
      </c>
      <c r="D242" s="4">
        <f>POWER(gompertz_g,POWER(gompertz_c,InitialAgeQ2)*(gompertz_c^('Question 2'!C242-InitialAgeQ2)-1))</f>
        <v>0.20067858918633513</v>
      </c>
      <c r="E242" s="21">
        <f>(1+IntRateQ2)^(-(C242-InitialAgeQ2))*D242</f>
        <v>7.0976985092373143E-2</v>
      </c>
      <c r="F242" s="10">
        <f t="shared" si="16"/>
        <v>0</v>
      </c>
      <c r="G242" s="10">
        <f t="shared" si="17"/>
        <v>0.5</v>
      </c>
      <c r="H242" s="10">
        <f t="shared" si="18"/>
        <v>2</v>
      </c>
      <c r="I242" s="12">
        <f>IF(MOD(B242,StepsEachYearQ2)=0,1+B242/StepsEachYearQ2,0)</f>
        <v>0</v>
      </c>
      <c r="M242" s="33"/>
    </row>
    <row r="243" spans="1:13" ht="13.15" thickBot="1" x14ac:dyDescent="0.4">
      <c r="A243" s="4"/>
      <c r="B243" s="13">
        <f t="shared" si="19"/>
        <v>213</v>
      </c>
      <c r="C243" s="21">
        <f t="shared" si="15"/>
        <v>66.625</v>
      </c>
      <c r="D243" s="4">
        <f>POWER(gompertz_g,POWER(gompertz_c,InitialAgeQ2)*(gompertz_c^('Question 2'!C243-InitialAgeQ2)-1))</f>
        <v>0.19682925586471095</v>
      </c>
      <c r="E243" s="21">
        <f>(1+IntRateQ2)^(-(C243-InitialAgeQ2))*D243</f>
        <v>6.9275072944095503E-2</v>
      </c>
      <c r="F243" s="10">
        <f t="shared" si="16"/>
        <v>0</v>
      </c>
      <c r="G243" s="10">
        <f t="shared" si="17"/>
        <v>0</v>
      </c>
      <c r="H243" s="10">
        <f t="shared" si="18"/>
        <v>4</v>
      </c>
      <c r="I243" s="12">
        <f>IF(MOD(B243,StepsEachYearQ2)=0,1+B243/StepsEachYearQ2,0)</f>
        <v>0</v>
      </c>
      <c r="M243" s="33"/>
    </row>
    <row r="244" spans="1:13" ht="13.15" thickBot="1" x14ac:dyDescent="0.4">
      <c r="A244" s="4"/>
      <c r="B244" s="13">
        <f t="shared" si="19"/>
        <v>214</v>
      </c>
      <c r="C244" s="21">
        <f t="shared" si="15"/>
        <v>66.75</v>
      </c>
      <c r="D244" s="4">
        <f>POWER(gompertz_g,POWER(gompertz_c,InitialAgeQ2)*(gompertz_c^('Question 2'!C244-InitialAgeQ2)-1))</f>
        <v>0.19301326750631984</v>
      </c>
      <c r="E244" s="21">
        <f>(1+IntRateQ2)^(-(C244-InitialAgeQ2))*D244</f>
        <v>6.759978842578504E-2</v>
      </c>
      <c r="F244" s="10">
        <f t="shared" si="16"/>
        <v>0</v>
      </c>
      <c r="G244" s="10">
        <f t="shared" si="17"/>
        <v>0</v>
      </c>
      <c r="H244" s="10">
        <f t="shared" si="18"/>
        <v>2</v>
      </c>
      <c r="I244" s="12">
        <f>IF(MOD(B244,StepsEachYearQ2)=0,1+B244/StepsEachYearQ2,0)</f>
        <v>0</v>
      </c>
      <c r="M244" s="33"/>
    </row>
    <row r="245" spans="1:13" ht="13.15" thickBot="1" x14ac:dyDescent="0.4">
      <c r="A245" s="4"/>
      <c r="B245" s="13">
        <f t="shared" si="19"/>
        <v>215</v>
      </c>
      <c r="C245" s="21">
        <f t="shared" si="15"/>
        <v>66.875</v>
      </c>
      <c r="D245" s="4">
        <f>POWER(gompertz_g,POWER(gompertz_c,InitialAgeQ2)*(gompertz_c^('Question 2'!C245-InitialAgeQ2)-1))</f>
        <v>0.18923113296476779</v>
      </c>
      <c r="E245" s="21">
        <f>(1+IntRateQ2)^(-(C245-InitialAgeQ2))*D245</f>
        <v>6.5951032025119899E-2</v>
      </c>
      <c r="F245" s="10">
        <f t="shared" si="16"/>
        <v>0</v>
      </c>
      <c r="G245" s="10">
        <f t="shared" si="17"/>
        <v>0</v>
      </c>
      <c r="H245" s="10">
        <f t="shared" si="18"/>
        <v>4</v>
      </c>
      <c r="I245" s="12">
        <f>IF(MOD(B245,StepsEachYearQ2)=0,1+B245/StepsEachYearQ2,0)</f>
        <v>0</v>
      </c>
      <c r="M245" s="33"/>
    </row>
    <row r="246" spans="1:13" ht="13.15" thickBot="1" x14ac:dyDescent="0.4">
      <c r="A246" s="4"/>
      <c r="B246" s="13">
        <f t="shared" si="19"/>
        <v>216</v>
      </c>
      <c r="C246" s="21">
        <f t="shared" si="15"/>
        <v>67</v>
      </c>
      <c r="D246" s="4">
        <f>POWER(gompertz_g,POWER(gompertz_c,InitialAgeQ2)*(gompertz_c^('Question 2'!C246-InitialAgeQ2)-1))</f>
        <v>0.18548335092501317</v>
      </c>
      <c r="E246" s="21">
        <f>(1+IntRateQ2)^(-(C246-InitialAgeQ2))*D246</f>
        <v>6.4328699584264737E-2</v>
      </c>
      <c r="F246" s="10">
        <f t="shared" si="16"/>
        <v>1</v>
      </c>
      <c r="G246" s="10">
        <f t="shared" si="17"/>
        <v>0.5</v>
      </c>
      <c r="H246" s="10">
        <f t="shared" si="18"/>
        <v>2</v>
      </c>
      <c r="I246" s="12">
        <f>IF(MOD(B246,StepsEachYearQ2)=0,1+B246/StepsEachYearQ2,0)</f>
        <v>28</v>
      </c>
      <c r="M246" s="33"/>
    </row>
    <row r="247" spans="1:13" ht="13.15" thickBot="1" x14ac:dyDescent="0.4">
      <c r="A247" s="4"/>
      <c r="B247" s="13">
        <f t="shared" si="19"/>
        <v>217</v>
      </c>
      <c r="C247" s="21">
        <f t="shared" si="15"/>
        <v>67.125</v>
      </c>
      <c r="D247" s="4">
        <f>POWER(gompertz_g,POWER(gompertz_c,InitialAgeQ2)*(gompertz_c^('Question 2'!C247-InitialAgeQ2)-1))</f>
        <v>0.18177040953646206</v>
      </c>
      <c r="E247" s="21">
        <f>(1+IntRateQ2)^(-(C247-InitialAgeQ2))*D247</f>
        <v>6.2732682284164884E-2</v>
      </c>
      <c r="F247" s="10">
        <f t="shared" si="16"/>
        <v>0</v>
      </c>
      <c r="G247" s="10">
        <f t="shared" si="17"/>
        <v>0</v>
      </c>
      <c r="H247" s="10">
        <f t="shared" si="18"/>
        <v>4</v>
      </c>
      <c r="I247" s="12">
        <f>IF(MOD(B247,StepsEachYearQ2)=0,1+B247/StepsEachYearQ2,0)</f>
        <v>0</v>
      </c>
      <c r="M247" s="33"/>
    </row>
    <row r="248" spans="1:13" ht="13.15" thickBot="1" x14ac:dyDescent="0.4">
      <c r="A248" s="4"/>
      <c r="B248" s="13">
        <f t="shared" si="19"/>
        <v>218</v>
      </c>
      <c r="C248" s="21">
        <f t="shared" si="15"/>
        <v>67.25</v>
      </c>
      <c r="D248" s="4">
        <f>POWER(gompertz_g,POWER(gompertz_c,InitialAgeQ2)*(gompertz_c^('Question 2'!C248-InitialAgeQ2)-1))</f>
        <v>0.17809278604919057</v>
      </c>
      <c r="E248" s="21">
        <f>(1+IntRateQ2)^(-(C248-InitialAgeQ2))*D248</f>
        <v>6.1162866632073272E-2</v>
      </c>
      <c r="F248" s="10">
        <f t="shared" si="16"/>
        <v>0</v>
      </c>
      <c r="G248" s="10">
        <f t="shared" si="17"/>
        <v>0</v>
      </c>
      <c r="H248" s="10">
        <f t="shared" si="18"/>
        <v>2</v>
      </c>
      <c r="I248" s="12">
        <f>IF(MOD(B248,StepsEachYearQ2)=0,1+B248/StepsEachYearQ2,0)</f>
        <v>0</v>
      </c>
      <c r="M248" s="33"/>
    </row>
    <row r="249" spans="1:13" ht="13.15" thickBot="1" x14ac:dyDescent="0.4">
      <c r="A249" s="4"/>
      <c r="B249" s="13">
        <f t="shared" si="19"/>
        <v>219</v>
      </c>
      <c r="C249" s="21">
        <f t="shared" si="15"/>
        <v>67.375</v>
      </c>
      <c r="D249" s="4">
        <f>POWER(gompertz_g,POWER(gompertz_c,InitialAgeQ2)*(gompertz_c^('Question 2'!C249-InitialAgeQ2)-1))</f>
        <v>0.1744509464537379</v>
      </c>
      <c r="E249" s="21">
        <f>(1+IntRateQ2)^(-(C249-InitialAgeQ2))*D249</f>
        <v>5.9619134452379777E-2</v>
      </c>
      <c r="F249" s="10">
        <f t="shared" si="16"/>
        <v>0</v>
      </c>
      <c r="G249" s="10">
        <f t="shared" si="17"/>
        <v>0</v>
      </c>
      <c r="H249" s="10">
        <f t="shared" si="18"/>
        <v>4</v>
      </c>
      <c r="I249" s="12">
        <f>IF(MOD(B249,StepsEachYearQ2)=0,1+B249/StepsEachYearQ2,0)</f>
        <v>0</v>
      </c>
      <c r="M249" s="33"/>
    </row>
    <row r="250" spans="1:13" ht="13.15" thickBot="1" x14ac:dyDescent="0.4">
      <c r="A250" s="4"/>
      <c r="B250" s="13">
        <f t="shared" si="19"/>
        <v>220</v>
      </c>
      <c r="C250" s="21">
        <f t="shared" si="15"/>
        <v>67.5</v>
      </c>
      <c r="D250" s="4">
        <f>POWER(gompertz_g,POWER(gompertz_c,InitialAgeQ2)*(gompertz_c^('Question 2'!C250-InitialAgeQ2)-1))</f>
        <v>0.17084534512493935</v>
      </c>
      <c r="E250" s="21">
        <f>(1+IntRateQ2)^(-(C250-InitialAgeQ2))*D250</f>
        <v>5.8101362880814522E-2</v>
      </c>
      <c r="F250" s="10">
        <f t="shared" si="16"/>
        <v>0</v>
      </c>
      <c r="G250" s="10">
        <f t="shared" si="17"/>
        <v>0.5</v>
      </c>
      <c r="H250" s="10">
        <f t="shared" si="18"/>
        <v>2</v>
      </c>
      <c r="I250" s="12">
        <f>IF(MOD(B250,StepsEachYearQ2)=0,1+B250/StepsEachYearQ2,0)</f>
        <v>0</v>
      </c>
      <c r="M250" s="33"/>
    </row>
    <row r="251" spans="1:13" ht="13.15" thickBot="1" x14ac:dyDescent="0.4">
      <c r="A251" s="4"/>
      <c r="B251" s="13">
        <f t="shared" si="19"/>
        <v>221</v>
      </c>
      <c r="C251" s="21">
        <f t="shared" si="15"/>
        <v>67.625</v>
      </c>
      <c r="D251" s="4">
        <f>POWER(gompertz_g,POWER(gompertz_c,InitialAgeQ2)*(gompertz_c^('Question 2'!C251-InitialAgeQ2)-1))</f>
        <v>0.16727642447025617</v>
      </c>
      <c r="E251" s="21">
        <f>(1+IntRateQ2)^(-(C251-InitialAgeQ2))*D251</f>
        <v>5.6609424362089364E-2</v>
      </c>
      <c r="F251" s="10">
        <f t="shared" si="16"/>
        <v>0</v>
      </c>
      <c r="G251" s="10">
        <f t="shared" si="17"/>
        <v>0</v>
      </c>
      <c r="H251" s="10">
        <f t="shared" si="18"/>
        <v>4</v>
      </c>
      <c r="I251" s="12">
        <f>IF(MOD(B251,StepsEachYearQ2)=0,1+B251/StepsEachYearQ2,0)</f>
        <v>0</v>
      </c>
      <c r="M251" s="33"/>
    </row>
    <row r="252" spans="1:13" ht="13.15" thickBot="1" x14ac:dyDescent="0.4">
      <c r="A252" s="4"/>
      <c r="B252" s="13">
        <f t="shared" si="19"/>
        <v>222</v>
      </c>
      <c r="C252" s="21">
        <f t="shared" si="15"/>
        <v>67.75</v>
      </c>
      <c r="D252" s="4">
        <f>POWER(gompertz_g,POWER(gompertz_c,InitialAgeQ2)*(gompertz_c^('Question 2'!C252-InitialAgeQ2)-1))</f>
        <v>0.16374461458307751</v>
      </c>
      <c r="E252" s="21">
        <f>(1+IntRateQ2)^(-(C252-InitialAgeQ2))*D252</f>
        <v>5.5143186651042599E-2</v>
      </c>
      <c r="F252" s="10">
        <f t="shared" si="16"/>
        <v>0</v>
      </c>
      <c r="G252" s="10">
        <f t="shared" si="17"/>
        <v>0</v>
      </c>
      <c r="H252" s="10">
        <f t="shared" si="18"/>
        <v>2</v>
      </c>
      <c r="I252" s="12">
        <f>IF(MOD(B252,StepsEachYearQ2)=0,1+B252/StepsEachYearQ2,0)</f>
        <v>0</v>
      </c>
      <c r="M252" s="33"/>
    </row>
    <row r="253" spans="1:13" ht="13.15" thickBot="1" x14ac:dyDescent="0.4">
      <c r="A253" s="4"/>
      <c r="B253" s="13">
        <f t="shared" si="19"/>
        <v>223</v>
      </c>
      <c r="C253" s="21">
        <f t="shared" si="15"/>
        <v>67.875</v>
      </c>
      <c r="D253" s="4">
        <f>POWER(gompertz_g,POWER(gompertz_c,InitialAgeQ2)*(gompertz_c^('Question 2'!C253-InitialAgeQ2)-1))</f>
        <v>0.16025033290146815</v>
      </c>
      <c r="E253" s="21">
        <f>(1+IntRateQ2)^(-(C253-InitialAgeQ2))*D253</f>
        <v>5.3702512817347267E-2</v>
      </c>
      <c r="F253" s="10">
        <f t="shared" si="16"/>
        <v>0</v>
      </c>
      <c r="G253" s="10">
        <f t="shared" si="17"/>
        <v>0</v>
      </c>
      <c r="H253" s="10">
        <f t="shared" si="18"/>
        <v>4</v>
      </c>
      <c r="I253" s="12">
        <f>IF(MOD(B253,StepsEachYearQ2)=0,1+B253/StepsEachYearQ2,0)</f>
        <v>0</v>
      </c>
      <c r="M253" s="33"/>
    </row>
    <row r="254" spans="1:13" ht="13.15" thickBot="1" x14ac:dyDescent="0.4">
      <c r="A254" s="4"/>
      <c r="B254" s="13">
        <f t="shared" si="19"/>
        <v>224</v>
      </c>
      <c r="C254" s="21">
        <f t="shared" si="15"/>
        <v>68</v>
      </c>
      <c r="D254" s="4">
        <f>POWER(gompertz_g,POWER(gompertz_c,InitialAgeQ2)*(gompertz_c^('Question 2'!C254-InitialAgeQ2)-1))</f>
        <v>0.15679398387284182</v>
      </c>
      <c r="E254" s="21">
        <f>(1+IntRateQ2)^(-(C254-InitialAgeQ2))*D254</f>
        <v>5.228726125384045E-2</v>
      </c>
      <c r="F254" s="10">
        <f t="shared" si="16"/>
        <v>1</v>
      </c>
      <c r="G254" s="10">
        <f t="shared" si="17"/>
        <v>0.5</v>
      </c>
      <c r="H254" s="10">
        <f t="shared" si="18"/>
        <v>2</v>
      </c>
      <c r="I254" s="12">
        <f>IF(MOD(B254,StepsEachYearQ2)=0,1+B254/StepsEachYearQ2,0)</f>
        <v>29</v>
      </c>
      <c r="M254" s="33"/>
    </row>
    <row r="255" spans="1:13" ht="13.15" thickBot="1" x14ac:dyDescent="0.4">
      <c r="A255" s="4"/>
      <c r="B255" s="13">
        <f t="shared" si="19"/>
        <v>225</v>
      </c>
      <c r="C255" s="21">
        <f t="shared" si="15"/>
        <v>68.125</v>
      </c>
      <c r="D255" s="4">
        <f>POWER(gompertz_g,POWER(gompertz_c,InitialAgeQ2)*(gompertz_c^('Question 2'!C255-InitialAgeQ2)-1))</f>
        <v>0.15337595862504452</v>
      </c>
      <c r="E255" s="21">
        <f>(1+IntRateQ2)^(-(C255-InitialAgeQ2))*D255</f>
        <v>5.0897285688528894E-2</v>
      </c>
      <c r="F255" s="10">
        <f t="shared" si="16"/>
        <v>0</v>
      </c>
      <c r="G255" s="10">
        <f t="shared" si="17"/>
        <v>0</v>
      </c>
      <c r="H255" s="10">
        <f t="shared" si="18"/>
        <v>4</v>
      </c>
      <c r="I255" s="12">
        <f>IF(MOD(B255,StepsEachYearQ2)=0,1+B255/StepsEachYearQ2,0)</f>
        <v>0</v>
      </c>
      <c r="M255" s="33"/>
    </row>
    <row r="256" spans="1:13" ht="13.15" thickBot="1" x14ac:dyDescent="0.4">
      <c r="A256" s="4"/>
      <c r="B256" s="13">
        <f t="shared" si="19"/>
        <v>226</v>
      </c>
      <c r="C256" s="21">
        <f t="shared" si="15"/>
        <v>68.25</v>
      </c>
      <c r="D256" s="4">
        <f>POWER(gompertz_g,POWER(gompertz_c,InitialAgeQ2)*(gompertz_c^('Question 2'!C256-InitialAgeQ2)-1))</f>
        <v>0.14999663464433655</v>
      </c>
      <c r="E256" s="21">
        <f>(1+IntRateQ2)^(-(C256-InitialAgeQ2))*D256</f>
        <v>4.9532435200321905E-2</v>
      </c>
      <c r="F256" s="10">
        <f t="shared" si="16"/>
        <v>0</v>
      </c>
      <c r="G256" s="10">
        <f t="shared" si="17"/>
        <v>0</v>
      </c>
      <c r="H256" s="10">
        <f t="shared" si="18"/>
        <v>2</v>
      </c>
      <c r="I256" s="12">
        <f>IF(MOD(B256,StepsEachYearQ2)=0,1+B256/StepsEachYearQ2,0)</f>
        <v>0</v>
      </c>
      <c r="M256" s="33"/>
    </row>
    <row r="257" spans="1:13" ht="13.15" thickBot="1" x14ac:dyDescent="0.4">
      <c r="A257" s="4"/>
      <c r="B257" s="13">
        <f t="shared" si="19"/>
        <v>227</v>
      </c>
      <c r="C257" s="21">
        <f t="shared" si="15"/>
        <v>68.375</v>
      </c>
      <c r="D257" s="4">
        <f>POWER(gompertz_g,POWER(gompertz_c,InitialAgeQ2)*(gompertz_c^('Question 2'!C257-InitialAgeQ2)-1))</f>
        <v>0.14665637546075702</v>
      </c>
      <c r="E257" s="21">
        <f>(1+IntRateQ2)^(-(C257-InitialAgeQ2))*D257</f>
        <v>4.8192554238538382E-2</v>
      </c>
      <c r="F257" s="10">
        <f t="shared" si="16"/>
        <v>0</v>
      </c>
      <c r="G257" s="10">
        <f t="shared" si="17"/>
        <v>0</v>
      </c>
      <c r="H257" s="10">
        <f t="shared" si="18"/>
        <v>4</v>
      </c>
      <c r="I257" s="12">
        <f>IF(MOD(B257,StepsEachYearQ2)=0,1+B257/StepsEachYearQ2,0)</f>
        <v>0</v>
      </c>
      <c r="M257" s="33"/>
    </row>
    <row r="258" spans="1:13" ht="13.15" thickBot="1" x14ac:dyDescent="0.4">
      <c r="A258" s="4"/>
      <c r="B258" s="13">
        <f t="shared" si="19"/>
        <v>228</v>
      </c>
      <c r="C258" s="21">
        <f t="shared" si="15"/>
        <v>68.5</v>
      </c>
      <c r="D258" s="4">
        <f>POWER(gompertz_g,POWER(gompertz_c,InitialAgeQ2)*(gompertz_c^('Question 2'!C258-InitialAgeQ2)-1))</f>
        <v>0.14335553034136442</v>
      </c>
      <c r="E258" s="21">
        <f>(1+IntRateQ2)^(-(C258-InitialAgeQ2))*D258</f>
        <v>4.687748264623208E-2</v>
      </c>
      <c r="F258" s="10">
        <f t="shared" si="16"/>
        <v>0</v>
      </c>
      <c r="G258" s="10">
        <f t="shared" si="17"/>
        <v>0.5</v>
      </c>
      <c r="H258" s="10">
        <f t="shared" si="18"/>
        <v>2</v>
      </c>
      <c r="I258" s="12">
        <f>IF(MOD(B258,StepsEachYearQ2)=0,1+B258/StepsEachYearQ2,0)</f>
        <v>0</v>
      </c>
      <c r="M258" s="33"/>
    </row>
    <row r="259" spans="1:13" ht="13.15" thickBot="1" x14ac:dyDescent="0.4">
      <c r="A259" s="4"/>
      <c r="B259" s="13">
        <f t="shared" si="19"/>
        <v>229</v>
      </c>
      <c r="C259" s="21">
        <f t="shared" si="15"/>
        <v>68.625</v>
      </c>
      <c r="D259" s="4">
        <f>POWER(gompertz_g,POWER(gompertz_c,InitialAgeQ2)*(gompertz_c^('Question 2'!C259-InitialAgeQ2)-1))</f>
        <v>0.14009443399184468</v>
      </c>
      <c r="E259" s="21">
        <f>(1+IntRateQ2)^(-(C259-InitialAgeQ2))*D259</f>
        <v>4.5587055687375484E-2</v>
      </c>
      <c r="F259" s="10">
        <f t="shared" si="16"/>
        <v>0</v>
      </c>
      <c r="G259" s="10">
        <f t="shared" si="17"/>
        <v>0</v>
      </c>
      <c r="H259" s="10">
        <f t="shared" si="18"/>
        <v>4</v>
      </c>
      <c r="I259" s="12">
        <f>IF(MOD(B259,StepsEachYearQ2)=0,1+B259/StepsEachYearQ2,0)</f>
        <v>0</v>
      </c>
      <c r="M259" s="33"/>
    </row>
    <row r="260" spans="1:13" ht="13.15" thickBot="1" x14ac:dyDescent="0.4">
      <c r="A260" s="4"/>
      <c r="B260" s="13">
        <f t="shared" si="19"/>
        <v>230</v>
      </c>
      <c r="C260" s="21">
        <f t="shared" si="15"/>
        <v>68.75</v>
      </c>
      <c r="D260" s="4">
        <f>POWER(gompertz_g,POWER(gompertz_c,InitialAgeQ2)*(gompertz_c^('Question 2'!C260-InitialAgeQ2)-1))</f>
        <v>0.13687340626697439</v>
      </c>
      <c r="E260" s="21">
        <f>(1+IntRateQ2)^(-(C260-InitialAgeQ2))*D260</f>
        <v>4.4321104077936782E-2</v>
      </c>
      <c r="F260" s="10">
        <f t="shared" si="16"/>
        <v>0</v>
      </c>
      <c r="G260" s="10">
        <f t="shared" si="17"/>
        <v>0</v>
      </c>
      <c r="H260" s="10">
        <f t="shared" si="18"/>
        <v>2</v>
      </c>
      <c r="I260" s="12">
        <f>IF(MOD(B260,StepsEachYearQ2)=0,1+B260/StepsEachYearQ2,0)</f>
        <v>0</v>
      </c>
      <c r="M260" s="33"/>
    </row>
    <row r="261" spans="1:13" ht="13.15" thickBot="1" x14ac:dyDescent="0.4">
      <c r="A261" s="4"/>
      <c r="B261" s="13">
        <f t="shared" si="19"/>
        <v>231</v>
      </c>
      <c r="C261" s="21">
        <f t="shared" si="15"/>
        <v>68.875</v>
      </c>
      <c r="D261" s="4">
        <f>POWER(gompertz_g,POWER(gompertz_c,InitialAgeQ2)*(gompertz_c^('Question 2'!C261-InitialAgeQ2)-1))</f>
        <v>0.13369275189043101</v>
      </c>
      <c r="E261" s="21">
        <f>(1+IntRateQ2)^(-(C261-InitialAgeQ2))*D261</f>
        <v>4.3079454020882445E-2</v>
      </c>
      <c r="F261" s="10">
        <f t="shared" si="16"/>
        <v>0</v>
      </c>
      <c r="G261" s="10">
        <f t="shared" si="17"/>
        <v>0</v>
      </c>
      <c r="H261" s="10">
        <f t="shared" si="18"/>
        <v>4</v>
      </c>
      <c r="I261" s="12">
        <f>IF(MOD(B261,StepsEachYearQ2)=0,1+B261/StepsEachYearQ2,0)</f>
        <v>0</v>
      </c>
      <c r="M261" s="33"/>
    </row>
    <row r="262" spans="1:13" ht="13.15" thickBot="1" x14ac:dyDescent="0.4">
      <c r="A262" s="4"/>
      <c r="B262" s="13">
        <f t="shared" si="19"/>
        <v>232</v>
      </c>
      <c r="C262" s="21">
        <f t="shared" si="15"/>
        <v>69</v>
      </c>
      <c r="D262" s="4">
        <f>POWER(gompertz_g,POWER(gompertz_c,InitialAgeQ2)*(gompertz_c^('Question 2'!C262-InitialAgeQ2)-1))</f>
        <v>0.13055276018443518</v>
      </c>
      <c r="E262" s="21">
        <f>(1+IntRateQ2)^(-(C262-InitialAgeQ2))*D262</f>
        <v>4.1861927245131172E-2</v>
      </c>
      <c r="F262" s="10">
        <f t="shared" si="16"/>
        <v>1</v>
      </c>
      <c r="G262" s="10">
        <f t="shared" si="17"/>
        <v>0.5</v>
      </c>
      <c r="H262" s="10">
        <f t="shared" si="18"/>
        <v>2</v>
      </c>
      <c r="I262" s="12">
        <f>IF(MOD(B262,StepsEachYearQ2)=0,1+B262/StepsEachYearQ2,0)</f>
        <v>30</v>
      </c>
      <c r="M262" s="33"/>
    </row>
    <row r="263" spans="1:13" ht="13.15" thickBot="1" x14ac:dyDescent="0.4">
      <c r="A263" s="4"/>
      <c r="B263" s="13">
        <f t="shared" si="19"/>
        <v>233</v>
      </c>
      <c r="C263" s="21">
        <f t="shared" si="15"/>
        <v>69.125</v>
      </c>
      <c r="D263" s="4">
        <f>POWER(gompertz_g,POWER(gompertz_c,InitialAgeQ2)*(gompertz_c^('Question 2'!C263-InitialAgeQ2)-1))</f>
        <v>0.12745370480970913</v>
      </c>
      <c r="E263" s="21">
        <f>(1+IntRateQ2)^(-(C263-InitialAgeQ2))*D263</f>
        <v>4.0668341048481826E-2</v>
      </c>
      <c r="F263" s="10">
        <f t="shared" si="16"/>
        <v>0</v>
      </c>
      <c r="G263" s="10">
        <f t="shared" si="17"/>
        <v>0</v>
      </c>
      <c r="H263" s="10">
        <f t="shared" si="18"/>
        <v>4</v>
      </c>
      <c r="I263" s="12">
        <f>IF(MOD(B263,StepsEachYearQ2)=0,1+B263/StepsEachYearQ2,0)</f>
        <v>0</v>
      </c>
      <c r="M263" s="33"/>
    </row>
    <row r="264" spans="1:13" ht="13.15" thickBot="1" x14ac:dyDescent="0.4">
      <c r="A264" s="4"/>
      <c r="B264" s="13">
        <f t="shared" si="19"/>
        <v>234</v>
      </c>
      <c r="C264" s="21">
        <f t="shared" si="15"/>
        <v>69.25</v>
      </c>
      <c r="D264" s="4">
        <f>POWER(gompertz_g,POWER(gompertz_c,InitialAgeQ2)*(gompertz_c^('Question 2'!C264-InitialAgeQ2)-1))</f>
        <v>0.12439584351623591</v>
      </c>
      <c r="E264" s="21">
        <f>(1+IntRateQ2)^(-(C264-InitialAgeQ2))*D264</f>
        <v>3.9498508344533612E-2</v>
      </c>
      <c r="F264" s="10">
        <f t="shared" si="16"/>
        <v>0</v>
      </c>
      <c r="G264" s="10">
        <f t="shared" si="17"/>
        <v>0</v>
      </c>
      <c r="H264" s="10">
        <f t="shared" si="18"/>
        <v>2</v>
      </c>
      <c r="I264" s="12">
        <f>IF(MOD(B264,StepsEachYearQ2)=0,1+B264/StepsEachYearQ2,0)</f>
        <v>0</v>
      </c>
      <c r="M264" s="33"/>
    </row>
    <row r="265" spans="1:13" ht="13.15" thickBot="1" x14ac:dyDescent="0.4">
      <c r="A265" s="4"/>
      <c r="B265" s="13">
        <f t="shared" si="19"/>
        <v>235</v>
      </c>
      <c r="C265" s="21">
        <f t="shared" si="15"/>
        <v>69.375</v>
      </c>
      <c r="D265" s="4">
        <f>POWER(gompertz_g,POWER(gompertz_c,InitialAgeQ2)*(gompertz_c^('Question 2'!C265-InitialAgeQ2)-1))</f>
        <v>0.1213794179052864</v>
      </c>
      <c r="E265" s="21">
        <f>(1+IntRateQ2)^(-(C265-InitialAgeQ2))*D265</f>
        <v>3.8352237713608968E-2</v>
      </c>
      <c r="F265" s="10">
        <f t="shared" si="16"/>
        <v>0</v>
      </c>
      <c r="G265" s="10">
        <f t="shared" si="17"/>
        <v>0</v>
      </c>
      <c r="H265" s="10">
        <f t="shared" si="18"/>
        <v>4</v>
      </c>
      <c r="I265" s="12">
        <f>IF(MOD(B265,StepsEachYearQ2)=0,1+B265/StepsEachYearQ2,0)</f>
        <v>0</v>
      </c>
      <c r="M265" s="33"/>
    </row>
    <row r="266" spans="1:13" ht="13.15" thickBot="1" x14ac:dyDescent="0.4">
      <c r="A266" s="4"/>
      <c r="B266" s="13">
        <f t="shared" si="19"/>
        <v>236</v>
      </c>
      <c r="C266" s="21">
        <f t="shared" si="15"/>
        <v>69.5</v>
      </c>
      <c r="D266" s="4">
        <f>POWER(gompertz_g,POWER(gompertz_c,InitialAgeQ2)*(gompertz_c^('Question 2'!C266-InitialAgeQ2)-1))</f>
        <v>0.118404653203191</v>
      </c>
      <c r="E266" s="21">
        <f>(1+IntRateQ2)^(-(C266-InitialAgeQ2))*D266</f>
        <v>3.7229333457688363E-2</v>
      </c>
      <c r="F266" s="10">
        <f t="shared" si="16"/>
        <v>0</v>
      </c>
      <c r="G266" s="10">
        <f t="shared" si="17"/>
        <v>0.5</v>
      </c>
      <c r="H266" s="10">
        <f t="shared" si="18"/>
        <v>2</v>
      </c>
      <c r="I266" s="12">
        <f>IF(MOD(B266,StepsEachYearQ2)=0,1+B266/StepsEachYearQ2,0)</f>
        <v>0</v>
      </c>
      <c r="M266" s="33"/>
    </row>
    <row r="267" spans="1:13" ht="13.15" thickBot="1" x14ac:dyDescent="0.4">
      <c r="A267" s="4"/>
      <c r="B267" s="13">
        <f t="shared" si="19"/>
        <v>237</v>
      </c>
      <c r="C267" s="21">
        <f t="shared" si="15"/>
        <v>69.625</v>
      </c>
      <c r="D267" s="4">
        <f>POWER(gompertz_g,POWER(gompertz_c,InitialAgeQ2)*(gompertz_c^('Question 2'!C267-InitialAgeQ2)-1))</f>
        <v>0.11547175804731405</v>
      </c>
      <c r="E267" s="21">
        <f>(1+IntRateQ2)^(-(C267-InitialAgeQ2))*D267</f>
        <v>3.6129595659358048E-2</v>
      </c>
      <c r="F267" s="10">
        <f t="shared" si="16"/>
        <v>0</v>
      </c>
      <c r="G267" s="10">
        <f t="shared" si="17"/>
        <v>0</v>
      </c>
      <c r="H267" s="10">
        <f t="shared" si="18"/>
        <v>4</v>
      </c>
      <c r="I267" s="12">
        <f>IF(MOD(B267,StepsEachYearQ2)=0,1+B267/StepsEachYearQ2,0)</f>
        <v>0</v>
      </c>
      <c r="M267" s="33"/>
    </row>
    <row r="268" spans="1:13" ht="13.15" thickBot="1" x14ac:dyDescent="0.4">
      <c r="A268" s="4"/>
      <c r="B268" s="13">
        <f t="shared" si="19"/>
        <v>238</v>
      </c>
      <c r="C268" s="21">
        <f t="shared" si="15"/>
        <v>69.75</v>
      </c>
      <c r="D268" s="4">
        <f>POWER(gompertz_g,POWER(gompertz_c,InitialAgeQ2)*(gompertz_c^('Question 2'!C268-InitialAgeQ2)-1))</f>
        <v>0.11258092428468501</v>
      </c>
      <c r="E268" s="21">
        <f>(1+IntRateQ2)^(-(C268-InitialAgeQ2))*D268</f>
        <v>3.5052820244767136E-2</v>
      </c>
      <c r="F268" s="10">
        <f t="shared" si="16"/>
        <v>0</v>
      </c>
      <c r="G268" s="10">
        <f t="shared" si="17"/>
        <v>0</v>
      </c>
      <c r="H268" s="10">
        <f t="shared" si="18"/>
        <v>2</v>
      </c>
      <c r="I268" s="12">
        <f>IF(MOD(B268,StepsEachYearQ2)=0,1+B268/StepsEachYearQ2,0)</f>
        <v>0</v>
      </c>
      <c r="M268" s="33"/>
    </row>
    <row r="269" spans="1:13" ht="13.15" thickBot="1" x14ac:dyDescent="0.4">
      <c r="A269" s="4"/>
      <c r="B269" s="13">
        <f t="shared" si="19"/>
        <v>239</v>
      </c>
      <c r="C269" s="21">
        <f t="shared" si="15"/>
        <v>69.875</v>
      </c>
      <c r="D269" s="4">
        <f>POWER(gompertz_g,POWER(gompertz_c,InitialAgeQ2)*(gompertz_c^('Question 2'!C269-InitialAgeQ2)-1))</f>
        <v>0.10973232678373392</v>
      </c>
      <c r="E269" s="21">
        <f>(1+IntRateQ2)^(-(C269-InitialAgeQ2))*D269</f>
        <v>3.3998799050585941E-2</v>
      </c>
      <c r="F269" s="10">
        <f t="shared" si="16"/>
        <v>0</v>
      </c>
      <c r="G269" s="10">
        <f t="shared" si="17"/>
        <v>0</v>
      </c>
      <c r="H269" s="10">
        <f t="shared" si="18"/>
        <v>4</v>
      </c>
      <c r="I269" s="12">
        <f>IF(MOD(B269,StepsEachYearQ2)=0,1+B269/StepsEachYearQ2,0)</f>
        <v>0</v>
      </c>
      <c r="M269" s="33"/>
    </row>
    <row r="270" spans="1:13" ht="13.15" thickBot="1" x14ac:dyDescent="0.4">
      <c r="A270" s="4"/>
      <c r="B270" s="13">
        <f t="shared" si="19"/>
        <v>240</v>
      </c>
      <c r="C270" s="21">
        <f t="shared" si="15"/>
        <v>70</v>
      </c>
      <c r="D270" s="4">
        <f>POWER(gompertz_g,POWER(gompertz_c,InitialAgeQ2)*(gompertz_c^('Question 2'!C270-InitialAgeQ2)-1))</f>
        <v>0.1069261232595629</v>
      </c>
      <c r="E270" s="21">
        <f>(1+IntRateQ2)^(-(C270-InitialAgeQ2))*D270</f>
        <v>3.2967319894950192E-2</v>
      </c>
      <c r="F270" s="10">
        <f t="shared" si="16"/>
        <v>1</v>
      </c>
      <c r="G270" s="10">
        <f t="shared" si="17"/>
        <v>0.5</v>
      </c>
      <c r="H270" s="10">
        <f t="shared" si="18"/>
        <v>2</v>
      </c>
      <c r="I270" s="12">
        <f>IF(MOD(B270,StepsEachYearQ2)=0,1+B270/StepsEachYearQ2,0)</f>
        <v>31</v>
      </c>
      <c r="M270" s="33"/>
    </row>
    <row r="271" spans="1:13" ht="13.15" thickBot="1" x14ac:dyDescent="0.4">
      <c r="A271" s="4"/>
      <c r="B271" s="13">
        <f t="shared" si="19"/>
        <v>241</v>
      </c>
      <c r="C271" s="21">
        <f t="shared" si="15"/>
        <v>70.125</v>
      </c>
      <c r="D271" s="4">
        <f>POWER(gompertz_g,POWER(gompertz_c,InitialAgeQ2)*(gompertz_c^('Question 2'!C271-InitialAgeQ2)-1))</f>
        <v>0.10416245411317789</v>
      </c>
      <c r="E271" s="21">
        <f>(1+IntRateQ2)^(-(C271-InitialAgeQ2))*D271</f>
        <v>3.1958166652370563E-2</v>
      </c>
      <c r="F271" s="10">
        <f t="shared" si="16"/>
        <v>0</v>
      </c>
      <c r="G271" s="10">
        <f t="shared" si="17"/>
        <v>0</v>
      </c>
      <c r="H271" s="10">
        <f t="shared" si="18"/>
        <v>4</v>
      </c>
      <c r="I271" s="12">
        <f>IF(MOD(B271,StepsEachYearQ2)=0,1+B271/StepsEachYearQ2,0)</f>
        <v>0</v>
      </c>
      <c r="M271" s="33"/>
    </row>
    <row r="272" spans="1:13" ht="13.15" thickBot="1" x14ac:dyDescent="0.4">
      <c r="A272" s="4"/>
      <c r="B272" s="13">
        <f t="shared" si="19"/>
        <v>242</v>
      </c>
      <c r="C272" s="21">
        <f t="shared" si="15"/>
        <v>70.25</v>
      </c>
      <c r="D272" s="4">
        <f>POWER(gompertz_g,POWER(gompertz_c,InitialAgeQ2)*(gompertz_c^('Question 2'!C272-InitialAgeQ2)-1))</f>
        <v>0.10144144228509407</v>
      </c>
      <c r="E272" s="21">
        <f>(1+IntRateQ2)^(-(C272-InitialAgeQ2))*D272</f>
        <v>3.0971119332582248E-2</v>
      </c>
      <c r="F272" s="10">
        <f t="shared" si="16"/>
        <v>0</v>
      </c>
      <c r="G272" s="10">
        <f t="shared" si="17"/>
        <v>0</v>
      </c>
      <c r="H272" s="10">
        <f t="shared" si="18"/>
        <v>2</v>
      </c>
      <c r="I272" s="12">
        <f>IF(MOD(B272,StepsEachYearQ2)=0,1+B272/StepsEachYearQ2,0)</f>
        <v>0</v>
      </c>
      <c r="M272" s="33"/>
    </row>
    <row r="273" spans="1:13" ht="13.15" thickBot="1" x14ac:dyDescent="0.4">
      <c r="A273" s="4"/>
      <c r="B273" s="13">
        <f t="shared" si="19"/>
        <v>243</v>
      </c>
      <c r="C273" s="21">
        <f t="shared" si="15"/>
        <v>70.375</v>
      </c>
      <c r="D273" s="4">
        <f>POWER(gompertz_g,POWER(gompertz_c,InitialAgeQ2)*(gompertz_c^('Question 2'!C273-InitialAgeQ2)-1))</f>
        <v>9.8763193123706322E-2</v>
      </c>
      <c r="E273" s="21">
        <f>(1+IntRateQ2)^(-(C273-InitialAgeQ2))*D273</f>
        <v>3.0005954163300267E-2</v>
      </c>
      <c r="F273" s="10">
        <f t="shared" si="16"/>
        <v>0</v>
      </c>
      <c r="G273" s="10">
        <f t="shared" si="17"/>
        <v>0</v>
      </c>
      <c r="H273" s="10">
        <f t="shared" si="18"/>
        <v>4</v>
      </c>
      <c r="I273" s="12">
        <f>IF(MOD(B273,StepsEachYearQ2)=0,1+B273/StepsEachYearQ2,0)</f>
        <v>0</v>
      </c>
      <c r="M273" s="33"/>
    </row>
    <row r="274" spans="1:13" ht="13.15" thickBot="1" x14ac:dyDescent="0.4">
      <c r="A274" s="4"/>
      <c r="B274" s="13">
        <f t="shared" si="19"/>
        <v>244</v>
      </c>
      <c r="C274" s="21">
        <f t="shared" si="15"/>
        <v>70.5</v>
      </c>
      <c r="D274" s="4">
        <f>POWER(gompertz_g,POWER(gompertz_c,InitialAgeQ2)*(gompertz_c^('Question 2'!C274-InitialAgeQ2)-1))</f>
        <v>9.6127794268814265E-2</v>
      </c>
      <c r="E274" s="21">
        <f>(1+IntRateQ2)^(-(C274-InitialAgeQ2))*D274</f>
        <v>2.906244367684405E-2</v>
      </c>
      <c r="F274" s="10">
        <f t="shared" si="16"/>
        <v>0</v>
      </c>
      <c r="G274" s="10">
        <f t="shared" si="17"/>
        <v>0.5</v>
      </c>
      <c r="H274" s="10">
        <f t="shared" si="18"/>
        <v>2</v>
      </c>
      <c r="I274" s="12">
        <f>IF(MOD(B274,StepsEachYearQ2)=0,1+B274/StepsEachYearQ2,0)</f>
        <v>0</v>
      </c>
      <c r="M274" s="33"/>
    </row>
    <row r="275" spans="1:13" ht="13.15" thickBot="1" x14ac:dyDescent="0.4">
      <c r="A275" s="4"/>
      <c r="B275" s="13">
        <f t="shared" si="19"/>
        <v>245</v>
      </c>
      <c r="C275" s="21">
        <f t="shared" si="15"/>
        <v>70.625</v>
      </c>
      <c r="D275" s="4">
        <f>POWER(gompertz_g,POWER(gompertz_c,InitialAgeQ2)*(gompertz_c^('Question 2'!C275-InitialAgeQ2)-1))</f>
        <v>9.3535315550663689E-2</v>
      </c>
      <c r="E275" s="21">
        <f>(1+IntRateQ2)^(-(C275-InitialAgeQ2))*D275</f>
        <v>2.8140356800585128E-2</v>
      </c>
      <c r="F275" s="10">
        <f t="shared" si="16"/>
        <v>0</v>
      </c>
      <c r="G275" s="10">
        <f t="shared" si="17"/>
        <v>0</v>
      </c>
      <c r="H275" s="10">
        <f t="shared" si="18"/>
        <v>4</v>
      </c>
      <c r="I275" s="12">
        <f>IF(MOD(B275,StepsEachYearQ2)=0,1+B275/StepsEachYearQ2,0)</f>
        <v>0</v>
      </c>
      <c r="M275" s="33"/>
    </row>
    <row r="276" spans="1:13" ht="13.15" thickBot="1" x14ac:dyDescent="0.4">
      <c r="A276" s="4"/>
      <c r="B276" s="13">
        <f t="shared" si="19"/>
        <v>246</v>
      </c>
      <c r="C276" s="21">
        <f t="shared" si="15"/>
        <v>70.75</v>
      </c>
      <c r="D276" s="4">
        <f>POWER(gompertz_g,POWER(gompertz_c,InitialAgeQ2)*(gompertz_c^('Question 2'!C276-InitialAgeQ2)-1))</f>
        <v>9.0985808904856413E-2</v>
      </c>
      <c r="E276" s="21">
        <f>(1+IntRateQ2)^(-(C276-InitialAgeQ2))*D276</f>
        <v>2.7239458951167531E-2</v>
      </c>
      <c r="F276" s="10">
        <f t="shared" si="16"/>
        <v>0</v>
      </c>
      <c r="G276" s="10">
        <f t="shared" si="17"/>
        <v>0</v>
      </c>
      <c r="H276" s="10">
        <f t="shared" si="18"/>
        <v>2</v>
      </c>
      <c r="I276" s="12">
        <f>IF(MOD(B276,StepsEachYearQ2)=0,1+B276/StepsEachYearQ2,0)</f>
        <v>0</v>
      </c>
      <c r="M276" s="33"/>
    </row>
    <row r="277" spans="1:13" ht="13.15" thickBot="1" x14ac:dyDescent="0.4">
      <c r="A277" s="4"/>
      <c r="B277" s="13">
        <f t="shared" si="19"/>
        <v>247</v>
      </c>
      <c r="C277" s="21">
        <f t="shared" si="15"/>
        <v>70.875</v>
      </c>
      <c r="D277" s="4">
        <f>POWER(gompertz_g,POWER(gompertz_c,InitialAgeQ2)*(gompertz_c^('Question 2'!C277-InitialAgeQ2)-1))</f>
        <v>8.8479308303459459E-2</v>
      </c>
      <c r="E277" s="21">
        <f>(1+IntRateQ2)^(-(C277-InitialAgeQ2))*D277</f>
        <v>2.6359512132443374E-2</v>
      </c>
      <c r="F277" s="10">
        <f t="shared" si="16"/>
        <v>0</v>
      </c>
      <c r="G277" s="10">
        <f t="shared" si="17"/>
        <v>0</v>
      </c>
      <c r="H277" s="10">
        <f t="shared" si="18"/>
        <v>4</v>
      </c>
      <c r="I277" s="12">
        <f>IF(MOD(B277,StepsEachYearQ2)=0,1+B277/StepsEachYearQ2,0)</f>
        <v>0</v>
      </c>
      <c r="M277" s="33"/>
    </row>
    <row r="278" spans="1:13" ht="13.15" thickBot="1" x14ac:dyDescent="0.4">
      <c r="A278" s="4"/>
      <c r="B278" s="13">
        <f t="shared" si="19"/>
        <v>248</v>
      </c>
      <c r="C278" s="21">
        <f t="shared" si="15"/>
        <v>71</v>
      </c>
      <c r="D278" s="4">
        <f>POWER(gompertz_g,POWER(gompertz_c,InitialAgeQ2)*(gompertz_c^('Question 2'!C278-InitialAgeQ2)-1))</f>
        <v>8.6015829702626653E-2</v>
      </c>
      <c r="E278" s="21">
        <f>(1+IntRateQ2)^(-(C278-InitialAgeQ2))*D278</f>
        <v>2.5500275037060011E-2</v>
      </c>
      <c r="F278" s="10">
        <f t="shared" si="16"/>
        <v>1</v>
      </c>
      <c r="G278" s="10">
        <f t="shared" si="17"/>
        <v>0.5</v>
      </c>
      <c r="H278" s="10">
        <f t="shared" si="18"/>
        <v>2</v>
      </c>
      <c r="I278" s="12">
        <f>IF(MOD(B278,StepsEachYearQ2)=0,1+B278/StepsEachYearQ2,0)</f>
        <v>32</v>
      </c>
      <c r="M278" s="33"/>
    </row>
    <row r="279" spans="1:13" ht="13.15" thickBot="1" x14ac:dyDescent="0.4">
      <c r="A279" s="4"/>
      <c r="B279" s="13">
        <f t="shared" si="19"/>
        <v>249</v>
      </c>
      <c r="C279" s="21">
        <f t="shared" si="15"/>
        <v>71.125</v>
      </c>
      <c r="D279" s="4">
        <f>POWER(gompertz_g,POWER(gompertz_c,InitialAgeQ2)*(gompertz_c^('Question 2'!C279-InitialAgeQ2)-1))</f>
        <v>8.3595371007024008E-2</v>
      </c>
      <c r="E279" s="21">
        <f>(1+IntRateQ2)^(-(C279-InitialAgeQ2))*D279</f>
        <v>2.466150315162836E-2</v>
      </c>
      <c r="F279" s="10">
        <f t="shared" si="16"/>
        <v>0</v>
      </c>
      <c r="G279" s="10">
        <f t="shared" si="17"/>
        <v>0</v>
      </c>
      <c r="H279" s="10">
        <f t="shared" si="18"/>
        <v>4</v>
      </c>
      <c r="I279" s="12">
        <f>IF(MOD(B279,StepsEachYearQ2)=0,1+B279/StepsEachYearQ2,0)</f>
        <v>0</v>
      </c>
      <c r="M279" s="33"/>
    </row>
    <row r="280" spans="1:13" ht="13.15" thickBot="1" x14ac:dyDescent="0.4">
      <c r="A280" s="4"/>
      <c r="B280" s="13">
        <f t="shared" si="19"/>
        <v>250</v>
      </c>
      <c r="C280" s="21">
        <f t="shared" si="15"/>
        <v>71.25</v>
      </c>
      <c r="D280" s="4">
        <f>POWER(gompertz_g,POWER(gompertz_c,InitialAgeQ2)*(gompertz_c^('Question 2'!C280-InitialAgeQ2)-1))</f>
        <v>8.1217912051332053E-2</v>
      </c>
      <c r="E280" s="21">
        <f>(1+IntRateQ2)^(-(C280-InitialAgeQ2))*D280</f>
        <v>2.3842948865396344E-2</v>
      </c>
      <c r="F280" s="10">
        <f t="shared" si="16"/>
        <v>0</v>
      </c>
      <c r="G280" s="10">
        <f t="shared" si="17"/>
        <v>0</v>
      </c>
      <c r="H280" s="10">
        <f t="shared" si="18"/>
        <v>2</v>
      </c>
      <c r="I280" s="12">
        <f>IF(MOD(B280,StepsEachYearQ2)=0,1+B280/StepsEachYearQ2,0)</f>
        <v>0</v>
      </c>
      <c r="M280" s="33"/>
    </row>
    <row r="281" spans="1:13" ht="13.15" thickBot="1" x14ac:dyDescent="0.4">
      <c r="A281" s="4"/>
      <c r="B281" s="13">
        <f t="shared" si="19"/>
        <v>251</v>
      </c>
      <c r="C281" s="21">
        <f t="shared" si="15"/>
        <v>71.375</v>
      </c>
      <c r="D281" s="4">
        <f>POWER(gompertz_g,POWER(gompertz_c,InitialAgeQ2)*(gompertz_c^('Question 2'!C281-InitialAgeQ2)-1))</f>
        <v>7.8883414599069543E-2</v>
      </c>
      <c r="E281" s="21">
        <f>(1+IntRateQ2)^(-(C281-InitialAgeQ2))*D281</f>
        <v>2.3044361582343513E-2</v>
      </c>
      <c r="F281" s="10">
        <f t="shared" si="16"/>
        <v>0</v>
      </c>
      <c r="G281" s="10">
        <f t="shared" si="17"/>
        <v>0</v>
      </c>
      <c r="H281" s="10">
        <f t="shared" si="18"/>
        <v>4</v>
      </c>
      <c r="I281" s="12">
        <f>IF(MOD(B281,StepsEachYearQ2)=0,1+B281/StepsEachYearQ2,0)</f>
        <v>0</v>
      </c>
      <c r="M281" s="33"/>
    </row>
    <row r="282" spans="1:13" ht="13.15" thickBot="1" x14ac:dyDescent="0.4">
      <c r="A282" s="4"/>
      <c r="B282" s="13">
        <f t="shared" si="19"/>
        <v>252</v>
      </c>
      <c r="C282" s="21">
        <f t="shared" si="15"/>
        <v>71.5</v>
      </c>
      <c r="D282" s="4">
        <f>POWER(gompertz_g,POWER(gompertz_c,InitialAgeQ2)*(gompertz_c^('Question 2'!C282-InitialAgeQ2)-1))</f>
        <v>7.6591822358966527E-2</v>
      </c>
      <c r="E282" s="21">
        <f>(1+IntRateQ2)^(-(C282-InitialAgeQ2))*D282</f>
        <v>2.226548783660779E-2</v>
      </c>
      <c r="F282" s="10">
        <f t="shared" si="16"/>
        <v>0</v>
      </c>
      <c r="G282" s="10">
        <f t="shared" si="17"/>
        <v>0.5</v>
      </c>
      <c r="H282" s="10">
        <f t="shared" si="18"/>
        <v>2</v>
      </c>
      <c r="I282" s="12">
        <f>IF(MOD(B282,StepsEachYearQ2)=0,1+B282/StepsEachYearQ2,0)</f>
        <v>0</v>
      </c>
      <c r="M282" s="33"/>
    </row>
    <row r="283" spans="1:13" ht="13.15" thickBot="1" x14ac:dyDescent="0.4">
      <c r="A283" s="4"/>
      <c r="B283" s="13">
        <f t="shared" si="19"/>
        <v>253</v>
      </c>
      <c r="C283" s="21">
        <f t="shared" si="15"/>
        <v>71.625</v>
      </c>
      <c r="D283" s="4">
        <f>POWER(gompertz_g,POWER(gompertz_c,InitialAgeQ2)*(gompertz_c^('Question 2'!C283-InitialAgeQ2)-1))</f>
        <v>7.4343061019086706E-2</v>
      </c>
      <c r="E283" s="21">
        <f>(1+IntRateQ2)^(-(C283-InitialAgeQ2))*D283</f>
        <v>2.1506071411148648E-2</v>
      </c>
      <c r="F283" s="10">
        <f t="shared" si="16"/>
        <v>0</v>
      </c>
      <c r="G283" s="10">
        <f t="shared" si="17"/>
        <v>0</v>
      </c>
      <c r="H283" s="10">
        <f t="shared" si="18"/>
        <v>4</v>
      </c>
      <c r="I283" s="12">
        <f>IF(MOD(B283,StepsEachYearQ2)=0,1+B283/StepsEachYearQ2,0)</f>
        <v>0</v>
      </c>
      <c r="M283" s="33"/>
    </row>
    <row r="284" spans="1:13" ht="13.15" thickBot="1" x14ac:dyDescent="0.4">
      <c r="A284" s="4"/>
      <c r="B284" s="13">
        <f t="shared" si="19"/>
        <v>254</v>
      </c>
      <c r="C284" s="21">
        <f t="shared" si="15"/>
        <v>71.75</v>
      </c>
      <c r="D284" s="4">
        <f>POWER(gompertz_g,POWER(gompertz_c,InitialAgeQ2)*(gompertz_c^('Question 2'!C284-InitialAgeQ2)-1))</f>
        <v>7.21370382988719E-2</v>
      </c>
      <c r="E284" s="21">
        <f>(1+IntRateQ2)^(-(C284-InitialAgeQ2))*D284</f>
        <v>2.0765853459543432E-2</v>
      </c>
      <c r="F284" s="10">
        <f t="shared" si="16"/>
        <v>0</v>
      </c>
      <c r="G284" s="10">
        <f t="shared" si="17"/>
        <v>0</v>
      </c>
      <c r="H284" s="10">
        <f t="shared" si="18"/>
        <v>2</v>
      </c>
      <c r="I284" s="12">
        <f>IF(MOD(B284,StepsEachYearQ2)=0,1+B284/StepsEachYearQ2,0)</f>
        <v>0</v>
      </c>
      <c r="M284" s="33"/>
    </row>
    <row r="285" spans="1:13" ht="13.15" thickBot="1" x14ac:dyDescent="0.4">
      <c r="A285" s="4"/>
      <c r="B285" s="13">
        <f t="shared" si="19"/>
        <v>255</v>
      </c>
      <c r="C285" s="21">
        <f t="shared" si="15"/>
        <v>71.875</v>
      </c>
      <c r="D285" s="4">
        <f>POWER(gompertz_g,POWER(gompertz_c,InitialAgeQ2)*(gompertz_c^('Question 2'!C285-InitialAgeQ2)-1))</f>
        <v>6.9973644019259124E-2</v>
      </c>
      <c r="E285" s="21">
        <f>(1+IntRateQ2)^(-(C285-InitialAgeQ2))*D285</f>
        <v>2.0044572630809023E-2</v>
      </c>
      <c r="F285" s="10">
        <f t="shared" si="16"/>
        <v>0</v>
      </c>
      <c r="G285" s="10">
        <f t="shared" si="17"/>
        <v>0</v>
      </c>
      <c r="H285" s="10">
        <f t="shared" si="18"/>
        <v>4</v>
      </c>
      <c r="I285" s="12">
        <f>IF(MOD(B285,StepsEachYearQ2)=0,1+B285/StepsEachYearQ2,0)</f>
        <v>0</v>
      </c>
      <c r="M285" s="33"/>
    </row>
    <row r="286" spans="1:13" ht="13.15" thickBot="1" x14ac:dyDescent="0.4">
      <c r="A286" s="4"/>
      <c r="B286" s="13">
        <f t="shared" si="19"/>
        <v>256</v>
      </c>
      <c r="C286" s="21">
        <f t="shared" ref="C286:C349" si="20">InitialAgeQ2+B286*StepSizeQ2</f>
        <v>72</v>
      </c>
      <c r="D286" s="4">
        <f>POWER(gompertz_g,POWER(gompertz_c,InitialAgeQ2)*(gompertz_c^('Question 2'!C286-InitialAgeQ2)-1))</f>
        <v>6.7852750190988464E-2</v>
      </c>
      <c r="E286" s="21">
        <f>(1+IntRateQ2)^(-(C286-InitialAgeQ2))*D286</f>
        <v>1.9341965197132768E-2</v>
      </c>
      <c r="F286" s="10">
        <f t="shared" si="16"/>
        <v>1</v>
      </c>
      <c r="G286" s="10">
        <f t="shared" si="17"/>
        <v>0.5</v>
      </c>
      <c r="H286" s="10">
        <f t="shared" si="18"/>
        <v>2</v>
      </c>
      <c r="I286" s="12">
        <f>IF(MOD(B286,StepsEachYearQ2)=0,1+B286/StepsEachYearQ2,0)</f>
        <v>33</v>
      </c>
      <c r="M286" s="33"/>
    </row>
    <row r="287" spans="1:13" ht="13.15" thickBot="1" x14ac:dyDescent="0.4">
      <c r="A287" s="4"/>
      <c r="B287" s="13">
        <f t="shared" si="19"/>
        <v>257</v>
      </c>
      <c r="C287" s="21">
        <f t="shared" si="20"/>
        <v>72.125</v>
      </c>
      <c r="D287" s="4">
        <f>POWER(gompertz_g,POWER(gompertz_c,InitialAgeQ2)*(gompertz_c^('Question 2'!C287-InitialAgeQ2)-1))</f>
        <v>6.5774211121195511E-2</v>
      </c>
      <c r="E287" s="21">
        <f>(1+IntRateQ2)^(-(C287-InitialAgeQ2))*D287</f>
        <v>1.8657765184391998E-2</v>
      </c>
      <c r="F287" s="10">
        <f t="shared" ref="F287:F350" si="21">IF(MOD(B287,8)=0,1,0)</f>
        <v>0</v>
      </c>
      <c r="G287" s="10">
        <f t="shared" ref="G287:G350" si="22">IF(MOD(B287,4)=0,1/2,0)</f>
        <v>0</v>
      </c>
      <c r="H287" s="10">
        <f t="shared" ref="H287:H350" si="23">IF(B287=0,1,IF(ISEVEN(B287),2,4))</f>
        <v>4</v>
      </c>
      <c r="I287" s="12">
        <f>IF(MOD(B287,StepsEachYearQ2)=0,1+B287/StepsEachYearQ2,0)</f>
        <v>0</v>
      </c>
      <c r="M287" s="33"/>
    </row>
    <row r="288" spans="1:13" ht="13.15" thickBot="1" x14ac:dyDescent="0.4">
      <c r="A288" s="4"/>
      <c r="B288" s="13">
        <f t="shared" ref="B288:B351" si="24">B287+1</f>
        <v>258</v>
      </c>
      <c r="C288" s="21">
        <f t="shared" si="20"/>
        <v>72.25</v>
      </c>
      <c r="D288" s="4">
        <f>POWER(gompertz_g,POWER(gompertz_c,InitialAgeQ2)*(gompertz_c^('Question 2'!C288-InitialAgeQ2)-1))</f>
        <v>6.3737863538352479E-2</v>
      </c>
      <c r="E288" s="21">
        <f>(1+IntRateQ2)^(-(C288-InitialAgeQ2))*D288</f>
        <v>1.7991704505334778E-2</v>
      </c>
      <c r="F288" s="10">
        <f t="shared" si="21"/>
        <v>0</v>
      </c>
      <c r="G288" s="10">
        <f t="shared" si="22"/>
        <v>0</v>
      </c>
      <c r="H288" s="10">
        <f t="shared" si="23"/>
        <v>2</v>
      </c>
      <c r="I288" s="12">
        <f>IF(MOD(B288,StepsEachYearQ2)=0,1+B288/StepsEachYearQ2,0)</f>
        <v>0</v>
      </c>
      <c r="M288" s="33"/>
    </row>
    <row r="289" spans="1:13" ht="13.15" thickBot="1" x14ac:dyDescent="0.4">
      <c r="A289" s="4"/>
      <c r="B289" s="13">
        <f t="shared" si="24"/>
        <v>259</v>
      </c>
      <c r="C289" s="21">
        <f t="shared" si="20"/>
        <v>72.375</v>
      </c>
      <c r="D289" s="4">
        <f>POWER(gompertz_g,POWER(gompertz_c,InitialAgeQ2)*(gompertz_c^('Question 2'!C289-InitialAgeQ2)-1))</f>
        <v>6.1743526735586841E-2</v>
      </c>
      <c r="E289" s="21">
        <f>(1+IntRateQ2)^(-(C289-InitialAgeQ2))*D289</f>
        <v>1.7343513095287536E-2</v>
      </c>
      <c r="F289" s="10">
        <f t="shared" si="21"/>
        <v>0</v>
      </c>
      <c r="G289" s="10">
        <f t="shared" si="22"/>
        <v>0</v>
      </c>
      <c r="H289" s="10">
        <f t="shared" si="23"/>
        <v>4</v>
      </c>
      <c r="I289" s="12">
        <f>IF(MOD(B289,StepsEachYearQ2)=0,1+B289/StepsEachYearQ2,0)</f>
        <v>0</v>
      </c>
      <c r="M289" s="33"/>
    </row>
    <row r="290" spans="1:13" ht="13.15" thickBot="1" x14ac:dyDescent="0.4">
      <c r="A290" s="4"/>
      <c r="B290" s="13">
        <f t="shared" si="24"/>
        <v>260</v>
      </c>
      <c r="C290" s="21">
        <f t="shared" si="20"/>
        <v>72.5</v>
      </c>
      <c r="D290" s="4">
        <f>POWER(gompertz_g,POWER(gompertz_c,InitialAgeQ2)*(gompertz_c^('Question 2'!C290-InitialAgeQ2)-1))</f>
        <v>5.9791002732384212E-2</v>
      </c>
      <c r="E290" s="21">
        <f>(1+IntRateQ2)^(-(C290-InitialAgeQ2))*D290</f>
        <v>1.6712919050251095E-2</v>
      </c>
      <c r="F290" s="10">
        <f t="shared" si="21"/>
        <v>0</v>
      </c>
      <c r="G290" s="10">
        <f t="shared" si="22"/>
        <v>0.5</v>
      </c>
      <c r="H290" s="10">
        <f t="shared" si="23"/>
        <v>2</v>
      </c>
      <c r="I290" s="12">
        <f>IF(MOD(B290,StepsEachYearQ2)=0,1+B290/StepsEachYearQ2,0)</f>
        <v>0</v>
      </c>
      <c r="M290" s="33"/>
    </row>
    <row r="291" spans="1:13" ht="13.15" thickBot="1" x14ac:dyDescent="0.4">
      <c r="A291" s="4"/>
      <c r="B291" s="13">
        <f t="shared" si="24"/>
        <v>261</v>
      </c>
      <c r="C291" s="21">
        <f t="shared" si="20"/>
        <v>72.625</v>
      </c>
      <c r="D291" s="4">
        <f>POWER(gompertz_g,POWER(gompertz_c,InitialAgeQ2)*(gompertz_c^('Question 2'!C291-InitialAgeQ2)-1))</f>
        <v>5.7880076454642854E-2</v>
      </c>
      <c r="E291" s="21">
        <f>(1+IntRateQ2)^(-(C291-InitialAgeQ2))*D291</f>
        <v>1.6099648767239398E-2</v>
      </c>
      <c r="F291" s="10">
        <f t="shared" si="21"/>
        <v>0</v>
      </c>
      <c r="G291" s="10">
        <f t="shared" si="22"/>
        <v>0</v>
      </c>
      <c r="H291" s="10">
        <f t="shared" si="23"/>
        <v>4</v>
      </c>
      <c r="I291" s="12">
        <f>IF(MOD(B291,StepsEachYearQ2)=0,1+B291/StepsEachYearQ2,0)</f>
        <v>0</v>
      </c>
      <c r="M291" s="33"/>
    </row>
    <row r="292" spans="1:13" ht="13.15" thickBot="1" x14ac:dyDescent="0.4">
      <c r="A292" s="4"/>
      <c r="B292" s="13">
        <f t="shared" si="24"/>
        <v>262</v>
      </c>
      <c r="C292" s="21">
        <f t="shared" si="20"/>
        <v>72.75</v>
      </c>
      <c r="D292" s="4">
        <f>POWER(gompertz_g,POWER(gompertz_c,InitialAgeQ2)*(gompertz_c^('Question 2'!C292-InitialAgeQ2)-1))</f>
        <v>5.6010515933020068E-2</v>
      </c>
      <c r="E292" s="21">
        <f>(1+IntRateQ2)^(-(C292-InitialAgeQ2))*D292</f>
        <v>1.5503427086710524E-2</v>
      </c>
      <c r="F292" s="10">
        <f t="shared" si="21"/>
        <v>0</v>
      </c>
      <c r="G292" s="10">
        <f t="shared" si="22"/>
        <v>0</v>
      </c>
      <c r="H292" s="10">
        <f t="shared" si="23"/>
        <v>2</v>
      </c>
      <c r="I292" s="12">
        <f>IF(MOD(B292,StepsEachYearQ2)=0,1+B292/StepsEachYearQ2,0)</f>
        <v>0</v>
      </c>
      <c r="M292" s="33"/>
    </row>
    <row r="293" spans="1:13" ht="13.15" thickBot="1" x14ac:dyDescent="0.4">
      <c r="A293" s="4"/>
      <c r="B293" s="13">
        <f t="shared" si="24"/>
        <v>263</v>
      </c>
      <c r="C293" s="21">
        <f t="shared" si="20"/>
        <v>72.875</v>
      </c>
      <c r="D293" s="4">
        <f>POWER(gompertz_g,POWER(gompertz_c,InitialAgeQ2)*(gompertz_c^('Question 2'!C293-InitialAgeQ2)-1))</f>
        <v>5.4182072519475037E-2</v>
      </c>
      <c r="E293" s="21">
        <f>(1+IntRateQ2)^(-(C293-InitialAgeQ2))*D293</f>
        <v>1.492397743693352E-2</v>
      </c>
      <c r="F293" s="10">
        <f t="shared" si="21"/>
        <v>0</v>
      </c>
      <c r="G293" s="10">
        <f t="shared" si="22"/>
        <v>0</v>
      </c>
      <c r="H293" s="10">
        <f t="shared" si="23"/>
        <v>4</v>
      </c>
      <c r="I293" s="12">
        <f>IF(MOD(B293,StepsEachYearQ2)=0,1+B293/StepsEachYearQ2,0)</f>
        <v>0</v>
      </c>
      <c r="M293" s="33"/>
    </row>
    <row r="294" spans="1:13" ht="13.15" thickBot="1" x14ac:dyDescent="0.4">
      <c r="A294" s="4"/>
      <c r="B294" s="13">
        <f t="shared" si="24"/>
        <v>264</v>
      </c>
      <c r="C294" s="21">
        <f t="shared" si="20"/>
        <v>73</v>
      </c>
      <c r="D294" s="4">
        <f>POWER(gompertz_g,POWER(gompertz_c,InitialAgeQ2)*(gompertz_c^('Question 2'!C294-InitialAgeQ2)-1))</f>
        <v>5.2394481121881678E-2</v>
      </c>
      <c r="E294" s="21">
        <f>(1+IntRateQ2)^(-(C294-InitialAgeQ2))*D294</f>
        <v>1.4361021980130107E-2</v>
      </c>
      <c r="F294" s="10">
        <f t="shared" si="21"/>
        <v>1</v>
      </c>
      <c r="G294" s="10">
        <f t="shared" si="22"/>
        <v>0.5</v>
      </c>
      <c r="H294" s="10">
        <f t="shared" si="23"/>
        <v>2</v>
      </c>
      <c r="I294" s="12">
        <f>IF(MOD(B294,StepsEachYearQ2)=0,1+B294/StepsEachYearQ2,0)</f>
        <v>34</v>
      </c>
      <c r="M294" s="33"/>
    </row>
    <row r="295" spans="1:13" ht="13.15" thickBot="1" x14ac:dyDescent="0.4">
      <c r="A295" s="4"/>
      <c r="B295" s="13">
        <f t="shared" si="24"/>
        <v>265</v>
      </c>
      <c r="C295" s="21">
        <f t="shared" si="20"/>
        <v>73.125</v>
      </c>
      <c r="D295" s="4">
        <f>POWER(gompertz_g,POWER(gompertz_c,InitialAgeQ2)*(gompertz_c^('Question 2'!C295-InitialAgeQ2)-1))</f>
        <v>5.064746045654784E-2</v>
      </c>
      <c r="E295" s="21">
        <f>(1+IntRateQ2)^(-(C295-InitialAgeQ2))*D295</f>
        <v>1.3814281760224126E-2</v>
      </c>
      <c r="F295" s="10">
        <f t="shared" si="21"/>
        <v>0</v>
      </c>
      <c r="G295" s="10">
        <f t="shared" si="22"/>
        <v>0</v>
      </c>
      <c r="H295" s="10">
        <f t="shared" si="23"/>
        <v>4</v>
      </c>
      <c r="I295" s="12">
        <f>IF(MOD(B295,StepsEachYearQ2)=0,1+B295/StepsEachYearQ2,0)</f>
        <v>0</v>
      </c>
      <c r="M295" s="33"/>
    </row>
    <row r="296" spans="1:13" ht="13.15" thickBot="1" x14ac:dyDescent="0.4">
      <c r="A296" s="4"/>
      <c r="B296" s="13">
        <f t="shared" si="24"/>
        <v>266</v>
      </c>
      <c r="C296" s="21">
        <f t="shared" si="20"/>
        <v>73.25</v>
      </c>
      <c r="D296" s="4">
        <f>POWER(gompertz_g,POWER(gompertz_c,InitialAgeQ2)*(gompertz_c^('Question 2'!C296-InitialAgeQ2)-1))</f>
        <v>4.8940713318450624E-2</v>
      </c>
      <c r="E296" s="21">
        <f>(1+IntRateQ2)^(-(C296-InitialAgeQ2))*D296</f>
        <v>1.3283476852028971E-2</v>
      </c>
      <c r="F296" s="10">
        <f t="shared" si="21"/>
        <v>0</v>
      </c>
      <c r="G296" s="10">
        <f t="shared" si="22"/>
        <v>0</v>
      </c>
      <c r="H296" s="10">
        <f t="shared" si="23"/>
        <v>2</v>
      </c>
      <c r="I296" s="12">
        <f>IF(MOD(B296,StepsEachYearQ2)=0,1+B296/StepsEachYearQ2,0)</f>
        <v>0</v>
      </c>
      <c r="M296" s="33"/>
    </row>
    <row r="297" spans="1:13" ht="13.15" thickBot="1" x14ac:dyDescent="0.4">
      <c r="A297" s="4"/>
      <c r="B297" s="13">
        <f t="shared" si="24"/>
        <v>267</v>
      </c>
      <c r="C297" s="21">
        <f t="shared" si="20"/>
        <v>73.375</v>
      </c>
      <c r="D297" s="4">
        <f>POWER(gompertz_g,POWER(gompertz_c,InitialAgeQ2)*(gompertz_c^('Question 2'!C297-InitialAgeQ2)-1))</f>
        <v>4.7273926868951453E-2</v>
      </c>
      <c r="E297" s="21">
        <f>(1+IntRateQ2)^(-(C297-InitialAgeQ2))*D297</f>
        <v>1.2768326511695634E-2</v>
      </c>
      <c r="F297" s="10">
        <f t="shared" si="21"/>
        <v>0</v>
      </c>
      <c r="G297" s="10">
        <f t="shared" si="22"/>
        <v>0</v>
      </c>
      <c r="H297" s="10">
        <f t="shared" si="23"/>
        <v>4</v>
      </c>
      <c r="I297" s="12">
        <f>IF(MOD(B297,StepsEachYearQ2)=0,1+B297/StepsEachYearQ2,0)</f>
        <v>0</v>
      </c>
      <c r="M297" s="33"/>
    </row>
    <row r="298" spans="1:13" ht="13.15" thickBot="1" x14ac:dyDescent="0.4">
      <c r="A298" s="4"/>
      <c r="B298" s="13">
        <f t="shared" si="24"/>
        <v>268</v>
      </c>
      <c r="C298" s="21">
        <f t="shared" si="20"/>
        <v>73.5</v>
      </c>
      <c r="D298" s="4">
        <f>POWER(gompertz_g,POWER(gompertz_c,InitialAgeQ2)*(gompertz_c^('Question 2'!C298-InitialAgeQ2)-1))</f>
        <v>4.5646772940732501E-2</v>
      </c>
      <c r="E298" s="21">
        <f>(1+IntRateQ2)^(-(C298-InitialAgeQ2))*D298</f>
        <v>1.2268549328242871E-2</v>
      </c>
      <c r="F298" s="10">
        <f t="shared" si="21"/>
        <v>0</v>
      </c>
      <c r="G298" s="10">
        <f t="shared" si="22"/>
        <v>0.5</v>
      </c>
      <c r="H298" s="10">
        <f t="shared" si="23"/>
        <v>2</v>
      </c>
      <c r="I298" s="12">
        <f>IF(MOD(B298,StepsEachYearQ2)=0,1+B298/StepsEachYearQ2,0)</f>
        <v>0</v>
      </c>
      <c r="M298" s="33"/>
    </row>
    <row r="299" spans="1:13" ht="13.15" thickBot="1" x14ac:dyDescent="0.4">
      <c r="A299" s="4"/>
      <c r="B299" s="13">
        <f t="shared" si="24"/>
        <v>269</v>
      </c>
      <c r="C299" s="21">
        <f t="shared" si="20"/>
        <v>73.625</v>
      </c>
      <c r="D299" s="4">
        <f>POWER(gompertz_g,POWER(gompertz_c,InitialAgeQ2)*(gompertz_c^('Question 2'!C299-InitialAgeQ2)-1))</f>
        <v>4.4058908359653329E-2</v>
      </c>
      <c r="E299" s="21">
        <f>(1+IntRateQ2)^(-(C299-InitialAgeQ2))*D299</f>
        <v>1.1783863375985094E-2</v>
      </c>
      <c r="F299" s="10">
        <f t="shared" si="21"/>
        <v>0</v>
      </c>
      <c r="G299" s="10">
        <f t="shared" si="22"/>
        <v>0</v>
      </c>
      <c r="H299" s="10">
        <f t="shared" si="23"/>
        <v>4</v>
      </c>
      <c r="I299" s="12">
        <f>IF(MOD(B299,StepsEachYearQ2)=0,1+B299/StepsEachYearQ2,0)</f>
        <v>0</v>
      </c>
      <c r="M299" s="33"/>
    </row>
    <row r="300" spans="1:13" ht="13.15" thickBot="1" x14ac:dyDescent="0.4">
      <c r="A300" s="4"/>
      <c r="B300" s="13">
        <f t="shared" si="24"/>
        <v>270</v>
      </c>
      <c r="C300" s="21">
        <f t="shared" si="20"/>
        <v>73.75</v>
      </c>
      <c r="D300" s="4">
        <f>POWER(gompertz_g,POWER(gompertz_c,InitialAgeQ2)*(gompertz_c^('Question 2'!C300-InitialAgeQ2)-1))</f>
        <v>4.2509975283193904E-2</v>
      </c>
      <c r="E300" s="21">
        <f>(1+IntRateQ2)^(-(C300-InitialAgeQ2))*D300</f>
        <v>1.1313986367670288E-2</v>
      </c>
      <c r="F300" s="10">
        <f t="shared" si="21"/>
        <v>0</v>
      </c>
      <c r="G300" s="10">
        <f t="shared" si="22"/>
        <v>0</v>
      </c>
      <c r="H300" s="10">
        <f t="shared" si="23"/>
        <v>2</v>
      </c>
      <c r="I300" s="12">
        <f>IF(MOD(B300,StepsEachYearQ2)=0,1+B300/StepsEachYearQ2,0)</f>
        <v>0</v>
      </c>
      <c r="M300" s="33"/>
    </row>
    <row r="301" spans="1:13" ht="13.15" thickBot="1" x14ac:dyDescent="0.4">
      <c r="A301" s="4"/>
      <c r="B301" s="13">
        <f t="shared" si="24"/>
        <v>271</v>
      </c>
      <c r="C301" s="21">
        <f t="shared" si="20"/>
        <v>73.875</v>
      </c>
      <c r="D301" s="4">
        <f>POWER(gompertz_g,POWER(gompertz_c,InitialAgeQ2)*(gompertz_c^('Question 2'!C301-InitialAgeQ2)-1))</f>
        <v>4.0999601555117289E-2</v>
      </c>
      <c r="E301" s="21">
        <f>(1+IntRateQ2)^(-(C301-InitialAgeQ2))*D301</f>
        <v>1.0858635808137456E-2</v>
      </c>
      <c r="F301" s="10">
        <f t="shared" si="21"/>
        <v>0</v>
      </c>
      <c r="G301" s="10">
        <f t="shared" si="22"/>
        <v>0</v>
      </c>
      <c r="H301" s="10">
        <f t="shared" si="23"/>
        <v>4</v>
      </c>
      <c r="I301" s="12">
        <f>IF(MOD(B301,StepsEachYearQ2)=0,1+B301/StepsEachYearQ2,0)</f>
        <v>0</v>
      </c>
      <c r="M301" s="33"/>
    </row>
    <row r="302" spans="1:13" ht="13.15" thickBot="1" x14ac:dyDescent="0.4">
      <c r="A302" s="4"/>
      <c r="B302" s="13">
        <f t="shared" si="24"/>
        <v>272</v>
      </c>
      <c r="C302" s="21">
        <f t="shared" si="20"/>
        <v>74</v>
      </c>
      <c r="D302" s="4">
        <f>POWER(gompertz_g,POWER(gompertz_c,InitialAgeQ2)*(gompertz_c^('Question 2'!C302-InitialAgeQ2)-1))</f>
        <v>3.9527401075948793E-2</v>
      </c>
      <c r="E302" s="21">
        <f>(1+IntRateQ2)^(-(C302-InitialAgeQ2))*D302</f>
        <v>1.0417529148299493E-2</v>
      </c>
      <c r="F302" s="10">
        <f t="shared" si="21"/>
        <v>1</v>
      </c>
      <c r="G302" s="10">
        <f t="shared" si="22"/>
        <v>0.5</v>
      </c>
      <c r="H302" s="10">
        <f t="shared" si="23"/>
        <v>2</v>
      </c>
      <c r="I302" s="12">
        <f>IF(MOD(B302,StepsEachYearQ2)=0,1+B302/StepsEachYearQ2,0)</f>
        <v>35</v>
      </c>
      <c r="M302" s="33"/>
    </row>
    <row r="303" spans="1:13" ht="13.15" thickBot="1" x14ac:dyDescent="0.4">
      <c r="A303" s="4"/>
      <c r="B303" s="13">
        <f t="shared" si="24"/>
        <v>273</v>
      </c>
      <c r="C303" s="21">
        <f t="shared" si="20"/>
        <v>74.125</v>
      </c>
      <c r="D303" s="4">
        <f>POWER(gompertz_g,POWER(gompertz_c,InitialAgeQ2)*(gompertz_c^('Question 2'!C303-InitialAgeQ2)-1))</f>
        <v>3.8092974188834623E-2</v>
      </c>
      <c r="E303" s="21">
        <f>(1+IntRateQ2)^(-(C303-InitialAgeQ2))*D303</f>
        <v>9.9903839392548564E-3</v>
      </c>
      <c r="F303" s="10">
        <f t="shared" si="21"/>
        <v>0</v>
      </c>
      <c r="G303" s="10">
        <f t="shared" si="22"/>
        <v>0</v>
      </c>
      <c r="H303" s="10">
        <f t="shared" si="23"/>
        <v>4</v>
      </c>
      <c r="I303" s="12">
        <f>IF(MOD(B303,StepsEachYearQ2)=0,1+B303/StepsEachYearQ2,0)</f>
        <v>0</v>
      </c>
      <c r="M303" s="33"/>
    </row>
    <row r="304" spans="1:13" ht="13.15" thickBot="1" x14ac:dyDescent="0.4">
      <c r="A304" s="4"/>
      <c r="B304" s="13">
        <f t="shared" si="24"/>
        <v>274</v>
      </c>
      <c r="C304" s="21">
        <f t="shared" si="20"/>
        <v>74.25</v>
      </c>
      <c r="D304" s="4">
        <f>POWER(gompertz_g,POWER(gompertz_c,InitialAgeQ2)*(gompertz_c^('Question 2'!C304-InitialAgeQ2)-1))</f>
        <v>3.6695908080311673E-2</v>
      </c>
      <c r="E304" s="21">
        <f>(1+IntRateQ2)^(-(C304-InitialAgeQ2))*D304</f>
        <v>9.5769179863296333E-3</v>
      </c>
      <c r="F304" s="10">
        <f t="shared" si="21"/>
        <v>0</v>
      </c>
      <c r="G304" s="10">
        <f t="shared" si="22"/>
        <v>0</v>
      </c>
      <c r="H304" s="10">
        <f t="shared" si="23"/>
        <v>2</v>
      </c>
      <c r="I304" s="12">
        <f>IF(MOD(B304,StepsEachYearQ2)=0,1+B304/StepsEachYearQ2,0)</f>
        <v>0</v>
      </c>
      <c r="M304" s="33"/>
    </row>
    <row r="305" spans="1:13" ht="13.15" thickBot="1" x14ac:dyDescent="0.4">
      <c r="A305" s="4"/>
      <c r="B305" s="13">
        <f t="shared" si="24"/>
        <v>275</v>
      </c>
      <c r="C305" s="21">
        <f t="shared" si="20"/>
        <v>74.375</v>
      </c>
      <c r="D305" s="4">
        <f>POWER(gompertz_g,POWER(gompertz_c,InitialAgeQ2)*(gompertz_c^('Question 2'!C305-InitialAgeQ2)-1))</f>
        <v>3.533577719548061E-2</v>
      </c>
      <c r="E305" s="21">
        <f>(1+IntRateQ2)^(-(C305-InitialAgeQ2))*D305</f>
        <v>9.1768495028482985E-3</v>
      </c>
      <c r="F305" s="10">
        <f t="shared" si="21"/>
        <v>0</v>
      </c>
      <c r="G305" s="10">
        <f t="shared" si="22"/>
        <v>0</v>
      </c>
      <c r="H305" s="10">
        <f t="shared" si="23"/>
        <v>4</v>
      </c>
      <c r="I305" s="12">
        <f>IF(MOD(B305,StepsEachYearQ2)=0,1+B305/StepsEachYearQ2,0)</f>
        <v>0</v>
      </c>
      <c r="M305" s="33"/>
    </row>
    <row r="306" spans="1:13" ht="13.15" thickBot="1" x14ac:dyDescent="0.4">
      <c r="A306" s="4"/>
      <c r="B306" s="13">
        <f t="shared" si="24"/>
        <v>276</v>
      </c>
      <c r="C306" s="21">
        <f t="shared" si="20"/>
        <v>74.5</v>
      </c>
      <c r="D306" s="4">
        <f>POWER(gompertz_g,POWER(gompertz_c,InitialAgeQ2)*(gompertz_c^('Question 2'!C306-InitialAgeQ2)-1))</f>
        <v>3.401214366705007E-2</v>
      </c>
      <c r="E306" s="21">
        <f>(1+IntRateQ2)^(-(C306-InitialAgeQ2))*D306</f>
        <v>8.7898972634318073E-3</v>
      </c>
      <c r="F306" s="10">
        <f t="shared" si="21"/>
        <v>0</v>
      </c>
      <c r="G306" s="10">
        <f t="shared" si="22"/>
        <v>0.5</v>
      </c>
      <c r="H306" s="10">
        <f t="shared" si="23"/>
        <v>2</v>
      </c>
      <c r="I306" s="12">
        <f>IF(MOD(B306,StepsEachYearQ2)=0,1+B306/StepsEachYearQ2,0)</f>
        <v>0</v>
      </c>
      <c r="M306" s="33"/>
    </row>
    <row r="307" spans="1:13" ht="13.15" thickBot="1" x14ac:dyDescent="0.4">
      <c r="A307" s="4"/>
      <c r="B307" s="13">
        <f t="shared" si="24"/>
        <v>277</v>
      </c>
      <c r="C307" s="21">
        <f t="shared" si="20"/>
        <v>74.625</v>
      </c>
      <c r="D307" s="4">
        <f>POWER(gompertz_g,POWER(gompertz_c,InitialAgeQ2)*(gompertz_c^('Question 2'!C307-InitialAgeQ2)-1))</f>
        <v>3.2724557757680073E-2</v>
      </c>
      <c r="E307" s="21">
        <f>(1+IntRateQ2)^(-(C307-InitialAgeQ2))*D307</f>
        <v>8.4157807566188295E-3</v>
      </c>
      <c r="F307" s="10">
        <f t="shared" si="21"/>
        <v>0</v>
      </c>
      <c r="G307" s="10">
        <f t="shared" si="22"/>
        <v>0</v>
      </c>
      <c r="H307" s="10">
        <f t="shared" si="23"/>
        <v>4</v>
      </c>
      <c r="I307" s="12">
        <f>IF(MOD(B307,StepsEachYearQ2)=0,1+B307/StepsEachYearQ2,0)</f>
        <v>0</v>
      </c>
      <c r="M307" s="33"/>
    </row>
    <row r="308" spans="1:13" ht="13.15" thickBot="1" x14ac:dyDescent="0.4">
      <c r="A308" s="4"/>
      <c r="B308" s="13">
        <f t="shared" si="24"/>
        <v>278</v>
      </c>
      <c r="C308" s="21">
        <f t="shared" si="20"/>
        <v>74.75</v>
      </c>
      <c r="D308" s="4">
        <f>POWER(gompertz_g,POWER(gompertz_c,InitialAgeQ2)*(gompertz_c^('Question 2'!C308-InitialAgeQ2)-1))</f>
        <v>3.1472558315025927E-2</v>
      </c>
      <c r="E308" s="21">
        <f>(1+IntRateQ2)^(-(C308-InitialAgeQ2))*D308</f>
        <v>8.0542203366062715E-3</v>
      </c>
      <c r="F308" s="10">
        <f t="shared" si="21"/>
        <v>0</v>
      </c>
      <c r="G308" s="10">
        <f t="shared" si="22"/>
        <v>0</v>
      </c>
      <c r="H308" s="10">
        <f t="shared" si="23"/>
        <v>2</v>
      </c>
      <c r="I308" s="12">
        <f>IF(MOD(B308,StepsEachYearQ2)=0,1+B308/StepsEachYearQ2,0)</f>
        <v>0</v>
      </c>
      <c r="M308" s="33"/>
    </row>
    <row r="309" spans="1:13" ht="13.15" thickBot="1" x14ac:dyDescent="0.4">
      <c r="A309" s="4"/>
      <c r="B309" s="13">
        <f t="shared" si="24"/>
        <v>279</v>
      </c>
      <c r="C309" s="21">
        <f t="shared" si="20"/>
        <v>74.875</v>
      </c>
      <c r="D309" s="4">
        <f>POWER(gompertz_g,POWER(gompertz_c,InitialAgeQ2)*(gompertz_c^('Question 2'!C309-InitialAgeQ2)-1))</f>
        <v>3.0255673238850943E-2</v>
      </c>
      <c r="E309" s="21">
        <f>(1+IntRateQ2)^(-(C309-InitialAgeQ2))*D309</f>
        <v>7.7049373739042212E-3</v>
      </c>
      <c r="F309" s="10">
        <f t="shared" si="21"/>
        <v>0</v>
      </c>
      <c r="G309" s="10">
        <f t="shared" si="22"/>
        <v>0</v>
      </c>
      <c r="H309" s="10">
        <f t="shared" si="23"/>
        <v>4</v>
      </c>
      <c r="I309" s="12">
        <f>IF(MOD(B309,StepsEachYearQ2)=0,1+B309/StepsEachYearQ2,0)</f>
        <v>0</v>
      </c>
      <c r="M309" s="33"/>
    </row>
    <row r="310" spans="1:13" ht="13.15" thickBot="1" x14ac:dyDescent="0.4">
      <c r="A310" s="4"/>
      <c r="B310" s="13">
        <f t="shared" si="24"/>
        <v>280</v>
      </c>
      <c r="C310" s="21">
        <f t="shared" si="20"/>
        <v>75</v>
      </c>
      <c r="D310" s="4">
        <f>POWER(gompertz_g,POWER(gompertz_c,InitialAgeQ2)*(gompertz_c^('Question 2'!C310-InitialAgeQ2)-1))</f>
        <v>2.9073419959548898E-2</v>
      </c>
      <c r="E310" s="21">
        <f>(1+IntRateQ2)^(-(C310-InitialAgeQ2))*D310</f>
        <v>7.3676544047012868E-3</v>
      </c>
      <c r="F310" s="10">
        <f t="shared" si="21"/>
        <v>1</v>
      </c>
      <c r="G310" s="10">
        <f t="shared" si="22"/>
        <v>0.5</v>
      </c>
      <c r="H310" s="10">
        <f t="shared" si="23"/>
        <v>2</v>
      </c>
      <c r="I310" s="12">
        <f>IF(MOD(B310,StepsEachYearQ2)=0,1+B310/StepsEachYearQ2,0)</f>
        <v>36</v>
      </c>
      <c r="M310" s="33"/>
    </row>
    <row r="311" spans="1:13" ht="13.15" thickBot="1" x14ac:dyDescent="0.4">
      <c r="A311" s="4"/>
      <c r="B311" s="13">
        <f t="shared" si="24"/>
        <v>281</v>
      </c>
      <c r="C311" s="21">
        <f t="shared" si="20"/>
        <v>75.125</v>
      </c>
      <c r="D311" s="4">
        <f>POWER(gompertz_g,POWER(gompertz_c,InitialAgeQ2)*(gompertz_c^('Question 2'!C311-InitialAgeQ2)-1))</f>
        <v>2.7925305927385739E-2</v>
      </c>
      <c r="E311" s="21">
        <f>(1+IntRateQ2)^(-(C311-InitialAgeQ2))*D311</f>
        <v>7.0420952787360021E-3</v>
      </c>
      <c r="F311" s="10">
        <f t="shared" si="21"/>
        <v>0</v>
      </c>
      <c r="G311" s="10">
        <f t="shared" si="22"/>
        <v>0</v>
      </c>
      <c r="H311" s="10">
        <f t="shared" si="23"/>
        <v>4</v>
      </c>
      <c r="I311" s="12">
        <f>IF(MOD(B311,StepsEachYearQ2)=0,1+B311/StepsEachYearQ2,0)</f>
        <v>0</v>
      </c>
      <c r="M311" s="33"/>
    </row>
    <row r="312" spans="1:13" ht="13.15" thickBot="1" x14ac:dyDescent="0.4">
      <c r="A312" s="4"/>
      <c r="B312" s="13">
        <f t="shared" si="24"/>
        <v>282</v>
      </c>
      <c r="C312" s="21">
        <f t="shared" si="20"/>
        <v>75.25</v>
      </c>
      <c r="D312" s="4">
        <f>POWER(gompertz_g,POWER(gompertz_c,InitialAgeQ2)*(gompertz_c^('Question 2'!C312-InitialAgeQ2)-1))</f>
        <v>2.6810829111747106E-2</v>
      </c>
      <c r="E312" s="21">
        <f>(1+IntRateQ2)^(-(C312-InitialAgeQ2))*D312</f>
        <v>6.7279853054720362E-3</v>
      </c>
      <c r="F312" s="10">
        <f t="shared" si="21"/>
        <v>0</v>
      </c>
      <c r="G312" s="10">
        <f t="shared" si="22"/>
        <v>0</v>
      </c>
      <c r="H312" s="10">
        <f t="shared" si="23"/>
        <v>2</v>
      </c>
      <c r="I312" s="12">
        <f>IF(MOD(B312,StepsEachYearQ2)=0,1+B312/StepsEachYearQ2,0)</f>
        <v>0</v>
      </c>
      <c r="M312" s="33"/>
    </row>
    <row r="313" spans="1:13" ht="13.15" thickBot="1" x14ac:dyDescent="0.4">
      <c r="A313" s="4"/>
      <c r="B313" s="13">
        <f t="shared" si="24"/>
        <v>283</v>
      </c>
      <c r="C313" s="21">
        <f t="shared" si="20"/>
        <v>75.375</v>
      </c>
      <c r="D313" s="4">
        <f>POWER(gompertz_g,POWER(gompertz_c,InitialAgeQ2)*(gompertz_c^('Question 2'!C313-InitialAgeQ2)-1))</f>
        <v>2.5729478509646402E-2</v>
      </c>
      <c r="E313" s="21">
        <f>(1+IntRateQ2)^(-(C313-InitialAgeQ2))*D313</f>
        <v>6.4250513983751317E-3</v>
      </c>
      <c r="F313" s="10">
        <f t="shared" si="21"/>
        <v>0</v>
      </c>
      <c r="G313" s="10">
        <f t="shared" si="22"/>
        <v>0</v>
      </c>
      <c r="H313" s="10">
        <f t="shared" si="23"/>
        <v>4</v>
      </c>
      <c r="I313" s="12">
        <f>IF(MOD(B313,StepsEachYearQ2)=0,1+B313/StepsEachYearQ2,0)</f>
        <v>0</v>
      </c>
      <c r="M313" s="33"/>
    </row>
    <row r="314" spans="1:13" ht="13.15" thickBot="1" x14ac:dyDescent="0.4">
      <c r="A314" s="4"/>
      <c r="B314" s="13">
        <f t="shared" si="24"/>
        <v>284</v>
      </c>
      <c r="C314" s="21">
        <f t="shared" si="20"/>
        <v>75.5</v>
      </c>
      <c r="D314" s="4">
        <f>POWER(gompertz_g,POWER(gompertz_c,InitialAgeQ2)*(gompertz_c^('Question 2'!C314-InitialAgeQ2)-1))</f>
        <v>2.4680734662729447E-2</v>
      </c>
      <c r="E314" s="21">
        <f>(1+IntRateQ2)^(-(C314-InitialAgeQ2))*D314</f>
        <v>6.1330222170928855E-3</v>
      </c>
      <c r="F314" s="10">
        <f t="shared" si="21"/>
        <v>0</v>
      </c>
      <c r="G314" s="10">
        <f t="shared" si="22"/>
        <v>0.5</v>
      </c>
      <c r="H314" s="10">
        <f t="shared" si="23"/>
        <v>2</v>
      </c>
      <c r="I314" s="12">
        <f>IF(MOD(B314,StepsEachYearQ2)=0,1+B314/StepsEachYearQ2,0)</f>
        <v>0</v>
      </c>
      <c r="M314" s="33"/>
    </row>
    <row r="315" spans="1:13" ht="13.15" thickBot="1" x14ac:dyDescent="0.4">
      <c r="A315" s="4"/>
      <c r="B315" s="13">
        <f t="shared" si="24"/>
        <v>285</v>
      </c>
      <c r="C315" s="21">
        <f t="shared" si="20"/>
        <v>75.625</v>
      </c>
      <c r="D315" s="4">
        <f>POWER(gompertz_g,POWER(gompertz_c,InitialAgeQ2)*(gompertz_c^('Question 2'!C315-InitialAgeQ2)-1))</f>
        <v>2.3664070181984777E-2</v>
      </c>
      <c r="E315" s="21">
        <f>(1+IntRateQ2)^(-(C315-InitialAgeQ2))*D315</f>
        <v>5.851628307340013E-3</v>
      </c>
      <c r="F315" s="10">
        <f t="shared" si="21"/>
        <v>0</v>
      </c>
      <c r="G315" s="10">
        <f t="shared" si="22"/>
        <v>0</v>
      </c>
      <c r="H315" s="10">
        <f t="shared" si="23"/>
        <v>4</v>
      </c>
      <c r="I315" s="12">
        <f>IF(MOD(B315,StepsEachYearQ2)=0,1+B315/StepsEachYearQ2,0)</f>
        <v>0</v>
      </c>
      <c r="M315" s="33"/>
    </row>
    <row r="316" spans="1:13" ht="13.15" thickBot="1" x14ac:dyDescent="0.4">
      <c r="A316" s="4"/>
      <c r="B316" s="13">
        <f t="shared" si="24"/>
        <v>286</v>
      </c>
      <c r="C316" s="21">
        <f t="shared" si="20"/>
        <v>75.75</v>
      </c>
      <c r="D316" s="4">
        <f>POWER(gompertz_g,POWER(gompertz_c,InitialAgeQ2)*(gompertz_c^('Question 2'!C316-InitialAgeQ2)-1))</f>
        <v>2.2678950279348391E-2</v>
      </c>
      <c r="E316" s="21">
        <f>(1+IntRateQ2)^(-(C316-InitialAgeQ2))*D316</f>
        <v>5.5806022382949554E-3</v>
      </c>
      <c r="F316" s="10">
        <f t="shared" si="21"/>
        <v>0</v>
      </c>
      <c r="G316" s="10">
        <f t="shared" si="22"/>
        <v>0</v>
      </c>
      <c r="H316" s="10">
        <f t="shared" si="23"/>
        <v>2</v>
      </c>
      <c r="I316" s="12">
        <f>IF(MOD(B316,StepsEachYearQ2)=0,1+B316/StepsEachYearQ2,0)</f>
        <v>0</v>
      </c>
      <c r="M316" s="33"/>
    </row>
    <row r="317" spans="1:13" ht="13.15" thickBot="1" x14ac:dyDescent="0.4">
      <c r="A317" s="4"/>
      <c r="B317" s="13">
        <f t="shared" si="24"/>
        <v>287</v>
      </c>
      <c r="C317" s="21">
        <f t="shared" si="20"/>
        <v>75.875</v>
      </c>
      <c r="D317" s="4">
        <f>POWER(gompertz_g,POWER(gompertz_c,InitialAgeQ2)*(gompertz_c^('Question 2'!C317-InitialAgeQ2)-1))</f>
        <v>2.1724833305371966E-2</v>
      </c>
      <c r="E317" s="21">
        <f>(1+IntRateQ2)^(-(C317-InitialAgeQ2))*D317</f>
        <v>5.3196787373168799E-3</v>
      </c>
      <c r="F317" s="10">
        <f t="shared" si="21"/>
        <v>0</v>
      </c>
      <c r="G317" s="10">
        <f t="shared" si="22"/>
        <v>0</v>
      </c>
      <c r="H317" s="10">
        <f t="shared" si="23"/>
        <v>4</v>
      </c>
      <c r="I317" s="12">
        <f>IF(MOD(B317,StepsEachYearQ2)=0,1+B317/StepsEachYearQ2,0)</f>
        <v>0</v>
      </c>
      <c r="M317" s="33"/>
    </row>
    <row r="318" spans="1:13" ht="13.15" thickBot="1" x14ac:dyDescent="0.4">
      <c r="A318" s="4"/>
      <c r="B318" s="13">
        <f t="shared" si="24"/>
        <v>288</v>
      </c>
      <c r="C318" s="21">
        <f t="shared" si="20"/>
        <v>76</v>
      </c>
      <c r="D318" s="4">
        <f>POWER(gompertz_g,POWER(gompertz_c,InitialAgeQ2)*(gompertz_c^('Question 2'!C318-InitialAgeQ2)-1))</f>
        <v>2.0801171292105375E-2</v>
      </c>
      <c r="E318" s="21">
        <f>(1+IntRateQ2)^(-(C318-InitialAgeQ2))*D318</f>
        <v>5.0685948217960436E-3</v>
      </c>
      <c r="F318" s="10">
        <f t="shared" si="21"/>
        <v>1</v>
      </c>
      <c r="G318" s="10">
        <f t="shared" si="22"/>
        <v>0.5</v>
      </c>
      <c r="H318" s="10">
        <f t="shared" si="23"/>
        <v>2</v>
      </c>
      <c r="I318" s="12">
        <f>IF(MOD(B318,StepsEachYearQ2)=0,1+B318/StepsEachYearQ2,0)</f>
        <v>37</v>
      </c>
      <c r="M318" s="33"/>
    </row>
    <row r="319" spans="1:13" ht="13.15" thickBot="1" x14ac:dyDescent="0.4">
      <c r="A319" s="4"/>
      <c r="B319" s="13">
        <f t="shared" si="24"/>
        <v>289</v>
      </c>
      <c r="C319" s="21">
        <f t="shared" si="20"/>
        <v>76.125</v>
      </c>
      <c r="D319" s="4">
        <f>POWER(gompertz_g,POWER(gompertz_c,InitialAgeQ2)*(gompertz_c^('Question 2'!C319-InitialAgeQ2)-1))</f>
        <v>1.9907410500327231E-2</v>
      </c>
      <c r="E319" s="21">
        <f>(1+IntRateQ2)^(-(C319-InitialAgeQ2))*D319</f>
        <v>4.827089927954391E-3</v>
      </c>
      <c r="F319" s="10">
        <f t="shared" si="21"/>
        <v>0</v>
      </c>
      <c r="G319" s="10">
        <f t="shared" si="22"/>
        <v>0</v>
      </c>
      <c r="H319" s="10">
        <f t="shared" si="23"/>
        <v>4</v>
      </c>
      <c r="I319" s="12">
        <f>IF(MOD(B319,StepsEachYearQ2)=0,1+B319/StepsEachYearQ2,0)</f>
        <v>0</v>
      </c>
      <c r="M319" s="33"/>
    </row>
    <row r="320" spans="1:13" ht="13.15" thickBot="1" x14ac:dyDescent="0.4">
      <c r="A320" s="4"/>
      <c r="B320" s="13">
        <f t="shared" si="24"/>
        <v>290</v>
      </c>
      <c r="C320" s="21">
        <f t="shared" si="20"/>
        <v>76.25</v>
      </c>
      <c r="D320" s="4">
        <f>POWER(gompertz_g,POWER(gompertz_c,InitialAgeQ2)*(gompertz_c^('Question 2'!C320-InitialAgeQ2)-1))</f>
        <v>1.9042991970246028E-2</v>
      </c>
      <c r="E320" s="21">
        <f>(1+IntRateQ2)^(-(C320-InitialAgeQ2))*D320</f>
        <v>4.5949060364187709E-3</v>
      </c>
      <c r="F320" s="10">
        <f t="shared" si="21"/>
        <v>0</v>
      </c>
      <c r="G320" s="10">
        <f t="shared" si="22"/>
        <v>0</v>
      </c>
      <c r="H320" s="10">
        <f t="shared" si="23"/>
        <v>2</v>
      </c>
      <c r="I320" s="12">
        <f>IF(MOD(B320,StepsEachYearQ2)=0,1+B320/StepsEachYearQ2,0)</f>
        <v>0</v>
      </c>
      <c r="M320" s="33"/>
    </row>
    <row r="321" spans="1:13" ht="13.15" thickBot="1" x14ac:dyDescent="0.4">
      <c r="A321" s="4"/>
      <c r="B321" s="13">
        <f t="shared" si="24"/>
        <v>291</v>
      </c>
      <c r="C321" s="21">
        <f t="shared" si="20"/>
        <v>76.375</v>
      </c>
      <c r="D321" s="4">
        <f>POWER(gompertz_g,POWER(gompertz_c,InitialAgeQ2)*(gompertz_c^('Question 2'!C321-InitialAgeQ2)-1))</f>
        <v>1.8207352074776244E-2</v>
      </c>
      <c r="E321" s="21">
        <f>(1+IntRateQ2)^(-(C321-InitialAgeQ2))*D321</f>
        <v>4.3717877943929085E-3</v>
      </c>
      <c r="F321" s="10">
        <f t="shared" si="21"/>
        <v>0</v>
      </c>
      <c r="G321" s="10">
        <f t="shared" si="22"/>
        <v>0</v>
      </c>
      <c r="H321" s="10">
        <f t="shared" si="23"/>
        <v>4</v>
      </c>
      <c r="I321" s="12">
        <f>IF(MOD(B321,StepsEachYearQ2)=0,1+B321/StepsEachYearQ2,0)</f>
        <v>0</v>
      </c>
      <c r="M321" s="33"/>
    </row>
    <row r="322" spans="1:13" ht="13.15" thickBot="1" x14ac:dyDescent="0.4">
      <c r="A322" s="4"/>
      <c r="B322" s="13">
        <f t="shared" si="24"/>
        <v>292</v>
      </c>
      <c r="C322" s="21">
        <f t="shared" si="20"/>
        <v>76.5</v>
      </c>
      <c r="D322" s="4">
        <f>POWER(gompertz_g,POWER(gompertz_c,InitialAgeQ2)*(gompertz_c^('Question 2'!C322-InitialAgeQ2)-1))</f>
        <v>1.7399923074491144E-2</v>
      </c>
      <c r="E322" s="21">
        <f>(1+IntRateQ2)^(-(C322-InitialAgeQ2))*D322</f>
        <v>4.1574826342616264E-3</v>
      </c>
      <c r="F322" s="10">
        <f t="shared" si="21"/>
        <v>0</v>
      </c>
      <c r="G322" s="10">
        <f t="shared" si="22"/>
        <v>0.5</v>
      </c>
      <c r="H322" s="10">
        <f t="shared" si="23"/>
        <v>2</v>
      </c>
      <c r="I322" s="12">
        <f>IF(MOD(B322,StepsEachYearQ2)=0,1+B322/StepsEachYearQ2,0)</f>
        <v>0</v>
      </c>
      <c r="M322" s="33"/>
    </row>
    <row r="323" spans="1:13" ht="13.15" thickBot="1" x14ac:dyDescent="0.4">
      <c r="A323" s="4"/>
      <c r="B323" s="13">
        <f t="shared" si="24"/>
        <v>293</v>
      </c>
      <c r="C323" s="21">
        <f t="shared" si="20"/>
        <v>76.625</v>
      </c>
      <c r="D323" s="4">
        <f>POWER(gompertz_g,POWER(gompertz_c,InitialAgeQ2)*(gompertz_c^('Question 2'!C323-InitialAgeQ2)-1))</f>
        <v>1.6620133673339046E-2</v>
      </c>
      <c r="E323" s="21">
        <f>(1+IntRateQ2)^(-(C323-InitialAgeQ2))*D323</f>
        <v>3.9517408884651994E-3</v>
      </c>
      <c r="F323" s="10">
        <f t="shared" si="21"/>
        <v>0</v>
      </c>
      <c r="G323" s="10">
        <f t="shared" si="22"/>
        <v>0</v>
      </c>
      <c r="H323" s="10">
        <f t="shared" si="23"/>
        <v>4</v>
      </c>
      <c r="I323" s="12">
        <f>IF(MOD(B323,StepsEachYearQ2)=0,1+B323/StepsEachYearQ2,0)</f>
        <v>0</v>
      </c>
      <c r="M323" s="33"/>
    </row>
    <row r="324" spans="1:13" ht="13.15" thickBot="1" x14ac:dyDescent="0.4">
      <c r="A324" s="4"/>
      <c r="B324" s="13">
        <f t="shared" si="24"/>
        <v>294</v>
      </c>
      <c r="C324" s="21">
        <f t="shared" si="20"/>
        <v>76.75</v>
      </c>
      <c r="D324" s="4">
        <f>POWER(gompertz_g,POWER(gompertz_c,InitialAgeQ2)*(gompertz_c^('Question 2'!C324-InitialAgeQ2)-1))</f>
        <v>1.5867409574209131E-2</v>
      </c>
      <c r="E324" s="21">
        <f>(1+IntRateQ2)^(-(C324-InitialAgeQ2))*D324</f>
        <v>3.754315900489461E-3</v>
      </c>
      <c r="F324" s="10">
        <f t="shared" si="21"/>
        <v>0</v>
      </c>
      <c r="G324" s="10">
        <f t="shared" si="22"/>
        <v>0</v>
      </c>
      <c r="H324" s="10">
        <f t="shared" si="23"/>
        <v>2</v>
      </c>
      <c r="I324" s="12">
        <f>IF(MOD(B324,StepsEachYearQ2)=0,1+B324/StepsEachYearQ2,0)</f>
        <v>0</v>
      </c>
      <c r="M324" s="33"/>
    </row>
    <row r="325" spans="1:13" ht="13.15" thickBot="1" x14ac:dyDescent="0.4">
      <c r="A325" s="4"/>
      <c r="B325" s="13">
        <f t="shared" si="24"/>
        <v>295</v>
      </c>
      <c r="C325" s="21">
        <f t="shared" si="20"/>
        <v>76.875</v>
      </c>
      <c r="D325" s="4">
        <f>POWER(gompertz_g,POWER(gompertz_c,InitialAgeQ2)*(gompertz_c^('Question 2'!C325-InitialAgeQ2)-1))</f>
        <v>1.5141174033426371E-2</v>
      </c>
      <c r="E325" s="21">
        <f>(1+IntRateQ2)^(-(C325-InitialAgeQ2))*D325</f>
        <v>3.5649641318233794E-3</v>
      </c>
      <c r="F325" s="10">
        <f t="shared" si="21"/>
        <v>0</v>
      </c>
      <c r="G325" s="10">
        <f t="shared" si="22"/>
        <v>0</v>
      </c>
      <c r="H325" s="10">
        <f t="shared" si="23"/>
        <v>4</v>
      </c>
      <c r="I325" s="12">
        <f>IF(MOD(B325,StepsEachYearQ2)=0,1+B325/StepsEachYearQ2,0)</f>
        <v>0</v>
      </c>
      <c r="M325" s="33"/>
    </row>
    <row r="326" spans="1:13" ht="13.15" thickBot="1" x14ac:dyDescent="0.4">
      <c r="A326" s="4"/>
      <c r="B326" s="13">
        <f t="shared" si="24"/>
        <v>296</v>
      </c>
      <c r="C326" s="21">
        <f t="shared" si="20"/>
        <v>77</v>
      </c>
      <c r="D326" s="4">
        <f>POWER(gompertz_g,POWER(gompertz_c,InitialAgeQ2)*(gompertz_c^('Question 2'!C326-InitialAgeQ2)-1))</f>
        <v>1.4440848413255235E-2</v>
      </c>
      <c r="E326" s="21">
        <f>(1+IntRateQ2)^(-(C326-InitialAgeQ2))*D326</f>
        <v>3.3834452647434547E-3</v>
      </c>
      <c r="F326" s="10">
        <f t="shared" si="21"/>
        <v>1</v>
      </c>
      <c r="G326" s="10">
        <f t="shared" si="22"/>
        <v>0.5</v>
      </c>
      <c r="H326" s="10">
        <f t="shared" si="23"/>
        <v>2</v>
      </c>
      <c r="I326" s="12">
        <f>IF(MOD(B326,StepsEachYearQ2)=0,1+B326/StepsEachYearQ2,0)</f>
        <v>38</v>
      </c>
      <c r="M326" s="33"/>
    </row>
    <row r="327" spans="1:13" ht="13.15" thickBot="1" x14ac:dyDescent="0.4">
      <c r="A327" s="4"/>
      <c r="B327" s="13">
        <f t="shared" si="24"/>
        <v>297</v>
      </c>
      <c r="C327" s="21">
        <f t="shared" si="20"/>
        <v>77.125</v>
      </c>
      <c r="D327" s="4">
        <f>POWER(gompertz_g,POWER(gompertz_c,InitialAgeQ2)*(gompertz_c^('Question 2'!C327-InitialAgeQ2)-1))</f>
        <v>1.3765852731492475E-2</v>
      </c>
      <c r="E327" s="21">
        <f>(1+IntRateQ2)^(-(C327-InitialAgeQ2))*D327</f>
        <v>3.2095223007918483E-3</v>
      </c>
      <c r="F327" s="10">
        <f t="shared" si="21"/>
        <v>0</v>
      </c>
      <c r="G327" s="10">
        <f t="shared" si="22"/>
        <v>0</v>
      </c>
      <c r="H327" s="10">
        <f t="shared" si="23"/>
        <v>4</v>
      </c>
      <c r="I327" s="12">
        <f>IF(MOD(B327,StepsEachYearQ2)=0,1+B327/StepsEachYearQ2,0)</f>
        <v>0</v>
      </c>
      <c r="M327" s="33"/>
    </row>
    <row r="328" spans="1:13" ht="13.15" thickBot="1" x14ac:dyDescent="0.4">
      <c r="A328" s="4"/>
      <c r="B328" s="13">
        <f t="shared" si="24"/>
        <v>298</v>
      </c>
      <c r="C328" s="21">
        <f t="shared" si="20"/>
        <v>77.25</v>
      </c>
      <c r="D328" s="4">
        <f>POWER(gompertz_g,POWER(gompertz_c,InitialAgeQ2)*(gompertz_c^('Question 2'!C328-InitialAgeQ2)-1))</f>
        <v>1.3115606207234358E-2</v>
      </c>
      <c r="E328" s="21">
        <f>(1+IntRateQ2)^(-(C328-InitialAgeQ2))*D328</f>
        <v>3.042961654823467E-3</v>
      </c>
      <c r="F328" s="10">
        <f t="shared" si="21"/>
        <v>0</v>
      </c>
      <c r="G328" s="10">
        <f t="shared" si="22"/>
        <v>0</v>
      </c>
      <c r="H328" s="10">
        <f t="shared" si="23"/>
        <v>2</v>
      </c>
      <c r="I328" s="12">
        <f>IF(MOD(B328,StepsEachYearQ2)=0,1+B328/StepsEachYearQ2,0)</f>
        <v>0</v>
      </c>
      <c r="M328" s="33"/>
    </row>
    <row r="329" spans="1:13" ht="13.15" thickBot="1" x14ac:dyDescent="0.4">
      <c r="A329" s="4"/>
      <c r="B329" s="13">
        <f t="shared" si="24"/>
        <v>299</v>
      </c>
      <c r="C329" s="21">
        <f t="shared" si="20"/>
        <v>77.375</v>
      </c>
      <c r="D329" s="4">
        <f>POWER(gompertz_g,POWER(gompertz_c,InitialAgeQ2)*(gompertz_c^('Question 2'!C329-InitialAgeQ2)-1))</f>
        <v>1.2489527801906267E-2</v>
      </c>
      <c r="E329" s="21">
        <f>(1+IntRateQ2)^(-(C329-InitialAgeQ2))*D329</f>
        <v>2.8835332445049655E-3</v>
      </c>
      <c r="F329" s="10">
        <f t="shared" si="21"/>
        <v>0</v>
      </c>
      <c r="G329" s="10">
        <f t="shared" si="22"/>
        <v>0</v>
      </c>
      <c r="H329" s="10">
        <f t="shared" si="23"/>
        <v>4</v>
      </c>
      <c r="I329" s="12">
        <f>IF(MOD(B329,StepsEachYearQ2)=0,1+B329/StepsEachYearQ2,0)</f>
        <v>0</v>
      </c>
      <c r="M329" s="33"/>
    </row>
    <row r="330" spans="1:13" ht="13.15" thickBot="1" x14ac:dyDescent="0.4">
      <c r="A330" s="4"/>
      <c r="B330" s="13">
        <f t="shared" si="24"/>
        <v>300</v>
      </c>
      <c r="C330" s="21">
        <f t="shared" si="20"/>
        <v>77.5</v>
      </c>
      <c r="D330" s="4">
        <f>POWER(gompertz_g,POWER(gompertz_c,InitialAgeQ2)*(gompertz_c^('Question 2'!C330-InitialAgeQ2)-1))</f>
        <v>1.1887036754655789E-2</v>
      </c>
      <c r="E330" s="21">
        <f>(1+IntRateQ2)^(-(C330-InitialAgeQ2))*D330</f>
        <v>2.7310105751582911E-3</v>
      </c>
      <c r="F330" s="10">
        <f t="shared" si="21"/>
        <v>0</v>
      </c>
      <c r="G330" s="10">
        <f t="shared" si="22"/>
        <v>0.5</v>
      </c>
      <c r="H330" s="10">
        <f t="shared" si="23"/>
        <v>2</v>
      </c>
      <c r="I330" s="12">
        <f>IF(MOD(B330,StepsEachYearQ2)=0,1+B330/StepsEachYearQ2,0)</f>
        <v>0</v>
      </c>
      <c r="M330" s="33"/>
    </row>
    <row r="331" spans="1:13" ht="13.15" thickBot="1" x14ac:dyDescent="0.4">
      <c r="A331" s="4"/>
      <c r="B331" s="13">
        <f t="shared" si="24"/>
        <v>301</v>
      </c>
      <c r="C331" s="21">
        <f t="shared" si="20"/>
        <v>77.625</v>
      </c>
      <c r="D331" s="4">
        <f>POWER(gompertz_g,POWER(gompertz_c,InitialAgeQ2)*(gompertz_c^('Question 2'!C331-InitialAgeQ2)-1))</f>
        <v>1.1307553111217212E-2</v>
      </c>
      <c r="E331" s="21">
        <f>(1+IntRateQ2)^(-(C331-InitialAgeQ2))*D331</f>
        <v>2.5851708198496265E-3</v>
      </c>
      <c r="F331" s="10">
        <f t="shared" si="21"/>
        <v>0</v>
      </c>
      <c r="G331" s="10">
        <f t="shared" si="22"/>
        <v>0</v>
      </c>
      <c r="H331" s="10">
        <f t="shared" si="23"/>
        <v>4</v>
      </c>
      <c r="I331" s="12">
        <f>IF(MOD(B331,StepsEachYearQ2)=0,1+B331/StepsEachYearQ2,0)</f>
        <v>0</v>
      </c>
      <c r="M331" s="33"/>
    </row>
    <row r="332" spans="1:13" ht="13.15" thickBot="1" x14ac:dyDescent="0.4">
      <c r="A332" s="4"/>
      <c r="B332" s="13">
        <f t="shared" si="24"/>
        <v>302</v>
      </c>
      <c r="C332" s="21">
        <f t="shared" si="20"/>
        <v>77.75</v>
      </c>
      <c r="D332" s="4">
        <f>POWER(gompertz_g,POWER(gompertz_c,InitialAgeQ2)*(gompertz_c^('Question 2'!C332-InitialAgeQ2)-1))</f>
        <v>1.075049824537113E-2</v>
      </c>
      <c r="E332" s="21">
        <f>(1+IntRateQ2)^(-(C332-InitialAgeQ2))*D332</f>
        <v>2.445794894634415E-3</v>
      </c>
      <c r="F332" s="10">
        <f t="shared" si="21"/>
        <v>0</v>
      </c>
      <c r="G332" s="10">
        <f t="shared" si="22"/>
        <v>0</v>
      </c>
      <c r="H332" s="10">
        <f t="shared" si="23"/>
        <v>2</v>
      </c>
      <c r="I332" s="12">
        <f>IF(MOD(B332,StepsEachYearQ2)=0,1+B332/StepsEachYearQ2,0)</f>
        <v>0</v>
      </c>
      <c r="M332" s="33"/>
    </row>
    <row r="333" spans="1:13" ht="13.15" thickBot="1" x14ac:dyDescent="0.4">
      <c r="A333" s="4"/>
      <c r="B333" s="13">
        <f t="shared" si="24"/>
        <v>303</v>
      </c>
      <c r="C333" s="21">
        <f t="shared" si="20"/>
        <v>77.875</v>
      </c>
      <c r="D333" s="4">
        <f>POWER(gompertz_g,POWER(gompertz_c,InitialAgeQ2)*(gompertz_c^('Question 2'!C333-InitialAgeQ2)-1))</f>
        <v>1.0215295372137336E-2</v>
      </c>
      <c r="E333" s="21">
        <f>(1+IntRateQ2)^(-(C333-InitialAgeQ2))*D333</f>
        <v>2.3126675288784584E-3</v>
      </c>
      <c r="F333" s="10">
        <f t="shared" si="21"/>
        <v>0</v>
      </c>
      <c r="G333" s="10">
        <f t="shared" si="22"/>
        <v>0</v>
      </c>
      <c r="H333" s="10">
        <f t="shared" si="23"/>
        <v>4</v>
      </c>
      <c r="I333" s="12">
        <f>IF(MOD(B333,StepsEachYearQ2)=0,1+B333/StepsEachYearQ2,0)</f>
        <v>0</v>
      </c>
      <c r="M333" s="33"/>
    </row>
    <row r="334" spans="1:13" ht="13.15" thickBot="1" x14ac:dyDescent="0.4">
      <c r="A334" s="4"/>
      <c r="B334" s="13">
        <f t="shared" si="24"/>
        <v>304</v>
      </c>
      <c r="C334" s="21">
        <f t="shared" si="20"/>
        <v>78</v>
      </c>
      <c r="D334" s="4">
        <f>POWER(gompertz_g,POWER(gompertz_c,InitialAgeQ2)*(gompertz_c^('Question 2'!C334-InitialAgeQ2)-1))</f>
        <v>9.7013700518585582E-3</v>
      </c>
      <c r="E334" s="21">
        <f>(1+IntRateQ2)^(-(C334-InitialAgeQ2))*D334</f>
        <v>2.1855773305851861E-3</v>
      </c>
      <c r="F334" s="10">
        <f t="shared" si="21"/>
        <v>1</v>
      </c>
      <c r="G334" s="10">
        <f t="shared" si="22"/>
        <v>0.5</v>
      </c>
      <c r="H334" s="10">
        <f t="shared" si="23"/>
        <v>2</v>
      </c>
      <c r="I334" s="12">
        <f>IF(MOD(B334,StepsEachYearQ2)=0,1+B334/StepsEachYearQ2,0)</f>
        <v>39</v>
      </c>
      <c r="M334" s="33"/>
    </row>
    <row r="335" spans="1:13" ht="13.15" thickBot="1" x14ac:dyDescent="0.4">
      <c r="A335" s="4"/>
      <c r="B335" s="13">
        <f t="shared" si="24"/>
        <v>305</v>
      </c>
      <c r="C335" s="21">
        <f t="shared" si="20"/>
        <v>78.125</v>
      </c>
      <c r="D335" s="4">
        <f>POWER(gompertz_g,POWER(gompertz_c,InitialAgeQ2)*(gompertz_c^('Question 2'!C335-InitialAgeQ2)-1))</f>
        <v>9.2081506843517402E-3</v>
      </c>
      <c r="E335" s="21">
        <f>(1+IntRateQ2)^(-(C335-InitialAgeQ2))*D335</f>
        <v>2.0643168466689208E-3</v>
      </c>
      <c r="F335" s="10">
        <f t="shared" si="21"/>
        <v>0</v>
      </c>
      <c r="G335" s="10">
        <f t="shared" si="22"/>
        <v>0</v>
      </c>
      <c r="H335" s="10">
        <f t="shared" si="23"/>
        <v>4</v>
      </c>
      <c r="I335" s="12">
        <f>IF(MOD(B335,StepsEachYearQ2)=0,1+B335/StepsEachYearQ2,0)</f>
        <v>0</v>
      </c>
      <c r="M335" s="33"/>
    </row>
    <row r="336" spans="1:13" ht="13.15" thickBot="1" x14ac:dyDescent="0.4">
      <c r="A336" s="4"/>
      <c r="B336" s="13">
        <f t="shared" si="24"/>
        <v>306</v>
      </c>
      <c r="C336" s="21">
        <f t="shared" si="20"/>
        <v>78.25</v>
      </c>
      <c r="D336" s="4">
        <f>POWER(gompertz_g,POWER(gompertz_c,InitialAgeQ2)*(gompertz_c^('Question 2'!C336-InitialAgeQ2)-1))</f>
        <v>8.7350689923286953E-3</v>
      </c>
      <c r="E336" s="21">
        <f>(1+IntRateQ2)^(-(C336-InitialAgeQ2))*D336</f>
        <v>1.9486826181246582E-3</v>
      </c>
      <c r="F336" s="10">
        <f t="shared" si="21"/>
        <v>0</v>
      </c>
      <c r="G336" s="10">
        <f t="shared" si="22"/>
        <v>0</v>
      </c>
      <c r="H336" s="10">
        <f t="shared" si="23"/>
        <v>2</v>
      </c>
      <c r="I336" s="12">
        <f>IF(MOD(B336,StepsEachYearQ2)=0,1+B336/StepsEachYearQ2,0)</f>
        <v>0</v>
      </c>
      <c r="M336" s="33"/>
    </row>
    <row r="337" spans="1:13" ht="13.15" thickBot="1" x14ac:dyDescent="0.4">
      <c r="A337" s="4"/>
      <c r="B337" s="13">
        <f t="shared" si="24"/>
        <v>307</v>
      </c>
      <c r="C337" s="21">
        <f t="shared" si="20"/>
        <v>78.375</v>
      </c>
      <c r="D337" s="4">
        <f>POWER(gompertz_g,POWER(gompertz_c,InitialAgeQ2)*(gompertz_c^('Question 2'!C337-InitialAgeQ2)-1))</f>
        <v>8.2815604933098967E-3</v>
      </c>
      <c r="E337" s="21">
        <f>(1+IntRateQ2)^(-(C337-InitialAgeQ2))*D337</f>
        <v>1.8384752300545817E-3</v>
      </c>
      <c r="F337" s="10">
        <f t="shared" si="21"/>
        <v>0</v>
      </c>
      <c r="G337" s="10">
        <f t="shared" si="22"/>
        <v>0</v>
      </c>
      <c r="H337" s="10">
        <f t="shared" si="23"/>
        <v>4</v>
      </c>
      <c r="I337" s="12">
        <f>IF(MOD(B337,StepsEachYearQ2)=0,1+B337/StepsEachYearQ2,0)</f>
        <v>0</v>
      </c>
      <c r="M337" s="33"/>
    </row>
    <row r="338" spans="1:13" ht="13.15" thickBot="1" x14ac:dyDescent="0.4">
      <c r="A338" s="4"/>
      <c r="B338" s="13">
        <f t="shared" si="24"/>
        <v>308</v>
      </c>
      <c r="C338" s="21">
        <f t="shared" si="20"/>
        <v>78.5</v>
      </c>
      <c r="D338" s="4">
        <f>POWER(gompertz_g,POWER(gompertz_c,InitialAgeQ2)*(gompertz_c^('Question 2'!C338-InitialAgeQ2)-1))</f>
        <v>7.8470649592866943E-3</v>
      </c>
      <c r="E338" s="21">
        <f>(1+IntRateQ2)^(-(C338-InitialAgeQ2))*D338</f>
        <v>1.7334993565228803E-3</v>
      </c>
      <c r="F338" s="10">
        <f t="shared" si="21"/>
        <v>0</v>
      </c>
      <c r="G338" s="10">
        <f t="shared" si="22"/>
        <v>0.5</v>
      </c>
      <c r="H338" s="10">
        <f t="shared" si="23"/>
        <v>2</v>
      </c>
      <c r="I338" s="12">
        <f>IF(MOD(B338,StepsEachYearQ2)=0,1+B338/StepsEachYearQ2,0)</f>
        <v>0</v>
      </c>
      <c r="M338" s="33"/>
    </row>
    <row r="339" spans="1:13" ht="13.15" thickBot="1" x14ac:dyDescent="0.4">
      <c r="A339" s="4"/>
      <c r="B339" s="13">
        <f t="shared" si="24"/>
        <v>309</v>
      </c>
      <c r="C339" s="21">
        <f t="shared" si="20"/>
        <v>78.625</v>
      </c>
      <c r="D339" s="4">
        <f>POWER(gompertz_g,POWER(gompertz_c,InitialAgeQ2)*(gompertz_c^('Question 2'!C339-InitialAgeQ2)-1))</f>
        <v>7.4310268634135432E-3</v>
      </c>
      <c r="E339" s="21">
        <f>(1+IntRateQ2)^(-(C339-InitialAgeQ2))*D339</f>
        <v>1.6335638002203344E-3</v>
      </c>
      <c r="F339" s="10">
        <f t="shared" si="21"/>
        <v>0</v>
      </c>
      <c r="G339" s="10">
        <f t="shared" si="22"/>
        <v>0</v>
      </c>
      <c r="H339" s="10">
        <f t="shared" si="23"/>
        <v>4</v>
      </c>
      <c r="I339" s="12">
        <f>IF(MOD(B339,StepsEachYearQ2)=0,1+B339/StepsEachYearQ2,0)</f>
        <v>0</v>
      </c>
      <c r="M339" s="33"/>
    </row>
    <row r="340" spans="1:13" ht="13.15" thickBot="1" x14ac:dyDescent="0.4">
      <c r="A340" s="4"/>
      <c r="B340" s="13">
        <f t="shared" si="24"/>
        <v>310</v>
      </c>
      <c r="C340" s="21">
        <f t="shared" si="20"/>
        <v>78.75</v>
      </c>
      <c r="D340" s="4">
        <f>POWER(gompertz_g,POWER(gompertz_c,InitialAgeQ2)*(gompertz_c^('Question 2'!C340-InitialAgeQ2)-1))</f>
        <v>7.0328958130455067E-3</v>
      </c>
      <c r="E340" s="21">
        <f>(1+IntRateQ2)^(-(C340-InitialAgeQ2))*D340</f>
        <v>1.5384815269312265E-3</v>
      </c>
      <c r="F340" s="10">
        <f t="shared" si="21"/>
        <v>0</v>
      </c>
      <c r="G340" s="10">
        <f t="shared" si="22"/>
        <v>0</v>
      </c>
      <c r="H340" s="10">
        <f t="shared" si="23"/>
        <v>2</v>
      </c>
      <c r="I340" s="12">
        <f>IF(MOD(B340,StepsEachYearQ2)=0,1+B340/StepsEachYearQ2,0)</f>
        <v>0</v>
      </c>
      <c r="M340" s="33"/>
    </row>
    <row r="341" spans="1:13" ht="13.15" thickBot="1" x14ac:dyDescent="0.4">
      <c r="A341" s="4"/>
      <c r="B341" s="13">
        <f t="shared" si="24"/>
        <v>311</v>
      </c>
      <c r="C341" s="21">
        <f t="shared" si="20"/>
        <v>78.875</v>
      </c>
      <c r="D341" s="4">
        <f>POWER(gompertz_g,POWER(gompertz_c,InitialAgeQ2)*(gompertz_c^('Question 2'!C341-InitialAgeQ2)-1))</f>
        <v>6.6521269684694214E-3</v>
      </c>
      <c r="E341" s="21">
        <f>(1+IntRateQ2)^(-(C341-InitialAgeQ2))*D341</f>
        <v>1.4480696948056713E-3</v>
      </c>
      <c r="F341" s="10">
        <f t="shared" si="21"/>
        <v>0</v>
      </c>
      <c r="G341" s="10">
        <f t="shared" si="22"/>
        <v>0</v>
      </c>
      <c r="H341" s="10">
        <f t="shared" si="23"/>
        <v>4</v>
      </c>
      <c r="I341" s="12">
        <f>IF(MOD(B341,StepsEachYearQ2)=0,1+B341/StepsEachYearQ2,0)</f>
        <v>0</v>
      </c>
      <c r="M341" s="33"/>
    </row>
    <row r="342" spans="1:13" ht="13.15" thickBot="1" x14ac:dyDescent="0.4">
      <c r="A342" s="4"/>
      <c r="B342" s="13">
        <f t="shared" si="24"/>
        <v>312</v>
      </c>
      <c r="C342" s="21">
        <f t="shared" si="20"/>
        <v>79</v>
      </c>
      <c r="D342" s="4">
        <f>POWER(gompertz_g,POWER(gompertz_c,InitialAgeQ2)*(gompertz_c^('Question 2'!C342-InitialAgeQ2)-1))</f>
        <v>6.2881814467128858E-3</v>
      </c>
      <c r="E342" s="21">
        <f>(1+IntRateQ2)^(-(C342-InitialAgeQ2))*D342</f>
        <v>1.3621496784511802E-3</v>
      </c>
      <c r="F342" s="10">
        <f t="shared" si="21"/>
        <v>1</v>
      </c>
      <c r="G342" s="10">
        <f t="shared" si="22"/>
        <v>0.5</v>
      </c>
      <c r="H342" s="10">
        <f t="shared" si="23"/>
        <v>2</v>
      </c>
      <c r="I342" s="12">
        <f>IF(MOD(B342,StepsEachYearQ2)=0,1+B342/StepsEachYearQ2,0)</f>
        <v>40</v>
      </c>
      <c r="M342" s="33"/>
    </row>
    <row r="343" spans="1:13" ht="13.15" thickBot="1" x14ac:dyDescent="0.4">
      <c r="A343" s="4"/>
      <c r="B343" s="13">
        <f t="shared" si="24"/>
        <v>313</v>
      </c>
      <c r="C343" s="21">
        <f t="shared" si="20"/>
        <v>79.125</v>
      </c>
      <c r="D343" s="4">
        <f>POWER(gompertz_g,POWER(gompertz_c,InitialAgeQ2)*(gompertz_c^('Question 2'!C343-InitialAgeQ2)-1))</f>
        <v>5.9405267098527606E-3</v>
      </c>
      <c r="E343" s="21">
        <f>(1+IntRateQ2)^(-(C343-InitialAgeQ2))*D343</f>
        <v>1.280547087867952E-3</v>
      </c>
      <c r="F343" s="10">
        <f t="shared" si="21"/>
        <v>0</v>
      </c>
      <c r="G343" s="10">
        <f t="shared" si="22"/>
        <v>0</v>
      </c>
      <c r="H343" s="10">
        <f t="shared" si="23"/>
        <v>4</v>
      </c>
      <c r="I343" s="12">
        <f>IF(MOD(B343,StepsEachYearQ2)=0,1+B343/StepsEachYearQ2,0)</f>
        <v>0</v>
      </c>
      <c r="M343" s="33"/>
    </row>
    <row r="344" spans="1:13" ht="13.15" thickBot="1" x14ac:dyDescent="0.4">
      <c r="A344" s="4"/>
      <c r="B344" s="13">
        <f t="shared" si="24"/>
        <v>314</v>
      </c>
      <c r="C344" s="21">
        <f t="shared" si="20"/>
        <v>79.25</v>
      </c>
      <c r="D344" s="4">
        <f>POWER(gompertz_g,POWER(gompertz_c,InitialAgeQ2)*(gompertz_c^('Question 2'!C344-InitialAgeQ2)-1))</f>
        <v>5.6086369372847639E-3</v>
      </c>
      <c r="E344" s="21">
        <f>(1+IntRateQ2)^(-(C344-InitialAgeQ2))*D344</f>
        <v>1.2030917822630988E-3</v>
      </c>
      <c r="F344" s="10">
        <f t="shared" si="21"/>
        <v>0</v>
      </c>
      <c r="G344" s="10">
        <f t="shared" si="22"/>
        <v>0</v>
      </c>
      <c r="H344" s="10">
        <f t="shared" si="23"/>
        <v>2</v>
      </c>
      <c r="I344" s="12">
        <f>IF(MOD(B344,StepsEachYearQ2)=0,1+B344/StepsEachYearQ2,0)</f>
        <v>0</v>
      </c>
      <c r="M344" s="33"/>
    </row>
    <row r="345" spans="1:13" ht="13.15" thickBot="1" x14ac:dyDescent="0.4">
      <c r="A345" s="4"/>
      <c r="B345" s="13">
        <f t="shared" si="24"/>
        <v>315</v>
      </c>
      <c r="C345" s="21">
        <f t="shared" si="20"/>
        <v>79.375</v>
      </c>
      <c r="D345" s="4">
        <f>POWER(gompertz_g,POWER(gompertz_c,InitialAgeQ2)*(gompertz_c^('Question 2'!C345-InitialAgeQ2)-1))</f>
        <v>5.2919933814546526E-3</v>
      </c>
      <c r="E345" s="21">
        <f>(1+IntRateQ2)^(-(C345-InitialAgeQ2))*D345</f>
        <v>1.1296178787891205E-3</v>
      </c>
      <c r="F345" s="10">
        <f t="shared" si="21"/>
        <v>0</v>
      </c>
      <c r="G345" s="10">
        <f t="shared" si="22"/>
        <v>0</v>
      </c>
      <c r="H345" s="10">
        <f t="shared" si="23"/>
        <v>4</v>
      </c>
      <c r="I345" s="12">
        <f>IF(MOD(B345,StepsEachYearQ2)=0,1+B345/StepsEachYearQ2,0)</f>
        <v>0</v>
      </c>
      <c r="M345" s="33"/>
    </row>
    <row r="346" spans="1:13" ht="13.15" thickBot="1" x14ac:dyDescent="0.4">
      <c r="A346" s="4"/>
      <c r="B346" s="13">
        <f t="shared" si="24"/>
        <v>316</v>
      </c>
      <c r="C346" s="21">
        <f t="shared" si="20"/>
        <v>79.5</v>
      </c>
      <c r="D346" s="4">
        <f>POWER(gompertz_g,POWER(gompertz_c,InitialAgeQ2)*(gompertz_c^('Question 2'!C346-InitialAgeQ2)-1))</f>
        <v>4.9900847065964581E-3</v>
      </c>
      <c r="E346" s="21">
        <f>(1+IntRateQ2)^(-(C346-InitialAgeQ2))*D346</f>
        <v>1.0599637562628684E-3</v>
      </c>
      <c r="F346" s="10">
        <f t="shared" si="21"/>
        <v>0</v>
      </c>
      <c r="G346" s="10">
        <f t="shared" si="22"/>
        <v>0.5</v>
      </c>
      <c r="H346" s="10">
        <f t="shared" si="23"/>
        <v>2</v>
      </c>
      <c r="I346" s="12">
        <f>IF(MOD(B346,StepsEachYearQ2)=0,1+B346/StepsEachYearQ2,0)</f>
        <v>0</v>
      </c>
      <c r="M346" s="33"/>
    </row>
    <row r="347" spans="1:13" ht="13.15" thickBot="1" x14ac:dyDescent="0.4">
      <c r="A347" s="4"/>
      <c r="B347" s="13">
        <f t="shared" si="24"/>
        <v>317</v>
      </c>
      <c r="C347" s="21">
        <f t="shared" si="20"/>
        <v>79.625</v>
      </c>
      <c r="D347" s="4">
        <f>POWER(gompertz_g,POWER(gompertz_c,InitialAgeQ2)*(gompertz_c^('Question 2'!C347-InitialAgeQ2)-1))</f>
        <v>4.702407310064256E-3</v>
      </c>
      <c r="E347" s="21">
        <f>(1+IntRateQ2)^(-(C347-InitialAgeQ2))*D347</f>
        <v>9.9397205393088437E-4</v>
      </c>
      <c r="F347" s="10">
        <f t="shared" si="21"/>
        <v>0</v>
      </c>
      <c r="G347" s="10">
        <f t="shared" si="22"/>
        <v>0</v>
      </c>
      <c r="H347" s="10">
        <f t="shared" si="23"/>
        <v>4</v>
      </c>
      <c r="I347" s="12">
        <f>IF(MOD(B347,StepsEachYearQ2)=0,1+B347/StepsEachYearQ2,0)</f>
        <v>0</v>
      </c>
      <c r="M347" s="33"/>
    </row>
    <row r="348" spans="1:13" ht="13.15" thickBot="1" x14ac:dyDescent="0.4">
      <c r="A348" s="4"/>
      <c r="B348" s="13">
        <f t="shared" si="24"/>
        <v>318</v>
      </c>
      <c r="C348" s="21">
        <f t="shared" si="20"/>
        <v>79.75</v>
      </c>
      <c r="D348" s="4">
        <f>POWER(gompertz_g,POWER(gompertz_c,InitialAgeQ2)*(gompertz_c^('Question 2'!C348-InitialAgeQ2)-1))</f>
        <v>4.4284656258904605E-3</v>
      </c>
      <c r="E348" s="21">
        <f>(1+IntRateQ2)^(-(C348-InitialAgeQ2))*D348</f>
        <v>9.314896653573587E-4</v>
      </c>
      <c r="F348" s="10">
        <f t="shared" si="21"/>
        <v>0</v>
      </c>
      <c r="G348" s="10">
        <f t="shared" si="22"/>
        <v>0</v>
      </c>
      <c r="H348" s="10">
        <f t="shared" si="23"/>
        <v>2</v>
      </c>
      <c r="I348" s="12">
        <f>IF(MOD(B348,StepsEachYearQ2)=0,1+B348/StepsEachYearQ2,0)</f>
        <v>0</v>
      </c>
      <c r="M348" s="33"/>
    </row>
    <row r="349" spans="1:13" ht="13.15" thickBot="1" x14ac:dyDescent="0.4">
      <c r="A349" s="4"/>
      <c r="B349" s="13">
        <f t="shared" si="24"/>
        <v>319</v>
      </c>
      <c r="C349" s="21">
        <f t="shared" si="20"/>
        <v>79.875</v>
      </c>
      <c r="D349" s="4">
        <f>POWER(gompertz_g,POWER(gompertz_c,InitialAgeQ2)*(gompertz_c^('Question 2'!C349-InitialAgeQ2)-1))</f>
        <v>4.1677724102482903E-3</v>
      </c>
      <c r="E349" s="21">
        <f>(1+IntRateQ2)^(-(C349-InitialAgeQ2))*D349</f>
        <v>8.7236772752046778E-4</v>
      </c>
      <c r="F349" s="10">
        <f t="shared" si="21"/>
        <v>0</v>
      </c>
      <c r="G349" s="10">
        <f t="shared" si="22"/>
        <v>0</v>
      </c>
      <c r="H349" s="10">
        <f t="shared" si="23"/>
        <v>4</v>
      </c>
      <c r="I349" s="12">
        <f>IF(MOD(B349,StepsEachYearQ2)=0,1+B349/StepsEachYearQ2,0)</f>
        <v>0</v>
      </c>
      <c r="M349" s="33"/>
    </row>
    <row r="350" spans="1:13" ht="13.15" thickBot="1" x14ac:dyDescent="0.4">
      <c r="A350" s="4"/>
      <c r="B350" s="13">
        <f t="shared" si="24"/>
        <v>320</v>
      </c>
      <c r="C350" s="21">
        <f t="shared" ref="C350:C413" si="25">InitialAgeQ2+B350*StepSizeQ2</f>
        <v>80</v>
      </c>
      <c r="D350" s="4">
        <f>POWER(gompertz_g,POWER(gompertz_c,InitialAgeQ2)*(gompertz_c^('Question 2'!C350-InitialAgeQ2)-1))</f>
        <v>3.9198490085433427E-3</v>
      </c>
      <c r="E350" s="21">
        <f>(1+IntRateQ2)^(-(C350-InitialAgeQ2))*D350</f>
        <v>8.1646160521246932E-4</v>
      </c>
      <c r="F350" s="10">
        <f t="shared" si="21"/>
        <v>1</v>
      </c>
      <c r="G350" s="10">
        <f t="shared" si="22"/>
        <v>0.5</v>
      </c>
      <c r="H350" s="10">
        <f t="shared" si="23"/>
        <v>2</v>
      </c>
      <c r="I350" s="12">
        <f>IF(MOD(B350,StepsEachYearQ2)=0,1+B350/StepsEachYearQ2,0)</f>
        <v>41</v>
      </c>
      <c r="M350" s="33"/>
    </row>
    <row r="351" spans="1:13" ht="13.15" thickBot="1" x14ac:dyDescent="0.4">
      <c r="A351" s="4"/>
      <c r="B351" s="13">
        <f t="shared" si="24"/>
        <v>321</v>
      </c>
      <c r="C351" s="21">
        <f t="shared" si="25"/>
        <v>80.125</v>
      </c>
      <c r="D351" s="4">
        <f>POWER(gompertz_g,POWER(gompertz_c,InitialAgeQ2)*(gompertz_c^('Question 2'!C351-InitialAgeQ2)-1))</f>
        <v>3.6842256039058196E-3</v>
      </c>
      <c r="E351" s="21">
        <f>(1+IntRateQ2)^(-(C351-InitialAgeQ2))*D351</f>
        <v>7.6363087084797561E-4</v>
      </c>
      <c r="F351" s="10">
        <f t="shared" ref="F351:F414" si="26">IF(MOD(B351,8)=0,1,0)</f>
        <v>0</v>
      </c>
      <c r="G351" s="10">
        <f t="shared" ref="G351:G414" si="27">IF(MOD(B351,4)=0,1/2,0)</f>
        <v>0</v>
      </c>
      <c r="H351" s="10">
        <f t="shared" ref="H351:H414" si="28">IF(B351=0,1,IF(ISEVEN(B351),2,4))</f>
        <v>4</v>
      </c>
      <c r="I351" s="12">
        <f>IF(MOD(B351,StepsEachYearQ2)=0,1+B351/StepsEachYearQ2,0)</f>
        <v>0</v>
      </c>
      <c r="M351" s="33"/>
    </row>
    <row r="352" spans="1:13" ht="13.15" thickBot="1" x14ac:dyDescent="0.4">
      <c r="A352" s="4"/>
      <c r="B352" s="13">
        <f t="shared" ref="B352:B415" si="29">B351+1</f>
        <v>322</v>
      </c>
      <c r="C352" s="21">
        <f t="shared" si="25"/>
        <v>80.25</v>
      </c>
      <c r="D352" s="4">
        <f>POWER(gompertz_g,POWER(gompertz_c,InitialAgeQ2)*(gompertz_c^('Question 2'!C352-InitialAgeQ2)-1))</f>
        <v>3.4604414469039616E-3</v>
      </c>
      <c r="E352" s="21">
        <f>(1+IntRateQ2)^(-(C352-InitialAgeQ2))*D352</f>
        <v>7.1373927979389434E-4</v>
      </c>
      <c r="F352" s="10">
        <f t="shared" si="26"/>
        <v>0</v>
      </c>
      <c r="G352" s="10">
        <f t="shared" si="27"/>
        <v>0</v>
      </c>
      <c r="H352" s="10">
        <f t="shared" si="28"/>
        <v>2</v>
      </c>
      <c r="I352" s="12">
        <f>IF(MOD(B352,StepsEachYearQ2)=0,1+B352/StepsEachYearQ2,0)</f>
        <v>0</v>
      </c>
      <c r="M352" s="33"/>
    </row>
    <row r="353" spans="1:13" ht="13.15" thickBot="1" x14ac:dyDescent="0.4">
      <c r="A353" s="4"/>
      <c r="B353" s="13">
        <f t="shared" si="29"/>
        <v>323</v>
      </c>
      <c r="C353" s="21">
        <f t="shared" si="25"/>
        <v>80.375</v>
      </c>
      <c r="D353" s="4">
        <f>POWER(gompertz_g,POWER(gompertz_c,InitialAgeQ2)*(gompertz_c^('Question 2'!C353-InitialAgeQ2)-1))</f>
        <v>3.2480450663455781E-3</v>
      </c>
      <c r="E353" s="21">
        <f>(1+IntRateQ2)^(-(C353-InitialAgeQ2))*D353</f>
        <v>6.6665474134266209E-4</v>
      </c>
      <c r="F353" s="10">
        <f t="shared" si="26"/>
        <v>0</v>
      </c>
      <c r="G353" s="10">
        <f t="shared" si="27"/>
        <v>0</v>
      </c>
      <c r="H353" s="10">
        <f t="shared" si="28"/>
        <v>4</v>
      </c>
      <c r="I353" s="12">
        <f>IF(MOD(B353,StepsEachYearQ2)=0,1+B353/StepsEachYearQ2,0)</f>
        <v>0</v>
      </c>
      <c r="M353" s="33"/>
    </row>
    <row r="354" spans="1:13" ht="13.15" thickBot="1" x14ac:dyDescent="0.4">
      <c r="A354" s="4"/>
      <c r="B354" s="13">
        <f t="shared" si="29"/>
        <v>324</v>
      </c>
      <c r="C354" s="21">
        <f t="shared" si="25"/>
        <v>80.5</v>
      </c>
      <c r="D354" s="4">
        <f>POWER(gompertz_g,POWER(gompertz_c,InitialAgeQ2)*(gompertz_c^('Question 2'!C354-InitialAgeQ2)-1))</f>
        <v>3.0465944610850032E-3</v>
      </c>
      <c r="E354" s="21">
        <f>(1+IntRateQ2)^(-(C354-InitialAgeQ2))*D354</f>
        <v>6.2224928545888403E-4</v>
      </c>
      <c r="F354" s="10">
        <f t="shared" si="26"/>
        <v>0</v>
      </c>
      <c r="G354" s="10">
        <f t="shared" si="27"/>
        <v>0.5</v>
      </c>
      <c r="H354" s="10">
        <f t="shared" si="28"/>
        <v>2</v>
      </c>
      <c r="I354" s="12">
        <f>IF(MOD(B354,StepsEachYearQ2)=0,1+B354/StepsEachYearQ2,0)</f>
        <v>0</v>
      </c>
      <c r="M354" s="33"/>
    </row>
    <row r="355" spans="1:13" ht="13.15" thickBot="1" x14ac:dyDescent="0.4">
      <c r="A355" s="4"/>
      <c r="B355" s="13">
        <f t="shared" si="29"/>
        <v>325</v>
      </c>
      <c r="C355" s="21">
        <f t="shared" si="25"/>
        <v>80.625</v>
      </c>
      <c r="D355" s="4">
        <f>POWER(gompertz_g,POWER(gompertz_c,InitialAgeQ2)*(gompertz_c^('Question 2'!C355-InitialAgeQ2)-1))</f>
        <v>2.8556572727997265E-3</v>
      </c>
      <c r="E355" s="21">
        <f>(1+IntRateQ2)^(-(C355-InitialAgeQ2))*D355</f>
        <v>5.8039902543690356E-4</v>
      </c>
      <c r="F355" s="10">
        <f t="shared" si="26"/>
        <v>0</v>
      </c>
      <c r="G355" s="10">
        <f t="shared" si="27"/>
        <v>0</v>
      </c>
      <c r="H355" s="10">
        <f t="shared" si="28"/>
        <v>4</v>
      </c>
      <c r="I355" s="12">
        <f>IF(MOD(B355,StepsEachYearQ2)=0,1+B355/StepsEachYearQ2,0)</f>
        <v>0</v>
      </c>
      <c r="M355" s="33"/>
    </row>
    <row r="356" spans="1:13" ht="13.15" thickBot="1" x14ac:dyDescent="0.4">
      <c r="A356" s="4"/>
      <c r="B356" s="13">
        <f t="shared" si="29"/>
        <v>326</v>
      </c>
      <c r="C356" s="21">
        <f t="shared" si="25"/>
        <v>80.75</v>
      </c>
      <c r="D356" s="4">
        <f>POWER(gompertz_g,POWER(gompertz_c,InitialAgeQ2)*(gompertz_c^('Question 2'!C356-InitialAgeQ2)-1))</f>
        <v>2.6748109397497031E-3</v>
      </c>
      <c r="E356" s="21">
        <f>(1+IntRateQ2)^(-(C356-InitialAgeQ2))*D356</f>
        <v>5.4098411661415756E-4</v>
      </c>
      <c r="F356" s="10">
        <f t="shared" si="26"/>
        <v>0</v>
      </c>
      <c r="G356" s="10">
        <f t="shared" si="27"/>
        <v>0</v>
      </c>
      <c r="H356" s="10">
        <f t="shared" si="28"/>
        <v>2</v>
      </c>
      <c r="I356" s="12">
        <f>IF(MOD(B356,StepsEachYearQ2)=0,1+B356/StepsEachYearQ2,0)</f>
        <v>0</v>
      </c>
      <c r="M356" s="33"/>
    </row>
    <row r="357" spans="1:13" ht="13.15" thickBot="1" x14ac:dyDescent="0.4">
      <c r="A357" s="4"/>
      <c r="B357" s="13">
        <f t="shared" si="29"/>
        <v>327</v>
      </c>
      <c r="C357" s="21">
        <f t="shared" si="25"/>
        <v>80.875</v>
      </c>
      <c r="D357" s="4">
        <f>POWER(gompertz_g,POWER(gompertz_c,InitialAgeQ2)*(gompertz_c^('Question 2'!C357-InitialAgeQ2)-1))</f>
        <v>2.5036428315803358E-3</v>
      </c>
      <c r="E357" s="21">
        <f>(1+IntRateQ2)^(-(C357-InitialAgeQ2))*D357</f>
        <v>5.0388871129198806E-4</v>
      </c>
      <c r="F357" s="10">
        <f t="shared" si="26"/>
        <v>0</v>
      </c>
      <c r="G357" s="10">
        <f t="shared" si="27"/>
        <v>0</v>
      </c>
      <c r="H357" s="10">
        <f t="shared" si="28"/>
        <v>4</v>
      </c>
      <c r="I357" s="12">
        <f>IF(MOD(B357,StepsEachYearQ2)=0,1+B357/StepsEachYearQ2,0)</f>
        <v>0</v>
      </c>
      <c r="M357" s="33"/>
    </row>
    <row r="358" spans="1:13" ht="13.15" thickBot="1" x14ac:dyDescent="0.4">
      <c r="A358" s="4"/>
      <c r="B358" s="13">
        <f t="shared" si="29"/>
        <v>328</v>
      </c>
      <c r="C358" s="21">
        <f t="shared" si="25"/>
        <v>81</v>
      </c>
      <c r="D358" s="4">
        <f>POWER(gompertz_g,POWER(gompertz_c,InitialAgeQ2)*(gompertz_c^('Question 2'!C358-InitialAgeQ2)-1))</f>
        <v>2.3417503652773176E-3</v>
      </c>
      <c r="E358" s="21">
        <f>(1+IntRateQ2)^(-(C358-InitialAgeQ2))*D358</f>
        <v>4.6900091002183237E-4</v>
      </c>
      <c r="F358" s="10">
        <f t="shared" si="26"/>
        <v>1</v>
      </c>
      <c r="G358" s="10">
        <f t="shared" si="27"/>
        <v>0.5</v>
      </c>
      <c r="H358" s="10">
        <f t="shared" si="28"/>
        <v>2</v>
      </c>
      <c r="I358" s="12">
        <f>IF(MOD(B358,StepsEachYearQ2)=0,1+B358/StepsEachYearQ2,0)</f>
        <v>42</v>
      </c>
      <c r="M358" s="33"/>
    </row>
    <row r="359" spans="1:13" ht="13.15" thickBot="1" x14ac:dyDescent="0.4">
      <c r="A359" s="4"/>
      <c r="B359" s="13">
        <f t="shared" si="29"/>
        <v>329</v>
      </c>
      <c r="C359" s="21">
        <f t="shared" si="25"/>
        <v>81.125</v>
      </c>
      <c r="D359" s="4">
        <f>POWER(gompertz_g,POWER(gompertz_c,InitialAgeQ2)*(gompertz_c^('Question 2'!C359-InitialAgeQ2)-1))</f>
        <v>2.1887411024281199E-3</v>
      </c>
      <c r="E359" s="21">
        <f>(1+IntRateQ2)^(-(C359-InitialAgeQ2))*D359</f>
        <v>4.3621270942049024E-4</v>
      </c>
      <c r="F359" s="10">
        <f t="shared" si="26"/>
        <v>0</v>
      </c>
      <c r="G359" s="10">
        <f t="shared" si="27"/>
        <v>0</v>
      </c>
      <c r="H359" s="10">
        <f t="shared" si="28"/>
        <v>4</v>
      </c>
      <c r="I359" s="12">
        <f>IF(MOD(B359,StepsEachYearQ2)=0,1+B359/StepsEachYearQ2,0)</f>
        <v>0</v>
      </c>
      <c r="M359" s="33"/>
    </row>
    <row r="360" spans="1:13" ht="13.15" thickBot="1" x14ac:dyDescent="0.4">
      <c r="A360" s="4"/>
      <c r="B360" s="13">
        <f t="shared" si="29"/>
        <v>330</v>
      </c>
      <c r="C360" s="21">
        <f t="shared" si="25"/>
        <v>81.25</v>
      </c>
      <c r="D360" s="4">
        <f>POWER(gompertz_g,POWER(gompertz_c,InitialAgeQ2)*(gompertz_c^('Question 2'!C360-InitialAgeQ2)-1))</f>
        <v>2.044232827991186E-3</v>
      </c>
      <c r="E360" s="21">
        <f>(1+IntRateQ2)^(-(C360-InitialAgeQ2))*D360</f>
        <v>4.0541994668352228E-4</v>
      </c>
      <c r="F360" s="10">
        <f t="shared" si="26"/>
        <v>0</v>
      </c>
      <c r="G360" s="10">
        <f t="shared" si="27"/>
        <v>0</v>
      </c>
      <c r="H360" s="10">
        <f t="shared" si="28"/>
        <v>2</v>
      </c>
      <c r="I360" s="12">
        <f>IF(MOD(B360,StepsEachYearQ2)=0,1+B360/StepsEachYearQ2,0)</f>
        <v>0</v>
      </c>
      <c r="M360" s="33"/>
    </row>
    <row r="361" spans="1:13" ht="13.15" thickBot="1" x14ac:dyDescent="0.4">
      <c r="A361" s="4"/>
      <c r="B361" s="13">
        <f t="shared" si="29"/>
        <v>331</v>
      </c>
      <c r="C361" s="21">
        <f t="shared" si="25"/>
        <v>81.375</v>
      </c>
      <c r="D361" s="4">
        <f>POWER(gompertz_g,POWER(gompertz_c,InitialAgeQ2)*(gompertz_c^('Question 2'!C361-InitialAgeQ2)-1))</f>
        <v>1.9078536108178244E-3</v>
      </c>
      <c r="E361" s="21">
        <f>(1+IntRateQ2)^(-(C361-InitialAgeQ2))*D361</f>
        <v>3.7652224097040011E-4</v>
      </c>
      <c r="F361" s="10">
        <f t="shared" si="26"/>
        <v>0</v>
      </c>
      <c r="G361" s="10">
        <f t="shared" si="27"/>
        <v>0</v>
      </c>
      <c r="H361" s="10">
        <f t="shared" si="28"/>
        <v>4</v>
      </c>
      <c r="I361" s="12">
        <f>IF(MOD(B361,StepsEachYearQ2)=0,1+B361/StepsEachYearQ2,0)</f>
        <v>0</v>
      </c>
      <c r="M361" s="33"/>
    </row>
    <row r="362" spans="1:13" ht="13.15" thickBot="1" x14ac:dyDescent="0.4">
      <c r="A362" s="4"/>
      <c r="B362" s="13">
        <f t="shared" si="29"/>
        <v>332</v>
      </c>
      <c r="C362" s="21">
        <f t="shared" si="25"/>
        <v>81.5</v>
      </c>
      <c r="D362" s="4">
        <f>POWER(gompertz_g,POWER(gompertz_c,InitialAgeQ2)*(gompertz_c^('Question 2'!C362-InitialAgeQ2)-1))</f>
        <v>1.7792418462163925E-3</v>
      </c>
      <c r="E362" s="21">
        <f>(1+IntRateQ2)^(-(C362-InitialAgeQ2))*D362</f>
        <v>3.4942293183939276E-4</v>
      </c>
      <c r="F362" s="10">
        <f t="shared" si="26"/>
        <v>0</v>
      </c>
      <c r="G362" s="10">
        <f t="shared" si="27"/>
        <v>0.5</v>
      </c>
      <c r="H362" s="10">
        <f t="shared" si="28"/>
        <v>2</v>
      </c>
      <c r="I362" s="12">
        <f>IF(MOD(B362,StepsEachYearQ2)=0,1+B362/StepsEachYearQ2,0)</f>
        <v>0</v>
      </c>
      <c r="M362" s="33"/>
    </row>
    <row r="363" spans="1:13" ht="13.15" thickBot="1" x14ac:dyDescent="0.4">
      <c r="A363" s="4"/>
      <c r="B363" s="13">
        <f t="shared" si="29"/>
        <v>333</v>
      </c>
      <c r="C363" s="21">
        <f t="shared" si="25"/>
        <v>81.625</v>
      </c>
      <c r="D363" s="4">
        <f>POWER(gompertz_g,POWER(gompertz_c,InitialAgeQ2)*(gompertz_c^('Question 2'!C363-InitialAgeQ2)-1))</f>
        <v>1.6580462808897629E-3</v>
      </c>
      <c r="E363" s="21">
        <f>(1+IntRateQ2)^(-(C363-InitialAgeQ2))*D363</f>
        <v>3.2402901491363422E-4</v>
      </c>
      <c r="F363" s="10">
        <f t="shared" si="26"/>
        <v>0</v>
      </c>
      <c r="G363" s="10">
        <f t="shared" si="27"/>
        <v>0</v>
      </c>
      <c r="H363" s="10">
        <f t="shared" si="28"/>
        <v>4</v>
      </c>
      <c r="I363" s="12">
        <f>IF(MOD(B363,StepsEachYearQ2)=0,1+B363/StepsEachYearQ2,0)</f>
        <v>0</v>
      </c>
      <c r="M363" s="33"/>
    </row>
    <row r="364" spans="1:13" ht="13.15" thickBot="1" x14ac:dyDescent="0.4">
      <c r="A364" s="4"/>
      <c r="B364" s="13">
        <f t="shared" si="29"/>
        <v>334</v>
      </c>
      <c r="C364" s="21">
        <f t="shared" si="25"/>
        <v>81.75</v>
      </c>
      <c r="D364" s="4">
        <f>POWER(gompertz_g,POWER(gompertz_c,InitialAgeQ2)*(gompertz_c^('Question 2'!C364-InitialAgeQ2)-1))</f>
        <v>1.5439260206181939E-3</v>
      </c>
      <c r="E364" s="21">
        <f>(1+IntRateQ2)^(-(C364-InitialAgeQ2))*D364</f>
        <v>3.0025107496292776E-4</v>
      </c>
      <c r="F364" s="10">
        <f t="shared" si="26"/>
        <v>0</v>
      </c>
      <c r="G364" s="10">
        <f t="shared" si="27"/>
        <v>0</v>
      </c>
      <c r="H364" s="10">
        <f t="shared" si="28"/>
        <v>2</v>
      </c>
      <c r="I364" s="12">
        <f>IF(MOD(B364,StepsEachYearQ2)=0,1+B364/StepsEachYearQ2,0)</f>
        <v>0</v>
      </c>
      <c r="M364" s="33"/>
    </row>
    <row r="365" spans="1:13" ht="13.15" thickBot="1" x14ac:dyDescent="0.4">
      <c r="A365" s="4"/>
      <c r="B365" s="13">
        <f t="shared" si="29"/>
        <v>335</v>
      </c>
      <c r="C365" s="21">
        <f t="shared" si="25"/>
        <v>81.875</v>
      </c>
      <c r="D365" s="4">
        <f>POWER(gompertz_g,POWER(gompertz_c,InitialAgeQ2)*(gompertz_c^('Question 2'!C365-InitialAgeQ2)-1))</f>
        <v>1.4365505210985159E-3</v>
      </c>
      <c r="E365" s="21">
        <f>(1+IntRateQ2)^(-(C365-InitialAgeQ2))*D365</f>
        <v>2.780032165882575E-4</v>
      </c>
      <c r="F365" s="10">
        <f t="shared" si="26"/>
        <v>0</v>
      </c>
      <c r="G365" s="10">
        <f t="shared" si="27"/>
        <v>0</v>
      </c>
      <c r="H365" s="10">
        <f t="shared" si="28"/>
        <v>4</v>
      </c>
      <c r="I365" s="12">
        <f>IF(MOD(B365,StepsEachYearQ2)=0,1+B365/StepsEachYearQ2,0)</f>
        <v>0</v>
      </c>
      <c r="M365" s="33"/>
    </row>
    <row r="366" spans="1:13" ht="13.15" thickBot="1" x14ac:dyDescent="0.4">
      <c r="A366" s="4"/>
      <c r="B366" s="13">
        <f t="shared" si="29"/>
        <v>336</v>
      </c>
      <c r="C366" s="21">
        <f t="shared" si="25"/>
        <v>82</v>
      </c>
      <c r="D366" s="4">
        <f>POWER(gompertz_g,POWER(gompertz_c,InitialAgeQ2)*(gompertz_c^('Question 2'!C366-InitialAgeQ2)-1))</f>
        <v>1.3355995623880123E-3</v>
      </c>
      <c r="E366" s="21">
        <f>(1+IntRateQ2)^(-(C366-InitialAgeQ2))*D366</f>
        <v>2.5720299269789312E-4</v>
      </c>
      <c r="F366" s="10">
        <f t="shared" si="26"/>
        <v>1</v>
      </c>
      <c r="G366" s="10">
        <f t="shared" si="27"/>
        <v>0.5</v>
      </c>
      <c r="H366" s="10">
        <f t="shared" si="28"/>
        <v>2</v>
      </c>
      <c r="I366" s="12">
        <f>IF(MOD(B366,StepsEachYearQ2)=0,1+B366/StepsEachYearQ2,0)</f>
        <v>43</v>
      </c>
      <c r="M366" s="33"/>
    </row>
    <row r="367" spans="1:13" ht="13.15" thickBot="1" x14ac:dyDescent="0.4">
      <c r="A367" s="4"/>
      <c r="B367" s="13">
        <f t="shared" si="29"/>
        <v>337</v>
      </c>
      <c r="C367" s="21">
        <f t="shared" si="25"/>
        <v>82.125</v>
      </c>
      <c r="D367" s="4">
        <f>POWER(gompertz_g,POWER(gompertz_c,InitialAgeQ2)*(gompertz_c^('Question 2'!C367-InitialAgeQ2)-1))</f>
        <v>1.240763207436366E-3</v>
      </c>
      <c r="E367" s="21">
        <f>(1+IntRateQ2)^(-(C367-InitialAgeQ2))*D367</f>
        <v>2.3777133096519951E-4</v>
      </c>
      <c r="F367" s="10">
        <f t="shared" si="26"/>
        <v>0</v>
      </c>
      <c r="G367" s="10">
        <f t="shared" si="27"/>
        <v>0</v>
      </c>
      <c r="H367" s="10">
        <f t="shared" si="28"/>
        <v>4</v>
      </c>
      <c r="I367" s="12">
        <f>IF(MOD(B367,StepsEachYearQ2)=0,1+B367/StepsEachYearQ2,0)</f>
        <v>0</v>
      </c>
      <c r="M367" s="33"/>
    </row>
    <row r="368" spans="1:13" ht="13.15" thickBot="1" x14ac:dyDescent="0.4">
      <c r="A368" s="4"/>
      <c r="B368" s="13">
        <f t="shared" si="29"/>
        <v>338</v>
      </c>
      <c r="C368" s="21">
        <f t="shared" si="25"/>
        <v>82.25</v>
      </c>
      <c r="D368" s="4">
        <f>POWER(gompertz_g,POWER(gompertz_c,InitialAgeQ2)*(gompertz_c^('Question 2'!C368-InitialAgeQ2)-1))</f>
        <v>1.1517417452225817E-3</v>
      </c>
      <c r="E368" s="21">
        <f>(1+IntRateQ2)^(-(C368-InitialAgeQ2))*D368</f>
        <v>2.1963245845902624E-4</v>
      </c>
      <c r="F368" s="10">
        <f t="shared" si="26"/>
        <v>0</v>
      </c>
      <c r="G368" s="10">
        <f t="shared" si="27"/>
        <v>0</v>
      </c>
      <c r="H368" s="10">
        <f t="shared" si="28"/>
        <v>2</v>
      </c>
      <c r="I368" s="12">
        <f>IF(MOD(B368,StepsEachYearQ2)=0,1+B368/StepsEachYearQ2,0)</f>
        <v>0</v>
      </c>
      <c r="M368" s="33"/>
    </row>
    <row r="369" spans="1:13" ht="13.15" thickBot="1" x14ac:dyDescent="0.4">
      <c r="A369" s="4"/>
      <c r="B369" s="13">
        <f t="shared" si="29"/>
        <v>339</v>
      </c>
      <c r="C369" s="21">
        <f t="shared" si="25"/>
        <v>82.375</v>
      </c>
      <c r="D369" s="4">
        <f>POWER(gompertz_g,POWER(gompertz_c,InitialAgeQ2)*(gompertz_c^('Question 2'!C369-InitialAgeQ2)-1))</f>
        <v>1.0682456190443551E-3</v>
      </c>
      <c r="E369" s="21">
        <f>(1+IntRateQ2)^(-(C369-InitialAgeQ2))*D369</f>
        <v>2.0271382463757731E-4</v>
      </c>
      <c r="F369" s="10">
        <f t="shared" si="26"/>
        <v>0</v>
      </c>
      <c r="G369" s="10">
        <f t="shared" si="27"/>
        <v>0</v>
      </c>
      <c r="H369" s="10">
        <f t="shared" si="28"/>
        <v>4</v>
      </c>
      <c r="I369" s="12">
        <f>IF(MOD(B369,StepsEachYearQ2)=0,1+B369/StepsEachYearQ2,0)</f>
        <v>0</v>
      </c>
      <c r="M369" s="33"/>
    </row>
    <row r="370" spans="1:13" ht="13.15" thickBot="1" x14ac:dyDescent="0.4">
      <c r="A370" s="4"/>
      <c r="B370" s="13">
        <f t="shared" si="29"/>
        <v>340</v>
      </c>
      <c r="C370" s="21">
        <f t="shared" si="25"/>
        <v>82.5</v>
      </c>
      <c r="D370" s="4">
        <f>POWER(gompertz_g,POWER(gompertz_c,InitialAgeQ2)*(gompertz_c^('Question 2'!C370-InitialAgeQ2)-1))</f>
        <v>9.8999534053665445E-4</v>
      </c>
      <c r="E370" s="21">
        <f>(1+IntRateQ2)^(-(C370-InitialAgeQ2))*D370</f>
        <v>1.8694602289629893E-4</v>
      </c>
      <c r="F370" s="10">
        <f t="shared" si="26"/>
        <v>0</v>
      </c>
      <c r="G370" s="10">
        <f t="shared" si="27"/>
        <v>0.5</v>
      </c>
      <c r="H370" s="10">
        <f t="shared" si="28"/>
        <v>2</v>
      </c>
      <c r="I370" s="12">
        <f>IF(MOD(B370,StepsEachYearQ2)=0,1+B370/StepsEachYearQ2,0)</f>
        <v>0</v>
      </c>
      <c r="M370" s="33"/>
    </row>
    <row r="371" spans="1:13" ht="13.15" thickBot="1" x14ac:dyDescent="0.4">
      <c r="A371" s="4"/>
      <c r="B371" s="13">
        <f t="shared" si="29"/>
        <v>341</v>
      </c>
      <c r="C371" s="21">
        <f t="shared" si="25"/>
        <v>82.625</v>
      </c>
      <c r="D371" s="4">
        <f>POWER(gompertz_g,POWER(gompertz_c,InitialAgeQ2)*(gompertz_c^('Question 2'!C371-InitialAgeQ2)-1))</f>
        <v>9.1672139002218263E-4</v>
      </c>
      <c r="E371" s="21">
        <f>(1+IntRateQ2)^(-(C371-InitialAgeQ2))*D371</f>
        <v>1.7226271085920972E-4</v>
      </c>
      <c r="F371" s="10">
        <f t="shared" si="26"/>
        <v>0</v>
      </c>
      <c r="G371" s="10">
        <f t="shared" si="27"/>
        <v>0</v>
      </c>
      <c r="H371" s="10">
        <f t="shared" si="28"/>
        <v>4</v>
      </c>
      <c r="I371" s="12">
        <f>IF(MOD(B371,StepsEachYearQ2)=0,1+B371/StepsEachYearQ2,0)</f>
        <v>0</v>
      </c>
      <c r="M371" s="33"/>
    </row>
    <row r="372" spans="1:13" ht="13.15" thickBot="1" x14ac:dyDescent="0.4">
      <c r="A372" s="4"/>
      <c r="B372" s="13">
        <f t="shared" si="29"/>
        <v>342</v>
      </c>
      <c r="C372" s="21">
        <f t="shared" si="25"/>
        <v>82.75</v>
      </c>
      <c r="D372" s="4">
        <f>POWER(gompertz_g,POWER(gompertz_c,InitialAgeQ2)*(gompertz_c^('Question 2'!C372-InitialAgeQ2)-1))</f>
        <v>8.4816410382054027E-4</v>
      </c>
      <c r="E372" s="21">
        <f>(1+IntRateQ2)^(-(C372-InitialAgeQ2))*D372</f>
        <v>1.5860052960154996E-4</v>
      </c>
      <c r="F372" s="10">
        <f t="shared" si="26"/>
        <v>0</v>
      </c>
      <c r="G372" s="10">
        <f t="shared" si="27"/>
        <v>0</v>
      </c>
      <c r="H372" s="10">
        <f t="shared" si="28"/>
        <v>2</v>
      </c>
      <c r="I372" s="12">
        <f>IF(MOD(B372,StepsEachYearQ2)=0,1+B372/StepsEachYearQ2,0)</f>
        <v>0</v>
      </c>
      <c r="M372" s="33"/>
    </row>
    <row r="373" spans="1:13" ht="13.15" thickBot="1" x14ac:dyDescent="0.4">
      <c r="A373" s="4"/>
      <c r="B373" s="13">
        <f t="shared" si="29"/>
        <v>343</v>
      </c>
      <c r="C373" s="21">
        <f t="shared" si="25"/>
        <v>82.875</v>
      </c>
      <c r="D373" s="4">
        <f>POWER(gompertz_g,POWER(gompertz_c,InitialAgeQ2)*(gompertz_c^('Question 2'!C373-InitialAgeQ2)-1))</f>
        <v>7.8407354916412155E-4</v>
      </c>
      <c r="E373" s="21">
        <f>(1+IntRateQ2)^(-(C373-InitialAgeQ2))*D373</f>
        <v>1.458990219894637E-4</v>
      </c>
      <c r="F373" s="10">
        <f t="shared" si="26"/>
        <v>0</v>
      </c>
      <c r="G373" s="10">
        <f t="shared" si="27"/>
        <v>0</v>
      </c>
      <c r="H373" s="10">
        <f t="shared" si="28"/>
        <v>4</v>
      </c>
      <c r="I373" s="12">
        <f>IF(MOD(B373,StepsEachYearQ2)=0,1+B373/StepsEachYearQ2,0)</f>
        <v>0</v>
      </c>
      <c r="M373" s="33"/>
    </row>
    <row r="374" spans="1:13" ht="13.15" thickBot="1" x14ac:dyDescent="0.4">
      <c r="A374" s="4"/>
      <c r="B374" s="13">
        <f t="shared" si="29"/>
        <v>344</v>
      </c>
      <c r="C374" s="21">
        <f t="shared" si="25"/>
        <v>83</v>
      </c>
      <c r="D374" s="4">
        <f>POWER(gompertz_g,POWER(gompertz_c,InitialAgeQ2)*(gompertz_c^('Question 2'!C374-InitialAgeQ2)-1))</f>
        <v>7.2420938738769263E-4</v>
      </c>
      <c r="E374" s="21">
        <f>(1+IntRateQ2)^(-(C374-InitialAgeQ2))*D374</f>
        <v>1.3410055031978647E-4</v>
      </c>
      <c r="F374" s="10">
        <f t="shared" si="26"/>
        <v>1</v>
      </c>
      <c r="G374" s="10">
        <f t="shared" si="27"/>
        <v>0.5</v>
      </c>
      <c r="H374" s="10">
        <f t="shared" si="28"/>
        <v>2</v>
      </c>
      <c r="I374" s="12">
        <f>IF(MOD(B374,StepsEachYearQ2)=0,1+B374/StepsEachYearQ2,0)</f>
        <v>44</v>
      </c>
      <c r="M374" s="33"/>
    </row>
    <row r="375" spans="1:13" ht="13.15" thickBot="1" x14ac:dyDescent="0.4">
      <c r="A375" s="4"/>
      <c r="B375" s="13">
        <f t="shared" si="29"/>
        <v>345</v>
      </c>
      <c r="C375" s="21">
        <f t="shared" si="25"/>
        <v>83.125</v>
      </c>
      <c r="D375" s="4">
        <f>POWER(gompertz_g,POWER(gompertz_c,InitialAgeQ2)*(gompertz_c^('Question 2'!C375-InitialAgeQ2)-1))</f>
        <v>6.6834072607451758E-4</v>
      </c>
      <c r="E375" s="21">
        <f>(1+IntRateQ2)^(-(C375-InitialAgeQ2))*D375</f>
        <v>1.2315021343978837E-4</v>
      </c>
      <c r="F375" s="10">
        <f t="shared" si="26"/>
        <v>0</v>
      </c>
      <c r="G375" s="10">
        <f t="shared" si="27"/>
        <v>0</v>
      </c>
      <c r="H375" s="10">
        <f t="shared" si="28"/>
        <v>4</v>
      </c>
      <c r="I375" s="12">
        <f>IF(MOD(B375,StepsEachYearQ2)=0,1+B375/StepsEachYearQ2,0)</f>
        <v>0</v>
      </c>
      <c r="M375" s="33"/>
    </row>
    <row r="376" spans="1:13" ht="13.15" thickBot="1" x14ac:dyDescent="0.4">
      <c r="A376" s="4"/>
      <c r="B376" s="13">
        <f t="shared" si="29"/>
        <v>346</v>
      </c>
      <c r="C376" s="21">
        <f t="shared" si="25"/>
        <v>83.25</v>
      </c>
      <c r="D376" s="4">
        <f>POWER(gompertz_g,POWER(gompertz_c,InitialAgeQ2)*(gompertz_c^('Question 2'!C376-InitialAgeQ2)-1))</f>
        <v>6.1624596085570118E-4</v>
      </c>
      <c r="E376" s="21">
        <f>(1+IntRateQ2)^(-(C376-InitialAgeQ2))*D376</f>
        <v>1.1299576352311256E-4</v>
      </c>
      <c r="F376" s="10">
        <f t="shared" si="26"/>
        <v>0</v>
      </c>
      <c r="G376" s="10">
        <f t="shared" si="27"/>
        <v>0</v>
      </c>
      <c r="H376" s="10">
        <f t="shared" si="28"/>
        <v>2</v>
      </c>
      <c r="I376" s="12">
        <f>IF(MOD(B376,StepsEachYearQ2)=0,1+B376/StepsEachYearQ2,0)</f>
        <v>0</v>
      </c>
      <c r="M376" s="33"/>
    </row>
    <row r="377" spans="1:13" ht="13.15" thickBot="1" x14ac:dyDescent="0.4">
      <c r="A377" s="4"/>
      <c r="B377" s="13">
        <f t="shared" si="29"/>
        <v>347</v>
      </c>
      <c r="C377" s="21">
        <f t="shared" si="25"/>
        <v>83.375</v>
      </c>
      <c r="D377" s="4">
        <f>POWER(gompertz_g,POWER(gompertz_c,InitialAgeQ2)*(gompertz_c^('Question 2'!C377-InitialAgeQ2)-1))</f>
        <v>5.6771260756971053E-4</v>
      </c>
      <c r="E377" s="21">
        <f>(1+IntRateQ2)^(-(C377-InitialAgeQ2))*D377</f>
        <v>1.0358752267391306E-4</v>
      </c>
      <c r="F377" s="10">
        <f t="shared" si="26"/>
        <v>0</v>
      </c>
      <c r="G377" s="10">
        <f t="shared" si="27"/>
        <v>0</v>
      </c>
      <c r="H377" s="10">
        <f t="shared" si="28"/>
        <v>4</v>
      </c>
      <c r="I377" s="12">
        <f>IF(MOD(B377,StepsEachYearQ2)=0,1+B377/StepsEachYearQ2,0)</f>
        <v>0</v>
      </c>
      <c r="M377" s="33"/>
    </row>
    <row r="378" spans="1:13" ht="13.15" thickBot="1" x14ac:dyDescent="0.4">
      <c r="A378" s="4"/>
      <c r="B378" s="13">
        <f t="shared" si="29"/>
        <v>348</v>
      </c>
      <c r="C378" s="21">
        <f t="shared" si="25"/>
        <v>83.5</v>
      </c>
      <c r="D378" s="4">
        <f>POWER(gompertz_g,POWER(gompertz_c,InitialAgeQ2)*(gompertz_c^('Question 2'!C378-InitialAgeQ2)-1))</f>
        <v>5.2253712549762152E-4</v>
      </c>
      <c r="E378" s="21">
        <f>(1+IntRateQ2)^(-(C378-InitialAgeQ2))*D378</f>
        <v>9.4878299526691815E-5</v>
      </c>
      <c r="F378" s="10">
        <f t="shared" si="26"/>
        <v>0</v>
      </c>
      <c r="G378" s="10">
        <f t="shared" si="27"/>
        <v>0.5</v>
      </c>
      <c r="H378" s="10">
        <f t="shared" si="28"/>
        <v>2</v>
      </c>
      <c r="I378" s="12">
        <f>IF(MOD(B378,StepsEachYearQ2)=0,1+B378/StepsEachYearQ2,0)</f>
        <v>0</v>
      </c>
      <c r="M378" s="33"/>
    </row>
    <row r="379" spans="1:13" ht="13.15" thickBot="1" x14ac:dyDescent="0.4">
      <c r="A379" s="4"/>
      <c r="B379" s="13">
        <f t="shared" si="29"/>
        <v>349</v>
      </c>
      <c r="C379" s="21">
        <f t="shared" si="25"/>
        <v>83.625</v>
      </c>
      <c r="D379" s="4">
        <f>POWER(gompertz_g,POWER(gompertz_c,InitialAgeQ2)*(gompertz_c^('Question 2'!C379-InitialAgeQ2)-1))</f>
        <v>4.8052473239463292E-4</v>
      </c>
      <c r="E379" s="21">
        <f>(1+IntRateQ2)^(-(C379-InitialAgeQ2))*D379</f>
        <v>8.6823306004246768E-5</v>
      </c>
      <c r="F379" s="10">
        <f t="shared" si="26"/>
        <v>0</v>
      </c>
      <c r="G379" s="10">
        <f t="shared" si="27"/>
        <v>0</v>
      </c>
      <c r="H379" s="10">
        <f t="shared" si="28"/>
        <v>4</v>
      </c>
      <c r="I379" s="12">
        <f>IF(MOD(B379,StepsEachYearQ2)=0,1+B379/StepsEachYearQ2,0)</f>
        <v>0</v>
      </c>
      <c r="M379" s="33"/>
    </row>
    <row r="380" spans="1:13" ht="13.15" thickBot="1" x14ac:dyDescent="0.4">
      <c r="A380" s="4"/>
      <c r="B380" s="13">
        <f t="shared" si="29"/>
        <v>350</v>
      </c>
      <c r="C380" s="21">
        <f t="shared" si="25"/>
        <v>83.75</v>
      </c>
      <c r="D380" s="4">
        <f>POWER(gompertz_g,POWER(gompertz_c,InitialAgeQ2)*(gompertz_c^('Question 2'!C380-InitialAgeQ2)-1))</f>
        <v>4.4148921204133711E-4</v>
      </c>
      <c r="E380" s="21">
        <f>(1+IntRateQ2)^(-(C380-InitialAgeQ2))*D380</f>
        <v>7.9380074390767244E-5</v>
      </c>
      <c r="F380" s="10">
        <f t="shared" si="26"/>
        <v>0</v>
      </c>
      <c r="G380" s="10">
        <f t="shared" si="27"/>
        <v>0</v>
      </c>
      <c r="H380" s="10">
        <f t="shared" si="28"/>
        <v>2</v>
      </c>
      <c r="I380" s="12">
        <f>IF(MOD(B380,StepsEachYearQ2)=0,1+B380/StepsEachYearQ2,0)</f>
        <v>0</v>
      </c>
      <c r="M380" s="33"/>
    </row>
    <row r="381" spans="1:13" ht="13.15" thickBot="1" x14ac:dyDescent="0.4">
      <c r="A381" s="4"/>
      <c r="B381" s="13">
        <f t="shared" si="29"/>
        <v>351</v>
      </c>
      <c r="C381" s="21">
        <f t="shared" si="25"/>
        <v>83.875</v>
      </c>
      <c r="D381" s="4">
        <f>POWER(gompertz_g,POWER(gompertz_c,InitialAgeQ2)*(gompertz_c^('Question 2'!C381-InitialAgeQ2)-1))</f>
        <v>4.0525271503820724E-4</v>
      </c>
      <c r="E381" s="21">
        <f>(1+IntRateQ2)^(-(C381-InitialAgeQ2))*D381</f>
        <v>7.2508374871309766E-5</v>
      </c>
      <c r="F381" s="10">
        <f t="shared" si="26"/>
        <v>0</v>
      </c>
      <c r="G381" s="10">
        <f t="shared" si="27"/>
        <v>0</v>
      </c>
      <c r="H381" s="10">
        <f t="shared" si="28"/>
        <v>4</v>
      </c>
      <c r="I381" s="12">
        <f>IF(MOD(B381,StepsEachYearQ2)=0,1+B381/StepsEachYearQ2,0)</f>
        <v>0</v>
      </c>
      <c r="M381" s="33"/>
    </row>
    <row r="382" spans="1:13" ht="13.15" thickBot="1" x14ac:dyDescent="0.4">
      <c r="A382" s="4"/>
      <c r="B382" s="13">
        <f t="shared" si="29"/>
        <v>352</v>
      </c>
      <c r="C382" s="21">
        <f t="shared" si="25"/>
        <v>84</v>
      </c>
      <c r="D382" s="4">
        <f>POWER(gompertz_g,POWER(gompertz_c,InitialAgeQ2)*(gompertz_c^('Question 2'!C382-InitialAgeQ2)-1))</f>
        <v>3.7164555356431048E-4</v>
      </c>
      <c r="E382" s="21">
        <f>(1+IntRateQ2)^(-(C382-InitialAgeQ2))*D382</f>
        <v>6.6170133682776232E-5</v>
      </c>
      <c r="F382" s="10">
        <f t="shared" si="26"/>
        <v>1</v>
      </c>
      <c r="G382" s="10">
        <f t="shared" si="27"/>
        <v>0.5</v>
      </c>
      <c r="H382" s="10">
        <f t="shared" si="28"/>
        <v>2</v>
      </c>
      <c r="I382" s="12">
        <f>IF(MOD(B382,StepsEachYearQ2)=0,1+B382/StepsEachYearQ2,0)</f>
        <v>45</v>
      </c>
      <c r="M382" s="33"/>
    </row>
    <row r="383" spans="1:13" ht="13.15" thickBot="1" x14ac:dyDescent="0.4">
      <c r="A383" s="4"/>
      <c r="B383" s="13">
        <f t="shared" si="29"/>
        <v>353</v>
      </c>
      <c r="C383" s="21">
        <f t="shared" si="25"/>
        <v>84.125</v>
      </c>
      <c r="D383" s="4">
        <f>POWER(gompertz_g,POWER(gompertz_c,InitialAgeQ2)*(gompertz_c^('Question 2'!C383-InitialAgeQ2)-1))</f>
        <v>3.4050599081617607E-4</v>
      </c>
      <c r="E383" s="21">
        <f>(1+IntRateQ2)^(-(C383-InitialAgeQ2))*D383</f>
        <v>6.0329352015080603E-5</v>
      </c>
      <c r="F383" s="10">
        <f t="shared" si="26"/>
        <v>0</v>
      </c>
      <c r="G383" s="10">
        <f t="shared" si="27"/>
        <v>0</v>
      </c>
      <c r="H383" s="10">
        <f t="shared" si="28"/>
        <v>4</v>
      </c>
      <c r="I383" s="12">
        <f>IF(MOD(B383,StepsEachYearQ2)=0,1+B383/StepsEachYearQ2,0)</f>
        <v>0</v>
      </c>
      <c r="M383" s="33"/>
    </row>
    <row r="384" spans="1:13" ht="13.15" thickBot="1" x14ac:dyDescent="0.4">
      <c r="A384" s="4"/>
      <c r="B384" s="13">
        <f t="shared" si="29"/>
        <v>354</v>
      </c>
      <c r="C384" s="21">
        <f t="shared" si="25"/>
        <v>84.25</v>
      </c>
      <c r="D384" s="4">
        <f>POWER(gompertz_g,POWER(gompertz_c,InitialAgeQ2)*(gompertz_c^('Question 2'!C384-InitialAgeQ2)-1))</f>
        <v>3.1168002583533268E-4</v>
      </c>
      <c r="E384" s="21">
        <f>(1+IntRateQ2)^(-(C384-InitialAgeQ2))*D384</f>
        <v>5.4952025794499957E-5</v>
      </c>
      <c r="F384" s="10">
        <f t="shared" si="26"/>
        <v>0</v>
      </c>
      <c r="G384" s="10">
        <f t="shared" si="27"/>
        <v>0</v>
      </c>
      <c r="H384" s="10">
        <f t="shared" si="28"/>
        <v>2</v>
      </c>
      <c r="I384" s="12">
        <f>IF(MOD(B384,StepsEachYearQ2)=0,1+B384/StepsEachYearQ2,0)</f>
        <v>0</v>
      </c>
      <c r="M384" s="33"/>
    </row>
    <row r="385" spans="1:13" ht="13.15" thickBot="1" x14ac:dyDescent="0.4">
      <c r="A385" s="4"/>
      <c r="B385" s="13">
        <f t="shared" si="29"/>
        <v>355</v>
      </c>
      <c r="C385" s="21">
        <f t="shared" si="25"/>
        <v>84.375</v>
      </c>
      <c r="D385" s="4">
        <f>POWER(gompertz_g,POWER(gompertz_c,InitialAgeQ2)*(gompertz_c^('Question 2'!C385-InitialAgeQ2)-1))</f>
        <v>2.8502117442297275E-4</v>
      </c>
      <c r="E385" s="21">
        <f>(1+IntRateQ2)^(-(C385-InitialAgeQ2))*D385</f>
        <v>5.0006066474230073E-5</v>
      </c>
      <c r="F385" s="10">
        <f t="shared" si="26"/>
        <v>0</v>
      </c>
      <c r="G385" s="10">
        <f t="shared" si="27"/>
        <v>0</v>
      </c>
      <c r="H385" s="10">
        <f t="shared" si="28"/>
        <v>4</v>
      </c>
      <c r="I385" s="12">
        <f>IF(MOD(B385,StepsEachYearQ2)=0,1+B385/StepsEachYearQ2,0)</f>
        <v>0</v>
      </c>
      <c r="M385" s="33"/>
    </row>
    <row r="386" spans="1:13" ht="13.15" thickBot="1" x14ac:dyDescent="0.4">
      <c r="A386" s="4"/>
      <c r="B386" s="13">
        <f t="shared" si="29"/>
        <v>356</v>
      </c>
      <c r="C386" s="21">
        <f t="shared" si="25"/>
        <v>84.5</v>
      </c>
      <c r="D386" s="4">
        <f>POWER(gompertz_g,POWER(gompertz_c,InitialAgeQ2)*(gompertz_c^('Question 2'!C386-InitialAgeQ2)-1))</f>
        <v>2.6039024682827239E-4</v>
      </c>
      <c r="E386" s="21">
        <f>(1+IntRateQ2)^(-(C386-InitialAgeQ2))*D386</f>
        <v>4.5461222950048869E-5</v>
      </c>
      <c r="F386" s="10">
        <f t="shared" si="26"/>
        <v>0</v>
      </c>
      <c r="G386" s="10">
        <f t="shared" si="27"/>
        <v>0.5</v>
      </c>
      <c r="H386" s="10">
        <f t="shared" si="28"/>
        <v>2</v>
      </c>
      <c r="I386" s="12">
        <f>IF(MOD(B386,StepsEachYearQ2)=0,1+B386/StepsEachYearQ2,0)</f>
        <v>0</v>
      </c>
      <c r="M386" s="33"/>
    </row>
    <row r="387" spans="1:13" ht="13.15" thickBot="1" x14ac:dyDescent="0.4">
      <c r="A387" s="4"/>
      <c r="B387" s="13">
        <f t="shared" si="29"/>
        <v>357</v>
      </c>
      <c r="C387" s="21">
        <f t="shared" si="25"/>
        <v>84.625</v>
      </c>
      <c r="D387" s="4">
        <f>POWER(gompertz_g,POWER(gompertz_c,InitialAgeQ2)*(gompertz_c^('Question 2'!C387-InitialAgeQ2)-1))</f>
        <v>2.3765512288233132E-4</v>
      </c>
      <c r="E387" s="21">
        <f>(1+IntRateQ2)^(-(C387-InitialAgeQ2))*D387</f>
        <v>4.1289004711623802E-5</v>
      </c>
      <c r="F387" s="10">
        <f t="shared" si="26"/>
        <v>0</v>
      </c>
      <c r="G387" s="10">
        <f t="shared" si="27"/>
        <v>0</v>
      </c>
      <c r="H387" s="10">
        <f t="shared" si="28"/>
        <v>4</v>
      </c>
      <c r="I387" s="12">
        <f>IF(MOD(B387,StepsEachYearQ2)=0,1+B387/StepsEachYearQ2,0)</f>
        <v>0</v>
      </c>
      <c r="M387" s="33"/>
    </row>
    <row r="388" spans="1:13" ht="13.15" thickBot="1" x14ac:dyDescent="0.4">
      <c r="A388" s="4"/>
      <c r="B388" s="13">
        <f t="shared" si="29"/>
        <v>358</v>
      </c>
      <c r="C388" s="21">
        <f t="shared" si="25"/>
        <v>84.75</v>
      </c>
      <c r="D388" s="4">
        <f>POWER(gompertz_g,POWER(gompertz_c,InitialAgeQ2)*(gompertz_c^('Question 2'!C388-InitialAgeQ2)-1))</f>
        <v>2.1669052523340217E-4</v>
      </c>
      <c r="E388" s="21">
        <f>(1+IntRateQ2)^(-(C388-InitialAgeQ2))*D388</f>
        <v>3.746260633254716E-5</v>
      </c>
      <c r="F388" s="10">
        <f t="shared" si="26"/>
        <v>0</v>
      </c>
      <c r="G388" s="10">
        <f t="shared" si="27"/>
        <v>0</v>
      </c>
      <c r="H388" s="10">
        <f t="shared" si="28"/>
        <v>2</v>
      </c>
      <c r="I388" s="12">
        <f>IF(MOD(B388,StepsEachYearQ2)=0,1+B388/StepsEachYearQ2,0)</f>
        <v>0</v>
      </c>
      <c r="M388" s="33"/>
    </row>
    <row r="389" spans="1:13" ht="13.15" thickBot="1" x14ac:dyDescent="0.4">
      <c r="A389" s="4"/>
      <c r="B389" s="13">
        <f t="shared" si="29"/>
        <v>359</v>
      </c>
      <c r="C389" s="21">
        <f t="shared" si="25"/>
        <v>84.875</v>
      </c>
      <c r="D389" s="4">
        <f>POWER(gompertz_g,POWER(gompertz_c,InitialAgeQ2)*(gompertz_c^('Question 2'!C389-InitialAgeQ2)-1))</f>
        <v>1.9737779132063705E-4</v>
      </c>
      <c r="E389" s="21">
        <f>(1+IntRateQ2)^(-(C389-InitialAgeQ2))*D389</f>
        <v>3.3956833394589848E-5</v>
      </c>
      <c r="F389" s="10">
        <f t="shared" si="26"/>
        <v>0</v>
      </c>
      <c r="G389" s="10">
        <f t="shared" si="27"/>
        <v>0</v>
      </c>
      <c r="H389" s="10">
        <f t="shared" si="28"/>
        <v>4</v>
      </c>
      <c r="I389" s="12">
        <f>IF(MOD(B389,StepsEachYearQ2)=0,1+B389/StepsEachYearQ2,0)</f>
        <v>0</v>
      </c>
      <c r="M389" s="33"/>
    </row>
    <row r="390" spans="1:13" ht="13.15" thickBot="1" x14ac:dyDescent="0.4">
      <c r="A390" s="4"/>
      <c r="B390" s="13">
        <f t="shared" si="29"/>
        <v>360</v>
      </c>
      <c r="C390" s="21">
        <f t="shared" si="25"/>
        <v>85</v>
      </c>
      <c r="D390" s="4">
        <f>POWER(gompertz_g,POWER(gompertz_c,InitialAgeQ2)*(gompertz_c^('Question 2'!C390-InitialAgeQ2)-1))</f>
        <v>1.7960464470341068E-4</v>
      </c>
      <c r="E390" s="21">
        <f>(1+IntRateQ2)^(-(C390-InitialAgeQ2))*D390</f>
        <v>3.0748029934014114E-5</v>
      </c>
      <c r="F390" s="10">
        <f t="shared" si="26"/>
        <v>1</v>
      </c>
      <c r="G390" s="10">
        <f t="shared" si="27"/>
        <v>0.5</v>
      </c>
      <c r="H390" s="10">
        <f t="shared" si="28"/>
        <v>2</v>
      </c>
      <c r="I390" s="12">
        <f>IF(MOD(B390,StepsEachYearQ2)=0,1+B390/StepsEachYearQ2,0)</f>
        <v>46</v>
      </c>
      <c r="M390" s="33"/>
    </row>
    <row r="391" spans="1:13" ht="13.15" thickBot="1" x14ac:dyDescent="0.4">
      <c r="A391" s="4"/>
      <c r="B391" s="13">
        <f t="shared" si="29"/>
        <v>361</v>
      </c>
      <c r="C391" s="21">
        <f t="shared" si="25"/>
        <v>85.125</v>
      </c>
      <c r="D391" s="4">
        <f>POWER(gompertz_g,POWER(gompertz_c,InitialAgeQ2)*(gompertz_c^('Question 2'!C391-InitialAgeQ2)-1))</f>
        <v>1.6326496634138583E-4</v>
      </c>
      <c r="E391" s="21">
        <f>(1+IntRateQ2)^(-(C391-InitialAgeQ2))*D391</f>
        <v>2.7814007490086749E-5</v>
      </c>
      <c r="F391" s="10">
        <f t="shared" si="26"/>
        <v>0</v>
      </c>
      <c r="G391" s="10">
        <f t="shared" si="27"/>
        <v>0</v>
      </c>
      <c r="H391" s="10">
        <f t="shared" si="28"/>
        <v>4</v>
      </c>
      <c r="I391" s="12">
        <f>IF(MOD(B391,StepsEachYearQ2)=0,1+B391/StepsEachYearQ2,0)</f>
        <v>0</v>
      </c>
      <c r="M391" s="33"/>
    </row>
    <row r="392" spans="1:13" ht="13.15" thickBot="1" x14ac:dyDescent="0.4">
      <c r="A392" s="4"/>
      <c r="B392" s="13">
        <f t="shared" si="29"/>
        <v>362</v>
      </c>
      <c r="C392" s="21">
        <f t="shared" si="25"/>
        <v>85.25</v>
      </c>
      <c r="D392" s="4">
        <f>POWER(gompertz_g,POWER(gompertz_c,InitialAgeQ2)*(gompertz_c^('Question 2'!C392-InitialAgeQ2)-1))</f>
        <v>1.4825856639707628E-4</v>
      </c>
      <c r="E392" s="21">
        <f>(1+IntRateQ2)^(-(C392-InitialAgeQ2))*D392</f>
        <v>2.5133975828232694E-5</v>
      </c>
      <c r="F392" s="10">
        <f t="shared" si="26"/>
        <v>0</v>
      </c>
      <c r="G392" s="10">
        <f t="shared" si="27"/>
        <v>0</v>
      </c>
      <c r="H392" s="10">
        <f t="shared" si="28"/>
        <v>2</v>
      </c>
      <c r="I392" s="12">
        <f>IF(MOD(B392,StepsEachYearQ2)=0,1+B392/StepsEachYearQ2,0)</f>
        <v>0</v>
      </c>
      <c r="M392" s="33"/>
    </row>
    <row r="393" spans="1:13" ht="13.15" thickBot="1" x14ac:dyDescent="0.4">
      <c r="A393" s="4"/>
      <c r="B393" s="13">
        <f t="shared" si="29"/>
        <v>363</v>
      </c>
      <c r="C393" s="21">
        <f t="shared" si="25"/>
        <v>85.375</v>
      </c>
      <c r="D393" s="4">
        <f>POWER(gompertz_g,POWER(gompertz_c,InitialAgeQ2)*(gompertz_c^('Question 2'!C393-InitialAgeQ2)-1))</f>
        <v>1.3449095710778717E-4</v>
      </c>
      <c r="E393" s="21">
        <f>(1+IntRateQ2)^(-(C393-InitialAgeQ2))*D393</f>
        <v>2.268847540258117E-5</v>
      </c>
      <c r="F393" s="10">
        <f t="shared" si="26"/>
        <v>0</v>
      </c>
      <c r="G393" s="10">
        <f t="shared" si="27"/>
        <v>0</v>
      </c>
      <c r="H393" s="10">
        <f t="shared" si="28"/>
        <v>4</v>
      </c>
      <c r="I393" s="12">
        <f>IF(MOD(B393,StepsEachYearQ2)=0,1+B393/StepsEachYearQ2,0)</f>
        <v>0</v>
      </c>
      <c r="M393" s="33"/>
    </row>
    <row r="394" spans="1:13" ht="13.15" thickBot="1" x14ac:dyDescent="0.4">
      <c r="A394" s="4"/>
      <c r="B394" s="13">
        <f t="shared" si="29"/>
        <v>364</v>
      </c>
      <c r="C394" s="21">
        <f t="shared" si="25"/>
        <v>85.5</v>
      </c>
      <c r="D394" s="4">
        <f>POWER(gompertz_g,POWER(gompertz_c,InitialAgeQ2)*(gompertz_c^('Question 2'!C394-InitialAgeQ2)-1))</f>
        <v>1.2187312724783506E-4</v>
      </c>
      <c r="E394" s="21">
        <f>(1+IntRateQ2)^(-(C394-InitialAgeQ2))*D394</f>
        <v>2.0459311615046011E-5</v>
      </c>
      <c r="F394" s="10">
        <f t="shared" si="26"/>
        <v>0</v>
      </c>
      <c r="G394" s="10">
        <f t="shared" si="27"/>
        <v>0.5</v>
      </c>
      <c r="H394" s="10">
        <f t="shared" si="28"/>
        <v>2</v>
      </c>
      <c r="I394" s="12">
        <f>IF(MOD(B394,StepsEachYearQ2)=0,1+B394/StepsEachYearQ2,0)</f>
        <v>0</v>
      </c>
      <c r="M394" s="33"/>
    </row>
    <row r="395" spans="1:13" ht="13.15" thickBot="1" x14ac:dyDescent="0.4">
      <c r="A395" s="4"/>
      <c r="B395" s="13">
        <f t="shared" si="29"/>
        <v>365</v>
      </c>
      <c r="C395" s="21">
        <f t="shared" si="25"/>
        <v>85.625</v>
      </c>
      <c r="D395" s="4">
        <f>POWER(gompertz_g,POWER(gompertz_c,InitialAgeQ2)*(gompertz_c^('Question 2'!C395-InitialAgeQ2)-1))</f>
        <v>1.1032131867472253E-4</v>
      </c>
      <c r="E395" s="21">
        <f>(1+IntRateQ2)^(-(C395-InitialAgeQ2))*D395</f>
        <v>1.8429490920532862E-5</v>
      </c>
      <c r="F395" s="10">
        <f t="shared" si="26"/>
        <v>0</v>
      </c>
      <c r="G395" s="10">
        <f t="shared" si="27"/>
        <v>0</v>
      </c>
      <c r="H395" s="10">
        <f t="shared" si="28"/>
        <v>4</v>
      </c>
      <c r="I395" s="12">
        <f>IF(MOD(B395,StepsEachYearQ2)=0,1+B395/StepsEachYearQ2,0)</f>
        <v>0</v>
      </c>
      <c r="M395" s="33"/>
    </row>
    <row r="396" spans="1:13" ht="13.15" thickBot="1" x14ac:dyDescent="0.4">
      <c r="A396" s="4"/>
      <c r="B396" s="13">
        <f t="shared" si="29"/>
        <v>366</v>
      </c>
      <c r="C396" s="21">
        <f t="shared" si="25"/>
        <v>85.75</v>
      </c>
      <c r="D396" s="4">
        <f>POWER(gompertz_g,POWER(gompertz_c,InitialAgeQ2)*(gompertz_c^('Question 2'!C396-InitialAgeQ2)-1))</f>
        <v>9.9756805424897077E-5</v>
      </c>
      <c r="E396" s="21">
        <f>(1+IntRateQ2)^(-(C396-InitialAgeQ2))*D396</f>
        <v>1.6583158820449546E-5</v>
      </c>
      <c r="F396" s="10">
        <f t="shared" si="26"/>
        <v>0</v>
      </c>
      <c r="G396" s="10">
        <f t="shared" si="27"/>
        <v>0</v>
      </c>
      <c r="H396" s="10">
        <f t="shared" si="28"/>
        <v>2</v>
      </c>
      <c r="I396" s="12">
        <f>IF(MOD(B396,StepsEachYearQ2)=0,1+B396/StepsEachYearQ2,0)</f>
        <v>0</v>
      </c>
      <c r="M396" s="33"/>
    </row>
    <row r="397" spans="1:13" ht="13.15" thickBot="1" x14ac:dyDescent="0.4">
      <c r="A397" s="4"/>
      <c r="B397" s="13">
        <f t="shared" si="29"/>
        <v>367</v>
      </c>
      <c r="C397" s="21">
        <f t="shared" si="25"/>
        <v>85.875</v>
      </c>
      <c r="D397" s="4">
        <f>POWER(gompertz_g,POWER(gompertz_c,InitialAgeQ2)*(gompertz_c^('Question 2'!C397-InitialAgeQ2)-1))</f>
        <v>9.0105675795873979E-5</v>
      </c>
      <c r="E397" s="21">
        <f>(1+IntRateQ2)^(-(C397-InitialAgeQ2))*D397</f>
        <v>1.4905539779417331E-5</v>
      </c>
      <c r="F397" s="10">
        <f t="shared" si="26"/>
        <v>0</v>
      </c>
      <c r="G397" s="10">
        <f t="shared" si="27"/>
        <v>0</v>
      </c>
      <c r="H397" s="10">
        <f t="shared" si="28"/>
        <v>4</v>
      </c>
      <c r="I397" s="12">
        <f>IF(MOD(B397,StepsEachYearQ2)=0,1+B397/StepsEachYearQ2,0)</f>
        <v>0</v>
      </c>
      <c r="M397" s="33"/>
    </row>
    <row r="398" spans="1:13" ht="13.15" thickBot="1" x14ac:dyDescent="0.4">
      <c r="A398" s="4"/>
      <c r="B398" s="13">
        <f t="shared" si="29"/>
        <v>368</v>
      </c>
      <c r="C398" s="21">
        <f t="shared" si="25"/>
        <v>86</v>
      </c>
      <c r="D398" s="4">
        <f>POWER(gompertz_g,POWER(gompertz_c,InitialAgeQ2)*(gompertz_c^('Question 2'!C398-InitialAgeQ2)-1))</f>
        <v>8.1298617822020872E-5</v>
      </c>
      <c r="E398" s="21">
        <f>(1+IntRateQ2)^(-(C398-InitialAgeQ2))*D398</f>
        <v>1.338287909296908E-5</v>
      </c>
      <c r="F398" s="10">
        <f t="shared" si="26"/>
        <v>1</v>
      </c>
      <c r="G398" s="10">
        <f t="shared" si="27"/>
        <v>0.5</v>
      </c>
      <c r="H398" s="10">
        <f t="shared" si="28"/>
        <v>2</v>
      </c>
      <c r="I398" s="12">
        <f>IF(MOD(B398,StepsEachYearQ2)=0,1+B398/StepsEachYearQ2,0)</f>
        <v>47</v>
      </c>
      <c r="M398" s="33"/>
    </row>
    <row r="399" spans="1:13" ht="13.15" thickBot="1" x14ac:dyDescent="0.4">
      <c r="A399" s="4"/>
      <c r="B399" s="13">
        <f t="shared" si="29"/>
        <v>369</v>
      </c>
      <c r="C399" s="21">
        <f t="shared" si="25"/>
        <v>86.125</v>
      </c>
      <c r="D399" s="4">
        <f>POWER(gompertz_g,POWER(gompertz_c,InitialAgeQ2)*(gompertz_c^('Question 2'!C399-InitialAgeQ2)-1))</f>
        <v>7.3270708521411444E-5</v>
      </c>
      <c r="E399" s="21">
        <f>(1+IntRateQ2)^(-(C399-InitialAgeQ2))*D399</f>
        <v>1.2002386727109257E-5</v>
      </c>
      <c r="F399" s="10">
        <f t="shared" si="26"/>
        <v>0</v>
      </c>
      <c r="G399" s="10">
        <f t="shared" si="27"/>
        <v>0</v>
      </c>
      <c r="H399" s="10">
        <f t="shared" si="28"/>
        <v>4</v>
      </c>
      <c r="I399" s="12">
        <f>IF(MOD(B399,StepsEachYearQ2)=0,1+B399/StepsEachYearQ2,0)</f>
        <v>0</v>
      </c>
      <c r="M399" s="33"/>
    </row>
    <row r="400" spans="1:13" ht="13.15" thickBot="1" x14ac:dyDescent="0.4">
      <c r="A400" s="4"/>
      <c r="B400" s="13">
        <f t="shared" si="29"/>
        <v>370</v>
      </c>
      <c r="C400" s="21">
        <f t="shared" si="25"/>
        <v>86.25</v>
      </c>
      <c r="D400" s="4">
        <f>POWER(gompertz_g,POWER(gompertz_c,InitialAgeQ2)*(gompertz_c^('Question 2'!C400-InitialAgeQ2)-1))</f>
        <v>6.5961207260941036E-5</v>
      </c>
      <c r="E400" s="21">
        <f>(1+IntRateQ2)^(-(C400-InitialAgeQ2))*D400</f>
        <v>1.0752183143912839E-5</v>
      </c>
      <c r="F400" s="10">
        <f t="shared" si="26"/>
        <v>0</v>
      </c>
      <c r="G400" s="10">
        <f t="shared" si="27"/>
        <v>0</v>
      </c>
      <c r="H400" s="10">
        <f t="shared" si="28"/>
        <v>2</v>
      </c>
      <c r="I400" s="12">
        <f>IF(MOD(B400,StepsEachYearQ2)=0,1+B400/StepsEachYearQ2,0)</f>
        <v>0</v>
      </c>
      <c r="M400" s="33"/>
    </row>
    <row r="401" spans="1:13" ht="13.15" thickBot="1" x14ac:dyDescent="0.4">
      <c r="A401" s="4"/>
      <c r="B401" s="13">
        <f t="shared" si="29"/>
        <v>371</v>
      </c>
      <c r="C401" s="21">
        <f t="shared" si="25"/>
        <v>86.375</v>
      </c>
      <c r="D401" s="4">
        <f>POWER(gompertz_g,POWER(gompertz_c,InitialAgeQ2)*(gompertz_c^('Question 2'!C401-InitialAgeQ2)-1))</f>
        <v>5.9313353556513106E-5</v>
      </c>
      <c r="E401" s="21">
        <f>(1+IntRateQ2)^(-(C401-InitialAgeQ2))*D401</f>
        <v>9.6212471208767639E-6</v>
      </c>
      <c r="F401" s="10">
        <f t="shared" si="26"/>
        <v>0</v>
      </c>
      <c r="G401" s="10">
        <f t="shared" si="27"/>
        <v>0</v>
      </c>
      <c r="H401" s="10">
        <f t="shared" si="28"/>
        <v>4</v>
      </c>
      <c r="I401" s="12">
        <f>IF(MOD(B401,StepsEachYearQ2)=0,1+B401/StepsEachYearQ2,0)</f>
        <v>0</v>
      </c>
      <c r="M401" s="33"/>
    </row>
    <row r="402" spans="1:13" ht="13.15" thickBot="1" x14ac:dyDescent="0.4">
      <c r="A402" s="4"/>
      <c r="B402" s="13">
        <f t="shared" si="29"/>
        <v>372</v>
      </c>
      <c r="C402" s="21">
        <f t="shared" si="25"/>
        <v>86.5</v>
      </c>
      <c r="D402" s="4">
        <f>POWER(gompertz_g,POWER(gompertz_c,InitialAgeQ2)*(gompertz_c^('Question 2'!C402-InitialAgeQ2)-1))</f>
        <v>5.3274169594823711E-5</v>
      </c>
      <c r="E402" s="21">
        <f>(1+IntRateQ2)^(-(C402-InitialAgeQ2))*D402</f>
        <v>8.5993655655464046E-6</v>
      </c>
      <c r="F402" s="10">
        <f t="shared" si="26"/>
        <v>0</v>
      </c>
      <c r="G402" s="10">
        <f t="shared" si="27"/>
        <v>0.5</v>
      </c>
      <c r="H402" s="10">
        <f t="shared" si="28"/>
        <v>2</v>
      </c>
      <c r="I402" s="12">
        <f>IF(MOD(B402,StepsEachYearQ2)=0,1+B402/StepsEachYearQ2,0)</f>
        <v>0</v>
      </c>
      <c r="M402" s="33"/>
    </row>
    <row r="403" spans="1:13" ht="13.15" thickBot="1" x14ac:dyDescent="0.4">
      <c r="A403" s="4"/>
      <c r="B403" s="13">
        <f t="shared" si="29"/>
        <v>373</v>
      </c>
      <c r="C403" s="21">
        <f t="shared" si="25"/>
        <v>86.625</v>
      </c>
      <c r="D403" s="4">
        <f>POWER(gompertz_g,POWER(gompertz_c,InitialAgeQ2)*(gompertz_c^('Question 2'!C403-InitialAgeQ2)-1))</f>
        <v>4.7794267733022272E-5</v>
      </c>
      <c r="E403" s="21">
        <f>(1+IntRateQ2)^(-(C403-InitialAgeQ2))*D403</f>
        <v>7.6770853210046402E-6</v>
      </c>
      <c r="F403" s="10">
        <f t="shared" si="26"/>
        <v>0</v>
      </c>
      <c r="G403" s="10">
        <f t="shared" si="27"/>
        <v>0</v>
      </c>
      <c r="H403" s="10">
        <f t="shared" si="28"/>
        <v>4</v>
      </c>
      <c r="I403" s="12">
        <f>IF(MOD(B403,StepsEachYearQ2)=0,1+B403/StepsEachYearQ2,0)</f>
        <v>0</v>
      </c>
      <c r="M403" s="33"/>
    </row>
    <row r="404" spans="1:13" ht="13.15" thickBot="1" x14ac:dyDescent="0.4">
      <c r="A404" s="4"/>
      <c r="B404" s="13">
        <f t="shared" si="29"/>
        <v>374</v>
      </c>
      <c r="C404" s="21">
        <f t="shared" si="25"/>
        <v>86.75</v>
      </c>
      <c r="D404" s="4">
        <f>POWER(gompertz_g,POWER(gompertz_c,InitialAgeQ2)*(gompertz_c^('Question 2'!C404-InitialAgeQ2)-1))</f>
        <v>4.2827663202677456E-5</v>
      </c>
      <c r="E404" s="21">
        <f>(1+IntRateQ2)^(-(C404-InitialAgeQ2))*D404</f>
        <v>6.8456669521835071E-6</v>
      </c>
      <c r="F404" s="10">
        <f t="shared" si="26"/>
        <v>0</v>
      </c>
      <c r="G404" s="10">
        <f t="shared" si="27"/>
        <v>0</v>
      </c>
      <c r="H404" s="10">
        <f t="shared" si="28"/>
        <v>2</v>
      </c>
      <c r="I404" s="12">
        <f>IF(MOD(B404,StepsEachYearQ2)=0,1+B404/StepsEachYearQ2,0)</f>
        <v>0</v>
      </c>
      <c r="M404" s="33"/>
    </row>
    <row r="405" spans="1:13" ht="13.15" thickBot="1" x14ac:dyDescent="0.4">
      <c r="A405" s="4"/>
      <c r="B405" s="13">
        <f t="shared" si="29"/>
        <v>375</v>
      </c>
      <c r="C405" s="21">
        <f t="shared" si="25"/>
        <v>86.875</v>
      </c>
      <c r="D405" s="4">
        <f>POWER(gompertz_g,POWER(gompertz_c,InitialAgeQ2)*(gompertz_c^('Question 2'!C405-InitialAgeQ2)-1))</f>
        <v>3.8331592214987644E-5</v>
      </c>
      <c r="E405" s="21">
        <f>(1+IntRateQ2)^(-(C405-InitialAgeQ2))*D405</f>
        <v>6.0970404976234739E-6</v>
      </c>
      <c r="F405" s="10">
        <f t="shared" si="26"/>
        <v>0</v>
      </c>
      <c r="G405" s="10">
        <f t="shared" si="27"/>
        <v>0</v>
      </c>
      <c r="H405" s="10">
        <f t="shared" si="28"/>
        <v>4</v>
      </c>
      <c r="I405" s="12">
        <f>IF(MOD(B405,StepsEachYearQ2)=0,1+B405/StepsEachYearQ2,0)</f>
        <v>0</v>
      </c>
      <c r="M405" s="33"/>
    </row>
    <row r="406" spans="1:13" ht="13.15" thickBot="1" x14ac:dyDescent="0.4">
      <c r="A406" s="4"/>
      <c r="B406" s="13">
        <f t="shared" si="29"/>
        <v>376</v>
      </c>
      <c r="C406" s="21">
        <f t="shared" si="25"/>
        <v>87</v>
      </c>
      <c r="D406" s="4">
        <f>POWER(gompertz_g,POWER(gompertz_c,InitialAgeQ2)*(gompertz_c^('Question 2'!C406-InitialAgeQ2)-1))</f>
        <v>3.426633563528519E-5</v>
      </c>
      <c r="E406" s="21">
        <f>(1+IntRateQ2)^(-(C406-InitialAgeQ2))*D406</f>
        <v>5.4237631662926068E-6</v>
      </c>
      <c r="F406" s="10">
        <f t="shared" si="26"/>
        <v>1</v>
      </c>
      <c r="G406" s="10">
        <f t="shared" si="27"/>
        <v>0.5</v>
      </c>
      <c r="H406" s="10">
        <f t="shared" si="28"/>
        <v>2</v>
      </c>
      <c r="I406" s="12">
        <f>IF(MOD(B406,StepsEachYearQ2)=0,1+B406/StepsEachYearQ2,0)</f>
        <v>48</v>
      </c>
      <c r="M406" s="33"/>
    </row>
    <row r="407" spans="1:13" ht="13.15" thickBot="1" x14ac:dyDescent="0.4">
      <c r="A407" s="4"/>
      <c r="B407" s="13">
        <f t="shared" si="29"/>
        <v>377</v>
      </c>
      <c r="C407" s="21">
        <f t="shared" si="25"/>
        <v>87.125</v>
      </c>
      <c r="D407" s="4">
        <f>POWER(gompertz_g,POWER(gompertz_c,InitialAgeQ2)*(gompertz_c^('Question 2'!C407-InitialAgeQ2)-1))</f>
        <v>3.059504836664273E-5</v>
      </c>
      <c r="E407" s="21">
        <f>(1+IntRateQ2)^(-(C407-InitialAgeQ2))*D407</f>
        <v>4.8189789543849558E-6</v>
      </c>
      <c r="F407" s="10">
        <f t="shared" si="26"/>
        <v>0</v>
      </c>
      <c r="G407" s="10">
        <f t="shared" si="27"/>
        <v>0</v>
      </c>
      <c r="H407" s="10">
        <f t="shared" si="28"/>
        <v>4</v>
      </c>
      <c r="I407" s="12">
        <f>IF(MOD(B407,StepsEachYearQ2)=0,1+B407/StepsEachYearQ2,0)</f>
        <v>0</v>
      </c>
      <c r="M407" s="33"/>
    </row>
    <row r="408" spans="1:13" ht="13.15" thickBot="1" x14ac:dyDescent="0.4">
      <c r="A408" s="4"/>
      <c r="B408" s="13">
        <f t="shared" si="29"/>
        <v>378</v>
      </c>
      <c r="C408" s="21">
        <f t="shared" si="25"/>
        <v>87.25</v>
      </c>
      <c r="D408" s="4">
        <f>POWER(gompertz_g,POWER(gompertz_c,InitialAgeQ2)*(gompertz_c^('Question 2'!C408-InitialAgeQ2)-1))</f>
        <v>2.7283594554963012E-5</v>
      </c>
      <c r="E408" s="21">
        <f>(1+IntRateQ2)^(-(C408-InitialAgeQ2))*D408</f>
        <v>4.2763801526599592E-6</v>
      </c>
      <c r="F408" s="10">
        <f t="shared" si="26"/>
        <v>0</v>
      </c>
      <c r="G408" s="10">
        <f t="shared" si="27"/>
        <v>0</v>
      </c>
      <c r="H408" s="10">
        <f t="shared" si="28"/>
        <v>2</v>
      </c>
      <c r="I408" s="12">
        <f>IF(MOD(B408,StepsEachYearQ2)=0,1+B408/StepsEachYearQ2,0)</f>
        <v>0</v>
      </c>
      <c r="M408" s="33"/>
    </row>
    <row r="409" spans="1:13" ht="13.15" thickBot="1" x14ac:dyDescent="0.4">
      <c r="A409" s="4"/>
      <c r="B409" s="13">
        <f t="shared" si="29"/>
        <v>379</v>
      </c>
      <c r="C409" s="21">
        <f t="shared" si="25"/>
        <v>87.375</v>
      </c>
      <c r="D409" s="4">
        <f>POWER(gompertz_g,POWER(gompertz_c,InitialAgeQ2)*(gompertz_c^('Question 2'!C409-InitialAgeQ2)-1))</f>
        <v>2.4300388701367484E-5</v>
      </c>
      <c r="E409" s="21">
        <f>(1+IntRateQ2)^(-(C409-InitialAgeQ2))*D409</f>
        <v>3.790170710858819E-6</v>
      </c>
      <c r="F409" s="10">
        <f t="shared" si="26"/>
        <v>0</v>
      </c>
      <c r="G409" s="10">
        <f t="shared" si="27"/>
        <v>0</v>
      </c>
      <c r="H409" s="10">
        <f t="shared" si="28"/>
        <v>4</v>
      </c>
      <c r="I409" s="12">
        <f>IF(MOD(B409,StepsEachYearQ2)=0,1+B409/StepsEachYearQ2,0)</f>
        <v>0</v>
      </c>
      <c r="M409" s="33"/>
    </row>
    <row r="410" spans="1:13" ht="13.15" thickBot="1" x14ac:dyDescent="0.4">
      <c r="A410" s="4"/>
      <c r="B410" s="13">
        <f t="shared" si="29"/>
        <v>380</v>
      </c>
      <c r="C410" s="21">
        <f t="shared" si="25"/>
        <v>87.5</v>
      </c>
      <c r="D410" s="4">
        <f>POWER(gompertz_g,POWER(gompertz_c,InitialAgeQ2)*(gompertz_c^('Question 2'!C410-InitialAgeQ2)-1))</f>
        <v>2.1616242742153243E-5</v>
      </c>
      <c r="E410" s="21">
        <f>(1+IntRateQ2)^(-(C410-InitialAgeQ2))*D410</f>
        <v>3.3550314220525363E-6</v>
      </c>
      <c r="F410" s="10">
        <f t="shared" si="26"/>
        <v>0</v>
      </c>
      <c r="G410" s="10">
        <f t="shared" si="27"/>
        <v>0.5</v>
      </c>
      <c r="H410" s="10">
        <f t="shared" si="28"/>
        <v>2</v>
      </c>
      <c r="I410" s="12">
        <f>IF(MOD(B410,StepsEachYearQ2)=0,1+B410/StepsEachYearQ2,0)</f>
        <v>0</v>
      </c>
      <c r="M410" s="33"/>
    </row>
    <row r="411" spans="1:13" ht="13.15" thickBot="1" x14ac:dyDescent="0.4">
      <c r="A411" s="4"/>
      <c r="B411" s="13">
        <f t="shared" si="29"/>
        <v>381</v>
      </c>
      <c r="C411" s="21">
        <f t="shared" si="25"/>
        <v>87.625</v>
      </c>
      <c r="D411" s="4">
        <f>POWER(gompertz_g,POWER(gompertz_c,InitialAgeQ2)*(gompertz_c^('Question 2'!C411-InitialAgeQ2)-1))</f>
        <v>1.9204219132088818E-5</v>
      </c>
      <c r="E411" s="21">
        <f>(1+IntRateQ2)^(-(C411-InitialAgeQ2))*D411</f>
        <v>2.9660868864319317E-6</v>
      </c>
      <c r="F411" s="10">
        <f t="shared" si="26"/>
        <v>0</v>
      </c>
      <c r="G411" s="10">
        <f t="shared" si="27"/>
        <v>0</v>
      </c>
      <c r="H411" s="10">
        <f t="shared" si="28"/>
        <v>4</v>
      </c>
      <c r="I411" s="12">
        <f>IF(MOD(B411,StepsEachYearQ2)=0,1+B411/StepsEachYearQ2,0)</f>
        <v>0</v>
      </c>
      <c r="M411" s="33"/>
    </row>
    <row r="412" spans="1:13" ht="13.15" thickBot="1" x14ac:dyDescent="0.4">
      <c r="A412" s="4"/>
      <c r="B412" s="13">
        <f t="shared" si="29"/>
        <v>382</v>
      </c>
      <c r="C412" s="21">
        <f t="shared" si="25"/>
        <v>87.75</v>
      </c>
      <c r="D412" s="4">
        <f>POWER(gompertz_g,POWER(gompertz_c,InitialAgeQ2)*(gompertz_c^('Question 2'!C412-InitialAgeQ2)-1))</f>
        <v>1.7039489943473827E-5</v>
      </c>
      <c r="E412" s="21">
        <f>(1+IntRateQ2)^(-(C412-InitialAgeQ2))*D412</f>
        <v>2.6188742110462702E-6</v>
      </c>
      <c r="F412" s="10">
        <f t="shared" si="26"/>
        <v>0</v>
      </c>
      <c r="G412" s="10">
        <f t="shared" si="27"/>
        <v>0</v>
      </c>
      <c r="H412" s="10">
        <f t="shared" si="28"/>
        <v>2</v>
      </c>
      <c r="I412" s="12">
        <f>IF(MOD(B412,StepsEachYearQ2)=0,1+B412/StepsEachYearQ2,0)</f>
        <v>0</v>
      </c>
      <c r="M412" s="33"/>
    </row>
    <row r="413" spans="1:13" ht="13.15" thickBot="1" x14ac:dyDescent="0.4">
      <c r="A413" s="4"/>
      <c r="B413" s="13">
        <f t="shared" si="29"/>
        <v>383</v>
      </c>
      <c r="C413" s="21">
        <f t="shared" si="25"/>
        <v>87.875</v>
      </c>
      <c r="D413" s="4">
        <f>POWER(gompertz_g,POWER(gompertz_c,InitialAgeQ2)*(gompertz_c^('Question 2'!C413-InitialAgeQ2)-1))</f>
        <v>1.5099201971254287E-5</v>
      </c>
      <c r="E413" s="21">
        <f>(1+IntRateQ2)^(-(C413-InitialAgeQ2))*D413</f>
        <v>2.3093133993305047E-6</v>
      </c>
      <c r="F413" s="10">
        <f t="shared" si="26"/>
        <v>0</v>
      </c>
      <c r="G413" s="10">
        <f t="shared" si="27"/>
        <v>0</v>
      </c>
      <c r="H413" s="10">
        <f t="shared" si="28"/>
        <v>4</v>
      </c>
      <c r="I413" s="12">
        <f>IF(MOD(B413,StepsEachYearQ2)=0,1+B413/StepsEachYearQ2,0)</f>
        <v>0</v>
      </c>
      <c r="M413" s="33"/>
    </row>
    <row r="414" spans="1:13" ht="13.15" thickBot="1" x14ac:dyDescent="0.4">
      <c r="A414" s="4"/>
      <c r="B414" s="13">
        <f t="shared" si="29"/>
        <v>384</v>
      </c>
      <c r="C414" s="21">
        <f t="shared" ref="C414:C477" si="30">InitialAgeQ2+B414*StepSizeQ2</f>
        <v>88</v>
      </c>
      <c r="D414" s="4">
        <f>POWER(gompertz_g,POWER(gompertz_c,InitialAgeQ2)*(gompertz_c^('Question 2'!C414-InitialAgeQ2)-1))</f>
        <v>1.3362347813620157E-5</v>
      </c>
      <c r="E414" s="21">
        <f>(1+IntRateQ2)^(-(C414-InitialAgeQ2))*D414</f>
        <v>2.0336793819271917E-6</v>
      </c>
      <c r="F414" s="10">
        <f t="shared" si="26"/>
        <v>1</v>
      </c>
      <c r="G414" s="10">
        <f t="shared" si="27"/>
        <v>0.5</v>
      </c>
      <c r="H414" s="10">
        <f t="shared" si="28"/>
        <v>2</v>
      </c>
      <c r="I414" s="12">
        <f>IF(MOD(B414,StepsEachYearQ2)=0,1+B414/StepsEachYearQ2,0)</f>
        <v>49</v>
      </c>
      <c r="M414" s="33"/>
    </row>
    <row r="415" spans="1:13" ht="13.15" thickBot="1" x14ac:dyDescent="0.4">
      <c r="A415" s="4"/>
      <c r="B415" s="13">
        <f t="shared" si="29"/>
        <v>385</v>
      </c>
      <c r="C415" s="21">
        <f t="shared" si="30"/>
        <v>88.125</v>
      </c>
      <c r="D415" s="4">
        <f>POWER(gompertz_g,POWER(gompertz_c,InitialAgeQ2)*(gompertz_c^('Question 2'!C415-InitialAgeQ2)-1))</f>
        <v>1.1809642877951206E-5</v>
      </c>
      <c r="E415" s="21">
        <f>(1+IntRateQ2)^(-(C415-InitialAgeQ2))*D415</f>
        <v>1.788575638300445E-6</v>
      </c>
      <c r="F415" s="10">
        <f t="shared" ref="F415:F478" si="31">IF(MOD(B415,8)=0,1,0)</f>
        <v>0</v>
      </c>
      <c r="G415" s="10">
        <f t="shared" ref="G415:G478" si="32">IF(MOD(B415,4)=0,1/2,0)</f>
        <v>0</v>
      </c>
      <c r="H415" s="10">
        <f t="shared" ref="H415:H478" si="33">IF(B415=0,1,IF(ISEVEN(B415),2,4))</f>
        <v>4</v>
      </c>
      <c r="I415" s="12">
        <f>IF(MOD(B415,StepsEachYearQ2)=0,1+B415/StepsEachYearQ2,0)</f>
        <v>0</v>
      </c>
      <c r="M415" s="33"/>
    </row>
    <row r="416" spans="1:13" ht="13.15" thickBot="1" x14ac:dyDescent="0.4">
      <c r="A416" s="4"/>
      <c r="B416" s="13">
        <f t="shared" ref="B416:B479" si="34">B415+1</f>
        <v>386</v>
      </c>
      <c r="C416" s="21">
        <f t="shared" si="30"/>
        <v>88.25</v>
      </c>
      <c r="D416" s="4">
        <f>POWER(gompertz_g,POWER(gompertz_c,InitialAgeQ2)*(gompertz_c^('Question 2'!C416-InitialAgeQ2)-1))</f>
        <v>1.0423408243774647E-5</v>
      </c>
      <c r="E416" s="21">
        <f>(1+IntRateQ2)^(-(C416-InitialAgeQ2))*D416</f>
        <v>1.5709093569508378E-6</v>
      </c>
      <c r="F416" s="10">
        <f t="shared" si="31"/>
        <v>0</v>
      </c>
      <c r="G416" s="10">
        <f t="shared" si="32"/>
        <v>0</v>
      </c>
      <c r="H416" s="10">
        <f t="shared" si="33"/>
        <v>2</v>
      </c>
      <c r="I416" s="12">
        <f>IF(MOD(B416,StepsEachYearQ2)=0,1+B416/StepsEachYearQ2,0)</f>
        <v>0</v>
      </c>
      <c r="M416" s="33"/>
    </row>
    <row r="417" spans="1:13" ht="13.15" thickBot="1" x14ac:dyDescent="0.4">
      <c r="A417" s="4"/>
      <c r="B417" s="13">
        <f t="shared" si="34"/>
        <v>387</v>
      </c>
      <c r="C417" s="21">
        <f t="shared" si="30"/>
        <v>88.375</v>
      </c>
      <c r="D417" s="4">
        <f>POWER(gompertz_g,POWER(gompertz_c,InitialAgeQ2)*(gompertz_c^('Question 2'!C417-InitialAgeQ2)-1))</f>
        <v>9.1874592975527108E-6</v>
      </c>
      <c r="E417" s="21">
        <f>(1+IntRateQ2)^(-(C417-InitialAgeQ2))*D417</f>
        <v>1.377868080659084E-6</v>
      </c>
      <c r="F417" s="10">
        <f t="shared" si="31"/>
        <v>0</v>
      </c>
      <c r="G417" s="10">
        <f t="shared" si="32"/>
        <v>0</v>
      </c>
      <c r="H417" s="10">
        <f t="shared" si="33"/>
        <v>4</v>
      </c>
      <c r="I417" s="12">
        <f>IF(MOD(B417,StepsEachYearQ2)=0,1+B417/StepsEachYearQ2,0)</f>
        <v>0</v>
      </c>
      <c r="M417" s="33"/>
    </row>
    <row r="418" spans="1:13" ht="13.15" thickBot="1" x14ac:dyDescent="0.4">
      <c r="A418" s="4"/>
      <c r="B418" s="13">
        <f t="shared" si="34"/>
        <v>388</v>
      </c>
      <c r="C418" s="21">
        <f t="shared" si="30"/>
        <v>88.5</v>
      </c>
      <c r="D418" s="4">
        <f>POWER(gompertz_g,POWER(gompertz_c,InitialAgeQ2)*(gompertz_c^('Question 2'!C418-InitialAgeQ2)-1))</f>
        <v>8.0870000386814018E-6</v>
      </c>
      <c r="E418" s="21">
        <f>(1+IntRateQ2)^(-(C418-InitialAgeQ2))*D418</f>
        <v>1.2068977821072334E-6</v>
      </c>
      <c r="F418" s="10">
        <f t="shared" si="31"/>
        <v>0</v>
      </c>
      <c r="G418" s="10">
        <f t="shared" si="32"/>
        <v>0.5</v>
      </c>
      <c r="H418" s="10">
        <f t="shared" si="33"/>
        <v>2</v>
      </c>
      <c r="I418" s="12">
        <f>IF(MOD(B418,StepsEachYearQ2)=0,1+B418/StepsEachYearQ2,0)</f>
        <v>0</v>
      </c>
      <c r="M418" s="33"/>
    </row>
    <row r="419" spans="1:13" ht="13.15" thickBot="1" x14ac:dyDescent="0.4">
      <c r="A419" s="4"/>
      <c r="B419" s="13">
        <f t="shared" si="34"/>
        <v>389</v>
      </c>
      <c r="C419" s="21">
        <f t="shared" si="30"/>
        <v>88.625</v>
      </c>
      <c r="D419" s="4">
        <f>POWER(gompertz_g,POWER(gompertz_c,InitialAgeQ2)*(gompertz_c^('Question 2'!C419-InitialAgeQ2)-1))</f>
        <v>7.1085229420185579E-6</v>
      </c>
      <c r="E419" s="21">
        <f>(1+IntRateQ2)^(-(C419-InitialAgeQ2))*D419</f>
        <v>1.0556823144315018E-6</v>
      </c>
      <c r="F419" s="10">
        <f t="shared" si="31"/>
        <v>0</v>
      </c>
      <c r="G419" s="10">
        <f t="shared" si="32"/>
        <v>0</v>
      </c>
      <c r="H419" s="10">
        <f t="shared" si="33"/>
        <v>4</v>
      </c>
      <c r="I419" s="12">
        <f>IF(MOD(B419,StepsEachYearQ2)=0,1+B419/StepsEachYearQ2,0)</f>
        <v>0</v>
      </c>
      <c r="M419" s="33"/>
    </row>
    <row r="420" spans="1:13" ht="13.15" thickBot="1" x14ac:dyDescent="0.4">
      <c r="A420" s="4"/>
      <c r="B420" s="13">
        <f t="shared" si="34"/>
        <v>390</v>
      </c>
      <c r="C420" s="21">
        <f t="shared" si="30"/>
        <v>88.75</v>
      </c>
      <c r="D420" s="4">
        <f>POWER(gompertz_g,POWER(gompertz_c,InitialAgeQ2)*(gompertz_c^('Question 2'!C420-InitialAgeQ2)-1))</f>
        <v>6.2397142496066061E-6</v>
      </c>
      <c r="E420" s="21">
        <f>(1+IntRateQ2)^(-(C420-InitialAgeQ2))*D420</f>
        <v>9.2212418074368293E-7</v>
      </c>
      <c r="F420" s="10">
        <f t="shared" si="31"/>
        <v>0</v>
      </c>
      <c r="G420" s="10">
        <f t="shared" si="32"/>
        <v>0</v>
      </c>
      <c r="H420" s="10">
        <f t="shared" si="33"/>
        <v>2</v>
      </c>
      <c r="I420" s="12">
        <f>IF(MOD(B420,StepsEachYearQ2)=0,1+B420/StepsEachYearQ2,0)</f>
        <v>0</v>
      </c>
      <c r="M420" s="33"/>
    </row>
    <row r="421" spans="1:13" ht="13.15" thickBot="1" x14ac:dyDescent="0.4">
      <c r="A421" s="4"/>
      <c r="B421" s="13">
        <f t="shared" si="34"/>
        <v>391</v>
      </c>
      <c r="C421" s="21">
        <f t="shared" si="30"/>
        <v>88.875</v>
      </c>
      <c r="D421" s="4">
        <f>POWER(gompertz_g,POWER(gompertz_c,InitialAgeQ2)*(gompertz_c^('Question 2'!C421-InitialAgeQ2)-1))</f>
        <v>5.4693645529720836E-6</v>
      </c>
      <c r="E421" s="21">
        <f>(1+IntRateQ2)^(-(C421-InitialAgeQ2))*D421</f>
        <v>8.0432656640037531E-7</v>
      </c>
      <c r="F421" s="10">
        <f t="shared" si="31"/>
        <v>0</v>
      </c>
      <c r="G421" s="10">
        <f t="shared" si="32"/>
        <v>0</v>
      </c>
      <c r="H421" s="10">
        <f t="shared" si="33"/>
        <v>4</v>
      </c>
      <c r="I421" s="12">
        <f>IF(MOD(B421,StepsEachYearQ2)=0,1+B421/StepsEachYearQ2,0)</f>
        <v>0</v>
      </c>
      <c r="M421" s="33"/>
    </row>
    <row r="422" spans="1:13" ht="13.15" thickBot="1" x14ac:dyDescent="0.4">
      <c r="A422" s="4"/>
      <c r="B422" s="13">
        <f t="shared" si="34"/>
        <v>392</v>
      </c>
      <c r="C422" s="21">
        <f t="shared" si="30"/>
        <v>89</v>
      </c>
      <c r="D422" s="4">
        <f>POWER(gompertz_g,POWER(gompertz_c,InitialAgeQ2)*(gompertz_c^('Question 2'!C422-InitialAgeQ2)-1))</f>
        <v>4.7872845174703501E-6</v>
      </c>
      <c r="E422" s="21">
        <f>(1+IntRateQ2)^(-(C422-InitialAgeQ2))*D422</f>
        <v>7.0057657778948115E-7</v>
      </c>
      <c r="F422" s="10">
        <f t="shared" si="31"/>
        <v>1</v>
      </c>
      <c r="G422" s="10">
        <f t="shared" si="32"/>
        <v>0.5</v>
      </c>
      <c r="H422" s="10">
        <f t="shared" si="33"/>
        <v>2</v>
      </c>
      <c r="I422" s="12">
        <f>IF(MOD(B422,StepsEachYearQ2)=0,1+B422/StepsEachYearQ2,0)</f>
        <v>50</v>
      </c>
      <c r="M422" s="33"/>
    </row>
    <row r="423" spans="1:13" ht="13.15" thickBot="1" x14ac:dyDescent="0.4">
      <c r="A423" s="4"/>
      <c r="B423" s="13">
        <f t="shared" si="34"/>
        <v>393</v>
      </c>
      <c r="C423" s="21">
        <f t="shared" si="30"/>
        <v>89.125</v>
      </c>
      <c r="D423" s="4">
        <f>POWER(gompertz_g,POWER(gompertz_c,InitialAgeQ2)*(gompertz_c^('Question 2'!C423-InitialAgeQ2)-1))</f>
        <v>4.1842255915622214E-6</v>
      </c>
      <c r="E423" s="21">
        <f>(1+IntRateQ2)^(-(C423-InitialAgeQ2))*D423</f>
        <v>6.0932963162490645E-7</v>
      </c>
      <c r="F423" s="10">
        <f t="shared" si="31"/>
        <v>0</v>
      </c>
      <c r="G423" s="10">
        <f t="shared" si="32"/>
        <v>0</v>
      </c>
      <c r="H423" s="10">
        <f t="shared" si="33"/>
        <v>4</v>
      </c>
      <c r="I423" s="12">
        <f>IF(MOD(B423,StepsEachYearQ2)=0,1+B423/StepsEachYearQ2,0)</f>
        <v>0</v>
      </c>
      <c r="M423" s="33"/>
    </row>
    <row r="424" spans="1:13" ht="13.15" thickBot="1" x14ac:dyDescent="0.4">
      <c r="A424" s="4"/>
      <c r="B424" s="13">
        <f t="shared" si="34"/>
        <v>394</v>
      </c>
      <c r="C424" s="21">
        <f t="shared" si="30"/>
        <v>89.25</v>
      </c>
      <c r="D424" s="4">
        <f>POWER(gompertz_g,POWER(gompertz_c,InitialAgeQ2)*(gompertz_c^('Question 2'!C424-InitialAgeQ2)-1))</f>
        <v>3.6518055366333664E-6</v>
      </c>
      <c r="E424" s="21">
        <f>(1+IntRateQ2)^(-(C424-InitialAgeQ2))*D424</f>
        <v>5.2919493917862465E-7</v>
      </c>
      <c r="F424" s="10">
        <f t="shared" si="31"/>
        <v>0</v>
      </c>
      <c r="G424" s="10">
        <f t="shared" si="32"/>
        <v>0</v>
      </c>
      <c r="H424" s="10">
        <f t="shared" si="33"/>
        <v>2</v>
      </c>
      <c r="I424" s="12">
        <f>IF(MOD(B424,StepsEachYearQ2)=0,1+B424/StepsEachYearQ2,0)</f>
        <v>0</v>
      </c>
      <c r="M424" s="33"/>
    </row>
    <row r="425" spans="1:13" ht="13.15" thickBot="1" x14ac:dyDescent="0.4">
      <c r="A425" s="4"/>
      <c r="B425" s="13">
        <f t="shared" si="34"/>
        <v>395</v>
      </c>
      <c r="C425" s="21">
        <f t="shared" si="30"/>
        <v>89.375</v>
      </c>
      <c r="D425" s="4">
        <f>POWER(gompertz_g,POWER(gompertz_c,InitialAgeQ2)*(gompertz_c^('Question 2'!C425-InitialAgeQ2)-1))</f>
        <v>3.1824386069463771E-6</v>
      </c>
      <c r="E425" s="21">
        <f>(1+IntRateQ2)^(-(C425-InitialAgeQ2))*D425</f>
        <v>4.5892203051683106E-7</v>
      </c>
      <c r="F425" s="10">
        <f t="shared" si="31"/>
        <v>0</v>
      </c>
      <c r="G425" s="10">
        <f t="shared" si="32"/>
        <v>0</v>
      </c>
      <c r="H425" s="10">
        <f t="shared" si="33"/>
        <v>4</v>
      </c>
      <c r="I425" s="12">
        <f>IF(MOD(B425,StepsEachYearQ2)=0,1+B425/StepsEachYearQ2,0)</f>
        <v>0</v>
      </c>
      <c r="M425" s="33"/>
    </row>
    <row r="426" spans="1:13" ht="13.15" thickBot="1" x14ac:dyDescent="0.4">
      <c r="A426" s="4"/>
      <c r="B426" s="13">
        <f t="shared" si="34"/>
        <v>396</v>
      </c>
      <c r="C426" s="21">
        <f t="shared" si="30"/>
        <v>89.5</v>
      </c>
      <c r="D426" s="4">
        <f>POWER(gompertz_g,POWER(gompertz_c,InitialAgeQ2)*(gompertz_c^('Question 2'!C426-InitialAgeQ2)-1))</f>
        <v>2.7692702045202275E-6</v>
      </c>
      <c r="E426" s="21">
        <f>(1+IntRateQ2)^(-(C426-InitialAgeQ2))*D426</f>
        <v>3.9738826462992717E-7</v>
      </c>
      <c r="F426" s="10">
        <f t="shared" si="31"/>
        <v>0</v>
      </c>
      <c r="G426" s="10">
        <f t="shared" si="32"/>
        <v>0.5</v>
      </c>
      <c r="H426" s="10">
        <f t="shared" si="33"/>
        <v>2</v>
      </c>
      <c r="I426" s="12">
        <f>IF(MOD(B426,StepsEachYearQ2)=0,1+B426/StepsEachYearQ2,0)</f>
        <v>0</v>
      </c>
      <c r="M426" s="33"/>
    </row>
    <row r="427" spans="1:13" ht="13.15" thickBot="1" x14ac:dyDescent="0.4">
      <c r="A427" s="4"/>
      <c r="B427" s="13">
        <f t="shared" si="34"/>
        <v>397</v>
      </c>
      <c r="C427" s="21">
        <f t="shared" si="30"/>
        <v>89.625</v>
      </c>
      <c r="D427" s="4">
        <f>POWER(gompertz_g,POWER(gompertz_c,InitialAgeQ2)*(gompertz_c^('Question 2'!C427-InitialAgeQ2)-1))</f>
        <v>2.4061158300910664E-6</v>
      </c>
      <c r="E427" s="21">
        <f>(1+IntRateQ2)^(-(C427-InitialAgeQ2))*D427</f>
        <v>3.4358727233536901E-7</v>
      </c>
      <c r="F427" s="10">
        <f t="shared" si="31"/>
        <v>0</v>
      </c>
      <c r="G427" s="10">
        <f t="shared" si="32"/>
        <v>0</v>
      </c>
      <c r="H427" s="10">
        <f t="shared" si="33"/>
        <v>4</v>
      </c>
      <c r="I427" s="12">
        <f>IF(MOD(B427,StepsEachYearQ2)=0,1+B427/StepsEachYearQ2,0)</f>
        <v>0</v>
      </c>
      <c r="M427" s="33"/>
    </row>
    <row r="428" spans="1:13" ht="13.15" thickBot="1" x14ac:dyDescent="0.4">
      <c r="A428" s="4"/>
      <c r="B428" s="13">
        <f t="shared" si="34"/>
        <v>398</v>
      </c>
      <c r="C428" s="21">
        <f t="shared" si="30"/>
        <v>89.75</v>
      </c>
      <c r="D428" s="4">
        <f>POWER(gompertz_g,POWER(gompertz_c,InitialAgeQ2)*(gompertz_c^('Question 2'!C428-InitialAgeQ2)-1))</f>
        <v>2.0874041487816728E-6</v>
      </c>
      <c r="E428" s="21">
        <f>(1+IntRateQ2)^(-(C428-InitialAgeQ2))*D428</f>
        <v>2.9661827997381395E-7</v>
      </c>
      <c r="F428" s="10">
        <f t="shared" si="31"/>
        <v>0</v>
      </c>
      <c r="G428" s="10">
        <f t="shared" si="32"/>
        <v>0</v>
      </c>
      <c r="H428" s="10">
        <f t="shared" si="33"/>
        <v>2</v>
      </c>
      <c r="I428" s="12">
        <f>IF(MOD(B428,StepsEachYearQ2)=0,1+B428/StepsEachYearQ2,0)</f>
        <v>0</v>
      </c>
      <c r="M428" s="33"/>
    </row>
    <row r="429" spans="1:13" ht="13.15" thickBot="1" x14ac:dyDescent="0.4">
      <c r="A429" s="4"/>
      <c r="B429" s="13">
        <f t="shared" si="34"/>
        <v>399</v>
      </c>
      <c r="C429" s="21">
        <f t="shared" si="30"/>
        <v>89.875</v>
      </c>
      <c r="D429" s="4">
        <f>POWER(gompertz_g,POWER(gompertz_c,InitialAgeQ2)*(gompertz_c^('Question 2'!C429-InitialAgeQ2)-1))</f>
        <v>1.8081239876279754E-6</v>
      </c>
      <c r="E429" s="21">
        <f>(1+IntRateQ2)^(-(C429-InitialAgeQ2))*D429</f>
        <v>2.5567626319529294E-7</v>
      </c>
      <c r="F429" s="10">
        <f t="shared" si="31"/>
        <v>0</v>
      </c>
      <c r="G429" s="10">
        <f t="shared" si="32"/>
        <v>0</v>
      </c>
      <c r="H429" s="10">
        <f t="shared" si="33"/>
        <v>4</v>
      </c>
      <c r="I429" s="12">
        <f>IF(MOD(B429,StepsEachYearQ2)=0,1+B429/StepsEachYearQ2,0)</f>
        <v>0</v>
      </c>
      <c r="M429" s="33"/>
    </row>
    <row r="430" spans="1:13" ht="13.15" thickBot="1" x14ac:dyDescent="0.4">
      <c r="A430" s="4"/>
      <c r="B430" s="13">
        <f t="shared" si="34"/>
        <v>400</v>
      </c>
      <c r="C430" s="21">
        <f t="shared" si="30"/>
        <v>90</v>
      </c>
      <c r="D430" s="4">
        <f>POWER(gompertz_g,POWER(gompertz_c,InitialAgeQ2)*(gompertz_c^('Question 2'!C430-InitialAgeQ2)-1))</f>
        <v>1.5637750816157064E-6</v>
      </c>
      <c r="E430" s="21">
        <f>(1+IntRateQ2)^(-(C430-InitialAgeQ2))*D430</f>
        <v>2.2004288152709595E-7</v>
      </c>
      <c r="F430" s="10">
        <f t="shared" si="31"/>
        <v>1</v>
      </c>
      <c r="G430" s="10">
        <f t="shared" si="32"/>
        <v>0.5</v>
      </c>
      <c r="H430" s="10">
        <f t="shared" si="33"/>
        <v>2</v>
      </c>
      <c r="I430" s="12">
        <f>IF(MOD(B430,StepsEachYearQ2)=0,1+B430/StepsEachYearQ2,0)</f>
        <v>51</v>
      </c>
      <c r="M430" s="33"/>
    </row>
    <row r="431" spans="1:13" ht="13.15" thickBot="1" x14ac:dyDescent="0.4">
      <c r="A431" s="4"/>
      <c r="B431" s="13">
        <f t="shared" si="34"/>
        <v>401</v>
      </c>
      <c r="C431" s="21">
        <f t="shared" si="30"/>
        <v>90.125</v>
      </c>
      <c r="D431" s="4">
        <f>POWER(gompertz_g,POWER(gompertz_c,InitialAgeQ2)*(gompertz_c^('Question 2'!C431-InitialAgeQ2)-1))</f>
        <v>1.3503223853067064E-6</v>
      </c>
      <c r="E431" s="21">
        <f>(1+IntRateQ2)^(-(C431-InitialAgeQ2))*D431</f>
        <v>1.8907814591348659E-7</v>
      </c>
      <c r="F431" s="10">
        <f t="shared" si="31"/>
        <v>0</v>
      </c>
      <c r="G431" s="10">
        <f t="shared" si="32"/>
        <v>0</v>
      </c>
      <c r="H431" s="10">
        <f t="shared" si="33"/>
        <v>4</v>
      </c>
      <c r="I431" s="12">
        <f>IF(MOD(B431,StepsEachYearQ2)=0,1+B431/StepsEachYearQ2,0)</f>
        <v>0</v>
      </c>
      <c r="M431" s="33"/>
    </row>
    <row r="432" spans="1:13" ht="13.15" thickBot="1" x14ac:dyDescent="0.4">
      <c r="A432" s="4"/>
      <c r="B432" s="13">
        <f t="shared" si="34"/>
        <v>402</v>
      </c>
      <c r="C432" s="21">
        <f t="shared" si="30"/>
        <v>90.25</v>
      </c>
      <c r="D432" s="4">
        <f>POWER(gompertz_g,POWER(gompertz_c,InitialAgeQ2)*(gompertz_c^('Question 2'!C432-InitialAgeQ2)-1))</f>
        <v>1.1641537684124843E-6</v>
      </c>
      <c r="E432" s="21">
        <f>(1+IntRateQ2)^(-(C432-InitialAgeQ2))*D432</f>
        <v>1.6221277300352768E-7</v>
      </c>
      <c r="F432" s="10">
        <f t="shared" si="31"/>
        <v>0</v>
      </c>
      <c r="G432" s="10">
        <f t="shared" si="32"/>
        <v>0</v>
      </c>
      <c r="H432" s="10">
        <f t="shared" si="33"/>
        <v>2</v>
      </c>
      <c r="I432" s="12">
        <f>IF(MOD(B432,StepsEachYearQ2)=0,1+B432/StepsEachYearQ2,0)</f>
        <v>0</v>
      </c>
      <c r="M432" s="33"/>
    </row>
    <row r="433" spans="1:13" ht="13.15" thickBot="1" x14ac:dyDescent="0.4">
      <c r="A433" s="4"/>
      <c r="B433" s="13">
        <f t="shared" si="34"/>
        <v>403</v>
      </c>
      <c r="C433" s="21">
        <f t="shared" si="30"/>
        <v>90.375</v>
      </c>
      <c r="D433" s="4">
        <f>POWER(gompertz_g,POWER(gompertz_c,InitialAgeQ2)*(gompertz_c^('Question 2'!C433-InitialAgeQ2)-1))</f>
        <v>1.0020409157327127E-6</v>
      </c>
      <c r="E433" s="21">
        <f>(1+IntRateQ2)^(-(C433-InitialAgeQ2))*D433</f>
        <v>1.3894118162225867E-7</v>
      </c>
      <c r="F433" s="10">
        <f t="shared" si="31"/>
        <v>0</v>
      </c>
      <c r="G433" s="10">
        <f t="shared" si="32"/>
        <v>0</v>
      </c>
      <c r="H433" s="10">
        <f t="shared" si="33"/>
        <v>4</v>
      </c>
      <c r="I433" s="12">
        <f>IF(MOD(B433,StepsEachYearQ2)=0,1+B433/StepsEachYearQ2,0)</f>
        <v>0</v>
      </c>
      <c r="M433" s="33"/>
    </row>
    <row r="434" spans="1:13" ht="13.15" thickBot="1" x14ac:dyDescent="0.4">
      <c r="A434" s="4"/>
      <c r="B434" s="13">
        <f t="shared" si="34"/>
        <v>404</v>
      </c>
      <c r="C434" s="21">
        <f t="shared" si="30"/>
        <v>90.5</v>
      </c>
      <c r="D434" s="4">
        <f>POWER(gompertz_g,POWER(gompertz_c,InitialAgeQ2)*(gompertz_c^('Question 2'!C434-InitialAgeQ2)-1))</f>
        <v>8.61103254652867E-7</v>
      </c>
      <c r="E434" s="21">
        <f>(1+IntRateQ2)^(-(C434-InitialAgeQ2))*D434</f>
        <v>1.188150885784648E-7</v>
      </c>
      <c r="F434" s="10">
        <f t="shared" si="31"/>
        <v>0</v>
      </c>
      <c r="G434" s="10">
        <f t="shared" si="32"/>
        <v>0.5</v>
      </c>
      <c r="H434" s="10">
        <f t="shared" si="33"/>
        <v>2</v>
      </c>
      <c r="I434" s="12">
        <f>IF(MOD(B434,StepsEachYearQ2)=0,1+B434/StepsEachYearQ2,0)</f>
        <v>0</v>
      </c>
      <c r="M434" s="33"/>
    </row>
    <row r="435" spans="1:13" ht="13.15" thickBot="1" x14ac:dyDescent="0.4">
      <c r="A435" s="4"/>
      <c r="B435" s="13">
        <f t="shared" si="34"/>
        <v>405</v>
      </c>
      <c r="C435" s="21">
        <f t="shared" si="30"/>
        <v>90.625</v>
      </c>
      <c r="D435" s="4">
        <f>POWER(gompertz_g,POWER(gompertz_c,InitialAgeQ2)*(gompertz_c^('Question 2'!C435-InitialAgeQ2)-1))</f>
        <v>7.3877473681272278E-7</v>
      </c>
      <c r="E435" s="21">
        <f>(1+IntRateQ2)^(-(C435-InitialAgeQ2))*D435</f>
        <v>1.0143766272488016E-7</v>
      </c>
      <c r="F435" s="10">
        <f t="shared" si="31"/>
        <v>0</v>
      </c>
      <c r="G435" s="10">
        <f t="shared" si="32"/>
        <v>0</v>
      </c>
      <c r="H435" s="10">
        <f t="shared" si="33"/>
        <v>4</v>
      </c>
      <c r="I435" s="12">
        <f>IF(MOD(B435,StepsEachYearQ2)=0,1+B435/StepsEachYearQ2,0)</f>
        <v>0</v>
      </c>
      <c r="M435" s="33"/>
    </row>
    <row r="436" spans="1:13" ht="13.15" thickBot="1" x14ac:dyDescent="0.4">
      <c r="A436" s="4"/>
      <c r="B436" s="13">
        <f t="shared" si="34"/>
        <v>406</v>
      </c>
      <c r="C436" s="21">
        <f t="shared" si="30"/>
        <v>90.75</v>
      </c>
      <c r="D436" s="4">
        <f>POWER(gompertz_g,POWER(gompertz_c,InitialAgeQ2)*(gompertz_c^('Question 2'!C436-InitialAgeQ2)-1))</f>
        <v>6.3277330455182337E-7</v>
      </c>
      <c r="E436" s="21">
        <f>(1+IntRateQ2)^(-(C436-InitialAgeQ2))*D436</f>
        <v>8.6458197981604584E-8</v>
      </c>
      <c r="F436" s="10">
        <f t="shared" si="31"/>
        <v>0</v>
      </c>
      <c r="G436" s="10">
        <f t="shared" si="32"/>
        <v>0</v>
      </c>
      <c r="H436" s="10">
        <f t="shared" si="33"/>
        <v>2</v>
      </c>
      <c r="I436" s="12">
        <f>IF(MOD(B436,StepsEachYearQ2)=0,1+B436/StepsEachYearQ2,0)</f>
        <v>0</v>
      </c>
      <c r="M436" s="33"/>
    </row>
    <row r="437" spans="1:13" ht="13.15" thickBot="1" x14ac:dyDescent="0.4">
      <c r="A437" s="4"/>
      <c r="B437" s="13">
        <f t="shared" si="34"/>
        <v>407</v>
      </c>
      <c r="C437" s="21">
        <f t="shared" si="30"/>
        <v>90.875</v>
      </c>
      <c r="D437" s="4">
        <f>POWER(gompertz_g,POWER(gompertz_c,InitialAgeQ2)*(gompertz_c^('Question 2'!C437-InitialAgeQ2)-1))</f>
        <v>5.4107287723766323E-7</v>
      </c>
      <c r="E437" s="21">
        <f>(1+IntRateQ2)^(-(C437-InitialAgeQ2))*D437</f>
        <v>7.3567267848117668E-8</v>
      </c>
      <c r="F437" s="10">
        <f t="shared" si="31"/>
        <v>0</v>
      </c>
      <c r="G437" s="10">
        <f t="shared" si="32"/>
        <v>0</v>
      </c>
      <c r="H437" s="10">
        <f t="shared" si="33"/>
        <v>4</v>
      </c>
      <c r="I437" s="12">
        <f>IF(MOD(B437,StepsEachYearQ2)=0,1+B437/StepsEachYearQ2,0)</f>
        <v>0</v>
      </c>
      <c r="M437" s="33"/>
    </row>
    <row r="438" spans="1:13" ht="13.15" thickBot="1" x14ac:dyDescent="0.4">
      <c r="A438" s="4"/>
      <c r="B438" s="13">
        <f t="shared" si="34"/>
        <v>408</v>
      </c>
      <c r="C438" s="21">
        <f t="shared" si="30"/>
        <v>91</v>
      </c>
      <c r="D438" s="4">
        <f>POWER(gompertz_g,POWER(gompertz_c,InitialAgeQ2)*(gompertz_c^('Question 2'!C438-InitialAgeQ2)-1))</f>
        <v>4.6187769752227148E-7</v>
      </c>
      <c r="E438" s="21">
        <f>(1+IntRateQ2)^(-(C438-InitialAgeQ2))*D438</f>
        <v>6.2492325752359296E-8</v>
      </c>
      <c r="F438" s="10">
        <f t="shared" si="31"/>
        <v>1</v>
      </c>
      <c r="G438" s="10">
        <f t="shared" si="32"/>
        <v>0.5</v>
      </c>
      <c r="H438" s="10">
        <f t="shared" si="33"/>
        <v>2</v>
      </c>
      <c r="I438" s="12">
        <f>IF(MOD(B438,StepsEachYearQ2)=0,1+B438/StepsEachYearQ2,0)</f>
        <v>52</v>
      </c>
      <c r="M438" s="33"/>
    </row>
    <row r="439" spans="1:13" ht="13.15" thickBot="1" x14ac:dyDescent="0.4">
      <c r="A439" s="4"/>
      <c r="B439" s="13">
        <f t="shared" si="34"/>
        <v>409</v>
      </c>
      <c r="C439" s="21">
        <f t="shared" si="30"/>
        <v>91.125</v>
      </c>
      <c r="D439" s="4">
        <f>POWER(gompertz_g,POWER(gompertz_c,InitialAgeQ2)*(gompertz_c^('Question 2'!C439-InitialAgeQ2)-1))</f>
        <v>3.9359888288663655E-7</v>
      </c>
      <c r="E439" s="21">
        <f>(1+IntRateQ2)^(-(C439-InitialAgeQ2))*D439</f>
        <v>5.2993717406090991E-8</v>
      </c>
      <c r="F439" s="10">
        <f t="shared" si="31"/>
        <v>0</v>
      </c>
      <c r="G439" s="10">
        <f t="shared" si="32"/>
        <v>0</v>
      </c>
      <c r="H439" s="10">
        <f t="shared" si="33"/>
        <v>4</v>
      </c>
      <c r="I439" s="12">
        <f>IF(MOD(B439,StepsEachYearQ2)=0,1+B439/StepsEachYearQ2,0)</f>
        <v>0</v>
      </c>
      <c r="M439" s="33"/>
    </row>
    <row r="440" spans="1:13" ht="13.15" thickBot="1" x14ac:dyDescent="0.4">
      <c r="A440" s="4"/>
      <c r="B440" s="13">
        <f t="shared" si="34"/>
        <v>410</v>
      </c>
      <c r="C440" s="21">
        <f t="shared" si="30"/>
        <v>91.25</v>
      </c>
      <c r="D440" s="4">
        <f>POWER(gompertz_g,POWER(gompertz_c,InitialAgeQ2)*(gompertz_c^('Question 2'!C440-InitialAgeQ2)-1))</f>
        <v>3.3483303345888008E-7</v>
      </c>
      <c r="E440" s="21">
        <f>(1+IntRateQ2)^(-(C440-InitialAgeQ2))*D440</f>
        <v>4.4861073144584442E-8</v>
      </c>
      <c r="F440" s="10">
        <f t="shared" si="31"/>
        <v>0</v>
      </c>
      <c r="G440" s="10">
        <f t="shared" si="32"/>
        <v>0</v>
      </c>
      <c r="H440" s="10">
        <f t="shared" si="33"/>
        <v>2</v>
      </c>
      <c r="I440" s="12">
        <f>IF(MOD(B440,StepsEachYearQ2)=0,1+B440/StepsEachYearQ2,0)</f>
        <v>0</v>
      </c>
      <c r="M440" s="33"/>
    </row>
    <row r="441" spans="1:13" ht="13.15" thickBot="1" x14ac:dyDescent="0.4">
      <c r="A441" s="4"/>
      <c r="B441" s="13">
        <f t="shared" si="34"/>
        <v>411</v>
      </c>
      <c r="C441" s="21">
        <f t="shared" si="30"/>
        <v>91.375</v>
      </c>
      <c r="D441" s="4">
        <f>POWER(gompertz_g,POWER(gompertz_c,InitialAgeQ2)*(gompertz_c^('Question 2'!C441-InitialAgeQ2)-1))</f>
        <v>2.8434275296914831E-7</v>
      </c>
      <c r="E441" s="21">
        <f>(1+IntRateQ2)^(-(C441-InitialAgeQ2))*D441</f>
        <v>3.7910050016396926E-8</v>
      </c>
      <c r="F441" s="10">
        <f t="shared" si="31"/>
        <v>0</v>
      </c>
      <c r="G441" s="10">
        <f t="shared" si="32"/>
        <v>0</v>
      </c>
      <c r="H441" s="10">
        <f t="shared" si="33"/>
        <v>4</v>
      </c>
      <c r="I441" s="12">
        <f>IF(MOD(B441,StepsEachYearQ2)=0,1+B441/StepsEachYearQ2,0)</f>
        <v>0</v>
      </c>
      <c r="M441" s="33"/>
    </row>
    <row r="442" spans="1:13" ht="13.15" thickBot="1" x14ac:dyDescent="0.4">
      <c r="A442" s="4"/>
      <c r="B442" s="13">
        <f t="shared" si="34"/>
        <v>412</v>
      </c>
      <c r="C442" s="21">
        <f t="shared" si="30"/>
        <v>91.5</v>
      </c>
      <c r="D442" s="4">
        <f>POWER(gompertz_g,POWER(gompertz_c,InitialAgeQ2)*(gompertz_c^('Question 2'!C442-InitialAgeQ2)-1))</f>
        <v>2.4103894577714418E-7</v>
      </c>
      <c r="E442" s="21">
        <f>(1+IntRateQ2)^(-(C442-InitialAgeQ2))*D442</f>
        <v>3.1979395147829532E-8</v>
      </c>
      <c r="F442" s="10">
        <f t="shared" si="31"/>
        <v>0</v>
      </c>
      <c r="G442" s="10">
        <f t="shared" si="32"/>
        <v>0.5</v>
      </c>
      <c r="H442" s="10">
        <f t="shared" si="33"/>
        <v>2</v>
      </c>
      <c r="I442" s="12">
        <f>IF(MOD(B442,StepsEachYearQ2)=0,1+B442/StepsEachYearQ2,0)</f>
        <v>0</v>
      </c>
      <c r="M442" s="33"/>
    </row>
    <row r="443" spans="1:13" ht="13.15" thickBot="1" x14ac:dyDescent="0.4">
      <c r="A443" s="4"/>
      <c r="B443" s="13">
        <f t="shared" si="34"/>
        <v>413</v>
      </c>
      <c r="C443" s="21">
        <f t="shared" si="30"/>
        <v>91.625</v>
      </c>
      <c r="D443" s="4">
        <f>POWER(gompertz_g,POWER(gompertz_c,InitialAgeQ2)*(gompertz_c^('Question 2'!C443-InitialAgeQ2)-1))</f>
        <v>2.0396475912042613E-7</v>
      </c>
      <c r="E443" s="21">
        <f>(1+IntRateQ2)^(-(C443-InitialAgeQ2))*D443</f>
        <v>2.6928303629050165E-8</v>
      </c>
      <c r="F443" s="10">
        <f t="shared" si="31"/>
        <v>0</v>
      </c>
      <c r="G443" s="10">
        <f t="shared" si="32"/>
        <v>0</v>
      </c>
      <c r="H443" s="10">
        <f t="shared" si="33"/>
        <v>4</v>
      </c>
      <c r="I443" s="12">
        <f>IF(MOD(B443,StepsEachYearQ2)=0,1+B443/StepsEachYearQ2,0)</f>
        <v>0</v>
      </c>
      <c r="M443" s="33"/>
    </row>
    <row r="444" spans="1:13" ht="13.15" thickBot="1" x14ac:dyDescent="0.4">
      <c r="A444" s="4"/>
      <c r="B444" s="13">
        <f t="shared" si="34"/>
        <v>414</v>
      </c>
      <c r="C444" s="21">
        <f t="shared" si="30"/>
        <v>91.75</v>
      </c>
      <c r="D444" s="4">
        <f>POWER(gompertz_g,POWER(gompertz_c,InitialAgeQ2)*(gompertz_c^('Question 2'!C444-InitialAgeQ2)-1))</f>
        <v>1.7228104603444051E-7</v>
      </c>
      <c r="E444" s="21">
        <f>(1+IntRateQ2)^(-(C444-InitialAgeQ2))*D444</f>
        <v>2.2634045848672397E-8</v>
      </c>
      <c r="F444" s="10">
        <f t="shared" si="31"/>
        <v>0</v>
      </c>
      <c r="G444" s="10">
        <f t="shared" si="32"/>
        <v>0</v>
      </c>
      <c r="H444" s="10">
        <f t="shared" si="33"/>
        <v>2</v>
      </c>
      <c r="I444" s="12">
        <f>IF(MOD(B444,StepsEachYearQ2)=0,1+B444/StepsEachYearQ2,0)</f>
        <v>0</v>
      </c>
      <c r="M444" s="33"/>
    </row>
    <row r="445" spans="1:13" ht="13.15" thickBot="1" x14ac:dyDescent="0.4">
      <c r="A445" s="4"/>
      <c r="B445" s="13">
        <f t="shared" si="34"/>
        <v>415</v>
      </c>
      <c r="C445" s="21">
        <f t="shared" si="30"/>
        <v>91.875</v>
      </c>
      <c r="D445" s="4">
        <f>POWER(gompertz_g,POWER(gompertz_c,InitialAgeQ2)*(gompertz_c^('Question 2'!C445-InitialAgeQ2)-1))</f>
        <v>1.4525323074055264E-7</v>
      </c>
      <c r="E445" s="21">
        <f>(1+IntRateQ2)^(-(C445-InitialAgeQ2))*D445</f>
        <v>1.8989840835108059E-8</v>
      </c>
      <c r="F445" s="10">
        <f t="shared" si="31"/>
        <v>0</v>
      </c>
      <c r="G445" s="10">
        <f t="shared" si="32"/>
        <v>0</v>
      </c>
      <c r="H445" s="10">
        <f t="shared" si="33"/>
        <v>4</v>
      </c>
      <c r="I445" s="12">
        <f>IF(MOD(B445,StepsEachYearQ2)=0,1+B445/StepsEachYearQ2,0)</f>
        <v>0</v>
      </c>
      <c r="M445" s="33"/>
    </row>
    <row r="446" spans="1:13" ht="13.15" thickBot="1" x14ac:dyDescent="0.4">
      <c r="A446" s="4"/>
      <c r="B446" s="13">
        <f t="shared" si="34"/>
        <v>416</v>
      </c>
      <c r="C446" s="21">
        <f t="shared" si="30"/>
        <v>92</v>
      </c>
      <c r="D446" s="4">
        <f>POWER(gompertz_g,POWER(gompertz_c,InitialAgeQ2)*(gompertz_c^('Question 2'!C446-InitialAgeQ2)-1))</f>
        <v>1.2223946464300802E-7</v>
      </c>
      <c r="E446" s="21">
        <f>(1+IntRateQ2)^(-(C446-InitialAgeQ2))*D446</f>
        <v>1.5902953741542811E-8</v>
      </c>
      <c r="F446" s="10">
        <f t="shared" si="31"/>
        <v>1</v>
      </c>
      <c r="G446" s="10">
        <f t="shared" si="32"/>
        <v>0.5</v>
      </c>
      <c r="H446" s="10">
        <f t="shared" si="33"/>
        <v>2</v>
      </c>
      <c r="I446" s="12">
        <f>IF(MOD(B446,StepsEachYearQ2)=0,1+B446/StepsEachYearQ2,0)</f>
        <v>53</v>
      </c>
      <c r="M446" s="33"/>
    </row>
    <row r="447" spans="1:13" ht="13.15" thickBot="1" x14ac:dyDescent="0.4">
      <c r="A447" s="4"/>
      <c r="B447" s="13">
        <f t="shared" si="34"/>
        <v>417</v>
      </c>
      <c r="C447" s="21">
        <f t="shared" si="30"/>
        <v>92.125</v>
      </c>
      <c r="D447" s="4">
        <f>POWER(gompertz_g,POWER(gompertz_c,InitialAgeQ2)*(gompertz_c^('Question 2'!C447-InitialAgeQ2)-1))</f>
        <v>1.0267996737992356E-7</v>
      </c>
      <c r="E447" s="21">
        <f>(1+IntRateQ2)^(-(C447-InitialAgeQ2))*D447</f>
        <v>1.3292997132911281E-8</v>
      </c>
      <c r="F447" s="10">
        <f t="shared" si="31"/>
        <v>0</v>
      </c>
      <c r="G447" s="10">
        <f t="shared" si="32"/>
        <v>0</v>
      </c>
      <c r="H447" s="10">
        <f t="shared" si="33"/>
        <v>4</v>
      </c>
      <c r="I447" s="12">
        <f>IF(MOD(B447,StepsEachYearQ2)=0,1+B447/StepsEachYearQ2,0)</f>
        <v>0</v>
      </c>
      <c r="M447" s="33"/>
    </row>
    <row r="448" spans="1:13" ht="13.15" thickBot="1" x14ac:dyDescent="0.4">
      <c r="A448" s="4"/>
      <c r="B448" s="13">
        <f t="shared" si="34"/>
        <v>418</v>
      </c>
      <c r="C448" s="21">
        <f t="shared" si="30"/>
        <v>92.25</v>
      </c>
      <c r="D448" s="4">
        <f>POWER(gompertz_g,POWER(gompertz_c,InitialAgeQ2)*(gompertz_c^('Question 2'!C448-InitialAgeQ2)-1))</f>
        <v>8.6087453601457486E-8</v>
      </c>
      <c r="E448" s="21">
        <f>(1+IntRateQ2)^(-(C448-InitialAgeQ2))*D448</f>
        <v>1.1090417194570894E-8</v>
      </c>
      <c r="F448" s="10">
        <f t="shared" si="31"/>
        <v>0</v>
      </c>
      <c r="G448" s="10">
        <f t="shared" si="32"/>
        <v>0</v>
      </c>
      <c r="H448" s="10">
        <f t="shared" si="33"/>
        <v>2</v>
      </c>
      <c r="I448" s="12">
        <f>IF(MOD(B448,StepsEachYearQ2)=0,1+B448/StepsEachYearQ2,0)</f>
        <v>0</v>
      </c>
      <c r="M448" s="33"/>
    </row>
    <row r="449" spans="1:13" ht="13.15" thickBot="1" x14ac:dyDescent="0.4">
      <c r="A449" s="4"/>
      <c r="B449" s="13">
        <f t="shared" si="34"/>
        <v>419</v>
      </c>
      <c r="C449" s="21">
        <f t="shared" si="30"/>
        <v>92.375</v>
      </c>
      <c r="D449" s="4">
        <f>POWER(gompertz_g,POWER(gompertz_c,InitialAgeQ2)*(gompertz_c^('Question 2'!C449-InitialAgeQ2)-1))</f>
        <v>7.2038552267345902E-8</v>
      </c>
      <c r="E449" s="21">
        <f>(1+IntRateQ2)^(-(C449-InitialAgeQ2))*D449</f>
        <v>9.2351473808612627E-9</v>
      </c>
      <c r="F449" s="10">
        <f t="shared" si="31"/>
        <v>0</v>
      </c>
      <c r="G449" s="10">
        <f t="shared" si="32"/>
        <v>0</v>
      </c>
      <c r="H449" s="10">
        <f t="shared" si="33"/>
        <v>4</v>
      </c>
      <c r="I449" s="12">
        <f>IF(MOD(B449,StepsEachYearQ2)=0,1+B449/StepsEachYearQ2,0)</f>
        <v>0</v>
      </c>
      <c r="M449" s="33"/>
    </row>
    <row r="450" spans="1:13" ht="13.15" thickBot="1" x14ac:dyDescent="0.4">
      <c r="A450" s="4"/>
      <c r="B450" s="13">
        <f t="shared" si="34"/>
        <v>420</v>
      </c>
      <c r="C450" s="21">
        <f t="shared" si="30"/>
        <v>92.5</v>
      </c>
      <c r="D450" s="4">
        <f>POWER(gompertz_g,POWER(gompertz_c,InitialAgeQ2)*(gompertz_c^('Question 2'!C450-InitialAgeQ2)-1))</f>
        <v>6.0166131238576064E-8</v>
      </c>
      <c r="E450" s="21">
        <f>(1+IntRateQ2)^(-(C450-InitialAgeQ2))*D450</f>
        <v>7.6754133556456842E-9</v>
      </c>
      <c r="F450" s="10">
        <f t="shared" si="31"/>
        <v>0</v>
      </c>
      <c r="G450" s="10">
        <f t="shared" si="32"/>
        <v>0.5</v>
      </c>
      <c r="H450" s="10">
        <f t="shared" si="33"/>
        <v>2</v>
      </c>
      <c r="I450" s="12">
        <f>IF(MOD(B450,StepsEachYearQ2)=0,1+B450/StepsEachYearQ2,0)</f>
        <v>0</v>
      </c>
      <c r="M450" s="33"/>
    </row>
    <row r="451" spans="1:13" ht="13.15" thickBot="1" x14ac:dyDescent="0.4">
      <c r="A451" s="4"/>
      <c r="B451" s="13">
        <f t="shared" si="34"/>
        <v>421</v>
      </c>
      <c r="C451" s="21">
        <f t="shared" si="30"/>
        <v>92.625</v>
      </c>
      <c r="D451" s="4">
        <f>POWER(gompertz_g,POWER(gompertz_c,InitialAgeQ2)*(gompertz_c^('Question 2'!C451-InitialAgeQ2)-1))</f>
        <v>5.0152445758194951E-8</v>
      </c>
      <c r="E451" s="21">
        <f>(1+IntRateQ2)^(-(C451-InitialAgeQ2))*D451</f>
        <v>6.3666743448726031E-9</v>
      </c>
      <c r="F451" s="10">
        <f t="shared" si="31"/>
        <v>0</v>
      </c>
      <c r="G451" s="10">
        <f t="shared" si="32"/>
        <v>0</v>
      </c>
      <c r="H451" s="10">
        <f t="shared" si="33"/>
        <v>4</v>
      </c>
      <c r="I451" s="12">
        <f>IF(MOD(B451,StepsEachYearQ2)=0,1+B451/StepsEachYearQ2,0)</f>
        <v>0</v>
      </c>
      <c r="M451" s="33"/>
    </row>
    <row r="452" spans="1:13" ht="13.15" thickBot="1" x14ac:dyDescent="0.4">
      <c r="A452" s="4"/>
      <c r="B452" s="13">
        <f t="shared" si="34"/>
        <v>422</v>
      </c>
      <c r="C452" s="21">
        <f t="shared" si="30"/>
        <v>92.75</v>
      </c>
      <c r="D452" s="4">
        <f>POWER(gompertz_g,POWER(gompertz_c,InitialAgeQ2)*(gompertz_c^('Question 2'!C452-InitialAgeQ2)-1))</f>
        <v>4.1723035053645995E-8</v>
      </c>
      <c r="E452" s="21">
        <f>(1+IntRateQ2)^(-(C452-InitialAgeQ2))*D452</f>
        <v>5.2706872225938909E-9</v>
      </c>
      <c r="F452" s="10">
        <f t="shared" si="31"/>
        <v>0</v>
      </c>
      <c r="G452" s="10">
        <f t="shared" si="32"/>
        <v>0</v>
      </c>
      <c r="H452" s="10">
        <f t="shared" si="33"/>
        <v>2</v>
      </c>
      <c r="I452" s="12">
        <f>IF(MOD(B452,StepsEachYearQ2)=0,1+B452/StepsEachYearQ2,0)</f>
        <v>0</v>
      </c>
      <c r="M452" s="33"/>
    </row>
    <row r="453" spans="1:13" ht="13.15" thickBot="1" x14ac:dyDescent="0.4">
      <c r="A453" s="4"/>
      <c r="B453" s="13">
        <f t="shared" si="34"/>
        <v>423</v>
      </c>
      <c r="C453" s="21">
        <f t="shared" si="30"/>
        <v>92.875</v>
      </c>
      <c r="D453" s="4">
        <f>POWER(gompertz_g,POWER(gompertz_c,InitialAgeQ2)*(gompertz_c^('Question 2'!C453-InitialAgeQ2)-1))</f>
        <v>3.4641296729310284E-8</v>
      </c>
      <c r="E453" s="21">
        <f>(1+IntRateQ2)^(-(C453-InitialAgeQ2))*D453</f>
        <v>4.3546807865337502E-9</v>
      </c>
      <c r="F453" s="10">
        <f t="shared" si="31"/>
        <v>0</v>
      </c>
      <c r="G453" s="10">
        <f t="shared" si="32"/>
        <v>0</v>
      </c>
      <c r="H453" s="10">
        <f t="shared" si="33"/>
        <v>4</v>
      </c>
      <c r="I453" s="12">
        <f>IF(MOD(B453,StepsEachYearQ2)=0,1+B453/StepsEachYearQ2,0)</f>
        <v>0</v>
      </c>
      <c r="M453" s="33"/>
    </row>
    <row r="454" spans="1:13" ht="13.15" thickBot="1" x14ac:dyDescent="0.4">
      <c r="A454" s="4"/>
      <c r="B454" s="13">
        <f t="shared" si="34"/>
        <v>424</v>
      </c>
      <c r="C454" s="21">
        <f t="shared" si="30"/>
        <v>93</v>
      </c>
      <c r="D454" s="4">
        <f>POWER(gompertz_g,POWER(gompertz_c,InitialAgeQ2)*(gompertz_c^('Question 2'!C454-InitialAgeQ2)-1))</f>
        <v>2.870367383861094E-8</v>
      </c>
      <c r="E454" s="21">
        <f>(1+IntRateQ2)^(-(C454-InitialAgeQ2))*D454</f>
        <v>3.5906287475670187E-9</v>
      </c>
      <c r="F454" s="10">
        <f t="shared" si="31"/>
        <v>1</v>
      </c>
      <c r="G454" s="10">
        <f t="shared" si="32"/>
        <v>0.5</v>
      </c>
      <c r="H454" s="10">
        <f t="shared" si="33"/>
        <v>2</v>
      </c>
      <c r="I454" s="12">
        <f>IF(MOD(B454,StepsEachYearQ2)=0,1+B454/StepsEachYearQ2,0)</f>
        <v>54</v>
      </c>
      <c r="M454" s="33"/>
    </row>
    <row r="455" spans="1:13" ht="13.15" thickBot="1" x14ac:dyDescent="0.4">
      <c r="A455" s="4"/>
      <c r="B455" s="13">
        <f t="shared" si="34"/>
        <v>425</v>
      </c>
      <c r="C455" s="21">
        <f t="shared" si="30"/>
        <v>93.125</v>
      </c>
      <c r="D455" s="4">
        <f>POWER(gompertz_g,POWER(gompertz_c,InitialAgeQ2)*(gompertz_c^('Question 2'!C455-InitialAgeQ2)-1))</f>
        <v>2.3735394518609554E-8</v>
      </c>
      <c r="E455" s="21">
        <f>(1+IntRateQ2)^(-(C455-InitialAgeQ2))*D455</f>
        <v>2.9546109601077263E-9</v>
      </c>
      <c r="F455" s="10">
        <f t="shared" si="31"/>
        <v>0</v>
      </c>
      <c r="G455" s="10">
        <f t="shared" si="32"/>
        <v>0</v>
      </c>
      <c r="H455" s="10">
        <f t="shared" si="33"/>
        <v>4</v>
      </c>
      <c r="I455" s="12">
        <f>IF(MOD(B455,StepsEachYearQ2)=0,1+B455/StepsEachYearQ2,0)</f>
        <v>0</v>
      </c>
      <c r="M455" s="33"/>
    </row>
    <row r="456" spans="1:13" ht="13.15" thickBot="1" x14ac:dyDescent="0.4">
      <c r="A456" s="4"/>
      <c r="B456" s="13">
        <f t="shared" si="34"/>
        <v>426</v>
      </c>
      <c r="C456" s="21">
        <f t="shared" si="30"/>
        <v>93.25</v>
      </c>
      <c r="D456" s="4">
        <f>POWER(gompertz_g,POWER(gompertz_c,InitialAgeQ2)*(gompertz_c^('Question 2'!C456-InitialAgeQ2)-1))</f>
        <v>1.9586708827855345E-8</v>
      </c>
      <c r="E456" s="21">
        <f>(1+IntRateQ2)^(-(C456-InitialAgeQ2))*D456</f>
        <v>2.4262533585808811E-9</v>
      </c>
      <c r="F456" s="10">
        <f t="shared" si="31"/>
        <v>0</v>
      </c>
      <c r="G456" s="10">
        <f t="shared" si="32"/>
        <v>0</v>
      </c>
      <c r="H456" s="10">
        <f t="shared" si="33"/>
        <v>2</v>
      </c>
      <c r="I456" s="12">
        <f>IF(MOD(B456,StepsEachYearQ2)=0,1+B456/StepsEachYearQ2,0)</f>
        <v>0</v>
      </c>
      <c r="M456" s="33"/>
    </row>
    <row r="457" spans="1:13" ht="13.15" thickBot="1" x14ac:dyDescent="0.4">
      <c r="A457" s="4"/>
      <c r="B457" s="13">
        <f t="shared" si="34"/>
        <v>427</v>
      </c>
      <c r="C457" s="21">
        <f t="shared" si="30"/>
        <v>93.375</v>
      </c>
      <c r="D457" s="4">
        <f>POWER(gompertz_g,POWER(gompertz_c,InitialAgeQ2)*(gompertz_c^('Question 2'!C457-InitialAgeQ2)-1))</f>
        <v>1.6129571944388775E-8</v>
      </c>
      <c r="E457" s="21">
        <f>(1+IntRateQ2)^(-(C457-InitialAgeQ2))*D457</f>
        <v>1.9882379403417071E-9</v>
      </c>
      <c r="F457" s="10">
        <f t="shared" si="31"/>
        <v>0</v>
      </c>
      <c r="G457" s="10">
        <f t="shared" si="32"/>
        <v>0</v>
      </c>
      <c r="H457" s="10">
        <f t="shared" si="33"/>
        <v>4</v>
      </c>
      <c r="I457" s="12">
        <f>IF(MOD(B457,StepsEachYearQ2)=0,1+B457/StepsEachYearQ2,0)</f>
        <v>0</v>
      </c>
      <c r="M457" s="33"/>
    </row>
    <row r="458" spans="1:13" ht="13.15" thickBot="1" x14ac:dyDescent="0.4">
      <c r="A458" s="4"/>
      <c r="B458" s="13">
        <f t="shared" si="34"/>
        <v>428</v>
      </c>
      <c r="C458" s="21">
        <f t="shared" si="30"/>
        <v>93.5</v>
      </c>
      <c r="D458" s="4">
        <f>POWER(gompertz_g,POWER(gompertz_c,InitialAgeQ2)*(gompertz_c^('Question 2'!C458-InitialAgeQ2)-1))</f>
        <v>1.3254727151938061E-8</v>
      </c>
      <c r="E458" s="21">
        <f>(1+IntRateQ2)^(-(C458-InitialAgeQ2))*D458</f>
        <v>1.6258749494157686E-9</v>
      </c>
      <c r="F458" s="10">
        <f t="shared" si="31"/>
        <v>0</v>
      </c>
      <c r="G458" s="10">
        <f t="shared" si="32"/>
        <v>0.5</v>
      </c>
      <c r="H458" s="10">
        <f t="shared" si="33"/>
        <v>2</v>
      </c>
      <c r="I458" s="12">
        <f>IF(MOD(B458,StepsEachYearQ2)=0,1+B458/StepsEachYearQ2,0)</f>
        <v>0</v>
      </c>
      <c r="M458" s="33"/>
    </row>
    <row r="459" spans="1:13" ht="13.15" thickBot="1" x14ac:dyDescent="0.4">
      <c r="A459" s="4"/>
      <c r="B459" s="13">
        <f t="shared" si="34"/>
        <v>429</v>
      </c>
      <c r="C459" s="21">
        <f t="shared" si="30"/>
        <v>93.625</v>
      </c>
      <c r="D459" s="4">
        <f>POWER(gompertz_g,POWER(gompertz_c,InitialAgeQ2)*(gompertz_c^('Question 2'!C459-InitialAgeQ2)-1))</f>
        <v>1.0869146067193549E-8</v>
      </c>
      <c r="E459" s="21">
        <f>(1+IntRateQ2)^(-(C459-InitialAgeQ2))*D459</f>
        <v>1.3267301702783994E-9</v>
      </c>
      <c r="F459" s="10">
        <f t="shared" si="31"/>
        <v>0</v>
      </c>
      <c r="G459" s="10">
        <f t="shared" si="32"/>
        <v>0</v>
      </c>
      <c r="H459" s="10">
        <f t="shared" si="33"/>
        <v>4</v>
      </c>
      <c r="I459" s="12">
        <f>IF(MOD(B459,StepsEachYearQ2)=0,1+B459/StepsEachYearQ2,0)</f>
        <v>0</v>
      </c>
      <c r="M459" s="33"/>
    </row>
    <row r="460" spans="1:13" ht="13.15" thickBot="1" x14ac:dyDescent="0.4">
      <c r="A460" s="4"/>
      <c r="B460" s="13">
        <f t="shared" si="34"/>
        <v>430</v>
      </c>
      <c r="C460" s="21">
        <f t="shared" si="30"/>
        <v>93.75</v>
      </c>
      <c r="D460" s="4">
        <f>POWER(gompertz_g,POWER(gompertz_c,InitialAgeQ2)*(gompertz_c^('Question 2'!C460-InitialAgeQ2)-1))</f>
        <v>8.8937873406466727E-9</v>
      </c>
      <c r="E460" s="21">
        <f>(1+IntRateQ2)^(-(C460-InitialAgeQ2))*D460</f>
        <v>1.0803009388288782E-9</v>
      </c>
      <c r="F460" s="10">
        <f t="shared" si="31"/>
        <v>0</v>
      </c>
      <c r="G460" s="10">
        <f t="shared" si="32"/>
        <v>0</v>
      </c>
      <c r="H460" s="10">
        <f t="shared" si="33"/>
        <v>2</v>
      </c>
      <c r="I460" s="12">
        <f>IF(MOD(B460,StepsEachYearQ2)=0,1+B460/StepsEachYearQ2,0)</f>
        <v>0</v>
      </c>
      <c r="M460" s="33"/>
    </row>
    <row r="461" spans="1:13" ht="13.15" thickBot="1" x14ac:dyDescent="0.4">
      <c r="A461" s="4"/>
      <c r="B461" s="13">
        <f t="shared" si="34"/>
        <v>431</v>
      </c>
      <c r="C461" s="21">
        <f t="shared" si="30"/>
        <v>93.875</v>
      </c>
      <c r="D461" s="4">
        <f>POWER(gompertz_g,POWER(gompertz_c,InitialAgeQ2)*(gompertz_c^('Question 2'!C461-InitialAgeQ2)-1))</f>
        <v>7.2616386005204237E-9</v>
      </c>
      <c r="E461" s="21">
        <f>(1+IntRateQ2)^(-(C461-InitialAgeQ2))*D461</f>
        <v>8.7773512114123119E-10</v>
      </c>
      <c r="F461" s="10">
        <f t="shared" si="31"/>
        <v>0</v>
      </c>
      <c r="G461" s="10">
        <f t="shared" si="32"/>
        <v>0</v>
      </c>
      <c r="H461" s="10">
        <f t="shared" si="33"/>
        <v>4</v>
      </c>
      <c r="I461" s="12">
        <f>IF(MOD(B461,StepsEachYearQ2)=0,1+B461/StepsEachYearQ2,0)</f>
        <v>0</v>
      </c>
      <c r="M461" s="33"/>
    </row>
    <row r="462" spans="1:13" ht="13.15" thickBot="1" x14ac:dyDescent="0.4">
      <c r="A462" s="4"/>
      <c r="B462" s="13">
        <f t="shared" si="34"/>
        <v>432</v>
      </c>
      <c r="C462" s="21">
        <f t="shared" si="30"/>
        <v>94</v>
      </c>
      <c r="D462" s="4">
        <f>POWER(gompertz_g,POWER(gompertz_c,InitialAgeQ2)*(gompertz_c^('Question 2'!C462-InitialAgeQ2)-1))</f>
        <v>5.916009708204757E-9</v>
      </c>
      <c r="E462" s="21">
        <f>(1+IntRateQ2)^(-(C462-InitialAgeQ2))*D462</f>
        <v>7.1158790202665658E-10</v>
      </c>
      <c r="F462" s="10">
        <f t="shared" si="31"/>
        <v>1</v>
      </c>
      <c r="G462" s="10">
        <f t="shared" si="32"/>
        <v>0.5</v>
      </c>
      <c r="H462" s="10">
        <f t="shared" si="33"/>
        <v>2</v>
      </c>
      <c r="I462" s="12">
        <f>IF(MOD(B462,StepsEachYearQ2)=0,1+B462/StepsEachYearQ2,0)</f>
        <v>55</v>
      </c>
      <c r="M462" s="33"/>
    </row>
    <row r="463" spans="1:13" ht="13.15" thickBot="1" x14ac:dyDescent="0.4">
      <c r="A463" s="4"/>
      <c r="B463" s="13">
        <f t="shared" si="34"/>
        <v>433</v>
      </c>
      <c r="C463" s="21">
        <f t="shared" si="30"/>
        <v>94.125</v>
      </c>
      <c r="D463" s="4">
        <f>POWER(gompertz_g,POWER(gompertz_c,InitialAgeQ2)*(gompertz_c^('Question 2'!C463-InitialAgeQ2)-1))</f>
        <v>4.80904846013543E-9</v>
      </c>
      <c r="E463" s="21">
        <f>(1+IntRateQ2)^(-(C463-InitialAgeQ2))*D463</f>
        <v>5.7561176754828864E-10</v>
      </c>
      <c r="F463" s="10">
        <f t="shared" si="31"/>
        <v>0</v>
      </c>
      <c r="G463" s="10">
        <f t="shared" si="32"/>
        <v>0</v>
      </c>
      <c r="H463" s="10">
        <f t="shared" si="33"/>
        <v>4</v>
      </c>
      <c r="I463" s="12">
        <f>IF(MOD(B463,StepsEachYearQ2)=0,1+B463/StepsEachYearQ2,0)</f>
        <v>0</v>
      </c>
      <c r="M463" s="33"/>
    </row>
    <row r="464" spans="1:13" ht="13.15" thickBot="1" x14ac:dyDescent="0.4">
      <c r="A464" s="4"/>
      <c r="B464" s="13">
        <f t="shared" si="34"/>
        <v>434</v>
      </c>
      <c r="C464" s="21">
        <f t="shared" si="30"/>
        <v>94.25</v>
      </c>
      <c r="D464" s="4">
        <f>POWER(gompertz_g,POWER(gompertz_c,InitialAgeQ2)*(gompertz_c^('Question 2'!C464-InitialAgeQ2)-1))</f>
        <v>3.9004527122202102E-9</v>
      </c>
      <c r="E464" s="21">
        <f>(1+IntRateQ2)^(-(C464-InitialAgeQ2))*D464</f>
        <v>4.6457556107323731E-10</v>
      </c>
      <c r="F464" s="10">
        <f t="shared" si="31"/>
        <v>0</v>
      </c>
      <c r="G464" s="10">
        <f t="shared" si="32"/>
        <v>0</v>
      </c>
      <c r="H464" s="10">
        <f t="shared" si="33"/>
        <v>2</v>
      </c>
      <c r="I464" s="12">
        <f>IF(MOD(B464,StepsEachYearQ2)=0,1+B464/StepsEachYearQ2,0)</f>
        <v>0</v>
      </c>
      <c r="M464" s="33"/>
    </row>
    <row r="465" spans="1:13" ht="13.15" thickBot="1" x14ac:dyDescent="0.4">
      <c r="A465" s="4"/>
      <c r="B465" s="13">
        <f t="shared" si="34"/>
        <v>435</v>
      </c>
      <c r="C465" s="21">
        <f t="shared" si="30"/>
        <v>94.375</v>
      </c>
      <c r="D465" s="4">
        <f>POWER(gompertz_g,POWER(gompertz_c,InitialAgeQ2)*(gompertz_c^('Question 2'!C465-InitialAgeQ2)-1))</f>
        <v>3.1563555267215186E-9</v>
      </c>
      <c r="E465" s="21">
        <f>(1+IntRateQ2)^(-(C465-InitialAgeQ2))*D465</f>
        <v>3.7410894394373406E-10</v>
      </c>
      <c r="F465" s="10">
        <f t="shared" si="31"/>
        <v>0</v>
      </c>
      <c r="G465" s="10">
        <f t="shared" si="32"/>
        <v>0</v>
      </c>
      <c r="H465" s="10">
        <f t="shared" si="33"/>
        <v>4</v>
      </c>
      <c r="I465" s="12">
        <f>IF(MOD(B465,StepsEachYearQ2)=0,1+B465/StepsEachYearQ2,0)</f>
        <v>0</v>
      </c>
      <c r="M465" s="33"/>
    </row>
    <row r="466" spans="1:13" ht="13.15" thickBot="1" x14ac:dyDescent="0.4">
      <c r="A466" s="4"/>
      <c r="B466" s="13">
        <f t="shared" si="34"/>
        <v>436</v>
      </c>
      <c r="C466" s="21">
        <f t="shared" si="30"/>
        <v>94.5</v>
      </c>
      <c r="D466" s="4">
        <f>POWER(gompertz_g,POWER(gompertz_c,InitialAgeQ2)*(gompertz_c^('Question 2'!C466-InitialAgeQ2)-1))</f>
        <v>2.5483623568108389E-9</v>
      </c>
      <c r="E466" s="21">
        <f>(1+IntRateQ2)^(-(C466-InitialAgeQ2))*D466</f>
        <v>3.0056900212034409E-10</v>
      </c>
      <c r="F466" s="10">
        <f t="shared" si="31"/>
        <v>0</v>
      </c>
      <c r="G466" s="10">
        <f t="shared" si="32"/>
        <v>0.5</v>
      </c>
      <c r="H466" s="10">
        <f t="shared" si="33"/>
        <v>2</v>
      </c>
      <c r="I466" s="12">
        <f>IF(MOD(B466,StepsEachYearQ2)=0,1+B466/StepsEachYearQ2,0)</f>
        <v>0</v>
      </c>
      <c r="M466" s="33"/>
    </row>
    <row r="467" spans="1:13" ht="13.15" thickBot="1" x14ac:dyDescent="0.4">
      <c r="A467" s="4"/>
      <c r="B467" s="13">
        <f t="shared" si="34"/>
        <v>437</v>
      </c>
      <c r="C467" s="21">
        <f t="shared" si="30"/>
        <v>94.625</v>
      </c>
      <c r="D467" s="4">
        <f>POWER(gompertz_g,POWER(gompertz_c,InitialAgeQ2)*(gompertz_c^('Question 2'!C467-InitialAgeQ2)-1))</f>
        <v>2.0527215002611839E-9</v>
      </c>
      <c r="E467" s="21">
        <f>(1+IntRateQ2)^(-(C467-InitialAgeQ2))*D467</f>
        <v>2.4092611188830936E-10</v>
      </c>
      <c r="F467" s="10">
        <f t="shared" si="31"/>
        <v>0</v>
      </c>
      <c r="G467" s="10">
        <f t="shared" si="32"/>
        <v>0</v>
      </c>
      <c r="H467" s="10">
        <f t="shared" si="33"/>
        <v>4</v>
      </c>
      <c r="I467" s="12">
        <f>IF(MOD(B467,StepsEachYearQ2)=0,1+B467/StepsEachYearQ2,0)</f>
        <v>0</v>
      </c>
      <c r="M467" s="33"/>
    </row>
    <row r="468" spans="1:13" ht="13.15" thickBot="1" x14ac:dyDescent="0.4">
      <c r="A468" s="4"/>
      <c r="B468" s="13">
        <f t="shared" si="34"/>
        <v>438</v>
      </c>
      <c r="C468" s="21">
        <f t="shared" si="30"/>
        <v>94.75</v>
      </c>
      <c r="D468" s="4">
        <f>POWER(gompertz_g,POWER(gompertz_c,InitialAgeQ2)*(gompertz_c^('Question 2'!C468-InitialAgeQ2)-1))</f>
        <v>1.6496110809372019E-9</v>
      </c>
      <c r="E468" s="21">
        <f>(1+IntRateQ2)^(-(C468-InitialAgeQ2))*D468</f>
        <v>1.9266651358182405E-10</v>
      </c>
      <c r="F468" s="10">
        <f t="shared" si="31"/>
        <v>0</v>
      </c>
      <c r="G468" s="10">
        <f t="shared" si="32"/>
        <v>0</v>
      </c>
      <c r="H468" s="10">
        <f t="shared" si="33"/>
        <v>2</v>
      </c>
      <c r="I468" s="12">
        <f>IF(MOD(B468,StepsEachYearQ2)=0,1+B468/StepsEachYearQ2,0)</f>
        <v>0</v>
      </c>
      <c r="M468" s="33"/>
    </row>
    <row r="469" spans="1:13" ht="13.15" thickBot="1" x14ac:dyDescent="0.4">
      <c r="A469" s="4"/>
      <c r="B469" s="13">
        <f t="shared" si="34"/>
        <v>439</v>
      </c>
      <c r="C469" s="21">
        <f t="shared" si="30"/>
        <v>94.875</v>
      </c>
      <c r="D469" s="4">
        <f>POWER(gompertz_g,POWER(gompertz_c,InitialAgeQ2)*(gompertz_c^('Question 2'!C469-InitialAgeQ2)-1))</f>
        <v>1.3225276651533374E-9</v>
      </c>
      <c r="E469" s="21">
        <f>(1+IntRateQ2)^(-(C469-InitialAgeQ2))*D469</f>
        <v>1.5370934486186297E-10</v>
      </c>
      <c r="F469" s="10">
        <f t="shared" si="31"/>
        <v>0</v>
      </c>
      <c r="G469" s="10">
        <f t="shared" si="32"/>
        <v>0</v>
      </c>
      <c r="H469" s="10">
        <f t="shared" si="33"/>
        <v>4</v>
      </c>
      <c r="I469" s="12">
        <f>IF(MOD(B469,StepsEachYearQ2)=0,1+B469/StepsEachYearQ2,0)</f>
        <v>0</v>
      </c>
      <c r="M469" s="33"/>
    </row>
    <row r="470" spans="1:13" ht="13.15" thickBot="1" x14ac:dyDescent="0.4">
      <c r="A470" s="4"/>
      <c r="B470" s="13">
        <f t="shared" si="34"/>
        <v>440</v>
      </c>
      <c r="C470" s="21">
        <f t="shared" si="30"/>
        <v>95</v>
      </c>
      <c r="D470" s="4">
        <f>POWER(gompertz_g,POWER(gompertz_c,InitialAgeQ2)*(gompertz_c^('Question 2'!C470-InitialAgeQ2)-1))</f>
        <v>1.0577633000975975E-9</v>
      </c>
      <c r="E470" s="21">
        <f>(1+IntRateQ2)^(-(C470-InitialAgeQ2))*D470</f>
        <v>1.2233615689951036E-10</v>
      </c>
      <c r="F470" s="10">
        <f t="shared" si="31"/>
        <v>1</v>
      </c>
      <c r="G470" s="10">
        <f t="shared" si="32"/>
        <v>0.5</v>
      </c>
      <c r="H470" s="10">
        <f t="shared" si="33"/>
        <v>2</v>
      </c>
      <c r="I470" s="12">
        <f>IF(MOD(B470,StepsEachYearQ2)=0,1+B470/StepsEachYearQ2,0)</f>
        <v>56</v>
      </c>
      <c r="M470" s="33"/>
    </row>
    <row r="471" spans="1:13" ht="13.15" thickBot="1" x14ac:dyDescent="0.4">
      <c r="A471" s="4"/>
      <c r="B471" s="13">
        <f t="shared" si="34"/>
        <v>441</v>
      </c>
      <c r="C471" s="21">
        <f t="shared" si="30"/>
        <v>95.125</v>
      </c>
      <c r="D471" s="4">
        <f>POWER(gompertz_g,POWER(gompertz_c,InitialAgeQ2)*(gompertz_c^('Question 2'!C471-InitialAgeQ2)-1))</f>
        <v>8.4395928392025713E-10</v>
      </c>
      <c r="E471" s="21">
        <f>(1+IntRateQ2)^(-(C471-InitialAgeQ2))*D471</f>
        <v>9.7131180296233347E-11</v>
      </c>
      <c r="F471" s="10">
        <f t="shared" si="31"/>
        <v>0</v>
      </c>
      <c r="G471" s="10">
        <f t="shared" si="32"/>
        <v>0</v>
      </c>
      <c r="H471" s="10">
        <f t="shared" si="33"/>
        <v>4</v>
      </c>
      <c r="I471" s="12">
        <f>IF(MOD(B471,StepsEachYearQ2)=0,1+B471/StepsEachYearQ2,0)</f>
        <v>0</v>
      </c>
      <c r="M471" s="33"/>
    </row>
    <row r="472" spans="1:13" ht="13.15" thickBot="1" x14ac:dyDescent="0.4">
      <c r="A472" s="4"/>
      <c r="B472" s="13">
        <f t="shared" si="34"/>
        <v>442</v>
      </c>
      <c r="C472" s="21">
        <f t="shared" si="30"/>
        <v>95.25</v>
      </c>
      <c r="D472" s="4">
        <f>POWER(gompertz_g,POWER(gompertz_c,InitialAgeQ2)*(gompertz_c^('Question 2'!C472-InitialAgeQ2)-1))</f>
        <v>6.7172635228458744E-10</v>
      </c>
      <c r="E472" s="21">
        <f>(1+IntRateQ2)^(-(C472-InitialAgeQ2))*D472</f>
        <v>7.693082504307179E-11</v>
      </c>
      <c r="F472" s="10">
        <f t="shared" si="31"/>
        <v>0</v>
      </c>
      <c r="G472" s="10">
        <f t="shared" si="32"/>
        <v>0</v>
      </c>
      <c r="H472" s="10">
        <f t="shared" si="33"/>
        <v>2</v>
      </c>
      <c r="I472" s="12">
        <f>IF(MOD(B472,StepsEachYearQ2)=0,1+B472/StepsEachYearQ2,0)</f>
        <v>0</v>
      </c>
      <c r="M472" s="33"/>
    </row>
    <row r="473" spans="1:13" ht="13.15" thickBot="1" x14ac:dyDescent="0.4">
      <c r="A473" s="4"/>
      <c r="B473" s="13">
        <f t="shared" si="34"/>
        <v>443</v>
      </c>
      <c r="C473" s="21">
        <f t="shared" si="30"/>
        <v>95.375</v>
      </c>
      <c r="D473" s="4">
        <f>POWER(gompertz_g,POWER(gompertz_c,InitialAgeQ2)*(gompertz_c^('Question 2'!C473-InitialAgeQ2)-1))</f>
        <v>5.3332220455047818E-10</v>
      </c>
      <c r="E473" s="21">
        <f>(1+IntRateQ2)^(-(C473-InitialAgeQ2))*D473</f>
        <v>6.078109250130227E-11</v>
      </c>
      <c r="F473" s="10">
        <f t="shared" si="31"/>
        <v>0</v>
      </c>
      <c r="G473" s="10">
        <f t="shared" si="32"/>
        <v>0</v>
      </c>
      <c r="H473" s="10">
        <f t="shared" si="33"/>
        <v>4</v>
      </c>
      <c r="I473" s="12">
        <f>IF(MOD(B473,StepsEachYearQ2)=0,1+B473/StepsEachYearQ2,0)</f>
        <v>0</v>
      </c>
      <c r="M473" s="33"/>
    </row>
    <row r="474" spans="1:13" ht="13.15" thickBot="1" x14ac:dyDescent="0.4">
      <c r="A474" s="4"/>
      <c r="B474" s="13">
        <f t="shared" si="34"/>
        <v>444</v>
      </c>
      <c r="C474" s="21">
        <f t="shared" si="30"/>
        <v>95.5</v>
      </c>
      <c r="D474" s="4">
        <f>POWER(gompertz_g,POWER(gompertz_c,InitialAgeQ2)*(gompertz_c^('Question 2'!C474-InitialAgeQ2)-1))</f>
        <v>4.2237840447882459E-10</v>
      </c>
      <c r="E474" s="21">
        <f>(1+IntRateQ2)^(-(C474-InitialAgeQ2))*D474</f>
        <v>4.7901749383089939E-11</v>
      </c>
      <c r="F474" s="10">
        <f t="shared" si="31"/>
        <v>0</v>
      </c>
      <c r="G474" s="10">
        <f t="shared" si="32"/>
        <v>0.5</v>
      </c>
      <c r="H474" s="10">
        <f t="shared" si="33"/>
        <v>2</v>
      </c>
      <c r="I474" s="12">
        <f>IF(MOD(B474,StepsEachYearQ2)=0,1+B474/StepsEachYearQ2,0)</f>
        <v>0</v>
      </c>
      <c r="M474" s="33"/>
    </row>
    <row r="475" spans="1:13" ht="13.15" thickBot="1" x14ac:dyDescent="0.4">
      <c r="A475" s="4"/>
      <c r="B475" s="13">
        <f t="shared" si="34"/>
        <v>445</v>
      </c>
      <c r="C475" s="21">
        <f t="shared" si="30"/>
        <v>95.625</v>
      </c>
      <c r="D475" s="4">
        <f>POWER(gompertz_g,POWER(gompertz_c,InitialAgeQ2)*(gompertz_c^('Question 2'!C475-InitialAgeQ2)-1))</f>
        <v>3.3366968526614256E-10</v>
      </c>
      <c r="E475" s="21">
        <f>(1+IntRateQ2)^(-(C475-InitialAgeQ2))*D475</f>
        <v>3.7656266006980983E-11</v>
      </c>
      <c r="F475" s="10">
        <f t="shared" si="31"/>
        <v>0</v>
      </c>
      <c r="G475" s="10">
        <f t="shared" si="32"/>
        <v>0</v>
      </c>
      <c r="H475" s="10">
        <f t="shared" si="33"/>
        <v>4</v>
      </c>
      <c r="I475" s="12">
        <f>IF(MOD(B475,StepsEachYearQ2)=0,1+B475/StepsEachYearQ2,0)</f>
        <v>0</v>
      </c>
      <c r="M475" s="33"/>
    </row>
    <row r="476" spans="1:13" ht="13.15" thickBot="1" x14ac:dyDescent="0.4">
      <c r="A476" s="4"/>
      <c r="B476" s="13">
        <f t="shared" si="34"/>
        <v>446</v>
      </c>
      <c r="C476" s="21">
        <f t="shared" si="30"/>
        <v>95.75</v>
      </c>
      <c r="D476" s="4">
        <f>POWER(gompertz_g,POWER(gompertz_c,InitialAgeQ2)*(gompertz_c^('Question 2'!C476-InitialAgeQ2)-1))</f>
        <v>2.6291957636935447E-10</v>
      </c>
      <c r="E476" s="21">
        <f>(1+IntRateQ2)^(-(C476-InitialAgeQ2))*D476</f>
        <v>2.9526655565193496E-11</v>
      </c>
      <c r="F476" s="10">
        <f t="shared" si="31"/>
        <v>0</v>
      </c>
      <c r="G476" s="10">
        <f t="shared" si="32"/>
        <v>0</v>
      </c>
      <c r="H476" s="10">
        <f t="shared" si="33"/>
        <v>2</v>
      </c>
      <c r="I476" s="12">
        <f>IF(MOD(B476,StepsEachYearQ2)=0,1+B476/StepsEachYearQ2,0)</f>
        <v>0</v>
      </c>
      <c r="M476" s="33"/>
    </row>
    <row r="477" spans="1:13" ht="13.15" thickBot="1" x14ac:dyDescent="0.4">
      <c r="A477" s="4"/>
      <c r="B477" s="13">
        <f t="shared" si="34"/>
        <v>447</v>
      </c>
      <c r="C477" s="21">
        <f t="shared" si="30"/>
        <v>95.875</v>
      </c>
      <c r="D477" s="4">
        <f>POWER(gompertz_g,POWER(gompertz_c,InitialAgeQ2)*(gompertz_c^('Question 2'!C477-InitialAgeQ2)-1))</f>
        <v>2.0663705907241905E-10</v>
      </c>
      <c r="E477" s="21">
        <f>(1+IntRateQ2)^(-(C477-InitialAgeQ2))*D477</f>
        <v>2.3092469509397484E-11</v>
      </c>
      <c r="F477" s="10">
        <f t="shared" si="31"/>
        <v>0</v>
      </c>
      <c r="G477" s="10">
        <f t="shared" si="32"/>
        <v>0</v>
      </c>
      <c r="H477" s="10">
        <f t="shared" si="33"/>
        <v>4</v>
      </c>
      <c r="I477" s="12">
        <f>IF(MOD(B477,StepsEachYearQ2)=0,1+B477/StepsEachYearQ2,0)</f>
        <v>0</v>
      </c>
      <c r="M477" s="33"/>
    </row>
    <row r="478" spans="1:13" ht="13.15" thickBot="1" x14ac:dyDescent="0.4">
      <c r="A478" s="4"/>
      <c r="B478" s="13">
        <f t="shared" si="34"/>
        <v>448</v>
      </c>
      <c r="C478" s="21">
        <f t="shared" ref="C478:C541" si="35">InitialAgeQ2+B478*StepSizeQ2</f>
        <v>96</v>
      </c>
      <c r="D478" s="4">
        <f>POWER(gompertz_g,POWER(gompertz_c,InitialAgeQ2)*(gompertz_c^('Question 2'!C478-InitialAgeQ2)-1))</f>
        <v>1.6197965776330823E-10</v>
      </c>
      <c r="E478" s="21">
        <f>(1+IntRateQ2)^(-(C478-InitialAgeQ2))*D478</f>
        <v>1.8013308060247261E-11</v>
      </c>
      <c r="F478" s="10">
        <f t="shared" si="31"/>
        <v>1</v>
      </c>
      <c r="G478" s="10">
        <f t="shared" si="32"/>
        <v>0.5</v>
      </c>
      <c r="H478" s="10">
        <f t="shared" si="33"/>
        <v>2</v>
      </c>
      <c r="I478" s="12">
        <f>IF(MOD(B478,StepsEachYearQ2)=0,1+B478/StepsEachYearQ2,0)</f>
        <v>57</v>
      </c>
      <c r="M478" s="33"/>
    </row>
    <row r="479" spans="1:13" ht="13.15" thickBot="1" x14ac:dyDescent="0.4">
      <c r="A479" s="4"/>
      <c r="B479" s="13">
        <f t="shared" si="34"/>
        <v>449</v>
      </c>
      <c r="C479" s="21">
        <f t="shared" si="35"/>
        <v>96.125</v>
      </c>
      <c r="D479" s="4">
        <f>POWER(gompertz_g,POWER(gompertz_c,InitialAgeQ2)*(gompertz_c^('Question 2'!C479-InitialAgeQ2)-1))</f>
        <v>1.2663899264685558E-10</v>
      </c>
      <c r="E479" s="21">
        <f>(1+IntRateQ2)^(-(C479-InitialAgeQ2))*D479</f>
        <v>1.4014295774228434E-11</v>
      </c>
      <c r="F479" s="10">
        <f t="shared" ref="F479:F542" si="36">IF(MOD(B479,8)=0,1,0)</f>
        <v>0</v>
      </c>
      <c r="G479" s="10">
        <f t="shared" ref="G479:G542" si="37">IF(MOD(B479,4)=0,1/2,0)</f>
        <v>0</v>
      </c>
      <c r="H479" s="10">
        <f t="shared" ref="H479:H542" si="38">IF(B479=0,1,IF(ISEVEN(B479),2,4))</f>
        <v>4</v>
      </c>
      <c r="I479" s="12">
        <f>IF(MOD(B479,StepsEachYearQ2)=0,1+B479/StepsEachYearQ2,0)</f>
        <v>0</v>
      </c>
      <c r="M479" s="33"/>
    </row>
    <row r="480" spans="1:13" ht="13.15" thickBot="1" x14ac:dyDescent="0.4">
      <c r="A480" s="4"/>
      <c r="B480" s="13">
        <f t="shared" ref="B480:B543" si="39">B479+1</f>
        <v>450</v>
      </c>
      <c r="C480" s="21">
        <f t="shared" si="35"/>
        <v>96.25</v>
      </c>
      <c r="D480" s="4">
        <f>POWER(gompertz_g,POWER(gompertz_c,InitialAgeQ2)*(gompertz_c^('Question 2'!C480-InitialAgeQ2)-1))</f>
        <v>9.8745364851040438E-11</v>
      </c>
      <c r="E480" s="21">
        <f>(1+IntRateQ2)^(-(C480-InitialAgeQ2))*D480</f>
        <v>1.0874051443563819E-11</v>
      </c>
      <c r="F480" s="10">
        <f t="shared" si="36"/>
        <v>0</v>
      </c>
      <c r="G480" s="10">
        <f t="shared" si="37"/>
        <v>0</v>
      </c>
      <c r="H480" s="10">
        <f t="shared" si="38"/>
        <v>2</v>
      </c>
      <c r="I480" s="12">
        <f>IF(MOD(B480,StepsEachYearQ2)=0,1+B480/StepsEachYearQ2,0)</f>
        <v>0</v>
      </c>
      <c r="M480" s="33"/>
    </row>
    <row r="481" spans="1:13" ht="13.15" thickBot="1" x14ac:dyDescent="0.4">
      <c r="A481" s="4"/>
      <c r="B481" s="13">
        <f t="shared" si="39"/>
        <v>451</v>
      </c>
      <c r="C481" s="21">
        <f t="shared" si="35"/>
        <v>96.375</v>
      </c>
      <c r="D481" s="4">
        <f>POWER(gompertz_g,POWER(gompertz_c,InitialAgeQ2)*(gompertz_c^('Question 2'!C481-InitialAgeQ2)-1))</f>
        <v>7.6788423831583671E-11</v>
      </c>
      <c r="E481" s="21">
        <f>(1+IntRateQ2)^(-(C481-InitialAgeQ2))*D481</f>
        <v>8.414750631682485E-12</v>
      </c>
      <c r="F481" s="10">
        <f t="shared" si="36"/>
        <v>0</v>
      </c>
      <c r="G481" s="10">
        <f t="shared" si="37"/>
        <v>0</v>
      </c>
      <c r="H481" s="10">
        <f t="shared" si="38"/>
        <v>4</v>
      </c>
      <c r="I481" s="12">
        <f>IF(MOD(B481,StepsEachYearQ2)=0,1+B481/StepsEachYearQ2,0)</f>
        <v>0</v>
      </c>
      <c r="M481" s="33"/>
    </row>
    <row r="482" spans="1:13" ht="13.15" thickBot="1" x14ac:dyDescent="0.4">
      <c r="A482" s="4"/>
      <c r="B482" s="13">
        <f t="shared" si="39"/>
        <v>452</v>
      </c>
      <c r="C482" s="21">
        <f t="shared" si="35"/>
        <v>96.5</v>
      </c>
      <c r="D482" s="4">
        <f>POWER(gompertz_g,POWER(gompertz_c,InitialAgeQ2)*(gompertz_c^('Question 2'!C482-InitialAgeQ2)-1))</f>
        <v>5.9551386387936633E-11</v>
      </c>
      <c r="E482" s="21">
        <f>(1+IntRateQ2)^(-(C482-InitialAgeQ2))*D482</f>
        <v>6.4939390200867289E-12</v>
      </c>
      <c r="F482" s="10">
        <f t="shared" si="36"/>
        <v>0</v>
      </c>
      <c r="G482" s="10">
        <f t="shared" si="37"/>
        <v>0.5</v>
      </c>
      <c r="H482" s="10">
        <f t="shared" si="38"/>
        <v>2</v>
      </c>
      <c r="I482" s="12">
        <f>IF(MOD(B482,StepsEachYearQ2)=0,1+B482/StepsEachYearQ2,0)</f>
        <v>0</v>
      </c>
      <c r="M482" s="33"/>
    </row>
    <row r="483" spans="1:13" ht="13.15" thickBot="1" x14ac:dyDescent="0.4">
      <c r="A483" s="4"/>
      <c r="B483" s="13">
        <f t="shared" si="39"/>
        <v>453</v>
      </c>
      <c r="C483" s="21">
        <f t="shared" si="35"/>
        <v>96.625</v>
      </c>
      <c r="D483" s="4">
        <f>POWER(gompertz_g,POWER(gompertz_c,InitialAgeQ2)*(gompertz_c^('Question 2'!C483-InitialAgeQ2)-1))</f>
        <v>4.6056642722715832E-11</v>
      </c>
      <c r="E483" s="21">
        <f>(1+IntRateQ2)^(-(C483-InitialAgeQ2))*D483</f>
        <v>4.9978065201833306E-12</v>
      </c>
      <c r="F483" s="10">
        <f t="shared" si="36"/>
        <v>0</v>
      </c>
      <c r="G483" s="10">
        <f t="shared" si="37"/>
        <v>0</v>
      </c>
      <c r="H483" s="10">
        <f t="shared" si="38"/>
        <v>4</v>
      </c>
      <c r="I483" s="12">
        <f>IF(MOD(B483,StepsEachYearQ2)=0,1+B483/StepsEachYearQ2,0)</f>
        <v>0</v>
      </c>
      <c r="M483" s="33"/>
    </row>
    <row r="484" spans="1:13" ht="13.15" thickBot="1" x14ac:dyDescent="0.4">
      <c r="A484" s="4"/>
      <c r="B484" s="13">
        <f t="shared" si="39"/>
        <v>454</v>
      </c>
      <c r="C484" s="21">
        <f t="shared" si="35"/>
        <v>96.75</v>
      </c>
      <c r="D484" s="4">
        <f>POWER(gompertz_g,POWER(gompertz_c,InitialAgeQ2)*(gompertz_c^('Question 2'!C484-InitialAgeQ2)-1))</f>
        <v>3.5520903573152828E-11</v>
      </c>
      <c r="E484" s="21">
        <f>(1+IntRateQ2)^(-(C484-InitialAgeQ2))*D484</f>
        <v>3.8356767453230847E-12</v>
      </c>
      <c r="F484" s="10">
        <f t="shared" si="36"/>
        <v>0</v>
      </c>
      <c r="G484" s="10">
        <f t="shared" si="37"/>
        <v>0</v>
      </c>
      <c r="H484" s="10">
        <f t="shared" si="38"/>
        <v>2</v>
      </c>
      <c r="I484" s="12">
        <f>IF(MOD(B484,StepsEachYearQ2)=0,1+B484/StepsEachYearQ2,0)</f>
        <v>0</v>
      </c>
      <c r="M484" s="33"/>
    </row>
    <row r="485" spans="1:13" ht="13.15" thickBot="1" x14ac:dyDescent="0.4">
      <c r="A485" s="4"/>
      <c r="B485" s="13">
        <f t="shared" si="39"/>
        <v>455</v>
      </c>
      <c r="C485" s="21">
        <f t="shared" si="35"/>
        <v>96.875</v>
      </c>
      <c r="D485" s="4">
        <f>POWER(gompertz_g,POWER(gompertz_c,InitialAgeQ2)*(gompertz_c^('Question 2'!C485-InitialAgeQ2)-1))</f>
        <v>2.7318318810144441E-11</v>
      </c>
      <c r="E485" s="21">
        <f>(1+IntRateQ2)^(-(C485-InitialAgeQ2))*D485</f>
        <v>2.9355048104963473E-12</v>
      </c>
      <c r="F485" s="10">
        <f t="shared" si="36"/>
        <v>0</v>
      </c>
      <c r="G485" s="10">
        <f t="shared" si="37"/>
        <v>0</v>
      </c>
      <c r="H485" s="10">
        <f t="shared" si="38"/>
        <v>4</v>
      </c>
      <c r="I485" s="12">
        <f>IF(MOD(B485,StepsEachYearQ2)=0,1+B485/StepsEachYearQ2,0)</f>
        <v>0</v>
      </c>
      <c r="M485" s="33"/>
    </row>
    <row r="486" spans="1:13" ht="13.15" thickBot="1" x14ac:dyDescent="0.4">
      <c r="A486" s="4"/>
      <c r="B486" s="13">
        <f t="shared" si="39"/>
        <v>456</v>
      </c>
      <c r="C486" s="21">
        <f t="shared" si="35"/>
        <v>97</v>
      </c>
      <c r="D486" s="4">
        <f>POWER(gompertz_g,POWER(gompertz_c,InitialAgeQ2)*(gompertz_c^('Question 2'!C486-InitialAgeQ2)-1))</f>
        <v>2.0950236875367185E-11</v>
      </c>
      <c r="E486" s="21">
        <f>(1+IntRateQ2)^(-(C486-InitialAgeQ2))*D486</f>
        <v>2.2402093095552926E-12</v>
      </c>
      <c r="F486" s="10">
        <f t="shared" si="36"/>
        <v>1</v>
      </c>
      <c r="G486" s="10">
        <f t="shared" si="37"/>
        <v>0.5</v>
      </c>
      <c r="H486" s="10">
        <f t="shared" si="38"/>
        <v>2</v>
      </c>
      <c r="I486" s="12">
        <f>IF(MOD(B486,StepsEachYearQ2)=0,1+B486/StepsEachYearQ2,0)</f>
        <v>58</v>
      </c>
      <c r="M486" s="33"/>
    </row>
    <row r="487" spans="1:13" ht="13.15" thickBot="1" x14ac:dyDescent="0.4">
      <c r="A487" s="4"/>
      <c r="B487" s="13">
        <f t="shared" si="39"/>
        <v>457</v>
      </c>
      <c r="C487" s="21">
        <f t="shared" si="35"/>
        <v>97.125</v>
      </c>
      <c r="D487" s="4">
        <f>POWER(gompertz_g,POWER(gompertz_c,InitialAgeQ2)*(gompertz_c^('Question 2'!C487-InitialAgeQ2)-1))</f>
        <v>1.6020480410724115E-11</v>
      </c>
      <c r="E487" s="21">
        <f>(1+IntRateQ2)^(-(C487-InitialAgeQ2))*D487</f>
        <v>1.7046924112374232E-12</v>
      </c>
      <c r="F487" s="10">
        <f t="shared" si="36"/>
        <v>0</v>
      </c>
      <c r="G487" s="10">
        <f t="shared" si="37"/>
        <v>0</v>
      </c>
      <c r="H487" s="10">
        <f t="shared" si="38"/>
        <v>4</v>
      </c>
      <c r="I487" s="12">
        <f>IF(MOD(B487,StepsEachYearQ2)=0,1+B487/StepsEachYearQ2,0)</f>
        <v>0</v>
      </c>
      <c r="M487" s="33"/>
    </row>
    <row r="488" spans="1:13" ht="13.15" thickBot="1" x14ac:dyDescent="0.4">
      <c r="A488" s="4"/>
      <c r="B488" s="13">
        <f t="shared" si="39"/>
        <v>458</v>
      </c>
      <c r="C488" s="21">
        <f t="shared" si="35"/>
        <v>97.25</v>
      </c>
      <c r="D488" s="4">
        <f>POWER(gompertz_g,POWER(gompertz_c,InitialAgeQ2)*(gompertz_c^('Question 2'!C488-InitialAgeQ2)-1))</f>
        <v>1.221519041323089E-11</v>
      </c>
      <c r="E488" s="21">
        <f>(1+IntRateQ2)^(-(C488-InitialAgeQ2))*D488</f>
        <v>1.2934259394077268E-12</v>
      </c>
      <c r="F488" s="10">
        <f t="shared" si="36"/>
        <v>0</v>
      </c>
      <c r="G488" s="10">
        <f t="shared" si="37"/>
        <v>0</v>
      </c>
      <c r="H488" s="10">
        <f t="shared" si="38"/>
        <v>2</v>
      </c>
      <c r="I488" s="12">
        <f>IF(MOD(B488,StepsEachYearQ2)=0,1+B488/StepsEachYearQ2,0)</f>
        <v>0</v>
      </c>
      <c r="M488" s="33"/>
    </row>
    <row r="489" spans="1:13" ht="13.15" thickBot="1" x14ac:dyDescent="0.4">
      <c r="A489" s="4"/>
      <c r="B489" s="13">
        <f t="shared" si="39"/>
        <v>459</v>
      </c>
      <c r="C489" s="21">
        <f t="shared" si="35"/>
        <v>97.375</v>
      </c>
      <c r="D489" s="4">
        <f>POWER(gompertz_g,POWER(gompertz_c,InitialAgeQ2)*(gompertz_c^('Question 2'!C489-InitialAgeQ2)-1))</f>
        <v>9.2864428172211258E-12</v>
      </c>
      <c r="E489" s="21">
        <f>(1+IntRateQ2)^(-(C489-InitialAgeQ2))*D489</f>
        <v>9.7850161450520015E-13</v>
      </c>
      <c r="F489" s="10">
        <f t="shared" si="36"/>
        <v>0</v>
      </c>
      <c r="G489" s="10">
        <f t="shared" si="37"/>
        <v>0</v>
      </c>
      <c r="H489" s="10">
        <f t="shared" si="38"/>
        <v>4</v>
      </c>
      <c r="I489" s="12">
        <f>IF(MOD(B489,StepsEachYearQ2)=0,1+B489/StepsEachYearQ2,0)</f>
        <v>0</v>
      </c>
      <c r="M489" s="33"/>
    </row>
    <row r="490" spans="1:13" ht="13.15" thickBot="1" x14ac:dyDescent="0.4">
      <c r="A490" s="4"/>
      <c r="B490" s="13">
        <f t="shared" si="39"/>
        <v>460</v>
      </c>
      <c r="C490" s="21">
        <f t="shared" si="35"/>
        <v>97.5</v>
      </c>
      <c r="D490" s="4">
        <f>POWER(gompertz_g,POWER(gompertz_c,InitialAgeQ2)*(gompertz_c^('Question 2'!C490-InitialAgeQ2)-1))</f>
        <v>7.0389707929435349E-12</v>
      </c>
      <c r="E490" s="21">
        <f>(1+IntRateQ2)^(-(C490-InitialAgeQ2))*D490</f>
        <v>7.3806082357068477E-13</v>
      </c>
      <c r="F490" s="10">
        <f t="shared" si="36"/>
        <v>0</v>
      </c>
      <c r="G490" s="10">
        <f t="shared" si="37"/>
        <v>0.5</v>
      </c>
      <c r="H490" s="10">
        <f t="shared" si="38"/>
        <v>2</v>
      </c>
      <c r="I490" s="12">
        <f>IF(MOD(B490,StepsEachYearQ2)=0,1+B490/StepsEachYearQ2,0)</f>
        <v>0</v>
      </c>
      <c r="M490" s="33"/>
    </row>
    <row r="491" spans="1:13" ht="13.15" thickBot="1" x14ac:dyDescent="0.4">
      <c r="A491" s="4"/>
      <c r="B491" s="13">
        <f t="shared" si="39"/>
        <v>461</v>
      </c>
      <c r="C491" s="21">
        <f t="shared" si="35"/>
        <v>97.625</v>
      </c>
      <c r="D491" s="4">
        <f>POWER(gompertz_g,POWER(gompertz_c,InitialAgeQ2)*(gompertz_c^('Question 2'!C491-InitialAgeQ2)-1))</f>
        <v>5.319436142831984E-12</v>
      </c>
      <c r="E491" s="21">
        <f>(1+IntRateQ2)^(-(C491-InitialAgeQ2))*D491</f>
        <v>5.5503378905377929E-13</v>
      </c>
      <c r="F491" s="10">
        <f t="shared" si="36"/>
        <v>0</v>
      </c>
      <c r="G491" s="10">
        <f t="shared" si="37"/>
        <v>0</v>
      </c>
      <c r="H491" s="10">
        <f t="shared" si="38"/>
        <v>4</v>
      </c>
      <c r="I491" s="12">
        <f>IF(MOD(B491,StepsEachYearQ2)=0,1+B491/StepsEachYearQ2,0)</f>
        <v>0</v>
      </c>
      <c r="M491" s="33"/>
    </row>
    <row r="492" spans="1:13" ht="13.15" thickBot="1" x14ac:dyDescent="0.4">
      <c r="A492" s="4"/>
      <c r="B492" s="13">
        <f t="shared" si="39"/>
        <v>462</v>
      </c>
      <c r="C492" s="21">
        <f t="shared" si="35"/>
        <v>97.75</v>
      </c>
      <c r="D492" s="4">
        <f>POWER(gompertz_g,POWER(gompertz_c,InitialAgeQ2)*(gompertz_c^('Question 2'!C492-InitialAgeQ2)-1))</f>
        <v>4.0077865448638137E-12</v>
      </c>
      <c r="E492" s="21">
        <f>(1+IntRateQ2)^(-(C492-InitialAgeQ2))*D492</f>
        <v>4.1613020308466801E-13</v>
      </c>
      <c r="F492" s="10">
        <f t="shared" si="36"/>
        <v>0</v>
      </c>
      <c r="G492" s="10">
        <f t="shared" si="37"/>
        <v>0</v>
      </c>
      <c r="H492" s="10">
        <f t="shared" si="38"/>
        <v>2</v>
      </c>
      <c r="I492" s="12">
        <f>IF(MOD(B492,StepsEachYearQ2)=0,1+B492/StepsEachYearQ2,0)</f>
        <v>0</v>
      </c>
      <c r="M492" s="33"/>
    </row>
    <row r="493" spans="1:13" ht="13.15" thickBot="1" x14ac:dyDescent="0.4">
      <c r="A493" s="4"/>
      <c r="B493" s="13">
        <f t="shared" si="39"/>
        <v>463</v>
      </c>
      <c r="C493" s="21">
        <f t="shared" si="35"/>
        <v>97.875</v>
      </c>
      <c r="D493" s="4">
        <f>POWER(gompertz_g,POWER(gompertz_c,InitialAgeQ2)*(gompertz_c^('Question 2'!C493-InitialAgeQ2)-1))</f>
        <v>3.0103143161263796E-12</v>
      </c>
      <c r="E493" s="21">
        <f>(1+IntRateQ2)^(-(C493-InitialAgeQ2))*D493</f>
        <v>3.1103361790885451E-13</v>
      </c>
      <c r="F493" s="10">
        <f t="shared" si="36"/>
        <v>0</v>
      </c>
      <c r="G493" s="10">
        <f t="shared" si="37"/>
        <v>0</v>
      </c>
      <c r="H493" s="10">
        <f t="shared" si="38"/>
        <v>4</v>
      </c>
      <c r="I493" s="12">
        <f>IF(MOD(B493,StepsEachYearQ2)=0,1+B493/StepsEachYearQ2,0)</f>
        <v>0</v>
      </c>
      <c r="M493" s="33"/>
    </row>
    <row r="494" spans="1:13" ht="13.15" thickBot="1" x14ac:dyDescent="0.4">
      <c r="A494" s="4"/>
      <c r="B494" s="13">
        <f t="shared" si="39"/>
        <v>464</v>
      </c>
      <c r="C494" s="21">
        <f t="shared" si="35"/>
        <v>98</v>
      </c>
      <c r="D494" s="4">
        <f>POWER(gompertz_g,POWER(gompertz_c,InitialAgeQ2)*(gompertz_c^('Question 2'!C494-InitialAgeQ2)-1))</f>
        <v>2.2540988625114739E-12</v>
      </c>
      <c r="E494" s="21">
        <f>(1+IntRateQ2)^(-(C494-InitialAgeQ2))*D494</f>
        <v>2.3176042602289088E-13</v>
      </c>
      <c r="F494" s="10">
        <f t="shared" si="36"/>
        <v>1</v>
      </c>
      <c r="G494" s="10">
        <f t="shared" si="37"/>
        <v>0.5</v>
      </c>
      <c r="H494" s="10">
        <f t="shared" si="38"/>
        <v>2</v>
      </c>
      <c r="I494" s="12">
        <f>IF(MOD(B494,StepsEachYearQ2)=0,1+B494/StepsEachYearQ2,0)</f>
        <v>59</v>
      </c>
      <c r="M494" s="33"/>
    </row>
    <row r="495" spans="1:13" ht="13.15" thickBot="1" x14ac:dyDescent="0.4">
      <c r="A495" s="4"/>
      <c r="B495" s="13">
        <f t="shared" si="39"/>
        <v>465</v>
      </c>
      <c r="C495" s="21">
        <f t="shared" si="35"/>
        <v>98.125</v>
      </c>
      <c r="D495" s="4">
        <f>POWER(gompertz_g,POWER(gompertz_c,InitialAgeQ2)*(gompertz_c^('Question 2'!C495-InitialAgeQ2)-1))</f>
        <v>1.6825708133432794E-12</v>
      </c>
      <c r="E495" s="21">
        <f>(1+IntRateQ2)^(-(C495-InitialAgeQ2))*D495</f>
        <v>1.7215137840756598E-13</v>
      </c>
      <c r="F495" s="10">
        <f t="shared" si="36"/>
        <v>0</v>
      </c>
      <c r="G495" s="10">
        <f t="shared" si="37"/>
        <v>0</v>
      </c>
      <c r="H495" s="10">
        <f t="shared" si="38"/>
        <v>4</v>
      </c>
      <c r="I495" s="12">
        <f>IF(MOD(B495,StepsEachYearQ2)=0,1+B495/StepsEachYearQ2,0)</f>
        <v>0</v>
      </c>
      <c r="M495" s="33"/>
    </row>
    <row r="496" spans="1:13" ht="13.15" thickBot="1" x14ac:dyDescent="0.4">
      <c r="A496" s="4"/>
      <c r="B496" s="13">
        <f t="shared" si="39"/>
        <v>466</v>
      </c>
      <c r="C496" s="21">
        <f t="shared" si="35"/>
        <v>98.25</v>
      </c>
      <c r="D496" s="4">
        <f>POWER(gompertz_g,POWER(gompertz_c,InitialAgeQ2)*(gompertz_c^('Question 2'!C496-InitialAgeQ2)-1))</f>
        <v>1.2519825642207721E-12</v>
      </c>
      <c r="E496" s="21">
        <f>(1+IntRateQ2)^(-(C496-InitialAgeQ2))*D496</f>
        <v>1.2746949537892827E-13</v>
      </c>
      <c r="F496" s="10">
        <f t="shared" si="36"/>
        <v>0</v>
      </c>
      <c r="G496" s="10">
        <f t="shared" si="37"/>
        <v>0</v>
      </c>
      <c r="H496" s="10">
        <f t="shared" si="38"/>
        <v>2</v>
      </c>
      <c r="I496" s="12">
        <f>IF(MOD(B496,StepsEachYearQ2)=0,1+B496/StepsEachYearQ2,0)</f>
        <v>0</v>
      </c>
      <c r="M496" s="33"/>
    </row>
    <row r="497" spans="1:13" ht="13.15" thickBot="1" x14ac:dyDescent="0.4">
      <c r="A497" s="4"/>
      <c r="B497" s="13">
        <f t="shared" si="39"/>
        <v>467</v>
      </c>
      <c r="C497" s="21">
        <f t="shared" si="35"/>
        <v>98.375</v>
      </c>
      <c r="D497" s="4">
        <f>POWER(gompertz_g,POWER(gompertz_c,InitialAgeQ2)*(gompertz_c^('Question 2'!C497-InitialAgeQ2)-1))</f>
        <v>9.2860892105516132E-13</v>
      </c>
      <c r="E497" s="21">
        <f>(1+IntRateQ2)^(-(C497-InitialAgeQ2))*D497</f>
        <v>9.4083111094630142E-14</v>
      </c>
      <c r="F497" s="10">
        <f t="shared" si="36"/>
        <v>0</v>
      </c>
      <c r="G497" s="10">
        <f t="shared" si="37"/>
        <v>0</v>
      </c>
      <c r="H497" s="10">
        <f t="shared" si="38"/>
        <v>4</v>
      </c>
      <c r="I497" s="12">
        <f>IF(MOD(B497,StepsEachYearQ2)=0,1+B497/StepsEachYearQ2,0)</f>
        <v>0</v>
      </c>
      <c r="M497" s="33"/>
    </row>
    <row r="498" spans="1:13" ht="13.15" thickBot="1" x14ac:dyDescent="0.4">
      <c r="A498" s="4"/>
      <c r="B498" s="13">
        <f t="shared" si="39"/>
        <v>468</v>
      </c>
      <c r="C498" s="21">
        <f t="shared" si="35"/>
        <v>98.5</v>
      </c>
      <c r="D498" s="4">
        <f>POWER(gompertz_g,POWER(gompertz_c,InitialAgeQ2)*(gompertz_c^('Question 2'!C498-InitialAgeQ2)-1))</f>
        <v>6.8653392955588559E-13</v>
      </c>
      <c r="E498" s="21">
        <f>(1+IntRateQ2)^(-(C498-InitialAgeQ2))*D498</f>
        <v>6.9216822202352704E-14</v>
      </c>
      <c r="F498" s="10">
        <f t="shared" si="36"/>
        <v>0</v>
      </c>
      <c r="G498" s="10">
        <f t="shared" si="37"/>
        <v>0.5</v>
      </c>
      <c r="H498" s="10">
        <f t="shared" si="38"/>
        <v>2</v>
      </c>
      <c r="I498" s="12">
        <f>IF(MOD(B498,StepsEachYearQ2)=0,1+B498/StepsEachYearQ2,0)</f>
        <v>0</v>
      </c>
      <c r="M498" s="33"/>
    </row>
    <row r="499" spans="1:13" ht="13.15" thickBot="1" x14ac:dyDescent="0.4">
      <c r="A499" s="4"/>
      <c r="B499" s="13">
        <f t="shared" si="39"/>
        <v>469</v>
      </c>
      <c r="C499" s="21">
        <f t="shared" si="35"/>
        <v>98.625</v>
      </c>
      <c r="D499" s="4">
        <f>POWER(gompertz_g,POWER(gompertz_c,InitialAgeQ2)*(gompertz_c^('Question 2'!C499-InitialAgeQ2)-1))</f>
        <v>5.059068053571507E-13</v>
      </c>
      <c r="E499" s="21">
        <f>(1+IntRateQ2)^(-(C499-InitialAgeQ2))*D499</f>
        <v>5.0756422649131567E-14</v>
      </c>
      <c r="F499" s="10">
        <f t="shared" si="36"/>
        <v>0</v>
      </c>
      <c r="G499" s="10">
        <f t="shared" si="37"/>
        <v>0</v>
      </c>
      <c r="H499" s="10">
        <f t="shared" si="38"/>
        <v>4</v>
      </c>
      <c r="I499" s="12">
        <f>IF(MOD(B499,StepsEachYearQ2)=0,1+B499/StepsEachYearQ2,0)</f>
        <v>0</v>
      </c>
      <c r="M499" s="33"/>
    </row>
    <row r="500" spans="1:13" ht="13.15" thickBot="1" x14ac:dyDescent="0.4">
      <c r="A500" s="4"/>
      <c r="B500" s="13">
        <f t="shared" si="39"/>
        <v>470</v>
      </c>
      <c r="C500" s="21">
        <f t="shared" si="35"/>
        <v>98.75</v>
      </c>
      <c r="D500" s="4">
        <f>POWER(gompertz_g,POWER(gompertz_c,InitialAgeQ2)*(gompertz_c^('Question 2'!C500-InitialAgeQ2)-1))</f>
        <v>3.7157202826672911E-13</v>
      </c>
      <c r="E500" s="21">
        <f>(1+IntRateQ2)^(-(C500-InitialAgeQ2))*D500</f>
        <v>3.7096618970142534E-14</v>
      </c>
      <c r="F500" s="10">
        <f t="shared" si="36"/>
        <v>0</v>
      </c>
      <c r="G500" s="10">
        <f t="shared" si="37"/>
        <v>0</v>
      </c>
      <c r="H500" s="10">
        <f t="shared" si="38"/>
        <v>2</v>
      </c>
      <c r="I500" s="12">
        <f>IF(MOD(B500,StepsEachYearQ2)=0,1+B500/StepsEachYearQ2,0)</f>
        <v>0</v>
      </c>
      <c r="M500" s="33"/>
    </row>
    <row r="501" spans="1:13" ht="13.15" thickBot="1" x14ac:dyDescent="0.4">
      <c r="A501" s="4"/>
      <c r="B501" s="13">
        <f t="shared" si="39"/>
        <v>471</v>
      </c>
      <c r="C501" s="21">
        <f t="shared" si="35"/>
        <v>98.875</v>
      </c>
      <c r="D501" s="4">
        <f>POWER(gompertz_g,POWER(gompertz_c,InitialAgeQ2)*(gompertz_c^('Question 2'!C501-InitialAgeQ2)-1))</f>
        <v>2.719968833090683E-13</v>
      </c>
      <c r="E501" s="21">
        <f>(1+IntRateQ2)^(-(C501-InitialAgeQ2))*D501</f>
        <v>2.7022534280769208E-14</v>
      </c>
      <c r="F501" s="10">
        <f t="shared" si="36"/>
        <v>0</v>
      </c>
      <c r="G501" s="10">
        <f t="shared" si="37"/>
        <v>0</v>
      </c>
      <c r="H501" s="10">
        <f t="shared" si="38"/>
        <v>4</v>
      </c>
      <c r="I501" s="12">
        <f>IF(MOD(B501,StepsEachYearQ2)=0,1+B501/StepsEachYearQ2,0)</f>
        <v>0</v>
      </c>
      <c r="M501" s="33"/>
    </row>
    <row r="502" spans="1:13" ht="13.15" thickBot="1" x14ac:dyDescent="0.4">
      <c r="A502" s="4"/>
      <c r="B502" s="13">
        <f t="shared" si="39"/>
        <v>472</v>
      </c>
      <c r="C502" s="21">
        <f t="shared" si="35"/>
        <v>99</v>
      </c>
      <c r="D502" s="4">
        <f>POWER(gompertz_g,POWER(gompertz_c,InitialAgeQ2)*(gompertz_c^('Question 2'!C502-InitialAgeQ2)-1))</f>
        <v>1.9843466575164273E-13</v>
      </c>
      <c r="E502" s="21">
        <f>(1+IntRateQ2)^(-(C502-InitialAgeQ2))*D502</f>
        <v>1.9617810058912251E-14</v>
      </c>
      <c r="F502" s="10">
        <f t="shared" si="36"/>
        <v>1</v>
      </c>
      <c r="G502" s="10">
        <f t="shared" si="37"/>
        <v>0.5</v>
      </c>
      <c r="H502" s="10">
        <f t="shared" si="38"/>
        <v>2</v>
      </c>
      <c r="I502" s="12">
        <f>IF(MOD(B502,StepsEachYearQ2)=0,1+B502/StepsEachYearQ2,0)</f>
        <v>60</v>
      </c>
      <c r="M502" s="33"/>
    </row>
    <row r="503" spans="1:13" ht="13.15" thickBot="1" x14ac:dyDescent="0.4">
      <c r="A503" s="4"/>
      <c r="B503" s="13">
        <f t="shared" si="39"/>
        <v>473</v>
      </c>
      <c r="C503" s="21">
        <f t="shared" si="35"/>
        <v>99.125</v>
      </c>
      <c r="D503" s="4">
        <f>POWER(gompertz_g,POWER(gompertz_c,InitialAgeQ2)*(gompertz_c^('Question 2'!C503-InitialAgeQ2)-1))</f>
        <v>1.4427396602637636E-13</v>
      </c>
      <c r="E503" s="21">
        <f>(1+IntRateQ2)^(-(C503-InitialAgeQ2))*D503</f>
        <v>1.4193574592249551E-14</v>
      </c>
      <c r="F503" s="10">
        <f t="shared" si="36"/>
        <v>0</v>
      </c>
      <c r="G503" s="10">
        <f t="shared" si="37"/>
        <v>0</v>
      </c>
      <c r="H503" s="10">
        <f t="shared" si="38"/>
        <v>4</v>
      </c>
      <c r="I503" s="12">
        <f>IF(MOD(B503,StepsEachYearQ2)=0,1+B503/StepsEachYearQ2,0)</f>
        <v>0</v>
      </c>
      <c r="M503" s="33"/>
    </row>
    <row r="504" spans="1:13" ht="13.15" thickBot="1" x14ac:dyDescent="0.4">
      <c r="A504" s="4"/>
      <c r="B504" s="13">
        <f t="shared" si="39"/>
        <v>474</v>
      </c>
      <c r="C504" s="21">
        <f t="shared" si="35"/>
        <v>99.25</v>
      </c>
      <c r="D504" s="4">
        <f>POWER(gompertz_g,POWER(gompertz_c,InitialAgeQ2)*(gompertz_c^('Question 2'!C504-InitialAgeQ2)-1))</f>
        <v>1.0453437902472687E-13</v>
      </c>
      <c r="E504" s="21">
        <f>(1+IntRateQ2)^(-(C504-InitialAgeQ2))*D504</f>
        <v>1.0233726126152426E-14</v>
      </c>
      <c r="F504" s="10">
        <f t="shared" si="36"/>
        <v>0</v>
      </c>
      <c r="G504" s="10">
        <f t="shared" si="37"/>
        <v>0</v>
      </c>
      <c r="H504" s="10">
        <f t="shared" si="38"/>
        <v>2</v>
      </c>
      <c r="I504" s="12">
        <f>IF(MOD(B504,StepsEachYearQ2)=0,1+B504/StepsEachYearQ2,0)</f>
        <v>0</v>
      </c>
      <c r="M504" s="33"/>
    </row>
    <row r="505" spans="1:13" ht="13.15" thickBot="1" x14ac:dyDescent="0.4">
      <c r="A505" s="4"/>
      <c r="B505" s="13">
        <f t="shared" si="39"/>
        <v>475</v>
      </c>
      <c r="C505" s="21">
        <f t="shared" si="35"/>
        <v>99.375</v>
      </c>
      <c r="D505" s="4">
        <f>POWER(gompertz_g,POWER(gompertz_c,InitialAgeQ2)*(gompertz_c^('Question 2'!C505-InitialAgeQ2)-1))</f>
        <v>7.5477034083267943E-14</v>
      </c>
      <c r="E505" s="21">
        <f>(1+IntRateQ2)^(-(C505-InitialAgeQ2))*D505</f>
        <v>7.3529278598047172E-15</v>
      </c>
      <c r="F505" s="10">
        <f t="shared" si="36"/>
        <v>0</v>
      </c>
      <c r="G505" s="10">
        <f t="shared" si="37"/>
        <v>0</v>
      </c>
      <c r="H505" s="10">
        <f t="shared" si="38"/>
        <v>4</v>
      </c>
      <c r="I505" s="12">
        <f>IF(MOD(B505,StepsEachYearQ2)=0,1+B505/StepsEachYearQ2,0)</f>
        <v>0</v>
      </c>
      <c r="M505" s="33"/>
    </row>
    <row r="506" spans="1:13" ht="13.15" thickBot="1" x14ac:dyDescent="0.4">
      <c r="A506" s="4"/>
      <c r="B506" s="13">
        <f t="shared" si="39"/>
        <v>476</v>
      </c>
      <c r="C506" s="21">
        <f t="shared" si="35"/>
        <v>99.5</v>
      </c>
      <c r="D506" s="4">
        <f>POWER(gompertz_g,POWER(gompertz_c,InitialAgeQ2)*(gompertz_c^('Question 2'!C506-InitialAgeQ2)-1))</f>
        <v>5.430484817609596E-14</v>
      </c>
      <c r="E506" s="21">
        <f>(1+IntRateQ2)^(-(C506-InitialAgeQ2))*D506</f>
        <v>5.2644731565423449E-15</v>
      </c>
      <c r="F506" s="10">
        <f t="shared" si="36"/>
        <v>0</v>
      </c>
      <c r="G506" s="10">
        <f t="shared" si="37"/>
        <v>0.5</v>
      </c>
      <c r="H506" s="10">
        <f t="shared" si="38"/>
        <v>2</v>
      </c>
      <c r="I506" s="12">
        <f>IF(MOD(B506,StepsEachYearQ2)=0,1+B506/StepsEachYearQ2,0)</f>
        <v>0</v>
      </c>
      <c r="M506" s="33"/>
    </row>
    <row r="507" spans="1:13" ht="13.15" thickBot="1" x14ac:dyDescent="0.4">
      <c r="A507" s="4"/>
      <c r="B507" s="13">
        <f t="shared" si="39"/>
        <v>477</v>
      </c>
      <c r="C507" s="21">
        <f t="shared" si="35"/>
        <v>99.625</v>
      </c>
      <c r="D507" s="4">
        <f>POWER(gompertz_g,POWER(gompertz_c,InitialAgeQ2)*(gompertz_c^('Question 2'!C507-InitialAgeQ2)-1))</f>
        <v>3.8932642885634873E-14</v>
      </c>
      <c r="E507" s="21">
        <f>(1+IntRateQ2)^(-(C507-InitialAgeQ2))*D507</f>
        <v>3.7557876581255354E-15</v>
      </c>
      <c r="F507" s="10">
        <f t="shared" si="36"/>
        <v>0</v>
      </c>
      <c r="G507" s="10">
        <f t="shared" si="37"/>
        <v>0</v>
      </c>
      <c r="H507" s="10">
        <f t="shared" si="38"/>
        <v>4</v>
      </c>
      <c r="I507" s="12">
        <f>IF(MOD(B507,StepsEachYearQ2)=0,1+B507/StepsEachYearQ2,0)</f>
        <v>0</v>
      </c>
      <c r="M507" s="33"/>
    </row>
    <row r="508" spans="1:13" ht="13.15" thickBot="1" x14ac:dyDescent="0.4">
      <c r="A508" s="4"/>
      <c r="B508" s="13">
        <f t="shared" si="39"/>
        <v>478</v>
      </c>
      <c r="C508" s="21">
        <f t="shared" si="35"/>
        <v>99.75</v>
      </c>
      <c r="D508" s="4">
        <f>POWER(gompertz_g,POWER(gompertz_c,InitialAgeQ2)*(gompertz_c^('Question 2'!C508-InitialAgeQ2)-1))</f>
        <v>2.7811467280721575E-14</v>
      </c>
      <c r="E508" s="21">
        <f>(1+IntRateQ2)^(-(C508-InitialAgeQ2))*D508</f>
        <v>2.6698193657564527E-15</v>
      </c>
      <c r="F508" s="10">
        <f t="shared" si="36"/>
        <v>0</v>
      </c>
      <c r="G508" s="10">
        <f t="shared" si="37"/>
        <v>0</v>
      </c>
      <c r="H508" s="10">
        <f t="shared" si="38"/>
        <v>2</v>
      </c>
      <c r="I508" s="12">
        <f>IF(MOD(B508,StepsEachYearQ2)=0,1+B508/StepsEachYearQ2,0)</f>
        <v>0</v>
      </c>
      <c r="M508" s="33"/>
    </row>
    <row r="509" spans="1:13" ht="13.15" thickBot="1" x14ac:dyDescent="0.4">
      <c r="A509" s="4"/>
      <c r="B509" s="13">
        <f t="shared" si="39"/>
        <v>479</v>
      </c>
      <c r="C509" s="21">
        <f t="shared" si="35"/>
        <v>99.875</v>
      </c>
      <c r="D509" s="4">
        <f>POWER(gompertz_g,POWER(gompertz_c,InitialAgeQ2)*(gompertz_c^('Question 2'!C509-InitialAgeQ2)-1))</f>
        <v>1.9794826470745111E-14</v>
      </c>
      <c r="E509" s="21">
        <f>(1+IntRateQ2)^(-(C509-InitialAgeQ2))*D509</f>
        <v>1.8909520154875091E-15</v>
      </c>
      <c r="F509" s="10">
        <f t="shared" si="36"/>
        <v>0</v>
      </c>
      <c r="G509" s="10">
        <f t="shared" si="37"/>
        <v>0</v>
      </c>
      <c r="H509" s="10">
        <f t="shared" si="38"/>
        <v>4</v>
      </c>
      <c r="I509" s="12">
        <f>IF(MOD(B509,StepsEachYearQ2)=0,1+B509/StepsEachYearQ2,0)</f>
        <v>0</v>
      </c>
      <c r="M509" s="33"/>
    </row>
    <row r="510" spans="1:13" ht="13.15" thickBot="1" x14ac:dyDescent="0.4">
      <c r="B510" s="13">
        <f t="shared" si="39"/>
        <v>480</v>
      </c>
      <c r="C510" s="21">
        <f t="shared" si="35"/>
        <v>100</v>
      </c>
      <c r="D510" s="4">
        <f>POWER(gompertz_g,POWER(gompertz_c,InitialAgeQ2)*(gompertz_c^('Question 2'!C510-InitialAgeQ2)-1))</f>
        <v>1.4037188782810147E-14</v>
      </c>
      <c r="E510" s="21">
        <f>(1+IntRateQ2)^(-(C510-InitialAgeQ2))*D510</f>
        <v>1.3343807949000703E-15</v>
      </c>
      <c r="F510" s="10">
        <f t="shared" si="36"/>
        <v>1</v>
      </c>
      <c r="G510" s="10">
        <f t="shared" si="37"/>
        <v>0.5</v>
      </c>
      <c r="H510" s="10">
        <f t="shared" si="38"/>
        <v>2</v>
      </c>
      <c r="I510" s="12">
        <f>IF(MOD(B510,StepsEachYearQ2)=0,1+B510/StepsEachYearQ2,0)</f>
        <v>61</v>
      </c>
      <c r="M510" s="33"/>
    </row>
    <row r="511" spans="1:13" ht="13.15" thickBot="1" x14ac:dyDescent="0.4">
      <c r="B511" s="13">
        <f t="shared" si="39"/>
        <v>481</v>
      </c>
      <c r="C511" s="21">
        <f t="shared" si="35"/>
        <v>100.125</v>
      </c>
      <c r="D511" s="4">
        <f>POWER(gompertz_g,POWER(gompertz_c,InitialAgeQ2)*(gompertz_c^('Question 2'!C511-InitialAgeQ2)-1))</f>
        <v>9.9172647122884923E-15</v>
      </c>
      <c r="E511" s="21">
        <f>(1+IntRateQ2)^(-(C511-InitialAgeQ2))*D511</f>
        <v>9.3812860886126703E-16</v>
      </c>
      <c r="F511" s="10">
        <f t="shared" si="36"/>
        <v>0</v>
      </c>
      <c r="G511" s="10">
        <f t="shared" si="37"/>
        <v>0</v>
      </c>
      <c r="H511" s="10">
        <f t="shared" si="38"/>
        <v>4</v>
      </c>
      <c r="I511" s="12">
        <f>IF(MOD(B511,StepsEachYearQ2)=0,1+B511/StepsEachYearQ2,0)</f>
        <v>0</v>
      </c>
      <c r="M511" s="33"/>
    </row>
    <row r="512" spans="1:13" ht="13.15" thickBot="1" x14ac:dyDescent="0.4">
      <c r="B512" s="13">
        <f t="shared" si="39"/>
        <v>482</v>
      </c>
      <c r="C512" s="21">
        <f t="shared" si="35"/>
        <v>100.25</v>
      </c>
      <c r="D512" s="4">
        <f>POWER(gompertz_g,POWER(gompertz_c,InitialAgeQ2)*(gompertz_c^('Question 2'!C512-InitialAgeQ2)-1))</f>
        <v>6.9802260048020955E-15</v>
      </c>
      <c r="E512" s="21">
        <f>(1+IntRateQ2)^(-(C512-InitialAgeQ2))*D512</f>
        <v>6.5706871802373381E-16</v>
      </c>
      <c r="F512" s="10">
        <f t="shared" si="36"/>
        <v>0</v>
      </c>
      <c r="G512" s="10">
        <f t="shared" si="37"/>
        <v>0</v>
      </c>
      <c r="H512" s="10">
        <f t="shared" si="38"/>
        <v>2</v>
      </c>
      <c r="I512" s="12">
        <f>IF(MOD(B512,StepsEachYearQ2)=0,1+B512/StepsEachYearQ2,0)</f>
        <v>0</v>
      </c>
      <c r="M512" s="33"/>
    </row>
    <row r="513" spans="2:13" ht="13.15" thickBot="1" x14ac:dyDescent="0.4">
      <c r="B513" s="13">
        <f t="shared" si="39"/>
        <v>483</v>
      </c>
      <c r="C513" s="21">
        <f t="shared" si="35"/>
        <v>100.375</v>
      </c>
      <c r="D513" s="4">
        <f>POWER(gompertz_g,POWER(gompertz_c,InitialAgeQ2)*(gompertz_c^('Question 2'!C513-InitialAgeQ2)-1))</f>
        <v>4.8943517475226604E-15</v>
      </c>
      <c r="E513" s="21">
        <f>(1+IntRateQ2)^(-(C513-InitialAgeQ2))*D513</f>
        <v>4.5846619434978251E-16</v>
      </c>
      <c r="F513" s="10">
        <f t="shared" si="36"/>
        <v>0</v>
      </c>
      <c r="G513" s="10">
        <f t="shared" si="37"/>
        <v>0</v>
      </c>
      <c r="H513" s="10">
        <f t="shared" si="38"/>
        <v>4</v>
      </c>
      <c r="I513" s="12">
        <f>IF(MOD(B513,StepsEachYearQ2)=0,1+B513/StepsEachYearQ2,0)</f>
        <v>0</v>
      </c>
      <c r="M513" s="33"/>
    </row>
    <row r="514" spans="2:13" ht="13.15" thickBot="1" x14ac:dyDescent="0.4">
      <c r="B514" s="13">
        <f t="shared" si="39"/>
        <v>484</v>
      </c>
      <c r="C514" s="21">
        <f t="shared" si="35"/>
        <v>100.5</v>
      </c>
      <c r="D514" s="4">
        <f>POWER(gompertz_g,POWER(gompertz_c,InitialAgeQ2)*(gompertz_c^('Question 2'!C514-InitialAgeQ2)-1))</f>
        <v>3.4186221007518073E-15</v>
      </c>
      <c r="E514" s="21">
        <f>(1+IntRateQ2)^(-(C514-InitialAgeQ2))*D514</f>
        <v>3.1866478150366415E-16</v>
      </c>
      <c r="F514" s="10">
        <f t="shared" si="36"/>
        <v>0</v>
      </c>
      <c r="G514" s="10">
        <f t="shared" si="37"/>
        <v>0.5</v>
      </c>
      <c r="H514" s="10">
        <f t="shared" si="38"/>
        <v>2</v>
      </c>
      <c r="I514" s="12">
        <f>IF(MOD(B514,StepsEachYearQ2)=0,1+B514/StepsEachYearQ2,0)</f>
        <v>0</v>
      </c>
      <c r="M514" s="33"/>
    </row>
    <row r="515" spans="2:13" ht="13.15" thickBot="1" x14ac:dyDescent="0.4">
      <c r="B515" s="13">
        <f t="shared" si="39"/>
        <v>485</v>
      </c>
      <c r="C515" s="21">
        <f t="shared" si="35"/>
        <v>100.625</v>
      </c>
      <c r="D515" s="4">
        <f>POWER(gompertz_g,POWER(gompertz_c,InitialAgeQ2)*(gompertz_c^('Question 2'!C515-InitialAgeQ2)-1))</f>
        <v>2.3785876173250495E-15</v>
      </c>
      <c r="E515" s="21">
        <f>(1+IntRateQ2)^(-(C515-InitialAgeQ2))*D515</f>
        <v>2.2063426419577412E-16</v>
      </c>
      <c r="F515" s="10">
        <f t="shared" si="36"/>
        <v>0</v>
      </c>
      <c r="G515" s="10">
        <f t="shared" si="37"/>
        <v>0</v>
      </c>
      <c r="H515" s="10">
        <f t="shared" si="38"/>
        <v>4</v>
      </c>
      <c r="I515" s="12">
        <f>IF(MOD(B515,StepsEachYearQ2)=0,1+B515/StepsEachYearQ2,0)</f>
        <v>0</v>
      </c>
      <c r="M515" s="33"/>
    </row>
    <row r="516" spans="2:13" ht="13.15" thickBot="1" x14ac:dyDescent="0.4">
      <c r="B516" s="13">
        <f t="shared" si="39"/>
        <v>486</v>
      </c>
      <c r="C516" s="21">
        <f t="shared" si="35"/>
        <v>100.75</v>
      </c>
      <c r="D516" s="4">
        <f>POWER(gompertz_g,POWER(gompertz_c,InitialAgeQ2)*(gompertz_c^('Question 2'!C516-InitialAgeQ2)-1))</f>
        <v>1.6484700872787014E-15</v>
      </c>
      <c r="E516" s="21">
        <f>(1+IntRateQ2)^(-(C516-InitialAgeQ2))*D516</f>
        <v>1.5216182502869699E-16</v>
      </c>
      <c r="F516" s="10">
        <f t="shared" si="36"/>
        <v>0</v>
      </c>
      <c r="G516" s="10">
        <f t="shared" si="37"/>
        <v>0</v>
      </c>
      <c r="H516" s="10">
        <f t="shared" si="38"/>
        <v>2</v>
      </c>
      <c r="I516" s="12">
        <f>IF(MOD(B516,StepsEachYearQ2)=0,1+B516/StepsEachYearQ2,0)</f>
        <v>0</v>
      </c>
      <c r="M516" s="33"/>
    </row>
    <row r="517" spans="2:13" ht="13.15" thickBot="1" x14ac:dyDescent="0.4">
      <c r="B517" s="13">
        <f t="shared" si="39"/>
        <v>487</v>
      </c>
      <c r="C517" s="21">
        <f t="shared" si="35"/>
        <v>100.875</v>
      </c>
      <c r="D517" s="4">
        <f>POWER(gompertz_g,POWER(gompertz_c,InitialAgeQ2)*(gompertz_c^('Question 2'!C517-InitialAgeQ2)-1))</f>
        <v>1.1379373951845218E-15</v>
      </c>
      <c r="E517" s="21">
        <f>(1+IntRateQ2)^(-(C517-InitialAgeQ2))*D517</f>
        <v>1.0452347496059298E-16</v>
      </c>
      <c r="F517" s="10">
        <f t="shared" si="36"/>
        <v>0</v>
      </c>
      <c r="G517" s="10">
        <f t="shared" si="37"/>
        <v>0</v>
      </c>
      <c r="H517" s="10">
        <f t="shared" si="38"/>
        <v>4</v>
      </c>
      <c r="I517" s="12">
        <f>IF(MOD(B517,StepsEachYearQ2)=0,1+B517/StepsEachYearQ2,0)</f>
        <v>0</v>
      </c>
      <c r="M517" s="33"/>
    </row>
    <row r="518" spans="2:13" ht="13.15" thickBot="1" x14ac:dyDescent="0.4">
      <c r="B518" s="13">
        <f t="shared" si="39"/>
        <v>488</v>
      </c>
      <c r="C518" s="21">
        <f t="shared" si="35"/>
        <v>101</v>
      </c>
      <c r="D518" s="4">
        <f>POWER(gompertz_g,POWER(gompertz_c,InitialAgeQ2)*(gompertz_c^('Question 2'!C518-InitialAgeQ2)-1))</f>
        <v>7.8237032788941524E-16</v>
      </c>
      <c r="E518" s="21">
        <f>(1+IntRateQ2)^(-(C518-InitialAgeQ2))*D518</f>
        <v>7.1511958765407792E-17</v>
      </c>
      <c r="F518" s="10">
        <f t="shared" si="36"/>
        <v>1</v>
      </c>
      <c r="G518" s="10">
        <f t="shared" si="37"/>
        <v>0.5</v>
      </c>
      <c r="H518" s="10">
        <f t="shared" si="38"/>
        <v>2</v>
      </c>
      <c r="I518" s="12">
        <f>IF(MOD(B518,StepsEachYearQ2)=0,1+B518/StepsEachYearQ2,0)</f>
        <v>62</v>
      </c>
      <c r="M518" s="33"/>
    </row>
    <row r="519" spans="2:13" ht="13.15" thickBot="1" x14ac:dyDescent="0.4">
      <c r="B519" s="13">
        <f t="shared" si="39"/>
        <v>489</v>
      </c>
      <c r="C519" s="21">
        <f t="shared" si="35"/>
        <v>101.125</v>
      </c>
      <c r="D519" s="4">
        <f>POWER(gompertz_g,POWER(gompertz_c,InitialAgeQ2)*(gompertz_c^('Question 2'!C519-InitialAgeQ2)-1))</f>
        <v>5.3572781415349696E-16</v>
      </c>
      <c r="E519" s="21">
        <f>(1+IntRateQ2)^(-(C519-InitialAgeQ2))*D519</f>
        <v>4.872830784733939E-17</v>
      </c>
      <c r="F519" s="10">
        <f t="shared" si="36"/>
        <v>0</v>
      </c>
      <c r="G519" s="10">
        <f t="shared" si="37"/>
        <v>0</v>
      </c>
      <c r="H519" s="10">
        <f t="shared" si="38"/>
        <v>4</v>
      </c>
      <c r="I519" s="12">
        <f>IF(MOD(B519,StepsEachYearQ2)=0,1+B519/StepsEachYearQ2,0)</f>
        <v>0</v>
      </c>
      <c r="M519" s="33"/>
    </row>
    <row r="520" spans="2:13" ht="13.15" thickBot="1" x14ac:dyDescent="0.4">
      <c r="B520" s="13">
        <f t="shared" si="39"/>
        <v>490</v>
      </c>
      <c r="C520" s="21">
        <f t="shared" si="35"/>
        <v>101.25</v>
      </c>
      <c r="D520" s="4">
        <f>POWER(gompertz_g,POWER(gompertz_c,InitialAgeQ2)*(gompertz_c^('Question 2'!C520-InitialAgeQ2)-1))</f>
        <v>3.6533792324943119E-16</v>
      </c>
      <c r="E520" s="21">
        <f>(1+IntRateQ2)^(-(C520-InitialAgeQ2))*D520</f>
        <v>3.306760366159451E-17</v>
      </c>
      <c r="F520" s="10">
        <f t="shared" si="36"/>
        <v>0</v>
      </c>
      <c r="G520" s="10">
        <f t="shared" si="37"/>
        <v>0</v>
      </c>
      <c r="H520" s="10">
        <f t="shared" si="38"/>
        <v>2</v>
      </c>
      <c r="I520" s="12">
        <f>IF(MOD(B520,StepsEachYearQ2)=0,1+B520/StepsEachYearQ2,0)</f>
        <v>0</v>
      </c>
      <c r="M520" s="33"/>
    </row>
    <row r="521" spans="2:13" ht="13.15" thickBot="1" x14ac:dyDescent="0.4">
      <c r="B521" s="13">
        <f t="shared" si="39"/>
        <v>491</v>
      </c>
      <c r="C521" s="21">
        <f t="shared" si="35"/>
        <v>101.375</v>
      </c>
      <c r="D521" s="4">
        <f>POWER(gompertz_g,POWER(gompertz_c,InitialAgeQ2)*(gompertz_c^('Question 2'!C521-InitialAgeQ2)-1))</f>
        <v>2.4811028168528605E-16</v>
      </c>
      <c r="E521" s="21">
        <f>(1+IntRateQ2)^(-(C521-InitialAgeQ2))*D521</f>
        <v>2.2347222977070103E-17</v>
      </c>
      <c r="F521" s="10">
        <f t="shared" si="36"/>
        <v>0</v>
      </c>
      <c r="G521" s="10">
        <f t="shared" si="37"/>
        <v>0</v>
      </c>
      <c r="H521" s="10">
        <f t="shared" si="38"/>
        <v>4</v>
      </c>
      <c r="I521" s="12">
        <f>IF(MOD(B521,StepsEachYearQ2)=0,1+B521/StepsEachYearQ2,0)</f>
        <v>0</v>
      </c>
      <c r="M521" s="33"/>
    </row>
    <row r="522" spans="2:13" ht="13.15" thickBot="1" x14ac:dyDescent="0.4">
      <c r="B522" s="13">
        <f t="shared" si="39"/>
        <v>492</v>
      </c>
      <c r="C522" s="21">
        <f t="shared" si="35"/>
        <v>101.5</v>
      </c>
      <c r="D522" s="4">
        <f>POWER(gompertz_g,POWER(gompertz_c,InitialAgeQ2)*(gompertz_c^('Question 2'!C522-InitialAgeQ2)-1))</f>
        <v>1.6779333743157495E-16</v>
      </c>
      <c r="E522" s="21">
        <f>(1+IntRateQ2)^(-(C522-InitialAgeQ2))*D522</f>
        <v>1.503918651415496E-17</v>
      </c>
      <c r="F522" s="10">
        <f t="shared" si="36"/>
        <v>0</v>
      </c>
      <c r="G522" s="10">
        <f t="shared" si="37"/>
        <v>0.5</v>
      </c>
      <c r="H522" s="10">
        <f t="shared" si="38"/>
        <v>2</v>
      </c>
      <c r="I522" s="12">
        <f>IF(MOD(B522,StepsEachYearQ2)=0,1+B522/StepsEachYearQ2,0)</f>
        <v>0</v>
      </c>
      <c r="M522" s="33"/>
    </row>
    <row r="523" spans="2:13" ht="13.15" thickBot="1" x14ac:dyDescent="0.4">
      <c r="B523" s="13">
        <f t="shared" si="39"/>
        <v>493</v>
      </c>
      <c r="C523" s="21">
        <f t="shared" si="35"/>
        <v>101.625</v>
      </c>
      <c r="D523" s="4">
        <f>POWER(gompertz_g,POWER(gompertz_c,InitialAgeQ2)*(gompertz_c^('Question 2'!C523-InitialAgeQ2)-1))</f>
        <v>1.1299647490707017E-16</v>
      </c>
      <c r="E523" s="21">
        <f>(1+IntRateQ2)^(-(C523-InitialAgeQ2))*D523</f>
        <v>1.0078255423935985E-17</v>
      </c>
      <c r="F523" s="10">
        <f t="shared" si="36"/>
        <v>0</v>
      </c>
      <c r="G523" s="10">
        <f t="shared" si="37"/>
        <v>0</v>
      </c>
      <c r="H523" s="10">
        <f t="shared" si="38"/>
        <v>4</v>
      </c>
      <c r="I523" s="12">
        <f>IF(MOD(B523,StepsEachYearQ2)=0,1+B523/StepsEachYearQ2,0)</f>
        <v>0</v>
      </c>
      <c r="M523" s="33"/>
    </row>
    <row r="524" spans="2:13" ht="13.15" thickBot="1" x14ac:dyDescent="0.4">
      <c r="B524" s="13">
        <f t="shared" si="39"/>
        <v>494</v>
      </c>
      <c r="C524" s="21">
        <f t="shared" si="35"/>
        <v>101.75</v>
      </c>
      <c r="D524" s="4">
        <f>POWER(gompertz_g,POWER(gompertz_c,InitialAgeQ2)*(gompertz_c^('Question 2'!C524-InitialAgeQ2)-1))</f>
        <v>7.5769668135167105E-17</v>
      </c>
      <c r="E524" s="21">
        <f>(1+IntRateQ2)^(-(C524-InitialAgeQ2))*D524</f>
        <v>6.7249132032257272E-18</v>
      </c>
      <c r="F524" s="10">
        <f t="shared" si="36"/>
        <v>0</v>
      </c>
      <c r="G524" s="10">
        <f t="shared" si="37"/>
        <v>0</v>
      </c>
      <c r="H524" s="10">
        <f t="shared" si="38"/>
        <v>2</v>
      </c>
      <c r="I524" s="12">
        <f>IF(MOD(B524,StepsEachYearQ2)=0,1+B524/StepsEachYearQ2,0)</f>
        <v>0</v>
      </c>
      <c r="M524" s="33"/>
    </row>
    <row r="525" spans="2:13" ht="13.15" thickBot="1" x14ac:dyDescent="0.4">
      <c r="B525" s="13">
        <f t="shared" si="39"/>
        <v>495</v>
      </c>
      <c r="C525" s="21">
        <f t="shared" si="35"/>
        <v>101.875</v>
      </c>
      <c r="D525" s="4">
        <f>POWER(gompertz_g,POWER(gompertz_c,InitialAgeQ2)*(gompertz_c^('Question 2'!C525-InitialAgeQ2)-1))</f>
        <v>5.0587828847604086E-17</v>
      </c>
      <c r="E525" s="21">
        <f>(1+IntRateQ2)^(-(C525-InitialAgeQ2))*D525</f>
        <v>4.467948632525855E-18</v>
      </c>
      <c r="F525" s="10">
        <f t="shared" si="36"/>
        <v>0</v>
      </c>
      <c r="G525" s="10">
        <f t="shared" si="37"/>
        <v>0</v>
      </c>
      <c r="H525" s="10">
        <f t="shared" si="38"/>
        <v>4</v>
      </c>
      <c r="I525" s="12">
        <f>IF(MOD(B525,StepsEachYearQ2)=0,1+B525/StepsEachYearQ2,0)</f>
        <v>0</v>
      </c>
      <c r="M525" s="33"/>
    </row>
    <row r="526" spans="2:13" ht="13.15" thickBot="1" x14ac:dyDescent="0.4">
      <c r="B526" s="13">
        <f t="shared" si="39"/>
        <v>496</v>
      </c>
      <c r="C526" s="21">
        <f t="shared" si="35"/>
        <v>102</v>
      </c>
      <c r="D526" s="4">
        <f>POWER(gompertz_g,POWER(gompertz_c,InitialAgeQ2)*(gompertz_c^('Question 2'!C526-InitialAgeQ2)-1))</f>
        <v>3.3627648732225887E-17</v>
      </c>
      <c r="E526" s="21">
        <f>(1+IntRateQ2)^(-(C526-InitialAgeQ2))*D526</f>
        <v>2.9554898057280816E-18</v>
      </c>
      <c r="F526" s="10">
        <f t="shared" si="36"/>
        <v>1</v>
      </c>
      <c r="G526" s="10">
        <f t="shared" si="37"/>
        <v>0.5</v>
      </c>
      <c r="H526" s="10">
        <f t="shared" si="38"/>
        <v>2</v>
      </c>
      <c r="I526" s="12">
        <f>IF(MOD(B526,StepsEachYearQ2)=0,1+B526/StepsEachYearQ2,0)</f>
        <v>63</v>
      </c>
      <c r="M526" s="33"/>
    </row>
    <row r="527" spans="2:13" ht="13.15" thickBot="1" x14ac:dyDescent="0.4">
      <c r="B527" s="13">
        <f t="shared" si="39"/>
        <v>497</v>
      </c>
      <c r="C527" s="21">
        <f t="shared" si="35"/>
        <v>102.125</v>
      </c>
      <c r="D527" s="4">
        <f>POWER(gompertz_g,POWER(gompertz_c,InitialAgeQ2)*(gompertz_c^('Question 2'!C527-InitialAgeQ2)-1))</f>
        <v>2.2254927823439601E-17</v>
      </c>
      <c r="E527" s="21">
        <f>(1+IntRateQ2)^(-(C527-InitialAgeQ2))*D527</f>
        <v>1.9463905447353077E-18</v>
      </c>
      <c r="F527" s="10">
        <f t="shared" si="36"/>
        <v>0</v>
      </c>
      <c r="G527" s="10">
        <f t="shared" si="37"/>
        <v>0</v>
      </c>
      <c r="H527" s="10">
        <f t="shared" si="38"/>
        <v>4</v>
      </c>
      <c r="I527" s="12">
        <f>IF(MOD(B527,StepsEachYearQ2)=0,1+B527/StepsEachYearQ2,0)</f>
        <v>0</v>
      </c>
      <c r="M527" s="33"/>
    </row>
    <row r="528" spans="2:13" ht="13.15" thickBot="1" x14ac:dyDescent="0.4">
      <c r="B528" s="13">
        <f t="shared" si="39"/>
        <v>498</v>
      </c>
      <c r="C528" s="21">
        <f t="shared" si="35"/>
        <v>102.25</v>
      </c>
      <c r="D528" s="4">
        <f>POWER(gompertz_g,POWER(gompertz_c,InitialAgeQ2)*(gompertz_c^('Question 2'!C528-InitialAgeQ2)-1))</f>
        <v>1.4662711901335347E-17</v>
      </c>
      <c r="E528" s="21">
        <f>(1+IntRateQ2)^(-(C528-InitialAgeQ2))*D528</f>
        <v>1.2761124040707857E-18</v>
      </c>
      <c r="F528" s="10">
        <f t="shared" si="36"/>
        <v>0</v>
      </c>
      <c r="G528" s="10">
        <f t="shared" si="37"/>
        <v>0</v>
      </c>
      <c r="H528" s="10">
        <f t="shared" si="38"/>
        <v>2</v>
      </c>
      <c r="I528" s="12">
        <f>IF(MOD(B528,StepsEachYearQ2)=0,1+B528/StepsEachYearQ2,0)</f>
        <v>0</v>
      </c>
      <c r="M528" s="33"/>
    </row>
    <row r="529" spans="2:13" ht="13.15" thickBot="1" x14ac:dyDescent="0.4">
      <c r="B529" s="13">
        <f t="shared" si="39"/>
        <v>499</v>
      </c>
      <c r="C529" s="21">
        <f t="shared" si="35"/>
        <v>102.375</v>
      </c>
      <c r="D529" s="4">
        <f>POWER(gompertz_g,POWER(gompertz_c,InitialAgeQ2)*(gompertz_c^('Question 2'!C529-InitialAgeQ2)-1))</f>
        <v>9.6170042529109495E-18</v>
      </c>
      <c r="E529" s="21">
        <f>(1+IntRateQ2)^(-(C529-InitialAgeQ2))*D529</f>
        <v>8.3288543858956954E-19</v>
      </c>
      <c r="F529" s="10">
        <f t="shared" si="36"/>
        <v>0</v>
      </c>
      <c r="G529" s="10">
        <f t="shared" si="37"/>
        <v>0</v>
      </c>
      <c r="H529" s="10">
        <f t="shared" si="38"/>
        <v>4</v>
      </c>
      <c r="I529" s="12">
        <f>IF(MOD(B529,StepsEachYearQ2)=0,1+B529/StepsEachYearQ2,0)</f>
        <v>0</v>
      </c>
      <c r="M529" s="33"/>
    </row>
    <row r="530" spans="2:13" ht="13.15" thickBot="1" x14ac:dyDescent="0.4">
      <c r="B530" s="13">
        <f t="shared" si="39"/>
        <v>500</v>
      </c>
      <c r="C530" s="21">
        <f t="shared" si="35"/>
        <v>102.5</v>
      </c>
      <c r="D530" s="4">
        <f>POWER(gompertz_g,POWER(gompertz_c,InitialAgeQ2)*(gompertz_c^('Question 2'!C530-InitialAgeQ2)-1))</f>
        <v>6.2788694621220486E-18</v>
      </c>
      <c r="E530" s="21">
        <f>(1+IntRateQ2)^(-(C530-InitialAgeQ2))*D530</f>
        <v>5.4112518585430046E-19</v>
      </c>
      <c r="F530" s="10">
        <f t="shared" si="36"/>
        <v>0</v>
      </c>
      <c r="G530" s="10">
        <f t="shared" si="37"/>
        <v>0.5</v>
      </c>
      <c r="H530" s="10">
        <f t="shared" si="38"/>
        <v>2</v>
      </c>
      <c r="I530" s="12">
        <f>IF(MOD(B530,StepsEachYearQ2)=0,1+B530/StepsEachYearQ2,0)</f>
        <v>0</v>
      </c>
      <c r="M530" s="33"/>
    </row>
    <row r="531" spans="2:13" ht="13.15" thickBot="1" x14ac:dyDescent="0.4">
      <c r="B531" s="13">
        <f t="shared" si="39"/>
        <v>501</v>
      </c>
      <c r="C531" s="21">
        <f t="shared" si="35"/>
        <v>102.625</v>
      </c>
      <c r="D531" s="4">
        <f>POWER(gompertz_g,POWER(gompertz_c,InitialAgeQ2)*(gompertz_c^('Question 2'!C531-InitialAgeQ2)-1))</f>
        <v>4.0805410721258931E-18</v>
      </c>
      <c r="E531" s="21">
        <f>(1+IntRateQ2)^(-(C531-InitialAgeQ2))*D531</f>
        <v>3.4994909921686195E-19</v>
      </c>
      <c r="F531" s="10">
        <f t="shared" si="36"/>
        <v>0</v>
      </c>
      <c r="G531" s="10">
        <f t="shared" si="37"/>
        <v>0</v>
      </c>
      <c r="H531" s="10">
        <f t="shared" si="38"/>
        <v>4</v>
      </c>
      <c r="I531" s="12">
        <f>IF(MOD(B531,StepsEachYearQ2)=0,1+B531/StepsEachYearQ2,0)</f>
        <v>0</v>
      </c>
      <c r="M531" s="33"/>
    </row>
    <row r="532" spans="2:13" ht="13.15" thickBot="1" x14ac:dyDescent="0.4">
      <c r="B532" s="13">
        <f t="shared" si="39"/>
        <v>502</v>
      </c>
      <c r="C532" s="21">
        <f t="shared" si="35"/>
        <v>102.75</v>
      </c>
      <c r="D532" s="4">
        <f>POWER(gompertz_g,POWER(gompertz_c,InitialAgeQ2)*(gompertz_c^('Question 2'!C532-InitialAgeQ2)-1))</f>
        <v>2.6395323403581932E-18</v>
      </c>
      <c r="E532" s="21">
        <f>(1+IntRateQ2)^(-(C532-InitialAgeQ2))*D532</f>
        <v>2.2526044954211659E-19</v>
      </c>
      <c r="F532" s="10">
        <f t="shared" si="36"/>
        <v>0</v>
      </c>
      <c r="G532" s="10">
        <f t="shared" si="37"/>
        <v>0</v>
      </c>
      <c r="H532" s="10">
        <f t="shared" si="38"/>
        <v>2</v>
      </c>
      <c r="I532" s="12">
        <f>IF(MOD(B532,StepsEachYearQ2)=0,1+B532/StepsEachYearQ2,0)</f>
        <v>0</v>
      </c>
      <c r="M532" s="33"/>
    </row>
    <row r="533" spans="2:13" ht="13.15" thickBot="1" x14ac:dyDescent="0.4">
      <c r="B533" s="13">
        <f t="shared" si="39"/>
        <v>503</v>
      </c>
      <c r="C533" s="21">
        <f t="shared" si="35"/>
        <v>102.875</v>
      </c>
      <c r="D533" s="4">
        <f>POWER(gompertz_g,POWER(gompertz_c,InitialAgeQ2)*(gompertz_c^('Question 2'!C533-InitialAgeQ2)-1))</f>
        <v>1.6993670841554939E-18</v>
      </c>
      <c r="E533" s="21">
        <f>(1+IntRateQ2)^(-(C533-InitialAgeQ2))*D533</f>
        <v>1.4431650193591954E-19</v>
      </c>
      <c r="F533" s="10">
        <f t="shared" si="36"/>
        <v>0</v>
      </c>
      <c r="G533" s="10">
        <f t="shared" si="37"/>
        <v>0</v>
      </c>
      <c r="H533" s="10">
        <f t="shared" si="38"/>
        <v>4</v>
      </c>
      <c r="I533" s="12">
        <f>IF(MOD(B533,StepsEachYearQ2)=0,1+B533/StepsEachYearQ2,0)</f>
        <v>0</v>
      </c>
      <c r="M533" s="33"/>
    </row>
    <row r="534" spans="2:13" ht="13.15" thickBot="1" x14ac:dyDescent="0.4">
      <c r="B534" s="13">
        <f t="shared" si="39"/>
        <v>504</v>
      </c>
      <c r="C534" s="21">
        <f t="shared" si="35"/>
        <v>103</v>
      </c>
      <c r="D534" s="4">
        <f>POWER(gompertz_g,POWER(gompertz_c,InitialAgeQ2)*(gompertz_c^('Question 2'!C534-InitialAgeQ2)-1))</f>
        <v>1.0888704328636412E-18</v>
      </c>
      <c r="E534" s="21">
        <f>(1+IntRateQ2)^(-(C534-InitialAgeQ2))*D534</f>
        <v>9.20186440385889E-20</v>
      </c>
      <c r="F534" s="10">
        <f t="shared" si="36"/>
        <v>1</v>
      </c>
      <c r="G534" s="10">
        <f t="shared" si="37"/>
        <v>0.5</v>
      </c>
      <c r="H534" s="10">
        <f t="shared" si="38"/>
        <v>2</v>
      </c>
      <c r="I534" s="12">
        <f>IF(MOD(B534,StepsEachYearQ2)=0,1+B534/StepsEachYearQ2,0)</f>
        <v>64</v>
      </c>
      <c r="M534" s="33"/>
    </row>
    <row r="535" spans="2:13" ht="13.15" thickBot="1" x14ac:dyDescent="0.4">
      <c r="B535" s="13">
        <f t="shared" si="39"/>
        <v>505</v>
      </c>
      <c r="C535" s="21">
        <f t="shared" si="35"/>
        <v>103.125</v>
      </c>
      <c r="D535" s="4">
        <f>POWER(gompertz_g,POWER(gompertz_c,InitialAgeQ2)*(gompertz_c^('Question 2'!C535-InitialAgeQ2)-1))</f>
        <v>6.9433900856682197E-19</v>
      </c>
      <c r="E535" s="21">
        <f>(1+IntRateQ2)^(-(C535-InitialAgeQ2))*D535</f>
        <v>5.8390476820942469E-20</v>
      </c>
      <c r="F535" s="10">
        <f t="shared" si="36"/>
        <v>0</v>
      </c>
      <c r="G535" s="10">
        <f t="shared" si="37"/>
        <v>0</v>
      </c>
      <c r="H535" s="10">
        <f t="shared" si="38"/>
        <v>4</v>
      </c>
      <c r="I535" s="12">
        <f>IF(MOD(B535,StepsEachYearQ2)=0,1+B535/StepsEachYearQ2,0)</f>
        <v>0</v>
      </c>
      <c r="M535" s="33"/>
    </row>
    <row r="536" spans="2:13" ht="13.15" thickBot="1" x14ac:dyDescent="0.4">
      <c r="B536" s="13">
        <f t="shared" si="39"/>
        <v>506</v>
      </c>
      <c r="C536" s="21">
        <f t="shared" si="35"/>
        <v>103.25</v>
      </c>
      <c r="D536" s="4">
        <f>POWER(gompertz_g,POWER(gompertz_c,InitialAgeQ2)*(gompertz_c^('Question 2'!C536-InitialAgeQ2)-1))</f>
        <v>4.4060620233381351E-19</v>
      </c>
      <c r="E536" s="21">
        <f>(1+IntRateQ2)^(-(C536-InitialAgeQ2))*D536</f>
        <v>3.6871592526947407E-20</v>
      </c>
      <c r="F536" s="10">
        <f t="shared" si="36"/>
        <v>0</v>
      </c>
      <c r="G536" s="10">
        <f t="shared" si="37"/>
        <v>0</v>
      </c>
      <c r="H536" s="10">
        <f t="shared" si="38"/>
        <v>2</v>
      </c>
      <c r="I536" s="12">
        <f>IF(MOD(B536,StepsEachYearQ2)=0,1+B536/StepsEachYearQ2,0)</f>
        <v>0</v>
      </c>
      <c r="M536" s="33"/>
    </row>
    <row r="537" spans="2:13" ht="13.15" thickBot="1" x14ac:dyDescent="0.4">
      <c r="B537" s="13">
        <f t="shared" si="39"/>
        <v>507</v>
      </c>
      <c r="C537" s="21">
        <f t="shared" si="35"/>
        <v>103.375</v>
      </c>
      <c r="D537" s="4">
        <f>POWER(gompertz_g,POWER(gompertz_c,InitialAgeQ2)*(gompertz_c^('Question 2'!C537-InitialAgeQ2)-1))</f>
        <v>2.7822132116112366E-19</v>
      </c>
      <c r="E537" s="21">
        <f>(1+IntRateQ2)^(-(C537-InitialAgeQ2))*D537</f>
        <v>2.3168746113078348E-20</v>
      </c>
      <c r="F537" s="10">
        <f t="shared" si="36"/>
        <v>0</v>
      </c>
      <c r="G537" s="10">
        <f t="shared" si="37"/>
        <v>0</v>
      </c>
      <c r="H537" s="10">
        <f t="shared" si="38"/>
        <v>4</v>
      </c>
      <c r="I537" s="12">
        <f>IF(MOD(B537,StepsEachYearQ2)=0,1+B537/StepsEachYearQ2,0)</f>
        <v>0</v>
      </c>
      <c r="M537" s="33"/>
    </row>
    <row r="538" spans="2:13" ht="13.15" thickBot="1" x14ac:dyDescent="0.4">
      <c r="B538" s="13">
        <f t="shared" si="39"/>
        <v>508</v>
      </c>
      <c r="C538" s="21">
        <f t="shared" si="35"/>
        <v>103.5</v>
      </c>
      <c r="D538" s="4">
        <f>POWER(gompertz_g,POWER(gompertz_c,InitialAgeQ2)*(gompertz_c^('Question 2'!C538-InitialAgeQ2)-1))</f>
        <v>1.7481061583401196E-19</v>
      </c>
      <c r="E538" s="21">
        <f>(1+IntRateQ2)^(-(C538-InitialAgeQ2))*D538</f>
        <v>1.4486075931272869E-20</v>
      </c>
      <c r="F538" s="10">
        <f t="shared" si="36"/>
        <v>0</v>
      </c>
      <c r="G538" s="10">
        <f t="shared" si="37"/>
        <v>0.5</v>
      </c>
      <c r="H538" s="10">
        <f t="shared" si="38"/>
        <v>2</v>
      </c>
      <c r="I538" s="12">
        <f>IF(MOD(B538,StepsEachYearQ2)=0,1+B538/StepsEachYearQ2,0)</f>
        <v>0</v>
      </c>
      <c r="M538" s="33"/>
    </row>
    <row r="539" spans="2:13" ht="13.15" thickBot="1" x14ac:dyDescent="0.4">
      <c r="B539" s="13">
        <f t="shared" si="39"/>
        <v>509</v>
      </c>
      <c r="C539" s="21">
        <f t="shared" si="35"/>
        <v>103.625</v>
      </c>
      <c r="D539" s="4">
        <f>POWER(gompertz_g,POWER(gompertz_c,InitialAgeQ2)*(gompertz_c^('Question 2'!C539-InitialAgeQ2)-1))</f>
        <v>1.0928470118072596E-19</v>
      </c>
      <c r="E539" s="21">
        <f>(1+IntRateQ2)^(-(C539-InitialAgeQ2))*D539</f>
        <v>9.0118334376007849E-21</v>
      </c>
      <c r="F539" s="10">
        <f t="shared" si="36"/>
        <v>0</v>
      </c>
      <c r="G539" s="10">
        <f t="shared" si="37"/>
        <v>0</v>
      </c>
      <c r="H539" s="10">
        <f t="shared" si="38"/>
        <v>4</v>
      </c>
      <c r="I539" s="12">
        <f>IF(MOD(B539,StepsEachYearQ2)=0,1+B539/StepsEachYearQ2,0)</f>
        <v>0</v>
      </c>
      <c r="M539" s="33"/>
    </row>
    <row r="540" spans="2:13" ht="13.15" thickBot="1" x14ac:dyDescent="0.4">
      <c r="B540" s="13">
        <f t="shared" si="39"/>
        <v>510</v>
      </c>
      <c r="C540" s="21">
        <f t="shared" si="35"/>
        <v>103.75</v>
      </c>
      <c r="D540" s="4">
        <f>POWER(gompertz_g,POWER(gompertz_c,InitialAgeQ2)*(gompertz_c^('Question 2'!C540-InitialAgeQ2)-1))</f>
        <v>6.7973781960035035E-20</v>
      </c>
      <c r="E540" s="21">
        <f>(1+IntRateQ2)^(-(C540-InitialAgeQ2))*D540</f>
        <v>5.5778400179511754E-21</v>
      </c>
      <c r="F540" s="10">
        <f t="shared" si="36"/>
        <v>0</v>
      </c>
      <c r="G540" s="10">
        <f t="shared" si="37"/>
        <v>0</v>
      </c>
      <c r="H540" s="10">
        <f t="shared" si="38"/>
        <v>2</v>
      </c>
      <c r="I540" s="12">
        <f>IF(MOD(B540,StepsEachYearQ2)=0,1+B540/StepsEachYearQ2,0)</f>
        <v>0</v>
      </c>
      <c r="M540" s="33"/>
    </row>
    <row r="541" spans="2:13" ht="13.15" thickBot="1" x14ac:dyDescent="0.4">
      <c r="B541" s="13">
        <f t="shared" si="39"/>
        <v>511</v>
      </c>
      <c r="C541" s="21">
        <f t="shared" si="35"/>
        <v>103.875</v>
      </c>
      <c r="D541" s="4">
        <f>POWER(gompertz_g,POWER(gompertz_c,InitialAgeQ2)*(gompertz_c^('Question 2'!C541-InitialAgeQ2)-1))</f>
        <v>4.2062014412679981E-20</v>
      </c>
      <c r="E541" s="21">
        <f>(1+IntRateQ2)^(-(C541-InitialAgeQ2))*D541</f>
        <v>3.4346739809857547E-21</v>
      </c>
      <c r="F541" s="10">
        <f t="shared" si="36"/>
        <v>0</v>
      </c>
      <c r="G541" s="10">
        <f t="shared" si="37"/>
        <v>0</v>
      </c>
      <c r="H541" s="10">
        <f t="shared" si="38"/>
        <v>4</v>
      </c>
      <c r="I541" s="12">
        <f>IF(MOD(B541,StepsEachYearQ2)=0,1+B541/StepsEachYearQ2,0)</f>
        <v>0</v>
      </c>
      <c r="M541" s="33"/>
    </row>
    <row r="542" spans="2:13" ht="13.15" thickBot="1" x14ac:dyDescent="0.4">
      <c r="B542" s="13">
        <f t="shared" si="39"/>
        <v>512</v>
      </c>
      <c r="C542" s="21">
        <f t="shared" ref="C542:C605" si="40">InitialAgeQ2+B542*StepSizeQ2</f>
        <v>104</v>
      </c>
      <c r="D542" s="4">
        <f>POWER(gompertz_g,POWER(gompertz_c,InitialAgeQ2)*(gompertz_c^('Question 2'!C542-InitialAgeQ2)-1))</f>
        <v>2.5892923091073261E-20</v>
      </c>
      <c r="E542" s="21">
        <f>(1+IntRateQ2)^(-(C542-InitialAgeQ2))*D542</f>
        <v>2.1040079004429848E-21</v>
      </c>
      <c r="F542" s="10">
        <f t="shared" si="36"/>
        <v>1</v>
      </c>
      <c r="G542" s="10">
        <f t="shared" si="37"/>
        <v>0.5</v>
      </c>
      <c r="H542" s="10">
        <f t="shared" si="38"/>
        <v>2</v>
      </c>
      <c r="I542" s="12">
        <f>IF(MOD(B542,StepsEachYearQ2)=0,1+B542/StepsEachYearQ2,0)</f>
        <v>65</v>
      </c>
      <c r="M542" s="33"/>
    </row>
    <row r="543" spans="2:13" ht="13.15" thickBot="1" x14ac:dyDescent="0.4">
      <c r="B543" s="13">
        <f t="shared" si="39"/>
        <v>513</v>
      </c>
      <c r="C543" s="21">
        <f t="shared" si="40"/>
        <v>104.125</v>
      </c>
      <c r="D543" s="4">
        <f>POWER(gompertz_g,POWER(gompertz_c,InitialAgeQ2)*(gompertz_c^('Question 2'!C543-InitialAgeQ2)-1))</f>
        <v>1.5855868069892219E-20</v>
      </c>
      <c r="E543" s="21">
        <f>(1+IntRateQ2)^(-(C543-InitialAgeQ2))*D543</f>
        <v>1.2821154718427309E-21</v>
      </c>
      <c r="F543" s="10">
        <f t="shared" ref="F543:F606" si="41">IF(MOD(B543,8)=0,1,0)</f>
        <v>0</v>
      </c>
      <c r="G543" s="10">
        <f t="shared" ref="G543:G606" si="42">IF(MOD(B543,4)=0,1/2,0)</f>
        <v>0</v>
      </c>
      <c r="H543" s="10">
        <f t="shared" ref="H543:H606" si="43">IF(B543=0,1,IF(ISEVEN(B543),2,4))</f>
        <v>4</v>
      </c>
      <c r="I543" s="12">
        <f>IF(MOD(B543,StepsEachYearQ2)=0,1+B543/StepsEachYearQ2,0)</f>
        <v>0</v>
      </c>
      <c r="M543" s="33"/>
    </row>
    <row r="544" spans="2:13" ht="13.15" thickBot="1" x14ac:dyDescent="0.4">
      <c r="B544" s="13">
        <f t="shared" ref="B544:B607" si="44">B543+1</f>
        <v>514</v>
      </c>
      <c r="C544" s="21">
        <f t="shared" si="40"/>
        <v>104.25</v>
      </c>
      <c r="D544" s="4">
        <f>POWER(gompertz_g,POWER(gompertz_c,InitialAgeQ2)*(gompertz_c^('Question 2'!C544-InitialAgeQ2)-1))</f>
        <v>9.6581106941180001E-21</v>
      </c>
      <c r="E544" s="21">
        <f>(1+IntRateQ2)^(-(C544-InitialAgeQ2))*D544</f>
        <v>7.7714154910854073E-22</v>
      </c>
      <c r="F544" s="10">
        <f t="shared" si="41"/>
        <v>0</v>
      </c>
      <c r="G544" s="10">
        <f t="shared" si="42"/>
        <v>0</v>
      </c>
      <c r="H544" s="10">
        <f t="shared" si="43"/>
        <v>2</v>
      </c>
      <c r="I544" s="12">
        <f>IF(MOD(B544,StepsEachYearQ2)=0,1+B544/StepsEachYearQ2,0)</f>
        <v>0</v>
      </c>
      <c r="M544" s="33"/>
    </row>
    <row r="545" spans="2:13" ht="13.15" thickBot="1" x14ac:dyDescent="0.4">
      <c r="B545" s="13">
        <f t="shared" si="44"/>
        <v>515</v>
      </c>
      <c r="C545" s="21">
        <f t="shared" si="40"/>
        <v>104.375</v>
      </c>
      <c r="D545" s="4">
        <f>POWER(gompertz_g,POWER(gompertz_c,InitialAgeQ2)*(gompertz_c^('Question 2'!C545-InitialAgeQ2)-1))</f>
        <v>5.8514373983207011E-21</v>
      </c>
      <c r="E545" s="21">
        <f>(1+IntRateQ2)^(-(C545-InitialAgeQ2))*D545</f>
        <v>4.6853425246157904E-22</v>
      </c>
      <c r="F545" s="10">
        <f t="shared" si="41"/>
        <v>0</v>
      </c>
      <c r="G545" s="10">
        <f t="shared" si="42"/>
        <v>0</v>
      </c>
      <c r="H545" s="10">
        <f t="shared" si="43"/>
        <v>4</v>
      </c>
      <c r="I545" s="12">
        <f>IF(MOD(B545,StepsEachYearQ2)=0,1+B545/StepsEachYearQ2,0)</f>
        <v>0</v>
      </c>
      <c r="M545" s="33"/>
    </row>
    <row r="546" spans="2:13" ht="13.15" thickBot="1" x14ac:dyDescent="0.4">
      <c r="B546" s="13">
        <f t="shared" si="44"/>
        <v>516</v>
      </c>
      <c r="C546" s="21">
        <f t="shared" si="40"/>
        <v>104.5</v>
      </c>
      <c r="D546" s="4">
        <f>POWER(gompertz_g,POWER(gompertz_c,InitialAgeQ2)*(gompertz_c^('Question 2'!C546-InitialAgeQ2)-1))</f>
        <v>3.5259481594888598E-21</v>
      </c>
      <c r="E546" s="21">
        <f>(1+IntRateQ2)^(-(C546-InitialAgeQ2))*D546</f>
        <v>2.809477368298143E-22</v>
      </c>
      <c r="F546" s="10">
        <f t="shared" si="41"/>
        <v>0</v>
      </c>
      <c r="G546" s="10">
        <f t="shared" si="42"/>
        <v>0.5</v>
      </c>
      <c r="H546" s="10">
        <f t="shared" si="43"/>
        <v>2</v>
      </c>
      <c r="I546" s="12">
        <f>IF(MOD(B546,StepsEachYearQ2)=0,1+B546/StepsEachYearQ2,0)</f>
        <v>0</v>
      </c>
      <c r="M546" s="33"/>
    </row>
    <row r="547" spans="2:13" ht="13.15" thickBot="1" x14ac:dyDescent="0.4">
      <c r="B547" s="13">
        <f t="shared" si="44"/>
        <v>517</v>
      </c>
      <c r="C547" s="21">
        <f t="shared" si="40"/>
        <v>104.625</v>
      </c>
      <c r="D547" s="4">
        <f>POWER(gompertz_g,POWER(gompertz_c,InitialAgeQ2)*(gompertz_c^('Question 2'!C547-InitialAgeQ2)-1))</f>
        <v>2.1130351915288698E-21</v>
      </c>
      <c r="E547" s="21">
        <f>(1+IntRateQ2)^(-(C547-InitialAgeQ2))*D547</f>
        <v>1.6754334346006489E-22</v>
      </c>
      <c r="F547" s="10">
        <f t="shared" si="41"/>
        <v>0</v>
      </c>
      <c r="G547" s="10">
        <f t="shared" si="42"/>
        <v>0</v>
      </c>
      <c r="H547" s="10">
        <f t="shared" si="43"/>
        <v>4</v>
      </c>
      <c r="I547" s="12">
        <f>IF(MOD(B547,StepsEachYearQ2)=0,1+B547/StepsEachYearQ2,0)</f>
        <v>0</v>
      </c>
      <c r="M547" s="33"/>
    </row>
    <row r="548" spans="2:13" ht="13.15" thickBot="1" x14ac:dyDescent="0.4">
      <c r="B548" s="13">
        <f t="shared" si="44"/>
        <v>518</v>
      </c>
      <c r="C548" s="21">
        <f t="shared" si="40"/>
        <v>104.75</v>
      </c>
      <c r="D548" s="4">
        <f>POWER(gompertz_g,POWER(gompertz_c,InitialAgeQ2)*(gompertz_c^('Question 2'!C548-InitialAgeQ2)-1))</f>
        <v>1.2592999348822036E-21</v>
      </c>
      <c r="E548" s="21">
        <f>(1+IntRateQ2)^(-(C548-InitialAgeQ2))*D548</f>
        <v>9.9362031281174786E-23</v>
      </c>
      <c r="F548" s="10">
        <f t="shared" si="41"/>
        <v>0</v>
      </c>
      <c r="G548" s="10">
        <f t="shared" si="42"/>
        <v>0</v>
      </c>
      <c r="H548" s="10">
        <f t="shared" si="43"/>
        <v>2</v>
      </c>
      <c r="I548" s="12">
        <f>IF(MOD(B548,StepsEachYearQ2)=0,1+B548/StepsEachYearQ2,0)</f>
        <v>0</v>
      </c>
      <c r="M548" s="33"/>
    </row>
    <row r="549" spans="2:13" ht="13.15" thickBot="1" x14ac:dyDescent="0.4">
      <c r="B549" s="13">
        <f t="shared" si="44"/>
        <v>519</v>
      </c>
      <c r="C549" s="21">
        <f t="shared" si="40"/>
        <v>104.875</v>
      </c>
      <c r="D549" s="4">
        <f>POWER(gompertz_g,POWER(gompertz_c,InitialAgeQ2)*(gompertz_c^('Question 2'!C549-InitialAgeQ2)-1))</f>
        <v>7.4630644425116229E-22</v>
      </c>
      <c r="E549" s="21">
        <f>(1+IntRateQ2)^(-(C549-InitialAgeQ2))*D549</f>
        <v>5.8597529278714212E-23</v>
      </c>
      <c r="F549" s="10">
        <f t="shared" si="41"/>
        <v>0</v>
      </c>
      <c r="G549" s="10">
        <f t="shared" si="42"/>
        <v>0</v>
      </c>
      <c r="H549" s="10">
        <f t="shared" si="43"/>
        <v>4</v>
      </c>
      <c r="I549" s="12">
        <f>IF(MOD(B549,StepsEachYearQ2)=0,1+B549/StepsEachYearQ2,0)</f>
        <v>0</v>
      </c>
      <c r="M549" s="33"/>
    </row>
    <row r="550" spans="2:13" ht="13.15" thickBot="1" x14ac:dyDescent="0.4">
      <c r="B550" s="13">
        <f t="shared" si="44"/>
        <v>520</v>
      </c>
      <c r="C550" s="21">
        <f t="shared" si="40"/>
        <v>105</v>
      </c>
      <c r="D550" s="4">
        <f>POWER(gompertz_g,POWER(gompertz_c,InitialAgeQ2)*(gompertz_c^('Question 2'!C550-InitialAgeQ2)-1))</f>
        <v>4.3978903426286256E-22</v>
      </c>
      <c r="E550" s="21">
        <f>(1+IntRateQ2)^(-(C550-InitialAgeQ2))*D550</f>
        <v>3.4361913639588812E-23</v>
      </c>
      <c r="F550" s="10">
        <f t="shared" si="41"/>
        <v>1</v>
      </c>
      <c r="G550" s="10">
        <f t="shared" si="42"/>
        <v>0.5</v>
      </c>
      <c r="H550" s="10">
        <f t="shared" si="43"/>
        <v>2</v>
      </c>
      <c r="I550" s="12">
        <f>IF(MOD(B550,StepsEachYearQ2)=0,1+B550/StepsEachYearQ2,0)</f>
        <v>66</v>
      </c>
      <c r="M550" s="33"/>
    </row>
    <row r="551" spans="2:13" ht="13.15" thickBot="1" x14ac:dyDescent="0.4">
      <c r="B551" s="13">
        <f t="shared" si="44"/>
        <v>521</v>
      </c>
      <c r="C551" s="21">
        <f t="shared" si="40"/>
        <v>105.125</v>
      </c>
      <c r="D551" s="4">
        <f>POWER(gompertz_g,POWER(gompertz_c,InitialAgeQ2)*(gompertz_c^('Question 2'!C551-InitialAgeQ2)-1))</f>
        <v>2.576820360933535E-22</v>
      </c>
      <c r="E551" s="21">
        <f>(1+IntRateQ2)^(-(C551-InitialAgeQ2))*D551</f>
        <v>2.0034934253880016E-23</v>
      </c>
      <c r="F551" s="10">
        <f t="shared" si="41"/>
        <v>0</v>
      </c>
      <c r="G551" s="10">
        <f t="shared" si="42"/>
        <v>0</v>
      </c>
      <c r="H551" s="10">
        <f t="shared" si="43"/>
        <v>4</v>
      </c>
      <c r="I551" s="12">
        <f>IF(MOD(B551,StepsEachYearQ2)=0,1+B551/StepsEachYearQ2,0)</f>
        <v>0</v>
      </c>
      <c r="M551" s="33"/>
    </row>
    <row r="552" spans="2:13" ht="13.15" thickBot="1" x14ac:dyDescent="0.4">
      <c r="B552" s="13">
        <f t="shared" si="44"/>
        <v>522</v>
      </c>
      <c r="C552" s="21">
        <f t="shared" si="40"/>
        <v>105.25</v>
      </c>
      <c r="D552" s="4">
        <f>POWER(gompertz_g,POWER(gompertz_c,InitialAgeQ2)*(gompertz_c^('Question 2'!C552-InitialAgeQ2)-1))</f>
        <v>1.5010995420923453E-22</v>
      </c>
      <c r="E552" s="21">
        <f>(1+IntRateQ2)^(-(C552-InitialAgeQ2))*D552</f>
        <v>1.1614061013409243E-23</v>
      </c>
      <c r="F552" s="10">
        <f t="shared" si="41"/>
        <v>0</v>
      </c>
      <c r="G552" s="10">
        <f t="shared" si="42"/>
        <v>0</v>
      </c>
      <c r="H552" s="10">
        <f t="shared" si="43"/>
        <v>2</v>
      </c>
      <c r="I552" s="12">
        <f>IF(MOD(B552,StepsEachYearQ2)=0,1+B552/StepsEachYearQ2,0)</f>
        <v>0</v>
      </c>
      <c r="M552" s="33"/>
    </row>
    <row r="553" spans="2:13" ht="13.15" thickBot="1" x14ac:dyDescent="0.4">
      <c r="B553" s="13">
        <f t="shared" si="44"/>
        <v>523</v>
      </c>
      <c r="C553" s="21">
        <f t="shared" si="40"/>
        <v>105.375</v>
      </c>
      <c r="D553" s="4">
        <f>POWER(gompertz_g,POWER(gompertz_c,InitialAgeQ2)*(gompertz_c^('Question 2'!C553-InitialAgeQ2)-1))</f>
        <v>8.6934710356536364E-23</v>
      </c>
      <c r="E553" s="21">
        <f>(1+IntRateQ2)^(-(C553-InitialAgeQ2))*D553</f>
        <v>6.6932747849852578E-24</v>
      </c>
      <c r="F553" s="10">
        <f t="shared" si="41"/>
        <v>0</v>
      </c>
      <c r="G553" s="10">
        <f t="shared" si="42"/>
        <v>0</v>
      </c>
      <c r="H553" s="10">
        <f t="shared" si="43"/>
        <v>4</v>
      </c>
      <c r="I553" s="12">
        <f>IF(MOD(B553,StepsEachYearQ2)=0,1+B553/StepsEachYearQ2,0)</f>
        <v>0</v>
      </c>
      <c r="M553" s="33"/>
    </row>
    <row r="554" spans="2:13" ht="13.15" thickBot="1" x14ac:dyDescent="0.4">
      <c r="B554" s="13">
        <f t="shared" si="44"/>
        <v>524</v>
      </c>
      <c r="C554" s="21">
        <f t="shared" si="40"/>
        <v>105.5</v>
      </c>
      <c r="D554" s="4">
        <f>POWER(gompertz_g,POWER(gompertz_c,InitialAgeQ2)*(gompertz_c^('Question 2'!C554-InitialAgeQ2)-1))</f>
        <v>5.0050425453945022E-23</v>
      </c>
      <c r="E554" s="21">
        <f>(1+IntRateQ2)^(-(C554-InitialAgeQ2))*D554</f>
        <v>3.8346351552422466E-24</v>
      </c>
      <c r="F554" s="10">
        <f t="shared" si="41"/>
        <v>0</v>
      </c>
      <c r="G554" s="10">
        <f t="shared" si="42"/>
        <v>0.5</v>
      </c>
      <c r="H554" s="10">
        <f t="shared" si="43"/>
        <v>2</v>
      </c>
      <c r="I554" s="12">
        <f>IF(MOD(B554,StepsEachYearQ2)=0,1+B554/StepsEachYearQ2,0)</f>
        <v>0</v>
      </c>
      <c r="M554" s="33"/>
    </row>
    <row r="555" spans="2:13" ht="13.15" thickBot="1" x14ac:dyDescent="0.4">
      <c r="B555" s="13">
        <f t="shared" si="44"/>
        <v>525</v>
      </c>
      <c r="C555" s="21">
        <f t="shared" si="40"/>
        <v>105.625</v>
      </c>
      <c r="D555" s="4">
        <f>POWER(gompertz_g,POWER(gompertz_c,InitialAgeQ2)*(gompertz_c^('Question 2'!C555-InitialAgeQ2)-1))</f>
        <v>2.8643451815553291E-23</v>
      </c>
      <c r="E555" s="21">
        <f>(1+IntRateQ2)^(-(C555-InitialAgeQ2))*D555</f>
        <v>2.1837979905427179E-24</v>
      </c>
      <c r="F555" s="10">
        <f t="shared" si="41"/>
        <v>0</v>
      </c>
      <c r="G555" s="10">
        <f t="shared" si="42"/>
        <v>0</v>
      </c>
      <c r="H555" s="10">
        <f t="shared" si="43"/>
        <v>4</v>
      </c>
      <c r="I555" s="12">
        <f>IF(MOD(B555,StepsEachYearQ2)=0,1+B555/StepsEachYearQ2,0)</f>
        <v>0</v>
      </c>
      <c r="M555" s="33"/>
    </row>
    <row r="556" spans="2:13" ht="13.15" thickBot="1" x14ac:dyDescent="0.4">
      <c r="B556" s="13">
        <f t="shared" si="44"/>
        <v>526</v>
      </c>
      <c r="C556" s="21">
        <f t="shared" si="40"/>
        <v>105.75</v>
      </c>
      <c r="D556" s="4">
        <f>POWER(gompertz_g,POWER(gompertz_c,InitialAgeQ2)*(gompertz_c^('Question 2'!C556-InitialAgeQ2)-1))</f>
        <v>1.6293629058725127E-23</v>
      </c>
      <c r="E556" s="21">
        <f>(1+IntRateQ2)^(-(C556-InitialAgeQ2))*D556</f>
        <v>1.2361630728403507E-24</v>
      </c>
      <c r="F556" s="10">
        <f t="shared" si="41"/>
        <v>0</v>
      </c>
      <c r="G556" s="10">
        <f t="shared" si="42"/>
        <v>0</v>
      </c>
      <c r="H556" s="10">
        <f t="shared" si="43"/>
        <v>2</v>
      </c>
      <c r="I556" s="12">
        <f>IF(MOD(B556,StepsEachYearQ2)=0,1+B556/StepsEachYearQ2,0)</f>
        <v>0</v>
      </c>
      <c r="M556" s="33"/>
    </row>
    <row r="557" spans="2:13" ht="13.15" thickBot="1" x14ac:dyDescent="0.4">
      <c r="B557" s="13">
        <f t="shared" si="44"/>
        <v>527</v>
      </c>
      <c r="C557" s="21">
        <f t="shared" si="40"/>
        <v>105.875</v>
      </c>
      <c r="D557" s="4">
        <f>POWER(gompertz_g,POWER(gompertz_c,InitialAgeQ2)*(gompertz_c^('Question 2'!C557-InitialAgeQ2)-1))</f>
        <v>9.2120599735856137E-24</v>
      </c>
      <c r="E557" s="21">
        <f>(1+IntRateQ2)^(-(C557-InitialAgeQ2))*D557</f>
        <v>6.9548141715571969E-25</v>
      </c>
      <c r="F557" s="10">
        <f t="shared" si="41"/>
        <v>0</v>
      </c>
      <c r="G557" s="10">
        <f t="shared" si="42"/>
        <v>0</v>
      </c>
      <c r="H557" s="10">
        <f t="shared" si="43"/>
        <v>4</v>
      </c>
      <c r="I557" s="12">
        <f>IF(MOD(B557,StepsEachYearQ2)=0,1+B557/StepsEachYearQ2,0)</f>
        <v>0</v>
      </c>
      <c r="M557" s="33"/>
    </row>
    <row r="558" spans="2:13" ht="13.15" thickBot="1" x14ac:dyDescent="0.4">
      <c r="B558" s="13">
        <f t="shared" si="44"/>
        <v>528</v>
      </c>
      <c r="C558" s="21">
        <f t="shared" si="40"/>
        <v>106</v>
      </c>
      <c r="D558" s="4">
        <f>POWER(gompertz_g,POWER(gompertz_c,InitialAgeQ2)*(gompertz_c^('Question 2'!C558-InitialAgeQ2)-1))</f>
        <v>5.176228145020927E-24</v>
      </c>
      <c r="E558" s="21">
        <f>(1+IntRateQ2)^(-(C558-InitialAgeQ2))*D558</f>
        <v>3.888776791059793E-25</v>
      </c>
      <c r="F558" s="10">
        <f t="shared" si="41"/>
        <v>1</v>
      </c>
      <c r="G558" s="10">
        <f t="shared" si="42"/>
        <v>0.5</v>
      </c>
      <c r="H558" s="10">
        <f t="shared" si="43"/>
        <v>2</v>
      </c>
      <c r="I558" s="12">
        <f>IF(MOD(B558,StepsEachYearQ2)=0,1+B558/StepsEachYearQ2,0)</f>
        <v>67</v>
      </c>
      <c r="M558" s="33"/>
    </row>
    <row r="559" spans="2:13" ht="13.15" thickBot="1" x14ac:dyDescent="0.4">
      <c r="B559" s="13">
        <f t="shared" si="44"/>
        <v>529</v>
      </c>
      <c r="C559" s="21">
        <f t="shared" si="40"/>
        <v>106.125</v>
      </c>
      <c r="D559" s="4">
        <f>POWER(gompertz_g,POWER(gompertz_c,InitialAgeQ2)*(gompertz_c^('Question 2'!C559-InitialAgeQ2)-1))</f>
        <v>2.8904052279824321E-24</v>
      </c>
      <c r="E559" s="21">
        <f>(1+IntRateQ2)^(-(C559-InitialAgeQ2))*D559</f>
        <v>2.1608726512647263E-25</v>
      </c>
      <c r="F559" s="10">
        <f t="shared" si="41"/>
        <v>0</v>
      </c>
      <c r="G559" s="10">
        <f t="shared" si="42"/>
        <v>0</v>
      </c>
      <c r="H559" s="10">
        <f t="shared" si="43"/>
        <v>4</v>
      </c>
      <c r="I559" s="12">
        <f>IF(MOD(B559,StepsEachYearQ2)=0,1+B559/StepsEachYearQ2,0)</f>
        <v>0</v>
      </c>
      <c r="M559" s="33"/>
    </row>
    <row r="560" spans="2:13" ht="13.15" thickBot="1" x14ac:dyDescent="0.4">
      <c r="B560" s="13">
        <f t="shared" si="44"/>
        <v>530</v>
      </c>
      <c r="C560" s="21">
        <f t="shared" si="40"/>
        <v>106.25</v>
      </c>
      <c r="D560" s="4">
        <f>POWER(gompertz_g,POWER(gompertz_c,InitialAgeQ2)*(gompertz_c^('Question 2'!C560-InitialAgeQ2)-1))</f>
        <v>1.6038485821244869E-24</v>
      </c>
      <c r="E560" s="21">
        <f>(1+IntRateQ2)^(-(C560-InitialAgeQ2))*D560</f>
        <v>1.1931763483224715E-25</v>
      </c>
      <c r="F560" s="10">
        <f t="shared" si="41"/>
        <v>0</v>
      </c>
      <c r="G560" s="10">
        <f t="shared" si="42"/>
        <v>0</v>
      </c>
      <c r="H560" s="10">
        <f t="shared" si="43"/>
        <v>2</v>
      </c>
      <c r="I560" s="12">
        <f>IF(MOD(B560,StepsEachYearQ2)=0,1+B560/StepsEachYearQ2,0)</f>
        <v>0</v>
      </c>
      <c r="M560" s="33"/>
    </row>
    <row r="561" spans="2:13" ht="13.15" thickBot="1" x14ac:dyDescent="0.4">
      <c r="B561" s="13">
        <f t="shared" si="44"/>
        <v>531</v>
      </c>
      <c r="C561" s="21">
        <f t="shared" si="40"/>
        <v>106.375</v>
      </c>
      <c r="D561" s="4">
        <f>POWER(gompertz_g,POWER(gompertz_c,InitialAgeQ2)*(gompertz_c^('Question 2'!C561-InitialAgeQ2)-1))</f>
        <v>8.8429591395019847E-25</v>
      </c>
      <c r="E561" s="21">
        <f>(1+IntRateQ2)^(-(C561-InitialAgeQ2))*D561</f>
        <v>6.5465082923393873E-26</v>
      </c>
      <c r="F561" s="10">
        <f t="shared" si="41"/>
        <v>0</v>
      </c>
      <c r="G561" s="10">
        <f t="shared" si="42"/>
        <v>0</v>
      </c>
      <c r="H561" s="10">
        <f t="shared" si="43"/>
        <v>4</v>
      </c>
      <c r="I561" s="12">
        <f>IF(MOD(B561,StepsEachYearQ2)=0,1+B561/StepsEachYearQ2,0)</f>
        <v>0</v>
      </c>
      <c r="M561" s="33"/>
    </row>
    <row r="562" spans="2:13" ht="13.15" thickBot="1" x14ac:dyDescent="0.4">
      <c r="B562" s="13">
        <f t="shared" si="44"/>
        <v>532</v>
      </c>
      <c r="C562" s="21">
        <f t="shared" si="40"/>
        <v>106.5</v>
      </c>
      <c r="D562" s="4">
        <f>POWER(gompertz_g,POWER(gompertz_c,InitialAgeQ2)*(gompertz_c^('Question 2'!C562-InitialAgeQ2)-1))</f>
        <v>4.8443051357878124E-25</v>
      </c>
      <c r="E562" s="21">
        <f>(1+IntRateQ2)^(-(C562-InitialAgeQ2))*D562</f>
        <v>3.568736046606895E-26</v>
      </c>
      <c r="F562" s="10">
        <f t="shared" si="41"/>
        <v>0</v>
      </c>
      <c r="G562" s="10">
        <f t="shared" si="42"/>
        <v>0.5</v>
      </c>
      <c r="H562" s="10">
        <f t="shared" si="43"/>
        <v>2</v>
      </c>
      <c r="I562" s="12">
        <f>IF(MOD(B562,StepsEachYearQ2)=0,1+B562/StepsEachYearQ2,0)</f>
        <v>0</v>
      </c>
      <c r="M562" s="33"/>
    </row>
    <row r="563" spans="2:13" ht="13.15" thickBot="1" x14ac:dyDescent="0.4">
      <c r="B563" s="13">
        <f t="shared" si="44"/>
        <v>533</v>
      </c>
      <c r="C563" s="21">
        <f t="shared" si="40"/>
        <v>106.625</v>
      </c>
      <c r="D563" s="4">
        <f>POWER(gompertz_g,POWER(gompertz_c,InitialAgeQ2)*(gompertz_c^('Question 2'!C563-InitialAgeQ2)-1))</f>
        <v>2.6365417514399629E-25</v>
      </c>
      <c r="E563" s="21">
        <f>(1+IntRateQ2)^(-(C563-InitialAgeQ2))*D563</f>
        <v>1.932806699473902E-26</v>
      </c>
      <c r="F563" s="10">
        <f t="shared" si="41"/>
        <v>0</v>
      </c>
      <c r="G563" s="10">
        <f t="shared" si="42"/>
        <v>0</v>
      </c>
      <c r="H563" s="10">
        <f t="shared" si="43"/>
        <v>4</v>
      </c>
      <c r="I563" s="12">
        <f>IF(MOD(B563,StepsEachYearQ2)=0,1+B563/StepsEachYearQ2,0)</f>
        <v>0</v>
      </c>
      <c r="M563" s="33"/>
    </row>
    <row r="564" spans="2:13" ht="13.15" thickBot="1" x14ac:dyDescent="0.4">
      <c r="B564" s="13">
        <f t="shared" si="44"/>
        <v>534</v>
      </c>
      <c r="C564" s="21">
        <f t="shared" si="40"/>
        <v>106.75</v>
      </c>
      <c r="D564" s="4">
        <f>POWER(gompertz_g,POWER(gompertz_c,InitialAgeQ2)*(gompertz_c^('Question 2'!C564-InitialAgeQ2)-1))</f>
        <v>1.4255302807303619E-25</v>
      </c>
      <c r="E564" s="21">
        <f>(1+IntRateQ2)^(-(C564-InitialAgeQ2))*D564</f>
        <v>1.0399226769881929E-26</v>
      </c>
      <c r="F564" s="10">
        <f t="shared" si="41"/>
        <v>0</v>
      </c>
      <c r="G564" s="10">
        <f t="shared" si="42"/>
        <v>0</v>
      </c>
      <c r="H564" s="10">
        <f t="shared" si="43"/>
        <v>2</v>
      </c>
      <c r="I564" s="12">
        <f>IF(MOD(B564,StepsEachYearQ2)=0,1+B564/StepsEachYearQ2,0)</f>
        <v>0</v>
      </c>
      <c r="M564" s="33"/>
    </row>
    <row r="565" spans="2:13" ht="13.15" thickBot="1" x14ac:dyDescent="0.4">
      <c r="B565" s="13">
        <f t="shared" si="44"/>
        <v>535</v>
      </c>
      <c r="C565" s="21">
        <f t="shared" si="40"/>
        <v>106.875</v>
      </c>
      <c r="D565" s="4">
        <f>POWER(gompertz_g,POWER(gompertz_c,InitialAgeQ2)*(gompertz_c^('Question 2'!C565-InitialAgeQ2)-1))</f>
        <v>7.656422353554232E-26</v>
      </c>
      <c r="E565" s="21">
        <f>(1+IntRateQ2)^(-(C565-InitialAgeQ2))*D565</f>
        <v>5.5580355075314804E-27</v>
      </c>
      <c r="F565" s="10">
        <f t="shared" si="41"/>
        <v>0</v>
      </c>
      <c r="G565" s="10">
        <f t="shared" si="42"/>
        <v>0</v>
      </c>
      <c r="H565" s="10">
        <f t="shared" si="43"/>
        <v>4</v>
      </c>
      <c r="I565" s="12">
        <f>IF(MOD(B565,StepsEachYearQ2)=0,1+B565/StepsEachYearQ2,0)</f>
        <v>0</v>
      </c>
      <c r="M565" s="33"/>
    </row>
    <row r="566" spans="2:13" ht="13.15" thickBot="1" x14ac:dyDescent="0.4">
      <c r="B566" s="13">
        <f t="shared" si="44"/>
        <v>536</v>
      </c>
      <c r="C566" s="21">
        <f t="shared" si="40"/>
        <v>107</v>
      </c>
      <c r="D566" s="4">
        <f>POWER(gompertz_g,POWER(gompertz_c,InitialAgeQ2)*(gompertz_c^('Question 2'!C566-InitialAgeQ2)-1))</f>
        <v>4.0846197645744304E-26</v>
      </c>
      <c r="E566" s="21">
        <f>(1+IntRateQ2)^(-(C566-InitialAgeQ2))*D566</f>
        <v>2.9506513860759065E-27</v>
      </c>
      <c r="F566" s="10">
        <f t="shared" si="41"/>
        <v>1</v>
      </c>
      <c r="G566" s="10">
        <f t="shared" si="42"/>
        <v>0.5</v>
      </c>
      <c r="H566" s="10">
        <f t="shared" si="43"/>
        <v>2</v>
      </c>
      <c r="I566" s="12">
        <f>IF(MOD(B566,StepsEachYearQ2)=0,1+B566/StepsEachYearQ2,0)</f>
        <v>68</v>
      </c>
      <c r="M566" s="33"/>
    </row>
    <row r="567" spans="2:13" ht="13.15" thickBot="1" x14ac:dyDescent="0.4">
      <c r="B567" s="13">
        <f t="shared" si="44"/>
        <v>537</v>
      </c>
      <c r="C567" s="21">
        <f t="shared" si="40"/>
        <v>107.125</v>
      </c>
      <c r="D567" s="4">
        <f>POWER(gompertz_g,POWER(gompertz_c,InitialAgeQ2)*(gompertz_c^('Question 2'!C567-InitialAgeQ2)-1))</f>
        <v>2.1643228167531498E-26</v>
      </c>
      <c r="E567" s="21">
        <f>(1+IntRateQ2)^(-(C567-InitialAgeQ2))*D567</f>
        <v>1.5558192385145808E-27</v>
      </c>
      <c r="F567" s="10">
        <f t="shared" si="41"/>
        <v>0</v>
      </c>
      <c r="G567" s="10">
        <f t="shared" si="42"/>
        <v>0</v>
      </c>
      <c r="H567" s="10">
        <f t="shared" si="43"/>
        <v>4</v>
      </c>
      <c r="I567" s="12">
        <f>IF(MOD(B567,StepsEachYearQ2)=0,1+B567/StepsEachYearQ2,0)</f>
        <v>0</v>
      </c>
      <c r="M567" s="33"/>
    </row>
    <row r="568" spans="2:13" ht="13.15" thickBot="1" x14ac:dyDescent="0.4">
      <c r="B568" s="13">
        <f t="shared" si="44"/>
        <v>538</v>
      </c>
      <c r="C568" s="21">
        <f t="shared" si="40"/>
        <v>107.25</v>
      </c>
      <c r="D568" s="4">
        <f>POWER(gompertz_g,POWER(gompertz_c,InitialAgeQ2)*(gompertz_c^('Question 2'!C568-InitialAgeQ2)-1))</f>
        <v>1.1389511176059513E-26</v>
      </c>
      <c r="E568" s="21">
        <f>(1+IntRateQ2)^(-(C568-InitialAgeQ2))*D568</f>
        <v>8.1472870377654983E-28</v>
      </c>
      <c r="F568" s="10">
        <f t="shared" si="41"/>
        <v>0</v>
      </c>
      <c r="G568" s="10">
        <f t="shared" si="42"/>
        <v>0</v>
      </c>
      <c r="H568" s="10">
        <f t="shared" si="43"/>
        <v>2</v>
      </c>
      <c r="I568" s="12">
        <f>IF(MOD(B568,StepsEachYearQ2)=0,1+B568/StepsEachYearQ2,0)</f>
        <v>0</v>
      </c>
      <c r="M568" s="33"/>
    </row>
    <row r="569" spans="2:13" ht="13.15" thickBot="1" x14ac:dyDescent="0.4">
      <c r="B569" s="13">
        <f t="shared" si="44"/>
        <v>539</v>
      </c>
      <c r="C569" s="21">
        <f t="shared" si="40"/>
        <v>107.375</v>
      </c>
      <c r="D569" s="4">
        <f>POWER(gompertz_g,POWER(gompertz_c,InitialAgeQ2)*(gompertz_c^('Question 2'!C569-InitialAgeQ2)-1))</f>
        <v>5.9520753660110186E-27</v>
      </c>
      <c r="E569" s="21">
        <f>(1+IntRateQ2)^(-(C569-InitialAgeQ2))*D569</f>
        <v>4.2368899766995171E-28</v>
      </c>
      <c r="F569" s="10">
        <f t="shared" si="41"/>
        <v>0</v>
      </c>
      <c r="G569" s="10">
        <f t="shared" si="42"/>
        <v>0</v>
      </c>
      <c r="H569" s="10">
        <f t="shared" si="43"/>
        <v>4</v>
      </c>
      <c r="I569" s="12">
        <f>IF(MOD(B569,StepsEachYearQ2)=0,1+B569/StepsEachYearQ2,0)</f>
        <v>0</v>
      </c>
      <c r="M569" s="33"/>
    </row>
    <row r="570" spans="2:13" ht="13.15" thickBot="1" x14ac:dyDescent="0.4">
      <c r="B570" s="13">
        <f t="shared" si="44"/>
        <v>540</v>
      </c>
      <c r="C570" s="21">
        <f t="shared" si="40"/>
        <v>107.5</v>
      </c>
      <c r="D570" s="4">
        <f>POWER(gompertz_g,POWER(gompertz_c,InitialAgeQ2)*(gompertz_c^('Question 2'!C570-InitialAgeQ2)-1))</f>
        <v>3.08872570817767E-27</v>
      </c>
      <c r="E570" s="21">
        <f>(1+IntRateQ2)^(-(C570-InitialAgeQ2))*D570</f>
        <v>2.1879074151305688E-28</v>
      </c>
      <c r="F570" s="10">
        <f t="shared" si="41"/>
        <v>0</v>
      </c>
      <c r="G570" s="10">
        <f t="shared" si="42"/>
        <v>0.5</v>
      </c>
      <c r="H570" s="10">
        <f t="shared" si="43"/>
        <v>2</v>
      </c>
      <c r="I570" s="12">
        <f>IF(MOD(B570,StepsEachYearQ2)=0,1+B570/StepsEachYearQ2,0)</f>
        <v>0</v>
      </c>
      <c r="M570" s="33"/>
    </row>
    <row r="571" spans="2:13" ht="13.15" thickBot="1" x14ac:dyDescent="0.4">
      <c r="B571" s="13">
        <f t="shared" si="44"/>
        <v>541</v>
      </c>
      <c r="C571" s="21">
        <f t="shared" si="40"/>
        <v>107.625</v>
      </c>
      <c r="D571" s="4">
        <f>POWER(gompertz_g,POWER(gompertz_c,InitialAgeQ2)*(gompertz_c^('Question 2'!C571-InitialAgeQ2)-1))</f>
        <v>1.5914932082306151E-27</v>
      </c>
      <c r="E571" s="21">
        <f>(1+IntRateQ2)^(-(C571-InitialAgeQ2))*D571</f>
        <v>1.1218252723241844E-28</v>
      </c>
      <c r="F571" s="10">
        <f t="shared" si="41"/>
        <v>0</v>
      </c>
      <c r="G571" s="10">
        <f t="shared" si="42"/>
        <v>0</v>
      </c>
      <c r="H571" s="10">
        <f t="shared" si="43"/>
        <v>4</v>
      </c>
      <c r="I571" s="12">
        <f>IF(MOD(B571,StepsEachYearQ2)=0,1+B571/StepsEachYearQ2,0)</f>
        <v>0</v>
      </c>
      <c r="M571" s="33"/>
    </row>
    <row r="572" spans="2:13" ht="13.15" thickBot="1" x14ac:dyDescent="0.4">
      <c r="B572" s="13">
        <f t="shared" si="44"/>
        <v>542</v>
      </c>
      <c r="C572" s="21">
        <f t="shared" si="40"/>
        <v>107.75</v>
      </c>
      <c r="D572" s="4">
        <f>POWER(gompertz_g,POWER(gompertz_c,InitialAgeQ2)*(gompertz_c^('Question 2'!C572-InitialAgeQ2)-1))</f>
        <v>8.1416296829426347E-28</v>
      </c>
      <c r="E572" s="21">
        <f>(1+IntRateQ2)^(-(C572-InitialAgeQ2))*D572</f>
        <v>5.7108743816657213E-29</v>
      </c>
      <c r="F572" s="10">
        <f t="shared" si="41"/>
        <v>0</v>
      </c>
      <c r="G572" s="10">
        <f t="shared" si="42"/>
        <v>0</v>
      </c>
      <c r="H572" s="10">
        <f t="shared" si="43"/>
        <v>2</v>
      </c>
      <c r="I572" s="12">
        <f>IF(MOD(B572,StepsEachYearQ2)=0,1+B572/StepsEachYearQ2,0)</f>
        <v>0</v>
      </c>
      <c r="M572" s="33"/>
    </row>
    <row r="573" spans="2:13" ht="13.15" thickBot="1" x14ac:dyDescent="0.4">
      <c r="B573" s="13">
        <f t="shared" si="44"/>
        <v>543</v>
      </c>
      <c r="C573" s="21">
        <f t="shared" si="40"/>
        <v>107.875</v>
      </c>
      <c r="D573" s="4">
        <f>POWER(gompertz_g,POWER(gompertz_c,InitialAgeQ2)*(gompertz_c^('Question 2'!C573-InitialAgeQ2)-1))</f>
        <v>4.1349020836318649E-28</v>
      </c>
      <c r="E573" s="21">
        <f>(1+IntRateQ2)^(-(C573-InitialAgeQ2))*D573</f>
        <v>2.8862059975152781E-29</v>
      </c>
      <c r="F573" s="10">
        <f t="shared" si="41"/>
        <v>0</v>
      </c>
      <c r="G573" s="10">
        <f t="shared" si="42"/>
        <v>0</v>
      </c>
      <c r="H573" s="10">
        <f t="shared" si="43"/>
        <v>4</v>
      </c>
      <c r="I573" s="12">
        <f>IF(MOD(B573,StepsEachYearQ2)=0,1+B573/StepsEachYearQ2,0)</f>
        <v>0</v>
      </c>
      <c r="M573" s="33"/>
    </row>
    <row r="574" spans="2:13" ht="13.15" thickBot="1" x14ac:dyDescent="0.4">
      <c r="B574" s="13">
        <f t="shared" si="44"/>
        <v>544</v>
      </c>
      <c r="C574" s="21">
        <f t="shared" si="40"/>
        <v>108</v>
      </c>
      <c r="D574" s="4">
        <f>POWER(gompertz_g,POWER(gompertz_c,InitialAgeQ2)*(gompertz_c^('Question 2'!C574-InitialAgeQ2)-1))</f>
        <v>2.0846459164534448E-28</v>
      </c>
      <c r="E574" s="21">
        <f>(1+IntRateQ2)^(-(C574-InitialAgeQ2))*D574</f>
        <v>1.4479888811307807E-29</v>
      </c>
      <c r="F574" s="10">
        <f t="shared" si="41"/>
        <v>1</v>
      </c>
      <c r="G574" s="10">
        <f t="shared" si="42"/>
        <v>0.5</v>
      </c>
      <c r="H574" s="10">
        <f t="shared" si="43"/>
        <v>2</v>
      </c>
      <c r="I574" s="12">
        <f>IF(MOD(B574,StepsEachYearQ2)=0,1+B574/StepsEachYearQ2,0)</f>
        <v>69</v>
      </c>
      <c r="M574" s="33"/>
    </row>
    <row r="575" spans="2:13" ht="13.15" thickBot="1" x14ac:dyDescent="0.4">
      <c r="B575" s="13">
        <f t="shared" si="44"/>
        <v>545</v>
      </c>
      <c r="C575" s="21">
        <f t="shared" si="40"/>
        <v>108.125</v>
      </c>
      <c r="D575" s="4">
        <f>POWER(gompertz_g,POWER(gompertz_c,InitialAgeQ2)*(gompertz_c^('Question 2'!C575-InitialAgeQ2)-1))</f>
        <v>1.0432251273972311E-28</v>
      </c>
      <c r="E575" s="21">
        <f>(1+IntRateQ2)^(-(C575-InitialAgeQ2))*D575</f>
        <v>7.2107725919507599E-30</v>
      </c>
      <c r="F575" s="10">
        <f t="shared" si="41"/>
        <v>0</v>
      </c>
      <c r="G575" s="10">
        <f t="shared" si="42"/>
        <v>0</v>
      </c>
      <c r="H575" s="10">
        <f t="shared" si="43"/>
        <v>4</v>
      </c>
      <c r="I575" s="12">
        <f>IF(MOD(B575,StepsEachYearQ2)=0,1+B575/StepsEachYearQ2,0)</f>
        <v>0</v>
      </c>
      <c r="M575" s="33"/>
    </row>
    <row r="576" spans="2:13" ht="13.15" thickBot="1" x14ac:dyDescent="0.4">
      <c r="B576" s="13">
        <f t="shared" si="44"/>
        <v>546</v>
      </c>
      <c r="C576" s="21">
        <f t="shared" si="40"/>
        <v>108.25</v>
      </c>
      <c r="D576" s="4">
        <f>POWER(gompertz_g,POWER(gompertz_c,InitialAgeQ2)*(gompertz_c^('Question 2'!C576-InitialAgeQ2)-1))</f>
        <v>5.181643864098746E-29</v>
      </c>
      <c r="E576" s="21">
        <f>(1+IntRateQ2)^(-(C576-InitialAgeQ2))*D576</f>
        <v>3.56403658422978E-30</v>
      </c>
      <c r="F576" s="10">
        <f t="shared" si="41"/>
        <v>0</v>
      </c>
      <c r="G576" s="10">
        <f t="shared" si="42"/>
        <v>0</v>
      </c>
      <c r="H576" s="10">
        <f t="shared" si="43"/>
        <v>2</v>
      </c>
      <c r="I576" s="12">
        <f>IF(MOD(B576,StepsEachYearQ2)=0,1+B576/StepsEachYearQ2,0)</f>
        <v>0</v>
      </c>
      <c r="M576" s="33"/>
    </row>
    <row r="577" spans="2:13" ht="13.15" thickBot="1" x14ac:dyDescent="0.4">
      <c r="B577" s="13">
        <f t="shared" si="44"/>
        <v>547</v>
      </c>
      <c r="C577" s="21">
        <f t="shared" si="40"/>
        <v>108.375</v>
      </c>
      <c r="D577" s="4">
        <f>POWER(gompertz_g,POWER(gompertz_c,InitialAgeQ2)*(gompertz_c^('Question 2'!C577-InitialAgeQ2)-1))</f>
        <v>2.5542629114731265E-29</v>
      </c>
      <c r="E577" s="21">
        <f>(1+IntRateQ2)^(-(C577-InitialAgeQ2))*D577</f>
        <v>1.7482801346896856E-30</v>
      </c>
      <c r="F577" s="10">
        <f t="shared" si="41"/>
        <v>0</v>
      </c>
      <c r="G577" s="10">
        <f t="shared" si="42"/>
        <v>0</v>
      </c>
      <c r="H577" s="10">
        <f t="shared" si="43"/>
        <v>4</v>
      </c>
      <c r="I577" s="12">
        <f>IF(MOD(B577,StepsEachYearQ2)=0,1+B577/StepsEachYearQ2,0)</f>
        <v>0</v>
      </c>
      <c r="M577" s="33"/>
    </row>
    <row r="578" spans="2:13" ht="13.15" thickBot="1" x14ac:dyDescent="0.4">
      <c r="B578" s="13">
        <f t="shared" si="44"/>
        <v>548</v>
      </c>
      <c r="C578" s="21">
        <f t="shared" si="40"/>
        <v>108.5</v>
      </c>
      <c r="D578" s="4">
        <f>POWER(gompertz_g,POWER(gompertz_c,InitialAgeQ2)*(gompertz_c^('Question 2'!C578-InitialAgeQ2)-1))</f>
        <v>1.2495006932994187E-29</v>
      </c>
      <c r="E578" s="21">
        <f>(1+IntRateQ2)^(-(C578-InitialAgeQ2))*D578</f>
        <v>8.5104546040640912E-31</v>
      </c>
      <c r="F578" s="10">
        <f t="shared" si="41"/>
        <v>0</v>
      </c>
      <c r="G578" s="10">
        <f t="shared" si="42"/>
        <v>0.5</v>
      </c>
      <c r="H578" s="10">
        <f t="shared" si="43"/>
        <v>2</v>
      </c>
      <c r="I578" s="12">
        <f>IF(MOD(B578,StepsEachYearQ2)=0,1+B578/StepsEachYearQ2,0)</f>
        <v>0</v>
      </c>
      <c r="M578" s="33"/>
    </row>
    <row r="579" spans="2:13" ht="13.15" thickBot="1" x14ac:dyDescent="0.4">
      <c r="B579" s="13">
        <f t="shared" si="44"/>
        <v>549</v>
      </c>
      <c r="C579" s="21">
        <f t="shared" si="40"/>
        <v>108.625</v>
      </c>
      <c r="D579" s="4">
        <f>POWER(gompertz_g,POWER(gompertz_c,InitialAgeQ2)*(gompertz_c^('Question 2'!C579-InitialAgeQ2)-1))</f>
        <v>6.0651875998184987E-30</v>
      </c>
      <c r="E579" s="21">
        <f>(1+IntRateQ2)^(-(C579-InitialAgeQ2))*D579</f>
        <v>4.1108471492704623E-31</v>
      </c>
      <c r="F579" s="10">
        <f t="shared" si="41"/>
        <v>0</v>
      </c>
      <c r="G579" s="10">
        <f t="shared" si="42"/>
        <v>0</v>
      </c>
      <c r="H579" s="10">
        <f t="shared" si="43"/>
        <v>4</v>
      </c>
      <c r="I579" s="12">
        <f>IF(MOD(B579,StepsEachYearQ2)=0,1+B579/StepsEachYearQ2,0)</f>
        <v>0</v>
      </c>
      <c r="M579" s="33"/>
    </row>
    <row r="580" spans="2:13" ht="13.15" thickBot="1" x14ac:dyDescent="0.4">
      <c r="B580" s="13">
        <f t="shared" si="44"/>
        <v>550</v>
      </c>
      <c r="C580" s="21">
        <f t="shared" si="40"/>
        <v>108.75</v>
      </c>
      <c r="D580" s="4">
        <f>POWER(gompertz_g,POWER(gompertz_c,InitialAgeQ2)*(gompertz_c^('Question 2'!C580-InitialAgeQ2)-1))</f>
        <v>2.9211400805033124E-30</v>
      </c>
      <c r="E580" s="21">
        <f>(1+IntRateQ2)^(-(C580-InitialAgeQ2))*D580</f>
        <v>1.9701999642880492E-31</v>
      </c>
      <c r="F580" s="10">
        <f t="shared" si="41"/>
        <v>0</v>
      </c>
      <c r="G580" s="10">
        <f t="shared" si="42"/>
        <v>0</v>
      </c>
      <c r="H580" s="10">
        <f t="shared" si="43"/>
        <v>2</v>
      </c>
      <c r="I580" s="12">
        <f>IF(MOD(B580,StepsEachYearQ2)=0,1+B580/StepsEachYearQ2,0)</f>
        <v>0</v>
      </c>
      <c r="M580" s="33"/>
    </row>
    <row r="581" spans="2:13" ht="13.15" thickBot="1" x14ac:dyDescent="0.4">
      <c r="B581" s="13">
        <f t="shared" si="44"/>
        <v>551</v>
      </c>
      <c r="C581" s="21">
        <f t="shared" si="40"/>
        <v>108.875</v>
      </c>
      <c r="D581" s="4">
        <f>POWER(gompertz_g,POWER(gompertz_c,InitialAgeQ2)*(gompertz_c^('Question 2'!C581-InitialAgeQ2)-1))</f>
        <v>1.3958029701573352E-30</v>
      </c>
      <c r="E581" s="21">
        <f>(1+IntRateQ2)^(-(C581-InitialAgeQ2))*D581</f>
        <v>9.368129249162263E-32</v>
      </c>
      <c r="F581" s="10">
        <f t="shared" si="41"/>
        <v>0</v>
      </c>
      <c r="G581" s="10">
        <f t="shared" si="42"/>
        <v>0</v>
      </c>
      <c r="H581" s="10">
        <f t="shared" si="43"/>
        <v>4</v>
      </c>
      <c r="I581" s="12">
        <f>IF(MOD(B581,StepsEachYearQ2)=0,1+B581/StepsEachYearQ2,0)</f>
        <v>0</v>
      </c>
      <c r="M581" s="33"/>
    </row>
    <row r="582" spans="2:13" ht="13.15" thickBot="1" x14ac:dyDescent="0.4">
      <c r="B582" s="13">
        <f t="shared" si="44"/>
        <v>552</v>
      </c>
      <c r="C582" s="21">
        <f t="shared" si="40"/>
        <v>109</v>
      </c>
      <c r="D582" s="4">
        <f>POWER(gompertz_g,POWER(gompertz_c,InitialAgeQ2)*(gompertz_c^('Question 2'!C582-InitialAgeQ2)-1))</f>
        <v>6.6164071759105852E-31</v>
      </c>
      <c r="E582" s="21">
        <f>(1+IntRateQ2)^(-(C582-InitialAgeQ2))*D582</f>
        <v>4.4189777248430159E-32</v>
      </c>
      <c r="F582" s="10">
        <f t="shared" si="41"/>
        <v>1</v>
      </c>
      <c r="G582" s="10">
        <f t="shared" si="42"/>
        <v>0.5</v>
      </c>
      <c r="H582" s="10">
        <f t="shared" si="43"/>
        <v>2</v>
      </c>
      <c r="I582" s="12">
        <f>IF(MOD(B582,StepsEachYearQ2)=0,1+B582/StepsEachYearQ2,0)</f>
        <v>70</v>
      </c>
      <c r="M582" s="33"/>
    </row>
    <row r="583" spans="2:13" ht="13.15" thickBot="1" x14ac:dyDescent="0.4">
      <c r="B583" s="13">
        <f t="shared" si="44"/>
        <v>553</v>
      </c>
      <c r="C583" s="21">
        <f t="shared" si="40"/>
        <v>109.125</v>
      </c>
      <c r="D583" s="4">
        <f>POWER(gompertz_g,POWER(gompertz_c,InitialAgeQ2)*(gompertz_c^('Question 2'!C583-InitialAgeQ2)-1))</f>
        <v>3.111064966409791E-31</v>
      </c>
      <c r="E583" s="21">
        <f>(1+IntRateQ2)^(-(C583-InitialAgeQ2))*D583</f>
        <v>2.0676617858504893E-32</v>
      </c>
      <c r="F583" s="10">
        <f t="shared" si="41"/>
        <v>0</v>
      </c>
      <c r="G583" s="10">
        <f t="shared" si="42"/>
        <v>0</v>
      </c>
      <c r="H583" s="10">
        <f t="shared" si="43"/>
        <v>4</v>
      </c>
      <c r="I583" s="12">
        <f>IF(MOD(B583,StepsEachYearQ2)=0,1+B583/StepsEachYearQ2,0)</f>
        <v>0</v>
      </c>
      <c r="M583" s="33"/>
    </row>
    <row r="584" spans="2:13" ht="13.15" thickBot="1" x14ac:dyDescent="0.4">
      <c r="B584" s="13">
        <f t="shared" si="44"/>
        <v>554</v>
      </c>
      <c r="C584" s="21">
        <f t="shared" si="40"/>
        <v>109.25</v>
      </c>
      <c r="D584" s="4">
        <f>POWER(gompertz_g,POWER(gompertz_c,InitialAgeQ2)*(gompertz_c^('Question 2'!C584-InitialAgeQ2)-1))</f>
        <v>1.450930662273752E-31</v>
      </c>
      <c r="E584" s="21">
        <f>(1+IntRateQ2)^(-(C584-InitialAgeQ2))*D584</f>
        <v>9.5959485822804813E-33</v>
      </c>
      <c r="F584" s="10">
        <f t="shared" si="41"/>
        <v>0</v>
      </c>
      <c r="G584" s="10">
        <f t="shared" si="42"/>
        <v>0</v>
      </c>
      <c r="H584" s="10">
        <f t="shared" si="43"/>
        <v>2</v>
      </c>
      <c r="I584" s="12">
        <f>IF(MOD(B584,StepsEachYearQ2)=0,1+B584/StepsEachYearQ2,0)</f>
        <v>0</v>
      </c>
      <c r="M584" s="33"/>
    </row>
    <row r="585" spans="2:13" ht="13.15" thickBot="1" x14ac:dyDescent="0.4">
      <c r="B585" s="13">
        <f t="shared" si="44"/>
        <v>555</v>
      </c>
      <c r="C585" s="21">
        <f t="shared" si="40"/>
        <v>109.375</v>
      </c>
      <c r="D585" s="4">
        <f>POWER(gompertz_g,POWER(gompertz_c,InitialAgeQ2)*(gompertz_c^('Question 2'!C585-InitialAgeQ2)-1))</f>
        <v>6.7111434028744937E-32</v>
      </c>
      <c r="E585" s="21">
        <f>(1+IntRateQ2)^(-(C585-InitialAgeQ2))*D585</f>
        <v>4.4168088569164491E-33</v>
      </c>
      <c r="F585" s="10">
        <f t="shared" si="41"/>
        <v>0</v>
      </c>
      <c r="G585" s="10">
        <f t="shared" si="42"/>
        <v>0</v>
      </c>
      <c r="H585" s="10">
        <f t="shared" si="43"/>
        <v>4</v>
      </c>
      <c r="I585" s="12">
        <f>IF(MOD(B585,StepsEachYearQ2)=0,1+B585/StepsEachYearQ2,0)</f>
        <v>0</v>
      </c>
      <c r="M585" s="33"/>
    </row>
    <row r="586" spans="2:13" ht="13.15" thickBot="1" x14ac:dyDescent="0.4">
      <c r="B586" s="13">
        <f t="shared" si="44"/>
        <v>556</v>
      </c>
      <c r="C586" s="21">
        <f t="shared" si="40"/>
        <v>109.5</v>
      </c>
      <c r="D586" s="4">
        <f>POWER(gompertz_g,POWER(gompertz_c,InitialAgeQ2)*(gompertz_c^('Question 2'!C586-InitialAgeQ2)-1))</f>
        <v>3.0783628147536401E-32</v>
      </c>
      <c r="E586" s="21">
        <f>(1+IntRateQ2)^(-(C586-InitialAgeQ2))*D586</f>
        <v>2.0160566113675236E-33</v>
      </c>
      <c r="F586" s="10">
        <f t="shared" si="41"/>
        <v>0</v>
      </c>
      <c r="G586" s="10">
        <f t="shared" si="42"/>
        <v>0.5</v>
      </c>
      <c r="H586" s="10">
        <f t="shared" si="43"/>
        <v>2</v>
      </c>
      <c r="I586" s="12">
        <f>IF(MOD(B586,StepsEachYearQ2)=0,1+B586/StepsEachYearQ2,0)</f>
        <v>0</v>
      </c>
      <c r="M586" s="33"/>
    </row>
    <row r="587" spans="2:13" ht="13.15" thickBot="1" x14ac:dyDescent="0.4">
      <c r="B587" s="13">
        <f t="shared" si="44"/>
        <v>557</v>
      </c>
      <c r="C587" s="21">
        <f t="shared" si="40"/>
        <v>109.625</v>
      </c>
      <c r="D587" s="4">
        <f>POWER(gompertz_g,POWER(gompertz_c,InitialAgeQ2)*(gompertz_c^('Question 2'!C587-InitialAgeQ2)-1))</f>
        <v>1.4001586172115001E-32</v>
      </c>
      <c r="E587" s="21">
        <f>(1+IntRateQ2)^(-(C587-InitialAgeQ2))*D587</f>
        <v>9.1249604106712807E-34</v>
      </c>
      <c r="F587" s="10">
        <f t="shared" si="41"/>
        <v>0</v>
      </c>
      <c r="G587" s="10">
        <f t="shared" si="42"/>
        <v>0</v>
      </c>
      <c r="H587" s="10">
        <f t="shared" si="43"/>
        <v>4</v>
      </c>
      <c r="I587" s="12">
        <f>IF(MOD(B587,StepsEachYearQ2)=0,1+B587/StepsEachYearQ2,0)</f>
        <v>0</v>
      </c>
      <c r="M587" s="33"/>
    </row>
    <row r="588" spans="2:13" ht="13.15" thickBot="1" x14ac:dyDescent="0.4">
      <c r="B588" s="13">
        <f t="shared" si="44"/>
        <v>558</v>
      </c>
      <c r="C588" s="21">
        <f t="shared" si="40"/>
        <v>109.75</v>
      </c>
      <c r="D588" s="4">
        <f>POWER(gompertz_g,POWER(gompertz_c,InitialAgeQ2)*(gompertz_c^('Question 2'!C588-InitialAgeQ2)-1))</f>
        <v>6.3143567616742758E-33</v>
      </c>
      <c r="E588" s="21">
        <f>(1+IntRateQ2)^(-(C588-InitialAgeQ2))*D588</f>
        <v>4.0949980551274885E-34</v>
      </c>
      <c r="F588" s="10">
        <f t="shared" si="41"/>
        <v>0</v>
      </c>
      <c r="G588" s="10">
        <f t="shared" si="42"/>
        <v>0</v>
      </c>
      <c r="H588" s="10">
        <f t="shared" si="43"/>
        <v>2</v>
      </c>
      <c r="I588" s="12">
        <f>IF(MOD(B588,StepsEachYearQ2)=0,1+B588/StepsEachYearQ2,0)</f>
        <v>0</v>
      </c>
      <c r="M588" s="33"/>
    </row>
    <row r="589" spans="2:13" ht="13.15" thickBot="1" x14ac:dyDescent="0.4">
      <c r="B589" s="13">
        <f t="shared" si="44"/>
        <v>559</v>
      </c>
      <c r="C589" s="21">
        <f t="shared" si="40"/>
        <v>109.875</v>
      </c>
      <c r="D589" s="4">
        <f>POWER(gompertz_g,POWER(gompertz_c,InitialAgeQ2)*(gompertz_c^('Question 2'!C589-InitialAgeQ2)-1))</f>
        <v>2.8231587936452989E-33</v>
      </c>
      <c r="E589" s="21">
        <f>(1+IntRateQ2)^(-(C589-InitialAgeQ2))*D589</f>
        <v>1.8219259558309579E-34</v>
      </c>
      <c r="F589" s="10">
        <f t="shared" si="41"/>
        <v>0</v>
      </c>
      <c r="G589" s="10">
        <f t="shared" si="42"/>
        <v>0</v>
      </c>
      <c r="H589" s="10">
        <f t="shared" si="43"/>
        <v>4</v>
      </c>
      <c r="I589" s="12">
        <f>IF(MOD(B589,StepsEachYearQ2)=0,1+B589/StepsEachYearQ2,0)</f>
        <v>0</v>
      </c>
      <c r="M589" s="33"/>
    </row>
    <row r="590" spans="2:13" ht="13.15" thickBot="1" x14ac:dyDescent="0.4">
      <c r="B590" s="13">
        <f t="shared" si="44"/>
        <v>560</v>
      </c>
      <c r="C590" s="21">
        <f t="shared" si="40"/>
        <v>110</v>
      </c>
      <c r="D590" s="4">
        <f>POWER(gompertz_g,POWER(gompertz_c,InitialAgeQ2)*(gompertz_c^('Question 2'!C590-InitialAgeQ2)-1))</f>
        <v>1.2512821288413053E-33</v>
      </c>
      <c r="E590" s="21">
        <f>(1+IntRateQ2)^(-(C590-InitialAgeQ2))*D590</f>
        <v>8.0356588550859862E-35</v>
      </c>
      <c r="F590" s="10">
        <f t="shared" si="41"/>
        <v>1</v>
      </c>
      <c r="G590" s="10">
        <f t="shared" si="42"/>
        <v>0.5</v>
      </c>
      <c r="H590" s="10">
        <f t="shared" si="43"/>
        <v>2</v>
      </c>
      <c r="I590" s="12">
        <f>IF(MOD(B590,StepsEachYearQ2)=0,1+B590/StepsEachYearQ2,0)</f>
        <v>71</v>
      </c>
      <c r="M590" s="33"/>
    </row>
    <row r="591" spans="2:13" ht="13.15" thickBot="1" x14ac:dyDescent="0.4">
      <c r="B591" s="13">
        <f t="shared" si="44"/>
        <v>561</v>
      </c>
      <c r="C591" s="21">
        <f t="shared" si="40"/>
        <v>110.125</v>
      </c>
      <c r="D591" s="4">
        <f>POWER(gompertz_g,POWER(gompertz_c,InitialAgeQ2)*(gompertz_c^('Question 2'!C591-InitialAgeQ2)-1))</f>
        <v>5.4972807248453847E-34</v>
      </c>
      <c r="E591" s="21">
        <f>(1+IntRateQ2)^(-(C591-InitialAgeQ2))*D591</f>
        <v>3.5130553869135433E-35</v>
      </c>
      <c r="F591" s="10">
        <f t="shared" si="41"/>
        <v>0</v>
      </c>
      <c r="G591" s="10">
        <f t="shared" si="42"/>
        <v>0</v>
      </c>
      <c r="H591" s="10">
        <f t="shared" si="43"/>
        <v>4</v>
      </c>
      <c r="I591" s="12">
        <f>IF(MOD(B591,StepsEachYearQ2)=0,1+B591/StepsEachYearQ2,0)</f>
        <v>0</v>
      </c>
      <c r="M591" s="33"/>
    </row>
    <row r="592" spans="2:13" ht="13.15" thickBot="1" x14ac:dyDescent="0.4">
      <c r="B592" s="13">
        <f t="shared" si="44"/>
        <v>562</v>
      </c>
      <c r="C592" s="21">
        <f t="shared" si="40"/>
        <v>110.25</v>
      </c>
      <c r="D592" s="4">
        <f>POWER(gompertz_g,POWER(gompertz_c,InitialAgeQ2)*(gompertz_c^('Question 2'!C592-InitialAgeQ2)-1))</f>
        <v>2.3937118827163265E-34</v>
      </c>
      <c r="E592" s="21">
        <f>(1+IntRateQ2)^(-(C592-InitialAgeQ2))*D592</f>
        <v>1.5222282938137096E-35</v>
      </c>
      <c r="F592" s="10">
        <f t="shared" si="41"/>
        <v>0</v>
      </c>
      <c r="G592" s="10">
        <f t="shared" si="42"/>
        <v>0</v>
      </c>
      <c r="H592" s="10">
        <f t="shared" si="43"/>
        <v>2</v>
      </c>
      <c r="I592" s="12">
        <f>IF(MOD(B592,StepsEachYearQ2)=0,1+B592/StepsEachYearQ2,0)</f>
        <v>0</v>
      </c>
      <c r="M592" s="33"/>
    </row>
    <row r="593" spans="2:13" ht="13.15" thickBot="1" x14ac:dyDescent="0.4">
      <c r="B593" s="13">
        <f t="shared" si="44"/>
        <v>563</v>
      </c>
      <c r="C593" s="21">
        <f t="shared" si="40"/>
        <v>110.375</v>
      </c>
      <c r="D593" s="4">
        <f>POWER(gompertz_g,POWER(gompertz_c,InitialAgeQ2)*(gompertz_c^('Question 2'!C593-InitialAgeQ2)-1))</f>
        <v>1.0329640884578711E-34</v>
      </c>
      <c r="E593" s="21">
        <f>(1+IntRateQ2)^(-(C593-InitialAgeQ2))*D593</f>
        <v>6.5367815267101979E-36</v>
      </c>
      <c r="F593" s="10">
        <f t="shared" si="41"/>
        <v>0</v>
      </c>
      <c r="G593" s="10">
        <f t="shared" si="42"/>
        <v>0</v>
      </c>
      <c r="H593" s="10">
        <f t="shared" si="43"/>
        <v>4</v>
      </c>
      <c r="I593" s="12">
        <f>IF(MOD(B593,StepsEachYearQ2)=0,1+B593/StepsEachYearQ2,0)</f>
        <v>0</v>
      </c>
      <c r="M593" s="33"/>
    </row>
    <row r="594" spans="2:13" ht="13.15" thickBot="1" x14ac:dyDescent="0.4">
      <c r="B594" s="13">
        <f t="shared" si="44"/>
        <v>564</v>
      </c>
      <c r="C594" s="21">
        <f t="shared" si="40"/>
        <v>110.5</v>
      </c>
      <c r="D594" s="4">
        <f>POWER(gompertz_g,POWER(gompertz_c,InitialAgeQ2)*(gompertz_c^('Question 2'!C594-InitialAgeQ2)-1))</f>
        <v>4.4171851599654257E-35</v>
      </c>
      <c r="E594" s="21">
        <f>(1+IntRateQ2)^(-(C594-InitialAgeQ2))*D594</f>
        <v>2.7816032421215059E-36</v>
      </c>
      <c r="F594" s="10">
        <f t="shared" si="41"/>
        <v>0</v>
      </c>
      <c r="G594" s="10">
        <f t="shared" si="42"/>
        <v>0.5</v>
      </c>
      <c r="H594" s="10">
        <f t="shared" si="43"/>
        <v>2</v>
      </c>
      <c r="I594" s="12">
        <f>IF(MOD(B594,StepsEachYearQ2)=0,1+B594/StepsEachYearQ2,0)</f>
        <v>0</v>
      </c>
      <c r="M594" s="33"/>
    </row>
    <row r="595" spans="2:13" ht="13.15" thickBot="1" x14ac:dyDescent="0.4">
      <c r="B595" s="13">
        <f t="shared" si="44"/>
        <v>565</v>
      </c>
      <c r="C595" s="21">
        <f t="shared" si="40"/>
        <v>110.625</v>
      </c>
      <c r="D595" s="4">
        <f>POWER(gompertz_g,POWER(gompertz_c,InitialAgeQ2)*(gompertz_c^('Question 2'!C595-InitialAgeQ2)-1))</f>
        <v>1.8715878049443462E-35</v>
      </c>
      <c r="E595" s="21">
        <f>(1+IntRateQ2)^(-(C595-InitialAgeQ2))*D595</f>
        <v>1.1728179891740592E-36</v>
      </c>
      <c r="F595" s="10">
        <f t="shared" si="41"/>
        <v>0</v>
      </c>
      <c r="G595" s="10">
        <f t="shared" si="42"/>
        <v>0</v>
      </c>
      <c r="H595" s="10">
        <f t="shared" si="43"/>
        <v>4</v>
      </c>
      <c r="I595" s="12">
        <f>IF(MOD(B595,StepsEachYearQ2)=0,1+B595/StepsEachYearQ2,0)</f>
        <v>0</v>
      </c>
      <c r="M595" s="33"/>
    </row>
    <row r="596" spans="2:13" ht="13.15" thickBot="1" x14ac:dyDescent="0.4">
      <c r="B596" s="13">
        <f t="shared" si="44"/>
        <v>566</v>
      </c>
      <c r="C596" s="21">
        <f t="shared" si="40"/>
        <v>110.75</v>
      </c>
      <c r="D596" s="4">
        <f>POWER(gompertz_g,POWER(gompertz_c,InitialAgeQ2)*(gompertz_c^('Question 2'!C596-InitialAgeQ2)-1))</f>
        <v>7.8566201067886651E-36</v>
      </c>
      <c r="E596" s="21">
        <f>(1+IntRateQ2)^(-(C596-InitialAgeQ2))*D596</f>
        <v>4.8992206404647837E-37</v>
      </c>
      <c r="F596" s="10">
        <f t="shared" si="41"/>
        <v>0</v>
      </c>
      <c r="G596" s="10">
        <f t="shared" si="42"/>
        <v>0</v>
      </c>
      <c r="H596" s="10">
        <f t="shared" si="43"/>
        <v>2</v>
      </c>
      <c r="I596" s="12">
        <f>IF(MOD(B596,StepsEachYearQ2)=0,1+B596/StepsEachYearQ2,0)</f>
        <v>0</v>
      </c>
      <c r="M596" s="33"/>
    </row>
    <row r="597" spans="2:13" ht="13.15" thickBot="1" x14ac:dyDescent="0.4">
      <c r="B597" s="13">
        <f t="shared" si="44"/>
        <v>567</v>
      </c>
      <c r="C597" s="21">
        <f t="shared" si="40"/>
        <v>110.875</v>
      </c>
      <c r="D597" s="4">
        <f>POWER(gompertz_g,POWER(gompertz_c,InitialAgeQ2)*(gompertz_c^('Question 2'!C597-InitialAgeQ2)-1))</f>
        <v>3.2672209247716276E-36</v>
      </c>
      <c r="E597" s="21">
        <f>(1+IntRateQ2)^(-(C597-InitialAgeQ2))*D597</f>
        <v>2.0274053072403374E-37</v>
      </c>
      <c r="F597" s="10">
        <f t="shared" si="41"/>
        <v>0</v>
      </c>
      <c r="G597" s="10">
        <f t="shared" si="42"/>
        <v>0</v>
      </c>
      <c r="H597" s="10">
        <f t="shared" si="43"/>
        <v>4</v>
      </c>
      <c r="I597" s="12">
        <f>IF(MOD(B597,StepsEachYearQ2)=0,1+B597/StepsEachYearQ2,0)</f>
        <v>0</v>
      </c>
      <c r="M597" s="33"/>
    </row>
    <row r="598" spans="2:13" ht="13.15" thickBot="1" x14ac:dyDescent="0.4">
      <c r="B598" s="13">
        <f t="shared" si="44"/>
        <v>568</v>
      </c>
      <c r="C598" s="21">
        <f t="shared" si="40"/>
        <v>111</v>
      </c>
      <c r="D598" s="4">
        <f>POWER(gompertz_g,POWER(gompertz_c,InitialAgeQ2)*(gompertz_c^('Question 2'!C598-InitialAgeQ2)-1))</f>
        <v>1.3458424775485616E-36</v>
      </c>
      <c r="E598" s="21">
        <f>(1+IntRateQ2)^(-(C598-InitialAgeQ2))*D598</f>
        <v>8.3104997581395128E-38</v>
      </c>
      <c r="F598" s="10">
        <f t="shared" si="41"/>
        <v>1</v>
      </c>
      <c r="G598" s="10">
        <f t="shared" si="42"/>
        <v>0.5</v>
      </c>
      <c r="H598" s="10">
        <f t="shared" si="43"/>
        <v>2</v>
      </c>
      <c r="I598" s="12">
        <f>IF(MOD(B598,StepsEachYearQ2)=0,1+B598/StepsEachYearQ2,0)</f>
        <v>72</v>
      </c>
      <c r="M598" s="33"/>
    </row>
    <row r="599" spans="2:13" ht="13.15" thickBot="1" x14ac:dyDescent="0.4">
      <c r="B599" s="13">
        <f t="shared" si="44"/>
        <v>569</v>
      </c>
      <c r="C599" s="21">
        <f t="shared" si="40"/>
        <v>111.125</v>
      </c>
      <c r="D599" s="4">
        <f>POWER(gompertz_g,POWER(gompertz_c,InitialAgeQ2)*(gompertz_c^('Question 2'!C599-InitialAgeQ2)-1))</f>
        <v>5.4908331295984096E-37</v>
      </c>
      <c r="E599" s="21">
        <f>(1+IntRateQ2)^(-(C599-InitialAgeQ2))*D599</f>
        <v>3.3739759902840909E-38</v>
      </c>
      <c r="F599" s="10">
        <f t="shared" si="41"/>
        <v>0</v>
      </c>
      <c r="G599" s="10">
        <f t="shared" si="42"/>
        <v>0</v>
      </c>
      <c r="H599" s="10">
        <f t="shared" si="43"/>
        <v>4</v>
      </c>
      <c r="I599" s="12">
        <f>IF(MOD(B599,StepsEachYearQ2)=0,1+B599/StepsEachYearQ2,0)</f>
        <v>0</v>
      </c>
      <c r="M599" s="33"/>
    </row>
    <row r="600" spans="2:13" ht="13.15" thickBot="1" x14ac:dyDescent="0.4">
      <c r="B600" s="13">
        <f t="shared" si="44"/>
        <v>570</v>
      </c>
      <c r="C600" s="21">
        <f t="shared" si="40"/>
        <v>111.25</v>
      </c>
      <c r="D600" s="4">
        <f>POWER(gompertz_g,POWER(gompertz_c,InitialAgeQ2)*(gompertz_c^('Question 2'!C600-InitialAgeQ2)-1))</f>
        <v>2.2185302882364449E-37</v>
      </c>
      <c r="E600" s="21">
        <f>(1+IntRateQ2)^(-(C600-InitialAgeQ2))*D600</f>
        <v>1.3565629051090571E-38</v>
      </c>
      <c r="F600" s="10">
        <f t="shared" si="41"/>
        <v>0</v>
      </c>
      <c r="G600" s="10">
        <f t="shared" si="42"/>
        <v>0</v>
      </c>
      <c r="H600" s="10">
        <f t="shared" si="43"/>
        <v>2</v>
      </c>
      <c r="I600" s="12">
        <f>IF(MOD(B600,StepsEachYearQ2)=0,1+B600/StepsEachYearQ2,0)</f>
        <v>0</v>
      </c>
      <c r="M600" s="33"/>
    </row>
    <row r="601" spans="2:13" ht="13.15" thickBot="1" x14ac:dyDescent="0.4">
      <c r="B601" s="13">
        <f t="shared" si="44"/>
        <v>571</v>
      </c>
      <c r="C601" s="21">
        <f t="shared" si="40"/>
        <v>111.375</v>
      </c>
      <c r="D601" s="4">
        <f>POWER(gompertz_g,POWER(gompertz_c,InitialAgeQ2)*(gompertz_c^('Question 2'!C601-InitialAgeQ2)-1))</f>
        <v>8.8762578787107831E-38</v>
      </c>
      <c r="E601" s="21">
        <f>(1+IntRateQ2)^(-(C601-InitialAgeQ2))*D601</f>
        <v>5.4010141949195761E-39</v>
      </c>
      <c r="F601" s="10">
        <f t="shared" si="41"/>
        <v>0</v>
      </c>
      <c r="G601" s="10">
        <f t="shared" si="42"/>
        <v>0</v>
      </c>
      <c r="H601" s="10">
        <f t="shared" si="43"/>
        <v>4</v>
      </c>
      <c r="I601" s="12">
        <f>IF(MOD(B601,StepsEachYearQ2)=0,1+B601/StepsEachYearQ2,0)</f>
        <v>0</v>
      </c>
      <c r="M601" s="33"/>
    </row>
    <row r="602" spans="2:13" ht="13.15" thickBot="1" x14ac:dyDescent="0.4">
      <c r="B602" s="13">
        <f t="shared" si="44"/>
        <v>572</v>
      </c>
      <c r="C602" s="21">
        <f t="shared" si="40"/>
        <v>111.5</v>
      </c>
      <c r="D602" s="4">
        <f>POWER(gompertz_g,POWER(gompertz_c,InitialAgeQ2)*(gompertz_c^('Question 2'!C602-InitialAgeQ2)-1))</f>
        <v>3.5162984285481509E-38</v>
      </c>
      <c r="E602" s="21">
        <f>(1+IntRateQ2)^(-(C602-InitialAgeQ2))*D602</f>
        <v>2.1291289577189366E-39</v>
      </c>
      <c r="F602" s="10">
        <f t="shared" si="41"/>
        <v>0</v>
      </c>
      <c r="G602" s="10">
        <f t="shared" si="42"/>
        <v>0.5</v>
      </c>
      <c r="H602" s="10">
        <f t="shared" si="43"/>
        <v>2</v>
      </c>
      <c r="I602" s="12">
        <f>IF(MOD(B602,StepsEachYearQ2)=0,1+B602/StepsEachYearQ2,0)</f>
        <v>0</v>
      </c>
      <c r="M602" s="33"/>
    </row>
    <row r="603" spans="2:13" ht="13.15" thickBot="1" x14ac:dyDescent="0.4">
      <c r="B603" s="13">
        <f t="shared" si="44"/>
        <v>573</v>
      </c>
      <c r="C603" s="21">
        <f t="shared" si="40"/>
        <v>111.625</v>
      </c>
      <c r="D603" s="4">
        <f>POWER(gompertz_g,POWER(gompertz_c,InitialAgeQ2)*(gompertz_c^('Question 2'!C603-InitialAgeQ2)-1))</f>
        <v>1.3790694666542322E-38</v>
      </c>
      <c r="E603" s="21">
        <f>(1+IntRateQ2)^(-(C603-InitialAgeQ2))*D603</f>
        <v>8.3094679253910402E-40</v>
      </c>
      <c r="F603" s="10">
        <f t="shared" si="41"/>
        <v>0</v>
      </c>
      <c r="G603" s="10">
        <f t="shared" si="42"/>
        <v>0</v>
      </c>
      <c r="H603" s="10">
        <f t="shared" si="43"/>
        <v>4</v>
      </c>
      <c r="I603" s="12">
        <f>IF(MOD(B603,StepsEachYearQ2)=0,1+B603/StepsEachYearQ2,0)</f>
        <v>0</v>
      </c>
      <c r="M603" s="33"/>
    </row>
    <row r="604" spans="2:13" ht="13.15" thickBot="1" x14ac:dyDescent="0.4">
      <c r="B604" s="13">
        <f t="shared" si="44"/>
        <v>574</v>
      </c>
      <c r="C604" s="21">
        <f t="shared" si="40"/>
        <v>111.75</v>
      </c>
      <c r="D604" s="4">
        <f>POWER(gompertz_g,POWER(gompertz_c,InitialAgeQ2)*(gompertz_c^('Question 2'!C604-InitialAgeQ2)-1))</f>
        <v>5.3540693192567197E-39</v>
      </c>
      <c r="E604" s="21">
        <f>(1+IntRateQ2)^(-(C604-InitialAgeQ2))*D604</f>
        <v>3.2102724741448099E-40</v>
      </c>
      <c r="F604" s="10">
        <f t="shared" si="41"/>
        <v>0</v>
      </c>
      <c r="G604" s="10">
        <f t="shared" si="42"/>
        <v>0</v>
      </c>
      <c r="H604" s="10">
        <f t="shared" si="43"/>
        <v>2</v>
      </c>
      <c r="I604" s="12">
        <f>IF(MOD(B604,StepsEachYearQ2)=0,1+B604/StepsEachYearQ2,0)</f>
        <v>0</v>
      </c>
      <c r="M604" s="33"/>
    </row>
    <row r="605" spans="2:13" ht="13.15" thickBot="1" x14ac:dyDescent="0.4">
      <c r="B605" s="13">
        <f t="shared" si="44"/>
        <v>575</v>
      </c>
      <c r="C605" s="21">
        <f t="shared" si="40"/>
        <v>111.875</v>
      </c>
      <c r="D605" s="4">
        <f>POWER(gompertz_g,POWER(gompertz_c,InitialAgeQ2)*(gompertz_c^('Question 2'!C605-InitialAgeQ2)-1))</f>
        <v>2.0574608721170758E-39</v>
      </c>
      <c r="E605" s="21">
        <f>(1+IntRateQ2)^(-(C605-InitialAgeQ2))*D605</f>
        <v>1.2276097318740564E-40</v>
      </c>
      <c r="F605" s="10">
        <f t="shared" si="41"/>
        <v>0</v>
      </c>
      <c r="G605" s="10">
        <f t="shared" si="42"/>
        <v>0</v>
      </c>
      <c r="H605" s="10">
        <f t="shared" si="43"/>
        <v>4</v>
      </c>
      <c r="I605" s="12">
        <f>IF(MOD(B605,StepsEachYearQ2)=0,1+B605/StepsEachYearQ2,0)</f>
        <v>0</v>
      </c>
      <c r="M605" s="33"/>
    </row>
    <row r="606" spans="2:13" ht="13.15" thickBot="1" x14ac:dyDescent="0.4">
      <c r="B606" s="13">
        <f t="shared" si="44"/>
        <v>576</v>
      </c>
      <c r="C606" s="21">
        <f t="shared" ref="C606:C669" si="45">InitialAgeQ2+B606*StepSizeQ2</f>
        <v>112</v>
      </c>
      <c r="D606" s="4">
        <f>POWER(gompertz_g,POWER(gompertz_c,InitialAgeQ2)*(gompertz_c^('Question 2'!C606-InitialAgeQ2)-1))</f>
        <v>7.8249348437861383E-40</v>
      </c>
      <c r="E606" s="21">
        <f>(1+IntRateQ2)^(-(C606-InitialAgeQ2))*D606</f>
        <v>4.6460117141066239E-41</v>
      </c>
      <c r="F606" s="10">
        <f t="shared" si="41"/>
        <v>1</v>
      </c>
      <c r="G606" s="10">
        <f t="shared" si="42"/>
        <v>0.5</v>
      </c>
      <c r="H606" s="10">
        <f t="shared" si="43"/>
        <v>2</v>
      </c>
      <c r="I606" s="12">
        <f>IF(MOD(B606,StepsEachYearQ2)=0,1+B606/StepsEachYearQ2,0)</f>
        <v>73</v>
      </c>
      <c r="M606" s="33"/>
    </row>
    <row r="607" spans="2:13" ht="13.15" thickBot="1" x14ac:dyDescent="0.4">
      <c r="B607" s="13">
        <f t="shared" si="44"/>
        <v>577</v>
      </c>
      <c r="C607" s="21">
        <f t="shared" si="45"/>
        <v>112.125</v>
      </c>
      <c r="D607" s="4">
        <f>POWER(gompertz_g,POWER(gompertz_c,InitialAgeQ2)*(gompertz_c^('Question 2'!C607-InitialAgeQ2)-1))</f>
        <v>2.9449824104455987E-40</v>
      </c>
      <c r="E607" s="21">
        <f>(1+IntRateQ2)^(-(C607-InitialAgeQ2))*D607</f>
        <v>1.74001546516941E-41</v>
      </c>
      <c r="F607" s="10">
        <f t="shared" ref="F607:F670" si="46">IF(MOD(B607,8)=0,1,0)</f>
        <v>0</v>
      </c>
      <c r="G607" s="10">
        <f t="shared" ref="G607:G670" si="47">IF(MOD(B607,4)=0,1/2,0)</f>
        <v>0</v>
      </c>
      <c r="H607" s="10">
        <f t="shared" ref="H607:H670" si="48">IF(B607=0,1,IF(ISEVEN(B607),2,4))</f>
        <v>4</v>
      </c>
      <c r="I607" s="12">
        <f>IF(MOD(B607,StepsEachYearQ2)=0,1+B607/StepsEachYearQ2,0)</f>
        <v>0</v>
      </c>
      <c r="M607" s="33"/>
    </row>
    <row r="608" spans="2:13" ht="13.15" thickBot="1" x14ac:dyDescent="0.4">
      <c r="B608" s="13">
        <f t="shared" ref="B608:B670" si="49">B607+1</f>
        <v>578</v>
      </c>
      <c r="C608" s="21">
        <f t="shared" si="45"/>
        <v>112.25</v>
      </c>
      <c r="D608" s="4">
        <f>POWER(gompertz_g,POWER(gompertz_c,InitialAgeQ2)*(gompertz_c^('Question 2'!C608-InitialAgeQ2)-1))</f>
        <v>1.0967010583908649E-40</v>
      </c>
      <c r="E608" s="21">
        <f>(1+IntRateQ2)^(-(C608-InitialAgeQ2))*D608</f>
        <v>6.4480663587178061E-42</v>
      </c>
      <c r="F608" s="10">
        <f t="shared" si="46"/>
        <v>0</v>
      </c>
      <c r="G608" s="10">
        <f t="shared" si="47"/>
        <v>0</v>
      </c>
      <c r="H608" s="10">
        <f t="shared" si="48"/>
        <v>2</v>
      </c>
      <c r="I608" s="12">
        <f>IF(MOD(B608,StepsEachYearQ2)=0,1+B608/StepsEachYearQ2,0)</f>
        <v>0</v>
      </c>
      <c r="M608" s="33"/>
    </row>
    <row r="609" spans="2:13" ht="13.15" thickBot="1" x14ac:dyDescent="0.4">
      <c r="B609" s="13">
        <f t="shared" si="49"/>
        <v>579</v>
      </c>
      <c r="C609" s="21">
        <f t="shared" si="45"/>
        <v>112.375</v>
      </c>
      <c r="D609" s="4">
        <f>POWER(gompertz_g,POWER(gompertz_c,InitialAgeQ2)*(gompertz_c^('Question 2'!C609-InitialAgeQ2)-1))</f>
        <v>4.0406163876618349E-41</v>
      </c>
      <c r="E609" s="21">
        <f>(1+IntRateQ2)^(-(C609-InitialAgeQ2))*D609</f>
        <v>2.3640665014849639E-42</v>
      </c>
      <c r="F609" s="10">
        <f t="shared" si="46"/>
        <v>0</v>
      </c>
      <c r="G609" s="10">
        <f t="shared" si="47"/>
        <v>0</v>
      </c>
      <c r="H609" s="10">
        <f t="shared" si="48"/>
        <v>4</v>
      </c>
      <c r="I609" s="12">
        <f>IF(MOD(B609,StepsEachYearQ2)=0,1+B609/StepsEachYearQ2,0)</f>
        <v>0</v>
      </c>
      <c r="M609" s="33"/>
    </row>
    <row r="610" spans="2:13" ht="13.15" thickBot="1" x14ac:dyDescent="0.4">
      <c r="B610" s="13">
        <f t="shared" si="49"/>
        <v>580</v>
      </c>
      <c r="C610" s="21">
        <f t="shared" si="45"/>
        <v>112.5</v>
      </c>
      <c r="D610" s="4">
        <f>POWER(gompertz_g,POWER(gompertz_c,InitialAgeQ2)*(gompertz_c^('Question 2'!C610-InitialAgeQ2)-1))</f>
        <v>1.4726870222596674E-41</v>
      </c>
      <c r="E610" s="21">
        <f>(1+IntRateQ2)^(-(C610-InitialAgeQ2))*D610</f>
        <v>8.5741950838817166E-43</v>
      </c>
      <c r="F610" s="10">
        <f t="shared" si="46"/>
        <v>0</v>
      </c>
      <c r="G610" s="10">
        <f t="shared" si="47"/>
        <v>0.5</v>
      </c>
      <c r="H610" s="10">
        <f t="shared" si="48"/>
        <v>2</v>
      </c>
      <c r="I610" s="12">
        <f>IF(MOD(B610,StepsEachYearQ2)=0,1+B610/StepsEachYearQ2,0)</f>
        <v>0</v>
      </c>
      <c r="M610" s="33"/>
    </row>
    <row r="611" spans="2:13" ht="13.15" thickBot="1" x14ac:dyDescent="0.4">
      <c r="B611" s="13">
        <f t="shared" si="49"/>
        <v>581</v>
      </c>
      <c r="C611" s="21">
        <f t="shared" si="45"/>
        <v>112.625</v>
      </c>
      <c r="D611" s="4">
        <f>POWER(gompertz_g,POWER(gompertz_c,InitialAgeQ2)*(gompertz_c^('Question 2'!C611-InitialAgeQ2)-1))</f>
        <v>5.3091612222726114E-42</v>
      </c>
      <c r="E611" s="21">
        <f>(1+IntRateQ2)^(-(C611-InitialAgeQ2))*D611</f>
        <v>3.0759526590722232E-43</v>
      </c>
      <c r="F611" s="10">
        <f t="shared" si="46"/>
        <v>0</v>
      </c>
      <c r="G611" s="10">
        <f t="shared" si="47"/>
        <v>0</v>
      </c>
      <c r="H611" s="10">
        <f t="shared" si="48"/>
        <v>4</v>
      </c>
      <c r="I611" s="12">
        <f>IF(MOD(B611,StepsEachYearQ2)=0,1+B611/StepsEachYearQ2,0)</f>
        <v>0</v>
      </c>
      <c r="M611" s="33"/>
    </row>
    <row r="612" spans="2:13" ht="13.15" thickBot="1" x14ac:dyDescent="0.4">
      <c r="B612" s="13">
        <f t="shared" si="49"/>
        <v>582</v>
      </c>
      <c r="C612" s="21">
        <f t="shared" si="45"/>
        <v>112.75</v>
      </c>
      <c r="D612" s="4">
        <f>POWER(gompertz_g,POWER(gompertz_c,InitialAgeQ2)*(gompertz_c^('Question 2'!C612-InitialAgeQ2)-1))</f>
        <v>1.8929649231911133E-42</v>
      </c>
      <c r="E612" s="21">
        <f>(1+IntRateQ2)^(-(C612-InitialAgeQ2))*D612</f>
        <v>1.0913577392263301E-43</v>
      </c>
      <c r="F612" s="10">
        <f t="shared" si="46"/>
        <v>0</v>
      </c>
      <c r="G612" s="10">
        <f t="shared" si="47"/>
        <v>0</v>
      </c>
      <c r="H612" s="10">
        <f t="shared" si="48"/>
        <v>2</v>
      </c>
      <c r="I612" s="12">
        <f>IF(MOD(B612,StepsEachYearQ2)=0,1+B612/StepsEachYearQ2,0)</f>
        <v>0</v>
      </c>
      <c r="M612" s="33"/>
    </row>
    <row r="613" spans="2:13" ht="13.15" thickBot="1" x14ac:dyDescent="0.4">
      <c r="B613" s="13">
        <f t="shared" si="49"/>
        <v>583</v>
      </c>
      <c r="C613" s="21">
        <f t="shared" si="45"/>
        <v>112.875</v>
      </c>
      <c r="D613" s="4">
        <f>POWER(gompertz_g,POWER(gompertz_c,InitialAgeQ2)*(gompertz_c^('Question 2'!C613-InitialAgeQ2)-1))</f>
        <v>6.6743418238027984E-43</v>
      </c>
      <c r="E613" s="21">
        <f>(1+IntRateQ2)^(-(C613-InitialAgeQ2))*D613</f>
        <v>3.8291629109608156E-44</v>
      </c>
      <c r="F613" s="10">
        <f t="shared" si="46"/>
        <v>0</v>
      </c>
      <c r="G613" s="10">
        <f t="shared" si="47"/>
        <v>0</v>
      </c>
      <c r="H613" s="10">
        <f t="shared" si="48"/>
        <v>4</v>
      </c>
      <c r="I613" s="12">
        <f>IF(MOD(B613,StepsEachYearQ2)=0,1+B613/StepsEachYearQ2,0)</f>
        <v>0</v>
      </c>
      <c r="M613" s="33"/>
    </row>
    <row r="614" spans="2:13" ht="13.15" thickBot="1" x14ac:dyDescent="0.4">
      <c r="B614" s="13">
        <f t="shared" si="49"/>
        <v>584</v>
      </c>
      <c r="C614" s="21">
        <f t="shared" si="45"/>
        <v>113</v>
      </c>
      <c r="D614" s="4">
        <f>POWER(gompertz_g,POWER(gompertz_c,InitialAgeQ2)*(gompertz_c^('Question 2'!C614-InitialAgeQ2)-1))</f>
        <v>2.3268640692647733E-43</v>
      </c>
      <c r="E614" s="21">
        <f>(1+IntRateQ2)^(-(C614-InitialAgeQ2))*D614</f>
        <v>1.3284256255012858E-44</v>
      </c>
      <c r="F614" s="10">
        <f t="shared" si="46"/>
        <v>1</v>
      </c>
      <c r="G614" s="10">
        <f t="shared" si="47"/>
        <v>0.5</v>
      </c>
      <c r="H614" s="10">
        <f t="shared" si="48"/>
        <v>2</v>
      </c>
      <c r="I614" s="12">
        <f>IF(MOD(B614,StepsEachYearQ2)=0,1+B614/StepsEachYearQ2,0)</f>
        <v>74</v>
      </c>
      <c r="M614" s="33"/>
    </row>
    <row r="615" spans="2:13" ht="13.15" thickBot="1" x14ac:dyDescent="0.4">
      <c r="B615" s="13">
        <f t="shared" si="49"/>
        <v>585</v>
      </c>
      <c r="C615" s="21">
        <f t="shared" si="45"/>
        <v>113.125</v>
      </c>
      <c r="D615" s="4">
        <f>POWER(gompertz_g,POWER(gompertz_c,InitialAgeQ2)*(gompertz_c^('Question 2'!C615-InitialAgeQ2)-1))</f>
        <v>8.0200516726305925E-44</v>
      </c>
      <c r="E615" s="21">
        <f>(1+IntRateQ2)^(-(C615-InitialAgeQ2))*D615</f>
        <v>4.5563201290392577E-45</v>
      </c>
      <c r="F615" s="10">
        <f t="shared" si="46"/>
        <v>0</v>
      </c>
      <c r="G615" s="10">
        <f t="shared" si="47"/>
        <v>0</v>
      </c>
      <c r="H615" s="10">
        <f t="shared" si="48"/>
        <v>4</v>
      </c>
      <c r="I615" s="12">
        <f>IF(MOD(B615,StepsEachYearQ2)=0,1+B615/StepsEachYearQ2,0)</f>
        <v>0</v>
      </c>
      <c r="M615" s="33"/>
    </row>
    <row r="616" spans="2:13" ht="13.15" thickBot="1" x14ac:dyDescent="0.4">
      <c r="B616" s="13">
        <f t="shared" si="49"/>
        <v>586</v>
      </c>
      <c r="C616" s="21">
        <f t="shared" si="45"/>
        <v>113.25</v>
      </c>
      <c r="D616" s="4">
        <f>POWER(gompertz_g,POWER(gompertz_c,InitialAgeQ2)*(gompertz_c^('Question 2'!C616-InitialAgeQ2)-1))</f>
        <v>2.7325821304609998E-44</v>
      </c>
      <c r="E616" s="21">
        <f>(1+IntRateQ2)^(-(C616-InitialAgeQ2))*D616</f>
        <v>1.5448315140779999E-45</v>
      </c>
      <c r="F616" s="10">
        <f t="shared" si="46"/>
        <v>0</v>
      </c>
      <c r="G616" s="10">
        <f t="shared" si="47"/>
        <v>0</v>
      </c>
      <c r="H616" s="10">
        <f t="shared" si="48"/>
        <v>2</v>
      </c>
      <c r="I616" s="12">
        <f>IF(MOD(B616,StepsEachYearQ2)=0,1+B616/StepsEachYearQ2,0)</f>
        <v>0</v>
      </c>
      <c r="M616" s="33"/>
    </row>
    <row r="617" spans="2:13" ht="13.15" thickBot="1" x14ac:dyDescent="0.4">
      <c r="B617" s="13">
        <f t="shared" si="49"/>
        <v>587</v>
      </c>
      <c r="C617" s="21">
        <f t="shared" si="45"/>
        <v>113.375</v>
      </c>
      <c r="D617" s="4">
        <f>POWER(gompertz_g,POWER(gompertz_c,InitialAgeQ2)*(gompertz_c^('Question 2'!C617-InitialAgeQ2)-1))</f>
        <v>9.2024808953340499E-45</v>
      </c>
      <c r="E617" s="21">
        <f>(1+IntRateQ2)^(-(C617-InitialAgeQ2))*D617</f>
        <v>5.177065425740557E-46</v>
      </c>
      <c r="F617" s="10">
        <f t="shared" si="46"/>
        <v>0</v>
      </c>
      <c r="G617" s="10">
        <f t="shared" si="47"/>
        <v>0</v>
      </c>
      <c r="H617" s="10">
        <f t="shared" si="48"/>
        <v>4</v>
      </c>
      <c r="I617" s="12">
        <f>IF(MOD(B617,StepsEachYearQ2)=0,1+B617/StepsEachYearQ2,0)</f>
        <v>0</v>
      </c>
      <c r="M617" s="33"/>
    </row>
    <row r="618" spans="2:13" ht="13.15" thickBot="1" x14ac:dyDescent="0.4">
      <c r="B618" s="13">
        <f t="shared" si="49"/>
        <v>588</v>
      </c>
      <c r="C618" s="21">
        <f t="shared" si="45"/>
        <v>113.5</v>
      </c>
      <c r="D618" s="4">
        <f>POWER(gompertz_g,POWER(gompertz_c,InitialAgeQ2)*(gompertz_c^('Question 2'!C618-InitialAgeQ2)-1))</f>
        <v>3.0627913989718024E-45</v>
      </c>
      <c r="E618" s="21">
        <f>(1+IntRateQ2)^(-(C618-InitialAgeQ2))*D618</f>
        <v>1.7146164276515674E-46</v>
      </c>
      <c r="F618" s="10">
        <f t="shared" si="46"/>
        <v>0</v>
      </c>
      <c r="G618" s="10">
        <f t="shared" si="47"/>
        <v>0.5</v>
      </c>
      <c r="H618" s="10">
        <f t="shared" si="48"/>
        <v>2</v>
      </c>
      <c r="I618" s="12">
        <f>IF(MOD(B618,StepsEachYearQ2)=0,1+B618/StepsEachYearQ2,0)</f>
        <v>0</v>
      </c>
      <c r="M618" s="33"/>
    </row>
    <row r="619" spans="2:13" ht="13.15" thickBot="1" x14ac:dyDescent="0.4">
      <c r="B619" s="13">
        <f t="shared" si="49"/>
        <v>589</v>
      </c>
      <c r="C619" s="21">
        <f t="shared" si="45"/>
        <v>113.625</v>
      </c>
      <c r="D619" s="4">
        <f>POWER(gompertz_g,POWER(gompertz_c,InitialAgeQ2)*(gompertz_c^('Question 2'!C619-InitialAgeQ2)-1))</f>
        <v>1.0072917191005747E-45</v>
      </c>
      <c r="E619" s="21">
        <f>(1+IntRateQ2)^(-(C619-InitialAgeQ2))*D619</f>
        <v>5.6114572385651789E-47</v>
      </c>
      <c r="F619" s="10">
        <f t="shared" si="46"/>
        <v>0</v>
      </c>
      <c r="G619" s="10">
        <f t="shared" si="47"/>
        <v>0</v>
      </c>
      <c r="H619" s="10">
        <f t="shared" si="48"/>
        <v>4</v>
      </c>
      <c r="I619" s="12">
        <f>IF(MOD(B619,StepsEachYearQ2)=0,1+B619/StepsEachYearQ2,0)</f>
        <v>0</v>
      </c>
      <c r="M619" s="33"/>
    </row>
    <row r="620" spans="2:13" ht="13.15" thickBot="1" x14ac:dyDescent="0.4">
      <c r="B620" s="13">
        <f t="shared" si="49"/>
        <v>590</v>
      </c>
      <c r="C620" s="21">
        <f t="shared" si="45"/>
        <v>113.75</v>
      </c>
      <c r="D620" s="4">
        <f>POWER(gompertz_g,POWER(gompertz_c,InitialAgeQ2)*(gompertz_c^('Question 2'!C620-InitialAgeQ2)-1))</f>
        <v>3.2731236735933775E-46</v>
      </c>
      <c r="E620" s="21">
        <f>(1+IntRateQ2)^(-(C620-InitialAgeQ2))*D620</f>
        <v>1.8144860847951658E-47</v>
      </c>
      <c r="F620" s="10">
        <f t="shared" si="46"/>
        <v>0</v>
      </c>
      <c r="G620" s="10">
        <f t="shared" si="47"/>
        <v>0</v>
      </c>
      <c r="H620" s="10">
        <f t="shared" si="48"/>
        <v>2</v>
      </c>
      <c r="I620" s="12">
        <f>IF(MOD(B620,StepsEachYearQ2)=0,1+B620/StepsEachYearQ2,0)</f>
        <v>0</v>
      </c>
      <c r="M620" s="33"/>
    </row>
    <row r="621" spans="2:13" ht="13.15" thickBot="1" x14ac:dyDescent="0.4">
      <c r="B621" s="13">
        <f t="shared" si="49"/>
        <v>591</v>
      </c>
      <c r="C621" s="21">
        <f t="shared" si="45"/>
        <v>113.875</v>
      </c>
      <c r="D621" s="4">
        <f>POWER(gompertz_g,POWER(gompertz_c,InitialAgeQ2)*(gompertz_c^('Question 2'!C621-InitialAgeQ2)-1))</f>
        <v>1.0507084450643696E-46</v>
      </c>
      <c r="E621" s="21">
        <f>(1+IntRateQ2)^(-(C621-InitialAgeQ2))*D621</f>
        <v>5.7962122741067132E-48</v>
      </c>
      <c r="F621" s="10">
        <f t="shared" si="46"/>
        <v>0</v>
      </c>
      <c r="G621" s="10">
        <f t="shared" si="47"/>
        <v>0</v>
      </c>
      <c r="H621" s="10">
        <f t="shared" si="48"/>
        <v>4</v>
      </c>
      <c r="I621" s="12">
        <f>IF(MOD(B621,StepsEachYearQ2)=0,1+B621/StepsEachYearQ2,0)</f>
        <v>0</v>
      </c>
      <c r="M621" s="33"/>
    </row>
    <row r="622" spans="2:13" ht="13.15" thickBot="1" x14ac:dyDescent="0.4">
      <c r="B622" s="13">
        <f t="shared" si="49"/>
        <v>592</v>
      </c>
      <c r="C622" s="21">
        <f t="shared" si="45"/>
        <v>114</v>
      </c>
      <c r="D622" s="4">
        <f>POWER(gompertz_g,POWER(gompertz_c,InitialAgeQ2)*(gompertz_c^('Question 2'!C622-InitialAgeQ2)-1))</f>
        <v>3.331635049939818E-47</v>
      </c>
      <c r="E622" s="21">
        <f>(1+IntRateQ2)^(-(C622-InitialAgeQ2))*D622</f>
        <v>1.8289014921985146E-48</v>
      </c>
      <c r="F622" s="10">
        <f t="shared" si="46"/>
        <v>1</v>
      </c>
      <c r="G622" s="10">
        <f t="shared" si="47"/>
        <v>0.5</v>
      </c>
      <c r="H622" s="10">
        <f t="shared" si="48"/>
        <v>2</v>
      </c>
      <c r="I622" s="12">
        <f>IF(MOD(B622,StepsEachYearQ2)=0,1+B622/StepsEachYearQ2,0)</f>
        <v>75</v>
      </c>
      <c r="M622" s="33"/>
    </row>
    <row r="623" spans="2:13" ht="13.15" thickBot="1" x14ac:dyDescent="0.4">
      <c r="B623" s="13">
        <f t="shared" si="49"/>
        <v>593</v>
      </c>
      <c r="C623" s="21">
        <f t="shared" si="45"/>
        <v>114.125</v>
      </c>
      <c r="D623" s="4">
        <f>POWER(gompertz_g,POWER(gompertz_c,InitialAgeQ2)*(gompertz_c^('Question 2'!C623-InitialAgeQ2)-1))</f>
        <v>1.0433502612816873E-47</v>
      </c>
      <c r="E623" s="21">
        <f>(1+IntRateQ2)^(-(C623-InitialAgeQ2))*D623</f>
        <v>5.6994618843186663E-49</v>
      </c>
      <c r="F623" s="10">
        <f t="shared" si="46"/>
        <v>0</v>
      </c>
      <c r="G623" s="10">
        <f t="shared" si="47"/>
        <v>0</v>
      </c>
      <c r="H623" s="10">
        <f t="shared" si="48"/>
        <v>4</v>
      </c>
      <c r="I623" s="12">
        <f>IF(MOD(B623,StepsEachYearQ2)=0,1+B623/StepsEachYearQ2,0)</f>
        <v>0</v>
      </c>
      <c r="M623" s="33"/>
    </row>
    <row r="624" spans="2:13" ht="13.15" thickBot="1" x14ac:dyDescent="0.4">
      <c r="B624" s="13">
        <f t="shared" si="49"/>
        <v>594</v>
      </c>
      <c r="C624" s="21">
        <f t="shared" si="45"/>
        <v>114.25</v>
      </c>
      <c r="D624" s="4">
        <f>POWER(gompertz_g,POWER(gompertz_c,InitialAgeQ2)*(gompertz_c^('Question 2'!C624-InitialAgeQ2)-1))</f>
        <v>3.226575500485369E-48</v>
      </c>
      <c r="E624" s="21">
        <f>(1+IntRateQ2)^(-(C624-InitialAgeQ2))*D624</f>
        <v>1.753946689124371E-49</v>
      </c>
      <c r="F624" s="10">
        <f t="shared" si="46"/>
        <v>0</v>
      </c>
      <c r="G624" s="10">
        <f t="shared" si="47"/>
        <v>0</v>
      </c>
      <c r="H624" s="10">
        <f t="shared" si="48"/>
        <v>2</v>
      </c>
      <c r="I624" s="12">
        <f>IF(MOD(B624,StepsEachYearQ2)=0,1+B624/StepsEachYearQ2,0)</f>
        <v>0</v>
      </c>
      <c r="M624" s="33"/>
    </row>
    <row r="625" spans="2:13" ht="13.15" thickBot="1" x14ac:dyDescent="0.4">
      <c r="B625" s="13">
        <f t="shared" si="49"/>
        <v>595</v>
      </c>
      <c r="C625" s="21">
        <f t="shared" si="45"/>
        <v>114.375</v>
      </c>
      <c r="D625" s="4">
        <f>POWER(gompertz_g,POWER(gompertz_c,InitialAgeQ2)*(gompertz_c^('Question 2'!C625-InitialAgeQ2)-1))</f>
        <v>9.8522037659590451E-49</v>
      </c>
      <c r="E625" s="21">
        <f>(1+IntRateQ2)^(-(C625-InitialAgeQ2))*D625</f>
        <v>5.3294056144099674E-50</v>
      </c>
      <c r="F625" s="10">
        <f t="shared" si="46"/>
        <v>0</v>
      </c>
      <c r="G625" s="10">
        <f t="shared" si="47"/>
        <v>0</v>
      </c>
      <c r="H625" s="10">
        <f t="shared" si="48"/>
        <v>4</v>
      </c>
      <c r="I625" s="12">
        <f>IF(MOD(B625,StepsEachYearQ2)=0,1+B625/StepsEachYearQ2,0)</f>
        <v>0</v>
      </c>
      <c r="M625" s="33"/>
    </row>
    <row r="626" spans="2:13" ht="13.15" thickBot="1" x14ac:dyDescent="0.4">
      <c r="B626" s="13">
        <f t="shared" si="49"/>
        <v>596</v>
      </c>
      <c r="C626" s="21">
        <f t="shared" si="45"/>
        <v>114.5</v>
      </c>
      <c r="D626" s="4">
        <f>POWER(gompertz_g,POWER(gompertz_c,InitialAgeQ2)*(gompertz_c^('Question 2'!C626-InitialAgeQ2)-1))</f>
        <v>2.9699217319704383E-49</v>
      </c>
      <c r="E626" s="21">
        <f>(1+IntRateQ2)^(-(C626-InitialAgeQ2))*D626</f>
        <v>1.5986788392373982E-50</v>
      </c>
      <c r="F626" s="10">
        <f t="shared" si="46"/>
        <v>0</v>
      </c>
      <c r="G626" s="10">
        <f t="shared" si="47"/>
        <v>0.5</v>
      </c>
      <c r="H626" s="10">
        <f t="shared" si="48"/>
        <v>2</v>
      </c>
      <c r="I626" s="12">
        <f>IF(MOD(B626,StepsEachYearQ2)=0,1+B626/StepsEachYearQ2,0)</f>
        <v>0</v>
      </c>
      <c r="M626" s="33"/>
    </row>
    <row r="627" spans="2:13" ht="13.15" thickBot="1" x14ac:dyDescent="0.4">
      <c r="B627" s="13">
        <f t="shared" si="49"/>
        <v>597</v>
      </c>
      <c r="C627" s="21">
        <f t="shared" si="45"/>
        <v>114.625</v>
      </c>
      <c r="D627" s="4">
        <f>POWER(gompertz_g,POWER(gompertz_c,InitialAgeQ2)*(gompertz_c^('Question 2'!C627-InitialAgeQ2)-1))</f>
        <v>8.8372319721909597E-50</v>
      </c>
      <c r="E627" s="21">
        <f>(1+IntRateQ2)^(-(C627-InitialAgeQ2))*D627</f>
        <v>4.7337281111639938E-51</v>
      </c>
      <c r="F627" s="10">
        <f t="shared" si="46"/>
        <v>0</v>
      </c>
      <c r="G627" s="10">
        <f t="shared" si="47"/>
        <v>0</v>
      </c>
      <c r="H627" s="10">
        <f t="shared" si="48"/>
        <v>4</v>
      </c>
      <c r="I627" s="12">
        <f>IF(MOD(B627,StepsEachYearQ2)=0,1+B627/StepsEachYearQ2,0)</f>
        <v>0</v>
      </c>
      <c r="M627" s="33"/>
    </row>
    <row r="628" spans="2:13" ht="13.15" thickBot="1" x14ac:dyDescent="0.4">
      <c r="B628" s="13">
        <f t="shared" si="49"/>
        <v>598</v>
      </c>
      <c r="C628" s="21">
        <f t="shared" si="45"/>
        <v>114.75</v>
      </c>
      <c r="D628" s="4">
        <f>POWER(gompertz_g,POWER(gompertz_c,InitialAgeQ2)*(gompertz_c^('Question 2'!C628-InitialAgeQ2)-1))</f>
        <v>2.5952909383309636E-50</v>
      </c>
      <c r="E628" s="21">
        <f>(1+IntRateQ2)^(-(C628-InitialAgeQ2))*D628</f>
        <v>1.3833877886425387E-51</v>
      </c>
      <c r="F628" s="10">
        <f t="shared" si="46"/>
        <v>0</v>
      </c>
      <c r="G628" s="10">
        <f t="shared" si="47"/>
        <v>0</v>
      </c>
      <c r="H628" s="10">
        <f t="shared" si="48"/>
        <v>2</v>
      </c>
      <c r="I628" s="12">
        <f>IF(MOD(B628,StepsEachYearQ2)=0,1+B628/StepsEachYearQ2,0)</f>
        <v>0</v>
      </c>
      <c r="M628" s="33"/>
    </row>
    <row r="629" spans="2:13" ht="13.15" thickBot="1" x14ac:dyDescent="0.4">
      <c r="B629" s="13">
        <f t="shared" si="49"/>
        <v>599</v>
      </c>
      <c r="C629" s="21">
        <f t="shared" si="45"/>
        <v>114.875</v>
      </c>
      <c r="D629" s="4">
        <f>POWER(gompertz_g,POWER(gompertz_c,InitialAgeQ2)*(gompertz_c^('Question 2'!C629-InitialAgeQ2)-1))</f>
        <v>7.5212953085828091E-51</v>
      </c>
      <c r="E629" s="21">
        <f>(1+IntRateQ2)^(-(C629-InitialAgeQ2))*D629</f>
        <v>3.9895265601301895E-52</v>
      </c>
      <c r="F629" s="10">
        <f t="shared" si="46"/>
        <v>0</v>
      </c>
      <c r="G629" s="10">
        <f t="shared" si="47"/>
        <v>0</v>
      </c>
      <c r="H629" s="10">
        <f t="shared" si="48"/>
        <v>4</v>
      </c>
      <c r="I629" s="12">
        <f>IF(MOD(B629,StepsEachYearQ2)=0,1+B629/StepsEachYearQ2,0)</f>
        <v>0</v>
      </c>
      <c r="M629" s="33"/>
    </row>
    <row r="630" spans="2:13" ht="13.15" thickBot="1" x14ac:dyDescent="0.4">
      <c r="B630" s="13">
        <f t="shared" si="49"/>
        <v>600</v>
      </c>
      <c r="C630" s="21">
        <f t="shared" si="45"/>
        <v>115</v>
      </c>
      <c r="D630" s="4">
        <f>POWER(gompertz_g,POWER(gompertz_c,InitialAgeQ2)*(gompertz_c^('Question 2'!C630-InitialAgeQ2)-1))</f>
        <v>2.1506691631174162E-51</v>
      </c>
      <c r="E630" s="21">
        <f>(1+IntRateQ2)^(-(C630-InitialAgeQ2))*D630</f>
        <v>1.1352020342897358E-52</v>
      </c>
      <c r="F630" s="10">
        <f t="shared" si="46"/>
        <v>1</v>
      </c>
      <c r="G630" s="10">
        <f t="shared" si="47"/>
        <v>0.5</v>
      </c>
      <c r="H630" s="10">
        <f t="shared" si="48"/>
        <v>2</v>
      </c>
      <c r="I630" s="12">
        <f>IF(MOD(B630,StepsEachYearQ2)=0,1+B630/StepsEachYearQ2,0)</f>
        <v>76</v>
      </c>
      <c r="M630" s="33"/>
    </row>
    <row r="631" spans="2:13" ht="13.15" thickBot="1" x14ac:dyDescent="0.4">
      <c r="B631" s="13">
        <f t="shared" si="49"/>
        <v>601</v>
      </c>
      <c r="C631" s="21">
        <f t="shared" si="45"/>
        <v>115.125</v>
      </c>
      <c r="D631" s="4">
        <f>POWER(gompertz_g,POWER(gompertz_c,InitialAgeQ2)*(gompertz_c^('Question 2'!C631-InitialAgeQ2)-1))</f>
        <v>6.0668863367775417E-52</v>
      </c>
      <c r="E631" s="21">
        <f>(1+IntRateQ2)^(-(C631-InitialAgeQ2))*D631</f>
        <v>3.1866637766054663E-53</v>
      </c>
      <c r="F631" s="10">
        <f t="shared" si="46"/>
        <v>0</v>
      </c>
      <c r="G631" s="10">
        <f t="shared" si="47"/>
        <v>0</v>
      </c>
      <c r="H631" s="10">
        <f t="shared" si="48"/>
        <v>4</v>
      </c>
      <c r="I631" s="12">
        <f>IF(MOD(B631,StepsEachYearQ2)=0,1+B631/StepsEachYearQ2,0)</f>
        <v>0</v>
      </c>
      <c r="M631" s="33"/>
    </row>
    <row r="632" spans="2:13" ht="13.15" thickBot="1" x14ac:dyDescent="0.4">
      <c r="B632" s="13">
        <f t="shared" si="49"/>
        <v>602</v>
      </c>
      <c r="C632" s="21">
        <f t="shared" si="45"/>
        <v>115.25</v>
      </c>
      <c r="D632" s="4">
        <f>POWER(gompertz_g,POWER(gompertz_c,InitialAgeQ2)*(gompertz_c^('Question 2'!C632-InitialAgeQ2)-1))</f>
        <v>1.6881289373733452E-52</v>
      </c>
      <c r="E632" s="21">
        <f>(1+IntRateQ2)^(-(C632-InitialAgeQ2))*D632</f>
        <v>8.8236207280026696E-54</v>
      </c>
      <c r="F632" s="10">
        <f t="shared" si="46"/>
        <v>0</v>
      </c>
      <c r="G632" s="10">
        <f t="shared" si="47"/>
        <v>0</v>
      </c>
      <c r="H632" s="10">
        <f t="shared" si="48"/>
        <v>2</v>
      </c>
      <c r="I632" s="12">
        <f>IF(MOD(B632,StepsEachYearQ2)=0,1+B632/StepsEachYearQ2,0)</f>
        <v>0</v>
      </c>
      <c r="M632" s="33"/>
    </row>
    <row r="633" spans="2:13" ht="13.15" thickBot="1" x14ac:dyDescent="0.4">
      <c r="B633" s="13">
        <f t="shared" si="49"/>
        <v>603</v>
      </c>
      <c r="C633" s="21">
        <f t="shared" si="45"/>
        <v>115.375</v>
      </c>
      <c r="D633" s="4">
        <f>POWER(gompertz_g,POWER(gompertz_c,InitialAgeQ2)*(gompertz_c^('Question 2'!C633-InitialAgeQ2)-1))</f>
        <v>4.6326384550784065E-53</v>
      </c>
      <c r="E633" s="21">
        <f>(1+IntRateQ2)^(-(C633-InitialAgeQ2))*D633</f>
        <v>2.4095750533940639E-54</v>
      </c>
      <c r="F633" s="10">
        <f t="shared" si="46"/>
        <v>0</v>
      </c>
      <c r="G633" s="10">
        <f t="shared" si="47"/>
        <v>0</v>
      </c>
      <c r="H633" s="10">
        <f t="shared" si="48"/>
        <v>4</v>
      </c>
      <c r="I633" s="12">
        <f>IF(MOD(B633,StepsEachYearQ2)=0,1+B633/StepsEachYearQ2,0)</f>
        <v>0</v>
      </c>
      <c r="M633" s="33"/>
    </row>
    <row r="634" spans="2:13" ht="13.15" thickBot="1" x14ac:dyDescent="0.4">
      <c r="B634" s="13">
        <f t="shared" si="49"/>
        <v>604</v>
      </c>
      <c r="C634" s="21">
        <f t="shared" si="45"/>
        <v>115.5</v>
      </c>
      <c r="D634" s="4">
        <f>POWER(gompertz_g,POWER(gompertz_c,InitialAgeQ2)*(gompertz_c^('Question 2'!C634-InitialAgeQ2)-1))</f>
        <v>1.2536291222252079E-53</v>
      </c>
      <c r="E634" s="21">
        <f>(1+IntRateQ2)^(-(C634-InitialAgeQ2))*D634</f>
        <v>6.4886142400366262E-55</v>
      </c>
      <c r="F634" s="10">
        <f t="shared" si="46"/>
        <v>0</v>
      </c>
      <c r="G634" s="10">
        <f t="shared" si="47"/>
        <v>0.5</v>
      </c>
      <c r="H634" s="10">
        <f t="shared" si="48"/>
        <v>2</v>
      </c>
      <c r="I634" s="12">
        <f>IF(MOD(B634,StepsEachYearQ2)=0,1+B634/StepsEachYearQ2,0)</f>
        <v>0</v>
      </c>
      <c r="M634" s="33"/>
    </row>
    <row r="635" spans="2:13" ht="13.15" thickBot="1" x14ac:dyDescent="0.4">
      <c r="B635" s="13">
        <f t="shared" si="49"/>
        <v>605</v>
      </c>
      <c r="C635" s="21">
        <f t="shared" si="45"/>
        <v>115.625</v>
      </c>
      <c r="D635" s="4">
        <f>POWER(gompertz_g,POWER(gompertz_c,InitialAgeQ2)*(gompertz_c^('Question 2'!C635-InitialAgeQ2)-1))</f>
        <v>3.3447351622856963E-54</v>
      </c>
      <c r="E635" s="21">
        <f>(1+IntRateQ2)^(-(C635-InitialAgeQ2))*D635</f>
        <v>1.7227229974200703E-55</v>
      </c>
      <c r="F635" s="10">
        <f t="shared" si="46"/>
        <v>0</v>
      </c>
      <c r="G635" s="10">
        <f t="shared" si="47"/>
        <v>0</v>
      </c>
      <c r="H635" s="10">
        <f t="shared" si="48"/>
        <v>4</v>
      </c>
      <c r="I635" s="12">
        <f>IF(MOD(B635,StepsEachYearQ2)=0,1+B635/StepsEachYearQ2,0)</f>
        <v>0</v>
      </c>
      <c r="M635" s="33"/>
    </row>
    <row r="636" spans="2:13" ht="13.15" thickBot="1" x14ac:dyDescent="0.4">
      <c r="B636" s="13">
        <f t="shared" si="49"/>
        <v>606</v>
      </c>
      <c r="C636" s="21">
        <f t="shared" si="45"/>
        <v>115.75</v>
      </c>
      <c r="D636" s="4">
        <f>POWER(gompertz_g,POWER(gompertz_c,InitialAgeQ2)*(gompertz_c^('Question 2'!C636-InitialAgeQ2)-1))</f>
        <v>8.7971057496716827E-55</v>
      </c>
      <c r="E636" s="21">
        <f>(1+IntRateQ2)^(-(C636-InitialAgeQ2))*D636</f>
        <v>4.5088351877832313E-56</v>
      </c>
      <c r="F636" s="10">
        <f t="shared" si="46"/>
        <v>0</v>
      </c>
      <c r="G636" s="10">
        <f t="shared" si="47"/>
        <v>0</v>
      </c>
      <c r="H636" s="10">
        <f t="shared" si="48"/>
        <v>2</v>
      </c>
      <c r="I636" s="12">
        <f>IF(MOD(B636,StepsEachYearQ2)=0,1+B636/StepsEachYearQ2,0)</f>
        <v>0</v>
      </c>
      <c r="M636" s="33"/>
    </row>
    <row r="637" spans="2:13" ht="13.15" thickBot="1" x14ac:dyDescent="0.4">
      <c r="B637" s="13">
        <f t="shared" si="49"/>
        <v>607</v>
      </c>
      <c r="C637" s="21">
        <f t="shared" si="45"/>
        <v>115.875</v>
      </c>
      <c r="D637" s="4">
        <f>POWER(gompertz_g,POWER(gompertz_c,InitialAgeQ2)*(gompertz_c^('Question 2'!C637-InitialAgeQ2)-1))</f>
        <v>2.2805310840034192E-55</v>
      </c>
      <c r="E637" s="21">
        <f>(1+IntRateQ2)^(-(C637-InitialAgeQ2))*D637</f>
        <v>1.16313835449274E-56</v>
      </c>
      <c r="F637" s="10">
        <f t="shared" si="46"/>
        <v>0</v>
      </c>
      <c r="G637" s="10">
        <f t="shared" si="47"/>
        <v>0</v>
      </c>
      <c r="H637" s="10">
        <f t="shared" si="48"/>
        <v>4</v>
      </c>
      <c r="I637" s="12">
        <f>IF(MOD(B637,StepsEachYearQ2)=0,1+B637/StepsEachYearQ2,0)</f>
        <v>0</v>
      </c>
      <c r="M637" s="33"/>
    </row>
    <row r="638" spans="2:13" ht="13.15" thickBot="1" x14ac:dyDescent="0.4">
      <c r="B638" s="13">
        <f t="shared" si="49"/>
        <v>608</v>
      </c>
      <c r="C638" s="21">
        <f t="shared" si="45"/>
        <v>116</v>
      </c>
      <c r="D638" s="4">
        <f>POWER(gompertz_g,POWER(gompertz_c,InitialAgeQ2)*(gompertz_c^('Question 2'!C638-InitialAgeQ2)-1))</f>
        <v>5.8261578990426506E-56</v>
      </c>
      <c r="E638" s="21">
        <f>(1+IntRateQ2)^(-(C638-InitialAgeQ2))*D638</f>
        <v>2.9569805226697463E-57</v>
      </c>
      <c r="F638" s="10">
        <f t="shared" si="46"/>
        <v>1</v>
      </c>
      <c r="G638" s="10">
        <f t="shared" si="47"/>
        <v>0.5</v>
      </c>
      <c r="H638" s="10">
        <f t="shared" si="48"/>
        <v>2</v>
      </c>
      <c r="I638" s="12">
        <f>IF(MOD(B638,StepsEachYearQ2)=0,1+B638/StepsEachYearQ2,0)</f>
        <v>77</v>
      </c>
      <c r="M638" s="33"/>
    </row>
    <row r="639" spans="2:13" ht="13.15" thickBot="1" x14ac:dyDescent="0.4">
      <c r="B639" s="13">
        <f t="shared" si="49"/>
        <v>609</v>
      </c>
      <c r="C639" s="21">
        <f t="shared" si="45"/>
        <v>116.125</v>
      </c>
      <c r="D639" s="4">
        <f>POWER(gompertz_g,POWER(gompertz_c,InitialAgeQ2)*(gompertz_c^('Question 2'!C639-InitialAgeQ2)-1))</f>
        <v>1.4665936609414691E-56</v>
      </c>
      <c r="E639" s="21">
        <f>(1+IntRateQ2)^(-(C639-InitialAgeQ2))*D639</f>
        <v>7.4070768298747517E-58</v>
      </c>
      <c r="F639" s="10">
        <f t="shared" si="46"/>
        <v>0</v>
      </c>
      <c r="G639" s="10">
        <f t="shared" si="47"/>
        <v>0</v>
      </c>
      <c r="H639" s="10">
        <f t="shared" si="48"/>
        <v>4</v>
      </c>
      <c r="I639" s="12">
        <f>IF(MOD(B639,StepsEachYearQ2)=0,1+B639/StepsEachYearQ2,0)</f>
        <v>0</v>
      </c>
      <c r="M639" s="33"/>
    </row>
    <row r="640" spans="2:13" ht="13.15" thickBot="1" x14ac:dyDescent="0.4">
      <c r="B640" s="13">
        <f t="shared" si="49"/>
        <v>610</v>
      </c>
      <c r="C640" s="21">
        <f t="shared" si="45"/>
        <v>116.25</v>
      </c>
      <c r="D640" s="4">
        <f>POWER(gompertz_g,POWER(gompertz_c,InitialAgeQ2)*(gompertz_c^('Question 2'!C640-InitialAgeQ2)-1))</f>
        <v>3.6370488778237114E-57</v>
      </c>
      <c r="E640" s="21">
        <f>(1+IntRateQ2)^(-(C640-InitialAgeQ2))*D640</f>
        <v>1.8279192900770068E-58</v>
      </c>
      <c r="F640" s="10">
        <f t="shared" si="46"/>
        <v>0</v>
      </c>
      <c r="G640" s="10">
        <f t="shared" si="47"/>
        <v>0</v>
      </c>
      <c r="H640" s="10">
        <f t="shared" si="48"/>
        <v>2</v>
      </c>
      <c r="I640" s="12">
        <f>IF(MOD(B640,StepsEachYearQ2)=0,1+B640/StepsEachYearQ2,0)</f>
        <v>0</v>
      </c>
      <c r="M640" s="33"/>
    </row>
    <row r="641" spans="2:13" ht="13.15" thickBot="1" x14ac:dyDescent="0.4">
      <c r="B641" s="13">
        <f t="shared" si="49"/>
        <v>611</v>
      </c>
      <c r="C641" s="21">
        <f t="shared" si="45"/>
        <v>116.375</v>
      </c>
      <c r="D641" s="4">
        <f>POWER(gompertz_g,POWER(gompertz_c,InitialAgeQ2)*(gompertz_c^('Question 2'!C641-InitialAgeQ2)-1))</f>
        <v>8.8844384368584758E-58</v>
      </c>
      <c r="E641" s="21">
        <f>(1+IntRateQ2)^(-(C641-InitialAgeQ2))*D641</f>
        <v>4.443331273821754E-59</v>
      </c>
      <c r="F641" s="10">
        <f t="shared" si="46"/>
        <v>0</v>
      </c>
      <c r="G641" s="10">
        <f t="shared" si="47"/>
        <v>0</v>
      </c>
      <c r="H641" s="10">
        <f t="shared" si="48"/>
        <v>4</v>
      </c>
      <c r="I641" s="12">
        <f>IF(MOD(B641,StepsEachYearQ2)=0,1+B641/StepsEachYearQ2,0)</f>
        <v>0</v>
      </c>
      <c r="M641" s="33"/>
    </row>
    <row r="642" spans="2:13" ht="13.15" thickBot="1" x14ac:dyDescent="0.4">
      <c r="B642" s="13">
        <f t="shared" si="49"/>
        <v>612</v>
      </c>
      <c r="C642" s="21">
        <f t="shared" si="45"/>
        <v>116.5</v>
      </c>
      <c r="D642" s="4">
        <f>POWER(gompertz_g,POWER(gompertz_c,InitialAgeQ2)*(gompertz_c^('Question 2'!C642-InitialAgeQ2)-1))</f>
        <v>2.1373778609649208E-58</v>
      </c>
      <c r="E642" s="21">
        <f>(1+IntRateQ2)^(-(C642-InitialAgeQ2))*D642</f>
        <v>1.0637286347848539E-59</v>
      </c>
      <c r="F642" s="10">
        <f t="shared" si="46"/>
        <v>0</v>
      </c>
      <c r="G642" s="10">
        <f t="shared" si="47"/>
        <v>0.5</v>
      </c>
      <c r="H642" s="10">
        <f t="shared" si="48"/>
        <v>2</v>
      </c>
      <c r="I642" s="12">
        <f>IF(MOD(B642,StepsEachYearQ2)=0,1+B642/StepsEachYearQ2,0)</f>
        <v>0</v>
      </c>
      <c r="M642" s="33"/>
    </row>
    <row r="643" spans="2:13" ht="13.15" thickBot="1" x14ac:dyDescent="0.4">
      <c r="B643" s="13">
        <f t="shared" si="49"/>
        <v>613</v>
      </c>
      <c r="C643" s="21">
        <f t="shared" si="45"/>
        <v>116.625</v>
      </c>
      <c r="D643" s="4">
        <f>POWER(gompertz_g,POWER(gompertz_c,InitialAgeQ2)*(gompertz_c^('Question 2'!C643-InitialAgeQ2)-1))</f>
        <v>5.063272599095421E-59</v>
      </c>
      <c r="E643" s="21">
        <f>(1+IntRateQ2)^(-(C643-InitialAgeQ2))*D643</f>
        <v>2.5075620356290921E-60</v>
      </c>
      <c r="F643" s="10">
        <f t="shared" si="46"/>
        <v>0</v>
      </c>
      <c r="G643" s="10">
        <f t="shared" si="47"/>
        <v>0</v>
      </c>
      <c r="H643" s="10">
        <f t="shared" si="48"/>
        <v>4</v>
      </c>
      <c r="I643" s="12">
        <f>IF(MOD(B643,StepsEachYearQ2)=0,1+B643/StepsEachYearQ2,0)</f>
        <v>0</v>
      </c>
      <c r="M643" s="33"/>
    </row>
    <row r="644" spans="2:13" ht="13.15" thickBot="1" x14ac:dyDescent="0.4">
      <c r="B644" s="13">
        <f t="shared" si="49"/>
        <v>614</v>
      </c>
      <c r="C644" s="21">
        <f t="shared" si="45"/>
        <v>116.75</v>
      </c>
      <c r="D644" s="4">
        <f>POWER(gompertz_g,POWER(gompertz_c,InitialAgeQ2)*(gompertz_c^('Question 2'!C644-InitialAgeQ2)-1))</f>
        <v>1.1808844763993113E-59</v>
      </c>
      <c r="E644" s="21">
        <f>(1+IntRateQ2)^(-(C644-InitialAgeQ2))*D644</f>
        <v>5.8196735287001634E-61</v>
      </c>
      <c r="F644" s="10">
        <f t="shared" si="46"/>
        <v>0</v>
      </c>
      <c r="G644" s="10">
        <f t="shared" si="47"/>
        <v>0</v>
      </c>
      <c r="H644" s="10">
        <f t="shared" si="48"/>
        <v>2</v>
      </c>
      <c r="I644" s="12">
        <f>IF(MOD(B644,StepsEachYearQ2)=0,1+B644/StepsEachYearQ2,0)</f>
        <v>0</v>
      </c>
      <c r="M644" s="33"/>
    </row>
    <row r="645" spans="2:13" ht="13.15" thickBot="1" x14ac:dyDescent="0.4">
      <c r="B645" s="13">
        <f t="shared" si="49"/>
        <v>615</v>
      </c>
      <c r="C645" s="21">
        <f t="shared" si="45"/>
        <v>116.875</v>
      </c>
      <c r="D645" s="4">
        <f>POWER(gompertz_g,POWER(gompertz_c,InitialAgeQ2)*(gompertz_c^('Question 2'!C645-InitialAgeQ2)-1))</f>
        <v>2.7110420480912324E-60</v>
      </c>
      <c r="E645" s="21">
        <f>(1+IntRateQ2)^(-(C645-InitialAgeQ2))*D645</f>
        <v>1.3295304701071785E-61</v>
      </c>
      <c r="F645" s="10">
        <f t="shared" si="46"/>
        <v>0</v>
      </c>
      <c r="G645" s="10">
        <f t="shared" si="47"/>
        <v>0</v>
      </c>
      <c r="H645" s="10">
        <f t="shared" si="48"/>
        <v>4</v>
      </c>
      <c r="I645" s="12">
        <f>IF(MOD(B645,StepsEachYearQ2)=0,1+B645/StepsEachYearQ2,0)</f>
        <v>0</v>
      </c>
      <c r="M645" s="33"/>
    </row>
    <row r="646" spans="2:13" ht="13.15" thickBot="1" x14ac:dyDescent="0.4">
      <c r="B646" s="13">
        <f t="shared" si="49"/>
        <v>616</v>
      </c>
      <c r="C646" s="21">
        <f t="shared" si="45"/>
        <v>117</v>
      </c>
      <c r="D646" s="4">
        <f>POWER(gompertz_g,POWER(gompertz_c,InitialAgeQ2)*(gompertz_c^('Question 2'!C646-InitialAgeQ2)-1))</f>
        <v>6.1255299958450395E-61</v>
      </c>
      <c r="E646" s="21">
        <f>(1+IntRateQ2)^(-(C646-InitialAgeQ2))*D646</f>
        <v>2.9893484764698678E-62</v>
      </c>
      <c r="F646" s="10">
        <f t="shared" si="46"/>
        <v>1</v>
      </c>
      <c r="G646" s="10">
        <f t="shared" si="47"/>
        <v>0.5</v>
      </c>
      <c r="H646" s="10">
        <f t="shared" si="48"/>
        <v>2</v>
      </c>
      <c r="I646" s="12">
        <f>IF(MOD(B646,StepsEachYearQ2)=0,1+B646/StepsEachYearQ2,0)</f>
        <v>78</v>
      </c>
      <c r="M646" s="33"/>
    </row>
    <row r="647" spans="2:13" ht="13.15" thickBot="1" x14ac:dyDescent="0.4">
      <c r="B647" s="13">
        <f t="shared" si="49"/>
        <v>617</v>
      </c>
      <c r="C647" s="21">
        <f t="shared" si="45"/>
        <v>117.125</v>
      </c>
      <c r="D647" s="4">
        <f>POWER(gompertz_g,POWER(gompertz_c,InitialAgeQ2)*(gompertz_c^('Question 2'!C647-InitialAgeQ2)-1))</f>
        <v>1.3619297401379978E-61</v>
      </c>
      <c r="E647" s="21">
        <f>(1+IntRateQ2)^(-(C647-InitialAgeQ2))*D647</f>
        <v>6.6139119687526857E-63</v>
      </c>
      <c r="F647" s="10">
        <f t="shared" si="46"/>
        <v>0</v>
      </c>
      <c r="G647" s="10">
        <f t="shared" si="47"/>
        <v>0</v>
      </c>
      <c r="H647" s="10">
        <f t="shared" si="48"/>
        <v>4</v>
      </c>
      <c r="I647" s="12">
        <f>IF(MOD(B647,StepsEachYearQ2)=0,1+B647/StepsEachYearQ2,0)</f>
        <v>0</v>
      </c>
      <c r="M647" s="33"/>
    </row>
    <row r="648" spans="2:13" ht="13.15" thickBot="1" x14ac:dyDescent="0.4">
      <c r="B648" s="13">
        <f t="shared" si="49"/>
        <v>618</v>
      </c>
      <c r="C648" s="21">
        <f t="shared" si="45"/>
        <v>117.25</v>
      </c>
      <c r="D648" s="4">
        <f>POWER(gompertz_g,POWER(gompertz_c,InitialAgeQ2)*(gompertz_c^('Question 2'!C648-InitialAgeQ2)-1))</f>
        <v>2.9791582809303612E-62</v>
      </c>
      <c r="E648" s="21">
        <f>(1+IntRateQ2)^(-(C648-InitialAgeQ2))*D648</f>
        <v>1.4396871117313247E-63</v>
      </c>
      <c r="F648" s="10">
        <f t="shared" si="46"/>
        <v>0</v>
      </c>
      <c r="G648" s="10">
        <f t="shared" si="47"/>
        <v>0</v>
      </c>
      <c r="H648" s="10">
        <f t="shared" si="48"/>
        <v>2</v>
      </c>
      <c r="I648" s="12">
        <f>IF(MOD(B648,StepsEachYearQ2)=0,1+B648/StepsEachYearQ2,0)</f>
        <v>0</v>
      </c>
      <c r="M648" s="33"/>
    </row>
    <row r="649" spans="2:13" ht="13.15" thickBot="1" x14ac:dyDescent="0.4">
      <c r="B649" s="13">
        <f t="shared" si="49"/>
        <v>619</v>
      </c>
      <c r="C649" s="21">
        <f t="shared" si="45"/>
        <v>117.375</v>
      </c>
      <c r="D649" s="4">
        <f>POWER(gompertz_g,POWER(gompertz_c,InitialAgeQ2)*(gompertz_c^('Question 2'!C649-InitialAgeQ2)-1))</f>
        <v>6.4103788742212229E-63</v>
      </c>
      <c r="E649" s="21">
        <f>(1+IntRateQ2)^(-(C649-InitialAgeQ2))*D649</f>
        <v>3.0826844396032651E-64</v>
      </c>
      <c r="F649" s="10">
        <f t="shared" si="46"/>
        <v>0</v>
      </c>
      <c r="G649" s="10">
        <f t="shared" si="47"/>
        <v>0</v>
      </c>
      <c r="H649" s="10">
        <f t="shared" si="48"/>
        <v>4</v>
      </c>
      <c r="I649" s="12">
        <f>IF(MOD(B649,StepsEachYearQ2)=0,1+B649/StepsEachYearQ2,0)</f>
        <v>0</v>
      </c>
      <c r="M649" s="33"/>
    </row>
    <row r="650" spans="2:13" ht="13.15" thickBot="1" x14ac:dyDescent="0.4">
      <c r="B650" s="13">
        <f t="shared" si="49"/>
        <v>620</v>
      </c>
      <c r="C650" s="21">
        <f t="shared" si="45"/>
        <v>117.5</v>
      </c>
      <c r="D650" s="4">
        <f>POWER(gompertz_g,POWER(gompertz_c,InitialAgeQ2)*(gompertz_c^('Question 2'!C650-InitialAgeQ2)-1))</f>
        <v>1.3565869719458045E-63</v>
      </c>
      <c r="E650" s="21">
        <f>(1+IntRateQ2)^(-(C650-InitialAgeQ2))*D650</f>
        <v>6.4917807882066412E-65</v>
      </c>
      <c r="F650" s="10">
        <f t="shared" si="46"/>
        <v>0</v>
      </c>
      <c r="G650" s="10">
        <f t="shared" si="47"/>
        <v>0.5</v>
      </c>
      <c r="H650" s="10">
        <f t="shared" si="48"/>
        <v>2</v>
      </c>
      <c r="I650" s="12">
        <f>IF(MOD(B650,StepsEachYearQ2)=0,1+B650/StepsEachYearQ2,0)</f>
        <v>0</v>
      </c>
      <c r="M650" s="33"/>
    </row>
    <row r="651" spans="2:13" ht="13.15" thickBot="1" x14ac:dyDescent="0.4">
      <c r="B651" s="13">
        <f t="shared" si="49"/>
        <v>621</v>
      </c>
      <c r="C651" s="21">
        <f t="shared" si="45"/>
        <v>117.625</v>
      </c>
      <c r="D651" s="4">
        <f>POWER(gompertz_g,POWER(gompertz_c,InitialAgeQ2)*(gompertz_c^('Question 2'!C651-InitialAgeQ2)-1))</f>
        <v>2.8229757365764479E-64</v>
      </c>
      <c r="E651" s="21">
        <f>(1+IntRateQ2)^(-(C651-InitialAgeQ2))*D651</f>
        <v>1.3442937588591479E-65</v>
      </c>
      <c r="F651" s="10">
        <f t="shared" si="46"/>
        <v>0</v>
      </c>
      <c r="G651" s="10">
        <f t="shared" si="47"/>
        <v>0</v>
      </c>
      <c r="H651" s="10">
        <f t="shared" si="48"/>
        <v>4</v>
      </c>
      <c r="I651" s="12">
        <f>IF(MOD(B651,StepsEachYearQ2)=0,1+B651/StepsEachYearQ2,0)</f>
        <v>0</v>
      </c>
      <c r="M651" s="33"/>
    </row>
    <row r="652" spans="2:13" ht="13.15" thickBot="1" x14ac:dyDescent="0.4">
      <c r="B652" s="13">
        <f t="shared" si="49"/>
        <v>622</v>
      </c>
      <c r="C652" s="21">
        <f t="shared" si="45"/>
        <v>117.75</v>
      </c>
      <c r="D652" s="4">
        <f>POWER(gompertz_g,POWER(gompertz_c,InitialAgeQ2)*(gompertz_c^('Question 2'!C652-InitialAgeQ2)-1))</f>
        <v>5.7754136966634715E-65</v>
      </c>
      <c r="E652" s="21">
        <f>(1+IntRateQ2)^(-(C652-InitialAgeQ2))*D652</f>
        <v>2.7367868094034374E-66</v>
      </c>
      <c r="F652" s="10">
        <f t="shared" si="46"/>
        <v>0</v>
      </c>
      <c r="G652" s="10">
        <f t="shared" si="47"/>
        <v>0</v>
      </c>
      <c r="H652" s="10">
        <f t="shared" si="48"/>
        <v>2</v>
      </c>
      <c r="I652" s="12">
        <f>IF(MOD(B652,StepsEachYearQ2)=0,1+B652/StepsEachYearQ2,0)</f>
        <v>0</v>
      </c>
      <c r="M652" s="33"/>
    </row>
    <row r="653" spans="2:13" ht="13.15" thickBot="1" x14ac:dyDescent="0.4">
      <c r="B653" s="13">
        <f t="shared" si="49"/>
        <v>623</v>
      </c>
      <c r="C653" s="21">
        <f t="shared" si="45"/>
        <v>117.875</v>
      </c>
      <c r="D653" s="4">
        <f>POWER(gompertz_g,POWER(gompertz_c,InitialAgeQ2)*(gompertz_c^('Question 2'!C653-InitialAgeQ2)-1))</f>
        <v>1.1614366705128207E-65</v>
      </c>
      <c r="E653" s="21">
        <f>(1+IntRateQ2)^(-(C653-InitialAgeQ2))*D653</f>
        <v>5.4767666367717486E-67</v>
      </c>
      <c r="F653" s="10">
        <f t="shared" si="46"/>
        <v>0</v>
      </c>
      <c r="G653" s="10">
        <f t="shared" si="47"/>
        <v>0</v>
      </c>
      <c r="H653" s="10">
        <f t="shared" si="48"/>
        <v>4</v>
      </c>
      <c r="I653" s="12">
        <f>IF(MOD(B653,StepsEachYearQ2)=0,1+B653/StepsEachYearQ2,0)</f>
        <v>0</v>
      </c>
      <c r="M653" s="33"/>
    </row>
    <row r="654" spans="2:13" ht="13.15" thickBot="1" x14ac:dyDescent="0.4">
      <c r="B654" s="13">
        <f t="shared" si="49"/>
        <v>624</v>
      </c>
      <c r="C654" s="21">
        <f t="shared" si="45"/>
        <v>118</v>
      </c>
      <c r="D654" s="4">
        <f>POWER(gompertz_g,POWER(gompertz_c,InitialAgeQ2)*(gompertz_c^('Question 2'!C654-InitialAgeQ2)-1))</f>
        <v>2.2954277044037812E-66</v>
      </c>
      <c r="E654" s="21">
        <f>(1+IntRateQ2)^(-(C654-InitialAgeQ2))*D654</f>
        <v>1.0771176779272358E-67</v>
      </c>
      <c r="F654" s="10">
        <f t="shared" si="46"/>
        <v>1</v>
      </c>
      <c r="G654" s="10">
        <f t="shared" si="47"/>
        <v>0.5</v>
      </c>
      <c r="H654" s="10">
        <f t="shared" si="48"/>
        <v>2</v>
      </c>
      <c r="I654" s="12">
        <f>IF(MOD(B654,StepsEachYearQ2)=0,1+B654/StepsEachYearQ2,0)</f>
        <v>79</v>
      </c>
      <c r="M654" s="33"/>
    </row>
    <row r="655" spans="2:13" ht="13.15" thickBot="1" x14ac:dyDescent="0.4">
      <c r="B655" s="13">
        <f t="shared" si="49"/>
        <v>625</v>
      </c>
      <c r="C655" s="21">
        <f t="shared" si="45"/>
        <v>118.125</v>
      </c>
      <c r="D655" s="4">
        <f>POWER(gompertz_g,POWER(gompertz_c,InitialAgeQ2)*(gompertz_c^('Question 2'!C655-InitialAgeQ2)-1))</f>
        <v>4.4576467003163824E-67</v>
      </c>
      <c r="E655" s="21">
        <f>(1+IntRateQ2)^(-(C655-InitialAgeQ2))*D655</f>
        <v>2.081498067016102E-68</v>
      </c>
      <c r="F655" s="10">
        <f t="shared" si="46"/>
        <v>0</v>
      </c>
      <c r="G655" s="10">
        <f t="shared" si="47"/>
        <v>0</v>
      </c>
      <c r="H655" s="10">
        <f t="shared" si="48"/>
        <v>4</v>
      </c>
      <c r="I655" s="12">
        <f>IF(MOD(B655,StepsEachYearQ2)=0,1+B655/StepsEachYearQ2,0)</f>
        <v>0</v>
      </c>
      <c r="M655" s="33"/>
    </row>
    <row r="656" spans="2:13" ht="13.15" thickBot="1" x14ac:dyDescent="0.4">
      <c r="B656" s="13">
        <f t="shared" si="49"/>
        <v>626</v>
      </c>
      <c r="C656" s="21">
        <f t="shared" si="45"/>
        <v>118.25</v>
      </c>
      <c r="D656" s="4">
        <f>POWER(gompertz_g,POWER(gompertz_c,InitialAgeQ2)*(gompertz_c^('Question 2'!C656-InitialAgeQ2)-1))</f>
        <v>8.5043087196559052E-68</v>
      </c>
      <c r="E656" s="21">
        <f>(1+IntRateQ2)^(-(C656-InitialAgeQ2))*D656</f>
        <v>3.9516658809056784E-69</v>
      </c>
      <c r="F656" s="10">
        <f t="shared" si="46"/>
        <v>0</v>
      </c>
      <c r="G656" s="10">
        <f t="shared" si="47"/>
        <v>0</v>
      </c>
      <c r="H656" s="10">
        <f t="shared" si="48"/>
        <v>2</v>
      </c>
      <c r="I656" s="12">
        <f>IF(MOD(B656,StepsEachYearQ2)=0,1+B656/StepsEachYearQ2,0)</f>
        <v>0</v>
      </c>
      <c r="M656" s="33"/>
    </row>
    <row r="657" spans="2:13" ht="13.15" thickBot="1" x14ac:dyDescent="0.4">
      <c r="B657" s="13">
        <f t="shared" si="49"/>
        <v>627</v>
      </c>
      <c r="C657" s="21">
        <f t="shared" si="45"/>
        <v>118.375</v>
      </c>
      <c r="D657" s="4">
        <f>POWER(gompertz_g,POWER(gompertz_c,InitialAgeQ2)*(gompertz_c^('Question 2'!C657-InitialAgeQ2)-1))</f>
        <v>1.5936034052743445E-68</v>
      </c>
      <c r="E657" s="21">
        <f>(1+IntRateQ2)^(-(C657-InitialAgeQ2))*D657</f>
        <v>7.368723855617315E-70</v>
      </c>
      <c r="F657" s="10">
        <f t="shared" si="46"/>
        <v>0</v>
      </c>
      <c r="G657" s="10">
        <f t="shared" si="47"/>
        <v>0</v>
      </c>
      <c r="H657" s="10">
        <f t="shared" si="48"/>
        <v>4</v>
      </c>
      <c r="I657" s="12">
        <f>IF(MOD(B657,StepsEachYearQ2)=0,1+B657/StepsEachYearQ2,0)</f>
        <v>0</v>
      </c>
      <c r="M657" s="33"/>
    </row>
    <row r="658" spans="2:13" ht="13.15" thickBot="1" x14ac:dyDescent="0.4">
      <c r="B658" s="13">
        <f t="shared" si="49"/>
        <v>628</v>
      </c>
      <c r="C658" s="21">
        <f t="shared" si="45"/>
        <v>118.5</v>
      </c>
      <c r="D658" s="4">
        <f>POWER(gompertz_g,POWER(gompertz_c,InitialAgeQ2)*(gompertz_c^('Question 2'!C658-InitialAgeQ2)-1))</f>
        <v>2.9325467718178616E-69</v>
      </c>
      <c r="E658" s="21">
        <f>(1+IntRateQ2)^(-(C658-InitialAgeQ2))*D658</f>
        <v>1.3493599397931071E-70</v>
      </c>
      <c r="F658" s="10">
        <f t="shared" si="46"/>
        <v>0</v>
      </c>
      <c r="G658" s="10">
        <f t="shared" si="47"/>
        <v>0.5</v>
      </c>
      <c r="H658" s="10">
        <f t="shared" si="48"/>
        <v>2</v>
      </c>
      <c r="I658" s="12">
        <f>IF(MOD(B658,StepsEachYearQ2)=0,1+B658/StepsEachYearQ2,0)</f>
        <v>0</v>
      </c>
      <c r="M658" s="33"/>
    </row>
    <row r="659" spans="2:13" ht="13.15" thickBot="1" x14ac:dyDescent="0.4">
      <c r="B659" s="13">
        <f t="shared" si="49"/>
        <v>629</v>
      </c>
      <c r="C659" s="21">
        <f t="shared" si="45"/>
        <v>118.625</v>
      </c>
      <c r="D659" s="4">
        <f>POWER(gompertz_g,POWER(gompertz_c,InitialAgeQ2)*(gompertz_c^('Question 2'!C659-InitialAgeQ2)-1))</f>
        <v>5.2984373834168532E-70</v>
      </c>
      <c r="E659" s="21">
        <f>(1+IntRateQ2)^(-(C659-InitialAgeQ2))*D659</f>
        <v>2.4260598127097269E-71</v>
      </c>
      <c r="F659" s="10">
        <f t="shared" si="46"/>
        <v>0</v>
      </c>
      <c r="G659" s="10">
        <f t="shared" si="47"/>
        <v>0</v>
      </c>
      <c r="H659" s="10">
        <f t="shared" si="48"/>
        <v>4</v>
      </c>
      <c r="I659" s="12">
        <f>IF(MOD(B659,StepsEachYearQ2)=0,1+B659/StepsEachYearQ2,0)</f>
        <v>0</v>
      </c>
      <c r="M659" s="33"/>
    </row>
    <row r="660" spans="2:13" ht="13.15" thickBot="1" x14ac:dyDescent="0.4">
      <c r="B660" s="13">
        <f t="shared" si="49"/>
        <v>630</v>
      </c>
      <c r="C660" s="21">
        <f t="shared" si="45"/>
        <v>118.75</v>
      </c>
      <c r="D660" s="4">
        <f>POWER(gompertz_g,POWER(gompertz_c,InitialAgeQ2)*(gompertz_c^('Question 2'!C660-InitialAgeQ2)-1))</f>
        <v>9.3972892579845571E-71</v>
      </c>
      <c r="E660" s="21">
        <f>(1+IntRateQ2)^(-(C660-InitialAgeQ2))*D660</f>
        <v>4.2818073694974143E-72</v>
      </c>
      <c r="F660" s="10">
        <f t="shared" si="46"/>
        <v>0</v>
      </c>
      <c r="G660" s="10">
        <f t="shared" si="47"/>
        <v>0</v>
      </c>
      <c r="H660" s="10">
        <f t="shared" si="48"/>
        <v>2</v>
      </c>
      <c r="I660" s="12">
        <f>IF(MOD(B660,StepsEachYearQ2)=0,1+B660/StepsEachYearQ2,0)</f>
        <v>0</v>
      </c>
      <c r="M660" s="33"/>
    </row>
    <row r="661" spans="2:13" ht="13.15" thickBot="1" x14ac:dyDescent="0.4">
      <c r="B661" s="13">
        <f t="shared" si="49"/>
        <v>631</v>
      </c>
      <c r="C661" s="21">
        <f t="shared" si="45"/>
        <v>118.875</v>
      </c>
      <c r="D661" s="4">
        <f>POWER(gompertz_g,POWER(gompertz_c,InitialAgeQ2)*(gompertz_c^('Question 2'!C661-InitialAgeQ2)-1))</f>
        <v>1.6357696644239252E-71</v>
      </c>
      <c r="E661" s="21">
        <f>(1+IntRateQ2)^(-(C661-InitialAgeQ2))*D661</f>
        <v>7.4168161320316086E-73</v>
      </c>
      <c r="F661" s="10">
        <f t="shared" si="46"/>
        <v>0</v>
      </c>
      <c r="G661" s="10">
        <f t="shared" si="47"/>
        <v>0</v>
      </c>
      <c r="H661" s="10">
        <f t="shared" si="48"/>
        <v>4</v>
      </c>
      <c r="I661" s="12">
        <f>IF(MOD(B661,StepsEachYearQ2)=0,1+B661/StepsEachYearQ2,0)</f>
        <v>0</v>
      </c>
      <c r="M661" s="33"/>
    </row>
    <row r="662" spans="2:13" ht="13.15" thickBot="1" x14ac:dyDescent="0.4">
      <c r="B662" s="13">
        <f t="shared" si="49"/>
        <v>632</v>
      </c>
      <c r="C662" s="21">
        <f t="shared" si="45"/>
        <v>119</v>
      </c>
      <c r="D662" s="4">
        <f>POWER(gompertz_g,POWER(gompertz_c,InitialAgeQ2)*(gompertz_c^('Question 2'!C662-InitialAgeQ2)-1))</f>
        <v>2.7939482801221846E-72</v>
      </c>
      <c r="E662" s="21">
        <f>(1+IntRateQ2)^(-(C662-InitialAgeQ2))*D662</f>
        <v>1.260621059003029E-73</v>
      </c>
      <c r="F662" s="10">
        <f t="shared" si="46"/>
        <v>1</v>
      </c>
      <c r="G662" s="10">
        <f t="shared" si="47"/>
        <v>0.5</v>
      </c>
      <c r="H662" s="10">
        <f t="shared" si="48"/>
        <v>2</v>
      </c>
      <c r="I662" s="12">
        <f>IF(MOD(B662,StepsEachYearQ2)=0,1+B662/StepsEachYearQ2,0)</f>
        <v>80</v>
      </c>
      <c r="M662" s="33"/>
    </row>
    <row r="663" spans="2:13" ht="13.15" thickBot="1" x14ac:dyDescent="0.4">
      <c r="B663" s="13">
        <f t="shared" si="49"/>
        <v>633</v>
      </c>
      <c r="C663" s="21">
        <f t="shared" si="45"/>
        <v>119.125</v>
      </c>
      <c r="D663" s="4">
        <f>POWER(gompertz_g,POWER(gompertz_c,InitialAgeQ2)*(gompertz_c^('Question 2'!C663-InitialAgeQ2)-1))</f>
        <v>4.6816847939489229E-73</v>
      </c>
      <c r="E663" s="21">
        <f>(1+IntRateQ2)^(-(C663-InitialAgeQ2))*D663</f>
        <v>2.102031395997603E-74</v>
      </c>
      <c r="F663" s="10">
        <f t="shared" si="46"/>
        <v>0</v>
      </c>
      <c r="G663" s="10">
        <f t="shared" si="47"/>
        <v>0</v>
      </c>
      <c r="H663" s="10">
        <f t="shared" si="48"/>
        <v>4</v>
      </c>
      <c r="I663" s="12">
        <f>IF(MOD(B663,StepsEachYearQ2)=0,1+B663/StepsEachYearQ2,0)</f>
        <v>0</v>
      </c>
      <c r="M663" s="33"/>
    </row>
    <row r="664" spans="2:13" ht="13.15" thickBot="1" x14ac:dyDescent="0.4">
      <c r="B664" s="13">
        <f t="shared" si="49"/>
        <v>634</v>
      </c>
      <c r="C664" s="21">
        <f t="shared" si="45"/>
        <v>119.25</v>
      </c>
      <c r="D664" s="4">
        <f>POWER(gompertz_g,POWER(gompertz_c,InitialAgeQ2)*(gompertz_c^('Question 2'!C664-InitialAgeQ2)-1))</f>
        <v>7.6945556799280516E-74</v>
      </c>
      <c r="E664" s="21">
        <f>(1+IntRateQ2)^(-(C664-InitialAgeQ2))*D664</f>
        <v>3.4378854919587071E-75</v>
      </c>
      <c r="F664" s="10">
        <f t="shared" si="46"/>
        <v>0</v>
      </c>
      <c r="G664" s="10">
        <f t="shared" si="47"/>
        <v>0</v>
      </c>
      <c r="H664" s="10">
        <f t="shared" si="48"/>
        <v>2</v>
      </c>
      <c r="I664" s="12">
        <f>IF(MOD(B664,StepsEachYearQ2)=0,1+B664/StepsEachYearQ2,0)</f>
        <v>0</v>
      </c>
      <c r="M664" s="33"/>
    </row>
    <row r="665" spans="2:13" ht="13.15" thickBot="1" x14ac:dyDescent="0.4">
      <c r="B665" s="13">
        <f t="shared" si="49"/>
        <v>635</v>
      </c>
      <c r="C665" s="21">
        <f t="shared" si="45"/>
        <v>119.375</v>
      </c>
      <c r="D665" s="4">
        <f>POWER(gompertz_g,POWER(gompertz_c,InitialAgeQ2)*(gompertz_c^('Question 2'!C665-InitialAgeQ2)-1))</f>
        <v>1.240142209083744E-74</v>
      </c>
      <c r="E665" s="21">
        <f>(1+IntRateQ2)^(-(C665-InitialAgeQ2))*D665</f>
        <v>5.5137895050326067E-76</v>
      </c>
      <c r="F665" s="10">
        <f t="shared" si="46"/>
        <v>0</v>
      </c>
      <c r="G665" s="10">
        <f t="shared" si="47"/>
        <v>0</v>
      </c>
      <c r="H665" s="10">
        <f t="shared" si="48"/>
        <v>4</v>
      </c>
      <c r="I665" s="12">
        <f>IF(MOD(B665,StepsEachYearQ2)=0,1+B665/StepsEachYearQ2,0)</f>
        <v>0</v>
      </c>
      <c r="M665" s="33"/>
    </row>
    <row r="666" spans="2:13" ht="13.15" thickBot="1" x14ac:dyDescent="0.4">
      <c r="B666" s="13">
        <f t="shared" si="49"/>
        <v>636</v>
      </c>
      <c r="C666" s="21">
        <f t="shared" si="45"/>
        <v>119.5</v>
      </c>
      <c r="D666" s="4">
        <f>POWER(gompertz_g,POWER(gompertz_c,InitialAgeQ2)*(gompertz_c^('Question 2'!C666-InitialAgeQ2)-1))</f>
        <v>1.9596296889285593E-75</v>
      </c>
      <c r="E666" s="21">
        <f>(1+IntRateQ2)^(-(C666-InitialAgeQ2))*D666</f>
        <v>8.6700886137637032E-77</v>
      </c>
      <c r="F666" s="10">
        <f t="shared" si="46"/>
        <v>0</v>
      </c>
      <c r="G666" s="10">
        <f t="shared" si="47"/>
        <v>0.5</v>
      </c>
      <c r="H666" s="10">
        <f t="shared" si="48"/>
        <v>2</v>
      </c>
      <c r="I666" s="12">
        <f>IF(MOD(B666,StepsEachYearQ2)=0,1+B666/StepsEachYearQ2,0)</f>
        <v>0</v>
      </c>
      <c r="M666" s="33"/>
    </row>
    <row r="667" spans="2:13" ht="13.15" thickBot="1" x14ac:dyDescent="0.4">
      <c r="B667" s="13">
        <f t="shared" si="49"/>
        <v>637</v>
      </c>
      <c r="C667" s="21">
        <f t="shared" si="45"/>
        <v>119.625</v>
      </c>
      <c r="D667" s="4">
        <f>POWER(gompertz_g,POWER(gompertz_c,InitialAgeQ2)*(gompertz_c^('Question 2'!C667-InitialAgeQ2)-1))</f>
        <v>3.0352755708789321E-76</v>
      </c>
      <c r="E667" s="21">
        <f>(1+IntRateQ2)^(-(C667-InitialAgeQ2))*D667</f>
        <v>1.3363446671117712E-77</v>
      </c>
      <c r="F667" s="10">
        <f t="shared" si="46"/>
        <v>0</v>
      </c>
      <c r="G667" s="10">
        <f t="shared" si="47"/>
        <v>0</v>
      </c>
      <c r="H667" s="10">
        <f t="shared" si="48"/>
        <v>4</v>
      </c>
      <c r="I667" s="12">
        <f>IF(MOD(B667,StepsEachYearQ2)=0,1+B667/StepsEachYearQ2,0)</f>
        <v>0</v>
      </c>
      <c r="M667" s="33"/>
    </row>
    <row r="668" spans="2:13" ht="13.15" thickBot="1" x14ac:dyDescent="0.4">
      <c r="B668" s="13">
        <f t="shared" si="49"/>
        <v>638</v>
      </c>
      <c r="C668" s="21">
        <f t="shared" si="45"/>
        <v>119.75</v>
      </c>
      <c r="D668" s="4">
        <f>POWER(gompertz_g,POWER(gompertz_c,InitialAgeQ2)*(gompertz_c^('Question 2'!C668-InitialAgeQ2)-1))</f>
        <v>4.6073355873378996E-77</v>
      </c>
      <c r="E668" s="21">
        <f>(1+IntRateQ2)^(-(C668-InitialAgeQ2))*D668</f>
        <v>2.0185570919222115E-78</v>
      </c>
      <c r="F668" s="10">
        <f t="shared" si="46"/>
        <v>0</v>
      </c>
      <c r="G668" s="10">
        <f t="shared" si="47"/>
        <v>0</v>
      </c>
      <c r="H668" s="10">
        <f t="shared" si="48"/>
        <v>2</v>
      </c>
      <c r="I668" s="12">
        <f>IF(MOD(B668,StepsEachYearQ2)=0,1+B668/StepsEachYearQ2,0)</f>
        <v>0</v>
      </c>
      <c r="M668" s="33"/>
    </row>
    <row r="669" spans="2:13" ht="13.15" thickBot="1" x14ac:dyDescent="0.4">
      <c r="B669" s="13">
        <f t="shared" si="49"/>
        <v>639</v>
      </c>
      <c r="C669" s="21">
        <f t="shared" si="45"/>
        <v>119.875</v>
      </c>
      <c r="D669" s="4">
        <f>POWER(gompertz_g,POWER(gompertz_c,InitialAgeQ2)*(gompertz_c^('Question 2'!C669-InitialAgeQ2)-1))</f>
        <v>6.8522651715096013E-78</v>
      </c>
      <c r="E669" s="21">
        <f>(1+IntRateQ2)^(-(C669-InitialAgeQ2))*D669</f>
        <v>2.9874193152905764E-79</v>
      </c>
      <c r="F669" s="10">
        <f t="shared" si="46"/>
        <v>0</v>
      </c>
      <c r="G669" s="10">
        <f t="shared" si="47"/>
        <v>0</v>
      </c>
      <c r="H669" s="10">
        <f t="shared" si="48"/>
        <v>4</v>
      </c>
      <c r="I669" s="12">
        <f>IF(MOD(B669,StepsEachYearQ2)=0,1+B669/StepsEachYearQ2,0)</f>
        <v>0</v>
      </c>
      <c r="M669" s="33"/>
    </row>
    <row r="670" spans="2:13" ht="13.15" thickBot="1" x14ac:dyDescent="0.4">
      <c r="B670" s="14">
        <f t="shared" si="49"/>
        <v>640</v>
      </c>
      <c r="C670" s="22">
        <f t="shared" ref="C670" si="50">InitialAgeQ2+B670*StepSizeQ2</f>
        <v>120</v>
      </c>
      <c r="D670" s="4">
        <f>POWER(gompertz_g,POWER(gompertz_c,InitialAgeQ2)*(gompertz_c^('Question 2'!C670-InitialAgeQ2)-1))</f>
        <v>9.9828612004603044E-79</v>
      </c>
      <c r="E670" s="21">
        <f>(1+IntRateQ2)^(-(C670-InitialAgeQ2))*D670</f>
        <v>4.3309970599735789E-80</v>
      </c>
      <c r="F670" s="10">
        <f t="shared" si="46"/>
        <v>1</v>
      </c>
      <c r="G670" s="10">
        <f t="shared" si="47"/>
        <v>0.5</v>
      </c>
      <c r="H670" s="10">
        <f t="shared" si="48"/>
        <v>2</v>
      </c>
      <c r="I670" s="12">
        <f>IF(MOD(B670,StepsEachYearQ2)=0,1+B670/StepsEachYearQ2,0)</f>
        <v>81</v>
      </c>
      <c r="M670" s="33"/>
    </row>
    <row r="671" spans="2:13" x14ac:dyDescent="0.35">
      <c r="B671" s="13"/>
      <c r="C671" s="4"/>
      <c r="D671" s="4"/>
      <c r="E671" s="4"/>
      <c r="M671" s="33"/>
    </row>
    <row r="672" spans="2:13" x14ac:dyDescent="0.35">
      <c r="B672" s="13"/>
      <c r="C672" s="4"/>
      <c r="D672" s="4"/>
      <c r="E672" s="4"/>
      <c r="M672" s="33"/>
    </row>
    <row r="673" spans="2:13" x14ac:dyDescent="0.35">
      <c r="B673" s="13"/>
      <c r="C673" s="4"/>
      <c r="D673" s="4"/>
      <c r="E673" s="4"/>
      <c r="M673" s="33"/>
    </row>
    <row r="674" spans="2:13" ht="13.15" thickBot="1" x14ac:dyDescent="0.4">
      <c r="B674" s="14"/>
      <c r="C674" s="15"/>
      <c r="D674" s="15"/>
      <c r="E674" s="15"/>
      <c r="F674" s="74"/>
      <c r="G674" s="74"/>
      <c r="H674" s="74"/>
      <c r="I674" s="74"/>
      <c r="J674" s="74"/>
      <c r="K674" s="74"/>
      <c r="L674" s="74"/>
      <c r="M674" s="40"/>
    </row>
    <row r="675" spans="2:13" x14ac:dyDescent="0.35">
      <c r="B675" s="4"/>
      <c r="C675" s="4"/>
      <c r="D675" s="4"/>
      <c r="E675" s="4"/>
    </row>
    <row r="676" spans="2:13" x14ac:dyDescent="0.35">
      <c r="B676" s="4"/>
      <c r="C676" s="4"/>
      <c r="D676" s="4"/>
      <c r="E676" s="4"/>
    </row>
    <row r="677" spans="2:13" x14ac:dyDescent="0.35">
      <c r="B677" s="4"/>
      <c r="C677" s="4"/>
      <c r="D677" s="4"/>
      <c r="E677" s="4"/>
    </row>
    <row r="678" spans="2:13" x14ac:dyDescent="0.35">
      <c r="B678" s="4"/>
      <c r="C678" s="4"/>
      <c r="D678" s="4"/>
      <c r="E678" s="4"/>
    </row>
    <row r="679" spans="2:13" x14ac:dyDescent="0.35">
      <c r="B679" s="4"/>
      <c r="C679" s="4"/>
      <c r="D679" s="4"/>
      <c r="E679" s="4"/>
    </row>
    <row r="680" spans="2:13" x14ac:dyDescent="0.35">
      <c r="B680" s="4"/>
      <c r="C680" s="4"/>
      <c r="D680" s="4"/>
      <c r="E680" s="4"/>
    </row>
    <row r="681" spans="2:13" x14ac:dyDescent="0.35">
      <c r="B681" s="4"/>
      <c r="C681" s="4"/>
      <c r="D681" s="4"/>
      <c r="E681" s="4"/>
    </row>
    <row r="682" spans="2:13" x14ac:dyDescent="0.35">
      <c r="B682" s="4"/>
      <c r="C682" s="4"/>
      <c r="D682" s="4"/>
      <c r="E682" s="4"/>
    </row>
    <row r="683" spans="2:13" x14ac:dyDescent="0.35">
      <c r="B683" s="4"/>
      <c r="C683" s="4"/>
      <c r="D683" s="4"/>
      <c r="E683" s="4"/>
    </row>
    <row r="684" spans="2:13" x14ac:dyDescent="0.35">
      <c r="B684" s="4"/>
      <c r="C684" s="4"/>
      <c r="D684" s="4"/>
      <c r="E684" s="4"/>
    </row>
    <row r="685" spans="2:13" x14ac:dyDescent="0.35">
      <c r="B685" s="4"/>
      <c r="C685" s="4"/>
      <c r="D685" s="4"/>
      <c r="E685" s="4"/>
    </row>
    <row r="686" spans="2:13" x14ac:dyDescent="0.35">
      <c r="B686" s="4"/>
      <c r="C686" s="4"/>
      <c r="D686" s="4"/>
      <c r="E686" s="4"/>
    </row>
    <row r="687" spans="2:13" x14ac:dyDescent="0.35">
      <c r="B687" s="4"/>
      <c r="C687" s="4"/>
      <c r="D687" s="4"/>
      <c r="E687" s="4"/>
    </row>
    <row r="688" spans="2:13" x14ac:dyDescent="0.35">
      <c r="B688" s="4"/>
      <c r="C688" s="4"/>
      <c r="D688" s="4"/>
      <c r="E688" s="4"/>
    </row>
    <row r="689" spans="2:5" x14ac:dyDescent="0.35">
      <c r="B689" s="4"/>
      <c r="C689" s="4"/>
      <c r="D689" s="4"/>
      <c r="E689" s="4"/>
    </row>
    <row r="690" spans="2:5" x14ac:dyDescent="0.35">
      <c r="B690" s="4"/>
      <c r="C690" s="4"/>
      <c r="D690" s="4"/>
      <c r="E690" s="4"/>
    </row>
    <row r="691" spans="2:5" x14ac:dyDescent="0.35">
      <c r="B691" s="4"/>
      <c r="C691" s="4"/>
      <c r="D691" s="4"/>
      <c r="E691" s="4"/>
    </row>
    <row r="692" spans="2:5" x14ac:dyDescent="0.35">
      <c r="B692" s="4"/>
      <c r="C692" s="4"/>
      <c r="D692" s="4"/>
      <c r="E692" s="4"/>
    </row>
    <row r="693" spans="2:5" x14ac:dyDescent="0.35">
      <c r="B693" s="4"/>
      <c r="C693" s="4"/>
      <c r="D693" s="4"/>
      <c r="E693" s="4"/>
    </row>
    <row r="694" spans="2:5" x14ac:dyDescent="0.35">
      <c r="B694" s="4"/>
      <c r="C694" s="4"/>
      <c r="D694" s="4"/>
      <c r="E694" s="4"/>
    </row>
    <row r="695" spans="2:5" x14ac:dyDescent="0.35">
      <c r="B695" s="4"/>
      <c r="C695" s="4"/>
      <c r="D695" s="4"/>
      <c r="E695" s="4"/>
    </row>
    <row r="696" spans="2:5" x14ac:dyDescent="0.35">
      <c r="B696" s="4"/>
      <c r="C696" s="4"/>
      <c r="D696" s="4"/>
      <c r="E696" s="4"/>
    </row>
    <row r="697" spans="2:5" x14ac:dyDescent="0.35">
      <c r="B697" s="4"/>
      <c r="C697" s="4"/>
      <c r="D697" s="4"/>
      <c r="E697" s="4"/>
    </row>
    <row r="698" spans="2:5" x14ac:dyDescent="0.35">
      <c r="B698" s="4"/>
      <c r="C698" s="4"/>
      <c r="D698" s="4"/>
      <c r="E698" s="4"/>
    </row>
    <row r="699" spans="2:5" x14ac:dyDescent="0.35">
      <c r="B699" s="4"/>
      <c r="C699" s="4"/>
      <c r="D699" s="4"/>
      <c r="E699" s="4"/>
    </row>
    <row r="700" spans="2:5" x14ac:dyDescent="0.35">
      <c r="B700" s="4"/>
      <c r="C700" s="4"/>
      <c r="D700" s="4"/>
      <c r="E700" s="4"/>
    </row>
    <row r="701" spans="2:5" x14ac:dyDescent="0.35">
      <c r="B701" s="4"/>
      <c r="C701" s="4"/>
      <c r="D701" s="4"/>
      <c r="E701" s="4"/>
    </row>
    <row r="702" spans="2:5" x14ac:dyDescent="0.35">
      <c r="B702" s="4"/>
      <c r="C702" s="4"/>
      <c r="D702" s="4"/>
      <c r="E702" s="4"/>
    </row>
    <row r="703" spans="2:5" x14ac:dyDescent="0.35">
      <c r="B703" s="4"/>
      <c r="C703" s="4"/>
      <c r="D703" s="4"/>
      <c r="E703" s="4"/>
    </row>
    <row r="704" spans="2:5" x14ac:dyDescent="0.35">
      <c r="B704" s="4"/>
      <c r="C704" s="4"/>
      <c r="D704" s="4"/>
      <c r="E704" s="4"/>
    </row>
    <row r="705" spans="2:15" x14ac:dyDescent="0.35">
      <c r="B705" s="4"/>
      <c r="C705" s="4"/>
      <c r="D705" s="4"/>
      <c r="E705" s="4"/>
    </row>
    <row r="706" spans="2:15" x14ac:dyDescent="0.35">
      <c r="B706" s="4"/>
      <c r="C706" s="4"/>
      <c r="D706" s="4"/>
      <c r="E706" s="4"/>
    </row>
    <row r="707" spans="2:15" x14ac:dyDescent="0.35">
      <c r="B707" s="4"/>
      <c r="C707" s="4"/>
      <c r="D707" s="4"/>
      <c r="E707" s="4"/>
    </row>
    <row r="708" spans="2:15" x14ac:dyDescent="0.35">
      <c r="B708" s="4"/>
      <c r="C708" s="4"/>
      <c r="D708" s="4"/>
      <c r="E708" s="4"/>
    </row>
    <row r="709" spans="2:15" x14ac:dyDescent="0.35">
      <c r="B709" s="4"/>
      <c r="C709" s="4"/>
      <c r="D709" s="4"/>
      <c r="E709" s="4"/>
    </row>
    <row r="710" spans="2:15" x14ac:dyDescent="0.35">
      <c r="B710" s="4"/>
      <c r="C710" s="4"/>
      <c r="D710" s="4"/>
      <c r="E710" s="4"/>
    </row>
    <row r="711" spans="2:15" x14ac:dyDescent="0.35">
      <c r="B711" s="4"/>
      <c r="C711" s="4"/>
      <c r="D711" s="4"/>
      <c r="E711" s="4"/>
    </row>
    <row r="712" spans="2:15" x14ac:dyDescent="0.35">
      <c r="B712" s="4"/>
      <c r="C712" s="4"/>
      <c r="D712" s="4"/>
      <c r="E712" s="4"/>
    </row>
    <row r="713" spans="2:15" x14ac:dyDescent="0.35">
      <c r="B713" s="4"/>
      <c r="C713" s="4"/>
      <c r="D713" s="4"/>
      <c r="E713" s="4"/>
    </row>
    <row r="714" spans="2:15" x14ac:dyDescent="0.35">
      <c r="L714" s="4"/>
      <c r="M714" s="4"/>
      <c r="N714" s="4"/>
      <c r="O714" s="4"/>
    </row>
    <row r="715" spans="2:15" x14ac:dyDescent="0.35">
      <c r="L715" s="4"/>
      <c r="M715" s="4"/>
      <c r="N715" s="4"/>
      <c r="O715" s="4"/>
    </row>
    <row r="716" spans="2:15" x14ac:dyDescent="0.35">
      <c r="L716" s="4"/>
      <c r="M716" s="4"/>
      <c r="N716" s="4"/>
      <c r="O716" s="4"/>
    </row>
    <row r="717" spans="2:15" x14ac:dyDescent="0.35">
      <c r="L717" s="4"/>
      <c r="M717" s="4"/>
      <c r="N717" s="4"/>
      <c r="O717" s="4"/>
    </row>
    <row r="718" spans="2:15" x14ac:dyDescent="0.35">
      <c r="L718" s="4"/>
      <c r="M718" s="4"/>
      <c r="N718" s="4"/>
      <c r="O718" s="4"/>
    </row>
    <row r="719" spans="2:15" x14ac:dyDescent="0.35">
      <c r="L719" s="4"/>
      <c r="M719" s="4"/>
      <c r="N719" s="4"/>
      <c r="O719" s="4"/>
    </row>
    <row r="720" spans="2:15" x14ac:dyDescent="0.35">
      <c r="L720" s="4"/>
      <c r="M720" s="4"/>
      <c r="N720" s="4"/>
      <c r="O720" s="4"/>
    </row>
    <row r="721" spans="12:15" x14ac:dyDescent="0.35">
      <c r="L721" s="4"/>
      <c r="M721" s="4"/>
      <c r="N721" s="4"/>
      <c r="O721" s="4"/>
    </row>
    <row r="722" spans="12:15" x14ac:dyDescent="0.35">
      <c r="L722" s="4"/>
      <c r="M722" s="4"/>
      <c r="N722" s="4"/>
      <c r="O722" s="4"/>
    </row>
    <row r="723" spans="12:15" x14ac:dyDescent="0.35">
      <c r="L723" s="4"/>
      <c r="M723" s="4"/>
      <c r="N723" s="4"/>
      <c r="O723" s="4"/>
    </row>
    <row r="724" spans="12:15" x14ac:dyDescent="0.35">
      <c r="L724" s="4"/>
      <c r="M724" s="4"/>
      <c r="N724" s="4"/>
      <c r="O724" s="4"/>
    </row>
    <row r="725" spans="12:15" x14ac:dyDescent="0.35">
      <c r="L725" s="4"/>
      <c r="M725" s="4"/>
      <c r="N725" s="4"/>
      <c r="O725" s="4"/>
    </row>
    <row r="726" spans="12:15" x14ac:dyDescent="0.35">
      <c r="L726" s="4"/>
      <c r="M726" s="4"/>
      <c r="N726" s="4"/>
      <c r="O726" s="4"/>
    </row>
    <row r="727" spans="12:15" x14ac:dyDescent="0.35">
      <c r="L727" s="4"/>
      <c r="M727" s="4"/>
      <c r="N727" s="4"/>
      <c r="O727" s="4"/>
    </row>
    <row r="728" spans="12:15" x14ac:dyDescent="0.35">
      <c r="L728" s="4"/>
      <c r="M728" s="4"/>
      <c r="N728" s="4"/>
      <c r="O728" s="4"/>
    </row>
    <row r="729" spans="12:15" x14ac:dyDescent="0.35">
      <c r="L729" s="4"/>
      <c r="M729" s="4"/>
      <c r="N729" s="4"/>
      <c r="O729" s="4"/>
    </row>
    <row r="730" spans="12:15" x14ac:dyDescent="0.35">
      <c r="L730" s="4"/>
      <c r="M730" s="4"/>
      <c r="N730" s="4"/>
      <c r="O730" s="4"/>
    </row>
    <row r="731" spans="12:15" x14ac:dyDescent="0.35">
      <c r="L731" s="4"/>
      <c r="M731" s="4"/>
      <c r="N731" s="4"/>
      <c r="O731" s="4"/>
    </row>
    <row r="732" spans="12:15" x14ac:dyDescent="0.35">
      <c r="L732" s="4"/>
      <c r="M732" s="4"/>
      <c r="N732" s="4"/>
      <c r="O732" s="4"/>
    </row>
    <row r="733" spans="12:15" x14ac:dyDescent="0.35">
      <c r="L733" s="4"/>
      <c r="M733" s="4"/>
      <c r="N733" s="4"/>
      <c r="O733" s="4"/>
    </row>
    <row r="734" spans="12:15" x14ac:dyDescent="0.35">
      <c r="L734" s="4"/>
      <c r="M734" s="4"/>
      <c r="N734" s="4"/>
      <c r="O734" s="4"/>
    </row>
    <row r="735" spans="12:15" x14ac:dyDescent="0.35">
      <c r="L735" s="4"/>
      <c r="M735" s="4"/>
      <c r="N735" s="4"/>
      <c r="O735" s="4"/>
    </row>
    <row r="736" spans="12:15" x14ac:dyDescent="0.35">
      <c r="L736" s="4"/>
      <c r="M736" s="4"/>
      <c r="N736" s="4"/>
      <c r="O736" s="4"/>
    </row>
    <row r="737" spans="12:15" x14ac:dyDescent="0.35">
      <c r="L737" s="4"/>
      <c r="M737" s="4"/>
      <c r="N737" s="4"/>
      <c r="O737" s="4"/>
    </row>
    <row r="738" spans="12:15" x14ac:dyDescent="0.35">
      <c r="L738" s="4"/>
      <c r="M738" s="4"/>
      <c r="N738" s="4"/>
      <c r="O738" s="4"/>
    </row>
    <row r="739" spans="12:15" x14ac:dyDescent="0.35">
      <c r="L739" s="4"/>
      <c r="M739" s="4"/>
      <c r="N739" s="4"/>
      <c r="O739" s="4"/>
    </row>
    <row r="740" spans="12:15" x14ac:dyDescent="0.35">
      <c r="L740" s="4"/>
      <c r="M740" s="4"/>
      <c r="N740" s="4"/>
      <c r="O740" s="4"/>
    </row>
    <row r="741" spans="12:15" x14ac:dyDescent="0.35">
      <c r="L741" s="4"/>
      <c r="M741" s="4"/>
      <c r="N741" s="4"/>
      <c r="O741" s="4"/>
    </row>
    <row r="742" spans="12:15" x14ac:dyDescent="0.35">
      <c r="L742" s="4"/>
      <c r="M742" s="4"/>
      <c r="N742" s="4"/>
      <c r="O742" s="4"/>
    </row>
    <row r="743" spans="12:15" x14ac:dyDescent="0.35">
      <c r="L743" s="4"/>
      <c r="M743" s="4"/>
      <c r="N743" s="4"/>
      <c r="O743" s="4"/>
    </row>
    <row r="744" spans="12:15" x14ac:dyDescent="0.35">
      <c r="L744" s="4"/>
      <c r="M744" s="4"/>
      <c r="N744" s="4"/>
      <c r="O744" s="4"/>
    </row>
    <row r="745" spans="12:15" x14ac:dyDescent="0.35">
      <c r="L745" s="4"/>
      <c r="M745" s="4"/>
      <c r="N745" s="4"/>
      <c r="O745" s="4"/>
    </row>
    <row r="746" spans="12:15" x14ac:dyDescent="0.35">
      <c r="L746" s="4"/>
      <c r="M746" s="4"/>
      <c r="N746" s="4"/>
      <c r="O746" s="4"/>
    </row>
    <row r="747" spans="12:15" x14ac:dyDescent="0.35">
      <c r="L747" s="4"/>
      <c r="M747" s="4"/>
      <c r="N747" s="4"/>
      <c r="O747" s="4"/>
    </row>
    <row r="748" spans="12:15" x14ac:dyDescent="0.35">
      <c r="L748" s="4"/>
      <c r="M748" s="4"/>
      <c r="N748" s="4"/>
      <c r="O748" s="4"/>
    </row>
    <row r="749" spans="12:15" x14ac:dyDescent="0.35">
      <c r="L749" s="4"/>
      <c r="M749" s="4"/>
      <c r="N749" s="4"/>
      <c r="O749" s="4"/>
    </row>
    <row r="750" spans="12:15" x14ac:dyDescent="0.35">
      <c r="L750" s="4"/>
      <c r="M750" s="4"/>
      <c r="N750" s="4"/>
      <c r="O750" s="4"/>
    </row>
    <row r="751" spans="12:15" x14ac:dyDescent="0.35">
      <c r="L751" s="4"/>
      <c r="M751" s="4"/>
      <c r="N751" s="4"/>
      <c r="O751" s="4"/>
    </row>
    <row r="752" spans="12:15" x14ac:dyDescent="0.35">
      <c r="L752" s="4"/>
      <c r="M752" s="4"/>
      <c r="N752" s="4"/>
      <c r="O752" s="4"/>
    </row>
    <row r="753" spans="12:15" x14ac:dyDescent="0.35">
      <c r="L753" s="4"/>
      <c r="M753" s="4"/>
      <c r="N753" s="4"/>
      <c r="O753" s="4"/>
    </row>
    <row r="754" spans="12:15" x14ac:dyDescent="0.35">
      <c r="L754" s="4"/>
      <c r="M754" s="4"/>
      <c r="N754" s="4"/>
      <c r="O754" s="4"/>
    </row>
    <row r="755" spans="12:15" x14ac:dyDescent="0.35">
      <c r="L755" s="4"/>
      <c r="M755" s="4"/>
      <c r="N755" s="4"/>
      <c r="O755" s="4"/>
    </row>
    <row r="756" spans="12:15" x14ac:dyDescent="0.35">
      <c r="L756" s="4"/>
      <c r="M756" s="4"/>
      <c r="N756" s="4"/>
      <c r="O756" s="4"/>
    </row>
    <row r="757" spans="12:15" x14ac:dyDescent="0.35">
      <c r="L757" s="4"/>
      <c r="M757" s="4"/>
      <c r="N757" s="4"/>
      <c r="O757" s="4"/>
    </row>
    <row r="758" spans="12:15" x14ac:dyDescent="0.35">
      <c r="L758" s="4"/>
      <c r="M758" s="4"/>
      <c r="N758" s="4"/>
      <c r="O758" s="4"/>
    </row>
    <row r="759" spans="12:15" x14ac:dyDescent="0.35">
      <c r="L759" s="4"/>
      <c r="M759" s="4"/>
      <c r="N759" s="4"/>
      <c r="O759" s="4"/>
    </row>
    <row r="760" spans="12:15" x14ac:dyDescent="0.35">
      <c r="L760" s="4"/>
      <c r="M760" s="4"/>
      <c r="N760" s="4"/>
      <c r="O760" s="4"/>
    </row>
    <row r="761" spans="12:15" x14ac:dyDescent="0.35">
      <c r="L761" s="4"/>
      <c r="M761" s="4"/>
      <c r="N761" s="4"/>
      <c r="O761" s="4"/>
    </row>
    <row r="762" spans="12:15" x14ac:dyDescent="0.35">
      <c r="L762" s="4"/>
      <c r="M762" s="4"/>
      <c r="N762" s="4"/>
      <c r="O762" s="4"/>
    </row>
    <row r="763" spans="12:15" x14ac:dyDescent="0.35">
      <c r="L763" s="4"/>
      <c r="M763" s="4"/>
      <c r="N763" s="4"/>
      <c r="O763" s="4"/>
    </row>
    <row r="764" spans="12:15" x14ac:dyDescent="0.35">
      <c r="L764" s="4"/>
      <c r="M764" s="4"/>
      <c r="N764" s="4"/>
      <c r="O764" s="4"/>
    </row>
    <row r="765" spans="12:15" x14ac:dyDescent="0.35">
      <c r="L765" s="4"/>
      <c r="M765" s="4"/>
      <c r="N765" s="4"/>
      <c r="O765" s="4"/>
    </row>
    <row r="766" spans="12:15" x14ac:dyDescent="0.35">
      <c r="L766" s="4"/>
      <c r="M766" s="4"/>
      <c r="N766" s="4"/>
      <c r="O766" s="4"/>
    </row>
    <row r="767" spans="12:15" x14ac:dyDescent="0.35">
      <c r="L767" s="4"/>
      <c r="M767" s="4"/>
      <c r="N767" s="4"/>
      <c r="O767" s="4"/>
    </row>
    <row r="768" spans="12:15" x14ac:dyDescent="0.35">
      <c r="L768" s="4"/>
      <c r="M768" s="4"/>
      <c r="N768" s="4"/>
      <c r="O768" s="4"/>
    </row>
    <row r="769" spans="12:15" x14ac:dyDescent="0.35">
      <c r="L769" s="4"/>
      <c r="M769" s="4"/>
      <c r="N769" s="4"/>
      <c r="O769" s="4"/>
    </row>
    <row r="770" spans="12:15" x14ac:dyDescent="0.35">
      <c r="L770" s="4"/>
      <c r="M770" s="4"/>
      <c r="N770" s="4"/>
      <c r="O770" s="4"/>
    </row>
    <row r="771" spans="12:15" x14ac:dyDescent="0.35">
      <c r="L771" s="4"/>
      <c r="M771" s="4"/>
      <c r="N771" s="4"/>
      <c r="O771" s="4"/>
    </row>
    <row r="772" spans="12:15" x14ac:dyDescent="0.35">
      <c r="L772" s="4"/>
      <c r="M772" s="4"/>
      <c r="N772" s="4"/>
      <c r="O772" s="4"/>
    </row>
    <row r="773" spans="12:15" x14ac:dyDescent="0.35">
      <c r="L773" s="4"/>
      <c r="M773" s="4"/>
      <c r="N773" s="4"/>
      <c r="O773" s="4"/>
    </row>
    <row r="774" spans="12:15" x14ac:dyDescent="0.35">
      <c r="L774" s="4"/>
      <c r="M774" s="4"/>
      <c r="N774" s="4"/>
      <c r="O774" s="4"/>
    </row>
    <row r="775" spans="12:15" x14ac:dyDescent="0.35">
      <c r="L775" s="4"/>
      <c r="M775" s="4"/>
      <c r="N775" s="4"/>
      <c r="O775" s="4"/>
    </row>
    <row r="776" spans="12:15" x14ac:dyDescent="0.35">
      <c r="L776" s="4"/>
      <c r="M776" s="4"/>
      <c r="N776" s="4"/>
      <c r="O776" s="4"/>
    </row>
    <row r="777" spans="12:15" x14ac:dyDescent="0.35">
      <c r="L777" s="4"/>
      <c r="M777" s="4"/>
      <c r="N777" s="4"/>
      <c r="O777" s="4"/>
    </row>
    <row r="778" spans="12:15" x14ac:dyDescent="0.35">
      <c r="L778" s="4"/>
      <c r="M778" s="4"/>
      <c r="N778" s="4"/>
      <c r="O778" s="4"/>
    </row>
    <row r="779" spans="12:15" x14ac:dyDescent="0.35">
      <c r="L779" s="4"/>
      <c r="M779" s="4"/>
      <c r="N779" s="4"/>
      <c r="O779" s="4"/>
    </row>
    <row r="780" spans="12:15" x14ac:dyDescent="0.35">
      <c r="L780" s="4"/>
      <c r="M780" s="4"/>
      <c r="N780" s="4"/>
      <c r="O780" s="4"/>
    </row>
    <row r="781" spans="12:15" x14ac:dyDescent="0.35">
      <c r="L781" s="4"/>
      <c r="M781" s="4"/>
      <c r="N781" s="4"/>
      <c r="O781" s="4"/>
    </row>
    <row r="782" spans="12:15" x14ac:dyDescent="0.35">
      <c r="L782" s="4"/>
      <c r="M782" s="4"/>
      <c r="N782" s="4"/>
      <c r="O782" s="4"/>
    </row>
    <row r="783" spans="12:15" x14ac:dyDescent="0.35">
      <c r="L783" s="4"/>
      <c r="M783" s="4"/>
      <c r="N783" s="4"/>
      <c r="O783" s="4"/>
    </row>
    <row r="784" spans="12:15" x14ac:dyDescent="0.35">
      <c r="L784" s="4"/>
      <c r="M784" s="4"/>
      <c r="N784" s="4"/>
      <c r="O784" s="4"/>
    </row>
    <row r="785" spans="12:15" x14ac:dyDescent="0.35">
      <c r="L785" s="4"/>
      <c r="M785" s="4"/>
      <c r="N785" s="4"/>
      <c r="O785" s="4"/>
    </row>
    <row r="786" spans="12:15" x14ac:dyDescent="0.35">
      <c r="L786" s="4"/>
      <c r="M786" s="4"/>
      <c r="N786" s="4"/>
      <c r="O786" s="4"/>
    </row>
    <row r="787" spans="12:15" x14ac:dyDescent="0.35">
      <c r="L787" s="4"/>
      <c r="M787" s="4"/>
      <c r="N787" s="4"/>
      <c r="O787" s="4"/>
    </row>
    <row r="788" spans="12:15" x14ac:dyDescent="0.35">
      <c r="L788" s="4"/>
      <c r="M788" s="4"/>
      <c r="N788" s="4"/>
      <c r="O788" s="4"/>
    </row>
    <row r="789" spans="12:15" x14ac:dyDescent="0.35">
      <c r="L789" s="4"/>
      <c r="M789" s="4"/>
      <c r="N789" s="4"/>
      <c r="O789" s="4"/>
    </row>
    <row r="790" spans="12:15" x14ac:dyDescent="0.35">
      <c r="L790" s="4"/>
      <c r="M790" s="4"/>
      <c r="N790" s="4"/>
      <c r="O790" s="4"/>
    </row>
    <row r="791" spans="12:15" x14ac:dyDescent="0.35">
      <c r="L791" s="4"/>
      <c r="M791" s="4"/>
      <c r="N791" s="4"/>
      <c r="O791" s="4"/>
    </row>
    <row r="792" spans="12:15" x14ac:dyDescent="0.35">
      <c r="L792" s="4"/>
      <c r="M792" s="4"/>
      <c r="N792" s="4"/>
      <c r="O792" s="4"/>
    </row>
    <row r="793" spans="12:15" x14ac:dyDescent="0.35">
      <c r="L793" s="4"/>
      <c r="M793" s="4"/>
      <c r="N793" s="4"/>
      <c r="O793" s="4"/>
    </row>
    <row r="794" spans="12:15" x14ac:dyDescent="0.35">
      <c r="L794" s="4"/>
      <c r="M794" s="4"/>
      <c r="N794" s="4"/>
      <c r="O794" s="4"/>
    </row>
    <row r="795" spans="12:15" x14ac:dyDescent="0.35">
      <c r="L795" s="4"/>
      <c r="M795" s="4"/>
      <c r="N795" s="4"/>
      <c r="O795" s="4"/>
    </row>
    <row r="796" spans="12:15" x14ac:dyDescent="0.35">
      <c r="L796" s="4"/>
      <c r="M796" s="4"/>
      <c r="N796" s="4"/>
      <c r="O796" s="4"/>
    </row>
    <row r="797" spans="12:15" x14ac:dyDescent="0.35">
      <c r="L797" s="4"/>
      <c r="M797" s="4"/>
      <c r="N797" s="4"/>
      <c r="O797" s="4"/>
    </row>
    <row r="798" spans="12:15" x14ac:dyDescent="0.35">
      <c r="L798" s="4"/>
      <c r="M798" s="4"/>
      <c r="N798" s="4"/>
      <c r="O798" s="4"/>
    </row>
    <row r="799" spans="12:15" x14ac:dyDescent="0.35">
      <c r="L799" s="4"/>
      <c r="M799" s="4"/>
      <c r="N799" s="4"/>
      <c r="O799" s="4"/>
    </row>
    <row r="800" spans="12:15" x14ac:dyDescent="0.35">
      <c r="L800" s="4"/>
      <c r="M800" s="4"/>
      <c r="N800" s="4"/>
      <c r="O800" s="4"/>
    </row>
    <row r="801" spans="12:15" x14ac:dyDescent="0.35">
      <c r="L801" s="4"/>
      <c r="M801" s="4"/>
      <c r="N801" s="4"/>
      <c r="O801" s="4"/>
    </row>
    <row r="802" spans="12:15" x14ac:dyDescent="0.35">
      <c r="L802" s="4"/>
      <c r="M802" s="4"/>
      <c r="N802" s="4"/>
      <c r="O802" s="4"/>
    </row>
    <row r="803" spans="12:15" x14ac:dyDescent="0.35">
      <c r="L803" s="4"/>
      <c r="M803" s="4"/>
      <c r="N803" s="4"/>
      <c r="O803" s="4"/>
    </row>
    <row r="804" spans="12:15" x14ac:dyDescent="0.35">
      <c r="L804" s="4"/>
      <c r="M804" s="4"/>
      <c r="N804" s="4"/>
      <c r="O804" s="4"/>
    </row>
    <row r="805" spans="12:15" x14ac:dyDescent="0.35">
      <c r="L805" s="4"/>
      <c r="M805" s="4"/>
      <c r="N805" s="4"/>
      <c r="O805" s="4"/>
    </row>
    <row r="806" spans="12:15" x14ac:dyDescent="0.35">
      <c r="L806" s="4"/>
      <c r="M806" s="4"/>
      <c r="N806" s="4"/>
      <c r="O806" s="4"/>
    </row>
    <row r="807" spans="12:15" x14ac:dyDescent="0.35">
      <c r="L807" s="4"/>
      <c r="M807" s="4"/>
      <c r="N807" s="4"/>
      <c r="O807" s="4"/>
    </row>
    <row r="808" spans="12:15" x14ac:dyDescent="0.35">
      <c r="L808" s="4"/>
      <c r="M808" s="4"/>
      <c r="N808" s="4"/>
      <c r="O808" s="4"/>
    </row>
    <row r="809" spans="12:15" x14ac:dyDescent="0.35">
      <c r="L809" s="4"/>
      <c r="M809" s="4"/>
      <c r="N809" s="4"/>
      <c r="O809" s="4"/>
    </row>
    <row r="810" spans="12:15" x14ac:dyDescent="0.35">
      <c r="L810" s="4"/>
      <c r="M810" s="4"/>
      <c r="N810" s="4"/>
      <c r="O810" s="4"/>
    </row>
    <row r="811" spans="12:15" x14ac:dyDescent="0.35">
      <c r="L811" s="4"/>
      <c r="M811" s="4"/>
      <c r="N811" s="4"/>
      <c r="O811" s="4"/>
    </row>
    <row r="812" spans="12:15" x14ac:dyDescent="0.35">
      <c r="L812" s="4"/>
      <c r="M812" s="4"/>
      <c r="N812" s="4"/>
      <c r="O812" s="4"/>
    </row>
    <row r="813" spans="12:15" x14ac:dyDescent="0.35">
      <c r="L813" s="4"/>
      <c r="M813" s="4"/>
      <c r="N813" s="4"/>
      <c r="O813" s="4"/>
    </row>
    <row r="814" spans="12:15" x14ac:dyDescent="0.35">
      <c r="L814" s="4"/>
      <c r="M814" s="4"/>
      <c r="N814" s="4"/>
      <c r="O814" s="4"/>
    </row>
    <row r="815" spans="12:15" x14ac:dyDescent="0.35">
      <c r="L815" s="4"/>
      <c r="M815" s="4"/>
      <c r="N815" s="4"/>
      <c r="O815" s="4"/>
    </row>
    <row r="816" spans="12:15" x14ac:dyDescent="0.35">
      <c r="L816" s="4"/>
      <c r="M816" s="4"/>
      <c r="N816" s="4"/>
      <c r="O816" s="4"/>
    </row>
    <row r="817" spans="12:15" x14ac:dyDescent="0.35">
      <c r="L817" s="4"/>
      <c r="M817" s="4"/>
      <c r="N817" s="4"/>
      <c r="O817" s="4"/>
    </row>
    <row r="818" spans="12:15" x14ac:dyDescent="0.35">
      <c r="L818" s="4"/>
      <c r="M818" s="4"/>
      <c r="N818" s="4"/>
      <c r="O818" s="4"/>
    </row>
    <row r="819" spans="12:15" x14ac:dyDescent="0.35">
      <c r="L819" s="4"/>
      <c r="M819" s="4"/>
      <c r="N819" s="4"/>
      <c r="O819" s="4"/>
    </row>
    <row r="820" spans="12:15" x14ac:dyDescent="0.35">
      <c r="L820" s="4"/>
      <c r="M820" s="4"/>
      <c r="N820" s="4"/>
      <c r="O820" s="4"/>
    </row>
    <row r="821" spans="12:15" x14ac:dyDescent="0.35">
      <c r="L821" s="4"/>
      <c r="M821" s="4"/>
      <c r="N821" s="4"/>
      <c r="O821" s="4"/>
    </row>
    <row r="822" spans="12:15" x14ac:dyDescent="0.35">
      <c r="L822" s="4"/>
      <c r="M822" s="4"/>
      <c r="N822" s="4"/>
      <c r="O822" s="4"/>
    </row>
    <row r="823" spans="12:15" x14ac:dyDescent="0.35">
      <c r="L823" s="4"/>
      <c r="M823" s="4"/>
      <c r="N823" s="4"/>
      <c r="O823" s="4"/>
    </row>
    <row r="824" spans="12:15" x14ac:dyDescent="0.35">
      <c r="L824" s="4"/>
      <c r="M824" s="4"/>
      <c r="N824" s="4"/>
      <c r="O824" s="4"/>
    </row>
    <row r="825" spans="12:15" x14ac:dyDescent="0.35">
      <c r="L825" s="4"/>
      <c r="M825" s="4"/>
      <c r="N825" s="4"/>
      <c r="O825" s="4"/>
    </row>
    <row r="826" spans="12:15" x14ac:dyDescent="0.35">
      <c r="L826" s="4"/>
      <c r="M826" s="4"/>
      <c r="N826" s="4"/>
      <c r="O826" s="4"/>
    </row>
    <row r="827" spans="12:15" x14ac:dyDescent="0.35">
      <c r="L827" s="4"/>
      <c r="M827" s="4"/>
      <c r="N827" s="4"/>
      <c r="O827" s="4"/>
    </row>
    <row r="828" spans="12:15" x14ac:dyDescent="0.35">
      <c r="L828" s="4"/>
      <c r="M828" s="4"/>
      <c r="N828" s="4"/>
      <c r="O828" s="4"/>
    </row>
    <row r="829" spans="12:15" x14ac:dyDescent="0.35">
      <c r="L829" s="4"/>
      <c r="M829" s="4"/>
      <c r="N829" s="4"/>
      <c r="O829" s="4"/>
    </row>
    <row r="830" spans="12:15" x14ac:dyDescent="0.35">
      <c r="L830" s="4"/>
      <c r="M830" s="4"/>
      <c r="N830" s="4"/>
      <c r="O830" s="4"/>
    </row>
    <row r="831" spans="12:15" x14ac:dyDescent="0.35">
      <c r="L831" s="4"/>
      <c r="M831" s="4"/>
      <c r="N831" s="4"/>
      <c r="O831" s="4"/>
    </row>
    <row r="832" spans="12:15" x14ac:dyDescent="0.35">
      <c r="L832" s="4"/>
      <c r="M832" s="4"/>
      <c r="N832" s="4"/>
      <c r="O832" s="4"/>
    </row>
    <row r="833" spans="12:15" x14ac:dyDescent="0.35">
      <c r="L833" s="4"/>
      <c r="M833" s="4"/>
      <c r="N833" s="4"/>
      <c r="O833" s="4"/>
    </row>
    <row r="834" spans="12:15" x14ac:dyDescent="0.35">
      <c r="L834" s="4"/>
      <c r="M834" s="4"/>
      <c r="N834" s="4"/>
      <c r="O834" s="4"/>
    </row>
    <row r="835" spans="12:15" x14ac:dyDescent="0.35">
      <c r="L835" s="4"/>
      <c r="M835" s="4"/>
      <c r="N835" s="4"/>
      <c r="O835" s="4"/>
    </row>
    <row r="836" spans="12:15" x14ac:dyDescent="0.35">
      <c r="L836" s="4"/>
      <c r="M836" s="4"/>
      <c r="N836" s="4"/>
      <c r="O836" s="4"/>
    </row>
    <row r="837" spans="12:15" x14ac:dyDescent="0.35">
      <c r="L837" s="4"/>
      <c r="M837" s="4"/>
      <c r="N837" s="4"/>
      <c r="O837" s="4"/>
    </row>
    <row r="838" spans="12:15" x14ac:dyDescent="0.35">
      <c r="L838" s="4"/>
      <c r="M838" s="4"/>
      <c r="N838" s="4"/>
      <c r="O838" s="4"/>
    </row>
    <row r="839" spans="12:15" x14ac:dyDescent="0.35">
      <c r="L839" s="4"/>
      <c r="M839" s="4"/>
      <c r="N839" s="4"/>
      <c r="O839" s="4"/>
    </row>
    <row r="840" spans="12:15" x14ac:dyDescent="0.35">
      <c r="L840" s="4"/>
      <c r="M840" s="4"/>
      <c r="N840" s="4"/>
      <c r="O840" s="4"/>
    </row>
    <row r="841" spans="12:15" x14ac:dyDescent="0.35">
      <c r="L841" s="4"/>
      <c r="M841" s="4"/>
      <c r="N841" s="4"/>
      <c r="O841" s="4"/>
    </row>
    <row r="842" spans="12:15" x14ac:dyDescent="0.35">
      <c r="L842" s="4"/>
      <c r="M842" s="4"/>
      <c r="N842" s="4"/>
      <c r="O842" s="4"/>
    </row>
    <row r="843" spans="12:15" x14ac:dyDescent="0.35">
      <c r="L843" s="4"/>
      <c r="M843" s="4"/>
      <c r="N843" s="4"/>
      <c r="O843" s="4"/>
    </row>
    <row r="844" spans="12:15" x14ac:dyDescent="0.35">
      <c r="L844" s="4"/>
      <c r="M844" s="4"/>
      <c r="N844" s="4"/>
      <c r="O844" s="4"/>
    </row>
    <row r="845" spans="12:15" x14ac:dyDescent="0.35">
      <c r="L845" s="4"/>
      <c r="M845" s="4"/>
      <c r="N845" s="4"/>
      <c r="O845" s="4"/>
    </row>
    <row r="846" spans="12:15" x14ac:dyDescent="0.35">
      <c r="L846" s="4"/>
      <c r="M846" s="4"/>
      <c r="N846" s="4"/>
      <c r="O846" s="4"/>
    </row>
    <row r="847" spans="12:15" x14ac:dyDescent="0.35">
      <c r="L847" s="4"/>
      <c r="M847" s="4"/>
      <c r="N847" s="4"/>
      <c r="O847" s="4"/>
    </row>
    <row r="848" spans="12:15" x14ac:dyDescent="0.35">
      <c r="L848" s="4"/>
      <c r="M848" s="4"/>
      <c r="N848" s="4"/>
      <c r="O848" s="4"/>
    </row>
    <row r="849" spans="12:15" x14ac:dyDescent="0.35">
      <c r="L849" s="4"/>
      <c r="M849" s="4"/>
      <c r="N849" s="4"/>
      <c r="O849" s="4"/>
    </row>
    <row r="850" spans="12:15" x14ac:dyDescent="0.35">
      <c r="L850" s="4"/>
      <c r="M850" s="4"/>
      <c r="N850" s="4"/>
      <c r="O850" s="4"/>
    </row>
    <row r="851" spans="12:15" x14ac:dyDescent="0.35">
      <c r="L851" s="4"/>
      <c r="M851" s="4"/>
      <c r="N851" s="4"/>
      <c r="O851" s="4"/>
    </row>
    <row r="852" spans="12:15" x14ac:dyDescent="0.35">
      <c r="L852" s="4"/>
      <c r="M852" s="4"/>
      <c r="N852" s="4"/>
      <c r="O852" s="4"/>
    </row>
    <row r="853" spans="12:15" x14ac:dyDescent="0.35">
      <c r="L853" s="4"/>
      <c r="M853" s="4"/>
      <c r="N853" s="4"/>
      <c r="O853" s="4"/>
    </row>
    <row r="854" spans="12:15" x14ac:dyDescent="0.35">
      <c r="L854" s="4"/>
      <c r="M854" s="4"/>
      <c r="N854" s="4"/>
      <c r="O854" s="4"/>
    </row>
    <row r="855" spans="12:15" x14ac:dyDescent="0.35">
      <c r="L855" s="4"/>
      <c r="M855" s="4"/>
      <c r="N855" s="4"/>
      <c r="O855" s="4"/>
    </row>
    <row r="856" spans="12:15" x14ac:dyDescent="0.35">
      <c r="L856" s="4"/>
      <c r="M856" s="4"/>
      <c r="N856" s="4"/>
      <c r="O856" s="4"/>
    </row>
    <row r="857" spans="12:15" x14ac:dyDescent="0.35">
      <c r="L857" s="4"/>
      <c r="M857" s="4"/>
      <c r="N857" s="4"/>
      <c r="O857" s="4"/>
    </row>
    <row r="858" spans="12:15" x14ac:dyDescent="0.35">
      <c r="L858" s="4"/>
      <c r="M858" s="4"/>
      <c r="N858" s="4"/>
      <c r="O858" s="4"/>
    </row>
    <row r="859" spans="12:15" x14ac:dyDescent="0.35">
      <c r="L859" s="4"/>
      <c r="M859" s="4"/>
      <c r="N859" s="4"/>
      <c r="O859" s="4"/>
    </row>
    <row r="860" spans="12:15" x14ac:dyDescent="0.35">
      <c r="L860" s="4"/>
      <c r="M860" s="4"/>
      <c r="N860" s="4"/>
      <c r="O860" s="4"/>
    </row>
    <row r="861" spans="12:15" x14ac:dyDescent="0.35">
      <c r="L861" s="4"/>
      <c r="M861" s="4"/>
      <c r="N861" s="4"/>
      <c r="O861" s="4"/>
    </row>
    <row r="862" spans="12:15" x14ac:dyDescent="0.35">
      <c r="L862" s="4"/>
      <c r="M862" s="4"/>
      <c r="N862" s="4"/>
      <c r="O862" s="4"/>
    </row>
    <row r="863" spans="12:15" x14ac:dyDescent="0.35">
      <c r="L863" s="4"/>
      <c r="M863" s="4"/>
      <c r="N863" s="4"/>
      <c r="O863" s="4"/>
    </row>
    <row r="864" spans="12:15" x14ac:dyDescent="0.35">
      <c r="L864" s="4"/>
      <c r="M864" s="4"/>
      <c r="N864" s="4"/>
      <c r="O864" s="4"/>
    </row>
    <row r="865" spans="12:15" x14ac:dyDescent="0.35">
      <c r="L865" s="4"/>
      <c r="M865" s="4"/>
      <c r="N865" s="4"/>
      <c r="O865" s="4"/>
    </row>
    <row r="866" spans="12:15" x14ac:dyDescent="0.35">
      <c r="L866" s="4"/>
      <c r="M866" s="4"/>
      <c r="N866" s="4"/>
      <c r="O866" s="4"/>
    </row>
    <row r="867" spans="12:15" x14ac:dyDescent="0.35">
      <c r="L867" s="4"/>
      <c r="M867" s="4"/>
      <c r="N867" s="4"/>
      <c r="O867" s="4"/>
    </row>
    <row r="868" spans="12:15" x14ac:dyDescent="0.35">
      <c r="L868" s="4"/>
      <c r="M868" s="4"/>
      <c r="N868" s="4"/>
      <c r="O868" s="4"/>
    </row>
    <row r="869" spans="12:15" x14ac:dyDescent="0.35">
      <c r="L869" s="4"/>
      <c r="M869" s="4"/>
      <c r="N869" s="4"/>
      <c r="O869" s="4"/>
    </row>
    <row r="870" spans="12:15" x14ac:dyDescent="0.35">
      <c r="L870" s="4"/>
      <c r="M870" s="4"/>
      <c r="N870" s="4"/>
      <c r="O870" s="4"/>
    </row>
    <row r="871" spans="12:15" x14ac:dyDescent="0.35">
      <c r="L871" s="4"/>
      <c r="M871" s="4"/>
      <c r="N871" s="4"/>
      <c r="O871" s="4"/>
    </row>
    <row r="872" spans="12:15" x14ac:dyDescent="0.35">
      <c r="L872" s="4"/>
      <c r="M872" s="4"/>
      <c r="N872" s="4"/>
      <c r="O872" s="4"/>
    </row>
    <row r="873" spans="12:15" x14ac:dyDescent="0.35">
      <c r="L873" s="4"/>
      <c r="M873" s="4"/>
      <c r="N873" s="4"/>
      <c r="O873" s="4"/>
    </row>
    <row r="874" spans="12:15" x14ac:dyDescent="0.35">
      <c r="L874" s="4"/>
      <c r="M874" s="4"/>
      <c r="N874" s="4"/>
      <c r="O874" s="4"/>
    </row>
    <row r="875" spans="12:15" x14ac:dyDescent="0.35">
      <c r="L875" s="4"/>
      <c r="M875" s="4"/>
      <c r="N875" s="4"/>
      <c r="O875" s="4"/>
    </row>
    <row r="876" spans="12:15" x14ac:dyDescent="0.35">
      <c r="L876" s="4"/>
      <c r="M876" s="4"/>
      <c r="N876" s="4"/>
      <c r="O876" s="4"/>
    </row>
    <row r="877" spans="12:15" x14ac:dyDescent="0.35">
      <c r="L877" s="4"/>
      <c r="M877" s="4"/>
      <c r="N877" s="4"/>
      <c r="O877" s="4"/>
    </row>
    <row r="878" spans="12:15" x14ac:dyDescent="0.35">
      <c r="L878" s="4"/>
      <c r="M878" s="4"/>
      <c r="N878" s="4"/>
      <c r="O878" s="4"/>
    </row>
    <row r="879" spans="12:15" x14ac:dyDescent="0.35">
      <c r="L879" s="4"/>
      <c r="M879" s="4"/>
      <c r="N879" s="4"/>
      <c r="O879" s="4"/>
    </row>
    <row r="880" spans="12:15" x14ac:dyDescent="0.35">
      <c r="L880" s="4"/>
      <c r="M880" s="4"/>
      <c r="N880" s="4"/>
      <c r="O880" s="4"/>
    </row>
    <row r="881" spans="12:15" x14ac:dyDescent="0.35">
      <c r="L881" s="4"/>
      <c r="M881" s="4"/>
      <c r="N881" s="4"/>
      <c r="O881" s="4"/>
    </row>
    <row r="882" spans="12:15" x14ac:dyDescent="0.35">
      <c r="L882" s="4"/>
      <c r="M882" s="4"/>
      <c r="N882" s="4"/>
      <c r="O882" s="4"/>
    </row>
    <row r="883" spans="12:15" x14ac:dyDescent="0.35">
      <c r="L883" s="4"/>
      <c r="M883" s="4"/>
      <c r="N883" s="4"/>
      <c r="O883" s="4"/>
    </row>
    <row r="884" spans="12:15" x14ac:dyDescent="0.35">
      <c r="L884" s="4"/>
      <c r="M884" s="4"/>
      <c r="N884" s="4"/>
      <c r="O884" s="4"/>
    </row>
    <row r="885" spans="12:15" x14ac:dyDescent="0.35">
      <c r="L885" s="4"/>
      <c r="M885" s="4"/>
      <c r="N885" s="4"/>
      <c r="O885" s="4"/>
    </row>
    <row r="886" spans="12:15" x14ac:dyDescent="0.35">
      <c r="L886" s="4"/>
      <c r="M886" s="4"/>
      <c r="N886" s="4"/>
      <c r="O886" s="4"/>
    </row>
    <row r="887" spans="12:15" x14ac:dyDescent="0.35">
      <c r="L887" s="4"/>
      <c r="M887" s="4"/>
      <c r="N887" s="4"/>
      <c r="O887" s="4"/>
    </row>
    <row r="888" spans="12:15" x14ac:dyDescent="0.35">
      <c r="L888" s="4"/>
      <c r="M888" s="4"/>
      <c r="N888" s="4"/>
      <c r="O888" s="4"/>
    </row>
    <row r="889" spans="12:15" x14ac:dyDescent="0.35">
      <c r="L889" s="4"/>
      <c r="M889" s="4"/>
      <c r="N889" s="4"/>
      <c r="O889" s="4"/>
    </row>
    <row r="890" spans="12:15" x14ac:dyDescent="0.35">
      <c r="L890" s="4"/>
      <c r="M890" s="4"/>
      <c r="N890" s="4"/>
      <c r="O890" s="4"/>
    </row>
    <row r="891" spans="12:15" x14ac:dyDescent="0.35">
      <c r="L891" s="4"/>
      <c r="M891" s="4"/>
      <c r="N891" s="4"/>
      <c r="O891" s="4"/>
    </row>
    <row r="892" spans="12:15" x14ac:dyDescent="0.35">
      <c r="L892" s="4"/>
      <c r="M892" s="4"/>
      <c r="N892" s="4"/>
      <c r="O892" s="4"/>
    </row>
    <row r="893" spans="12:15" x14ac:dyDescent="0.35">
      <c r="L893" s="4"/>
      <c r="M893" s="4"/>
      <c r="N893" s="4"/>
      <c r="O893" s="4"/>
    </row>
    <row r="894" spans="12:15" x14ac:dyDescent="0.35">
      <c r="L894" s="4"/>
      <c r="M894" s="4"/>
      <c r="N894" s="4"/>
      <c r="O894" s="4"/>
    </row>
    <row r="895" spans="12:15" x14ac:dyDescent="0.35">
      <c r="L895" s="4"/>
      <c r="M895" s="4"/>
      <c r="N895" s="4"/>
      <c r="O895" s="4"/>
    </row>
    <row r="896" spans="12:15" x14ac:dyDescent="0.35">
      <c r="L896" s="4"/>
      <c r="M896" s="4"/>
      <c r="N896" s="4"/>
      <c r="O896" s="4"/>
    </row>
    <row r="897" spans="12:15" x14ac:dyDescent="0.35">
      <c r="L897" s="4"/>
      <c r="M897" s="4"/>
      <c r="N897" s="4"/>
      <c r="O897" s="4"/>
    </row>
    <row r="898" spans="12:15" x14ac:dyDescent="0.35">
      <c r="L898" s="4"/>
      <c r="M898" s="4"/>
      <c r="N898" s="4"/>
      <c r="O898" s="4"/>
    </row>
    <row r="899" spans="12:15" x14ac:dyDescent="0.35">
      <c r="L899" s="4"/>
      <c r="M899" s="4"/>
      <c r="N899" s="4"/>
      <c r="O899" s="4"/>
    </row>
    <row r="900" spans="12:15" x14ac:dyDescent="0.35">
      <c r="L900" s="4"/>
      <c r="M900" s="4"/>
      <c r="N900" s="4"/>
      <c r="O900" s="4"/>
    </row>
    <row r="901" spans="12:15" x14ac:dyDescent="0.35">
      <c r="L901" s="4"/>
      <c r="M901" s="4"/>
      <c r="N901" s="4"/>
      <c r="O901" s="4"/>
    </row>
    <row r="902" spans="12:15" x14ac:dyDescent="0.35">
      <c r="L902" s="4"/>
      <c r="M902" s="4"/>
      <c r="N902" s="4"/>
      <c r="O902" s="4"/>
    </row>
    <row r="903" spans="12:15" x14ac:dyDescent="0.35">
      <c r="L903" s="4"/>
      <c r="M903" s="4"/>
      <c r="N903" s="4"/>
      <c r="O903" s="4"/>
    </row>
    <row r="904" spans="12:15" x14ac:dyDescent="0.35">
      <c r="L904" s="4"/>
      <c r="M904" s="4"/>
      <c r="N904" s="4"/>
      <c r="O904" s="4"/>
    </row>
    <row r="905" spans="12:15" x14ac:dyDescent="0.35">
      <c r="L905" s="4"/>
      <c r="M905" s="4"/>
      <c r="N905" s="4"/>
      <c r="O905" s="4"/>
    </row>
    <row r="906" spans="12:15" x14ac:dyDescent="0.35">
      <c r="L906" s="4"/>
      <c r="M906" s="4"/>
      <c r="N906" s="4"/>
      <c r="O906" s="4"/>
    </row>
    <row r="907" spans="12:15" x14ac:dyDescent="0.35">
      <c r="L907" s="4"/>
      <c r="M907" s="4"/>
      <c r="N907" s="4"/>
      <c r="O907" s="4"/>
    </row>
    <row r="908" spans="12:15" x14ac:dyDescent="0.35">
      <c r="L908" s="4"/>
      <c r="M908" s="4"/>
      <c r="N908" s="4"/>
      <c r="O908" s="4"/>
    </row>
    <row r="909" spans="12:15" x14ac:dyDescent="0.35">
      <c r="L909" s="4"/>
      <c r="M909" s="4"/>
      <c r="N909" s="4"/>
      <c r="O909" s="4"/>
    </row>
    <row r="910" spans="12:15" x14ac:dyDescent="0.35">
      <c r="L910" s="4"/>
      <c r="M910" s="4"/>
      <c r="N910" s="4"/>
      <c r="O910" s="4"/>
    </row>
    <row r="911" spans="12:15" x14ac:dyDescent="0.35">
      <c r="L911" s="4"/>
      <c r="M911" s="4"/>
      <c r="N911" s="4"/>
      <c r="O911" s="4"/>
    </row>
    <row r="912" spans="12:15" x14ac:dyDescent="0.35">
      <c r="L912" s="4"/>
      <c r="M912" s="4"/>
      <c r="N912" s="4"/>
      <c r="O912" s="4"/>
    </row>
    <row r="913" spans="12:15" x14ac:dyDescent="0.35">
      <c r="L913" s="4"/>
      <c r="M913" s="4"/>
      <c r="N913" s="4"/>
      <c r="O913" s="4"/>
    </row>
    <row r="914" spans="12:15" x14ac:dyDescent="0.35">
      <c r="L914" s="4"/>
      <c r="M914" s="4"/>
      <c r="N914" s="4"/>
      <c r="O914" s="4"/>
    </row>
    <row r="915" spans="12:15" x14ac:dyDescent="0.35">
      <c r="L915" s="4"/>
      <c r="M915" s="4"/>
      <c r="N915" s="4"/>
      <c r="O915" s="4"/>
    </row>
    <row r="916" spans="12:15" x14ac:dyDescent="0.35">
      <c r="L916" s="4"/>
      <c r="M916" s="4"/>
      <c r="N916" s="4"/>
      <c r="O916" s="4"/>
    </row>
    <row r="917" spans="12:15" x14ac:dyDescent="0.35">
      <c r="L917" s="4"/>
      <c r="M917" s="4"/>
      <c r="N917" s="4"/>
      <c r="O917" s="4"/>
    </row>
    <row r="918" spans="12:15" x14ac:dyDescent="0.35">
      <c r="L918" s="4"/>
      <c r="M918" s="4"/>
      <c r="N918" s="4"/>
      <c r="O918" s="4"/>
    </row>
    <row r="919" spans="12:15" x14ac:dyDescent="0.35">
      <c r="L919" s="4"/>
      <c r="M919" s="4"/>
      <c r="N919" s="4"/>
      <c r="O919" s="4"/>
    </row>
    <row r="920" spans="12:15" x14ac:dyDescent="0.35">
      <c r="L920" s="4"/>
      <c r="M920" s="4"/>
      <c r="N920" s="4"/>
      <c r="O920" s="4"/>
    </row>
    <row r="921" spans="12:15" x14ac:dyDescent="0.35">
      <c r="L921" s="4"/>
      <c r="M921" s="4"/>
      <c r="N921" s="4"/>
      <c r="O921" s="4"/>
    </row>
    <row r="922" spans="12:15" x14ac:dyDescent="0.35">
      <c r="L922" s="4"/>
      <c r="M922" s="4"/>
      <c r="N922" s="4"/>
      <c r="O922" s="4"/>
    </row>
    <row r="923" spans="12:15" x14ac:dyDescent="0.35">
      <c r="L923" s="4"/>
      <c r="M923" s="4"/>
      <c r="N923" s="4"/>
      <c r="O923" s="4"/>
    </row>
    <row r="924" spans="12:15" x14ac:dyDescent="0.35">
      <c r="L924" s="4"/>
      <c r="M924" s="4"/>
      <c r="N924" s="4"/>
      <c r="O924" s="4"/>
    </row>
    <row r="925" spans="12:15" x14ac:dyDescent="0.35">
      <c r="L925" s="4"/>
      <c r="M925" s="4"/>
      <c r="N925" s="4"/>
      <c r="O925" s="4"/>
    </row>
    <row r="926" spans="12:15" x14ac:dyDescent="0.35">
      <c r="L926" s="4"/>
      <c r="M926" s="4"/>
      <c r="N926" s="4"/>
      <c r="O926" s="4"/>
    </row>
    <row r="927" spans="12:15" x14ac:dyDescent="0.35">
      <c r="L927" s="4"/>
      <c r="M927" s="4"/>
      <c r="N927" s="4"/>
      <c r="O927" s="4"/>
    </row>
    <row r="928" spans="12:15" x14ac:dyDescent="0.35">
      <c r="L928" s="4"/>
      <c r="M928" s="4"/>
      <c r="N928" s="4"/>
      <c r="O928" s="4"/>
    </row>
    <row r="929" spans="12:15" x14ac:dyDescent="0.35">
      <c r="L929" s="4"/>
      <c r="M929" s="4"/>
      <c r="N929" s="4"/>
      <c r="O929" s="4"/>
    </row>
    <row r="930" spans="12:15" x14ac:dyDescent="0.35">
      <c r="L930" s="4"/>
      <c r="M930" s="4"/>
      <c r="N930" s="4"/>
      <c r="O930" s="4"/>
    </row>
    <row r="931" spans="12:15" x14ac:dyDescent="0.35">
      <c r="L931" s="4"/>
      <c r="M931" s="4"/>
      <c r="N931" s="4"/>
      <c r="O931" s="4"/>
    </row>
    <row r="932" spans="12:15" x14ac:dyDescent="0.35">
      <c r="L932" s="4"/>
      <c r="M932" s="4"/>
      <c r="N932" s="4"/>
      <c r="O932" s="4"/>
    </row>
    <row r="933" spans="12:15" x14ac:dyDescent="0.35">
      <c r="L933" s="4"/>
      <c r="M933" s="4"/>
      <c r="N933" s="4"/>
      <c r="O933" s="4"/>
    </row>
    <row r="934" spans="12:15" x14ac:dyDescent="0.35">
      <c r="L934" s="4"/>
      <c r="M934" s="4"/>
      <c r="N934" s="4"/>
      <c r="O934" s="4"/>
    </row>
    <row r="935" spans="12:15" x14ac:dyDescent="0.35">
      <c r="L935" s="4"/>
      <c r="M935" s="4"/>
      <c r="N935" s="4"/>
      <c r="O935" s="4"/>
    </row>
    <row r="936" spans="12:15" x14ac:dyDescent="0.35">
      <c r="L936" s="4"/>
      <c r="M936" s="4"/>
      <c r="N936" s="4"/>
      <c r="O936" s="4"/>
    </row>
    <row r="937" spans="12:15" x14ac:dyDescent="0.35">
      <c r="L937" s="4"/>
      <c r="M937" s="4"/>
      <c r="N937" s="4"/>
      <c r="O937" s="4"/>
    </row>
    <row r="938" spans="12:15" x14ac:dyDescent="0.35">
      <c r="L938" s="4"/>
      <c r="M938" s="4"/>
      <c r="N938" s="4"/>
      <c r="O938" s="4"/>
    </row>
    <row r="939" spans="12:15" x14ac:dyDescent="0.35">
      <c r="L939" s="4"/>
      <c r="M939" s="4"/>
      <c r="N939" s="4"/>
      <c r="O939" s="4"/>
    </row>
    <row r="940" spans="12:15" x14ac:dyDescent="0.35">
      <c r="L940" s="4"/>
      <c r="M940" s="4"/>
      <c r="N940" s="4"/>
      <c r="O940" s="4"/>
    </row>
    <row r="941" spans="12:15" x14ac:dyDescent="0.35">
      <c r="L941" s="4"/>
      <c r="M941" s="4"/>
      <c r="N941" s="4"/>
      <c r="O941" s="4"/>
    </row>
    <row r="942" spans="12:15" x14ac:dyDescent="0.35">
      <c r="L942" s="4"/>
      <c r="M942" s="4"/>
      <c r="N942" s="4"/>
      <c r="O942" s="4"/>
    </row>
    <row r="943" spans="12:15" x14ac:dyDescent="0.35">
      <c r="L943" s="4"/>
      <c r="M943" s="4"/>
      <c r="N943" s="4"/>
      <c r="O943" s="4"/>
    </row>
    <row r="944" spans="12:15" x14ac:dyDescent="0.35">
      <c r="L944" s="4"/>
      <c r="M944" s="4"/>
      <c r="N944" s="4"/>
      <c r="O944" s="4"/>
    </row>
    <row r="945" spans="12:15" x14ac:dyDescent="0.35">
      <c r="L945" s="4"/>
      <c r="M945" s="4"/>
      <c r="N945" s="4"/>
      <c r="O945" s="4"/>
    </row>
    <row r="946" spans="12:15" x14ac:dyDescent="0.35">
      <c r="L946" s="4"/>
      <c r="M946" s="4"/>
      <c r="N946" s="4"/>
      <c r="O946" s="4"/>
    </row>
    <row r="947" spans="12:15" x14ac:dyDescent="0.35">
      <c r="L947" s="4"/>
      <c r="M947" s="4"/>
      <c r="N947" s="4"/>
      <c r="O947" s="4"/>
    </row>
    <row r="948" spans="12:15" x14ac:dyDescent="0.35">
      <c r="L948" s="4"/>
      <c r="M948" s="4"/>
      <c r="N948" s="4"/>
      <c r="O948" s="4"/>
    </row>
    <row r="949" spans="12:15" x14ac:dyDescent="0.35">
      <c r="L949" s="4"/>
      <c r="M949" s="4"/>
      <c r="N949" s="4"/>
      <c r="O949" s="4"/>
    </row>
    <row r="950" spans="12:15" x14ac:dyDescent="0.35">
      <c r="L950" s="4"/>
      <c r="M950" s="4"/>
      <c r="N950" s="4"/>
      <c r="O950" s="4"/>
    </row>
    <row r="951" spans="12:15" x14ac:dyDescent="0.35">
      <c r="L951" s="4"/>
      <c r="M951" s="4"/>
      <c r="N951" s="4"/>
      <c r="O951" s="4"/>
    </row>
    <row r="952" spans="12:15" x14ac:dyDescent="0.35">
      <c r="L952" s="4"/>
      <c r="M952" s="4"/>
      <c r="N952" s="4"/>
      <c r="O952" s="4"/>
    </row>
    <row r="953" spans="12:15" x14ac:dyDescent="0.35">
      <c r="L953" s="4"/>
      <c r="M953" s="4"/>
      <c r="N953" s="4"/>
      <c r="O953" s="4"/>
    </row>
    <row r="954" spans="12:15" x14ac:dyDescent="0.35">
      <c r="L954" s="4"/>
      <c r="M954" s="4"/>
      <c r="N954" s="4"/>
      <c r="O954" s="4"/>
    </row>
    <row r="955" spans="12:15" x14ac:dyDescent="0.35">
      <c r="L955" s="4"/>
      <c r="M955" s="4"/>
      <c r="N955" s="4"/>
      <c r="O955" s="4"/>
    </row>
    <row r="956" spans="12:15" x14ac:dyDescent="0.35">
      <c r="L956" s="4"/>
      <c r="M956" s="4"/>
      <c r="N956" s="4"/>
      <c r="O956" s="4"/>
    </row>
    <row r="957" spans="12:15" x14ac:dyDescent="0.35">
      <c r="L957" s="4"/>
      <c r="M957" s="4"/>
      <c r="N957" s="4"/>
      <c r="O957" s="4"/>
    </row>
    <row r="958" spans="12:15" x14ac:dyDescent="0.35">
      <c r="L958" s="4"/>
      <c r="M958" s="4"/>
      <c r="N958" s="4"/>
      <c r="O958" s="4"/>
    </row>
    <row r="959" spans="12:15" x14ac:dyDescent="0.35">
      <c r="L959" s="4"/>
      <c r="M959" s="4"/>
      <c r="N959" s="4"/>
      <c r="O959" s="4"/>
    </row>
    <row r="960" spans="12:15" x14ac:dyDescent="0.35">
      <c r="L960" s="4"/>
      <c r="M960" s="4"/>
      <c r="N960" s="4"/>
      <c r="O960" s="4"/>
    </row>
    <row r="961" spans="12:15" x14ac:dyDescent="0.35">
      <c r="L961" s="4"/>
      <c r="M961" s="4"/>
      <c r="N961" s="4"/>
      <c r="O961" s="4"/>
    </row>
    <row r="962" spans="12:15" x14ac:dyDescent="0.35">
      <c r="L962" s="4"/>
      <c r="M962" s="4"/>
      <c r="N962" s="4"/>
      <c r="O962" s="4"/>
    </row>
    <row r="963" spans="12:15" x14ac:dyDescent="0.35">
      <c r="L963" s="4"/>
      <c r="M963" s="4"/>
      <c r="N963" s="4"/>
      <c r="O963" s="4"/>
    </row>
    <row r="964" spans="12:15" x14ac:dyDescent="0.35">
      <c r="L964" s="4"/>
      <c r="M964" s="4"/>
      <c r="N964" s="4"/>
      <c r="O964" s="4"/>
    </row>
    <row r="965" spans="12:15" x14ac:dyDescent="0.35">
      <c r="L965" s="4"/>
      <c r="M965" s="4"/>
      <c r="N965" s="4"/>
      <c r="O965" s="4"/>
    </row>
    <row r="966" spans="12:15" x14ac:dyDescent="0.35">
      <c r="L966" s="4"/>
      <c r="M966" s="4"/>
      <c r="N966" s="4"/>
      <c r="O966" s="4"/>
    </row>
    <row r="967" spans="12:15" x14ac:dyDescent="0.35">
      <c r="L967" s="4"/>
      <c r="M967" s="4"/>
      <c r="N967" s="4"/>
      <c r="O967" s="4"/>
    </row>
    <row r="968" spans="12:15" x14ac:dyDescent="0.35">
      <c r="L968" s="4"/>
      <c r="M968" s="4"/>
      <c r="N968" s="4"/>
      <c r="O968" s="4"/>
    </row>
    <row r="969" spans="12:15" x14ac:dyDescent="0.35">
      <c r="L969" s="4"/>
      <c r="M969" s="4"/>
      <c r="N969" s="4"/>
      <c r="O969" s="4"/>
    </row>
    <row r="970" spans="12:15" x14ac:dyDescent="0.35">
      <c r="L970" s="4"/>
      <c r="M970" s="4"/>
      <c r="N970" s="4"/>
      <c r="O970" s="4"/>
    </row>
    <row r="971" spans="12:15" x14ac:dyDescent="0.35">
      <c r="L971" s="4"/>
      <c r="M971" s="4"/>
      <c r="N971" s="4"/>
      <c r="O971" s="4"/>
    </row>
    <row r="972" spans="12:15" x14ac:dyDescent="0.35">
      <c r="L972" s="4"/>
      <c r="M972" s="4"/>
      <c r="N972" s="4"/>
      <c r="O972" s="4"/>
    </row>
    <row r="973" spans="12:15" x14ac:dyDescent="0.35">
      <c r="L973" s="4"/>
      <c r="M973" s="4"/>
      <c r="N973" s="4"/>
      <c r="O973" s="4"/>
    </row>
    <row r="974" spans="12:15" x14ac:dyDescent="0.35">
      <c r="L974" s="4"/>
      <c r="M974" s="4"/>
      <c r="N974" s="4"/>
      <c r="O974" s="4"/>
    </row>
    <row r="975" spans="12:15" x14ac:dyDescent="0.35">
      <c r="L975" s="4"/>
      <c r="M975" s="4"/>
      <c r="N975" s="4"/>
      <c r="O975" s="4"/>
    </row>
    <row r="976" spans="12:15" x14ac:dyDescent="0.35">
      <c r="L976" s="4"/>
      <c r="M976" s="4"/>
      <c r="N976" s="4"/>
      <c r="O976" s="4"/>
    </row>
    <row r="977" spans="12:15" x14ac:dyDescent="0.35">
      <c r="L977" s="4"/>
      <c r="M977" s="4"/>
      <c r="N977" s="4"/>
      <c r="O977" s="4"/>
    </row>
    <row r="978" spans="12:15" x14ac:dyDescent="0.35">
      <c r="L978" s="4"/>
      <c r="M978" s="4"/>
      <c r="N978" s="4"/>
      <c r="O978" s="4"/>
    </row>
    <row r="979" spans="12:15" x14ac:dyDescent="0.35">
      <c r="L979" s="4"/>
      <c r="M979" s="4"/>
      <c r="N979" s="4"/>
      <c r="O979" s="4"/>
    </row>
    <row r="980" spans="12:15" x14ac:dyDescent="0.35">
      <c r="L980" s="4"/>
      <c r="M980" s="4"/>
      <c r="N980" s="4"/>
      <c r="O980" s="4"/>
    </row>
    <row r="981" spans="12:15" x14ac:dyDescent="0.35">
      <c r="L981" s="4"/>
      <c r="M981" s="4"/>
      <c r="N981" s="4"/>
      <c r="O981" s="4"/>
    </row>
    <row r="982" spans="12:15" x14ac:dyDescent="0.35">
      <c r="L982" s="4"/>
      <c r="M982" s="4"/>
      <c r="N982" s="4"/>
      <c r="O982" s="4"/>
    </row>
    <row r="983" spans="12:15" x14ac:dyDescent="0.35">
      <c r="L983" s="4"/>
      <c r="M983" s="4"/>
      <c r="N983" s="4"/>
      <c r="O983" s="4"/>
    </row>
    <row r="984" spans="12:15" x14ac:dyDescent="0.35">
      <c r="L984" s="4"/>
      <c r="M984" s="4"/>
      <c r="N984" s="4"/>
      <c r="O984" s="4"/>
    </row>
    <row r="985" spans="12:15" x14ac:dyDescent="0.35">
      <c r="L985" s="4"/>
      <c r="M985" s="4"/>
    </row>
    <row r="986" spans="12:15" x14ac:dyDescent="0.35">
      <c r="L986" s="4"/>
      <c r="M986" s="4"/>
    </row>
    <row r="987" spans="12:15" x14ac:dyDescent="0.35">
      <c r="L987" s="4"/>
      <c r="M987" s="4"/>
    </row>
    <row r="988" spans="12:15" x14ac:dyDescent="0.35">
      <c r="L988" s="4"/>
      <c r="M988" s="4"/>
    </row>
    <row r="989" spans="12:15" x14ac:dyDescent="0.35">
      <c r="L989" s="4"/>
      <c r="M98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327CF3CEC9145AC6F5B07EBB94F60" ma:contentTypeVersion="18" ma:contentTypeDescription="Create a new document." ma:contentTypeScope="" ma:versionID="a9dcb6b4534a9103a83e0bfde106f38f">
  <xsd:schema xmlns:xsd="http://www.w3.org/2001/XMLSchema" xmlns:xs="http://www.w3.org/2001/XMLSchema" xmlns:p="http://schemas.microsoft.com/office/2006/metadata/properties" xmlns:ns3="ac3bcb35-9aa9-4dbf-a1c9-a4059b99366b" xmlns:ns4="3c0e9b9a-dc5c-494c-bbac-09f077bb5a57" targetNamespace="http://schemas.microsoft.com/office/2006/metadata/properties" ma:root="true" ma:fieldsID="47a5799ec9c8dff36114ba72e22d6d9b" ns3:_="" ns4:_="">
    <xsd:import namespace="ac3bcb35-9aa9-4dbf-a1c9-a4059b99366b"/>
    <xsd:import namespace="3c0e9b9a-dc5c-494c-bbac-09f077bb5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b35-9aa9-4dbf-a1c9-a4059b993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e9b9a-dc5c-494c-bbac-09f077bb5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bcb35-9aa9-4dbf-a1c9-a4059b99366b" xsi:nil="true"/>
  </documentManagement>
</p:properties>
</file>

<file path=customXml/itemProps1.xml><?xml version="1.0" encoding="utf-8"?>
<ds:datastoreItem xmlns:ds="http://schemas.openxmlformats.org/officeDocument/2006/customXml" ds:itemID="{CDF5517E-3F01-4BA0-B1C1-05E5DFE14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bcb35-9aa9-4dbf-a1c9-a4059b99366b"/>
    <ds:schemaRef ds:uri="3c0e9b9a-dc5c-494c-bbac-09f077bb5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5A152E-C741-4F64-AD06-98C5B85C40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1E87E3-6D26-448E-8D8D-271C3A239934}">
  <ds:schemaRefs>
    <ds:schemaRef ds:uri="ac3bcb35-9aa9-4dbf-a1c9-a4059b99366b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c0e9b9a-dc5c-494c-bbac-09f077bb5a5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Instructions</vt:lpstr>
      <vt:lpstr>Colour key</vt:lpstr>
      <vt:lpstr>Question 1</vt:lpstr>
      <vt:lpstr>Question 2</vt:lpstr>
      <vt:lpstr>gompertz_B</vt:lpstr>
      <vt:lpstr>gompertz_c</vt:lpstr>
      <vt:lpstr>gompertz_g</vt:lpstr>
      <vt:lpstr>InitialAge</vt:lpstr>
      <vt:lpstr>InitialAgeQ2</vt:lpstr>
      <vt:lpstr>IntRate</vt:lpstr>
      <vt:lpstr>IntRateQ2</vt:lpstr>
      <vt:lpstr>lx_ELT15_female</vt:lpstr>
      <vt:lpstr>'Question 1'!Print_Area</vt:lpstr>
      <vt:lpstr>StepsEachYear</vt:lpstr>
      <vt:lpstr>StepsEachYearQ2</vt:lpstr>
      <vt:lpstr>StepSize</vt:lpstr>
      <vt:lpstr>StepSizeQ2</vt:lpstr>
      <vt:lpstr>TerminalAge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hrw</dc:creator>
  <cp:lastModifiedBy>Marcus Gwee Wen Hong</cp:lastModifiedBy>
  <cp:lastPrinted>2013-08-19T12:27:42Z</cp:lastPrinted>
  <dcterms:created xsi:type="dcterms:W3CDTF">2007-10-30T15:20:57Z</dcterms:created>
  <dcterms:modified xsi:type="dcterms:W3CDTF">2026-01-29T10:22:37Z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0x0101001D7327CF3CEC9145AC6F5B07EBB94F60</vt:lpwstr>
  </property>
</Properties>
</file>