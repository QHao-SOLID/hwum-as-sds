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bcf56a11f402f5/Desktop/02_Courses/01_Life Insurance B/02_Lab/"/>
    </mc:Choice>
  </mc:AlternateContent>
  <xr:revisionPtr revIDLastSave="116" documentId="13_ncr:1_{5CA5F84E-0D53-475F-BB35-E7170E6DE7D9}" xr6:coauthVersionLast="47" xr6:coauthVersionMax="47" xr10:uidLastSave="{A1EDE946-3803-4E31-AB7E-C3C5D06C0C07}"/>
  <bookViews>
    <workbookView xWindow="-98" yWindow="-98" windowWidth="21795" windowHeight="12975" xr2:uid="{42B9678E-C4A2-40A0-9BDD-D0FCF7C1041B}"/>
  </bookViews>
  <sheets>
    <sheet name="Sheet1" sheetId="1" r:id="rId1"/>
  </sheets>
  <definedNames>
    <definedName name="Age">Sheet1!$L$5</definedName>
    <definedName name="B">Sheet1!$L$2</definedName>
    <definedName name="c_gom">Sheet1!$L$3</definedName>
    <definedName name="delta">Sheet1!$O$6</definedName>
    <definedName name="Prem">Sheet1!$O$5</definedName>
    <definedName name="Step_h">Sheet1!$L$6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3" i="1" l="1"/>
  <c r="N24" i="1" s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24" i="1"/>
  <c r="K23" i="1"/>
  <c r="J23" i="1"/>
  <c r="A23" i="1"/>
  <c r="B23" i="1" s="1"/>
  <c r="C23" i="1" s="1"/>
  <c r="A24" i="1" a="1"/>
  <c r="B66" i="1" s="1"/>
  <c r="C66" i="1" s="1"/>
  <c r="E23" i="1"/>
  <c r="L9" i="1"/>
  <c r="D23" i="1" l="1"/>
  <c r="E24" i="1" s="1"/>
  <c r="B1014" i="1"/>
  <c r="C1014" i="1" s="1"/>
  <c r="B736" i="1"/>
  <c r="C736" i="1" s="1"/>
  <c r="B509" i="1"/>
  <c r="C509" i="1" s="1"/>
  <c r="B39" i="1"/>
  <c r="C39" i="1" s="1"/>
  <c r="B851" i="1"/>
  <c r="C851" i="1" s="1"/>
  <c r="B662" i="1"/>
  <c r="C662" i="1" s="1"/>
  <c r="B427" i="1"/>
  <c r="C427" i="1" s="1"/>
  <c r="B157" i="1"/>
  <c r="C157" i="1" s="1"/>
  <c r="B1004" i="1"/>
  <c r="C1004" i="1" s="1"/>
  <c r="B796" i="1"/>
  <c r="C796" i="1" s="1"/>
  <c r="B661" i="1"/>
  <c r="C661" i="1" s="1"/>
  <c r="B424" i="1"/>
  <c r="C424" i="1" s="1"/>
  <c r="B257" i="1"/>
  <c r="C257" i="1" s="1"/>
  <c r="B156" i="1"/>
  <c r="C156" i="1" s="1"/>
  <c r="B982" i="1"/>
  <c r="C982" i="1" s="1"/>
  <c r="B926" i="1"/>
  <c r="C926" i="1" s="1"/>
  <c r="B879" i="1"/>
  <c r="C879" i="1" s="1"/>
  <c r="B823" i="1"/>
  <c r="C823" i="1" s="1"/>
  <c r="B763" i="1"/>
  <c r="C763" i="1" s="1"/>
  <c r="B699" i="1"/>
  <c r="C699" i="1" s="1"/>
  <c r="B625" i="1"/>
  <c r="C625" i="1" s="1"/>
  <c r="B545" i="1"/>
  <c r="C545" i="1" s="1"/>
  <c r="B460" i="1"/>
  <c r="C460" i="1" s="1"/>
  <c r="B379" i="1"/>
  <c r="C379" i="1" s="1"/>
  <c r="B304" i="1"/>
  <c r="C304" i="1" s="1"/>
  <c r="B221" i="1"/>
  <c r="C221" i="1" s="1"/>
  <c r="B101" i="1"/>
  <c r="C101" i="1" s="1"/>
  <c r="B963" i="1"/>
  <c r="C963" i="1" s="1"/>
  <c r="B909" i="1"/>
  <c r="C909" i="1" s="1"/>
  <c r="B860" i="1"/>
  <c r="C860" i="1" s="1"/>
  <c r="B805" i="1"/>
  <c r="C805" i="1" s="1"/>
  <c r="B673" i="1"/>
  <c r="C673" i="1" s="1"/>
  <c r="B598" i="1"/>
  <c r="C598" i="1" s="1"/>
  <c r="B431" i="1"/>
  <c r="C431" i="1" s="1"/>
  <c r="B352" i="1"/>
  <c r="C352" i="1" s="1"/>
  <c r="B276" i="1"/>
  <c r="C276" i="1" s="1"/>
  <c r="B181" i="1"/>
  <c r="C181" i="1" s="1"/>
  <c r="B1007" i="1"/>
  <c r="C1007" i="1" s="1"/>
  <c r="B959" i="1"/>
  <c r="C959" i="1" s="1"/>
  <c r="B907" i="1"/>
  <c r="C907" i="1" s="1"/>
  <c r="B803" i="1"/>
  <c r="C803" i="1" s="1"/>
  <c r="B733" i="1"/>
  <c r="C733" i="1" s="1"/>
  <c r="B589" i="1"/>
  <c r="C589" i="1" s="1"/>
  <c r="B508" i="1"/>
  <c r="C508" i="1" s="1"/>
  <c r="B349" i="1"/>
  <c r="C349" i="1" s="1"/>
  <c r="B269" i="1"/>
  <c r="C269" i="1" s="1"/>
  <c r="B38" i="1"/>
  <c r="C38" i="1" s="1"/>
  <c r="B957" i="1"/>
  <c r="C957" i="1" s="1"/>
  <c r="B901" i="1"/>
  <c r="C901" i="1" s="1"/>
  <c r="B847" i="1"/>
  <c r="C847" i="1" s="1"/>
  <c r="B728" i="1"/>
  <c r="C728" i="1" s="1"/>
  <c r="B588" i="1"/>
  <c r="C588" i="1" s="1"/>
  <c r="B505" i="1"/>
  <c r="C505" i="1" s="1"/>
  <c r="B343" i="1"/>
  <c r="C343" i="1" s="1"/>
  <c r="B988" i="1"/>
  <c r="C988" i="1" s="1"/>
  <c r="B939" i="1"/>
  <c r="C939" i="1" s="1"/>
  <c r="B885" i="1"/>
  <c r="C885" i="1" s="1"/>
  <c r="B831" i="1"/>
  <c r="C831" i="1" s="1"/>
  <c r="B779" i="1"/>
  <c r="C779" i="1" s="1"/>
  <c r="B708" i="1"/>
  <c r="C708" i="1" s="1"/>
  <c r="B636" i="1"/>
  <c r="C636" i="1" s="1"/>
  <c r="B559" i="1"/>
  <c r="C559" i="1" s="1"/>
  <c r="B479" i="1"/>
  <c r="C479" i="1" s="1"/>
  <c r="B397" i="1"/>
  <c r="C397" i="1" s="1"/>
  <c r="B323" i="1"/>
  <c r="C323" i="1" s="1"/>
  <c r="B231" i="1"/>
  <c r="C231" i="1" s="1"/>
  <c r="B114" i="1"/>
  <c r="C114" i="1" s="1"/>
  <c r="B987" i="1"/>
  <c r="C987" i="1" s="1"/>
  <c r="B935" i="1"/>
  <c r="C935" i="1" s="1"/>
  <c r="B884" i="1"/>
  <c r="C884" i="1" s="1"/>
  <c r="B830" i="1"/>
  <c r="C830" i="1" s="1"/>
  <c r="B774" i="1"/>
  <c r="C774" i="1" s="1"/>
  <c r="B707" i="1"/>
  <c r="C707" i="1" s="1"/>
  <c r="B632" i="1"/>
  <c r="C632" i="1" s="1"/>
  <c r="B555" i="1"/>
  <c r="C555" i="1" s="1"/>
  <c r="B477" i="1"/>
  <c r="C477" i="1" s="1"/>
  <c r="B396" i="1"/>
  <c r="C396" i="1" s="1"/>
  <c r="B307" i="1"/>
  <c r="C307" i="1" s="1"/>
  <c r="B224" i="1"/>
  <c r="C224" i="1" s="1"/>
  <c r="B110" i="1"/>
  <c r="C110" i="1" s="1"/>
  <c r="B983" i="1"/>
  <c r="C983" i="1" s="1"/>
  <c r="B932" i="1"/>
  <c r="C932" i="1" s="1"/>
  <c r="B883" i="1"/>
  <c r="C883" i="1" s="1"/>
  <c r="B829" i="1"/>
  <c r="C829" i="1" s="1"/>
  <c r="B764" i="1"/>
  <c r="C764" i="1" s="1"/>
  <c r="B705" i="1"/>
  <c r="C705" i="1" s="1"/>
  <c r="B628" i="1"/>
  <c r="C628" i="1" s="1"/>
  <c r="B553" i="1"/>
  <c r="C553" i="1" s="1"/>
  <c r="B472" i="1"/>
  <c r="C472" i="1" s="1"/>
  <c r="B387" i="1"/>
  <c r="C387" i="1" s="1"/>
  <c r="B305" i="1"/>
  <c r="C305" i="1" s="1"/>
  <c r="B222" i="1"/>
  <c r="C222" i="1" s="1"/>
  <c r="B102" i="1"/>
  <c r="C102" i="1" s="1"/>
  <c r="B1015" i="1"/>
  <c r="C1015" i="1" s="1"/>
  <c r="B964" i="1"/>
  <c r="C964" i="1" s="1"/>
  <c r="B910" i="1"/>
  <c r="C910" i="1" s="1"/>
  <c r="B861" i="1"/>
  <c r="C861" i="1" s="1"/>
  <c r="B806" i="1"/>
  <c r="C806" i="1" s="1"/>
  <c r="B743" i="1"/>
  <c r="C743" i="1" s="1"/>
  <c r="B678" i="1"/>
  <c r="C678" i="1" s="1"/>
  <c r="B605" i="1"/>
  <c r="C605" i="1" s="1"/>
  <c r="B525" i="1"/>
  <c r="C525" i="1" s="1"/>
  <c r="B436" i="1"/>
  <c r="C436" i="1" s="1"/>
  <c r="B353" i="1"/>
  <c r="C353" i="1" s="1"/>
  <c r="B277" i="1"/>
  <c r="C277" i="1" s="1"/>
  <c r="B182" i="1"/>
  <c r="C182" i="1" s="1"/>
  <c r="B40" i="1"/>
  <c r="C40" i="1" s="1"/>
  <c r="B83" i="1"/>
  <c r="C83" i="1" s="1"/>
  <c r="B124" i="1"/>
  <c r="C124" i="1" s="1"/>
  <c r="B169" i="1"/>
  <c r="C169" i="1" s="1"/>
  <c r="B199" i="1"/>
  <c r="C199" i="1" s="1"/>
  <c r="B235" i="1"/>
  <c r="C235" i="1" s="1"/>
  <c r="B260" i="1"/>
  <c r="C260" i="1" s="1"/>
  <c r="B286" i="1"/>
  <c r="C286" i="1" s="1"/>
  <c r="B308" i="1"/>
  <c r="C308" i="1" s="1"/>
  <c r="B335" i="1"/>
  <c r="C335" i="1" s="1"/>
  <c r="B361" i="1"/>
  <c r="C361" i="1" s="1"/>
  <c r="B388" i="1"/>
  <c r="C388" i="1" s="1"/>
  <c r="B413" i="1"/>
  <c r="C413" i="1" s="1"/>
  <c r="B440" i="1"/>
  <c r="C440" i="1" s="1"/>
  <c r="B461" i="1"/>
  <c r="C461" i="1" s="1"/>
  <c r="B488" i="1"/>
  <c r="C488" i="1" s="1"/>
  <c r="B513" i="1"/>
  <c r="C513" i="1" s="1"/>
  <c r="B542" i="1"/>
  <c r="C542" i="1" s="1"/>
  <c r="B563" i="1"/>
  <c r="C563" i="1" s="1"/>
  <c r="B590" i="1"/>
  <c r="C590" i="1" s="1"/>
  <c r="B615" i="1"/>
  <c r="C615" i="1" s="1"/>
  <c r="B643" i="1"/>
  <c r="C643" i="1" s="1"/>
  <c r="B663" i="1"/>
  <c r="C663" i="1" s="1"/>
  <c r="B691" i="1"/>
  <c r="C691" i="1" s="1"/>
  <c r="B719" i="1"/>
  <c r="C719" i="1" s="1"/>
  <c r="B744" i="1"/>
  <c r="C744" i="1" s="1"/>
  <c r="B772" i="1"/>
  <c r="C772" i="1" s="1"/>
  <c r="B791" i="1"/>
  <c r="C791" i="1" s="1"/>
  <c r="B815" i="1"/>
  <c r="C815" i="1" s="1"/>
  <c r="B835" i="1"/>
  <c r="C835" i="1" s="1"/>
  <c r="B854" i="1"/>
  <c r="C854" i="1" s="1"/>
  <c r="B875" i="1"/>
  <c r="C875" i="1" s="1"/>
  <c r="B894" i="1"/>
  <c r="C894" i="1" s="1"/>
  <c r="B911" i="1"/>
  <c r="C911" i="1" s="1"/>
  <c r="B933" i="1"/>
  <c r="C933" i="1" s="1"/>
  <c r="B950" i="1"/>
  <c r="C950" i="1" s="1"/>
  <c r="B972" i="1"/>
  <c r="C972" i="1" s="1"/>
  <c r="B989" i="1"/>
  <c r="C989" i="1" s="1"/>
  <c r="B1012" i="1"/>
  <c r="C1012" i="1" s="1"/>
  <c r="B86" i="1"/>
  <c r="C86" i="1" s="1"/>
  <c r="B130" i="1"/>
  <c r="C130" i="1" s="1"/>
  <c r="B173" i="1"/>
  <c r="C173" i="1" s="1"/>
  <c r="B239" i="1"/>
  <c r="C239" i="1" s="1"/>
  <c r="B261" i="1"/>
  <c r="C261" i="1" s="1"/>
  <c r="B288" i="1"/>
  <c r="C288" i="1" s="1"/>
  <c r="B312" i="1"/>
  <c r="C312" i="1" s="1"/>
  <c r="B341" i="1"/>
  <c r="C341" i="1" s="1"/>
  <c r="B390" i="1"/>
  <c r="C390" i="1" s="1"/>
  <c r="B414" i="1"/>
  <c r="C414" i="1" s="1"/>
  <c r="B441" i="1"/>
  <c r="C441" i="1" s="1"/>
  <c r="B489" i="1"/>
  <c r="C489" i="1" s="1"/>
  <c r="B518" i="1"/>
  <c r="C518" i="1" s="1"/>
  <c r="B571" i="1"/>
  <c r="C571" i="1" s="1"/>
  <c r="B619" i="1"/>
  <c r="C619" i="1" s="1"/>
  <c r="B644" i="1"/>
  <c r="C644" i="1" s="1"/>
  <c r="B696" i="1"/>
  <c r="C696" i="1" s="1"/>
  <c r="B724" i="1"/>
  <c r="C724" i="1" s="1"/>
  <c r="B773" i="1"/>
  <c r="C773" i="1" s="1"/>
  <c r="B795" i="1"/>
  <c r="C795" i="1" s="1"/>
  <c r="B836" i="1"/>
  <c r="C836" i="1" s="1"/>
  <c r="B859" i="1"/>
  <c r="C859" i="1" s="1"/>
  <c r="B895" i="1"/>
  <c r="C895" i="1" s="1"/>
  <c r="B915" i="1"/>
  <c r="C915" i="1" s="1"/>
  <c r="B951" i="1"/>
  <c r="C951" i="1" s="1"/>
  <c r="B996" i="1"/>
  <c r="C996" i="1" s="1"/>
  <c r="B443" i="1"/>
  <c r="C443" i="1" s="1"/>
  <c r="B524" i="1"/>
  <c r="C524" i="1" s="1"/>
  <c r="B572" i="1"/>
  <c r="C572" i="1" s="1"/>
  <c r="B42" i="1"/>
  <c r="C42" i="1" s="1"/>
  <c r="B206" i="1"/>
  <c r="C206" i="1" s="1"/>
  <c r="B363" i="1"/>
  <c r="C363" i="1" s="1"/>
  <c r="B463" i="1"/>
  <c r="C463" i="1" s="1"/>
  <c r="B543" i="1"/>
  <c r="C543" i="1" s="1"/>
  <c r="B591" i="1"/>
  <c r="C591" i="1" s="1"/>
  <c r="B671" i="1"/>
  <c r="C671" i="1" s="1"/>
  <c r="B745" i="1"/>
  <c r="C745" i="1" s="1"/>
  <c r="B819" i="1"/>
  <c r="C819" i="1" s="1"/>
  <c r="B876" i="1"/>
  <c r="C876" i="1" s="1"/>
  <c r="B934" i="1"/>
  <c r="C934" i="1" s="1"/>
  <c r="B973" i="1"/>
  <c r="C973" i="1" s="1"/>
  <c r="B1013" i="1"/>
  <c r="C1013" i="1" s="1"/>
  <c r="B50" i="1"/>
  <c r="C50" i="1" s="1"/>
  <c r="B95" i="1"/>
  <c r="C95" i="1" s="1"/>
  <c r="B131" i="1"/>
  <c r="C131" i="1" s="1"/>
  <c r="B174" i="1"/>
  <c r="C174" i="1" s="1"/>
  <c r="B207" i="1"/>
  <c r="C207" i="1" s="1"/>
  <c r="B240" i="1"/>
  <c r="C240" i="1" s="1"/>
  <c r="B262" i="1"/>
  <c r="C262" i="1" s="1"/>
  <c r="B289" i="1"/>
  <c r="C289" i="1" s="1"/>
  <c r="B321" i="1"/>
  <c r="C321" i="1" s="1"/>
  <c r="B342" i="1"/>
  <c r="C342" i="1" s="1"/>
  <c r="B369" i="1"/>
  <c r="C369" i="1" s="1"/>
  <c r="B395" i="1"/>
  <c r="C395" i="1" s="1"/>
  <c r="B422" i="1"/>
  <c r="C422" i="1" s="1"/>
  <c r="B470" i="1"/>
  <c r="C470" i="1" s="1"/>
  <c r="B496" i="1"/>
  <c r="C496" i="1" s="1"/>
  <c r="B544" i="1"/>
  <c r="C544" i="1" s="1"/>
  <c r="B597" i="1"/>
  <c r="C597" i="1" s="1"/>
  <c r="B645" i="1"/>
  <c r="C645" i="1" s="1"/>
  <c r="B1003" i="1"/>
  <c r="C1003" i="1" s="1"/>
  <c r="B979" i="1"/>
  <c r="C979" i="1" s="1"/>
  <c r="B949" i="1"/>
  <c r="C949" i="1" s="1"/>
  <c r="B925" i="1"/>
  <c r="C925" i="1" s="1"/>
  <c r="B900" i="1"/>
  <c r="C900" i="1" s="1"/>
  <c r="B870" i="1"/>
  <c r="C870" i="1" s="1"/>
  <c r="B846" i="1"/>
  <c r="C846" i="1" s="1"/>
  <c r="B822" i="1"/>
  <c r="C822" i="1" s="1"/>
  <c r="B790" i="1"/>
  <c r="C790" i="1" s="1"/>
  <c r="B760" i="1"/>
  <c r="C760" i="1" s="1"/>
  <c r="B727" i="1"/>
  <c r="C727" i="1" s="1"/>
  <c r="B689" i="1"/>
  <c r="C689" i="1" s="1"/>
  <c r="B660" i="1"/>
  <c r="C660" i="1" s="1"/>
  <c r="B623" i="1"/>
  <c r="C623" i="1" s="1"/>
  <c r="B579" i="1"/>
  <c r="C579" i="1" s="1"/>
  <c r="B536" i="1"/>
  <c r="C536" i="1" s="1"/>
  <c r="B504" i="1"/>
  <c r="C504" i="1" s="1"/>
  <c r="B459" i="1"/>
  <c r="C459" i="1" s="1"/>
  <c r="B423" i="1"/>
  <c r="C423" i="1" s="1"/>
  <c r="B377" i="1"/>
  <c r="C377" i="1" s="1"/>
  <c r="B331" i="1"/>
  <c r="C331" i="1" s="1"/>
  <c r="B296" i="1"/>
  <c r="C296" i="1" s="1"/>
  <c r="B253" i="1"/>
  <c r="C253" i="1" s="1"/>
  <c r="B217" i="1"/>
  <c r="C217" i="1" s="1"/>
  <c r="B151" i="1"/>
  <c r="C151" i="1" s="1"/>
  <c r="B78" i="1"/>
  <c r="C78" i="1" s="1"/>
  <c r="B1023" i="1"/>
  <c r="C1023" i="1" s="1"/>
  <c r="B999" i="1"/>
  <c r="C999" i="1" s="1"/>
  <c r="B975" i="1"/>
  <c r="C975" i="1" s="1"/>
  <c r="B948" i="1"/>
  <c r="C948" i="1" s="1"/>
  <c r="B923" i="1"/>
  <c r="C923" i="1" s="1"/>
  <c r="B899" i="1"/>
  <c r="C899" i="1" s="1"/>
  <c r="B869" i="1"/>
  <c r="C869" i="1" s="1"/>
  <c r="B845" i="1"/>
  <c r="C845" i="1" s="1"/>
  <c r="B820" i="1"/>
  <c r="C820" i="1" s="1"/>
  <c r="B789" i="1"/>
  <c r="C789" i="1" s="1"/>
  <c r="B756" i="1"/>
  <c r="C756" i="1" s="1"/>
  <c r="B725" i="1"/>
  <c r="C725" i="1" s="1"/>
  <c r="B688" i="1"/>
  <c r="C688" i="1" s="1"/>
  <c r="B655" i="1"/>
  <c r="C655" i="1" s="1"/>
  <c r="B614" i="1"/>
  <c r="C614" i="1" s="1"/>
  <c r="B577" i="1"/>
  <c r="C577" i="1" s="1"/>
  <c r="B532" i="1"/>
  <c r="C532" i="1" s="1"/>
  <c r="B497" i="1"/>
  <c r="C497" i="1" s="1"/>
  <c r="B454" i="1"/>
  <c r="C454" i="1" s="1"/>
  <c r="B408" i="1"/>
  <c r="C408" i="1" s="1"/>
  <c r="B372" i="1"/>
  <c r="C372" i="1" s="1"/>
  <c r="B326" i="1"/>
  <c r="C326" i="1" s="1"/>
  <c r="B295" i="1"/>
  <c r="C295" i="1" s="1"/>
  <c r="B252" i="1"/>
  <c r="C252" i="1" s="1"/>
  <c r="B198" i="1"/>
  <c r="C198" i="1" s="1"/>
  <c r="B147" i="1"/>
  <c r="C147" i="1" s="1"/>
  <c r="B69" i="1"/>
  <c r="C69" i="1" s="1"/>
  <c r="B1022" i="1"/>
  <c r="C1022" i="1" s="1"/>
  <c r="B998" i="1"/>
  <c r="C998" i="1" s="1"/>
  <c r="B971" i="1"/>
  <c r="C971" i="1" s="1"/>
  <c r="B947" i="1"/>
  <c r="C947" i="1" s="1"/>
  <c r="B919" i="1"/>
  <c r="C919" i="1" s="1"/>
  <c r="B893" i="1"/>
  <c r="C893" i="1" s="1"/>
  <c r="B868" i="1"/>
  <c r="C868" i="1" s="1"/>
  <c r="B844" i="1"/>
  <c r="C844" i="1" s="1"/>
  <c r="B812" i="1"/>
  <c r="C812" i="1" s="1"/>
  <c r="B788" i="1"/>
  <c r="C788" i="1" s="1"/>
  <c r="B753" i="1"/>
  <c r="C753" i="1" s="1"/>
  <c r="B715" i="1"/>
  <c r="C715" i="1" s="1"/>
  <c r="B680" i="1"/>
  <c r="C680" i="1" s="1"/>
  <c r="B654" i="1"/>
  <c r="C654" i="1" s="1"/>
  <c r="B609" i="1"/>
  <c r="C609" i="1" s="1"/>
  <c r="B573" i="1"/>
  <c r="C573" i="1" s="1"/>
  <c r="B527" i="1"/>
  <c r="C527" i="1" s="1"/>
  <c r="B487" i="1"/>
  <c r="C487" i="1" s="1"/>
  <c r="B453" i="1"/>
  <c r="C453" i="1" s="1"/>
  <c r="B407" i="1"/>
  <c r="C407" i="1" s="1"/>
  <c r="B371" i="1"/>
  <c r="C371" i="1" s="1"/>
  <c r="B325" i="1"/>
  <c r="C325" i="1" s="1"/>
  <c r="B279" i="1"/>
  <c r="C279" i="1" s="1"/>
  <c r="B244" i="1"/>
  <c r="C244" i="1" s="1"/>
  <c r="B193" i="1"/>
  <c r="C193" i="1" s="1"/>
  <c r="B141" i="1"/>
  <c r="C141" i="1" s="1"/>
  <c r="B68" i="1"/>
  <c r="C68" i="1" s="1"/>
  <c r="B1021" i="1"/>
  <c r="C1021" i="1" s="1"/>
  <c r="B997" i="1"/>
  <c r="C997" i="1" s="1"/>
  <c r="B965" i="1"/>
  <c r="C965" i="1" s="1"/>
  <c r="B943" i="1"/>
  <c r="C943" i="1" s="1"/>
  <c r="B918" i="1"/>
  <c r="C918" i="1" s="1"/>
  <c r="B886" i="1"/>
  <c r="C886" i="1" s="1"/>
  <c r="B862" i="1"/>
  <c r="C862" i="1" s="1"/>
  <c r="B843" i="1"/>
  <c r="C843" i="1" s="1"/>
  <c r="B807" i="1"/>
  <c r="C807" i="1" s="1"/>
  <c r="B780" i="1"/>
  <c r="C780" i="1" s="1"/>
  <c r="B747" i="1"/>
  <c r="C747" i="1" s="1"/>
  <c r="B709" i="1"/>
  <c r="C709" i="1" s="1"/>
  <c r="B679" i="1"/>
  <c r="C679" i="1" s="1"/>
  <c r="B641" i="1"/>
  <c r="C641" i="1" s="1"/>
  <c r="B607" i="1"/>
  <c r="C607" i="1" s="1"/>
  <c r="B561" i="1"/>
  <c r="C561" i="1" s="1"/>
  <c r="B526" i="1"/>
  <c r="C526" i="1" s="1"/>
  <c r="B480" i="1"/>
  <c r="C480" i="1" s="1"/>
  <c r="B444" i="1"/>
  <c r="C444" i="1" s="1"/>
  <c r="B404" i="1"/>
  <c r="C404" i="1" s="1"/>
  <c r="B358" i="1"/>
  <c r="C358" i="1" s="1"/>
  <c r="B324" i="1"/>
  <c r="C324" i="1" s="1"/>
  <c r="B278" i="1"/>
  <c r="C278" i="1" s="1"/>
  <c r="B241" i="1"/>
  <c r="C241" i="1" s="1"/>
  <c r="B183" i="1"/>
  <c r="C183" i="1" s="1"/>
  <c r="B115" i="1"/>
  <c r="C115" i="1" s="1"/>
  <c r="B67" i="1"/>
  <c r="C67" i="1" s="1"/>
  <c r="B32" i="1"/>
  <c r="C32" i="1" s="1"/>
  <c r="B28" i="1"/>
  <c r="C28" i="1" s="1"/>
  <c r="B51" i="1"/>
  <c r="C51" i="1" s="1"/>
  <c r="B74" i="1"/>
  <c r="C74" i="1" s="1"/>
  <c r="B96" i="1"/>
  <c r="C96" i="1" s="1"/>
  <c r="B123" i="1"/>
  <c r="C123" i="1" s="1"/>
  <c r="B142" i="1"/>
  <c r="C142" i="1" s="1"/>
  <c r="B168" i="1"/>
  <c r="C168" i="1" s="1"/>
  <c r="B185" i="1"/>
  <c r="C185" i="1" s="1"/>
  <c r="B208" i="1"/>
  <c r="C208" i="1" s="1"/>
  <c r="B230" i="1"/>
  <c r="C230" i="1" s="1"/>
  <c r="B243" i="1"/>
  <c r="C243" i="1" s="1"/>
  <c r="B259" i="1"/>
  <c r="C259" i="1" s="1"/>
  <c r="B271" i="1"/>
  <c r="C271" i="1" s="1"/>
  <c r="B287" i="1"/>
  <c r="C287" i="1" s="1"/>
  <c r="B303" i="1"/>
  <c r="C303" i="1" s="1"/>
  <c r="B316" i="1"/>
  <c r="C316" i="1" s="1"/>
  <c r="B332" i="1"/>
  <c r="C332" i="1" s="1"/>
  <c r="B344" i="1"/>
  <c r="C344" i="1" s="1"/>
  <c r="B360" i="1"/>
  <c r="C360" i="1" s="1"/>
  <c r="B376" i="1"/>
  <c r="C376" i="1" s="1"/>
  <c r="B389" i="1"/>
  <c r="C389" i="1" s="1"/>
  <c r="B405" i="1"/>
  <c r="C405" i="1" s="1"/>
  <c r="B417" i="1"/>
  <c r="C417" i="1" s="1"/>
  <c r="B433" i="1"/>
  <c r="C433" i="1" s="1"/>
  <c r="B449" i="1"/>
  <c r="C449" i="1" s="1"/>
  <c r="B462" i="1"/>
  <c r="C462" i="1" s="1"/>
  <c r="B478" i="1"/>
  <c r="C478" i="1" s="1"/>
  <c r="B491" i="1"/>
  <c r="C491" i="1" s="1"/>
  <c r="B507" i="1"/>
  <c r="C507" i="1" s="1"/>
  <c r="B523" i="1"/>
  <c r="C523" i="1" s="1"/>
  <c r="B535" i="1"/>
  <c r="C535" i="1" s="1"/>
  <c r="B551" i="1"/>
  <c r="C551" i="1" s="1"/>
  <c r="B564" i="1"/>
  <c r="C564" i="1" s="1"/>
  <c r="B580" i="1"/>
  <c r="C580" i="1" s="1"/>
  <c r="B596" i="1"/>
  <c r="C596" i="1" s="1"/>
  <c r="B608" i="1"/>
  <c r="C608" i="1" s="1"/>
  <c r="B624" i="1"/>
  <c r="C624" i="1" s="1"/>
  <c r="B637" i="1"/>
  <c r="C637" i="1" s="1"/>
  <c r="B653" i="1"/>
  <c r="C653" i="1" s="1"/>
  <c r="B669" i="1"/>
  <c r="C669" i="1" s="1"/>
  <c r="B681" i="1"/>
  <c r="C681" i="1" s="1"/>
  <c r="B697" i="1"/>
  <c r="C697" i="1" s="1"/>
  <c r="B710" i="1"/>
  <c r="C710" i="1" s="1"/>
  <c r="B726" i="1"/>
  <c r="C726" i="1" s="1"/>
  <c r="B742" i="1"/>
  <c r="C742" i="1" s="1"/>
  <c r="B755" i="1"/>
  <c r="C755" i="1" s="1"/>
  <c r="B771" i="1"/>
  <c r="C771" i="1" s="1"/>
  <c r="B783" i="1"/>
  <c r="C783" i="1" s="1"/>
  <c r="B797" i="1"/>
  <c r="C797" i="1" s="1"/>
  <c r="B811" i="1"/>
  <c r="C811" i="1" s="1"/>
  <c r="B29" i="1"/>
  <c r="C29" i="1" s="1"/>
  <c r="B56" i="1"/>
  <c r="C56" i="1" s="1"/>
  <c r="B84" i="1"/>
  <c r="C84" i="1" s="1"/>
  <c r="B111" i="1"/>
  <c r="C111" i="1" s="1"/>
  <c r="B139" i="1"/>
  <c r="C139" i="1" s="1"/>
  <c r="B159" i="1"/>
  <c r="C159" i="1" s="1"/>
  <c r="B184" i="1"/>
  <c r="C184" i="1" s="1"/>
  <c r="B209" i="1"/>
  <c r="C209" i="1" s="1"/>
  <c r="B232" i="1"/>
  <c r="C232" i="1" s="1"/>
  <c r="B249" i="1"/>
  <c r="C249" i="1" s="1"/>
  <c r="B267" i="1"/>
  <c r="C267" i="1" s="1"/>
  <c r="B280" i="1"/>
  <c r="C280" i="1" s="1"/>
  <c r="B297" i="1"/>
  <c r="C297" i="1" s="1"/>
  <c r="B315" i="1"/>
  <c r="C315" i="1" s="1"/>
  <c r="B333" i="1"/>
  <c r="C333" i="1" s="1"/>
  <c r="B350" i="1"/>
  <c r="C350" i="1" s="1"/>
  <c r="B367" i="1"/>
  <c r="C367" i="1" s="1"/>
  <c r="B381" i="1"/>
  <c r="C381" i="1" s="1"/>
  <c r="B398" i="1"/>
  <c r="C398" i="1" s="1"/>
  <c r="B415" i="1"/>
  <c r="C415" i="1" s="1"/>
  <c r="B432" i="1"/>
  <c r="C432" i="1" s="1"/>
  <c r="B451" i="1"/>
  <c r="C451" i="1" s="1"/>
  <c r="B468" i="1"/>
  <c r="C468" i="1" s="1"/>
  <c r="B481" i="1"/>
  <c r="C481" i="1" s="1"/>
  <c r="B499" i="1"/>
  <c r="C499" i="1" s="1"/>
  <c r="B516" i="1"/>
  <c r="C516" i="1" s="1"/>
  <c r="B533" i="1"/>
  <c r="C533" i="1" s="1"/>
  <c r="B550" i="1"/>
  <c r="C550" i="1" s="1"/>
  <c r="B568" i="1"/>
  <c r="C568" i="1" s="1"/>
  <c r="B582" i="1"/>
  <c r="C582" i="1" s="1"/>
  <c r="B599" i="1"/>
  <c r="C599" i="1" s="1"/>
  <c r="B616" i="1"/>
  <c r="C616" i="1" s="1"/>
  <c r="B633" i="1"/>
  <c r="C633" i="1" s="1"/>
  <c r="B651" i="1"/>
  <c r="C651" i="1" s="1"/>
  <c r="B664" i="1"/>
  <c r="C664" i="1" s="1"/>
  <c r="B683" i="1"/>
  <c r="C683" i="1" s="1"/>
  <c r="B700" i="1"/>
  <c r="C700" i="1" s="1"/>
  <c r="B717" i="1"/>
  <c r="C717" i="1" s="1"/>
  <c r="B734" i="1"/>
  <c r="C734" i="1" s="1"/>
  <c r="B751" i="1"/>
  <c r="C751" i="1" s="1"/>
  <c r="B765" i="1"/>
  <c r="C765" i="1" s="1"/>
  <c r="B782" i="1"/>
  <c r="C782" i="1" s="1"/>
  <c r="B798" i="1"/>
  <c r="C798" i="1" s="1"/>
  <c r="B813" i="1"/>
  <c r="C813" i="1" s="1"/>
  <c r="B827" i="1"/>
  <c r="C827" i="1" s="1"/>
  <c r="B838" i="1"/>
  <c r="C838" i="1" s="1"/>
  <c r="B852" i="1"/>
  <c r="C852" i="1" s="1"/>
  <c r="B863" i="1"/>
  <c r="C863" i="1" s="1"/>
  <c r="B877" i="1"/>
  <c r="C877" i="1" s="1"/>
  <c r="B891" i="1"/>
  <c r="C891" i="1" s="1"/>
  <c r="B902" i="1"/>
  <c r="C902" i="1" s="1"/>
  <c r="B916" i="1"/>
  <c r="C916" i="1" s="1"/>
  <c r="B927" i="1"/>
  <c r="C927" i="1" s="1"/>
  <c r="B941" i="1"/>
  <c r="C941" i="1" s="1"/>
  <c r="B955" i="1"/>
  <c r="C955" i="1" s="1"/>
  <c r="B966" i="1"/>
  <c r="C966" i="1" s="1"/>
  <c r="B980" i="1"/>
  <c r="C980" i="1" s="1"/>
  <c r="B991" i="1"/>
  <c r="C991" i="1" s="1"/>
  <c r="B1005" i="1"/>
  <c r="C1005" i="1" s="1"/>
  <c r="B1019" i="1"/>
  <c r="C1019" i="1" s="1"/>
  <c r="B37" i="1"/>
  <c r="C37" i="1" s="1"/>
  <c r="B58" i="1"/>
  <c r="C58" i="1" s="1"/>
  <c r="B85" i="1"/>
  <c r="C85" i="1" s="1"/>
  <c r="B112" i="1"/>
  <c r="C112" i="1" s="1"/>
  <c r="B140" i="1"/>
  <c r="C140" i="1" s="1"/>
  <c r="B167" i="1"/>
  <c r="C167" i="1" s="1"/>
  <c r="B192" i="1"/>
  <c r="C192" i="1" s="1"/>
  <c r="B213" i="1"/>
  <c r="C213" i="1" s="1"/>
  <c r="B233" i="1"/>
  <c r="C233" i="1" s="1"/>
  <c r="B251" i="1"/>
  <c r="C251" i="1" s="1"/>
  <c r="B268" i="1"/>
  <c r="C268" i="1" s="1"/>
  <c r="B285" i="1"/>
  <c r="C285" i="1" s="1"/>
  <c r="B299" i="1"/>
  <c r="C299" i="1" s="1"/>
  <c r="B317" i="1"/>
  <c r="C317" i="1" s="1"/>
  <c r="B334" i="1"/>
  <c r="C334" i="1" s="1"/>
  <c r="B351" i="1"/>
  <c r="C351" i="1" s="1"/>
  <c r="B368" i="1"/>
  <c r="C368" i="1" s="1"/>
  <c r="B385" i="1"/>
  <c r="C385" i="1" s="1"/>
  <c r="B399" i="1"/>
  <c r="C399" i="1" s="1"/>
  <c r="B416" i="1"/>
  <c r="C416" i="1" s="1"/>
  <c r="B435" i="1"/>
  <c r="C435" i="1" s="1"/>
  <c r="B452" i="1"/>
  <c r="C452" i="1" s="1"/>
  <c r="B469" i="1"/>
  <c r="C469" i="1" s="1"/>
  <c r="B486" i="1"/>
  <c r="C486" i="1" s="1"/>
  <c r="B500" i="1"/>
  <c r="C500" i="1" s="1"/>
  <c r="B517" i="1"/>
  <c r="C517" i="1" s="1"/>
  <c r="B534" i="1"/>
  <c r="C534" i="1" s="1"/>
  <c r="B552" i="1"/>
  <c r="C552" i="1" s="1"/>
  <c r="B569" i="1"/>
  <c r="C569" i="1" s="1"/>
  <c r="B587" i="1"/>
  <c r="C587" i="1" s="1"/>
  <c r="B600" i="1"/>
  <c r="C600" i="1" s="1"/>
  <c r="B617" i="1"/>
  <c r="C617" i="1" s="1"/>
  <c r="B635" i="1"/>
  <c r="C635" i="1" s="1"/>
  <c r="B652" i="1"/>
  <c r="C652" i="1" s="1"/>
  <c r="B670" i="1"/>
  <c r="C670" i="1" s="1"/>
  <c r="B687" i="1"/>
  <c r="C687" i="1" s="1"/>
  <c r="B701" i="1"/>
  <c r="C701" i="1" s="1"/>
  <c r="B718" i="1"/>
  <c r="C718" i="1" s="1"/>
  <c r="B735" i="1"/>
  <c r="C735" i="1" s="1"/>
  <c r="B752" i="1"/>
  <c r="C752" i="1" s="1"/>
  <c r="B769" i="1"/>
  <c r="C769" i="1" s="1"/>
  <c r="B787" i="1"/>
  <c r="C787" i="1" s="1"/>
  <c r="B799" i="1"/>
  <c r="C799" i="1" s="1"/>
  <c r="B814" i="1"/>
  <c r="C814" i="1" s="1"/>
  <c r="B828" i="1"/>
  <c r="C828" i="1" s="1"/>
  <c r="B839" i="1"/>
  <c r="C839" i="1" s="1"/>
  <c r="B853" i="1"/>
  <c r="C853" i="1" s="1"/>
  <c r="B867" i="1"/>
  <c r="C867" i="1" s="1"/>
  <c r="B878" i="1"/>
  <c r="C878" i="1" s="1"/>
  <c r="B892" i="1"/>
  <c r="C892" i="1" s="1"/>
  <c r="B903" i="1"/>
  <c r="C903" i="1" s="1"/>
  <c r="B917" i="1"/>
  <c r="C917" i="1" s="1"/>
  <c r="B931" i="1"/>
  <c r="C931" i="1" s="1"/>
  <c r="B942" i="1"/>
  <c r="C942" i="1" s="1"/>
  <c r="B956" i="1"/>
  <c r="C956" i="1" s="1"/>
  <c r="B967" i="1"/>
  <c r="C967" i="1" s="1"/>
  <c r="B981" i="1"/>
  <c r="C981" i="1" s="1"/>
  <c r="B995" i="1"/>
  <c r="C995" i="1" s="1"/>
  <c r="B1006" i="1"/>
  <c r="C1006" i="1" s="1"/>
  <c r="B1020" i="1"/>
  <c r="C1020" i="1" s="1"/>
  <c r="B1011" i="1"/>
  <c r="C1011" i="1" s="1"/>
  <c r="B990" i="1"/>
  <c r="C990" i="1" s="1"/>
  <c r="B974" i="1"/>
  <c r="C974" i="1" s="1"/>
  <c r="B958" i="1"/>
  <c r="C958" i="1" s="1"/>
  <c r="B940" i="1"/>
  <c r="C940" i="1" s="1"/>
  <c r="B924" i="1"/>
  <c r="C924" i="1" s="1"/>
  <c r="B908" i="1"/>
  <c r="C908" i="1" s="1"/>
  <c r="B887" i="1"/>
  <c r="C887" i="1" s="1"/>
  <c r="B871" i="1"/>
  <c r="C871" i="1" s="1"/>
  <c r="B855" i="1"/>
  <c r="C855" i="1" s="1"/>
  <c r="B837" i="1"/>
  <c r="C837" i="1" s="1"/>
  <c r="B821" i="1"/>
  <c r="C821" i="1" s="1"/>
  <c r="B804" i="1"/>
  <c r="C804" i="1" s="1"/>
  <c r="B781" i="1"/>
  <c r="C781" i="1" s="1"/>
  <c r="B761" i="1"/>
  <c r="C761" i="1" s="1"/>
  <c r="B737" i="1"/>
  <c r="C737" i="1" s="1"/>
  <c r="B716" i="1"/>
  <c r="C716" i="1" s="1"/>
  <c r="B692" i="1"/>
  <c r="C692" i="1" s="1"/>
  <c r="B672" i="1"/>
  <c r="C672" i="1" s="1"/>
  <c r="B646" i="1"/>
  <c r="C646" i="1" s="1"/>
  <c r="B627" i="1"/>
  <c r="C627" i="1" s="1"/>
  <c r="B606" i="1"/>
  <c r="C606" i="1" s="1"/>
  <c r="B581" i="1"/>
  <c r="C581" i="1" s="1"/>
  <c r="B560" i="1"/>
  <c r="C560" i="1" s="1"/>
  <c r="B541" i="1"/>
  <c r="C541" i="1" s="1"/>
  <c r="B515" i="1"/>
  <c r="C515" i="1" s="1"/>
  <c r="B495" i="1"/>
  <c r="C495" i="1" s="1"/>
  <c r="B471" i="1"/>
  <c r="C471" i="1" s="1"/>
  <c r="B445" i="1"/>
  <c r="C445" i="1" s="1"/>
  <c r="B425" i="1"/>
  <c r="C425" i="1" s="1"/>
  <c r="B406" i="1"/>
  <c r="C406" i="1" s="1"/>
  <c r="B380" i="1"/>
  <c r="C380" i="1" s="1"/>
  <c r="B359" i="1"/>
  <c r="C359" i="1" s="1"/>
  <c r="B340" i="1"/>
  <c r="C340" i="1" s="1"/>
  <c r="B313" i="1"/>
  <c r="C313" i="1" s="1"/>
  <c r="B294" i="1"/>
  <c r="C294" i="1" s="1"/>
  <c r="B270" i="1"/>
  <c r="C270" i="1" s="1"/>
  <c r="B248" i="1"/>
  <c r="C248" i="1" s="1"/>
  <c r="B223" i="1"/>
  <c r="C223" i="1" s="1"/>
  <c r="B197" i="1"/>
  <c r="C197" i="1" s="1"/>
  <c r="B158" i="1"/>
  <c r="C158" i="1" s="1"/>
  <c r="B128" i="1"/>
  <c r="C128" i="1" s="1"/>
  <c r="B94" i="1"/>
  <c r="C94" i="1" s="1"/>
  <c r="B55" i="1"/>
  <c r="C55" i="1" s="1"/>
  <c r="B1018" i="1"/>
  <c r="C1018" i="1" s="1"/>
  <c r="B1010" i="1"/>
  <c r="C1010" i="1" s="1"/>
  <c r="B1002" i="1"/>
  <c r="C1002" i="1" s="1"/>
  <c r="B994" i="1"/>
  <c r="C994" i="1" s="1"/>
  <c r="B986" i="1"/>
  <c r="C986" i="1" s="1"/>
  <c r="B978" i="1"/>
  <c r="C978" i="1" s="1"/>
  <c r="B970" i="1"/>
  <c r="C970" i="1" s="1"/>
  <c r="B962" i="1"/>
  <c r="C962" i="1" s="1"/>
  <c r="B954" i="1"/>
  <c r="C954" i="1" s="1"/>
  <c r="B946" i="1"/>
  <c r="C946" i="1" s="1"/>
  <c r="B938" i="1"/>
  <c r="C938" i="1" s="1"/>
  <c r="B930" i="1"/>
  <c r="C930" i="1" s="1"/>
  <c r="B922" i="1"/>
  <c r="C922" i="1" s="1"/>
  <c r="B914" i="1"/>
  <c r="C914" i="1" s="1"/>
  <c r="B906" i="1"/>
  <c r="C906" i="1" s="1"/>
  <c r="B898" i="1"/>
  <c r="C898" i="1" s="1"/>
  <c r="B890" i="1"/>
  <c r="C890" i="1" s="1"/>
  <c r="B882" i="1"/>
  <c r="C882" i="1" s="1"/>
  <c r="B874" i="1"/>
  <c r="C874" i="1" s="1"/>
  <c r="B866" i="1"/>
  <c r="C866" i="1" s="1"/>
  <c r="B858" i="1"/>
  <c r="C858" i="1" s="1"/>
  <c r="B850" i="1"/>
  <c r="C850" i="1" s="1"/>
  <c r="B842" i="1"/>
  <c r="C842" i="1" s="1"/>
  <c r="B834" i="1"/>
  <c r="C834" i="1" s="1"/>
  <c r="B826" i="1"/>
  <c r="C826" i="1" s="1"/>
  <c r="B818" i="1"/>
  <c r="C818" i="1" s="1"/>
  <c r="B810" i="1"/>
  <c r="C810" i="1" s="1"/>
  <c r="B802" i="1"/>
  <c r="C802" i="1" s="1"/>
  <c r="B794" i="1"/>
  <c r="C794" i="1" s="1"/>
  <c r="B786" i="1"/>
  <c r="C786" i="1" s="1"/>
  <c r="B777" i="1"/>
  <c r="C777" i="1" s="1"/>
  <c r="B768" i="1"/>
  <c r="C768" i="1" s="1"/>
  <c r="B759" i="1"/>
  <c r="C759" i="1" s="1"/>
  <c r="B750" i="1"/>
  <c r="C750" i="1" s="1"/>
  <c r="B741" i="1"/>
  <c r="C741" i="1" s="1"/>
  <c r="B732" i="1"/>
  <c r="C732" i="1" s="1"/>
  <c r="B723" i="1"/>
  <c r="C723" i="1" s="1"/>
  <c r="B713" i="1"/>
  <c r="C713" i="1" s="1"/>
  <c r="B704" i="1"/>
  <c r="C704" i="1" s="1"/>
  <c r="B695" i="1"/>
  <c r="C695" i="1" s="1"/>
  <c r="B686" i="1"/>
  <c r="C686" i="1" s="1"/>
  <c r="B677" i="1"/>
  <c r="C677" i="1" s="1"/>
  <c r="B668" i="1"/>
  <c r="C668" i="1" s="1"/>
  <c r="B659" i="1"/>
  <c r="C659" i="1" s="1"/>
  <c r="B649" i="1"/>
  <c r="C649" i="1" s="1"/>
  <c r="B640" i="1"/>
  <c r="C640" i="1" s="1"/>
  <c r="B631" i="1"/>
  <c r="C631" i="1" s="1"/>
  <c r="B622" i="1"/>
  <c r="C622" i="1" s="1"/>
  <c r="B613" i="1"/>
  <c r="C613" i="1" s="1"/>
  <c r="B604" i="1"/>
  <c r="C604" i="1" s="1"/>
  <c r="B595" i="1"/>
  <c r="C595" i="1" s="1"/>
  <c r="B585" i="1"/>
  <c r="C585" i="1" s="1"/>
  <c r="B576" i="1"/>
  <c r="C576" i="1" s="1"/>
  <c r="B567" i="1"/>
  <c r="C567" i="1" s="1"/>
  <c r="B558" i="1"/>
  <c r="C558" i="1" s="1"/>
  <c r="B549" i="1"/>
  <c r="C549" i="1" s="1"/>
  <c r="B540" i="1"/>
  <c r="C540" i="1" s="1"/>
  <c r="B531" i="1"/>
  <c r="C531" i="1" s="1"/>
  <c r="B521" i="1"/>
  <c r="C521" i="1" s="1"/>
  <c r="B512" i="1"/>
  <c r="C512" i="1" s="1"/>
  <c r="B503" i="1"/>
  <c r="C503" i="1" s="1"/>
  <c r="B494" i="1"/>
  <c r="C494" i="1" s="1"/>
  <c r="B485" i="1"/>
  <c r="C485" i="1" s="1"/>
  <c r="B476" i="1"/>
  <c r="C476" i="1" s="1"/>
  <c r="B467" i="1"/>
  <c r="C467" i="1" s="1"/>
  <c r="B457" i="1"/>
  <c r="C457" i="1" s="1"/>
  <c r="B448" i="1"/>
  <c r="C448" i="1" s="1"/>
  <c r="B439" i="1"/>
  <c r="C439" i="1" s="1"/>
  <c r="B430" i="1"/>
  <c r="C430" i="1" s="1"/>
  <c r="B421" i="1"/>
  <c r="C421" i="1" s="1"/>
  <c r="B412" i="1"/>
  <c r="C412" i="1" s="1"/>
  <c r="B403" i="1"/>
  <c r="C403" i="1" s="1"/>
  <c r="B393" i="1"/>
  <c r="C393" i="1" s="1"/>
  <c r="B384" i="1"/>
  <c r="C384" i="1" s="1"/>
  <c r="B375" i="1"/>
  <c r="C375" i="1" s="1"/>
  <c r="B366" i="1"/>
  <c r="C366" i="1" s="1"/>
  <c r="B357" i="1"/>
  <c r="C357" i="1" s="1"/>
  <c r="B348" i="1"/>
  <c r="C348" i="1" s="1"/>
  <c r="B339" i="1"/>
  <c r="C339" i="1" s="1"/>
  <c r="B329" i="1"/>
  <c r="C329" i="1" s="1"/>
  <c r="B320" i="1"/>
  <c r="C320" i="1" s="1"/>
  <c r="B311" i="1"/>
  <c r="C311" i="1" s="1"/>
  <c r="B302" i="1"/>
  <c r="C302" i="1" s="1"/>
  <c r="B293" i="1"/>
  <c r="C293" i="1" s="1"/>
  <c r="B284" i="1"/>
  <c r="C284" i="1" s="1"/>
  <c r="B275" i="1"/>
  <c r="C275" i="1" s="1"/>
  <c r="B265" i="1"/>
  <c r="C265" i="1" s="1"/>
  <c r="B256" i="1"/>
  <c r="C256" i="1" s="1"/>
  <c r="B247" i="1"/>
  <c r="C247" i="1" s="1"/>
  <c r="B238" i="1"/>
  <c r="C238" i="1" s="1"/>
  <c r="B229" i="1"/>
  <c r="C229" i="1" s="1"/>
  <c r="B216" i="1"/>
  <c r="C216" i="1" s="1"/>
  <c r="B205" i="1"/>
  <c r="C205" i="1" s="1"/>
  <c r="B191" i="1"/>
  <c r="C191" i="1" s="1"/>
  <c r="B177" i="1"/>
  <c r="C177" i="1" s="1"/>
  <c r="B166" i="1"/>
  <c r="C166" i="1" s="1"/>
  <c r="B150" i="1"/>
  <c r="C150" i="1" s="1"/>
  <c r="B138" i="1"/>
  <c r="C138" i="1" s="1"/>
  <c r="B122" i="1"/>
  <c r="C122" i="1" s="1"/>
  <c r="B106" i="1"/>
  <c r="C106" i="1" s="1"/>
  <c r="B93" i="1"/>
  <c r="C93" i="1" s="1"/>
  <c r="B77" i="1"/>
  <c r="C77" i="1" s="1"/>
  <c r="B64" i="1"/>
  <c r="C64" i="1" s="1"/>
  <c r="B48" i="1"/>
  <c r="C48" i="1" s="1"/>
  <c r="A24" i="1"/>
  <c r="B24" i="1" s="1"/>
  <c r="C24" i="1" s="1"/>
  <c r="B25" i="1"/>
  <c r="C25" i="1" s="1"/>
  <c r="B33" i="1"/>
  <c r="C33" i="1" s="1"/>
  <c r="B41" i="1"/>
  <c r="C41" i="1" s="1"/>
  <c r="B49" i="1"/>
  <c r="C49" i="1" s="1"/>
  <c r="B57" i="1"/>
  <c r="C57" i="1" s="1"/>
  <c r="B65" i="1"/>
  <c r="C65" i="1" s="1"/>
  <c r="B73" i="1"/>
  <c r="C73" i="1" s="1"/>
  <c r="B81" i="1"/>
  <c r="C81" i="1" s="1"/>
  <c r="B89" i="1"/>
  <c r="C89" i="1" s="1"/>
  <c r="B97" i="1"/>
  <c r="C97" i="1" s="1"/>
  <c r="B105" i="1"/>
  <c r="C105" i="1" s="1"/>
  <c r="B113" i="1"/>
  <c r="C113" i="1" s="1"/>
  <c r="B121" i="1"/>
  <c r="C121" i="1" s="1"/>
  <c r="B129" i="1"/>
  <c r="C129" i="1" s="1"/>
  <c r="B137" i="1"/>
  <c r="C137" i="1" s="1"/>
  <c r="B145" i="1"/>
  <c r="C145" i="1" s="1"/>
  <c r="B153" i="1"/>
  <c r="C153" i="1" s="1"/>
  <c r="B161" i="1"/>
  <c r="C161" i="1" s="1"/>
  <c r="B34" i="1"/>
  <c r="C34" i="1" s="1"/>
  <c r="B43" i="1"/>
  <c r="C43" i="1" s="1"/>
  <c r="B52" i="1"/>
  <c r="C52" i="1" s="1"/>
  <c r="B61" i="1"/>
  <c r="C61" i="1" s="1"/>
  <c r="B70" i="1"/>
  <c r="C70" i="1" s="1"/>
  <c r="B79" i="1"/>
  <c r="C79" i="1" s="1"/>
  <c r="B88" i="1"/>
  <c r="C88" i="1" s="1"/>
  <c r="B98" i="1"/>
  <c r="C98" i="1" s="1"/>
  <c r="B107" i="1"/>
  <c r="C107" i="1" s="1"/>
  <c r="B116" i="1"/>
  <c r="C116" i="1" s="1"/>
  <c r="B125" i="1"/>
  <c r="C125" i="1" s="1"/>
  <c r="B134" i="1"/>
  <c r="C134" i="1" s="1"/>
  <c r="B143" i="1"/>
  <c r="C143" i="1" s="1"/>
  <c r="B152" i="1"/>
  <c r="C152" i="1" s="1"/>
  <c r="B162" i="1"/>
  <c r="C162" i="1" s="1"/>
  <c r="B170" i="1"/>
  <c r="C170" i="1" s="1"/>
  <c r="B178" i="1"/>
  <c r="C178" i="1" s="1"/>
  <c r="B186" i="1"/>
  <c r="C186" i="1" s="1"/>
  <c r="B194" i="1"/>
  <c r="C194" i="1" s="1"/>
  <c r="B202" i="1"/>
  <c r="C202" i="1" s="1"/>
  <c r="B210" i="1"/>
  <c r="C210" i="1" s="1"/>
  <c r="B218" i="1"/>
  <c r="C218" i="1" s="1"/>
  <c r="B226" i="1"/>
  <c r="C226" i="1" s="1"/>
  <c r="B234" i="1"/>
  <c r="C234" i="1" s="1"/>
  <c r="B242" i="1"/>
  <c r="C242" i="1" s="1"/>
  <c r="B250" i="1"/>
  <c r="C250" i="1" s="1"/>
  <c r="B258" i="1"/>
  <c r="C258" i="1" s="1"/>
  <c r="B266" i="1"/>
  <c r="C266" i="1" s="1"/>
  <c r="B274" i="1"/>
  <c r="C274" i="1" s="1"/>
  <c r="B282" i="1"/>
  <c r="C282" i="1" s="1"/>
  <c r="B290" i="1"/>
  <c r="C290" i="1" s="1"/>
  <c r="B298" i="1"/>
  <c r="C298" i="1" s="1"/>
  <c r="B306" i="1"/>
  <c r="C306" i="1" s="1"/>
  <c r="B314" i="1"/>
  <c r="C314" i="1" s="1"/>
  <c r="B322" i="1"/>
  <c r="C322" i="1" s="1"/>
  <c r="B330" i="1"/>
  <c r="C330" i="1" s="1"/>
  <c r="B338" i="1"/>
  <c r="C338" i="1" s="1"/>
  <c r="B346" i="1"/>
  <c r="C346" i="1" s="1"/>
  <c r="B354" i="1"/>
  <c r="C354" i="1" s="1"/>
  <c r="B362" i="1"/>
  <c r="C362" i="1" s="1"/>
  <c r="B370" i="1"/>
  <c r="C370" i="1" s="1"/>
  <c r="B378" i="1"/>
  <c r="C378" i="1" s="1"/>
  <c r="B386" i="1"/>
  <c r="C386" i="1" s="1"/>
  <c r="B394" i="1"/>
  <c r="C394" i="1" s="1"/>
  <c r="B402" i="1"/>
  <c r="C402" i="1" s="1"/>
  <c r="B410" i="1"/>
  <c r="C410" i="1" s="1"/>
  <c r="B418" i="1"/>
  <c r="C418" i="1" s="1"/>
  <c r="B426" i="1"/>
  <c r="C426" i="1" s="1"/>
  <c r="B434" i="1"/>
  <c r="C434" i="1" s="1"/>
  <c r="B442" i="1"/>
  <c r="C442" i="1" s="1"/>
  <c r="B450" i="1"/>
  <c r="C450" i="1" s="1"/>
  <c r="B458" i="1"/>
  <c r="C458" i="1" s="1"/>
  <c r="B466" i="1"/>
  <c r="C466" i="1" s="1"/>
  <c r="B474" i="1"/>
  <c r="C474" i="1" s="1"/>
  <c r="B482" i="1"/>
  <c r="C482" i="1" s="1"/>
  <c r="B490" i="1"/>
  <c r="C490" i="1" s="1"/>
  <c r="B498" i="1"/>
  <c r="C498" i="1" s="1"/>
  <c r="B506" i="1"/>
  <c r="C506" i="1" s="1"/>
  <c r="B514" i="1"/>
  <c r="C514" i="1" s="1"/>
  <c r="B522" i="1"/>
  <c r="C522" i="1" s="1"/>
  <c r="B530" i="1"/>
  <c r="C530" i="1" s="1"/>
  <c r="B538" i="1"/>
  <c r="C538" i="1" s="1"/>
  <c r="B546" i="1"/>
  <c r="C546" i="1" s="1"/>
  <c r="B554" i="1"/>
  <c r="C554" i="1" s="1"/>
  <c r="B562" i="1"/>
  <c r="C562" i="1" s="1"/>
  <c r="B570" i="1"/>
  <c r="C570" i="1" s="1"/>
  <c r="B578" i="1"/>
  <c r="C578" i="1" s="1"/>
  <c r="B586" i="1"/>
  <c r="C586" i="1" s="1"/>
  <c r="B594" i="1"/>
  <c r="C594" i="1" s="1"/>
  <c r="B602" i="1"/>
  <c r="C602" i="1" s="1"/>
  <c r="B610" i="1"/>
  <c r="C610" i="1" s="1"/>
  <c r="B618" i="1"/>
  <c r="C618" i="1" s="1"/>
  <c r="B626" i="1"/>
  <c r="C626" i="1" s="1"/>
  <c r="B634" i="1"/>
  <c r="C634" i="1" s="1"/>
  <c r="B642" i="1"/>
  <c r="C642" i="1" s="1"/>
  <c r="B650" i="1"/>
  <c r="C650" i="1" s="1"/>
  <c r="B658" i="1"/>
  <c r="C658" i="1" s="1"/>
  <c r="B666" i="1"/>
  <c r="C666" i="1" s="1"/>
  <c r="B674" i="1"/>
  <c r="C674" i="1" s="1"/>
  <c r="B682" i="1"/>
  <c r="C682" i="1" s="1"/>
  <c r="B690" i="1"/>
  <c r="C690" i="1" s="1"/>
  <c r="B698" i="1"/>
  <c r="C698" i="1" s="1"/>
  <c r="B706" i="1"/>
  <c r="C706" i="1" s="1"/>
  <c r="B714" i="1"/>
  <c r="C714" i="1" s="1"/>
  <c r="B722" i="1"/>
  <c r="C722" i="1" s="1"/>
  <c r="B730" i="1"/>
  <c r="C730" i="1" s="1"/>
  <c r="B738" i="1"/>
  <c r="C738" i="1" s="1"/>
  <c r="B746" i="1"/>
  <c r="C746" i="1" s="1"/>
  <c r="B754" i="1"/>
  <c r="C754" i="1" s="1"/>
  <c r="B762" i="1"/>
  <c r="C762" i="1" s="1"/>
  <c r="B770" i="1"/>
  <c r="C770" i="1" s="1"/>
  <c r="B778" i="1"/>
  <c r="C778" i="1" s="1"/>
  <c r="B26" i="1"/>
  <c r="C26" i="1" s="1"/>
  <c r="B35" i="1"/>
  <c r="C35" i="1" s="1"/>
  <c r="B44" i="1"/>
  <c r="C44" i="1" s="1"/>
  <c r="B53" i="1"/>
  <c r="C53" i="1" s="1"/>
  <c r="B62" i="1"/>
  <c r="C62" i="1" s="1"/>
  <c r="B71" i="1"/>
  <c r="C71" i="1" s="1"/>
  <c r="B80" i="1"/>
  <c r="C80" i="1" s="1"/>
  <c r="B90" i="1"/>
  <c r="C90" i="1" s="1"/>
  <c r="B99" i="1"/>
  <c r="C99" i="1" s="1"/>
  <c r="B108" i="1"/>
  <c r="C108" i="1" s="1"/>
  <c r="B117" i="1"/>
  <c r="C117" i="1" s="1"/>
  <c r="B126" i="1"/>
  <c r="C126" i="1" s="1"/>
  <c r="B135" i="1"/>
  <c r="C135" i="1" s="1"/>
  <c r="B144" i="1"/>
  <c r="C144" i="1" s="1"/>
  <c r="B154" i="1"/>
  <c r="C154" i="1" s="1"/>
  <c r="B163" i="1"/>
  <c r="C163" i="1" s="1"/>
  <c r="B171" i="1"/>
  <c r="C171" i="1" s="1"/>
  <c r="B179" i="1"/>
  <c r="C179" i="1" s="1"/>
  <c r="B187" i="1"/>
  <c r="C187" i="1" s="1"/>
  <c r="B195" i="1"/>
  <c r="C195" i="1" s="1"/>
  <c r="B203" i="1"/>
  <c r="C203" i="1" s="1"/>
  <c r="B211" i="1"/>
  <c r="C211" i="1" s="1"/>
  <c r="B219" i="1"/>
  <c r="C219" i="1" s="1"/>
  <c r="B227" i="1"/>
  <c r="C227" i="1" s="1"/>
  <c r="B27" i="1"/>
  <c r="C27" i="1" s="1"/>
  <c r="B36" i="1"/>
  <c r="C36" i="1" s="1"/>
  <c r="B45" i="1"/>
  <c r="C45" i="1" s="1"/>
  <c r="B54" i="1"/>
  <c r="C54" i="1" s="1"/>
  <c r="B63" i="1"/>
  <c r="C63" i="1" s="1"/>
  <c r="B72" i="1"/>
  <c r="C72" i="1" s="1"/>
  <c r="B82" i="1"/>
  <c r="C82" i="1" s="1"/>
  <c r="B91" i="1"/>
  <c r="C91" i="1" s="1"/>
  <c r="B100" i="1"/>
  <c r="C100" i="1" s="1"/>
  <c r="B109" i="1"/>
  <c r="C109" i="1" s="1"/>
  <c r="B118" i="1"/>
  <c r="C118" i="1" s="1"/>
  <c r="B127" i="1"/>
  <c r="C127" i="1" s="1"/>
  <c r="B136" i="1"/>
  <c r="C136" i="1" s="1"/>
  <c r="B146" i="1"/>
  <c r="C146" i="1" s="1"/>
  <c r="B155" i="1"/>
  <c r="C155" i="1" s="1"/>
  <c r="B164" i="1"/>
  <c r="C164" i="1" s="1"/>
  <c r="B172" i="1"/>
  <c r="C172" i="1" s="1"/>
  <c r="B180" i="1"/>
  <c r="C180" i="1" s="1"/>
  <c r="B188" i="1"/>
  <c r="C188" i="1" s="1"/>
  <c r="B196" i="1"/>
  <c r="C196" i="1" s="1"/>
  <c r="B204" i="1"/>
  <c r="C204" i="1" s="1"/>
  <c r="B212" i="1"/>
  <c r="C212" i="1" s="1"/>
  <c r="B220" i="1"/>
  <c r="C220" i="1" s="1"/>
  <c r="B1017" i="1"/>
  <c r="C1017" i="1" s="1"/>
  <c r="B1009" i="1"/>
  <c r="C1009" i="1" s="1"/>
  <c r="B1001" i="1"/>
  <c r="C1001" i="1" s="1"/>
  <c r="B993" i="1"/>
  <c r="C993" i="1" s="1"/>
  <c r="B985" i="1"/>
  <c r="C985" i="1" s="1"/>
  <c r="B977" i="1"/>
  <c r="C977" i="1" s="1"/>
  <c r="B969" i="1"/>
  <c r="C969" i="1" s="1"/>
  <c r="B961" i="1"/>
  <c r="C961" i="1" s="1"/>
  <c r="B953" i="1"/>
  <c r="C953" i="1" s="1"/>
  <c r="B945" i="1"/>
  <c r="C945" i="1" s="1"/>
  <c r="B937" i="1"/>
  <c r="C937" i="1" s="1"/>
  <c r="B929" i="1"/>
  <c r="C929" i="1" s="1"/>
  <c r="B921" i="1"/>
  <c r="C921" i="1" s="1"/>
  <c r="B913" i="1"/>
  <c r="C913" i="1" s="1"/>
  <c r="B905" i="1"/>
  <c r="C905" i="1" s="1"/>
  <c r="B897" i="1"/>
  <c r="C897" i="1" s="1"/>
  <c r="B889" i="1"/>
  <c r="C889" i="1" s="1"/>
  <c r="B881" i="1"/>
  <c r="C881" i="1" s="1"/>
  <c r="B873" i="1"/>
  <c r="C873" i="1" s="1"/>
  <c r="B865" i="1"/>
  <c r="C865" i="1" s="1"/>
  <c r="B857" i="1"/>
  <c r="C857" i="1" s="1"/>
  <c r="B849" i="1"/>
  <c r="C849" i="1" s="1"/>
  <c r="B841" i="1"/>
  <c r="C841" i="1" s="1"/>
  <c r="B833" i="1"/>
  <c r="C833" i="1" s="1"/>
  <c r="B825" i="1"/>
  <c r="C825" i="1" s="1"/>
  <c r="B817" i="1"/>
  <c r="C817" i="1" s="1"/>
  <c r="B809" i="1"/>
  <c r="C809" i="1" s="1"/>
  <c r="B801" i="1"/>
  <c r="C801" i="1" s="1"/>
  <c r="B793" i="1"/>
  <c r="C793" i="1" s="1"/>
  <c r="B785" i="1"/>
  <c r="C785" i="1" s="1"/>
  <c r="B776" i="1"/>
  <c r="C776" i="1" s="1"/>
  <c r="B767" i="1"/>
  <c r="C767" i="1" s="1"/>
  <c r="B758" i="1"/>
  <c r="C758" i="1" s="1"/>
  <c r="B749" i="1"/>
  <c r="C749" i="1" s="1"/>
  <c r="B740" i="1"/>
  <c r="C740" i="1" s="1"/>
  <c r="B731" i="1"/>
  <c r="C731" i="1" s="1"/>
  <c r="B721" i="1"/>
  <c r="C721" i="1" s="1"/>
  <c r="B712" i="1"/>
  <c r="C712" i="1" s="1"/>
  <c r="B703" i="1"/>
  <c r="C703" i="1" s="1"/>
  <c r="B694" i="1"/>
  <c r="C694" i="1" s="1"/>
  <c r="B685" i="1"/>
  <c r="C685" i="1" s="1"/>
  <c r="B676" i="1"/>
  <c r="C676" i="1" s="1"/>
  <c r="B667" i="1"/>
  <c r="C667" i="1" s="1"/>
  <c r="B657" i="1"/>
  <c r="C657" i="1" s="1"/>
  <c r="B648" i="1"/>
  <c r="C648" i="1" s="1"/>
  <c r="B639" i="1"/>
  <c r="C639" i="1" s="1"/>
  <c r="B630" i="1"/>
  <c r="C630" i="1" s="1"/>
  <c r="B621" i="1"/>
  <c r="C621" i="1" s="1"/>
  <c r="B612" i="1"/>
  <c r="C612" i="1" s="1"/>
  <c r="B603" i="1"/>
  <c r="C603" i="1" s="1"/>
  <c r="B593" i="1"/>
  <c r="C593" i="1" s="1"/>
  <c r="B584" i="1"/>
  <c r="C584" i="1" s="1"/>
  <c r="B575" i="1"/>
  <c r="C575" i="1" s="1"/>
  <c r="B566" i="1"/>
  <c r="C566" i="1" s="1"/>
  <c r="B557" i="1"/>
  <c r="C557" i="1" s="1"/>
  <c r="B548" i="1"/>
  <c r="C548" i="1" s="1"/>
  <c r="B539" i="1"/>
  <c r="C539" i="1" s="1"/>
  <c r="B529" i="1"/>
  <c r="C529" i="1" s="1"/>
  <c r="B520" i="1"/>
  <c r="C520" i="1" s="1"/>
  <c r="B511" i="1"/>
  <c r="C511" i="1" s="1"/>
  <c r="B502" i="1"/>
  <c r="C502" i="1" s="1"/>
  <c r="B493" i="1"/>
  <c r="C493" i="1" s="1"/>
  <c r="B484" i="1"/>
  <c r="C484" i="1" s="1"/>
  <c r="B475" i="1"/>
  <c r="C475" i="1" s="1"/>
  <c r="B465" i="1"/>
  <c r="C465" i="1" s="1"/>
  <c r="B456" i="1"/>
  <c r="C456" i="1" s="1"/>
  <c r="B447" i="1"/>
  <c r="C447" i="1" s="1"/>
  <c r="B438" i="1"/>
  <c r="C438" i="1" s="1"/>
  <c r="B429" i="1"/>
  <c r="C429" i="1" s="1"/>
  <c r="B420" i="1"/>
  <c r="C420" i="1" s="1"/>
  <c r="B411" i="1"/>
  <c r="C411" i="1" s="1"/>
  <c r="B401" i="1"/>
  <c r="C401" i="1" s="1"/>
  <c r="B392" i="1"/>
  <c r="C392" i="1" s="1"/>
  <c r="B383" i="1"/>
  <c r="C383" i="1" s="1"/>
  <c r="B374" i="1"/>
  <c r="C374" i="1" s="1"/>
  <c r="B365" i="1"/>
  <c r="C365" i="1" s="1"/>
  <c r="B356" i="1"/>
  <c r="C356" i="1" s="1"/>
  <c r="B347" i="1"/>
  <c r="C347" i="1" s="1"/>
  <c r="B337" i="1"/>
  <c r="C337" i="1" s="1"/>
  <c r="B328" i="1"/>
  <c r="C328" i="1" s="1"/>
  <c r="B319" i="1"/>
  <c r="C319" i="1" s="1"/>
  <c r="B310" i="1"/>
  <c r="C310" i="1" s="1"/>
  <c r="B301" i="1"/>
  <c r="C301" i="1" s="1"/>
  <c r="B292" i="1"/>
  <c r="C292" i="1" s="1"/>
  <c r="B283" i="1"/>
  <c r="C283" i="1" s="1"/>
  <c r="B273" i="1"/>
  <c r="C273" i="1" s="1"/>
  <c r="B264" i="1"/>
  <c r="C264" i="1" s="1"/>
  <c r="B255" i="1"/>
  <c r="C255" i="1" s="1"/>
  <c r="B246" i="1"/>
  <c r="C246" i="1" s="1"/>
  <c r="B237" i="1"/>
  <c r="C237" i="1" s="1"/>
  <c r="B228" i="1"/>
  <c r="C228" i="1" s="1"/>
  <c r="B215" i="1"/>
  <c r="C215" i="1" s="1"/>
  <c r="B201" i="1"/>
  <c r="C201" i="1" s="1"/>
  <c r="B190" i="1"/>
  <c r="C190" i="1" s="1"/>
  <c r="B176" i="1"/>
  <c r="C176" i="1" s="1"/>
  <c r="B165" i="1"/>
  <c r="C165" i="1" s="1"/>
  <c r="B149" i="1"/>
  <c r="C149" i="1" s="1"/>
  <c r="B133" i="1"/>
  <c r="C133" i="1" s="1"/>
  <c r="B120" i="1"/>
  <c r="C120" i="1" s="1"/>
  <c r="B104" i="1"/>
  <c r="C104" i="1" s="1"/>
  <c r="B92" i="1"/>
  <c r="C92" i="1" s="1"/>
  <c r="B76" i="1"/>
  <c r="C76" i="1" s="1"/>
  <c r="B60" i="1"/>
  <c r="C60" i="1" s="1"/>
  <c r="B47" i="1"/>
  <c r="C47" i="1" s="1"/>
  <c r="B31" i="1"/>
  <c r="C31" i="1" s="1"/>
  <c r="B1016" i="1"/>
  <c r="C1016" i="1" s="1"/>
  <c r="B1008" i="1"/>
  <c r="C1008" i="1" s="1"/>
  <c r="B1000" i="1"/>
  <c r="C1000" i="1" s="1"/>
  <c r="B992" i="1"/>
  <c r="C992" i="1" s="1"/>
  <c r="B984" i="1"/>
  <c r="C984" i="1" s="1"/>
  <c r="B976" i="1"/>
  <c r="C976" i="1" s="1"/>
  <c r="B968" i="1"/>
  <c r="C968" i="1" s="1"/>
  <c r="B960" i="1"/>
  <c r="C960" i="1" s="1"/>
  <c r="B952" i="1"/>
  <c r="C952" i="1" s="1"/>
  <c r="B944" i="1"/>
  <c r="C944" i="1" s="1"/>
  <c r="B936" i="1"/>
  <c r="C936" i="1" s="1"/>
  <c r="B928" i="1"/>
  <c r="C928" i="1" s="1"/>
  <c r="B920" i="1"/>
  <c r="C920" i="1" s="1"/>
  <c r="B912" i="1"/>
  <c r="C912" i="1" s="1"/>
  <c r="B904" i="1"/>
  <c r="C904" i="1" s="1"/>
  <c r="B896" i="1"/>
  <c r="C896" i="1" s="1"/>
  <c r="B888" i="1"/>
  <c r="C888" i="1" s="1"/>
  <c r="B880" i="1"/>
  <c r="C880" i="1" s="1"/>
  <c r="B872" i="1"/>
  <c r="C872" i="1" s="1"/>
  <c r="B864" i="1"/>
  <c r="C864" i="1" s="1"/>
  <c r="B856" i="1"/>
  <c r="C856" i="1" s="1"/>
  <c r="B848" i="1"/>
  <c r="C848" i="1" s="1"/>
  <c r="B840" i="1"/>
  <c r="C840" i="1" s="1"/>
  <c r="B832" i="1"/>
  <c r="C832" i="1" s="1"/>
  <c r="B824" i="1"/>
  <c r="C824" i="1" s="1"/>
  <c r="B816" i="1"/>
  <c r="C816" i="1" s="1"/>
  <c r="B808" i="1"/>
  <c r="C808" i="1" s="1"/>
  <c r="B800" i="1"/>
  <c r="C800" i="1" s="1"/>
  <c r="B792" i="1"/>
  <c r="C792" i="1" s="1"/>
  <c r="B784" i="1"/>
  <c r="C784" i="1" s="1"/>
  <c r="B775" i="1"/>
  <c r="C775" i="1" s="1"/>
  <c r="B766" i="1"/>
  <c r="C766" i="1" s="1"/>
  <c r="B757" i="1"/>
  <c r="C757" i="1" s="1"/>
  <c r="B748" i="1"/>
  <c r="C748" i="1" s="1"/>
  <c r="B739" i="1"/>
  <c r="C739" i="1" s="1"/>
  <c r="B729" i="1"/>
  <c r="C729" i="1" s="1"/>
  <c r="B720" i="1"/>
  <c r="C720" i="1" s="1"/>
  <c r="B711" i="1"/>
  <c r="C711" i="1" s="1"/>
  <c r="B702" i="1"/>
  <c r="C702" i="1" s="1"/>
  <c r="B693" i="1"/>
  <c r="C693" i="1" s="1"/>
  <c r="B684" i="1"/>
  <c r="C684" i="1" s="1"/>
  <c r="B675" i="1"/>
  <c r="C675" i="1" s="1"/>
  <c r="B665" i="1"/>
  <c r="C665" i="1" s="1"/>
  <c r="B656" i="1"/>
  <c r="C656" i="1" s="1"/>
  <c r="B647" i="1"/>
  <c r="C647" i="1" s="1"/>
  <c r="B638" i="1"/>
  <c r="C638" i="1" s="1"/>
  <c r="B629" i="1"/>
  <c r="C629" i="1" s="1"/>
  <c r="B620" i="1"/>
  <c r="C620" i="1" s="1"/>
  <c r="B611" i="1"/>
  <c r="C611" i="1" s="1"/>
  <c r="B601" i="1"/>
  <c r="C601" i="1" s="1"/>
  <c r="B592" i="1"/>
  <c r="C592" i="1" s="1"/>
  <c r="B583" i="1"/>
  <c r="C583" i="1" s="1"/>
  <c r="B574" i="1"/>
  <c r="C574" i="1" s="1"/>
  <c r="B565" i="1"/>
  <c r="C565" i="1" s="1"/>
  <c r="B556" i="1"/>
  <c r="C556" i="1" s="1"/>
  <c r="B547" i="1"/>
  <c r="C547" i="1" s="1"/>
  <c r="B537" i="1"/>
  <c r="C537" i="1" s="1"/>
  <c r="B528" i="1"/>
  <c r="C528" i="1" s="1"/>
  <c r="B519" i="1"/>
  <c r="C519" i="1" s="1"/>
  <c r="B510" i="1"/>
  <c r="C510" i="1" s="1"/>
  <c r="B501" i="1"/>
  <c r="C501" i="1" s="1"/>
  <c r="B492" i="1"/>
  <c r="C492" i="1" s="1"/>
  <c r="B483" i="1"/>
  <c r="C483" i="1" s="1"/>
  <c r="B473" i="1"/>
  <c r="C473" i="1" s="1"/>
  <c r="B464" i="1"/>
  <c r="C464" i="1" s="1"/>
  <c r="B455" i="1"/>
  <c r="C455" i="1" s="1"/>
  <c r="B446" i="1"/>
  <c r="C446" i="1" s="1"/>
  <c r="B437" i="1"/>
  <c r="C437" i="1" s="1"/>
  <c r="B428" i="1"/>
  <c r="C428" i="1" s="1"/>
  <c r="B419" i="1"/>
  <c r="C419" i="1" s="1"/>
  <c r="B409" i="1"/>
  <c r="C409" i="1" s="1"/>
  <c r="B400" i="1"/>
  <c r="C400" i="1" s="1"/>
  <c r="B391" i="1"/>
  <c r="C391" i="1" s="1"/>
  <c r="B382" i="1"/>
  <c r="C382" i="1" s="1"/>
  <c r="B373" i="1"/>
  <c r="C373" i="1" s="1"/>
  <c r="B364" i="1"/>
  <c r="C364" i="1" s="1"/>
  <c r="B355" i="1"/>
  <c r="C355" i="1" s="1"/>
  <c r="B345" i="1"/>
  <c r="C345" i="1" s="1"/>
  <c r="B336" i="1"/>
  <c r="C336" i="1" s="1"/>
  <c r="B327" i="1"/>
  <c r="C327" i="1" s="1"/>
  <c r="B318" i="1"/>
  <c r="C318" i="1" s="1"/>
  <c r="B309" i="1"/>
  <c r="C309" i="1" s="1"/>
  <c r="B300" i="1"/>
  <c r="C300" i="1" s="1"/>
  <c r="B291" i="1"/>
  <c r="C291" i="1" s="1"/>
  <c r="B281" i="1"/>
  <c r="C281" i="1" s="1"/>
  <c r="B272" i="1"/>
  <c r="C272" i="1" s="1"/>
  <c r="B263" i="1"/>
  <c r="C263" i="1" s="1"/>
  <c r="B254" i="1"/>
  <c r="C254" i="1" s="1"/>
  <c r="B245" i="1"/>
  <c r="C245" i="1" s="1"/>
  <c r="B236" i="1"/>
  <c r="C236" i="1" s="1"/>
  <c r="B225" i="1"/>
  <c r="C225" i="1" s="1"/>
  <c r="B214" i="1"/>
  <c r="C214" i="1" s="1"/>
  <c r="B200" i="1"/>
  <c r="C200" i="1" s="1"/>
  <c r="B189" i="1"/>
  <c r="C189" i="1" s="1"/>
  <c r="B175" i="1"/>
  <c r="C175" i="1" s="1"/>
  <c r="B160" i="1"/>
  <c r="C160" i="1" s="1"/>
  <c r="B148" i="1"/>
  <c r="C148" i="1" s="1"/>
  <c r="B132" i="1"/>
  <c r="C132" i="1" s="1"/>
  <c r="B119" i="1"/>
  <c r="C119" i="1" s="1"/>
  <c r="B103" i="1"/>
  <c r="C103" i="1" s="1"/>
  <c r="B87" i="1"/>
  <c r="C87" i="1" s="1"/>
  <c r="B75" i="1"/>
  <c r="C75" i="1" s="1"/>
  <c r="B59" i="1"/>
  <c r="C59" i="1" s="1"/>
  <c r="B46" i="1"/>
  <c r="C46" i="1" s="1"/>
  <c r="B30" i="1"/>
  <c r="C30" i="1" s="1"/>
  <c r="D24" i="1" l="1"/>
  <c r="E25" i="1"/>
  <c r="D25" i="1" l="1"/>
  <c r="E26" i="1"/>
  <c r="D26" i="1" l="1"/>
  <c r="E27" i="1"/>
  <c r="D27" i="1" l="1"/>
  <c r="E28" i="1" s="1"/>
  <c r="D28" i="1" l="1"/>
  <c r="E29" i="1"/>
  <c r="D29" i="1" l="1"/>
  <c r="E30" i="1"/>
  <c r="D30" i="1" l="1"/>
  <c r="E31" i="1" s="1"/>
  <c r="D31" i="1" l="1"/>
  <c r="E32" i="1"/>
  <c r="D32" i="1" l="1"/>
  <c r="E33" i="1"/>
  <c r="D33" i="1" l="1"/>
  <c r="E34" i="1"/>
  <c r="D34" i="1" l="1"/>
  <c r="E35" i="1"/>
  <c r="D35" i="1" l="1"/>
  <c r="E36" i="1"/>
  <c r="D36" i="1" l="1"/>
  <c r="E37" i="1"/>
  <c r="D37" i="1" l="1"/>
  <c r="E38" i="1"/>
  <c r="D38" i="1" l="1"/>
  <c r="E39" i="1"/>
  <c r="D39" i="1" l="1"/>
  <c r="E40" i="1" s="1"/>
  <c r="D40" i="1" l="1"/>
  <c r="E41" i="1"/>
  <c r="D41" i="1" l="1"/>
  <c r="E42" i="1"/>
  <c r="D42" i="1" l="1"/>
  <c r="E43" i="1" s="1"/>
  <c r="D43" i="1" l="1"/>
  <c r="E44" i="1" s="1"/>
  <c r="D44" i="1" l="1"/>
  <c r="E45" i="1" s="1"/>
  <c r="D45" i="1" l="1"/>
  <c r="E46" i="1"/>
  <c r="D46" i="1" l="1"/>
  <c r="E47" i="1"/>
  <c r="D47" i="1" l="1"/>
  <c r="E48" i="1"/>
  <c r="D48" i="1" l="1"/>
  <c r="E49" i="1"/>
  <c r="D49" i="1" l="1"/>
  <c r="E50" i="1"/>
  <c r="D50" i="1" l="1"/>
  <c r="E51" i="1"/>
  <c r="D51" i="1" l="1"/>
  <c r="E52" i="1"/>
  <c r="D52" i="1" l="1"/>
  <c r="E53" i="1"/>
  <c r="D53" i="1" l="1"/>
  <c r="E54" i="1" s="1"/>
  <c r="D54" i="1" l="1"/>
  <c r="E55" i="1" s="1"/>
  <c r="D55" i="1" l="1"/>
  <c r="E56" i="1" s="1"/>
  <c r="D56" i="1" l="1"/>
  <c r="E57" i="1"/>
  <c r="D57" i="1" l="1"/>
  <c r="E58" i="1"/>
  <c r="D58" i="1" l="1"/>
  <c r="E59" i="1"/>
  <c r="D59" i="1" l="1"/>
  <c r="E60" i="1"/>
  <c r="D60" i="1" l="1"/>
  <c r="E61" i="1"/>
  <c r="D61" i="1" l="1"/>
  <c r="E62" i="1" s="1"/>
  <c r="D62" i="1" l="1"/>
  <c r="E63" i="1"/>
  <c r="D63" i="1" l="1"/>
  <c r="E64" i="1" s="1"/>
  <c r="D64" i="1" l="1"/>
  <c r="E65" i="1" s="1"/>
  <c r="D65" i="1" l="1"/>
  <c r="E66" i="1"/>
  <c r="D66" i="1" l="1"/>
  <c r="E67" i="1" s="1"/>
  <c r="D67" i="1" l="1"/>
  <c r="E68" i="1" s="1"/>
  <c r="D68" i="1" l="1"/>
  <c r="E69" i="1" s="1"/>
  <c r="D69" i="1" l="1"/>
  <c r="E70" i="1" s="1"/>
  <c r="D70" i="1" l="1"/>
  <c r="E71" i="1" s="1"/>
  <c r="D71" i="1" l="1"/>
  <c r="E72" i="1" s="1"/>
  <c r="D72" i="1" l="1"/>
  <c r="E73" i="1" s="1"/>
  <c r="D73" i="1" l="1"/>
  <c r="E74" i="1" s="1"/>
  <c r="D74" i="1" l="1"/>
  <c r="E75" i="1" s="1"/>
  <c r="D75" i="1" l="1"/>
  <c r="E76" i="1" s="1"/>
  <c r="D76" i="1" l="1"/>
  <c r="E77" i="1" s="1"/>
  <c r="D77" i="1" l="1"/>
  <c r="E78" i="1" s="1"/>
  <c r="D78" i="1" l="1"/>
  <c r="E79" i="1" s="1"/>
  <c r="D79" i="1" l="1"/>
  <c r="E80" i="1" s="1"/>
  <c r="D80" i="1" l="1"/>
  <c r="E81" i="1" s="1"/>
  <c r="D81" i="1" l="1"/>
  <c r="E82" i="1" s="1"/>
  <c r="D82" i="1" l="1"/>
  <c r="E83" i="1" s="1"/>
  <c r="D83" i="1" l="1"/>
  <c r="E84" i="1"/>
  <c r="D84" i="1" l="1"/>
  <c r="E85" i="1" s="1"/>
  <c r="D85" i="1" l="1"/>
  <c r="E86" i="1" s="1"/>
  <c r="D86" i="1" l="1"/>
  <c r="E87" i="1" s="1"/>
  <c r="D87" i="1" l="1"/>
  <c r="E88" i="1" s="1"/>
  <c r="D88" i="1" l="1"/>
  <c r="E89" i="1" s="1"/>
  <c r="D89" i="1" l="1"/>
  <c r="E90" i="1" s="1"/>
  <c r="D90" i="1" l="1"/>
  <c r="E91" i="1" s="1"/>
  <c r="D91" i="1" l="1"/>
  <c r="E92" i="1" s="1"/>
  <c r="D92" i="1" l="1"/>
  <c r="E93" i="1" s="1"/>
  <c r="D93" i="1" l="1"/>
  <c r="E94" i="1" s="1"/>
  <c r="D94" i="1" l="1"/>
  <c r="E95" i="1" s="1"/>
  <c r="D95" i="1" l="1"/>
  <c r="E96" i="1" s="1"/>
  <c r="D96" i="1" l="1"/>
  <c r="E97" i="1" s="1"/>
  <c r="D97" i="1" l="1"/>
  <c r="E98" i="1" s="1"/>
  <c r="D98" i="1" l="1"/>
  <c r="E99" i="1" s="1"/>
  <c r="D99" i="1" l="1"/>
  <c r="E100" i="1" s="1"/>
  <c r="D100" i="1" l="1"/>
  <c r="E101" i="1" s="1"/>
  <c r="D101" i="1" l="1"/>
  <c r="E102" i="1" s="1"/>
  <c r="D102" i="1" l="1"/>
  <c r="E103" i="1" s="1"/>
  <c r="D103" i="1" l="1"/>
  <c r="E104" i="1" s="1"/>
  <c r="D104" i="1" l="1"/>
  <c r="E105" i="1" s="1"/>
  <c r="D105" i="1" l="1"/>
  <c r="E106" i="1" s="1"/>
  <c r="D106" i="1" l="1"/>
  <c r="E107" i="1" s="1"/>
  <c r="D107" i="1" l="1"/>
  <c r="E108" i="1" s="1"/>
  <c r="D108" i="1" l="1"/>
  <c r="E109" i="1" s="1"/>
  <c r="D109" i="1" l="1"/>
  <c r="E110" i="1" s="1"/>
  <c r="D110" i="1" l="1"/>
  <c r="E111" i="1" s="1"/>
  <c r="D111" i="1" l="1"/>
  <c r="E112" i="1" s="1"/>
  <c r="D112" i="1" l="1"/>
  <c r="E113" i="1" s="1"/>
  <c r="D113" i="1" l="1"/>
  <c r="E114" i="1" s="1"/>
  <c r="D114" i="1" l="1"/>
  <c r="E115" i="1" s="1"/>
  <c r="D115" i="1" l="1"/>
  <c r="E116" i="1" s="1"/>
  <c r="D116" i="1" l="1"/>
  <c r="E117" i="1" s="1"/>
  <c r="D117" i="1" l="1"/>
  <c r="E118" i="1"/>
  <c r="D118" i="1" l="1"/>
  <c r="E119" i="1" s="1"/>
  <c r="D119" i="1" l="1"/>
  <c r="E120" i="1" s="1"/>
  <c r="D120" i="1" l="1"/>
  <c r="E121" i="1" s="1"/>
  <c r="D121" i="1" l="1"/>
  <c r="E122" i="1"/>
  <c r="D122" i="1" l="1"/>
  <c r="E123" i="1" s="1"/>
  <c r="D123" i="1" l="1"/>
  <c r="E124" i="1"/>
  <c r="D124" i="1" l="1"/>
  <c r="E125" i="1"/>
  <c r="D125" i="1" l="1"/>
  <c r="E126" i="1"/>
  <c r="D126" i="1" l="1"/>
  <c r="E127" i="1"/>
  <c r="D127" i="1" l="1"/>
  <c r="E128" i="1"/>
  <c r="D128" i="1" l="1"/>
  <c r="E129" i="1"/>
  <c r="D129" i="1" l="1"/>
  <c r="E130" i="1"/>
  <c r="D130" i="1" l="1"/>
  <c r="E131" i="1"/>
  <c r="D131" i="1" l="1"/>
  <c r="E132" i="1"/>
  <c r="D132" i="1" l="1"/>
  <c r="E133" i="1" s="1"/>
  <c r="D133" i="1" l="1"/>
  <c r="E134" i="1"/>
  <c r="D134" i="1" l="1"/>
  <c r="E135" i="1" s="1"/>
  <c r="D135" i="1" l="1"/>
  <c r="E136" i="1" s="1"/>
  <c r="D136" i="1" l="1"/>
  <c r="E137" i="1"/>
  <c r="D137" i="1" l="1"/>
  <c r="E138" i="1"/>
  <c r="D138" i="1" l="1"/>
  <c r="E139" i="1" s="1"/>
  <c r="D139" i="1" l="1"/>
  <c r="E140" i="1"/>
  <c r="D140" i="1" l="1"/>
  <c r="E141" i="1"/>
  <c r="D141" i="1" l="1"/>
  <c r="E142" i="1"/>
  <c r="D142" i="1" l="1"/>
  <c r="E143" i="1" s="1"/>
  <c r="D143" i="1" l="1"/>
  <c r="E144" i="1"/>
  <c r="D144" i="1" l="1"/>
  <c r="E145" i="1"/>
  <c r="D145" i="1" l="1"/>
  <c r="E146" i="1"/>
  <c r="D146" i="1" l="1"/>
  <c r="E147" i="1"/>
  <c r="D147" i="1" l="1"/>
  <c r="E148" i="1"/>
  <c r="D148" i="1" l="1"/>
  <c r="E149" i="1"/>
  <c r="D149" i="1" l="1"/>
  <c r="E150" i="1"/>
  <c r="D150" i="1" l="1"/>
  <c r="E151" i="1"/>
  <c r="D151" i="1" l="1"/>
  <c r="E152" i="1"/>
  <c r="D152" i="1" l="1"/>
  <c r="E153" i="1"/>
  <c r="D153" i="1" l="1"/>
  <c r="E154" i="1"/>
  <c r="D154" i="1" l="1"/>
  <c r="E155" i="1"/>
  <c r="D155" i="1" l="1"/>
  <c r="E156" i="1"/>
  <c r="D156" i="1" l="1"/>
  <c r="E157" i="1"/>
  <c r="D157" i="1" l="1"/>
  <c r="E158" i="1"/>
  <c r="D158" i="1" l="1"/>
  <c r="E159" i="1"/>
  <c r="D159" i="1" l="1"/>
  <c r="E160" i="1"/>
  <c r="D160" i="1" l="1"/>
  <c r="E161" i="1"/>
  <c r="D161" i="1" l="1"/>
  <c r="E162" i="1"/>
  <c r="D162" i="1" l="1"/>
  <c r="E163" i="1"/>
  <c r="D163" i="1" l="1"/>
  <c r="E164" i="1"/>
  <c r="D164" i="1" l="1"/>
  <c r="E165" i="1"/>
  <c r="D165" i="1" l="1"/>
  <c r="E166" i="1"/>
  <c r="D166" i="1" l="1"/>
  <c r="E167" i="1"/>
  <c r="D167" i="1" l="1"/>
  <c r="E168" i="1"/>
  <c r="D168" i="1" l="1"/>
  <c r="E169" i="1"/>
  <c r="D169" i="1" l="1"/>
  <c r="E170" i="1"/>
  <c r="D170" i="1" l="1"/>
  <c r="E171" i="1"/>
  <c r="D171" i="1" l="1"/>
  <c r="E172" i="1"/>
  <c r="D172" i="1" l="1"/>
  <c r="E173" i="1"/>
  <c r="D173" i="1" l="1"/>
  <c r="E174" i="1"/>
  <c r="D174" i="1" l="1"/>
  <c r="E175" i="1"/>
  <c r="D175" i="1" l="1"/>
  <c r="E176" i="1" s="1"/>
  <c r="D176" i="1" l="1"/>
  <c r="E177" i="1"/>
  <c r="D177" i="1" l="1"/>
  <c r="E178" i="1" s="1"/>
  <c r="D178" i="1" l="1"/>
  <c r="E179" i="1"/>
  <c r="D179" i="1" l="1"/>
  <c r="E180" i="1" s="1"/>
  <c r="D180" i="1" l="1"/>
  <c r="E181" i="1"/>
  <c r="D181" i="1" l="1"/>
  <c r="E182" i="1"/>
  <c r="D182" i="1" l="1"/>
  <c r="E183" i="1"/>
  <c r="D183" i="1" l="1"/>
  <c r="E184" i="1"/>
  <c r="D184" i="1" l="1"/>
  <c r="E185" i="1"/>
  <c r="D185" i="1" l="1"/>
  <c r="E186" i="1"/>
  <c r="D186" i="1" l="1"/>
  <c r="E187" i="1"/>
  <c r="D187" i="1" l="1"/>
  <c r="E188" i="1"/>
  <c r="D188" i="1" l="1"/>
  <c r="E189" i="1"/>
  <c r="D189" i="1" l="1"/>
  <c r="E190" i="1" s="1"/>
  <c r="D190" i="1" l="1"/>
  <c r="E191" i="1"/>
  <c r="D191" i="1" l="1"/>
  <c r="E192" i="1"/>
  <c r="D192" i="1" l="1"/>
  <c r="E193" i="1"/>
  <c r="D193" i="1" l="1"/>
  <c r="E194" i="1"/>
  <c r="D194" i="1" l="1"/>
  <c r="E195" i="1"/>
  <c r="D195" i="1" l="1"/>
  <c r="E196" i="1"/>
  <c r="D196" i="1" l="1"/>
  <c r="E197" i="1"/>
  <c r="D197" i="1" l="1"/>
  <c r="E198" i="1"/>
  <c r="D198" i="1" l="1"/>
  <c r="E199" i="1"/>
  <c r="D199" i="1" l="1"/>
  <c r="E200" i="1" s="1"/>
  <c r="D200" i="1" l="1"/>
  <c r="E201" i="1"/>
  <c r="D201" i="1" l="1"/>
  <c r="E202" i="1" s="1"/>
  <c r="D202" i="1" l="1"/>
  <c r="E203" i="1" s="1"/>
  <c r="D203" i="1" l="1"/>
  <c r="E204" i="1" s="1"/>
  <c r="D204" i="1" l="1"/>
  <c r="E205" i="1" s="1"/>
  <c r="D205" i="1" l="1"/>
  <c r="E206" i="1" s="1"/>
  <c r="D206" i="1" l="1"/>
  <c r="E207" i="1" s="1"/>
  <c r="D207" i="1" l="1"/>
  <c r="E208" i="1" s="1"/>
  <c r="D208" i="1" l="1"/>
  <c r="E209" i="1" s="1"/>
  <c r="D209" i="1" l="1"/>
  <c r="E210" i="1" s="1"/>
  <c r="D210" i="1" l="1"/>
  <c r="E211" i="1" s="1"/>
  <c r="D211" i="1" l="1"/>
  <c r="E212" i="1" s="1"/>
  <c r="D212" i="1" l="1"/>
  <c r="E213" i="1"/>
  <c r="D213" i="1" l="1"/>
  <c r="E214" i="1"/>
  <c r="D214" i="1" l="1"/>
  <c r="E215" i="1"/>
  <c r="D215" i="1" l="1"/>
  <c r="E216" i="1" s="1"/>
  <c r="D216" i="1" l="1"/>
  <c r="E217" i="1" s="1"/>
  <c r="D217" i="1" l="1"/>
  <c r="E218" i="1" s="1"/>
  <c r="D218" i="1" l="1"/>
  <c r="E219" i="1"/>
  <c r="D219" i="1" l="1"/>
  <c r="E220" i="1" s="1"/>
  <c r="D220" i="1" l="1"/>
  <c r="E221" i="1" s="1"/>
  <c r="D221" i="1" l="1"/>
  <c r="E222" i="1" s="1"/>
  <c r="D222" i="1" l="1"/>
  <c r="E223" i="1" s="1"/>
  <c r="D223" i="1" l="1"/>
  <c r="E224" i="1"/>
  <c r="D224" i="1" l="1"/>
  <c r="E225" i="1" s="1"/>
  <c r="D225" i="1" l="1"/>
  <c r="E226" i="1"/>
  <c r="D226" i="1" l="1"/>
  <c r="E227" i="1"/>
  <c r="D227" i="1" l="1"/>
  <c r="E228" i="1"/>
  <c r="D228" i="1" l="1"/>
  <c r="E229" i="1"/>
  <c r="D229" i="1" l="1"/>
  <c r="E230" i="1"/>
  <c r="D230" i="1" l="1"/>
  <c r="E231" i="1"/>
  <c r="D231" i="1" l="1"/>
  <c r="E232" i="1"/>
  <c r="D232" i="1" l="1"/>
  <c r="E233" i="1"/>
  <c r="D233" i="1" l="1"/>
  <c r="E234" i="1"/>
  <c r="D234" i="1" l="1"/>
  <c r="E235" i="1"/>
  <c r="D235" i="1" l="1"/>
  <c r="E236" i="1"/>
  <c r="D236" i="1" l="1"/>
  <c r="E237" i="1"/>
  <c r="D237" i="1" l="1"/>
  <c r="E238" i="1" s="1"/>
  <c r="D238" i="1" l="1"/>
  <c r="E239" i="1" s="1"/>
  <c r="D239" i="1" l="1"/>
  <c r="E240" i="1"/>
  <c r="D240" i="1" l="1"/>
  <c r="E241" i="1" s="1"/>
  <c r="D241" i="1" l="1"/>
  <c r="E242" i="1" s="1"/>
  <c r="D242" i="1" l="1"/>
  <c r="E243" i="1"/>
  <c r="D243" i="1" l="1"/>
  <c r="E244" i="1"/>
  <c r="D244" i="1" l="1"/>
  <c r="E245" i="1"/>
  <c r="D245" i="1" l="1"/>
  <c r="E246" i="1"/>
  <c r="D246" i="1" l="1"/>
  <c r="E247" i="1"/>
  <c r="D247" i="1" l="1"/>
  <c r="E248" i="1"/>
  <c r="D248" i="1" l="1"/>
  <c r="E249" i="1"/>
  <c r="D249" i="1" l="1"/>
  <c r="E250" i="1" s="1"/>
  <c r="D250" i="1" l="1"/>
  <c r="E251" i="1"/>
  <c r="D251" i="1" l="1"/>
  <c r="E252" i="1"/>
  <c r="D252" i="1" l="1"/>
  <c r="E253" i="1" s="1"/>
  <c r="D253" i="1" l="1"/>
  <c r="E254" i="1" s="1"/>
  <c r="D254" i="1" l="1"/>
  <c r="E255" i="1" s="1"/>
  <c r="D255" i="1" l="1"/>
  <c r="E256" i="1"/>
  <c r="D256" i="1" l="1"/>
  <c r="E257" i="1" s="1"/>
  <c r="D257" i="1" l="1"/>
  <c r="E258" i="1"/>
  <c r="D258" i="1" l="1"/>
  <c r="E259" i="1"/>
  <c r="D259" i="1" l="1"/>
  <c r="E260" i="1"/>
  <c r="D260" i="1" l="1"/>
  <c r="E261" i="1"/>
  <c r="D261" i="1" l="1"/>
  <c r="E262" i="1" s="1"/>
  <c r="D262" i="1" l="1"/>
  <c r="E263" i="1"/>
  <c r="D263" i="1" l="1"/>
  <c r="E264" i="1"/>
  <c r="D264" i="1" l="1"/>
  <c r="E265" i="1"/>
  <c r="D265" i="1" l="1"/>
  <c r="E266" i="1" s="1"/>
  <c r="D266" i="1" l="1"/>
  <c r="E267" i="1" s="1"/>
  <c r="D267" i="1" l="1"/>
  <c r="E268" i="1" s="1"/>
  <c r="D268" i="1" l="1"/>
  <c r="E269" i="1"/>
  <c r="D269" i="1" l="1"/>
  <c r="E270" i="1" s="1"/>
  <c r="D270" i="1" l="1"/>
  <c r="E271" i="1" s="1"/>
  <c r="D271" i="1" l="1"/>
  <c r="E272" i="1" s="1"/>
  <c r="D272" i="1" l="1"/>
  <c r="E273" i="1"/>
  <c r="D273" i="1" l="1"/>
  <c r="E274" i="1"/>
  <c r="D274" i="1" l="1"/>
  <c r="E275" i="1" s="1"/>
  <c r="D275" i="1" l="1"/>
  <c r="E276" i="1"/>
  <c r="D276" i="1" l="1"/>
  <c r="E277" i="1"/>
  <c r="D277" i="1" l="1"/>
  <c r="E278" i="1" s="1"/>
  <c r="D278" i="1" l="1"/>
  <c r="E279" i="1" s="1"/>
  <c r="D279" i="1" l="1"/>
  <c r="E280" i="1" s="1"/>
  <c r="D280" i="1" l="1"/>
  <c r="E281" i="1" s="1"/>
  <c r="D281" i="1" l="1"/>
  <c r="E282" i="1" s="1"/>
  <c r="D282" i="1" l="1"/>
  <c r="E283" i="1" s="1"/>
  <c r="D283" i="1" l="1"/>
  <c r="E284" i="1" s="1"/>
  <c r="D284" i="1" l="1"/>
  <c r="E285" i="1"/>
  <c r="D285" i="1" l="1"/>
  <c r="E286" i="1"/>
  <c r="D286" i="1" l="1"/>
  <c r="E287" i="1"/>
  <c r="D287" i="1" l="1"/>
  <c r="E288" i="1" s="1"/>
  <c r="D288" i="1" l="1"/>
  <c r="E289" i="1"/>
  <c r="D289" i="1" l="1"/>
  <c r="E290" i="1" s="1"/>
  <c r="D290" i="1" l="1"/>
  <c r="E291" i="1"/>
  <c r="D291" i="1" l="1"/>
  <c r="E292" i="1"/>
  <c r="D292" i="1" l="1"/>
  <c r="E293" i="1" s="1"/>
  <c r="D293" i="1" l="1"/>
  <c r="E294" i="1"/>
  <c r="D294" i="1" l="1"/>
  <c r="E295" i="1"/>
  <c r="D295" i="1" l="1"/>
  <c r="E296" i="1"/>
  <c r="D296" i="1" l="1"/>
  <c r="E297" i="1" s="1"/>
  <c r="D297" i="1" l="1"/>
  <c r="E298" i="1"/>
  <c r="D298" i="1" l="1"/>
  <c r="E299" i="1" s="1"/>
  <c r="D299" i="1" l="1"/>
  <c r="E300" i="1" s="1"/>
  <c r="D300" i="1" l="1"/>
  <c r="E301" i="1" s="1"/>
  <c r="D301" i="1" l="1"/>
  <c r="E302" i="1" s="1"/>
  <c r="D302" i="1" l="1"/>
  <c r="E303" i="1" s="1"/>
  <c r="D303" i="1" l="1"/>
  <c r="E304" i="1" s="1"/>
  <c r="D304" i="1" l="1"/>
  <c r="E305" i="1" s="1"/>
  <c r="D305" i="1" l="1"/>
  <c r="E306" i="1" s="1"/>
  <c r="D306" i="1" l="1"/>
  <c r="E307" i="1" s="1"/>
  <c r="D307" i="1" l="1"/>
  <c r="E308" i="1" s="1"/>
  <c r="D308" i="1" l="1"/>
  <c r="E309" i="1"/>
  <c r="D309" i="1" l="1"/>
  <c r="E310" i="1"/>
  <c r="D310" i="1" l="1"/>
  <c r="E311" i="1"/>
  <c r="D311" i="1" l="1"/>
  <c r="E312" i="1"/>
  <c r="D312" i="1" l="1"/>
  <c r="E313" i="1"/>
  <c r="D313" i="1" l="1"/>
  <c r="E314" i="1" s="1"/>
  <c r="D314" i="1" l="1"/>
  <c r="E315" i="1" s="1"/>
  <c r="D315" i="1" l="1"/>
  <c r="E316" i="1" s="1"/>
  <c r="D316" i="1" l="1"/>
  <c r="E317" i="1"/>
  <c r="D317" i="1" l="1"/>
  <c r="E318" i="1"/>
  <c r="D318" i="1" l="1"/>
  <c r="E319" i="1"/>
  <c r="D319" i="1" l="1"/>
  <c r="E320" i="1" s="1"/>
  <c r="D320" i="1" l="1"/>
  <c r="E321" i="1" s="1"/>
  <c r="D321" i="1" l="1"/>
  <c r="E322" i="1" s="1"/>
  <c r="D322" i="1" l="1"/>
  <c r="E323" i="1"/>
  <c r="D323" i="1" l="1"/>
  <c r="E324" i="1"/>
  <c r="D324" i="1" l="1"/>
  <c r="E325" i="1" s="1"/>
  <c r="D325" i="1" l="1"/>
  <c r="E326" i="1"/>
  <c r="D326" i="1" l="1"/>
  <c r="E327" i="1" s="1"/>
  <c r="D327" i="1" l="1"/>
  <c r="E328" i="1" s="1"/>
  <c r="D328" i="1" l="1"/>
  <c r="E329" i="1"/>
  <c r="D329" i="1" l="1"/>
  <c r="E330" i="1" s="1"/>
  <c r="D330" i="1" l="1"/>
  <c r="E331" i="1"/>
  <c r="D331" i="1" l="1"/>
  <c r="E332" i="1"/>
  <c r="D332" i="1" l="1"/>
  <c r="E333" i="1"/>
  <c r="D333" i="1" l="1"/>
  <c r="E334" i="1" s="1"/>
  <c r="D334" i="1" l="1"/>
  <c r="E335" i="1"/>
  <c r="D335" i="1" l="1"/>
  <c r="E336" i="1" s="1"/>
  <c r="D336" i="1" l="1"/>
  <c r="E337" i="1" s="1"/>
  <c r="D337" i="1" l="1"/>
  <c r="E338" i="1" s="1"/>
  <c r="D338" i="1" l="1"/>
  <c r="E339" i="1" s="1"/>
  <c r="D339" i="1" l="1"/>
  <c r="E340" i="1" s="1"/>
  <c r="D340" i="1" l="1"/>
  <c r="E341" i="1"/>
  <c r="D341" i="1" l="1"/>
  <c r="E342" i="1"/>
  <c r="D342" i="1" l="1"/>
  <c r="E343" i="1"/>
  <c r="D343" i="1" l="1"/>
  <c r="E344" i="1" s="1"/>
  <c r="D344" i="1" l="1"/>
  <c r="E345" i="1" s="1"/>
  <c r="D345" i="1" l="1"/>
  <c r="E346" i="1" s="1"/>
  <c r="D346" i="1" l="1"/>
  <c r="E347" i="1"/>
  <c r="D347" i="1" l="1"/>
  <c r="E348" i="1" s="1"/>
  <c r="D348" i="1" l="1"/>
  <c r="E349" i="1" s="1"/>
  <c r="D349" i="1" l="1"/>
  <c r="E350" i="1" s="1"/>
  <c r="D350" i="1" l="1"/>
  <c r="E351" i="1" s="1"/>
  <c r="D351" i="1" l="1"/>
  <c r="E352" i="1"/>
  <c r="D352" i="1" l="1"/>
  <c r="E353" i="1"/>
  <c r="D353" i="1" l="1"/>
  <c r="E354" i="1"/>
  <c r="D354" i="1" l="1"/>
  <c r="E355" i="1"/>
  <c r="D355" i="1" l="1"/>
  <c r="E356" i="1"/>
  <c r="D356" i="1" l="1"/>
  <c r="E357" i="1" s="1"/>
  <c r="D357" i="1" l="1"/>
  <c r="E358" i="1" s="1"/>
  <c r="D358" i="1" l="1"/>
  <c r="E359" i="1"/>
  <c r="D359" i="1" l="1"/>
  <c r="E360" i="1"/>
  <c r="D360" i="1" l="1"/>
  <c r="E361" i="1"/>
  <c r="D361" i="1" l="1"/>
  <c r="E362" i="1"/>
  <c r="D362" i="1" l="1"/>
  <c r="E363" i="1"/>
  <c r="D363" i="1" l="1"/>
  <c r="E364" i="1" s="1"/>
  <c r="D364" i="1" l="1"/>
  <c r="E365" i="1" s="1"/>
  <c r="D365" i="1" l="1"/>
  <c r="E366" i="1"/>
  <c r="D366" i="1" l="1"/>
  <c r="E367" i="1" s="1"/>
  <c r="D367" i="1" l="1"/>
  <c r="E368" i="1" s="1"/>
  <c r="D368" i="1" l="1"/>
  <c r="E369" i="1"/>
  <c r="D369" i="1" l="1"/>
  <c r="E370" i="1" s="1"/>
  <c r="D370" i="1" l="1"/>
  <c r="E371" i="1"/>
  <c r="D371" i="1" l="1"/>
  <c r="E372" i="1" s="1"/>
  <c r="D372" i="1" l="1"/>
  <c r="E373" i="1"/>
  <c r="D373" i="1" l="1"/>
  <c r="E374" i="1" s="1"/>
  <c r="D374" i="1" l="1"/>
  <c r="E375" i="1"/>
  <c r="D375" i="1" l="1"/>
  <c r="E376" i="1"/>
  <c r="D376" i="1" l="1"/>
  <c r="E377" i="1"/>
  <c r="D377" i="1" l="1"/>
  <c r="E378" i="1" s="1"/>
  <c r="D378" i="1" l="1"/>
  <c r="E379" i="1" s="1"/>
  <c r="D379" i="1" l="1"/>
  <c r="E380" i="1"/>
  <c r="D380" i="1" l="1"/>
  <c r="E381" i="1"/>
  <c r="D381" i="1" l="1"/>
  <c r="E382" i="1" s="1"/>
  <c r="D382" i="1" l="1"/>
  <c r="E383" i="1"/>
  <c r="D383" i="1" l="1"/>
  <c r="E384" i="1" s="1"/>
  <c r="D384" i="1" l="1"/>
  <c r="E385" i="1"/>
  <c r="D385" i="1" l="1"/>
  <c r="E386" i="1" s="1"/>
  <c r="D386" i="1" l="1"/>
  <c r="E387" i="1"/>
  <c r="D387" i="1" l="1"/>
  <c r="E388" i="1" s="1"/>
  <c r="D388" i="1" l="1"/>
  <c r="E389" i="1" s="1"/>
  <c r="D389" i="1" l="1"/>
  <c r="E390" i="1"/>
  <c r="D390" i="1" l="1"/>
  <c r="E391" i="1" s="1"/>
  <c r="D391" i="1" l="1"/>
  <c r="E392" i="1" s="1"/>
  <c r="D392" i="1" l="1"/>
  <c r="E393" i="1"/>
  <c r="D393" i="1" l="1"/>
  <c r="E394" i="1"/>
  <c r="D394" i="1" l="1"/>
  <c r="E395" i="1" s="1"/>
  <c r="D395" i="1" l="1"/>
  <c r="E396" i="1" s="1"/>
  <c r="D396" i="1" l="1"/>
  <c r="E397" i="1"/>
  <c r="D397" i="1" l="1"/>
  <c r="E398" i="1" s="1"/>
  <c r="D398" i="1" l="1"/>
  <c r="E399" i="1" s="1"/>
  <c r="D399" i="1" l="1"/>
  <c r="E400" i="1" s="1"/>
  <c r="D400" i="1" l="1"/>
  <c r="E401" i="1"/>
  <c r="D401" i="1" l="1"/>
  <c r="E402" i="1"/>
  <c r="D402" i="1" l="1"/>
  <c r="E403" i="1"/>
  <c r="D403" i="1" l="1"/>
  <c r="E404" i="1"/>
  <c r="D404" i="1" l="1"/>
  <c r="E405" i="1"/>
  <c r="D405" i="1" l="1"/>
  <c r="E406" i="1" s="1"/>
  <c r="D406" i="1" l="1"/>
  <c r="E407" i="1" s="1"/>
  <c r="D407" i="1" l="1"/>
  <c r="E408" i="1" s="1"/>
  <c r="D408" i="1" l="1"/>
  <c r="E409" i="1"/>
  <c r="D409" i="1" l="1"/>
  <c r="E410" i="1"/>
  <c r="D410" i="1" l="1"/>
  <c r="E411" i="1" s="1"/>
  <c r="D411" i="1" l="1"/>
  <c r="E412" i="1"/>
  <c r="D412" i="1" l="1"/>
  <c r="E413" i="1" s="1"/>
  <c r="D413" i="1" l="1"/>
  <c r="E414" i="1" s="1"/>
  <c r="D414" i="1" l="1"/>
  <c r="E415" i="1"/>
  <c r="D415" i="1" l="1"/>
  <c r="E416" i="1" s="1"/>
  <c r="D416" i="1" l="1"/>
  <c r="E417" i="1" s="1"/>
  <c r="D417" i="1" l="1"/>
  <c r="E418" i="1" s="1"/>
  <c r="D418" i="1" l="1"/>
  <c r="E419" i="1" s="1"/>
  <c r="D419" i="1" l="1"/>
  <c r="E420" i="1" s="1"/>
  <c r="D420" i="1" l="1"/>
  <c r="E421" i="1" s="1"/>
  <c r="D421" i="1" l="1"/>
  <c r="E422" i="1" s="1"/>
  <c r="D422" i="1" l="1"/>
  <c r="E423" i="1" s="1"/>
  <c r="D423" i="1" l="1"/>
  <c r="E424" i="1" s="1"/>
  <c r="D424" i="1" l="1"/>
  <c r="E425" i="1" s="1"/>
  <c r="D425" i="1" l="1"/>
  <c r="E426" i="1" s="1"/>
  <c r="D426" i="1" l="1"/>
  <c r="E427" i="1" s="1"/>
  <c r="D427" i="1" l="1"/>
  <c r="E428" i="1" s="1"/>
  <c r="D428" i="1" l="1"/>
  <c r="E429" i="1" s="1"/>
  <c r="D429" i="1" l="1"/>
  <c r="E430" i="1" s="1"/>
  <c r="D430" i="1" l="1"/>
  <c r="E431" i="1" s="1"/>
  <c r="D431" i="1" l="1"/>
  <c r="E432" i="1" s="1"/>
  <c r="D432" i="1" l="1"/>
  <c r="E433" i="1" s="1"/>
  <c r="D433" i="1" l="1"/>
  <c r="E434" i="1" s="1"/>
  <c r="D434" i="1" l="1"/>
  <c r="E435" i="1" s="1"/>
  <c r="D435" i="1" l="1"/>
  <c r="E436" i="1" s="1"/>
  <c r="D436" i="1" l="1"/>
  <c r="E437" i="1" s="1"/>
  <c r="D437" i="1" l="1"/>
  <c r="E438" i="1" s="1"/>
  <c r="D438" i="1" l="1"/>
  <c r="E439" i="1" s="1"/>
  <c r="D439" i="1" l="1"/>
  <c r="E440" i="1" s="1"/>
  <c r="D440" i="1" l="1"/>
  <c r="E441" i="1" s="1"/>
  <c r="D441" i="1" l="1"/>
  <c r="E442" i="1" s="1"/>
  <c r="D442" i="1" l="1"/>
  <c r="E443" i="1" s="1"/>
  <c r="D443" i="1" l="1"/>
  <c r="E444" i="1" s="1"/>
  <c r="D444" i="1" l="1"/>
  <c r="E445" i="1" s="1"/>
  <c r="D445" i="1" l="1"/>
  <c r="E446" i="1" s="1"/>
  <c r="D446" i="1" l="1"/>
  <c r="E447" i="1" s="1"/>
  <c r="D447" i="1" l="1"/>
  <c r="E448" i="1" s="1"/>
  <c r="D448" i="1" l="1"/>
  <c r="E449" i="1" s="1"/>
  <c r="D449" i="1" l="1"/>
  <c r="E450" i="1" s="1"/>
  <c r="D450" i="1" l="1"/>
  <c r="E451" i="1"/>
  <c r="D451" i="1" l="1"/>
  <c r="E452" i="1"/>
  <c r="D452" i="1" l="1"/>
  <c r="E453" i="1"/>
  <c r="D453" i="1" l="1"/>
  <c r="E454" i="1"/>
  <c r="D454" i="1" l="1"/>
  <c r="E455" i="1"/>
  <c r="D455" i="1" l="1"/>
  <c r="E456" i="1"/>
  <c r="D456" i="1" l="1"/>
  <c r="E457" i="1"/>
  <c r="D457" i="1" l="1"/>
  <c r="E458" i="1"/>
  <c r="D458" i="1" l="1"/>
  <c r="E459" i="1"/>
  <c r="D459" i="1" l="1"/>
  <c r="E460" i="1"/>
  <c r="D460" i="1" l="1"/>
  <c r="E461" i="1"/>
  <c r="D461" i="1" l="1"/>
  <c r="E462" i="1"/>
  <c r="D462" i="1" l="1"/>
  <c r="E463" i="1" s="1"/>
  <c r="D463" i="1" l="1"/>
  <c r="E464" i="1" s="1"/>
  <c r="D464" i="1" l="1"/>
  <c r="E465" i="1" s="1"/>
  <c r="D465" i="1" l="1"/>
  <c r="E466" i="1"/>
  <c r="D466" i="1" l="1"/>
  <c r="E467" i="1"/>
  <c r="D467" i="1" l="1"/>
  <c r="E468" i="1" s="1"/>
  <c r="D468" i="1" l="1"/>
  <c r="E469" i="1"/>
  <c r="D469" i="1" l="1"/>
  <c r="E470" i="1"/>
  <c r="D470" i="1" l="1"/>
  <c r="E471" i="1"/>
  <c r="D471" i="1" l="1"/>
  <c r="E472" i="1"/>
  <c r="D472" i="1" l="1"/>
  <c r="E473" i="1"/>
  <c r="D473" i="1" l="1"/>
  <c r="E474" i="1"/>
  <c r="D474" i="1" l="1"/>
  <c r="E475" i="1" s="1"/>
  <c r="D475" i="1" l="1"/>
  <c r="E476" i="1" s="1"/>
  <c r="D476" i="1" l="1"/>
  <c r="E477" i="1"/>
  <c r="D477" i="1" l="1"/>
  <c r="E478" i="1"/>
  <c r="D478" i="1" l="1"/>
  <c r="E479" i="1"/>
  <c r="D479" i="1" l="1"/>
  <c r="E480" i="1"/>
  <c r="D480" i="1" l="1"/>
  <c r="E481" i="1"/>
  <c r="D481" i="1" l="1"/>
  <c r="E482" i="1"/>
  <c r="D482" i="1" l="1"/>
  <c r="E483" i="1"/>
  <c r="D483" i="1" l="1"/>
  <c r="E484" i="1"/>
  <c r="D484" i="1" l="1"/>
  <c r="E485" i="1"/>
  <c r="D485" i="1" l="1"/>
  <c r="E486" i="1"/>
  <c r="D486" i="1" l="1"/>
  <c r="E487" i="1"/>
  <c r="D487" i="1" l="1"/>
  <c r="E488" i="1" s="1"/>
  <c r="D488" i="1" l="1"/>
  <c r="E489" i="1"/>
  <c r="D489" i="1" l="1"/>
  <c r="E490" i="1"/>
  <c r="D490" i="1" l="1"/>
  <c r="E491" i="1"/>
  <c r="D491" i="1" l="1"/>
  <c r="E492" i="1"/>
  <c r="D492" i="1" l="1"/>
  <c r="E493" i="1"/>
  <c r="D493" i="1" l="1"/>
  <c r="E494" i="1"/>
  <c r="D494" i="1" l="1"/>
  <c r="E495" i="1"/>
  <c r="D495" i="1" l="1"/>
  <c r="E496" i="1" s="1"/>
  <c r="D496" i="1" l="1"/>
  <c r="E497" i="1"/>
  <c r="D497" i="1" l="1"/>
  <c r="E498" i="1"/>
  <c r="D498" i="1" l="1"/>
  <c r="E499" i="1"/>
  <c r="D499" i="1" l="1"/>
  <c r="E500" i="1"/>
  <c r="D500" i="1" l="1"/>
  <c r="E501" i="1"/>
  <c r="D501" i="1" l="1"/>
  <c r="E502" i="1"/>
  <c r="D502" i="1" l="1"/>
  <c r="E503" i="1" s="1"/>
  <c r="D503" i="1" l="1"/>
  <c r="E504" i="1" s="1"/>
  <c r="D504" i="1" l="1"/>
  <c r="E505" i="1"/>
  <c r="D505" i="1" l="1"/>
  <c r="E506" i="1" s="1"/>
  <c r="D506" i="1" l="1"/>
  <c r="E507" i="1"/>
  <c r="D507" i="1" l="1"/>
  <c r="E508" i="1" s="1"/>
  <c r="D508" i="1" l="1"/>
  <c r="E509" i="1"/>
  <c r="D509" i="1" l="1"/>
  <c r="E510" i="1" s="1"/>
  <c r="D510" i="1" l="1"/>
  <c r="E511" i="1" s="1"/>
  <c r="D511" i="1" l="1"/>
  <c r="E512" i="1"/>
  <c r="D512" i="1" l="1"/>
  <c r="E513" i="1"/>
  <c r="D513" i="1" l="1"/>
  <c r="E514" i="1"/>
  <c r="D514" i="1" l="1"/>
  <c r="E515" i="1"/>
  <c r="D515" i="1" l="1"/>
  <c r="E516" i="1"/>
  <c r="D516" i="1" l="1"/>
  <c r="E517" i="1"/>
  <c r="D517" i="1" l="1"/>
  <c r="E518" i="1"/>
  <c r="D518" i="1" l="1"/>
  <c r="E519" i="1" s="1"/>
  <c r="D519" i="1" l="1"/>
  <c r="E520" i="1"/>
  <c r="D520" i="1" l="1"/>
  <c r="E521" i="1"/>
  <c r="D521" i="1" l="1"/>
  <c r="E522" i="1"/>
  <c r="D522" i="1" l="1"/>
  <c r="E523" i="1"/>
  <c r="D523" i="1" l="1"/>
  <c r="E524" i="1"/>
  <c r="D524" i="1" l="1"/>
  <c r="E525" i="1"/>
  <c r="D525" i="1" l="1"/>
  <c r="E526" i="1"/>
  <c r="D526" i="1" l="1"/>
  <c r="E527" i="1"/>
  <c r="D527" i="1" l="1"/>
  <c r="E528" i="1"/>
  <c r="D528" i="1" l="1"/>
  <c r="E529" i="1"/>
  <c r="D529" i="1" l="1"/>
  <c r="E530" i="1"/>
  <c r="D530" i="1" l="1"/>
  <c r="E531" i="1"/>
  <c r="D531" i="1" l="1"/>
  <c r="E532" i="1"/>
  <c r="D532" i="1" l="1"/>
  <c r="E533" i="1"/>
  <c r="D533" i="1" l="1"/>
  <c r="E534" i="1"/>
  <c r="D534" i="1" l="1"/>
  <c r="E535" i="1"/>
  <c r="D535" i="1" l="1"/>
  <c r="E536" i="1"/>
  <c r="D536" i="1" l="1"/>
  <c r="E537" i="1"/>
  <c r="D537" i="1" l="1"/>
  <c r="E538" i="1"/>
  <c r="D538" i="1" l="1"/>
  <c r="E539" i="1"/>
  <c r="D539" i="1" l="1"/>
  <c r="E540" i="1"/>
  <c r="D540" i="1" l="1"/>
  <c r="E541" i="1"/>
  <c r="D541" i="1" l="1"/>
  <c r="E542" i="1"/>
  <c r="D542" i="1" l="1"/>
  <c r="E543" i="1"/>
  <c r="D543" i="1" l="1"/>
  <c r="E544" i="1"/>
  <c r="D544" i="1" l="1"/>
  <c r="E545" i="1"/>
  <c r="D545" i="1" l="1"/>
  <c r="E546" i="1"/>
  <c r="D546" i="1" l="1"/>
  <c r="E547" i="1" s="1"/>
  <c r="D547" i="1" l="1"/>
  <c r="E548" i="1" s="1"/>
  <c r="D548" i="1" l="1"/>
  <c r="E549" i="1" s="1"/>
  <c r="D549" i="1" l="1"/>
  <c r="E550" i="1" s="1"/>
  <c r="D550" i="1" l="1"/>
  <c r="E551" i="1" s="1"/>
  <c r="D551" i="1" l="1"/>
  <c r="E552" i="1" s="1"/>
  <c r="D552" i="1" l="1"/>
  <c r="E553" i="1" s="1"/>
  <c r="D553" i="1" l="1"/>
  <c r="E554" i="1" s="1"/>
  <c r="D554" i="1" l="1"/>
  <c r="E555" i="1" s="1"/>
  <c r="D555" i="1" l="1"/>
  <c r="E556" i="1" s="1"/>
  <c r="D556" i="1" l="1"/>
  <c r="E557" i="1"/>
  <c r="D557" i="1" l="1"/>
  <c r="E558" i="1" s="1"/>
  <c r="D558" i="1" l="1"/>
  <c r="E559" i="1" s="1"/>
  <c r="D559" i="1" l="1"/>
  <c r="E560" i="1" s="1"/>
  <c r="D560" i="1" l="1"/>
  <c r="E561" i="1" s="1"/>
  <c r="D561" i="1" l="1"/>
  <c r="E562" i="1" s="1"/>
  <c r="D562" i="1" l="1"/>
  <c r="E563" i="1"/>
  <c r="D563" i="1" l="1"/>
  <c r="E564" i="1" s="1"/>
  <c r="D564" i="1" l="1"/>
  <c r="E565" i="1" s="1"/>
  <c r="D565" i="1" l="1"/>
  <c r="E566" i="1" s="1"/>
  <c r="D566" i="1" l="1"/>
  <c r="E567" i="1" s="1"/>
  <c r="D567" i="1" l="1"/>
  <c r="E568" i="1" s="1"/>
  <c r="D568" i="1" l="1"/>
  <c r="E569" i="1" s="1"/>
  <c r="D569" i="1" l="1"/>
  <c r="E570" i="1" s="1"/>
  <c r="D570" i="1" l="1"/>
  <c r="E571" i="1" s="1"/>
  <c r="D571" i="1" l="1"/>
  <c r="E572" i="1" s="1"/>
  <c r="D572" i="1" l="1"/>
  <c r="E573" i="1" s="1"/>
  <c r="D573" i="1" l="1"/>
  <c r="E574" i="1" s="1"/>
  <c r="D574" i="1" l="1"/>
  <c r="E575" i="1" s="1"/>
  <c r="D575" i="1" l="1"/>
  <c r="E576" i="1" s="1"/>
  <c r="D576" i="1" l="1"/>
  <c r="E577" i="1" s="1"/>
  <c r="D577" i="1" l="1"/>
  <c r="E578" i="1" s="1"/>
  <c r="D578" i="1" l="1"/>
  <c r="E579" i="1" s="1"/>
  <c r="D579" i="1" l="1"/>
  <c r="E580" i="1" s="1"/>
  <c r="D580" i="1" l="1"/>
  <c r="E581" i="1" s="1"/>
  <c r="D581" i="1" l="1"/>
  <c r="E582" i="1" s="1"/>
  <c r="D582" i="1" l="1"/>
  <c r="E583" i="1" s="1"/>
  <c r="D583" i="1" l="1"/>
  <c r="E584" i="1" s="1"/>
  <c r="D584" i="1" l="1"/>
  <c r="E585" i="1" s="1"/>
  <c r="D585" i="1" l="1"/>
  <c r="E586" i="1" s="1"/>
  <c r="D586" i="1" l="1"/>
  <c r="E587" i="1" s="1"/>
  <c r="D587" i="1" l="1"/>
  <c r="E588" i="1" s="1"/>
  <c r="D588" i="1" l="1"/>
  <c r="E589" i="1" s="1"/>
  <c r="D589" i="1" l="1"/>
  <c r="E590" i="1" s="1"/>
  <c r="D590" i="1" l="1"/>
  <c r="E591" i="1" s="1"/>
  <c r="D591" i="1" l="1"/>
  <c r="E592" i="1" s="1"/>
  <c r="D592" i="1" l="1"/>
  <c r="E593" i="1" s="1"/>
  <c r="D593" i="1" l="1"/>
  <c r="E594" i="1" s="1"/>
  <c r="D594" i="1" l="1"/>
  <c r="E595" i="1" s="1"/>
  <c r="D595" i="1" l="1"/>
  <c r="E596" i="1" s="1"/>
  <c r="D596" i="1" l="1"/>
  <c r="E597" i="1" s="1"/>
  <c r="D597" i="1" l="1"/>
  <c r="E598" i="1" s="1"/>
  <c r="D598" i="1" l="1"/>
  <c r="E599" i="1" s="1"/>
  <c r="D599" i="1" l="1"/>
  <c r="E600" i="1" s="1"/>
  <c r="D600" i="1" l="1"/>
  <c r="E601" i="1" s="1"/>
  <c r="D601" i="1" l="1"/>
  <c r="E602" i="1" s="1"/>
  <c r="D602" i="1" l="1"/>
  <c r="E603" i="1"/>
  <c r="D603" i="1" l="1"/>
  <c r="E604" i="1" s="1"/>
  <c r="D604" i="1" l="1"/>
  <c r="E605" i="1" s="1"/>
  <c r="D605" i="1" l="1"/>
  <c r="E606" i="1" s="1"/>
  <c r="D606" i="1" l="1"/>
  <c r="E607" i="1"/>
  <c r="D607" i="1" l="1"/>
  <c r="E608" i="1"/>
  <c r="D608" i="1" l="1"/>
  <c r="E609" i="1"/>
  <c r="D609" i="1" l="1"/>
  <c r="E610" i="1" s="1"/>
  <c r="D610" i="1" l="1"/>
  <c r="E611" i="1" s="1"/>
  <c r="D611" i="1" l="1"/>
  <c r="E612" i="1" s="1"/>
  <c r="D612" i="1" l="1"/>
  <c r="E613" i="1" s="1"/>
  <c r="D613" i="1" l="1"/>
  <c r="E614" i="1" s="1"/>
  <c r="D614" i="1" l="1"/>
  <c r="E615" i="1" s="1"/>
  <c r="D615" i="1" l="1"/>
  <c r="E616" i="1" s="1"/>
  <c r="D616" i="1" l="1"/>
  <c r="E617" i="1" s="1"/>
  <c r="D617" i="1" l="1"/>
  <c r="E618" i="1" s="1"/>
  <c r="D618" i="1" l="1"/>
  <c r="E619" i="1" s="1"/>
  <c r="D619" i="1" l="1"/>
  <c r="E620" i="1" s="1"/>
  <c r="D620" i="1" l="1"/>
  <c r="E621" i="1" s="1"/>
  <c r="D621" i="1" l="1"/>
  <c r="E622" i="1" s="1"/>
  <c r="D622" i="1" l="1"/>
  <c r="E623" i="1" s="1"/>
  <c r="D623" i="1" l="1"/>
  <c r="E624" i="1" s="1"/>
  <c r="D624" i="1" l="1"/>
  <c r="E625" i="1" s="1"/>
  <c r="D625" i="1" l="1"/>
  <c r="E626" i="1" s="1"/>
  <c r="D626" i="1" l="1"/>
  <c r="E627" i="1" s="1"/>
  <c r="D627" i="1" l="1"/>
  <c r="E628" i="1" s="1"/>
  <c r="D628" i="1" l="1"/>
  <c r="E629" i="1" s="1"/>
  <c r="D629" i="1" l="1"/>
  <c r="E630" i="1" s="1"/>
  <c r="D630" i="1" l="1"/>
  <c r="E631" i="1" s="1"/>
  <c r="D631" i="1" l="1"/>
  <c r="E632" i="1" s="1"/>
  <c r="D632" i="1" l="1"/>
  <c r="E633" i="1"/>
  <c r="D633" i="1" l="1"/>
  <c r="E634" i="1" s="1"/>
  <c r="D634" i="1" l="1"/>
  <c r="E635" i="1" s="1"/>
  <c r="D635" i="1" l="1"/>
  <c r="E636" i="1" s="1"/>
  <c r="D636" i="1" l="1"/>
  <c r="E637" i="1" s="1"/>
  <c r="D637" i="1" l="1"/>
  <c r="E638" i="1" s="1"/>
  <c r="D638" i="1" l="1"/>
  <c r="E639" i="1" s="1"/>
  <c r="D639" i="1" l="1"/>
  <c r="E640" i="1" s="1"/>
  <c r="D640" i="1" l="1"/>
  <c r="E641" i="1" s="1"/>
  <c r="D641" i="1" l="1"/>
  <c r="E642" i="1"/>
  <c r="D642" i="1" l="1"/>
  <c r="E643" i="1" s="1"/>
  <c r="D643" i="1" l="1"/>
  <c r="E644" i="1" s="1"/>
  <c r="D644" i="1" l="1"/>
  <c r="E645" i="1"/>
  <c r="D645" i="1" l="1"/>
  <c r="E646" i="1"/>
  <c r="D646" i="1" l="1"/>
  <c r="E647" i="1"/>
  <c r="D647" i="1" l="1"/>
  <c r="E648" i="1"/>
  <c r="D648" i="1" l="1"/>
  <c r="E649" i="1"/>
  <c r="D649" i="1" l="1"/>
  <c r="E650" i="1"/>
  <c r="D650" i="1" l="1"/>
  <c r="E651" i="1"/>
  <c r="D651" i="1" l="1"/>
  <c r="E652" i="1"/>
  <c r="D652" i="1" l="1"/>
  <c r="E653" i="1"/>
  <c r="D653" i="1" l="1"/>
  <c r="E654" i="1"/>
  <c r="D654" i="1" l="1"/>
  <c r="E655" i="1"/>
  <c r="D655" i="1" l="1"/>
  <c r="E656" i="1"/>
  <c r="D656" i="1" l="1"/>
  <c r="E657" i="1"/>
  <c r="D657" i="1" l="1"/>
  <c r="E658" i="1"/>
  <c r="D658" i="1" l="1"/>
  <c r="E659" i="1"/>
  <c r="D659" i="1" l="1"/>
  <c r="E660" i="1"/>
  <c r="D660" i="1" l="1"/>
  <c r="E661" i="1"/>
  <c r="D661" i="1" l="1"/>
  <c r="E662" i="1"/>
  <c r="D662" i="1" l="1"/>
  <c r="E663" i="1"/>
  <c r="D663" i="1" l="1"/>
  <c r="E664" i="1"/>
  <c r="D664" i="1" l="1"/>
  <c r="E665" i="1"/>
  <c r="D665" i="1" l="1"/>
  <c r="E666" i="1" s="1"/>
  <c r="D666" i="1" l="1"/>
  <c r="E667" i="1" s="1"/>
  <c r="D667" i="1" l="1"/>
  <c r="E668" i="1" s="1"/>
  <c r="D668" i="1" l="1"/>
  <c r="E669" i="1"/>
  <c r="D669" i="1" l="1"/>
  <c r="E670" i="1"/>
  <c r="D670" i="1" l="1"/>
  <c r="E671" i="1" s="1"/>
  <c r="D671" i="1" l="1"/>
  <c r="E672" i="1"/>
  <c r="D672" i="1" l="1"/>
  <c r="E673" i="1"/>
  <c r="D673" i="1" l="1"/>
  <c r="E674" i="1" s="1"/>
  <c r="D674" i="1" l="1"/>
  <c r="E675" i="1"/>
  <c r="D675" i="1" l="1"/>
  <c r="E676" i="1"/>
  <c r="D676" i="1" l="1"/>
  <c r="E677" i="1"/>
  <c r="D677" i="1" l="1"/>
  <c r="E678" i="1"/>
  <c r="D678" i="1" l="1"/>
  <c r="E679" i="1"/>
  <c r="D679" i="1" l="1"/>
  <c r="E680" i="1"/>
  <c r="D680" i="1" l="1"/>
  <c r="E681" i="1"/>
  <c r="D681" i="1" l="1"/>
  <c r="E682" i="1"/>
  <c r="D682" i="1" l="1"/>
  <c r="E683" i="1"/>
  <c r="D683" i="1" l="1"/>
  <c r="E684" i="1"/>
  <c r="D684" i="1" l="1"/>
  <c r="E685" i="1"/>
  <c r="D685" i="1" l="1"/>
  <c r="E686" i="1"/>
  <c r="D686" i="1" l="1"/>
  <c r="E687" i="1"/>
  <c r="D687" i="1" l="1"/>
  <c r="E688" i="1"/>
  <c r="D688" i="1" l="1"/>
  <c r="E689" i="1"/>
  <c r="D689" i="1" l="1"/>
  <c r="E690" i="1"/>
  <c r="D690" i="1" l="1"/>
  <c r="E691" i="1"/>
  <c r="D691" i="1" l="1"/>
  <c r="E692" i="1"/>
  <c r="D692" i="1" l="1"/>
  <c r="E693" i="1"/>
  <c r="D693" i="1" l="1"/>
  <c r="E694" i="1"/>
  <c r="D694" i="1" l="1"/>
  <c r="E695" i="1"/>
  <c r="D695" i="1" l="1"/>
  <c r="E696" i="1"/>
  <c r="D696" i="1" l="1"/>
  <c r="E697" i="1"/>
  <c r="D697" i="1" l="1"/>
  <c r="E698" i="1"/>
  <c r="D698" i="1" l="1"/>
  <c r="E699" i="1"/>
  <c r="D699" i="1" l="1"/>
  <c r="E700" i="1"/>
  <c r="D700" i="1" l="1"/>
  <c r="E701" i="1"/>
  <c r="D701" i="1" l="1"/>
  <c r="E702" i="1"/>
  <c r="D702" i="1" l="1"/>
  <c r="E703" i="1"/>
  <c r="D703" i="1" l="1"/>
  <c r="E704" i="1"/>
  <c r="D704" i="1" l="1"/>
  <c r="E705" i="1"/>
  <c r="D705" i="1" l="1"/>
  <c r="E706" i="1"/>
  <c r="D706" i="1" l="1"/>
  <c r="E707" i="1"/>
  <c r="D707" i="1" l="1"/>
  <c r="E708" i="1"/>
  <c r="D708" i="1" l="1"/>
  <c r="E709" i="1"/>
  <c r="D709" i="1" l="1"/>
  <c r="E710" i="1"/>
  <c r="D710" i="1" l="1"/>
  <c r="E711" i="1"/>
  <c r="D711" i="1" l="1"/>
  <c r="E712" i="1"/>
  <c r="D712" i="1" l="1"/>
  <c r="E713" i="1"/>
  <c r="D713" i="1" l="1"/>
  <c r="E714" i="1"/>
  <c r="D714" i="1" l="1"/>
  <c r="E715" i="1"/>
  <c r="D715" i="1" l="1"/>
  <c r="E716" i="1"/>
  <c r="D716" i="1" l="1"/>
  <c r="E717" i="1"/>
  <c r="D717" i="1" l="1"/>
  <c r="E718" i="1"/>
  <c r="D718" i="1" l="1"/>
  <c r="E719" i="1"/>
  <c r="D719" i="1" l="1"/>
  <c r="E720" i="1"/>
  <c r="D720" i="1" l="1"/>
  <c r="E721" i="1"/>
  <c r="D721" i="1" l="1"/>
  <c r="E722" i="1"/>
  <c r="D722" i="1" l="1"/>
  <c r="E723" i="1"/>
  <c r="D723" i="1" l="1"/>
  <c r="E724" i="1"/>
  <c r="D724" i="1" l="1"/>
  <c r="E725" i="1"/>
  <c r="D725" i="1" l="1"/>
  <c r="E726" i="1"/>
  <c r="D726" i="1" l="1"/>
  <c r="E727" i="1"/>
  <c r="D727" i="1" l="1"/>
  <c r="E728" i="1"/>
  <c r="D728" i="1" l="1"/>
  <c r="E729" i="1"/>
  <c r="D729" i="1" l="1"/>
  <c r="E730" i="1"/>
  <c r="D730" i="1" l="1"/>
  <c r="E731" i="1"/>
  <c r="D731" i="1" l="1"/>
  <c r="E732" i="1"/>
  <c r="D732" i="1" l="1"/>
  <c r="E733" i="1"/>
  <c r="D733" i="1" l="1"/>
  <c r="E734" i="1"/>
  <c r="D734" i="1" l="1"/>
  <c r="E735" i="1"/>
  <c r="D735" i="1" l="1"/>
  <c r="E736" i="1"/>
  <c r="D736" i="1" l="1"/>
  <c r="E737" i="1"/>
  <c r="D737" i="1" l="1"/>
  <c r="E738" i="1"/>
  <c r="D738" i="1" l="1"/>
  <c r="E739" i="1" s="1"/>
  <c r="D739" i="1" l="1"/>
  <c r="E740" i="1" s="1"/>
  <c r="D740" i="1" l="1"/>
  <c r="E741" i="1" s="1"/>
  <c r="D741" i="1" l="1"/>
  <c r="E742" i="1"/>
  <c r="D742" i="1" l="1"/>
  <c r="E743" i="1"/>
  <c r="D743" i="1" l="1"/>
  <c r="E744" i="1"/>
  <c r="D744" i="1" l="1"/>
  <c r="E745" i="1"/>
  <c r="D745" i="1" l="1"/>
  <c r="E746" i="1"/>
  <c r="D746" i="1" l="1"/>
  <c r="E747" i="1"/>
  <c r="D747" i="1" l="1"/>
  <c r="E748" i="1"/>
  <c r="D748" i="1" l="1"/>
  <c r="E749" i="1"/>
  <c r="D749" i="1" l="1"/>
  <c r="E750" i="1"/>
  <c r="D750" i="1" l="1"/>
  <c r="E751" i="1"/>
  <c r="D751" i="1" l="1"/>
  <c r="E752" i="1"/>
  <c r="D752" i="1" l="1"/>
  <c r="E753" i="1" s="1"/>
  <c r="D753" i="1" l="1"/>
  <c r="E754" i="1" s="1"/>
  <c r="D754" i="1" l="1"/>
  <c r="E755" i="1" s="1"/>
  <c r="D755" i="1" l="1"/>
  <c r="E756" i="1" s="1"/>
  <c r="D756" i="1" l="1"/>
  <c r="E757" i="1" s="1"/>
  <c r="D757" i="1" l="1"/>
  <c r="E758" i="1" s="1"/>
  <c r="D758" i="1" l="1"/>
  <c r="E759" i="1" s="1"/>
  <c r="D759" i="1" l="1"/>
  <c r="E760" i="1" s="1"/>
  <c r="D760" i="1" l="1"/>
  <c r="E761" i="1" s="1"/>
  <c r="D761" i="1" l="1"/>
  <c r="E762" i="1" s="1"/>
  <c r="D762" i="1" l="1"/>
  <c r="E763" i="1" s="1"/>
  <c r="D763" i="1" l="1"/>
  <c r="E764" i="1" s="1"/>
  <c r="D764" i="1" l="1"/>
  <c r="E765" i="1" s="1"/>
  <c r="D765" i="1" l="1"/>
  <c r="E766" i="1" s="1"/>
  <c r="D766" i="1" l="1"/>
  <c r="E767" i="1" s="1"/>
  <c r="D767" i="1" l="1"/>
  <c r="E768" i="1" s="1"/>
  <c r="D768" i="1" l="1"/>
  <c r="E769" i="1" s="1"/>
  <c r="D769" i="1" l="1"/>
  <c r="E770" i="1" s="1"/>
  <c r="D770" i="1" l="1"/>
  <c r="E771" i="1" s="1"/>
  <c r="D771" i="1" l="1"/>
  <c r="E772" i="1" s="1"/>
  <c r="D772" i="1" l="1"/>
  <c r="E773" i="1"/>
  <c r="D773" i="1" l="1"/>
  <c r="E774" i="1" s="1"/>
  <c r="D774" i="1" l="1"/>
  <c r="E775" i="1"/>
  <c r="D775" i="1" l="1"/>
  <c r="E776" i="1"/>
  <c r="D776" i="1" l="1"/>
  <c r="E777" i="1"/>
  <c r="D777" i="1" l="1"/>
  <c r="E778" i="1"/>
  <c r="D778" i="1" l="1"/>
  <c r="E779" i="1"/>
  <c r="D779" i="1" l="1"/>
  <c r="E780" i="1"/>
  <c r="D780" i="1" l="1"/>
  <c r="E781" i="1"/>
  <c r="D781" i="1" l="1"/>
  <c r="E782" i="1"/>
  <c r="D782" i="1" l="1"/>
  <c r="E783" i="1"/>
  <c r="D783" i="1" l="1"/>
  <c r="E784" i="1"/>
  <c r="D784" i="1" l="1"/>
  <c r="E785" i="1"/>
  <c r="D785" i="1" l="1"/>
  <c r="E786" i="1"/>
  <c r="D786" i="1" l="1"/>
  <c r="E787" i="1"/>
  <c r="D787" i="1" l="1"/>
  <c r="E788" i="1"/>
  <c r="D788" i="1" l="1"/>
  <c r="E789" i="1"/>
  <c r="D789" i="1" l="1"/>
  <c r="E790" i="1"/>
  <c r="D790" i="1" l="1"/>
  <c r="E791" i="1"/>
  <c r="D791" i="1" l="1"/>
  <c r="E792" i="1"/>
  <c r="D792" i="1" l="1"/>
  <c r="E793" i="1"/>
  <c r="D793" i="1" l="1"/>
  <c r="E794" i="1"/>
  <c r="D794" i="1" l="1"/>
  <c r="E795" i="1"/>
  <c r="D795" i="1" l="1"/>
  <c r="E796" i="1" s="1"/>
  <c r="D796" i="1" l="1"/>
  <c r="E797" i="1"/>
  <c r="D797" i="1" l="1"/>
  <c r="E798" i="1"/>
  <c r="D798" i="1" l="1"/>
  <c r="E799" i="1"/>
  <c r="D799" i="1" l="1"/>
  <c r="E800" i="1"/>
  <c r="D800" i="1" l="1"/>
  <c r="E801" i="1"/>
  <c r="D801" i="1" l="1"/>
  <c r="E802" i="1"/>
  <c r="D802" i="1" l="1"/>
  <c r="E803" i="1"/>
  <c r="D803" i="1" l="1"/>
  <c r="E804" i="1"/>
  <c r="D804" i="1" l="1"/>
  <c r="E805" i="1"/>
  <c r="D805" i="1" l="1"/>
  <c r="E806" i="1"/>
  <c r="D806" i="1" l="1"/>
  <c r="E807" i="1"/>
  <c r="D807" i="1" l="1"/>
  <c r="E808" i="1"/>
  <c r="D808" i="1" l="1"/>
  <c r="E809" i="1"/>
  <c r="D809" i="1" l="1"/>
  <c r="E810" i="1"/>
  <c r="D810" i="1" l="1"/>
  <c r="E811" i="1"/>
  <c r="D811" i="1" l="1"/>
  <c r="E812" i="1"/>
  <c r="D812" i="1" l="1"/>
  <c r="E813" i="1"/>
  <c r="D813" i="1" l="1"/>
  <c r="E814" i="1"/>
  <c r="D814" i="1" l="1"/>
  <c r="E815" i="1"/>
  <c r="D815" i="1" l="1"/>
  <c r="E816" i="1"/>
  <c r="D816" i="1" l="1"/>
  <c r="E817" i="1" s="1"/>
  <c r="D817" i="1" l="1"/>
  <c r="E818" i="1" s="1"/>
  <c r="D818" i="1" l="1"/>
  <c r="E819" i="1" s="1"/>
  <c r="D819" i="1" l="1"/>
  <c r="E820" i="1" s="1"/>
  <c r="D820" i="1" l="1"/>
  <c r="E821" i="1" s="1"/>
  <c r="D821" i="1" l="1"/>
  <c r="E822" i="1"/>
  <c r="D822" i="1" l="1"/>
  <c r="E823" i="1" s="1"/>
  <c r="D823" i="1" l="1"/>
  <c r="E824" i="1"/>
  <c r="D824" i="1" l="1"/>
  <c r="E825" i="1"/>
  <c r="D825" i="1" l="1"/>
  <c r="E826" i="1"/>
  <c r="D826" i="1" l="1"/>
  <c r="E827" i="1" s="1"/>
  <c r="D827" i="1" l="1"/>
  <c r="E828" i="1" s="1"/>
  <c r="D828" i="1" l="1"/>
  <c r="E829" i="1"/>
  <c r="D829" i="1" l="1"/>
  <c r="E830" i="1"/>
  <c r="D830" i="1" l="1"/>
  <c r="E831" i="1" s="1"/>
  <c r="D831" i="1" l="1"/>
  <c r="E832" i="1" s="1"/>
  <c r="D832" i="1" l="1"/>
  <c r="E833" i="1" s="1"/>
  <c r="D833" i="1" l="1"/>
  <c r="E834" i="1"/>
  <c r="D834" i="1" l="1"/>
  <c r="E835" i="1"/>
  <c r="D835" i="1" l="1"/>
  <c r="E836" i="1" s="1"/>
  <c r="D836" i="1" l="1"/>
  <c r="E837" i="1"/>
  <c r="D837" i="1" l="1"/>
  <c r="E838" i="1" s="1"/>
  <c r="D838" i="1" l="1"/>
  <c r="E839" i="1"/>
  <c r="D839" i="1" l="1"/>
  <c r="E840" i="1"/>
  <c r="D840" i="1" l="1"/>
  <c r="E841" i="1" s="1"/>
  <c r="D841" i="1" l="1"/>
  <c r="E842" i="1"/>
  <c r="D842" i="1" l="1"/>
  <c r="E843" i="1" s="1"/>
  <c r="D843" i="1" l="1"/>
  <c r="E844" i="1"/>
  <c r="D844" i="1" l="1"/>
  <c r="E845" i="1"/>
  <c r="D845" i="1" l="1"/>
  <c r="E846" i="1"/>
  <c r="D846" i="1" l="1"/>
  <c r="E847" i="1"/>
  <c r="D847" i="1" l="1"/>
  <c r="E848" i="1"/>
  <c r="D848" i="1" l="1"/>
  <c r="E849" i="1" s="1"/>
  <c r="D849" i="1" l="1"/>
  <c r="E850" i="1"/>
  <c r="D850" i="1" l="1"/>
  <c r="E851" i="1"/>
  <c r="D851" i="1" l="1"/>
  <c r="E852" i="1" s="1"/>
  <c r="D852" i="1" l="1"/>
  <c r="E853" i="1"/>
  <c r="D853" i="1" l="1"/>
  <c r="E854" i="1"/>
  <c r="D854" i="1" l="1"/>
  <c r="E855" i="1" s="1"/>
  <c r="D855" i="1" l="1"/>
  <c r="E856" i="1"/>
  <c r="D856" i="1" l="1"/>
  <c r="E857" i="1" s="1"/>
  <c r="D857" i="1" l="1"/>
  <c r="E858" i="1" s="1"/>
  <c r="D858" i="1" l="1"/>
  <c r="E859" i="1"/>
  <c r="D859" i="1" l="1"/>
  <c r="E860" i="1" s="1"/>
  <c r="D860" i="1" l="1"/>
  <c r="E861" i="1"/>
  <c r="D861" i="1" l="1"/>
  <c r="E862" i="1" s="1"/>
  <c r="D862" i="1" l="1"/>
  <c r="E863" i="1" s="1"/>
  <c r="D863" i="1" l="1"/>
  <c r="E864" i="1" s="1"/>
  <c r="D864" i="1" l="1"/>
  <c r="E865" i="1" s="1"/>
  <c r="D865" i="1" l="1"/>
  <c r="E866" i="1" s="1"/>
  <c r="D866" i="1" l="1"/>
  <c r="E867" i="1" s="1"/>
  <c r="D867" i="1" l="1"/>
  <c r="E868" i="1" s="1"/>
  <c r="D868" i="1" l="1"/>
  <c r="E869" i="1" s="1"/>
  <c r="D869" i="1" l="1"/>
  <c r="E870" i="1" s="1"/>
  <c r="D870" i="1" l="1"/>
  <c r="E871" i="1" s="1"/>
  <c r="D871" i="1" l="1"/>
  <c r="E872" i="1" s="1"/>
  <c r="D872" i="1" l="1"/>
  <c r="E873" i="1" s="1"/>
  <c r="D873" i="1" l="1"/>
  <c r="E874" i="1" s="1"/>
  <c r="D874" i="1" l="1"/>
  <c r="E875" i="1" s="1"/>
  <c r="D875" i="1" l="1"/>
  <c r="E876" i="1" s="1"/>
  <c r="D876" i="1" l="1"/>
  <c r="E877" i="1" s="1"/>
  <c r="D877" i="1" l="1"/>
  <c r="E878" i="1" s="1"/>
  <c r="D878" i="1" l="1"/>
  <c r="E879" i="1"/>
  <c r="D879" i="1" l="1"/>
  <c r="E880" i="1" s="1"/>
  <c r="D880" i="1" l="1"/>
  <c r="E881" i="1" s="1"/>
  <c r="D881" i="1" l="1"/>
  <c r="E882" i="1" s="1"/>
  <c r="D882" i="1" l="1"/>
  <c r="E883" i="1" s="1"/>
  <c r="D883" i="1" l="1"/>
  <c r="E884" i="1"/>
  <c r="D884" i="1" l="1"/>
  <c r="E885" i="1"/>
  <c r="D885" i="1" l="1"/>
  <c r="E886" i="1"/>
  <c r="D886" i="1" l="1"/>
  <c r="E887" i="1"/>
  <c r="D887" i="1" l="1"/>
  <c r="E888" i="1"/>
  <c r="D888" i="1" l="1"/>
  <c r="E889" i="1"/>
  <c r="D889" i="1" l="1"/>
  <c r="E890" i="1"/>
  <c r="D890" i="1" l="1"/>
  <c r="E891" i="1"/>
  <c r="D891" i="1" l="1"/>
  <c r="E892" i="1"/>
  <c r="D892" i="1" l="1"/>
  <c r="E893" i="1"/>
  <c r="D893" i="1" l="1"/>
  <c r="E894" i="1"/>
  <c r="D894" i="1" l="1"/>
  <c r="E895" i="1" s="1"/>
  <c r="D895" i="1" l="1"/>
  <c r="E896" i="1" s="1"/>
  <c r="D896" i="1" l="1"/>
  <c r="E897" i="1"/>
  <c r="D897" i="1" l="1"/>
  <c r="E898" i="1"/>
  <c r="D898" i="1" l="1"/>
  <c r="E899" i="1"/>
  <c r="D899" i="1" l="1"/>
  <c r="E900" i="1" s="1"/>
  <c r="D900" i="1" l="1"/>
  <c r="E901" i="1" s="1"/>
  <c r="D901" i="1" l="1"/>
  <c r="E902" i="1" s="1"/>
  <c r="D902" i="1" l="1"/>
  <c r="E903" i="1" s="1"/>
  <c r="D903" i="1" l="1"/>
  <c r="E904" i="1" s="1"/>
  <c r="D904" i="1" l="1"/>
  <c r="E905" i="1"/>
  <c r="D905" i="1" l="1"/>
  <c r="E906" i="1" s="1"/>
  <c r="D906" i="1" l="1"/>
  <c r="E907" i="1" s="1"/>
  <c r="D907" i="1" l="1"/>
  <c r="E908" i="1"/>
  <c r="D908" i="1" l="1"/>
  <c r="E909" i="1"/>
  <c r="D909" i="1" l="1"/>
  <c r="E910" i="1"/>
  <c r="D910" i="1" l="1"/>
  <c r="E911" i="1" s="1"/>
  <c r="D911" i="1" l="1"/>
  <c r="E912" i="1"/>
  <c r="D912" i="1" l="1"/>
  <c r="E913" i="1" s="1"/>
  <c r="D913" i="1" l="1"/>
  <c r="E914" i="1" s="1"/>
  <c r="D914" i="1" l="1"/>
  <c r="E915" i="1" s="1"/>
  <c r="D915" i="1" l="1"/>
  <c r="E916" i="1"/>
  <c r="D916" i="1" l="1"/>
  <c r="E917" i="1"/>
  <c r="D917" i="1" l="1"/>
  <c r="E918" i="1" s="1"/>
  <c r="D918" i="1" l="1"/>
  <c r="E919" i="1"/>
  <c r="D919" i="1" l="1"/>
  <c r="E920" i="1"/>
  <c r="D920" i="1" l="1"/>
  <c r="E921" i="1" s="1"/>
  <c r="D921" i="1" l="1"/>
  <c r="E922" i="1"/>
  <c r="D922" i="1" l="1"/>
  <c r="E923" i="1" s="1"/>
  <c r="D923" i="1" l="1"/>
  <c r="E924" i="1"/>
  <c r="D924" i="1" l="1"/>
  <c r="E925" i="1" s="1"/>
  <c r="D925" i="1" l="1"/>
  <c r="E926" i="1"/>
  <c r="D926" i="1" l="1"/>
  <c r="E927" i="1" s="1"/>
  <c r="D927" i="1" l="1"/>
  <c r="E928" i="1"/>
  <c r="D928" i="1" l="1"/>
  <c r="E929" i="1"/>
  <c r="D929" i="1" l="1"/>
  <c r="E930" i="1" s="1"/>
  <c r="D930" i="1" l="1"/>
  <c r="E931" i="1"/>
  <c r="D931" i="1" l="1"/>
  <c r="E932" i="1"/>
  <c r="D932" i="1" l="1"/>
  <c r="E933" i="1"/>
  <c r="D933" i="1" l="1"/>
  <c r="E934" i="1"/>
  <c r="D934" i="1" l="1"/>
  <c r="E935" i="1"/>
  <c r="D935" i="1" l="1"/>
  <c r="E936" i="1"/>
  <c r="D936" i="1" l="1"/>
  <c r="E937" i="1"/>
  <c r="D937" i="1" l="1"/>
  <c r="E938" i="1" s="1"/>
  <c r="D938" i="1" l="1"/>
  <c r="E939" i="1" s="1"/>
  <c r="D939" i="1" l="1"/>
  <c r="E940" i="1" s="1"/>
  <c r="D940" i="1" l="1"/>
  <c r="E941" i="1" s="1"/>
  <c r="D941" i="1" l="1"/>
  <c r="E942" i="1" s="1"/>
  <c r="D942" i="1" l="1"/>
  <c r="E943" i="1" s="1"/>
  <c r="D943" i="1" l="1"/>
  <c r="E944" i="1" s="1"/>
  <c r="D944" i="1" l="1"/>
  <c r="E945" i="1" s="1"/>
  <c r="D945" i="1" l="1"/>
  <c r="E946" i="1" s="1"/>
  <c r="D946" i="1" l="1"/>
  <c r="E947" i="1"/>
  <c r="D947" i="1" l="1"/>
  <c r="E948" i="1"/>
  <c r="D948" i="1" l="1"/>
  <c r="E949" i="1"/>
  <c r="D949" i="1" l="1"/>
  <c r="E950" i="1"/>
  <c r="D950" i="1" l="1"/>
  <c r="E951" i="1" s="1"/>
  <c r="D951" i="1" l="1"/>
  <c r="E952" i="1"/>
  <c r="D952" i="1" l="1"/>
  <c r="E953" i="1"/>
  <c r="D953" i="1" l="1"/>
  <c r="E954" i="1" s="1"/>
  <c r="D954" i="1" l="1"/>
  <c r="E955" i="1" s="1"/>
  <c r="D955" i="1" l="1"/>
  <c r="E956" i="1"/>
  <c r="D956" i="1" l="1"/>
  <c r="E957" i="1" s="1"/>
  <c r="D957" i="1" l="1"/>
  <c r="E958" i="1"/>
  <c r="D958" i="1" l="1"/>
  <c r="E959" i="1"/>
  <c r="D959" i="1" l="1"/>
  <c r="E960" i="1" s="1"/>
  <c r="D960" i="1" l="1"/>
  <c r="E961" i="1" s="1"/>
  <c r="D961" i="1" l="1"/>
  <c r="E962" i="1" s="1"/>
  <c r="D962" i="1" l="1"/>
  <c r="E963" i="1" s="1"/>
  <c r="D963" i="1" l="1"/>
  <c r="E964" i="1"/>
  <c r="D964" i="1" l="1"/>
  <c r="E965" i="1"/>
  <c r="D965" i="1" l="1"/>
  <c r="E966" i="1" s="1"/>
  <c r="D966" i="1" l="1"/>
  <c r="E967" i="1"/>
  <c r="D967" i="1" l="1"/>
  <c r="E968" i="1" s="1"/>
  <c r="D968" i="1" l="1"/>
  <c r="E969" i="1" s="1"/>
  <c r="D969" i="1" l="1"/>
  <c r="E970" i="1" s="1"/>
  <c r="D970" i="1" l="1"/>
  <c r="E971" i="1" s="1"/>
  <c r="D971" i="1" l="1"/>
  <c r="E972" i="1" s="1"/>
  <c r="D972" i="1" l="1"/>
  <c r="E973" i="1" s="1"/>
  <c r="D973" i="1" l="1"/>
  <c r="E974" i="1"/>
  <c r="D974" i="1" l="1"/>
  <c r="E975" i="1"/>
  <c r="D975" i="1" l="1"/>
  <c r="E976" i="1" s="1"/>
  <c r="D976" i="1" l="1"/>
  <c r="E977" i="1" s="1"/>
  <c r="D977" i="1" l="1"/>
  <c r="E978" i="1"/>
  <c r="D978" i="1" l="1"/>
  <c r="E979" i="1" s="1"/>
  <c r="D979" i="1" l="1"/>
  <c r="E980" i="1" s="1"/>
  <c r="D980" i="1" l="1"/>
  <c r="E981" i="1" s="1"/>
  <c r="D981" i="1" l="1"/>
  <c r="E982" i="1" s="1"/>
  <c r="D982" i="1" l="1"/>
  <c r="E983" i="1" s="1"/>
  <c r="D983" i="1" l="1"/>
  <c r="E984" i="1" s="1"/>
  <c r="D984" i="1" l="1"/>
  <c r="E985" i="1" s="1"/>
  <c r="D985" i="1" l="1"/>
  <c r="E986" i="1" s="1"/>
  <c r="D986" i="1" l="1"/>
  <c r="E987" i="1"/>
  <c r="D987" i="1" l="1"/>
  <c r="E988" i="1"/>
  <c r="D988" i="1" l="1"/>
  <c r="E989" i="1"/>
  <c r="D989" i="1" l="1"/>
  <c r="E990" i="1" s="1"/>
  <c r="D990" i="1" l="1"/>
  <c r="E991" i="1"/>
  <c r="D991" i="1" l="1"/>
  <c r="E992" i="1" s="1"/>
  <c r="D992" i="1" l="1"/>
  <c r="E993" i="1" s="1"/>
  <c r="D993" i="1" l="1"/>
  <c r="E994" i="1" s="1"/>
  <c r="D994" i="1" l="1"/>
  <c r="E995" i="1" s="1"/>
  <c r="D995" i="1" l="1"/>
  <c r="E996" i="1" s="1"/>
  <c r="D996" i="1" l="1"/>
  <c r="E997" i="1" s="1"/>
  <c r="D997" i="1" l="1"/>
  <c r="E998" i="1" s="1"/>
  <c r="D998" i="1" l="1"/>
  <c r="E999" i="1" s="1"/>
  <c r="D999" i="1" l="1"/>
  <c r="E1000" i="1" s="1"/>
  <c r="D1000" i="1" l="1"/>
  <c r="E1001" i="1" s="1"/>
  <c r="D1001" i="1" l="1"/>
  <c r="E1002" i="1" s="1"/>
  <c r="D1002" i="1" l="1"/>
  <c r="E1003" i="1" s="1"/>
  <c r="D1003" i="1" l="1"/>
  <c r="E1004" i="1" s="1"/>
  <c r="D1004" i="1" l="1"/>
  <c r="E1005" i="1" s="1"/>
  <c r="D1005" i="1" l="1"/>
  <c r="E1006" i="1" s="1"/>
  <c r="D1006" i="1" l="1"/>
  <c r="E1007" i="1" s="1"/>
  <c r="D1007" i="1" l="1"/>
  <c r="E1008" i="1" s="1"/>
  <c r="D1008" i="1" l="1"/>
  <c r="E1009" i="1" s="1"/>
  <c r="D1009" i="1" l="1"/>
  <c r="E1010" i="1" s="1"/>
  <c r="D1010" i="1" l="1"/>
  <c r="E1011" i="1" s="1"/>
  <c r="D1011" i="1" l="1"/>
  <c r="E1012" i="1" s="1"/>
  <c r="D1012" i="1" l="1"/>
  <c r="E1013" i="1" s="1"/>
  <c r="D1013" i="1" l="1"/>
  <c r="E1014" i="1"/>
  <c r="D1014" i="1" l="1"/>
  <c r="E1015" i="1"/>
  <c r="D1015" i="1" l="1"/>
  <c r="E1016" i="1" s="1"/>
  <c r="D1016" i="1" l="1"/>
  <c r="E1017" i="1" s="1"/>
  <c r="D1017" i="1" l="1"/>
  <c r="E1018" i="1" s="1"/>
  <c r="D1018" i="1" l="1"/>
  <c r="E1019" i="1" s="1"/>
  <c r="D1019" i="1" l="1"/>
  <c r="E1020" i="1" s="1"/>
  <c r="D1020" i="1" l="1"/>
  <c r="E1021" i="1" s="1"/>
  <c r="D1021" i="1" l="1"/>
  <c r="E1022" i="1" s="1"/>
  <c r="D1022" i="1" l="1"/>
  <c r="E1023" i="1" s="1"/>
  <c r="E1025" i="1" l="1"/>
  <c r="D1023" i="1"/>
  <c r="M24" i="1"/>
  <c r="N25" i="1" s="1"/>
  <c r="M25" i="1" l="1"/>
  <c r="N26" i="1"/>
  <c r="M26" i="1" s="1"/>
  <c r="N27" i="1" s="1"/>
  <c r="M27" i="1" s="1"/>
  <c r="N28" i="1" s="1"/>
  <c r="M28" i="1" s="1"/>
  <c r="N29" i="1" s="1"/>
  <c r="M29" i="1" s="1"/>
  <c r="N30" i="1" s="1"/>
  <c r="M30" i="1" s="1"/>
  <c r="N31" i="1" s="1"/>
  <c r="M31" i="1" s="1"/>
  <c r="N32" i="1" s="1"/>
  <c r="M32" i="1" s="1"/>
  <c r="N33" i="1" s="1"/>
  <c r="M33" i="1" s="1"/>
  <c r="N34" i="1" s="1"/>
  <c r="M34" i="1" s="1"/>
  <c r="N35" i="1" s="1"/>
  <c r="M35" i="1" s="1"/>
  <c r="N36" i="1" s="1"/>
  <c r="M36" i="1" s="1"/>
  <c r="N37" i="1" s="1"/>
  <c r="M37" i="1" s="1"/>
  <c r="N38" i="1" s="1"/>
  <c r="M38" i="1" s="1"/>
  <c r="N39" i="1" s="1"/>
  <c r="M39" i="1" l="1"/>
  <c r="N40" i="1" s="1"/>
  <c r="M40" i="1" s="1"/>
  <c r="N41" i="1" s="1"/>
  <c r="M41" i="1" s="1"/>
  <c r="N42" i="1" s="1"/>
  <c r="M42" i="1" s="1"/>
  <c r="N43" i="1" s="1"/>
  <c r="M43" i="1" s="1"/>
  <c r="N44" i="1" s="1"/>
  <c r="M44" i="1" s="1"/>
  <c r="N45" i="1" s="1"/>
  <c r="M45" i="1" s="1"/>
  <c r="N46" i="1" s="1"/>
  <c r="M46" i="1" s="1"/>
  <c r="N47" i="1" s="1"/>
  <c r="M47" i="1" s="1"/>
  <c r="N48" i="1" s="1"/>
  <c r="M48" i="1" s="1"/>
  <c r="N49" i="1" s="1"/>
  <c r="M49" i="1" s="1"/>
  <c r="N50" i="1" s="1"/>
  <c r="M50" i="1" s="1"/>
  <c r="N51" i="1" s="1"/>
  <c r="M51" i="1" l="1"/>
  <c r="N52" i="1"/>
  <c r="M52" i="1" l="1"/>
  <c r="N53" i="1"/>
  <c r="M53" i="1" l="1"/>
  <c r="N54" i="1"/>
  <c r="M54" i="1" s="1"/>
  <c r="N55" i="1" s="1"/>
  <c r="M55" i="1" s="1"/>
  <c r="N56" i="1" s="1"/>
  <c r="M56" i="1" s="1"/>
  <c r="N57" i="1" s="1"/>
  <c r="M57" i="1" s="1"/>
  <c r="N58" i="1" s="1"/>
  <c r="M58" i="1" s="1"/>
  <c r="N59" i="1" s="1"/>
  <c r="M59" i="1" s="1"/>
  <c r="N60" i="1" s="1"/>
  <c r="M60" i="1" l="1"/>
  <c r="N61" i="1"/>
  <c r="M61" i="1" s="1"/>
  <c r="N62" i="1" s="1"/>
  <c r="M62" i="1" s="1"/>
  <c r="N63" i="1" s="1"/>
  <c r="M63" i="1" l="1"/>
  <c r="N64" i="1" s="1"/>
  <c r="M64" i="1" s="1"/>
  <c r="N65" i="1" s="1"/>
  <c r="M65" i="1" s="1"/>
  <c r="N66" i="1" s="1"/>
  <c r="M66" i="1" l="1"/>
  <c r="N67" i="1" s="1"/>
  <c r="M67" i="1" s="1"/>
  <c r="N68" i="1" s="1"/>
  <c r="M68" i="1" s="1"/>
  <c r="N69" i="1" s="1"/>
  <c r="M69" i="1" s="1"/>
  <c r="N70" i="1" s="1"/>
  <c r="M70" i="1" s="1"/>
  <c r="N71" i="1" s="1"/>
  <c r="M71" i="1" l="1"/>
  <c r="N72" i="1"/>
  <c r="M72" i="1" s="1"/>
  <c r="N73" i="1" s="1"/>
  <c r="M73" i="1" s="1"/>
  <c r="N74" i="1" s="1"/>
  <c r="M74" i="1" s="1"/>
  <c r="N75" i="1" s="1"/>
  <c r="M75" i="1" s="1"/>
  <c r="N76" i="1" s="1"/>
  <c r="M76" i="1" s="1"/>
  <c r="N77" i="1" s="1"/>
  <c r="M77" i="1" s="1"/>
  <c r="N78" i="1" s="1"/>
  <c r="M78" i="1" s="1"/>
  <c r="N79" i="1" s="1"/>
  <c r="M79" i="1" s="1"/>
  <c r="N80" i="1" s="1"/>
  <c r="M80" i="1" s="1"/>
  <c r="N81" i="1" s="1"/>
  <c r="M81" i="1" s="1"/>
  <c r="N82" i="1" s="1"/>
  <c r="M82" i="1" s="1"/>
  <c r="N83" i="1" s="1"/>
  <c r="M83" i="1" s="1"/>
  <c r="N84" i="1" s="1"/>
  <c r="M84" i="1" s="1"/>
  <c r="N85" i="1" s="1"/>
  <c r="M85" i="1" l="1"/>
  <c r="N86" i="1"/>
  <c r="M86" i="1" l="1"/>
  <c r="N87" i="1"/>
  <c r="M87" i="1" s="1"/>
  <c r="N88" i="1" s="1"/>
  <c r="M88" i="1" s="1"/>
  <c r="N89" i="1" s="1"/>
  <c r="M89" i="1" s="1"/>
  <c r="N90" i="1" s="1"/>
  <c r="M90" i="1" s="1"/>
  <c r="N91" i="1" s="1"/>
  <c r="M91" i="1" s="1"/>
  <c r="N92" i="1" s="1"/>
  <c r="M92" i="1" s="1"/>
  <c r="N93" i="1" s="1"/>
  <c r="M93" i="1" l="1"/>
  <c r="N94" i="1"/>
  <c r="M94" i="1" s="1"/>
  <c r="N95" i="1" s="1"/>
  <c r="M95" i="1" l="1"/>
  <c r="N96" i="1"/>
  <c r="M96" i="1" s="1"/>
  <c r="N97" i="1" s="1"/>
  <c r="M97" i="1" s="1"/>
  <c r="N98" i="1" s="1"/>
  <c r="M98" i="1" s="1"/>
  <c r="N99" i="1" s="1"/>
  <c r="M99" i="1" s="1"/>
  <c r="N100" i="1" s="1"/>
  <c r="M100" i="1" s="1"/>
  <c r="N101" i="1" s="1"/>
  <c r="M101" i="1" s="1"/>
  <c r="N102" i="1" s="1"/>
  <c r="M102" i="1" s="1"/>
  <c r="N103" i="1" s="1"/>
  <c r="M103" i="1" l="1"/>
  <c r="N104" i="1"/>
  <c r="M104" i="1" s="1"/>
  <c r="N105" i="1" s="1"/>
  <c r="M105" i="1" s="1"/>
  <c r="N106" i="1" s="1"/>
  <c r="M106" i="1" s="1"/>
  <c r="N107" i="1" s="1"/>
  <c r="M107" i="1" s="1"/>
  <c r="N108" i="1" s="1"/>
  <c r="M108" i="1" s="1"/>
  <c r="N109" i="1" s="1"/>
  <c r="M109" i="1" s="1"/>
  <c r="N110" i="1" s="1"/>
  <c r="M110" i="1" s="1"/>
  <c r="N111" i="1" s="1"/>
  <c r="M111" i="1" s="1"/>
  <c r="N112" i="1" s="1"/>
  <c r="M112" i="1" s="1"/>
  <c r="N113" i="1" s="1"/>
  <c r="M113" i="1" s="1"/>
  <c r="N114" i="1" s="1"/>
  <c r="M114" i="1" s="1"/>
  <c r="N115" i="1" s="1"/>
  <c r="M115" i="1" s="1"/>
  <c r="N116" i="1" s="1"/>
  <c r="M116" i="1" s="1"/>
  <c r="N117" i="1" s="1"/>
  <c r="M117" i="1" s="1"/>
  <c r="N118" i="1" s="1"/>
  <c r="M118" i="1" s="1"/>
  <c r="N119" i="1" s="1"/>
  <c r="M119" i="1" s="1"/>
  <c r="N120" i="1" s="1"/>
  <c r="M120" i="1" s="1"/>
  <c r="N121" i="1" s="1"/>
  <c r="M121" i="1" s="1"/>
  <c r="N122" i="1" s="1"/>
  <c r="M122" i="1" s="1"/>
  <c r="N123" i="1" s="1"/>
  <c r="M123" i="1" s="1"/>
  <c r="N124" i="1" s="1"/>
  <c r="M124" i="1" l="1"/>
  <c r="N125" i="1"/>
  <c r="M125" i="1" s="1"/>
  <c r="N126" i="1" s="1"/>
  <c r="M126" i="1" l="1"/>
  <c r="N127" i="1"/>
  <c r="M127" i="1" s="1"/>
  <c r="N128" i="1" s="1"/>
  <c r="M128" i="1" s="1"/>
  <c r="N129" i="1" s="1"/>
  <c r="M129" i="1" s="1"/>
  <c r="N130" i="1" s="1"/>
  <c r="M130" i="1" s="1"/>
  <c r="N131" i="1" s="1"/>
  <c r="M131" i="1" s="1"/>
  <c r="N132" i="1" s="1"/>
  <c r="M132" i="1" s="1"/>
  <c r="N133" i="1" s="1"/>
  <c r="M133" i="1" s="1"/>
  <c r="N134" i="1" s="1"/>
  <c r="M134" i="1" s="1"/>
  <c r="N135" i="1" s="1"/>
  <c r="M135" i="1" l="1"/>
  <c r="N136" i="1"/>
  <c r="M136" i="1" s="1"/>
  <c r="N137" i="1" s="1"/>
  <c r="M137" i="1" s="1"/>
  <c r="N138" i="1" s="1"/>
  <c r="M138" i="1" l="1"/>
  <c r="N139" i="1"/>
  <c r="M139" i="1" s="1"/>
  <c r="N140" i="1" s="1"/>
  <c r="M140" i="1" s="1"/>
  <c r="N141" i="1" s="1"/>
  <c r="M141" i="1" s="1"/>
  <c r="N142" i="1" s="1"/>
  <c r="M142" i="1" s="1"/>
  <c r="N143" i="1" s="1"/>
  <c r="M143" i="1" s="1"/>
  <c r="N144" i="1" s="1"/>
  <c r="M144" i="1" s="1"/>
  <c r="N145" i="1" s="1"/>
  <c r="M145" i="1" s="1"/>
  <c r="N146" i="1" s="1"/>
  <c r="M146" i="1" s="1"/>
  <c r="N147" i="1" s="1"/>
  <c r="M147" i="1" s="1"/>
  <c r="N148" i="1" s="1"/>
  <c r="M148" i="1" s="1"/>
  <c r="N149" i="1" s="1"/>
  <c r="M149" i="1" s="1"/>
  <c r="N150" i="1" s="1"/>
  <c r="M150" i="1" l="1"/>
  <c r="N151" i="1"/>
  <c r="M151" i="1" s="1"/>
  <c r="N152" i="1" s="1"/>
  <c r="M152" i="1" s="1"/>
  <c r="N153" i="1" s="1"/>
  <c r="M153" i="1" s="1"/>
  <c r="N154" i="1" s="1"/>
  <c r="M154" i="1" s="1"/>
  <c r="N155" i="1" s="1"/>
  <c r="M155" i="1" s="1"/>
  <c r="N156" i="1" s="1"/>
  <c r="M156" i="1" s="1"/>
  <c r="N157" i="1" s="1"/>
  <c r="M157" i="1" l="1"/>
  <c r="N158" i="1"/>
  <c r="M158" i="1" s="1"/>
  <c r="N159" i="1" s="1"/>
  <c r="M159" i="1" l="1"/>
  <c r="N160" i="1"/>
  <c r="M160" i="1" s="1"/>
  <c r="N161" i="1" s="1"/>
  <c r="M161" i="1" s="1"/>
  <c r="N162" i="1" s="1"/>
  <c r="M162" i="1" s="1"/>
  <c r="N163" i="1" s="1"/>
  <c r="M163" i="1" s="1"/>
  <c r="N164" i="1" s="1"/>
  <c r="M164" i="1" s="1"/>
  <c r="N165" i="1" s="1"/>
  <c r="M165" i="1" s="1"/>
  <c r="N166" i="1" s="1"/>
  <c r="M166" i="1" s="1"/>
  <c r="N167" i="1" s="1"/>
  <c r="M167" i="1" l="1"/>
  <c r="N168" i="1"/>
  <c r="M168" i="1" s="1"/>
  <c r="N169" i="1" s="1"/>
  <c r="M169" i="1" s="1"/>
  <c r="N170" i="1" s="1"/>
  <c r="M170" i="1" s="1"/>
  <c r="N171" i="1" s="1"/>
  <c r="M171" i="1" s="1"/>
  <c r="N172" i="1" s="1"/>
  <c r="M172" i="1" s="1"/>
  <c r="N173" i="1" s="1"/>
  <c r="M173" i="1" s="1"/>
  <c r="N174" i="1" s="1"/>
  <c r="M174" i="1" s="1"/>
  <c r="N175" i="1" s="1"/>
  <c r="M175" i="1" s="1"/>
  <c r="N176" i="1" s="1"/>
  <c r="M176" i="1" s="1"/>
  <c r="N177" i="1" s="1"/>
  <c r="M177" i="1" s="1"/>
  <c r="N178" i="1" s="1"/>
  <c r="M178" i="1" s="1"/>
  <c r="N179" i="1" s="1"/>
  <c r="M179" i="1" s="1"/>
  <c r="N180" i="1" s="1"/>
  <c r="M180" i="1" s="1"/>
  <c r="N181" i="1" s="1"/>
  <c r="M181" i="1" s="1"/>
  <c r="N182" i="1" s="1"/>
  <c r="M182" i="1" s="1"/>
  <c r="N183" i="1" s="1"/>
  <c r="M183" i="1" s="1"/>
  <c r="N184" i="1" s="1"/>
  <c r="M184" i="1" s="1"/>
  <c r="N185" i="1" s="1"/>
  <c r="M185" i="1" s="1"/>
  <c r="N186" i="1" s="1"/>
  <c r="M186" i="1" s="1"/>
  <c r="N187" i="1" s="1"/>
  <c r="M187" i="1" s="1"/>
  <c r="N188" i="1" s="1"/>
  <c r="M188" i="1" l="1"/>
  <c r="N189" i="1" s="1"/>
  <c r="M189" i="1" s="1"/>
  <c r="N190" i="1" s="1"/>
  <c r="M190" i="1" l="1"/>
  <c r="N191" i="1"/>
  <c r="M191" i="1" l="1"/>
  <c r="N192" i="1"/>
  <c r="M192" i="1" s="1"/>
  <c r="N193" i="1" s="1"/>
  <c r="M193" i="1" s="1"/>
  <c r="N194" i="1" s="1"/>
  <c r="M194" i="1" l="1"/>
  <c r="N195" i="1"/>
  <c r="M195" i="1" s="1"/>
  <c r="N196" i="1" s="1"/>
  <c r="M196" i="1" s="1"/>
  <c r="N197" i="1" s="1"/>
  <c r="M197" i="1" s="1"/>
  <c r="N198" i="1" s="1"/>
  <c r="M198" i="1" s="1"/>
  <c r="N199" i="1" s="1"/>
  <c r="M199" i="1" l="1"/>
  <c r="N200" i="1"/>
  <c r="M200" i="1" s="1"/>
  <c r="N201" i="1" s="1"/>
  <c r="M201" i="1" s="1"/>
  <c r="N202" i="1" s="1"/>
  <c r="M202" i="1" s="1"/>
  <c r="N203" i="1" s="1"/>
  <c r="M203" i="1" l="1"/>
  <c r="N204" i="1" s="1"/>
  <c r="M204" i="1" l="1"/>
  <c r="N205" i="1" s="1"/>
  <c r="M205" i="1" s="1"/>
  <c r="N206" i="1" s="1"/>
  <c r="M206" i="1" s="1"/>
  <c r="N207" i="1" s="1"/>
  <c r="M207" i="1" s="1"/>
  <c r="N208" i="1" s="1"/>
  <c r="M208" i="1" s="1"/>
  <c r="N209" i="1" s="1"/>
  <c r="M209" i="1" s="1"/>
  <c r="N210" i="1" s="1"/>
  <c r="M210" i="1" s="1"/>
  <c r="N211" i="1" s="1"/>
  <c r="M211" i="1" s="1"/>
  <c r="N212" i="1" s="1"/>
  <c r="M212" i="1" s="1"/>
  <c r="N213" i="1" s="1"/>
  <c r="M213" i="1" s="1"/>
  <c r="N214" i="1" s="1"/>
  <c r="M214" i="1" s="1"/>
  <c r="N215" i="1" s="1"/>
  <c r="M215" i="1" s="1"/>
  <c r="N216" i="1" s="1"/>
  <c r="M216" i="1" s="1"/>
  <c r="N217" i="1" s="1"/>
  <c r="M217" i="1" s="1"/>
  <c r="N218" i="1" s="1"/>
  <c r="M218" i="1" s="1"/>
  <c r="N219" i="1" s="1"/>
  <c r="M219" i="1" s="1"/>
  <c r="N220" i="1" s="1"/>
  <c r="M220" i="1" s="1"/>
  <c r="N221" i="1" s="1"/>
  <c r="M221" i="1" s="1"/>
  <c r="N222" i="1" s="1"/>
  <c r="M222" i="1" s="1"/>
  <c r="N223" i="1" s="1"/>
  <c r="M223" i="1" l="1"/>
  <c r="N224" i="1" s="1"/>
  <c r="M224" i="1" s="1"/>
  <c r="N225" i="1" s="1"/>
  <c r="M225" i="1" s="1"/>
  <c r="N226" i="1" s="1"/>
  <c r="M226" i="1" s="1"/>
  <c r="N227" i="1" s="1"/>
  <c r="M227" i="1" s="1"/>
  <c r="N228" i="1" s="1"/>
  <c r="M228" i="1" s="1"/>
  <c r="N229" i="1" s="1"/>
  <c r="M229" i="1" s="1"/>
  <c r="N230" i="1" s="1"/>
  <c r="M230" i="1" s="1"/>
  <c r="N231" i="1" s="1"/>
  <c r="M231" i="1" s="1"/>
  <c r="N232" i="1" s="1"/>
  <c r="M232" i="1" s="1"/>
  <c r="N233" i="1" s="1"/>
  <c r="M233" i="1" s="1"/>
  <c r="N234" i="1" s="1"/>
  <c r="M234" i="1" s="1"/>
  <c r="N235" i="1" s="1"/>
  <c r="M235" i="1" s="1"/>
  <c r="N236" i="1" s="1"/>
  <c r="M236" i="1" s="1"/>
  <c r="N237" i="1" s="1"/>
  <c r="M237" i="1" s="1"/>
  <c r="N238" i="1" s="1"/>
  <c r="M238" i="1" s="1"/>
  <c r="N239" i="1" s="1"/>
  <c r="M239" i="1" s="1"/>
  <c r="N240" i="1" s="1"/>
  <c r="M240" i="1" s="1"/>
  <c r="N241" i="1" s="1"/>
  <c r="M241" i="1" s="1"/>
  <c r="N242" i="1" s="1"/>
  <c r="M242" i="1" l="1"/>
  <c r="N243" i="1"/>
  <c r="M243" i="1" s="1"/>
  <c r="N244" i="1" s="1"/>
  <c r="M244" i="1" s="1"/>
  <c r="N245" i="1" s="1"/>
  <c r="M245" i="1" s="1"/>
  <c r="N246" i="1" s="1"/>
  <c r="M246" i="1" s="1"/>
  <c r="N247" i="1" s="1"/>
  <c r="M247" i="1" s="1"/>
  <c r="N248" i="1" s="1"/>
  <c r="M248" i="1" s="1"/>
  <c r="N249" i="1" s="1"/>
  <c r="M249" i="1" s="1"/>
  <c r="N250" i="1" s="1"/>
  <c r="M250" i="1" l="1"/>
  <c r="N251" i="1" s="1"/>
  <c r="M251" i="1" l="1"/>
  <c r="N252" i="1" s="1"/>
  <c r="M252" i="1" s="1"/>
  <c r="N253" i="1" s="1"/>
  <c r="M253" i="1" s="1"/>
  <c r="N254" i="1" s="1"/>
  <c r="M254" i="1" s="1"/>
  <c r="N255" i="1" s="1"/>
  <c r="M255" i="1" l="1"/>
  <c r="N256" i="1"/>
  <c r="M256" i="1" s="1"/>
  <c r="N257" i="1" s="1"/>
  <c r="M257" i="1" s="1"/>
  <c r="N258" i="1" s="1"/>
  <c r="M258" i="1" l="1"/>
  <c r="N259" i="1"/>
  <c r="M259" i="1" s="1"/>
  <c r="N260" i="1" s="1"/>
  <c r="M260" i="1" s="1"/>
  <c r="N261" i="1" s="1"/>
  <c r="M261" i="1" s="1"/>
  <c r="N262" i="1" s="1"/>
  <c r="M262" i="1" s="1"/>
  <c r="N263" i="1" s="1"/>
  <c r="M263" i="1" l="1"/>
  <c r="N264" i="1"/>
  <c r="M264" i="1" s="1"/>
  <c r="N265" i="1" s="1"/>
  <c r="M265" i="1" s="1"/>
  <c r="N266" i="1" s="1"/>
  <c r="M266" i="1" s="1"/>
  <c r="N267" i="1" s="1"/>
  <c r="M267" i="1" s="1"/>
  <c r="N268" i="1" s="1"/>
  <c r="M268" i="1" s="1"/>
  <c r="N269" i="1" s="1"/>
  <c r="M269" i="1" s="1"/>
  <c r="N270" i="1" s="1"/>
  <c r="M270" i="1" s="1"/>
  <c r="N271" i="1" s="1"/>
  <c r="M271" i="1" s="1"/>
  <c r="N272" i="1" s="1"/>
  <c r="M272" i="1" s="1"/>
  <c r="N273" i="1" s="1"/>
  <c r="M273" i="1" s="1"/>
  <c r="N274" i="1" s="1"/>
  <c r="M274" i="1" s="1"/>
  <c r="N275" i="1" s="1"/>
  <c r="M275" i="1" l="1"/>
  <c r="N276" i="1"/>
  <c r="M276" i="1" s="1"/>
  <c r="N277" i="1" s="1"/>
  <c r="M277" i="1" s="1"/>
  <c r="N278" i="1" s="1"/>
  <c r="M278" i="1" s="1"/>
  <c r="N279" i="1" s="1"/>
  <c r="M279" i="1" s="1"/>
  <c r="N280" i="1" s="1"/>
  <c r="M280" i="1" s="1"/>
  <c r="N281" i="1" s="1"/>
  <c r="M281" i="1" s="1"/>
  <c r="N282" i="1" s="1"/>
  <c r="M282" i="1" l="1"/>
  <c r="N283" i="1" s="1"/>
  <c r="M283" i="1" s="1"/>
  <c r="N284" i="1" s="1"/>
  <c r="M284" i="1" s="1"/>
  <c r="N285" i="1" s="1"/>
  <c r="M285" i="1" s="1"/>
  <c r="N286" i="1" s="1"/>
  <c r="M286" i="1" s="1"/>
  <c r="N287" i="1" s="1"/>
  <c r="M287" i="1" l="1"/>
  <c r="N288" i="1"/>
  <c r="M288" i="1" s="1"/>
  <c r="N289" i="1" s="1"/>
  <c r="M289" i="1" s="1"/>
  <c r="N290" i="1" s="1"/>
  <c r="M290" i="1" s="1"/>
  <c r="N291" i="1" s="1"/>
  <c r="M291" i="1" s="1"/>
  <c r="N292" i="1" s="1"/>
  <c r="M292" i="1" s="1"/>
  <c r="N293" i="1" s="1"/>
  <c r="M293" i="1" s="1"/>
  <c r="N294" i="1" s="1"/>
  <c r="M294" i="1" s="1"/>
  <c r="N295" i="1" s="1"/>
  <c r="M295" i="1" l="1"/>
  <c r="N296" i="1"/>
  <c r="M296" i="1" s="1"/>
  <c r="N297" i="1" s="1"/>
  <c r="M297" i="1" s="1"/>
  <c r="N298" i="1" s="1"/>
  <c r="M298" i="1" s="1"/>
  <c r="N299" i="1" s="1"/>
  <c r="M299" i="1" s="1"/>
  <c r="N300" i="1" s="1"/>
  <c r="M300" i="1" s="1"/>
  <c r="N301" i="1" s="1"/>
  <c r="M301" i="1" l="1"/>
  <c r="N302" i="1" s="1"/>
  <c r="M302" i="1" s="1"/>
  <c r="N303" i="1" s="1"/>
  <c r="M303" i="1" s="1"/>
  <c r="N304" i="1" s="1"/>
  <c r="M304" i="1" s="1"/>
  <c r="N305" i="1" s="1"/>
  <c r="M305" i="1" s="1"/>
  <c r="N306" i="1" s="1"/>
  <c r="M306" i="1" s="1"/>
  <c r="N307" i="1" s="1"/>
  <c r="M307" i="1" l="1"/>
  <c r="N308" i="1"/>
  <c r="M308" i="1" s="1"/>
  <c r="N309" i="1" s="1"/>
  <c r="M309" i="1" s="1"/>
  <c r="N310" i="1" s="1"/>
  <c r="M310" i="1" s="1"/>
  <c r="N311" i="1" s="1"/>
  <c r="M311" i="1" s="1"/>
  <c r="N312" i="1" s="1"/>
  <c r="M312" i="1" s="1"/>
  <c r="N313" i="1" s="1"/>
  <c r="M313" i="1" s="1"/>
  <c r="N314" i="1" s="1"/>
  <c r="M314" i="1" s="1"/>
  <c r="N315" i="1" s="1"/>
  <c r="M315" i="1" s="1"/>
  <c r="N316" i="1" s="1"/>
  <c r="M316" i="1" l="1"/>
  <c r="N317" i="1"/>
  <c r="M317" i="1" s="1"/>
  <c r="N318" i="1" s="1"/>
  <c r="M318" i="1" s="1"/>
  <c r="N319" i="1" s="1"/>
  <c r="M319" i="1" l="1"/>
  <c r="N320" i="1"/>
  <c r="M320" i="1" s="1"/>
  <c r="N321" i="1" s="1"/>
  <c r="M321" i="1" s="1"/>
  <c r="N322" i="1" s="1"/>
  <c r="M322" i="1" s="1"/>
  <c r="N323" i="1" s="1"/>
  <c r="M323" i="1" s="1"/>
  <c r="N324" i="1" s="1"/>
  <c r="M324" i="1" s="1"/>
  <c r="N325" i="1" s="1"/>
  <c r="M325" i="1" s="1"/>
  <c r="N326" i="1" s="1"/>
  <c r="M326" i="1" l="1"/>
  <c r="N327" i="1"/>
  <c r="M327" i="1" l="1"/>
  <c r="N328" i="1"/>
  <c r="M328" i="1" s="1"/>
  <c r="N329" i="1" s="1"/>
  <c r="M329" i="1" s="1"/>
  <c r="N330" i="1" s="1"/>
  <c r="M330" i="1" s="1"/>
  <c r="N331" i="1" s="1"/>
  <c r="M331" i="1" l="1"/>
  <c r="N332" i="1"/>
  <c r="M332" i="1" s="1"/>
  <c r="N333" i="1" s="1"/>
  <c r="M333" i="1" s="1"/>
  <c r="N334" i="1" s="1"/>
  <c r="M334" i="1" s="1"/>
  <c r="N335" i="1" s="1"/>
  <c r="M335" i="1" s="1"/>
  <c r="N336" i="1" s="1"/>
  <c r="M336" i="1" s="1"/>
  <c r="N337" i="1" s="1"/>
  <c r="M337" i="1" s="1"/>
  <c r="N338" i="1" s="1"/>
  <c r="M338" i="1" s="1"/>
  <c r="N339" i="1" s="1"/>
  <c r="M339" i="1" s="1"/>
  <c r="N340" i="1" s="1"/>
  <c r="M340" i="1" l="1"/>
  <c r="N341" i="1"/>
  <c r="M341" i="1" s="1"/>
  <c r="N342" i="1" s="1"/>
  <c r="M342" i="1" s="1"/>
  <c r="N343" i="1" s="1"/>
  <c r="M343" i="1" s="1"/>
  <c r="N344" i="1" s="1"/>
  <c r="M344" i="1" s="1"/>
  <c r="N345" i="1" s="1"/>
  <c r="M345" i="1" s="1"/>
  <c r="N346" i="1" s="1"/>
  <c r="M346" i="1" s="1"/>
  <c r="N347" i="1" s="1"/>
  <c r="M347" i="1" s="1"/>
  <c r="N348" i="1" s="1"/>
  <c r="M348" i="1" s="1"/>
  <c r="N349" i="1" s="1"/>
  <c r="M349" i="1" s="1"/>
  <c r="N350" i="1" s="1"/>
  <c r="M350" i="1" s="1"/>
  <c r="N351" i="1" s="1"/>
  <c r="M351" i="1" l="1"/>
  <c r="N352" i="1"/>
  <c r="M352" i="1" s="1"/>
  <c r="N353" i="1" s="1"/>
  <c r="M353" i="1" s="1"/>
  <c r="N354" i="1" s="1"/>
  <c r="M354" i="1" s="1"/>
  <c r="N355" i="1" s="1"/>
  <c r="M355" i="1" s="1"/>
  <c r="N356" i="1" s="1"/>
  <c r="M356" i="1" s="1"/>
  <c r="N357" i="1" s="1"/>
  <c r="M357" i="1" s="1"/>
  <c r="N358" i="1" s="1"/>
  <c r="M358" i="1" l="1"/>
  <c r="N359" i="1"/>
  <c r="M359" i="1" l="1"/>
  <c r="N360" i="1"/>
  <c r="M360" i="1" s="1"/>
  <c r="N361" i="1" s="1"/>
  <c r="M361" i="1" s="1"/>
  <c r="N362" i="1" s="1"/>
  <c r="M362" i="1" l="1"/>
  <c r="N363" i="1"/>
  <c r="M363" i="1" s="1"/>
  <c r="N364" i="1" s="1"/>
  <c r="M364" i="1" s="1"/>
  <c r="N365" i="1" s="1"/>
  <c r="M365" i="1" s="1"/>
  <c r="N366" i="1" s="1"/>
  <c r="M366" i="1" s="1"/>
  <c r="N367" i="1" s="1"/>
  <c r="M367" i="1" s="1"/>
  <c r="N368" i="1" s="1"/>
  <c r="M368" i="1" s="1"/>
  <c r="N369" i="1" s="1"/>
  <c r="M369" i="1" s="1"/>
  <c r="N370" i="1" s="1"/>
  <c r="M370" i="1" s="1"/>
  <c r="N371" i="1" s="1"/>
  <c r="M371" i="1" s="1"/>
  <c r="N372" i="1" s="1"/>
  <c r="M372" i="1" s="1"/>
  <c r="N373" i="1" s="1"/>
  <c r="M373" i="1" s="1"/>
  <c r="N374" i="1" s="1"/>
  <c r="M374" i="1" s="1"/>
  <c r="N375" i="1" s="1"/>
  <c r="M375" i="1" s="1"/>
  <c r="N376" i="1" s="1"/>
  <c r="M376" i="1" s="1"/>
  <c r="N377" i="1" s="1"/>
  <c r="M377" i="1" s="1"/>
  <c r="N378" i="1" s="1"/>
  <c r="M378" i="1" s="1"/>
  <c r="N379" i="1" s="1"/>
  <c r="M379" i="1" s="1"/>
  <c r="N380" i="1" s="1"/>
  <c r="M380" i="1" s="1"/>
  <c r="N381" i="1" s="1"/>
  <c r="M381" i="1" s="1"/>
  <c r="N382" i="1" s="1"/>
  <c r="M382" i="1" s="1"/>
  <c r="N383" i="1" s="1"/>
  <c r="M383" i="1" s="1"/>
  <c r="N384" i="1" s="1"/>
  <c r="M384" i="1" s="1"/>
  <c r="N385" i="1" s="1"/>
  <c r="M385" i="1" s="1"/>
  <c r="N386" i="1" s="1"/>
  <c r="M386" i="1" s="1"/>
  <c r="N387" i="1" s="1"/>
  <c r="M387" i="1" s="1"/>
  <c r="N388" i="1" s="1"/>
  <c r="M388" i="1" s="1"/>
  <c r="N389" i="1" s="1"/>
  <c r="M389" i="1" s="1"/>
  <c r="N390" i="1" s="1"/>
  <c r="M390" i="1" s="1"/>
  <c r="N391" i="1" s="1"/>
  <c r="M391" i="1" l="1"/>
  <c r="N392" i="1"/>
  <c r="M392" i="1" s="1"/>
  <c r="N393" i="1" s="1"/>
  <c r="M393" i="1" s="1"/>
  <c r="N394" i="1" s="1"/>
  <c r="M394" i="1" l="1"/>
  <c r="N395" i="1"/>
  <c r="M395" i="1" l="1"/>
  <c r="N396" i="1"/>
  <c r="M396" i="1" s="1"/>
  <c r="N397" i="1" s="1"/>
  <c r="M397" i="1" s="1"/>
  <c r="N398" i="1" s="1"/>
  <c r="M398" i="1" s="1"/>
  <c r="N399" i="1" s="1"/>
  <c r="M399" i="1" s="1"/>
  <c r="N400" i="1" s="1"/>
  <c r="M400" i="1" s="1"/>
  <c r="N401" i="1" s="1"/>
  <c r="M401" i="1" s="1"/>
  <c r="N402" i="1" s="1"/>
  <c r="M402" i="1" l="1"/>
  <c r="N403" i="1"/>
  <c r="M403" i="1" s="1"/>
  <c r="N404" i="1" s="1"/>
  <c r="M404" i="1" s="1"/>
  <c r="N405" i="1" s="1"/>
  <c r="M405" i="1" s="1"/>
  <c r="N406" i="1" s="1"/>
  <c r="M406" i="1" s="1"/>
  <c r="N407" i="1" s="1"/>
  <c r="M407" i="1" s="1"/>
  <c r="N408" i="1" s="1"/>
  <c r="M408" i="1" s="1"/>
  <c r="N409" i="1" s="1"/>
  <c r="M409" i="1" s="1"/>
  <c r="N410" i="1" s="1"/>
  <c r="M410" i="1" s="1"/>
  <c r="N411" i="1" s="1"/>
  <c r="M411" i="1" s="1"/>
  <c r="N412" i="1" s="1"/>
  <c r="M412" i="1" s="1"/>
  <c r="N413" i="1" s="1"/>
  <c r="M413" i="1" s="1"/>
  <c r="N414" i="1" s="1"/>
  <c r="M414" i="1" s="1"/>
  <c r="N415" i="1" s="1"/>
  <c r="M415" i="1" s="1"/>
  <c r="N416" i="1" s="1"/>
  <c r="M416" i="1" s="1"/>
  <c r="N417" i="1" s="1"/>
  <c r="M417" i="1" s="1"/>
  <c r="N418" i="1" s="1"/>
  <c r="M418" i="1" s="1"/>
  <c r="N419" i="1" s="1"/>
  <c r="M419" i="1" s="1"/>
  <c r="N420" i="1" s="1"/>
  <c r="M420" i="1" s="1"/>
  <c r="N421" i="1" s="1"/>
  <c r="M421" i="1" s="1"/>
  <c r="N422" i="1" s="1"/>
  <c r="M422" i="1" s="1"/>
  <c r="N423" i="1" s="1"/>
  <c r="M423" i="1" s="1"/>
  <c r="N424" i="1" s="1"/>
  <c r="M424" i="1" s="1"/>
  <c r="N425" i="1" s="1"/>
  <c r="M425" i="1" s="1"/>
  <c r="N426" i="1" s="1"/>
  <c r="M426" i="1" s="1"/>
  <c r="N427" i="1" s="1"/>
  <c r="M427" i="1" s="1"/>
  <c r="N428" i="1" s="1"/>
  <c r="M428" i="1" l="1"/>
  <c r="N429" i="1"/>
  <c r="M429" i="1" l="1"/>
  <c r="N430" i="1" s="1"/>
  <c r="M430" i="1" s="1"/>
  <c r="N431" i="1" s="1"/>
  <c r="M431" i="1" s="1"/>
  <c r="N432" i="1" s="1"/>
  <c r="M432" i="1" s="1"/>
  <c r="N433" i="1" s="1"/>
  <c r="M433" i="1" s="1"/>
  <c r="N434" i="1" s="1"/>
  <c r="M434" i="1" s="1"/>
  <c r="N435" i="1" s="1"/>
  <c r="M435" i="1" s="1"/>
  <c r="N436" i="1" s="1"/>
  <c r="M436" i="1" s="1"/>
  <c r="N437" i="1" s="1"/>
  <c r="M437" i="1" s="1"/>
  <c r="N438" i="1" s="1"/>
  <c r="M438" i="1" s="1"/>
  <c r="N439" i="1" s="1"/>
  <c r="M439" i="1" s="1"/>
  <c r="N440" i="1" s="1"/>
  <c r="M440" i="1" s="1"/>
  <c r="N441" i="1" s="1"/>
  <c r="M441" i="1" s="1"/>
  <c r="N442" i="1" s="1"/>
  <c r="M442" i="1" s="1"/>
  <c r="N443" i="1" s="1"/>
  <c r="M443" i="1" s="1"/>
  <c r="N444" i="1" s="1"/>
  <c r="M444" i="1" s="1"/>
  <c r="N445" i="1" s="1"/>
  <c r="M445" i="1" s="1"/>
  <c r="N446" i="1" s="1"/>
  <c r="M446" i="1" s="1"/>
  <c r="N447" i="1" s="1"/>
  <c r="M447" i="1" s="1"/>
  <c r="N448" i="1" s="1"/>
  <c r="M448" i="1" s="1"/>
  <c r="N449" i="1" s="1"/>
  <c r="M449" i="1" s="1"/>
  <c r="N450" i="1" s="1"/>
  <c r="M450" i="1" s="1"/>
  <c r="N451" i="1" s="1"/>
  <c r="M451" i="1" s="1"/>
  <c r="N452" i="1" s="1"/>
  <c r="M452" i="1" s="1"/>
  <c r="N453" i="1" s="1"/>
  <c r="M453" i="1" s="1"/>
  <c r="N454" i="1" s="1"/>
  <c r="M454" i="1" s="1"/>
  <c r="N455" i="1" s="1"/>
  <c r="M455" i="1" s="1"/>
  <c r="N456" i="1" s="1"/>
  <c r="M456" i="1" s="1"/>
  <c r="N457" i="1" s="1"/>
  <c r="M457" i="1" s="1"/>
  <c r="N458" i="1" s="1"/>
  <c r="M458" i="1" s="1"/>
  <c r="N459" i="1" s="1"/>
  <c r="M459" i="1" s="1"/>
  <c r="N460" i="1" s="1"/>
  <c r="M460" i="1" s="1"/>
  <c r="N461" i="1" s="1"/>
  <c r="M461" i="1" s="1"/>
  <c r="N462" i="1" s="1"/>
  <c r="M462" i="1" s="1"/>
  <c r="N463" i="1" s="1"/>
  <c r="M463" i="1" s="1"/>
  <c r="N464" i="1" s="1"/>
  <c r="M464" i="1" s="1"/>
  <c r="N465" i="1" s="1"/>
  <c r="M465" i="1" s="1"/>
  <c r="N466" i="1" s="1"/>
  <c r="M466" i="1" l="1"/>
  <c r="N467" i="1"/>
  <c r="M467" i="1" s="1"/>
  <c r="N468" i="1" s="1"/>
  <c r="M468" i="1" s="1"/>
  <c r="N469" i="1" s="1"/>
  <c r="M469" i="1" s="1"/>
  <c r="N470" i="1" s="1"/>
  <c r="M470" i="1" s="1"/>
  <c r="N471" i="1" s="1"/>
  <c r="M471" i="1" s="1"/>
  <c r="N472" i="1" s="1"/>
  <c r="M472" i="1" s="1"/>
  <c r="N473" i="1" s="1"/>
  <c r="M473" i="1" s="1"/>
  <c r="N474" i="1" s="1"/>
  <c r="M474" i="1" s="1"/>
  <c r="N475" i="1" s="1"/>
  <c r="M475" i="1" s="1"/>
  <c r="N476" i="1" s="1"/>
  <c r="M476" i="1" s="1"/>
  <c r="N477" i="1" s="1"/>
  <c r="M477" i="1" s="1"/>
  <c r="N478" i="1" s="1"/>
  <c r="M478" i="1" l="1"/>
  <c r="N479" i="1"/>
  <c r="M479" i="1" s="1"/>
  <c r="N480" i="1" s="1"/>
  <c r="M480" i="1" s="1"/>
  <c r="N481" i="1" s="1"/>
  <c r="M481" i="1" s="1"/>
  <c r="N482" i="1" s="1"/>
  <c r="M482" i="1" s="1"/>
  <c r="N483" i="1" s="1"/>
  <c r="M483" i="1" s="1"/>
  <c r="N484" i="1" s="1"/>
  <c r="M484" i="1" s="1"/>
  <c r="N485" i="1" s="1"/>
  <c r="M485" i="1" s="1"/>
  <c r="N486" i="1" s="1"/>
  <c r="M486" i="1" s="1"/>
  <c r="N487" i="1" s="1"/>
  <c r="M487" i="1" s="1"/>
  <c r="N488" i="1" s="1"/>
  <c r="M488" i="1" s="1"/>
  <c r="N489" i="1" s="1"/>
  <c r="M489" i="1" s="1"/>
  <c r="N490" i="1" s="1"/>
  <c r="M490" i="1" s="1"/>
  <c r="N491" i="1" s="1"/>
  <c r="M491" i="1" s="1"/>
  <c r="N492" i="1" s="1"/>
  <c r="M492" i="1" s="1"/>
  <c r="N493" i="1" s="1"/>
  <c r="M493" i="1" s="1"/>
  <c r="N494" i="1" s="1"/>
  <c r="M494" i="1" s="1"/>
  <c r="N495" i="1" s="1"/>
  <c r="M495" i="1" s="1"/>
  <c r="N496" i="1" s="1"/>
  <c r="M496" i="1" s="1"/>
  <c r="N497" i="1" s="1"/>
  <c r="M497" i="1" s="1"/>
  <c r="N498" i="1" s="1"/>
  <c r="M498" i="1" l="1"/>
  <c r="N499" i="1"/>
  <c r="M499" i="1" s="1"/>
  <c r="N500" i="1" s="1"/>
  <c r="M500" i="1" s="1"/>
  <c r="N501" i="1" s="1"/>
  <c r="M501" i="1" s="1"/>
  <c r="N502" i="1" s="1"/>
  <c r="M502" i="1" s="1"/>
  <c r="N503" i="1" s="1"/>
  <c r="M503" i="1" s="1"/>
  <c r="N504" i="1" s="1"/>
  <c r="M504" i="1" s="1"/>
  <c r="N505" i="1" s="1"/>
  <c r="M505" i="1" s="1"/>
  <c r="N506" i="1" s="1"/>
  <c r="M506" i="1" l="1"/>
  <c r="N507" i="1"/>
  <c r="M507" i="1" s="1"/>
  <c r="N508" i="1" s="1"/>
  <c r="M508" i="1" s="1"/>
  <c r="N509" i="1" s="1"/>
  <c r="M509" i="1" s="1"/>
  <c r="N510" i="1" s="1"/>
  <c r="M510" i="1" s="1"/>
  <c r="N511" i="1" s="1"/>
  <c r="M511" i="1" s="1"/>
  <c r="N512" i="1" s="1"/>
  <c r="M512" i="1" s="1"/>
  <c r="N513" i="1" s="1"/>
  <c r="M513" i="1" s="1"/>
  <c r="N514" i="1" s="1"/>
  <c r="M514" i="1" s="1"/>
  <c r="N515" i="1" s="1"/>
  <c r="M515" i="1" s="1"/>
  <c r="N516" i="1" s="1"/>
  <c r="M516" i="1" s="1"/>
  <c r="N517" i="1" s="1"/>
  <c r="M517" i="1" s="1"/>
  <c r="N518" i="1" s="1"/>
  <c r="M518" i="1" s="1"/>
  <c r="N519" i="1" s="1"/>
  <c r="M519" i="1" s="1"/>
  <c r="N520" i="1" s="1"/>
  <c r="M520" i="1" s="1"/>
  <c r="N521" i="1" s="1"/>
  <c r="M521" i="1" s="1"/>
  <c r="N522" i="1" s="1"/>
  <c r="M522" i="1" s="1"/>
  <c r="N523" i="1" s="1"/>
  <c r="M523" i="1" s="1"/>
  <c r="N524" i="1" s="1"/>
  <c r="M524" i="1" s="1"/>
  <c r="N525" i="1" s="1"/>
  <c r="M525" i="1" s="1"/>
  <c r="N526" i="1" s="1"/>
  <c r="M526" i="1" l="1"/>
  <c r="N527" i="1"/>
  <c r="M527" i="1" s="1"/>
  <c r="N528" i="1" s="1"/>
  <c r="M528" i="1" s="1"/>
  <c r="N529" i="1" s="1"/>
  <c r="M529" i="1" s="1"/>
  <c r="N530" i="1" s="1"/>
  <c r="M530" i="1" s="1"/>
  <c r="N531" i="1" s="1"/>
  <c r="M531" i="1" s="1"/>
  <c r="N532" i="1" s="1"/>
  <c r="M532" i="1" s="1"/>
  <c r="N533" i="1" s="1"/>
  <c r="M533" i="1" s="1"/>
  <c r="N534" i="1" s="1"/>
  <c r="M534" i="1" s="1"/>
  <c r="N535" i="1" s="1"/>
  <c r="M535" i="1" s="1"/>
  <c r="N536" i="1" s="1"/>
  <c r="M536" i="1" s="1"/>
  <c r="N537" i="1" s="1"/>
  <c r="M537" i="1" s="1"/>
  <c r="N538" i="1" s="1"/>
  <c r="M538" i="1" s="1"/>
  <c r="N539" i="1" s="1"/>
  <c r="M539" i="1" s="1"/>
  <c r="N540" i="1" s="1"/>
  <c r="M540" i="1" s="1"/>
  <c r="N541" i="1" s="1"/>
  <c r="M541" i="1" s="1"/>
  <c r="N542" i="1" s="1"/>
  <c r="M542" i="1" s="1"/>
  <c r="N543" i="1" s="1"/>
  <c r="M543" i="1" s="1"/>
  <c r="N544" i="1" s="1"/>
  <c r="M544" i="1" s="1"/>
  <c r="N545" i="1" s="1"/>
  <c r="M545" i="1" l="1"/>
  <c r="N546" i="1" s="1"/>
  <c r="M546" i="1" s="1"/>
  <c r="N547" i="1" s="1"/>
  <c r="M547" i="1" s="1"/>
  <c r="N548" i="1" s="1"/>
  <c r="M548" i="1" s="1"/>
  <c r="N549" i="1" s="1"/>
  <c r="M549" i="1" s="1"/>
  <c r="N550" i="1" s="1"/>
  <c r="M550" i="1" s="1"/>
  <c r="N551" i="1" s="1"/>
  <c r="M551" i="1" s="1"/>
  <c r="N552" i="1" s="1"/>
  <c r="M552" i="1" l="1"/>
  <c r="N553" i="1"/>
  <c r="M553" i="1" s="1"/>
  <c r="N554" i="1" s="1"/>
  <c r="M554" i="1" s="1"/>
  <c r="N555" i="1" s="1"/>
  <c r="M555" i="1" s="1"/>
  <c r="N556" i="1" s="1"/>
  <c r="M556" i="1" s="1"/>
  <c r="N557" i="1" s="1"/>
  <c r="M557" i="1" s="1"/>
  <c r="N558" i="1" s="1"/>
  <c r="M558" i="1" l="1"/>
  <c r="N559" i="1"/>
  <c r="M559" i="1" s="1"/>
  <c r="N560" i="1" s="1"/>
  <c r="M560" i="1" s="1"/>
  <c r="N561" i="1" s="1"/>
  <c r="M561" i="1" s="1"/>
  <c r="N562" i="1" s="1"/>
  <c r="M562" i="1" s="1"/>
  <c r="N563" i="1" s="1"/>
  <c r="M563" i="1" s="1"/>
  <c r="N564" i="1" s="1"/>
  <c r="M564" i="1" s="1"/>
  <c r="N565" i="1" s="1"/>
  <c r="M565" i="1" s="1"/>
  <c r="N566" i="1" s="1"/>
  <c r="M566" i="1" s="1"/>
  <c r="N567" i="1" s="1"/>
  <c r="M567" i="1" s="1"/>
  <c r="N568" i="1" s="1"/>
  <c r="M568" i="1" s="1"/>
  <c r="N569" i="1" s="1"/>
  <c r="M569" i="1" s="1"/>
  <c r="N570" i="1" s="1"/>
  <c r="M570" i="1" s="1"/>
  <c r="N571" i="1" s="1"/>
  <c r="M571" i="1" s="1"/>
  <c r="N572" i="1" s="1"/>
  <c r="M572" i="1" s="1"/>
  <c r="N573" i="1" s="1"/>
  <c r="M573" i="1" s="1"/>
  <c r="N574" i="1" s="1"/>
  <c r="M574" i="1" s="1"/>
  <c r="N575" i="1" s="1"/>
  <c r="M575" i="1" s="1"/>
  <c r="N576" i="1" s="1"/>
  <c r="M576" i="1" s="1"/>
  <c r="N577" i="1" s="1"/>
  <c r="M577" i="1" s="1"/>
  <c r="N578" i="1" s="1"/>
  <c r="M578" i="1" s="1"/>
  <c r="N579" i="1" s="1"/>
  <c r="M579" i="1" s="1"/>
  <c r="N580" i="1" s="1"/>
  <c r="M580" i="1" s="1"/>
  <c r="N581" i="1" s="1"/>
  <c r="M581" i="1" s="1"/>
  <c r="N582" i="1" s="1"/>
  <c r="M582" i="1" s="1"/>
  <c r="N583" i="1" s="1"/>
  <c r="M583" i="1" s="1"/>
  <c r="N584" i="1" s="1"/>
  <c r="M584" i="1" s="1"/>
  <c r="N585" i="1" s="1"/>
  <c r="M585" i="1" s="1"/>
  <c r="N586" i="1" s="1"/>
  <c r="M586" i="1" s="1"/>
  <c r="N587" i="1" s="1"/>
  <c r="M587" i="1" l="1"/>
  <c r="N588" i="1"/>
  <c r="M588" i="1" s="1"/>
  <c r="N589" i="1" s="1"/>
  <c r="M589" i="1" s="1"/>
  <c r="N590" i="1" s="1"/>
  <c r="M590" i="1" s="1"/>
  <c r="N591" i="1" s="1"/>
  <c r="M591" i="1" s="1"/>
  <c r="N592" i="1" s="1"/>
  <c r="M592" i="1" s="1"/>
  <c r="N593" i="1" s="1"/>
  <c r="M593" i="1" s="1"/>
  <c r="N594" i="1" s="1"/>
  <c r="M594" i="1" s="1"/>
  <c r="N595" i="1" s="1"/>
  <c r="M595" i="1" s="1"/>
  <c r="N596" i="1" s="1"/>
  <c r="M596" i="1" s="1"/>
  <c r="N597" i="1" s="1"/>
  <c r="M597" i="1" s="1"/>
  <c r="N598" i="1" s="1"/>
  <c r="M598" i="1" s="1"/>
  <c r="N599" i="1" s="1"/>
  <c r="M599" i="1" s="1"/>
  <c r="N600" i="1" s="1"/>
  <c r="M600" i="1" s="1"/>
  <c r="N601" i="1" s="1"/>
  <c r="M601" i="1" s="1"/>
  <c r="N602" i="1" s="1"/>
  <c r="M602" i="1" s="1"/>
  <c r="N603" i="1" s="1"/>
  <c r="M603" i="1" s="1"/>
  <c r="N604" i="1" s="1"/>
  <c r="M604" i="1" s="1"/>
  <c r="N605" i="1" s="1"/>
  <c r="M605" i="1" s="1"/>
  <c r="N606" i="1" s="1"/>
  <c r="M606" i="1" s="1"/>
  <c r="N607" i="1" s="1"/>
  <c r="M607" i="1" s="1"/>
  <c r="N608" i="1" s="1"/>
  <c r="M608" i="1" l="1"/>
  <c r="N609" i="1"/>
  <c r="M609" i="1" s="1"/>
  <c r="N610" i="1" s="1"/>
  <c r="M610" i="1" s="1"/>
  <c r="N611" i="1" s="1"/>
  <c r="M611" i="1" s="1"/>
  <c r="N612" i="1" s="1"/>
  <c r="M612" i="1" s="1"/>
  <c r="N613" i="1" s="1"/>
  <c r="M613" i="1" s="1"/>
  <c r="N614" i="1" s="1"/>
  <c r="M614" i="1" s="1"/>
  <c r="N615" i="1" s="1"/>
  <c r="M615" i="1" l="1"/>
  <c r="N616" i="1"/>
  <c r="M616" i="1" s="1"/>
  <c r="N617" i="1" s="1"/>
  <c r="M617" i="1" s="1"/>
  <c r="N618" i="1" s="1"/>
  <c r="M618" i="1" s="1"/>
  <c r="N619" i="1" s="1"/>
  <c r="M619" i="1" s="1"/>
  <c r="N620" i="1" s="1"/>
  <c r="M620" i="1" s="1"/>
  <c r="N621" i="1" s="1"/>
  <c r="M621" i="1" s="1"/>
  <c r="N622" i="1" s="1"/>
  <c r="M622" i="1" s="1"/>
  <c r="N623" i="1" s="1"/>
  <c r="M623" i="1" s="1"/>
  <c r="N624" i="1" s="1"/>
  <c r="M624" i="1" l="1"/>
  <c r="N625" i="1"/>
  <c r="M625" i="1" s="1"/>
  <c r="N626" i="1" s="1"/>
  <c r="M626" i="1" s="1"/>
  <c r="N627" i="1" s="1"/>
  <c r="M627" i="1" s="1"/>
  <c r="N628" i="1" s="1"/>
  <c r="M628" i="1" s="1"/>
  <c r="N629" i="1" s="1"/>
  <c r="M629" i="1" s="1"/>
  <c r="N630" i="1" s="1"/>
  <c r="M630" i="1" s="1"/>
  <c r="N631" i="1" s="1"/>
  <c r="M631" i="1" s="1"/>
  <c r="N632" i="1" s="1"/>
  <c r="M632" i="1" s="1"/>
  <c r="N633" i="1" s="1"/>
  <c r="M633" i="1" s="1"/>
  <c r="N634" i="1" s="1"/>
  <c r="M634" i="1" s="1"/>
  <c r="N635" i="1" s="1"/>
  <c r="M635" i="1" s="1"/>
  <c r="N636" i="1" s="1"/>
  <c r="M636" i="1" s="1"/>
  <c r="N637" i="1" s="1"/>
  <c r="M637" i="1" s="1"/>
  <c r="N638" i="1" s="1"/>
  <c r="M638" i="1" s="1"/>
  <c r="N639" i="1" s="1"/>
  <c r="M639" i="1" s="1"/>
  <c r="N640" i="1" s="1"/>
  <c r="M640" i="1" l="1"/>
  <c r="N641" i="1"/>
  <c r="M641" i="1" s="1"/>
  <c r="N642" i="1" s="1"/>
  <c r="M642" i="1" l="1"/>
  <c r="N643" i="1"/>
  <c r="M643" i="1" s="1"/>
  <c r="N644" i="1" s="1"/>
  <c r="M644" i="1" s="1"/>
  <c r="N645" i="1" s="1"/>
  <c r="M645" i="1" s="1"/>
  <c r="N646" i="1" s="1"/>
  <c r="M646" i="1" s="1"/>
  <c r="N647" i="1" s="1"/>
  <c r="M647" i="1" s="1"/>
  <c r="N648" i="1" s="1"/>
  <c r="M648" i="1" s="1"/>
  <c r="N649" i="1" s="1"/>
  <c r="M649" i="1" s="1"/>
  <c r="N650" i="1" s="1"/>
  <c r="M650" i="1" s="1"/>
  <c r="N651" i="1" s="1"/>
  <c r="M651" i="1" s="1"/>
  <c r="N652" i="1" s="1"/>
  <c r="M652" i="1" s="1"/>
  <c r="N653" i="1" s="1"/>
  <c r="M653" i="1" s="1"/>
  <c r="N654" i="1" s="1"/>
  <c r="M654" i="1" s="1"/>
  <c r="N655" i="1" s="1"/>
  <c r="M655" i="1" s="1"/>
  <c r="N656" i="1" s="1"/>
  <c r="M656" i="1" s="1"/>
  <c r="N657" i="1" s="1"/>
  <c r="M657" i="1" s="1"/>
  <c r="N658" i="1" s="1"/>
  <c r="M658" i="1" s="1"/>
  <c r="N659" i="1" s="1"/>
  <c r="M659" i="1" s="1"/>
  <c r="N660" i="1" s="1"/>
  <c r="M660" i="1" s="1"/>
  <c r="N661" i="1" s="1"/>
  <c r="M661" i="1" s="1"/>
  <c r="N662" i="1" s="1"/>
  <c r="M662" i="1" s="1"/>
  <c r="N663" i="1" s="1"/>
  <c r="M663" i="1" s="1"/>
  <c r="N664" i="1" s="1"/>
  <c r="M664" i="1" s="1"/>
  <c r="N665" i="1" s="1"/>
  <c r="M665" i="1" s="1"/>
  <c r="N666" i="1" s="1"/>
  <c r="M666" i="1" s="1"/>
  <c r="N667" i="1" s="1"/>
  <c r="M667" i="1" s="1"/>
  <c r="N668" i="1" s="1"/>
  <c r="M668" i="1" s="1"/>
  <c r="N669" i="1" s="1"/>
  <c r="M669" i="1" l="1"/>
  <c r="N670" i="1"/>
  <c r="M670" i="1" l="1"/>
  <c r="N671" i="1"/>
  <c r="M671" i="1" s="1"/>
  <c r="N672" i="1" s="1"/>
  <c r="M672" i="1" l="1"/>
  <c r="N673" i="1"/>
  <c r="M673" i="1" s="1"/>
  <c r="N674" i="1" s="1"/>
  <c r="M674" i="1" s="1"/>
  <c r="N675" i="1" s="1"/>
  <c r="M675" i="1" s="1"/>
  <c r="N676" i="1" s="1"/>
  <c r="M676" i="1" s="1"/>
  <c r="N677" i="1" s="1"/>
  <c r="M677" i="1" s="1"/>
  <c r="N678" i="1" s="1"/>
  <c r="M678" i="1" s="1"/>
  <c r="N679" i="1" s="1"/>
  <c r="M679" i="1" s="1"/>
  <c r="N680" i="1" s="1"/>
  <c r="M680" i="1" s="1"/>
  <c r="N681" i="1" s="1"/>
  <c r="M681" i="1" s="1"/>
  <c r="N682" i="1" s="1"/>
  <c r="M682" i="1" s="1"/>
  <c r="N683" i="1" s="1"/>
  <c r="M683" i="1" s="1"/>
  <c r="N684" i="1" s="1"/>
  <c r="M684" i="1" s="1"/>
  <c r="N685" i="1" s="1"/>
  <c r="M685" i="1" s="1"/>
  <c r="N686" i="1" s="1"/>
  <c r="M686" i="1" s="1"/>
  <c r="N687" i="1" s="1"/>
  <c r="M687" i="1" s="1"/>
  <c r="N688" i="1" s="1"/>
  <c r="M688" i="1" s="1"/>
  <c r="N689" i="1" s="1"/>
  <c r="M689" i="1" s="1"/>
  <c r="N690" i="1" s="1"/>
  <c r="M690" i="1" s="1"/>
  <c r="N691" i="1" s="1"/>
  <c r="M691" i="1" s="1"/>
  <c r="N692" i="1" s="1"/>
  <c r="M692" i="1" s="1"/>
  <c r="N693" i="1" s="1"/>
  <c r="M693" i="1" s="1"/>
  <c r="N694" i="1" s="1"/>
  <c r="M694" i="1" s="1"/>
  <c r="N695" i="1" s="1"/>
  <c r="M695" i="1" s="1"/>
  <c r="N696" i="1" s="1"/>
  <c r="M696" i="1" s="1"/>
  <c r="N697" i="1" s="1"/>
  <c r="M697" i="1" s="1"/>
  <c r="N698" i="1" s="1"/>
  <c r="M698" i="1" l="1"/>
  <c r="N699" i="1"/>
  <c r="M699" i="1" l="1"/>
  <c r="N700" i="1"/>
  <c r="M700" i="1" s="1"/>
  <c r="N701" i="1" s="1"/>
  <c r="M701" i="1" s="1"/>
  <c r="N702" i="1" s="1"/>
  <c r="M702" i="1" s="1"/>
  <c r="N703" i="1" s="1"/>
  <c r="M703" i="1" s="1"/>
  <c r="N704" i="1" s="1"/>
  <c r="M704" i="1" s="1"/>
  <c r="N705" i="1" s="1"/>
  <c r="M705" i="1" s="1"/>
  <c r="N706" i="1" s="1"/>
  <c r="M706" i="1" s="1"/>
  <c r="N707" i="1" s="1"/>
  <c r="M707" i="1" s="1"/>
  <c r="N708" i="1" s="1"/>
  <c r="M708" i="1" s="1"/>
  <c r="N709" i="1" s="1"/>
  <c r="M709" i="1" s="1"/>
  <c r="N710" i="1" s="1"/>
  <c r="M710" i="1" s="1"/>
  <c r="N711" i="1" s="1"/>
  <c r="M711" i="1" s="1"/>
  <c r="N712" i="1" s="1"/>
  <c r="M712" i="1" l="1"/>
  <c r="N713" i="1"/>
  <c r="M713" i="1" s="1"/>
  <c r="N714" i="1" s="1"/>
  <c r="M714" i="1" s="1"/>
  <c r="N715" i="1" s="1"/>
  <c r="M715" i="1" s="1"/>
  <c r="N716" i="1" s="1"/>
  <c r="M716" i="1" s="1"/>
  <c r="N717" i="1" s="1"/>
  <c r="M717" i="1" s="1"/>
  <c r="N718" i="1" s="1"/>
  <c r="M718" i="1" s="1"/>
  <c r="N719" i="1" s="1"/>
  <c r="M719" i="1" s="1"/>
  <c r="N720" i="1" s="1"/>
  <c r="M720" i="1" s="1"/>
  <c r="N721" i="1" s="1"/>
  <c r="M721" i="1" s="1"/>
  <c r="N722" i="1" s="1"/>
  <c r="M722" i="1" s="1"/>
  <c r="N723" i="1" s="1"/>
  <c r="M723" i="1" s="1"/>
  <c r="N724" i="1" s="1"/>
  <c r="M724" i="1" s="1"/>
  <c r="N725" i="1" s="1"/>
  <c r="M725" i="1" s="1"/>
  <c r="N726" i="1" s="1"/>
  <c r="M726" i="1" s="1"/>
  <c r="N727" i="1" s="1"/>
  <c r="M727" i="1" s="1"/>
  <c r="N728" i="1" s="1"/>
  <c r="M728" i="1" s="1"/>
  <c r="N729" i="1" s="1"/>
  <c r="M729" i="1" l="1"/>
  <c r="N730" i="1"/>
  <c r="M730" i="1" s="1"/>
  <c r="N731" i="1" s="1"/>
  <c r="M731" i="1" s="1"/>
  <c r="N732" i="1" s="1"/>
  <c r="M732" i="1" s="1"/>
  <c r="N733" i="1" s="1"/>
  <c r="M733" i="1" l="1"/>
  <c r="N734" i="1" s="1"/>
  <c r="M734" i="1" s="1"/>
  <c r="N735" i="1" s="1"/>
  <c r="M735" i="1" s="1"/>
  <c r="N736" i="1" s="1"/>
  <c r="M736" i="1" s="1"/>
  <c r="N737" i="1" s="1"/>
  <c r="M737" i="1" l="1"/>
  <c r="N738" i="1"/>
  <c r="M738" i="1" s="1"/>
  <c r="N739" i="1" s="1"/>
  <c r="M739" i="1" s="1"/>
  <c r="N740" i="1" s="1"/>
  <c r="M740" i="1" s="1"/>
  <c r="N741" i="1" s="1"/>
  <c r="M741" i="1" s="1"/>
  <c r="N742" i="1" s="1"/>
  <c r="M742" i="1" s="1"/>
  <c r="N743" i="1" s="1"/>
  <c r="M743" i="1" s="1"/>
  <c r="N744" i="1" s="1"/>
  <c r="M744" i="1" s="1"/>
  <c r="N745" i="1" s="1"/>
  <c r="M745" i="1" s="1"/>
  <c r="N746" i="1" s="1"/>
  <c r="M746" i="1" s="1"/>
  <c r="N747" i="1" s="1"/>
  <c r="M747" i="1" s="1"/>
  <c r="N748" i="1" s="1"/>
  <c r="M748" i="1" s="1"/>
  <c r="N749" i="1" s="1"/>
  <c r="M749" i="1" s="1"/>
  <c r="N750" i="1" s="1"/>
  <c r="M750" i="1" s="1"/>
  <c r="N751" i="1" s="1"/>
  <c r="M751" i="1" s="1"/>
  <c r="N752" i="1" s="1"/>
  <c r="M752" i="1" l="1"/>
  <c r="N753" i="1"/>
  <c r="M753" i="1" s="1"/>
  <c r="N754" i="1" s="1"/>
  <c r="M754" i="1" l="1"/>
  <c r="N755" i="1"/>
  <c r="M755" i="1" s="1"/>
  <c r="N756" i="1" s="1"/>
  <c r="M756" i="1" s="1"/>
  <c r="N757" i="1" s="1"/>
  <c r="M757" i="1" s="1"/>
  <c r="N758" i="1" s="1"/>
  <c r="M758" i="1" s="1"/>
  <c r="N759" i="1" s="1"/>
  <c r="M759" i="1" s="1"/>
  <c r="N760" i="1" s="1"/>
  <c r="M760" i="1" s="1"/>
  <c r="N761" i="1" s="1"/>
  <c r="M761" i="1" l="1"/>
  <c r="N762" i="1"/>
  <c r="M762" i="1" l="1"/>
  <c r="N763" i="1"/>
  <c r="M763" i="1" s="1"/>
  <c r="N764" i="1" s="1"/>
  <c r="M764" i="1" s="1"/>
  <c r="N765" i="1" s="1"/>
  <c r="M765" i="1" s="1"/>
  <c r="N766" i="1" s="1"/>
  <c r="M766" i="1" s="1"/>
  <c r="N767" i="1" s="1"/>
  <c r="M767" i="1" s="1"/>
  <c r="N768" i="1" s="1"/>
  <c r="M768" i="1" l="1"/>
  <c r="N769" i="1"/>
  <c r="M769" i="1" s="1"/>
  <c r="N770" i="1" s="1"/>
  <c r="M770" i="1" s="1"/>
  <c r="N771" i="1" s="1"/>
  <c r="M771" i="1" s="1"/>
  <c r="N772" i="1" s="1"/>
  <c r="M772" i="1" s="1"/>
  <c r="N773" i="1" s="1"/>
  <c r="M773" i="1" s="1"/>
  <c r="N774" i="1" s="1"/>
  <c r="M774" i="1" s="1"/>
  <c r="N775" i="1" s="1"/>
  <c r="M775" i="1" s="1"/>
  <c r="N776" i="1" s="1"/>
  <c r="M776" i="1" l="1"/>
  <c r="N777" i="1"/>
  <c r="M777" i="1" l="1"/>
  <c r="N778" i="1"/>
  <c r="M778" i="1" s="1"/>
  <c r="N779" i="1" s="1"/>
  <c r="M779" i="1" s="1"/>
  <c r="N780" i="1" s="1"/>
  <c r="M780" i="1" s="1"/>
  <c r="N781" i="1" s="1"/>
  <c r="M781" i="1" s="1"/>
  <c r="N782" i="1" s="1"/>
  <c r="M782" i="1" s="1"/>
  <c r="N783" i="1" s="1"/>
  <c r="M783" i="1" s="1"/>
  <c r="N784" i="1" s="1"/>
  <c r="M784" i="1" s="1"/>
  <c r="N785" i="1" s="1"/>
  <c r="M785" i="1" s="1"/>
  <c r="N786" i="1" s="1"/>
  <c r="M786" i="1" l="1"/>
  <c r="N787" i="1"/>
  <c r="M787" i="1" s="1"/>
  <c r="N788" i="1" s="1"/>
  <c r="M788" i="1" s="1"/>
  <c r="N789" i="1" s="1"/>
  <c r="M789" i="1" s="1"/>
  <c r="N790" i="1" s="1"/>
  <c r="M790" i="1" s="1"/>
  <c r="N791" i="1" s="1"/>
  <c r="M791" i="1" s="1"/>
  <c r="N792" i="1" s="1"/>
  <c r="M792" i="1" s="1"/>
  <c r="N793" i="1" s="1"/>
  <c r="M793" i="1" s="1"/>
  <c r="N794" i="1" s="1"/>
  <c r="M794" i="1" l="1"/>
  <c r="N795" i="1" s="1"/>
  <c r="M795" i="1" s="1"/>
  <c r="N796" i="1" s="1"/>
  <c r="M796" i="1" s="1"/>
  <c r="N797" i="1" s="1"/>
  <c r="M797" i="1" s="1"/>
  <c r="N798" i="1" s="1"/>
  <c r="M798" i="1" s="1"/>
  <c r="N799" i="1" s="1"/>
  <c r="M799" i="1" s="1"/>
  <c r="N800" i="1" s="1"/>
  <c r="M800" i="1" l="1"/>
  <c r="N801" i="1"/>
  <c r="M801" i="1" l="1"/>
  <c r="N802" i="1"/>
  <c r="M802" i="1" l="1"/>
  <c r="N803" i="1"/>
  <c r="M803" i="1" s="1"/>
  <c r="N804" i="1" s="1"/>
  <c r="M804" i="1" s="1"/>
  <c r="N805" i="1" s="1"/>
  <c r="M805" i="1" s="1"/>
  <c r="N806" i="1" s="1"/>
  <c r="M806" i="1" s="1"/>
  <c r="N807" i="1" s="1"/>
  <c r="M807" i="1" s="1"/>
  <c r="N808" i="1" s="1"/>
  <c r="M808" i="1" s="1"/>
  <c r="N809" i="1" s="1"/>
  <c r="M809" i="1" s="1"/>
  <c r="N810" i="1" s="1"/>
  <c r="M810" i="1" s="1"/>
  <c r="N811" i="1" s="1"/>
  <c r="M811" i="1" s="1"/>
  <c r="N812" i="1" s="1"/>
  <c r="M812" i="1" s="1"/>
  <c r="N813" i="1" s="1"/>
  <c r="M813" i="1" s="1"/>
  <c r="N814" i="1" s="1"/>
  <c r="M814" i="1" s="1"/>
  <c r="N815" i="1" s="1"/>
  <c r="M815" i="1" s="1"/>
  <c r="N816" i="1" s="1"/>
  <c r="M816" i="1" s="1"/>
  <c r="N817" i="1" s="1"/>
  <c r="M817" i="1" s="1"/>
  <c r="N818" i="1" s="1"/>
  <c r="M818" i="1" s="1"/>
  <c r="N819" i="1" s="1"/>
  <c r="M819" i="1" s="1"/>
  <c r="N820" i="1" s="1"/>
  <c r="M820" i="1" s="1"/>
  <c r="N821" i="1" s="1"/>
  <c r="M821" i="1" s="1"/>
  <c r="N822" i="1" s="1"/>
  <c r="M822" i="1" s="1"/>
  <c r="N823" i="1" s="1"/>
  <c r="M823" i="1" s="1"/>
  <c r="N824" i="1" s="1"/>
  <c r="M824" i="1" s="1"/>
  <c r="N825" i="1" s="1"/>
  <c r="M825" i="1" l="1"/>
  <c r="N826" i="1"/>
  <c r="M826" i="1" l="1"/>
  <c r="N827" i="1"/>
  <c r="M827" i="1" l="1"/>
  <c r="N828" i="1"/>
  <c r="M828" i="1" s="1"/>
  <c r="N829" i="1" s="1"/>
  <c r="M829" i="1" s="1"/>
  <c r="N830" i="1" s="1"/>
  <c r="M830" i="1" s="1"/>
  <c r="N831" i="1" s="1"/>
  <c r="M831" i="1" s="1"/>
  <c r="N832" i="1" s="1"/>
  <c r="M832" i="1" l="1"/>
  <c r="N833" i="1"/>
  <c r="M833" i="1" s="1"/>
  <c r="N834" i="1" s="1"/>
  <c r="M834" i="1" s="1"/>
  <c r="N835" i="1" s="1"/>
  <c r="M835" i="1" s="1"/>
  <c r="N836" i="1" s="1"/>
  <c r="M836" i="1" s="1"/>
  <c r="N837" i="1" s="1"/>
  <c r="M837" i="1" s="1"/>
  <c r="N838" i="1" s="1"/>
  <c r="M838" i="1" s="1"/>
  <c r="N839" i="1" s="1"/>
  <c r="M839" i="1" s="1"/>
  <c r="N840" i="1" s="1"/>
  <c r="M840" i="1" l="1"/>
  <c r="N841" i="1"/>
  <c r="M841" i="1" s="1"/>
  <c r="N842" i="1" s="1"/>
  <c r="M842" i="1" s="1"/>
  <c r="N843" i="1" s="1"/>
  <c r="M843" i="1" s="1"/>
  <c r="N844" i="1" s="1"/>
  <c r="M844" i="1" s="1"/>
  <c r="N845" i="1" s="1"/>
  <c r="M845" i="1" s="1"/>
  <c r="N846" i="1" s="1"/>
  <c r="M846" i="1" s="1"/>
  <c r="N847" i="1" s="1"/>
  <c r="M847" i="1" s="1"/>
  <c r="N848" i="1" s="1"/>
  <c r="M848" i="1" l="1"/>
  <c r="N849" i="1"/>
  <c r="M849" i="1" l="1"/>
  <c r="N850" i="1"/>
  <c r="M850" i="1" l="1"/>
  <c r="N851" i="1"/>
  <c r="M851" i="1" s="1"/>
  <c r="N852" i="1" s="1"/>
  <c r="M852" i="1" s="1"/>
  <c r="N853" i="1" s="1"/>
  <c r="M853" i="1" s="1"/>
  <c r="N854" i="1" s="1"/>
  <c r="M854" i="1" s="1"/>
  <c r="N855" i="1" s="1"/>
  <c r="M855" i="1" s="1"/>
  <c r="N856" i="1" s="1"/>
  <c r="M856" i="1" s="1"/>
  <c r="N857" i="1" s="1"/>
  <c r="M857" i="1" l="1"/>
  <c r="N858" i="1"/>
  <c r="M858" i="1" l="1"/>
  <c r="N859" i="1"/>
  <c r="M859" i="1" s="1"/>
  <c r="N860" i="1" s="1"/>
  <c r="M860" i="1" s="1"/>
  <c r="N861" i="1" s="1"/>
  <c r="M861" i="1" s="1"/>
  <c r="N862" i="1" s="1"/>
  <c r="M862" i="1" s="1"/>
  <c r="N863" i="1" s="1"/>
  <c r="M863" i="1" s="1"/>
  <c r="N864" i="1" s="1"/>
  <c r="M864" i="1" s="1"/>
  <c r="N865" i="1" s="1"/>
  <c r="M865" i="1" l="1"/>
  <c r="N866" i="1"/>
  <c r="M866" i="1" l="1"/>
  <c r="N867" i="1"/>
  <c r="M867" i="1" s="1"/>
  <c r="N868" i="1" s="1"/>
  <c r="M868" i="1" s="1"/>
  <c r="N869" i="1" s="1"/>
  <c r="M869" i="1" s="1"/>
  <c r="N870" i="1" s="1"/>
  <c r="M870" i="1" s="1"/>
  <c r="N871" i="1" s="1"/>
  <c r="M871" i="1" s="1"/>
  <c r="N872" i="1" s="1"/>
  <c r="M872" i="1" s="1"/>
  <c r="N873" i="1" s="1"/>
  <c r="M873" i="1" l="1"/>
  <c r="N874" i="1"/>
  <c r="M874" i="1" l="1"/>
  <c r="N875" i="1"/>
  <c r="M875" i="1" s="1"/>
  <c r="N876" i="1" s="1"/>
  <c r="M876" i="1" s="1"/>
  <c r="N877" i="1" s="1"/>
  <c r="M877" i="1" s="1"/>
  <c r="N878" i="1" s="1"/>
  <c r="M878" i="1" s="1"/>
  <c r="N879" i="1" s="1"/>
  <c r="M879" i="1" s="1"/>
  <c r="N880" i="1" s="1"/>
  <c r="M880" i="1" s="1"/>
  <c r="N881" i="1" s="1"/>
  <c r="M881" i="1" l="1"/>
  <c r="N882" i="1"/>
  <c r="M882" i="1" l="1"/>
  <c r="N883" i="1"/>
  <c r="M883" i="1" s="1"/>
  <c r="N884" i="1" s="1"/>
  <c r="M884" i="1" s="1"/>
  <c r="N885" i="1" s="1"/>
  <c r="M885" i="1" s="1"/>
  <c r="N886" i="1" s="1"/>
  <c r="M886" i="1" s="1"/>
  <c r="N887" i="1" s="1"/>
  <c r="M887" i="1" s="1"/>
  <c r="N888" i="1" s="1"/>
  <c r="M888" i="1" s="1"/>
  <c r="N889" i="1" s="1"/>
  <c r="M889" i="1" l="1"/>
  <c r="N890" i="1"/>
  <c r="M890" i="1" l="1"/>
  <c r="N891" i="1"/>
  <c r="M891" i="1" s="1"/>
  <c r="N892" i="1" s="1"/>
  <c r="M892" i="1" s="1"/>
  <c r="N893" i="1" s="1"/>
  <c r="M893" i="1" s="1"/>
  <c r="N894" i="1" s="1"/>
  <c r="M894" i="1" s="1"/>
  <c r="N895" i="1" s="1"/>
  <c r="M895" i="1" s="1"/>
  <c r="N896" i="1" s="1"/>
  <c r="M896" i="1" s="1"/>
  <c r="N897" i="1" s="1"/>
  <c r="M897" i="1" l="1"/>
  <c r="N898" i="1"/>
  <c r="M898" i="1" l="1"/>
  <c r="N899" i="1"/>
  <c r="M899" i="1" l="1"/>
  <c r="N900" i="1"/>
  <c r="M900" i="1" s="1"/>
  <c r="N901" i="1" s="1"/>
  <c r="M901" i="1" s="1"/>
  <c r="N902" i="1" s="1"/>
  <c r="M902" i="1" s="1"/>
  <c r="N903" i="1" s="1"/>
  <c r="M903" i="1" s="1"/>
  <c r="N904" i="1" s="1"/>
  <c r="M904" i="1" s="1"/>
  <c r="N905" i="1" s="1"/>
  <c r="M905" i="1" l="1"/>
  <c r="N906" i="1" s="1"/>
  <c r="M906" i="1" l="1"/>
  <c r="N907" i="1"/>
  <c r="M907" i="1" s="1"/>
  <c r="N908" i="1" s="1"/>
  <c r="M908" i="1" s="1"/>
  <c r="N909" i="1" s="1"/>
  <c r="M909" i="1" s="1"/>
  <c r="N910" i="1" s="1"/>
  <c r="M910" i="1" s="1"/>
  <c r="N911" i="1" s="1"/>
  <c r="M911" i="1" s="1"/>
  <c r="N912" i="1" s="1"/>
  <c r="M912" i="1" s="1"/>
  <c r="N913" i="1" s="1"/>
  <c r="M913" i="1" l="1"/>
  <c r="N914" i="1"/>
  <c r="M914" i="1" l="1"/>
  <c r="N915" i="1"/>
  <c r="M915" i="1" s="1"/>
  <c r="N916" i="1" s="1"/>
  <c r="M916" i="1" s="1"/>
  <c r="N917" i="1" s="1"/>
  <c r="M917" i="1" s="1"/>
  <c r="N918" i="1" s="1"/>
  <c r="M918" i="1" s="1"/>
  <c r="N919" i="1" s="1"/>
  <c r="M919" i="1" s="1"/>
  <c r="N920" i="1" s="1"/>
  <c r="M920" i="1" s="1"/>
  <c r="N921" i="1" s="1"/>
  <c r="M921" i="1" l="1"/>
  <c r="N922" i="1"/>
  <c r="M922" i="1" l="1"/>
  <c r="N923" i="1"/>
  <c r="M923" i="1" s="1"/>
  <c r="N924" i="1" s="1"/>
  <c r="M924" i="1" s="1"/>
  <c r="N925" i="1" s="1"/>
  <c r="M925" i="1" s="1"/>
  <c r="N926" i="1" s="1"/>
  <c r="M926" i="1" s="1"/>
  <c r="N927" i="1" s="1"/>
  <c r="M927" i="1" s="1"/>
  <c r="N928" i="1" s="1"/>
  <c r="M928" i="1" s="1"/>
  <c r="N929" i="1" s="1"/>
  <c r="M929" i="1" l="1"/>
  <c r="N930" i="1"/>
  <c r="M930" i="1" l="1"/>
  <c r="N931" i="1"/>
  <c r="M931" i="1" s="1"/>
  <c r="N932" i="1" s="1"/>
  <c r="M932" i="1" s="1"/>
  <c r="N933" i="1" s="1"/>
  <c r="M933" i="1" s="1"/>
  <c r="N934" i="1" s="1"/>
  <c r="M934" i="1" s="1"/>
  <c r="N935" i="1" s="1"/>
  <c r="M935" i="1" s="1"/>
  <c r="N936" i="1" s="1"/>
  <c r="M936" i="1" s="1"/>
  <c r="N937" i="1" s="1"/>
  <c r="M937" i="1" l="1"/>
  <c r="N938" i="1"/>
  <c r="M938" i="1" l="1"/>
  <c r="N939" i="1"/>
  <c r="M939" i="1" s="1"/>
  <c r="N940" i="1" s="1"/>
  <c r="M940" i="1" s="1"/>
  <c r="N941" i="1" s="1"/>
  <c r="M941" i="1" s="1"/>
  <c r="N942" i="1" s="1"/>
  <c r="M942" i="1" s="1"/>
  <c r="N943" i="1" s="1"/>
  <c r="M943" i="1" s="1"/>
  <c r="N944" i="1" s="1"/>
  <c r="M944" i="1" s="1"/>
  <c r="N945" i="1" s="1"/>
  <c r="M945" i="1" l="1"/>
  <c r="N946" i="1"/>
  <c r="M946" i="1" l="1"/>
  <c r="N947" i="1"/>
  <c r="M947" i="1" l="1"/>
  <c r="N948" i="1"/>
  <c r="M948" i="1" s="1"/>
  <c r="N949" i="1" s="1"/>
  <c r="M949" i="1" s="1"/>
  <c r="N950" i="1" s="1"/>
  <c r="M950" i="1" s="1"/>
  <c r="N951" i="1" s="1"/>
  <c r="M951" i="1" s="1"/>
  <c r="N952" i="1" s="1"/>
  <c r="M952" i="1" s="1"/>
  <c r="N953" i="1" s="1"/>
  <c r="M953" i="1" l="1"/>
  <c r="N954" i="1"/>
  <c r="M954" i="1" l="1"/>
  <c r="N955" i="1"/>
  <c r="M955" i="1" s="1"/>
  <c r="N956" i="1" s="1"/>
  <c r="M956" i="1" s="1"/>
  <c r="N957" i="1" s="1"/>
  <c r="M957" i="1" s="1"/>
  <c r="N958" i="1" s="1"/>
  <c r="M958" i="1" s="1"/>
  <c r="N959" i="1" s="1"/>
  <c r="M959" i="1" s="1"/>
  <c r="N960" i="1" s="1"/>
  <c r="M960" i="1" s="1"/>
  <c r="N961" i="1" s="1"/>
  <c r="M961" i="1" l="1"/>
  <c r="N962" i="1"/>
  <c r="M962" i="1" l="1"/>
  <c r="N963" i="1"/>
  <c r="M963" i="1" s="1"/>
  <c r="N964" i="1" s="1"/>
  <c r="M964" i="1" s="1"/>
  <c r="N965" i="1" s="1"/>
  <c r="M965" i="1" s="1"/>
  <c r="N966" i="1" s="1"/>
  <c r="M966" i="1" s="1"/>
  <c r="N967" i="1" s="1"/>
  <c r="M967" i="1" s="1"/>
  <c r="N968" i="1" s="1"/>
  <c r="M968" i="1" s="1"/>
  <c r="N969" i="1" s="1"/>
  <c r="M969" i="1" l="1"/>
  <c r="N970" i="1"/>
  <c r="M970" i="1" l="1"/>
  <c r="N971" i="1"/>
  <c r="M971" i="1" s="1"/>
  <c r="N972" i="1" s="1"/>
  <c r="M972" i="1" s="1"/>
  <c r="N973" i="1" s="1"/>
  <c r="M973" i="1" s="1"/>
  <c r="N974" i="1" s="1"/>
  <c r="M974" i="1" s="1"/>
  <c r="N975" i="1" s="1"/>
  <c r="M975" i="1" s="1"/>
  <c r="N976" i="1" s="1"/>
  <c r="M976" i="1" s="1"/>
  <c r="N977" i="1" s="1"/>
  <c r="M977" i="1" l="1"/>
  <c r="N978" i="1"/>
  <c r="M978" i="1" l="1"/>
  <c r="N979" i="1" s="1"/>
  <c r="M979" i="1" l="1"/>
  <c r="N980" i="1"/>
  <c r="M980" i="1" s="1"/>
  <c r="N981" i="1" s="1"/>
  <c r="M981" i="1" s="1"/>
  <c r="N982" i="1" s="1"/>
  <c r="M982" i="1" s="1"/>
  <c r="N983" i="1" s="1"/>
  <c r="M983" i="1" s="1"/>
  <c r="N984" i="1" s="1"/>
  <c r="M984" i="1" s="1"/>
  <c r="N985" i="1" s="1"/>
  <c r="M985" i="1" l="1"/>
  <c r="N986" i="1"/>
  <c r="M986" i="1" l="1"/>
  <c r="N987" i="1"/>
  <c r="M987" i="1" s="1"/>
  <c r="N988" i="1" s="1"/>
  <c r="M988" i="1" s="1"/>
  <c r="N989" i="1" s="1"/>
  <c r="M989" i="1" l="1"/>
  <c r="N990" i="1" s="1"/>
  <c r="M990" i="1" l="1"/>
  <c r="N991" i="1" s="1"/>
  <c r="M991" i="1" l="1"/>
  <c r="N992" i="1" s="1"/>
  <c r="M992" i="1" l="1"/>
  <c r="N993" i="1" s="1"/>
  <c r="M993" i="1" s="1"/>
  <c r="N994" i="1" s="1"/>
  <c r="M994" i="1" s="1"/>
  <c r="N995" i="1" s="1"/>
  <c r="M995" i="1" s="1"/>
  <c r="N996" i="1" s="1"/>
  <c r="M996" i="1" s="1"/>
  <c r="N997" i="1" s="1"/>
  <c r="M997" i="1" s="1"/>
  <c r="N998" i="1" s="1"/>
  <c r="M998" i="1" l="1"/>
  <c r="N999" i="1" s="1"/>
  <c r="M999" i="1" s="1"/>
  <c r="N1000" i="1" s="1"/>
  <c r="M1000" i="1" l="1"/>
  <c r="N1001" i="1" s="1"/>
  <c r="M1001" i="1" s="1"/>
  <c r="N1002" i="1" s="1"/>
  <c r="M1002" i="1" s="1"/>
  <c r="N1003" i="1" s="1"/>
  <c r="M1003" i="1" l="1"/>
  <c r="N1004" i="1" s="1"/>
  <c r="M1004" i="1" l="1"/>
  <c r="N1005" i="1" s="1"/>
  <c r="M1005" i="1" l="1"/>
  <c r="N1006" i="1" s="1"/>
  <c r="M1006" i="1" l="1"/>
  <c r="N1007" i="1" s="1"/>
  <c r="M1007" i="1" l="1"/>
  <c r="N1008" i="1" s="1"/>
  <c r="M1008" i="1" l="1"/>
  <c r="N1009" i="1" s="1"/>
  <c r="M1009" i="1" s="1"/>
  <c r="N1010" i="1" s="1"/>
  <c r="M1010" i="1" s="1"/>
  <c r="N1011" i="1" s="1"/>
  <c r="M1011" i="1" s="1"/>
  <c r="N1012" i="1" s="1"/>
  <c r="M1012" i="1" l="1"/>
  <c r="N1013" i="1" s="1"/>
  <c r="M1013" i="1" l="1"/>
  <c r="N1014" i="1" s="1"/>
  <c r="M1014" i="1" l="1"/>
  <c r="N1015" i="1" s="1"/>
  <c r="M1015" i="1" l="1"/>
  <c r="N1016" i="1" s="1"/>
  <c r="M1016" i="1" l="1"/>
  <c r="N1017" i="1" s="1"/>
  <c r="M1017" i="1" l="1"/>
  <c r="N1018" i="1"/>
  <c r="M1018" i="1" l="1"/>
  <c r="N1019" i="1"/>
  <c r="M1019" i="1" s="1"/>
  <c r="N1020" i="1" s="1"/>
  <c r="M1020" i="1" s="1"/>
  <c r="N1021" i="1" s="1"/>
  <c r="M1021" i="1" s="1"/>
  <c r="N1022" i="1" s="1"/>
  <c r="M1022" i="1" s="1"/>
  <c r="N1023" i="1" s="1"/>
  <c r="M102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<sst xmlns="http://schemas.openxmlformats.org/spreadsheetml/2006/main" count="24" uniqueCount="21">
  <si>
    <t>B</t>
  </si>
  <si>
    <t>10p20</t>
  </si>
  <si>
    <t>(exact)</t>
  </si>
  <si>
    <t>c</t>
  </si>
  <si>
    <t>x</t>
  </si>
  <si>
    <t>Premium</t>
  </si>
  <si>
    <t>step h</t>
  </si>
  <si>
    <t>delta</t>
  </si>
  <si>
    <t>Parameters</t>
  </si>
  <si>
    <t>Results</t>
  </si>
  <si>
    <t>tpx</t>
  </si>
  <si>
    <t>t</t>
  </si>
  <si>
    <t>mew x</t>
  </si>
  <si>
    <t>x+t</t>
  </si>
  <si>
    <t>d/dt tpx</t>
  </si>
  <si>
    <t>Check</t>
  </si>
  <si>
    <t>Question a</t>
  </si>
  <si>
    <t>Question b</t>
  </si>
  <si>
    <t>d/dt V(t)</t>
  </si>
  <si>
    <t>V(t)</t>
  </si>
  <si>
    <t>goalseek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</si>
</sst>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0.00000"/>
  </numFmts>
  <fonts count="4" x14ac:knownFonts="1">
    <font>
      <sz val="11"/>
      <color theme="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" fontId="0" fillId="0" borderId="0" xfId="0" applyNumberFormat="1"/>
    <xf numFmtId="165" fontId="0" fillId="0" borderId="0" xfId="0" applyNumberForma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2" borderId="0" xfId="0" applyNumberFormat="1" applyFill="1"/>
    <xf numFmtId="0" fontId="1" fillId="3" borderId="0" xfId="0" applyFont="1" applyFill="1"/>
    <xf numFmtId="0" fontId="1" fillId="3" borderId="7" xfId="0" applyFont="1" applyFill="1" applyBorder="1"/>
    <xf numFmtId="164" fontId="0" fillId="0" borderId="0" xfId="0" applyNumberFormat="1"/>
    <xf numFmtId="0" fontId="3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3" xfId="0" applyBorder="1"/>
    <xf numFmtId="0" fontId="0" fillId="4" borderId="14" xfId="0" applyFill="1" applyBorder="1"/>
    <xf numFmtId="0" fontId="0" fillId="4" borderId="16" xfId="0" applyFill="1" applyBorder="1"/>
    <xf numFmtId="0" fontId="0" fillId="4" borderId="9" xfId="0" applyFill="1" applyBorder="1"/>
    <xf numFmtId="0" fontId="0" fillId="5" borderId="17" xfId="0" applyFill="1" applyBorder="1"/>
    <xf numFmtId="0" fontId="0" fillId="5" borderId="18" xfId="0" applyFill="1" applyBorder="1"/>
    <xf numFmtId="0" fontId="0" fillId="6" borderId="17" xfId="0" applyFill="1" applyBorder="1"/>
    <xf numFmtId="0" fontId="0" fillId="3" borderId="18" xfId="0" applyFill="1" applyBorder="1"/>
    <xf numFmtId="0" fontId="3" fillId="0" borderId="14" xfId="0" applyFont="1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3"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570030</xdr:colOff>
      <xdr:row>18</xdr:row>
      <xdr:rowOff>145731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A0211B-2239-4A65-A02B-1E18B08E0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6830" cy="3451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4DF4-61C5-4C7B-BA6F-9F154C1DB824}">
  <dimension ref="A1:X1025"/>
  <sheetViews>
    <sheetView tabSelected="1" workbookViewId="0">
      <selection activeCell="P22" sqref="P22"/>
    </sheetView>
  </sheetViews>
  <sheetFormatPr defaultRowHeight="14.25" x14ac:dyDescent="0.45"/>
  <cols>
    <col min="15" max="15" width="11.3984375" bestFit="1" customWidth="1"/>
    <col min="21" max="21" width="12.73046875" bestFit="1" customWidth="1"/>
  </cols>
  <sheetData>
    <row r="1" spans="11:24" x14ac:dyDescent="0.45">
      <c r="K1" s="3" t="s">
        <v>8</v>
      </c>
      <c r="L1" s="4"/>
      <c r="M1" s="4"/>
      <c r="N1" s="4"/>
      <c r="O1" s="4"/>
      <c r="P1" s="5"/>
    </row>
    <row r="2" spans="11:24" x14ac:dyDescent="0.45">
      <c r="K2" s="6" t="s">
        <v>0</v>
      </c>
      <c r="L2" s="13">
        <v>4.0000000000000002E-4</v>
      </c>
      <c r="P2" s="8"/>
    </row>
    <row r="3" spans="11:24" x14ac:dyDescent="0.45">
      <c r="K3" s="6" t="s">
        <v>3</v>
      </c>
      <c r="L3" s="13">
        <v>1.0900000000000001</v>
      </c>
      <c r="P3" s="8"/>
    </row>
    <row r="4" spans="11:24" x14ac:dyDescent="0.45">
      <c r="K4" s="6"/>
      <c r="L4" s="7"/>
      <c r="P4" s="8"/>
    </row>
    <row r="5" spans="11:24" x14ac:dyDescent="0.45">
      <c r="K5" s="6" t="s">
        <v>4</v>
      </c>
      <c r="L5" s="13">
        <v>20</v>
      </c>
      <c r="N5" t="s">
        <v>5</v>
      </c>
      <c r="O5" s="13">
        <v>3.0000000000000001E-3</v>
      </c>
      <c r="P5" s="8"/>
      <c r="U5" s="2"/>
    </row>
    <row r="6" spans="11:24" ht="14.65" thickBot="1" x14ac:dyDescent="0.5">
      <c r="K6" s="9" t="s">
        <v>6</v>
      </c>
      <c r="L6" s="14">
        <v>0.01</v>
      </c>
      <c r="M6" s="10"/>
      <c r="N6" s="10" t="s">
        <v>7</v>
      </c>
      <c r="O6" s="14">
        <v>0.05</v>
      </c>
      <c r="P6" s="11"/>
    </row>
    <row r="7" spans="11:24" ht="14.65" thickBot="1" x14ac:dyDescent="0.5"/>
    <row r="8" spans="11:24" x14ac:dyDescent="0.45">
      <c r="K8" s="3" t="s">
        <v>9</v>
      </c>
      <c r="L8" s="4"/>
      <c r="M8" s="5"/>
    </row>
    <row r="9" spans="11:24" x14ac:dyDescent="0.45">
      <c r="K9" s="6" t="s">
        <v>1</v>
      </c>
      <c r="L9" s="12">
        <f>EXP(-L2/LN(L3))^((L3^20)*(L3^10-1))</f>
        <v>0.96505555398780385</v>
      </c>
      <c r="M9" s="8" t="s">
        <v>2</v>
      </c>
      <c r="U9" s="2"/>
      <c r="X9" s="2"/>
    </row>
    <row r="10" spans="11:24" x14ac:dyDescent="0.45">
      <c r="K10" s="6"/>
      <c r="M10" s="8"/>
      <c r="U10" s="2"/>
      <c r="X10" s="2"/>
    </row>
    <row r="11" spans="11:24" ht="14.65" thickBot="1" x14ac:dyDescent="0.5">
      <c r="K11" s="9"/>
      <c r="L11" s="10"/>
      <c r="M11" s="11"/>
      <c r="U11" s="2"/>
      <c r="X11" s="2"/>
    </row>
    <row r="12" spans="11:24" x14ac:dyDescent="0.45">
      <c r="U12" s="2"/>
      <c r="X12" s="2"/>
    </row>
    <row r="13" spans="11:24" x14ac:dyDescent="0.45">
      <c r="U13" s="2"/>
      <c r="X13" s="2"/>
    </row>
    <row r="14" spans="11:24" x14ac:dyDescent="0.45">
      <c r="U14" s="2"/>
      <c r="X14" s="2"/>
    </row>
    <row r="15" spans="11:24" x14ac:dyDescent="0.45">
      <c r="U15" s="2"/>
      <c r="X15" s="2"/>
    </row>
    <row r="16" spans="11:24" x14ac:dyDescent="0.45">
      <c r="U16" s="2"/>
      <c r="X16" s="2"/>
    </row>
    <row r="17" spans="1:24" x14ac:dyDescent="0.45">
      <c r="U17" s="2"/>
      <c r="X17" s="2"/>
    </row>
    <row r="18" spans="1:24" x14ac:dyDescent="0.45">
      <c r="U18" s="2"/>
      <c r="X18" s="2"/>
    </row>
    <row r="19" spans="1:24" x14ac:dyDescent="0.45">
      <c r="U19" s="2"/>
      <c r="X19" s="2"/>
    </row>
    <row r="20" spans="1:24" x14ac:dyDescent="0.45">
      <c r="U20" s="2"/>
      <c r="X20" s="2"/>
    </row>
    <row r="21" spans="1:24" x14ac:dyDescent="0.45">
      <c r="A21" s="16" t="s">
        <v>16</v>
      </c>
      <c r="B21" s="17"/>
      <c r="C21" s="17"/>
      <c r="D21" s="17"/>
      <c r="E21" s="18"/>
      <c r="J21" s="28" t="s">
        <v>17</v>
      </c>
      <c r="K21" s="29"/>
      <c r="L21" s="29"/>
      <c r="M21" s="29"/>
      <c r="N21" s="30"/>
      <c r="P21" t="s">
        <v>20</v>
      </c>
      <c r="U21" s="2"/>
      <c r="X21" s="2"/>
    </row>
    <row r="22" spans="1:24" x14ac:dyDescent="0.45">
      <c r="A22" s="23" t="s">
        <v>11</v>
      </c>
      <c r="B22" s="23" t="s">
        <v>13</v>
      </c>
      <c r="C22" s="22" t="s">
        <v>12</v>
      </c>
      <c r="D22" s="21" t="s">
        <v>14</v>
      </c>
      <c r="E22" s="23" t="s">
        <v>10</v>
      </c>
      <c r="J22" s="23" t="s">
        <v>11</v>
      </c>
      <c r="K22" s="23" t="s">
        <v>13</v>
      </c>
      <c r="L22" s="23" t="s">
        <v>12</v>
      </c>
      <c r="M22" s="21" t="s">
        <v>18</v>
      </c>
      <c r="N22" s="23" t="s">
        <v>19</v>
      </c>
      <c r="U22" s="2"/>
      <c r="X22" s="2"/>
    </row>
    <row r="23" spans="1:24" x14ac:dyDescent="0.45">
      <c r="A23" s="24">
        <f>0</f>
        <v>0</v>
      </c>
      <c r="B23" s="24">
        <f>A23+Age</f>
        <v>20</v>
      </c>
      <c r="C23" s="19">
        <f>B*c_gom^B23</f>
        <v>2.2417643071113193E-3</v>
      </c>
      <c r="D23" s="19">
        <f>-E23*C23</f>
        <v>-2.2417643071113193E-3</v>
      </c>
      <c r="E23" s="26">
        <f>1</f>
        <v>1</v>
      </c>
      <c r="J23" s="24">
        <f>10</f>
        <v>10</v>
      </c>
      <c r="K23" s="24">
        <f>J23+Age</f>
        <v>30</v>
      </c>
      <c r="L23" s="19">
        <f>B*c_gom^K23</f>
        <v>5.3070713876525082E-3</v>
      </c>
      <c r="M23" s="19">
        <f>N23*delta +Prem-L23*(1-N23)</f>
        <v>-2.3070713876525081E-3</v>
      </c>
      <c r="N23" s="26">
        <v>0</v>
      </c>
      <c r="U23" s="2"/>
      <c r="X23" s="2"/>
    </row>
    <row r="24" spans="1:24" x14ac:dyDescent="0.45">
      <c r="A24" s="24" cm="1">
        <f t="array" ref="A24:A1023">_xlfn.SEQUENCE(1000)*Step_h</f>
        <v>0.01</v>
      </c>
      <c r="B24" s="24">
        <f>A24+Age</f>
        <v>20.010000000000002</v>
      </c>
      <c r="C24" s="19">
        <f>B*c_gom^B24</f>
        <v>2.2436970406193358E-3</v>
      </c>
      <c r="D24" s="19">
        <f t="shared" ref="D24:D87" si="0">-E24*C24</f>
        <v>-2.2436467422199194E-3</v>
      </c>
      <c r="E24" s="26">
        <f>E23+Step_h*D23</f>
        <v>0.99997758235692891</v>
      </c>
      <c r="J24" s="24">
        <f>ROUND(J23-Step_h,2)</f>
        <v>9.99</v>
      </c>
      <c r="K24" s="24">
        <f>J24+Age</f>
        <v>29.990000000000002</v>
      </c>
      <c r="L24" s="19">
        <f>B*c_gom^K24</f>
        <v>5.3024998459003736E-3</v>
      </c>
      <c r="M24" s="19">
        <f>N24*delta +Prem-L24*(1-N24)</f>
        <v>-2.3012239777497724E-3</v>
      </c>
      <c r="N24" s="26">
        <f>N23-Step_h*M23</f>
        <v>2.3070713876525081E-5</v>
      </c>
      <c r="U24" s="2"/>
      <c r="X24" s="2"/>
    </row>
    <row r="25" spans="1:24" x14ac:dyDescent="0.45">
      <c r="A25" s="24">
        <v>0.02</v>
      </c>
      <c r="B25" s="24">
        <f>A25+Age</f>
        <v>20.02</v>
      </c>
      <c r="C25" s="19">
        <f>B*c_gom^B25</f>
        <v>2.24563144043045E-3</v>
      </c>
      <c r="D25" s="19">
        <f t="shared" si="0"/>
        <v>-2.2455307146296939E-3</v>
      </c>
      <c r="E25" s="26">
        <f>E24+Step_h*D24</f>
        <v>0.99995514588950674</v>
      </c>
      <c r="J25" s="24">
        <f>ROUND(J24-Step_h,2)</f>
        <v>9.98</v>
      </c>
      <c r="K25" s="24">
        <f>J25+Age</f>
        <v>29.98</v>
      </c>
      <c r="L25" s="19">
        <f>B*c_gom^K25</f>
        <v>5.2979322421005349E-3</v>
      </c>
      <c r="M25" s="19">
        <f>N25*delta +Prem-L25*(1-N25)</f>
        <v>-2.295383950051859E-3</v>
      </c>
      <c r="N25" s="26">
        <f>N24-Step_h*M24</f>
        <v>4.6082953654022806E-5</v>
      </c>
      <c r="U25" s="2"/>
      <c r="X25" s="2"/>
    </row>
    <row r="26" spans="1:24" x14ac:dyDescent="0.45">
      <c r="A26" s="24">
        <v>0.03</v>
      </c>
      <c r="B26" s="24">
        <f>A26+Age</f>
        <v>20.03</v>
      </c>
      <c r="C26" s="19">
        <f>B*c_gom^B26</f>
        <v>2.2475675079812645E-3</v>
      </c>
      <c r="D26" s="19">
        <f t="shared" si="0"/>
        <v>-2.2474162255211967E-3</v>
      </c>
      <c r="E26" s="26">
        <f>E25+Step_h*D25</f>
        <v>0.99993269058236045</v>
      </c>
      <c r="J26" s="24">
        <f>ROUND(J25-Step_h,2)</f>
        <v>9.9700000000000006</v>
      </c>
      <c r="K26" s="24">
        <f>J26+Age</f>
        <v>29.97</v>
      </c>
      <c r="L26" s="19">
        <f>B*c_gom^K26</f>
        <v>5.2933685728608262E-3</v>
      </c>
      <c r="M26" s="19">
        <f>N26*delta +Prem-L26*(1-N26)</f>
        <v>-2.2895512960118439E-3</v>
      </c>
      <c r="N26" s="26">
        <f>N25-Step_h*M25</f>
        <v>6.9036793154541389E-5</v>
      </c>
      <c r="U26" s="2"/>
      <c r="X26" s="2"/>
    </row>
    <row r="27" spans="1:24" x14ac:dyDescent="0.45">
      <c r="A27" s="24">
        <v>0.04</v>
      </c>
      <c r="B27" s="24">
        <f>A27+Age</f>
        <v>20.04</v>
      </c>
      <c r="C27" s="19">
        <f>B*c_gom^B27</f>
        <v>2.2495052447096169E-3</v>
      </c>
      <c r="D27" s="19">
        <f t="shared" si="0"/>
        <v>-2.2493032760757549E-3</v>
      </c>
      <c r="E27" s="26">
        <f>E26+Step_h*D26</f>
        <v>0.99991021642010525</v>
      </c>
      <c r="J27" s="24">
        <f>ROUND(J26-Step_h,2)</f>
        <v>9.9600000000000009</v>
      </c>
      <c r="K27" s="24">
        <f>J27+Age</f>
        <v>29.96</v>
      </c>
      <c r="L27" s="19">
        <f>B*c_gom^K27</f>
        <v>5.2888088347919932E-3</v>
      </c>
      <c r="M27" s="19">
        <f>N27*delta +Prem-L27*(1-N27)</f>
        <v>-2.283726007093478E-3</v>
      </c>
      <c r="N27" s="26">
        <f>N26-Step_h*M26</f>
        <v>9.1932306114659825E-5</v>
      </c>
      <c r="U27" s="2"/>
      <c r="X27" s="2"/>
    </row>
    <row r="28" spans="1:24" x14ac:dyDescent="0.45">
      <c r="A28" s="24">
        <v>0.05</v>
      </c>
      <c r="B28" s="24">
        <f>A28+Age</f>
        <v>20.05</v>
      </c>
      <c r="C28" s="19">
        <f>B*c_gom^B28</f>
        <v>2.2514446520545892E-3</v>
      </c>
      <c r="D28" s="19">
        <f t="shared" si="0"/>
        <v>-2.2511918674754752E-3</v>
      </c>
      <c r="E28" s="26">
        <f>E27+Step_h*D27</f>
        <v>0.99988772338734444</v>
      </c>
      <c r="J28" s="24">
        <f>ROUND(J27-Step_h,2)</f>
        <v>9.9499999999999993</v>
      </c>
      <c r="K28" s="24">
        <f>J28+Age</f>
        <v>29.95</v>
      </c>
      <c r="L28" s="19">
        <f>B*c_gom^K28</f>
        <v>5.2842530245076997E-3</v>
      </c>
      <c r="M28" s="19">
        <f>N28*delta +Prem-L28*(1-N28)</f>
        <v>-2.2779080747711822E-3</v>
      </c>
      <c r="N28" s="26">
        <f>N27-Step_h*M27</f>
        <v>1.1476956618559461E-4</v>
      </c>
      <c r="U28" s="2"/>
      <c r="X28" s="2"/>
    </row>
    <row r="29" spans="1:24" x14ac:dyDescent="0.45">
      <c r="A29" s="24">
        <v>0.06</v>
      </c>
      <c r="B29" s="24">
        <f>A29+Age</f>
        <v>20.059999999999999</v>
      </c>
      <c r="C29" s="19">
        <f>B*c_gom^B29</f>
        <v>2.2533857314564962E-3</v>
      </c>
      <c r="D29" s="19">
        <f t="shared" si="0"/>
        <v>-2.2530820009032324E-3</v>
      </c>
      <c r="E29" s="26">
        <f>E28+Step_h*D28</f>
        <v>0.99986521146866969</v>
      </c>
      <c r="J29" s="24">
        <f>ROUND(J28-Step_h,2)</f>
        <v>9.94</v>
      </c>
      <c r="K29" s="24">
        <f>J29+Age</f>
        <v>29.939999999999998</v>
      </c>
      <c r="L29" s="19">
        <f>B*c_gom^K29</f>
        <v>5.279701138624535E-3</v>
      </c>
      <c r="M29" s="19">
        <f>N29*delta +Prem-L29*(1-N29)</f>
        <v>-2.27209749053004E-3</v>
      </c>
      <c r="N29" s="26">
        <f>N28-Step_h*M28</f>
        <v>1.3754864693330644E-4</v>
      </c>
      <c r="U29" s="2"/>
      <c r="X29" s="2"/>
    </row>
    <row r="30" spans="1:24" x14ac:dyDescent="0.45">
      <c r="A30" s="24">
        <v>7.0000000000000007E-2</v>
      </c>
      <c r="B30" s="24">
        <f>A30+Age</f>
        <v>20.07</v>
      </c>
      <c r="C30" s="19">
        <f>B*c_gom^B30</f>
        <v>2.2553284843569036E-3</v>
      </c>
      <c r="D30" s="19">
        <f t="shared" si="0"/>
        <v>-2.2549736775426873E-3</v>
      </c>
      <c r="E30" s="26">
        <f>E29+Step_h*D29</f>
        <v>0.99984268064866066</v>
      </c>
      <c r="J30" s="24">
        <f>ROUND(J29-Step_h,2)</f>
        <v>9.93</v>
      </c>
      <c r="K30" s="24">
        <f>J30+Age</f>
        <v>29.93</v>
      </c>
      <c r="L30" s="19">
        <f>B*c_gom^K30</f>
        <v>5.2751531737619938E-3</v>
      </c>
      <c r="M30" s="19">
        <f>N30*delta +Prem-L30*(1-N30)</f>
        <v>-2.2662942458657638E-3</v>
      </c>
      <c r="N30" s="26">
        <f>N29-Step_h*M29</f>
        <v>1.6026962183860683E-4</v>
      </c>
      <c r="U30" s="2"/>
      <c r="X30" s="2"/>
    </row>
    <row r="31" spans="1:24" x14ac:dyDescent="0.45">
      <c r="A31" s="24">
        <v>0.08</v>
      </c>
      <c r="B31" s="24">
        <f>A31+Age</f>
        <v>20.079999999999998</v>
      </c>
      <c r="C31" s="19">
        <f>B*c_gom^B31</f>
        <v>2.2572729121986121E-3</v>
      </c>
      <c r="D31" s="19">
        <f t="shared" si="0"/>
        <v>-2.2568668985782688E-3</v>
      </c>
      <c r="E31" s="26">
        <f>E30+Step_h*D30</f>
        <v>0.99982013091188526</v>
      </c>
      <c r="J31" s="24">
        <f>ROUND(J30-Step_h,2)</f>
        <v>9.92</v>
      </c>
      <c r="K31" s="24">
        <f>J31+Age</f>
        <v>29.92</v>
      </c>
      <c r="L31" s="19">
        <f>B*c_gom^K31</f>
        <v>5.2706091265424882E-3</v>
      </c>
      <c r="M31" s="19">
        <f>N31*delta +Prem-L31*(1-N31)</f>
        <v>-2.2604983322846981E-3</v>
      </c>
      <c r="N31" s="26">
        <f>N30-Step_h*M30</f>
        <v>1.8293256429726448E-4</v>
      </c>
      <c r="U31" s="2"/>
      <c r="X31" s="2"/>
    </row>
    <row r="32" spans="1:24" x14ac:dyDescent="0.45">
      <c r="A32" s="24">
        <v>0.09</v>
      </c>
      <c r="B32" s="24">
        <f>A32+Age</f>
        <v>20.09</v>
      </c>
      <c r="C32" s="19">
        <f>B*c_gom^B32</f>
        <v>2.2592190164256723E-3</v>
      </c>
      <c r="D32" s="19">
        <f t="shared" si="0"/>
        <v>-2.2587616651951882E-3</v>
      </c>
      <c r="E32" s="26">
        <f>E31+Step_h*D31</f>
        <v>0.99979756224289951</v>
      </c>
      <c r="J32" s="24">
        <f>ROUND(J31-Step_h,2)</f>
        <v>9.91</v>
      </c>
      <c r="K32" s="24">
        <f>J32+Age</f>
        <v>29.91</v>
      </c>
      <c r="L32" s="19">
        <f>B*c_gom^K32</f>
        <v>5.2660689935913338E-3</v>
      </c>
      <c r="M32" s="19">
        <f>N32*delta +Prem-L32*(1-N32)</f>
        <v>-2.2547097413037872E-3</v>
      </c>
      <c r="N32" s="26">
        <f>N31-Step_h*M31</f>
        <v>2.0553754762011147E-4</v>
      </c>
      <c r="U32" s="2"/>
      <c r="X32" s="2"/>
    </row>
    <row r="33" spans="1:24" x14ac:dyDescent="0.45">
      <c r="A33" s="24">
        <v>0.1</v>
      </c>
      <c r="B33" s="24">
        <f>A33+Age</f>
        <v>20.100000000000001</v>
      </c>
      <c r="C33" s="19">
        <f>B*c_gom^B33</f>
        <v>2.2611667984833756E-3</v>
      </c>
      <c r="D33" s="19">
        <f t="shared" si="0"/>
        <v>-2.2606579785794303E-3</v>
      </c>
      <c r="E33" s="26">
        <f>E32+Step_h*D32</f>
        <v>0.99977497462624754</v>
      </c>
      <c r="J33" s="24">
        <f>ROUND(J32-Step_h,2)</f>
        <v>9.9</v>
      </c>
      <c r="K33" s="24">
        <f>J33+Age</f>
        <v>29.9</v>
      </c>
      <c r="L33" s="19">
        <f>B*c_gom^K33</f>
        <v>5.2615327715367635E-3</v>
      </c>
      <c r="M33" s="19">
        <f>N33*delta +Prem-L33*(1-N33)</f>
        <v>-2.2489284644505794E-3</v>
      </c>
      <c r="N33" s="26">
        <f>N32-Step_h*M32</f>
        <v>2.2808464503314935E-4</v>
      </c>
      <c r="U33" s="2"/>
      <c r="X33" s="2"/>
    </row>
    <row r="34" spans="1:24" x14ac:dyDescent="0.45">
      <c r="A34" s="24">
        <v>0.11</v>
      </c>
      <c r="B34" s="24">
        <f>A34+Age</f>
        <v>20.11</v>
      </c>
      <c r="C34" s="19">
        <f>B*c_gom^B34</f>
        <v>2.2631162598182606E-3</v>
      </c>
      <c r="D34" s="19">
        <f t="shared" si="0"/>
        <v>-2.2625558399177576E-3</v>
      </c>
      <c r="E34" s="26">
        <f>E33+Step_h*D33</f>
        <v>0.99975236804646173</v>
      </c>
      <c r="J34" s="24">
        <f>ROUND(J33-Step_h,2)</f>
        <v>9.89</v>
      </c>
      <c r="K34" s="24">
        <f>J34+Age</f>
        <v>29.89</v>
      </c>
      <c r="L34" s="19">
        <f>B*c_gom^K34</f>
        <v>5.257000457009906E-3</v>
      </c>
      <c r="M34" s="19">
        <f>N34*delta +Prem-L34*(1-N34)</f>
        <v>-2.2431544932631936E-3</v>
      </c>
      <c r="N34" s="26">
        <f>N33-Step_h*M33</f>
        <v>2.5057392967765515E-4</v>
      </c>
      <c r="U34" s="2"/>
      <c r="X34" s="2"/>
    </row>
    <row r="35" spans="1:24" x14ac:dyDescent="0.45">
      <c r="A35" s="24">
        <v>0.12</v>
      </c>
      <c r="B35" s="24">
        <f>A35+Age</f>
        <v>20.12</v>
      </c>
      <c r="C35" s="19">
        <f>B*c_gom^B35</f>
        <v>2.2650674018781149E-3</v>
      </c>
      <c r="D35" s="19">
        <f t="shared" si="0"/>
        <v>-2.2644552503977128E-3</v>
      </c>
      <c r="E35" s="26">
        <f>E34+Step_h*D34</f>
        <v>0.99972974248806257</v>
      </c>
      <c r="J35" s="24">
        <f>ROUND(J34-Step_h,2)</f>
        <v>9.8800000000000008</v>
      </c>
      <c r="K35" s="24">
        <f>J35+Age</f>
        <v>29.880000000000003</v>
      </c>
      <c r="L35" s="19">
        <f>B*c_gom^K35</f>
        <v>5.2524720466447941E-3</v>
      </c>
      <c r="M35" s="19">
        <f>N35*delta +Prem-L35*(1-N35)</f>
        <v>-2.2373878192903079E-3</v>
      </c>
      <c r="N35" s="26">
        <f>N34-Step_h*M34</f>
        <v>2.730054746102871E-4</v>
      </c>
      <c r="U35" s="2"/>
      <c r="X35" s="2"/>
    </row>
    <row r="36" spans="1:24" x14ac:dyDescent="0.45">
      <c r="A36" s="24">
        <v>0.13</v>
      </c>
      <c r="B36" s="24">
        <f>A36+Age</f>
        <v>20.13</v>
      </c>
      <c r="C36" s="19">
        <f>B*c_gom^B36</f>
        <v>2.2670202261119718E-3</v>
      </c>
      <c r="D36" s="19">
        <f t="shared" si="0"/>
        <v>-2.2663562112076132E-3</v>
      </c>
      <c r="E36" s="26">
        <f>E35+Step_h*D35</f>
        <v>0.99970709793555856</v>
      </c>
      <c r="J36" s="24">
        <f>ROUND(J35-Step_h,2)</f>
        <v>9.8699999999999992</v>
      </c>
      <c r="K36" s="24">
        <f>J36+Age</f>
        <v>29.869999999999997</v>
      </c>
      <c r="L36" s="19">
        <f>B*c_gom^K36</f>
        <v>5.2479475370783586E-3</v>
      </c>
      <c r="M36" s="19">
        <f>N36*delta +Prem-L36*(1-N36)</f>
        <v>-2.2316284340911517E-3</v>
      </c>
      <c r="N36" s="26">
        <f>N35-Step_h*M35</f>
        <v>2.9537935280319016E-4</v>
      </c>
      <c r="U36" s="2"/>
      <c r="X36" s="2"/>
    </row>
    <row r="37" spans="1:24" x14ac:dyDescent="0.45">
      <c r="A37" s="24">
        <v>0.14000000000000001</v>
      </c>
      <c r="B37" s="24">
        <f>A37+Age</f>
        <v>20.14</v>
      </c>
      <c r="C37" s="19">
        <f>B*c_gom^B37</f>
        <v>2.2689747339701151E-3</v>
      </c>
      <c r="D37" s="19">
        <f t="shared" si="0"/>
        <v>-2.2682587235365557E-3</v>
      </c>
      <c r="E37" s="26">
        <f>E36+Step_h*D36</f>
        <v>0.99968443437344645</v>
      </c>
      <c r="J37" s="24">
        <f>ROUND(J36-Step_h,2)</f>
        <v>9.86</v>
      </c>
      <c r="K37" s="24">
        <f>J37+Age</f>
        <v>29.86</v>
      </c>
      <c r="L37" s="19">
        <f>B*c_gom^K37</f>
        <v>5.2434269249504329E-3</v>
      </c>
      <c r="M37" s="19">
        <f>N37*delta +Prem-L37*(1-N37)</f>
        <v>-2.2258763292354873E-3</v>
      </c>
      <c r="N37" s="26">
        <f>N36-Step_h*M36</f>
        <v>3.1769563714410169E-4</v>
      </c>
      <c r="U37" s="2"/>
      <c r="X37" s="2"/>
    </row>
    <row r="38" spans="1:24" x14ac:dyDescent="0.45">
      <c r="A38" s="24">
        <v>0.15</v>
      </c>
      <c r="B38" s="24">
        <f>A38+Age</f>
        <v>20.149999999999999</v>
      </c>
      <c r="C38" s="19">
        <f>B*c_gom^B38</f>
        <v>2.2709309269040787E-3</v>
      </c>
      <c r="D38" s="19">
        <f t="shared" si="0"/>
        <v>-2.2701627885744155E-3</v>
      </c>
      <c r="E38" s="26">
        <f>E37+Step_h*D37</f>
        <v>0.99966175178621108</v>
      </c>
      <c r="J38" s="24">
        <f>ROUND(J37-Step_h,2)</f>
        <v>9.85</v>
      </c>
      <c r="K38" s="24">
        <f>J38+Age</f>
        <v>29.85</v>
      </c>
      <c r="L38" s="19">
        <f>B*c_gom^K38</f>
        <v>5.2389102069037383E-3</v>
      </c>
      <c r="M38" s="19">
        <f>N38*delta +Prem-L38*(1-N38)</f>
        <v>-2.220131496303587E-3</v>
      </c>
      <c r="N38" s="26">
        <f>N37-Step_h*M37</f>
        <v>3.3995440043645657E-4</v>
      </c>
      <c r="U38" s="2"/>
      <c r="X38" s="2"/>
    </row>
    <row r="39" spans="1:24" x14ac:dyDescent="0.45">
      <c r="A39" s="24">
        <v>0.16</v>
      </c>
      <c r="B39" s="24">
        <f>A39+Age</f>
        <v>20.16</v>
      </c>
      <c r="C39" s="19">
        <f>B*c_gom^B39</f>
        <v>2.2728888063666486E-3</v>
      </c>
      <c r="D39" s="19">
        <f t="shared" si="0"/>
        <v>-2.2720684075118462E-3</v>
      </c>
      <c r="E39" s="26">
        <f>E38+Step_h*D38</f>
        <v>0.99963905015832533</v>
      </c>
      <c r="J39" s="24">
        <f>ROUND(J38-Step_h,2)</f>
        <v>9.84</v>
      </c>
      <c r="K39" s="24">
        <f>J39+Age</f>
        <v>29.84</v>
      </c>
      <c r="L39" s="19">
        <f>B*c_gom^K39</f>
        <v>5.2343973795838912E-3</v>
      </c>
      <c r="M39" s="19">
        <f>N39*delta +Prem-L39*(1-N39)</f>
        <v>-2.2143939268862282E-3</v>
      </c>
      <c r="N39" s="26">
        <f>N38-Step_h*M38</f>
        <v>3.6215571539949243E-4</v>
      </c>
      <c r="U39" s="2"/>
      <c r="X39" s="2"/>
    </row>
    <row r="40" spans="1:24" x14ac:dyDescent="0.45">
      <c r="A40" s="24">
        <v>0.17</v>
      </c>
      <c r="B40" s="24">
        <f>A40+Age</f>
        <v>20.170000000000002</v>
      </c>
      <c r="C40" s="19">
        <f>B*c_gom^B40</f>
        <v>2.2748483738118624E-3</v>
      </c>
      <c r="D40" s="19">
        <f t="shared" si="0"/>
        <v>-2.2739755815402809E-3</v>
      </c>
      <c r="E40" s="26">
        <f>E39+Step_h*D39</f>
        <v>0.99961632947425016</v>
      </c>
      <c r="J40" s="24">
        <f>ROUND(J39-Step_h,2)</f>
        <v>9.83</v>
      </c>
      <c r="K40" s="24">
        <f>J40+Age</f>
        <v>29.83</v>
      </c>
      <c r="L40" s="19">
        <f>B*c_gom^K40</f>
        <v>5.2298884396393998E-3</v>
      </c>
      <c r="M40" s="19">
        <f>N40*delta +Prem-L40*(1-N40)</f>
        <v>-2.2086636125846749E-3</v>
      </c>
      <c r="N40" s="26">
        <f>N39-Step_h*M39</f>
        <v>3.8429965466835474E-4</v>
      </c>
      <c r="U40" s="2"/>
      <c r="X40" s="2"/>
    </row>
    <row r="41" spans="1:24" x14ac:dyDescent="0.45">
      <c r="A41" s="24">
        <v>0.18</v>
      </c>
      <c r="B41" s="24">
        <f>A41+Age</f>
        <v>20.18</v>
      </c>
      <c r="C41" s="19">
        <f>B*c_gom^B41</f>
        <v>2.2768096306950113E-3</v>
      </c>
      <c r="D41" s="19">
        <f t="shared" si="0"/>
        <v>-2.2758843118519303E-3</v>
      </c>
      <c r="E41" s="26">
        <f>E40+Step_h*D40</f>
        <v>0.99959358971843482</v>
      </c>
      <c r="J41" s="24">
        <f>ROUND(J40-Step_h,2)</f>
        <v>9.82</v>
      </c>
      <c r="K41" s="24">
        <f>J41+Age</f>
        <v>29.82</v>
      </c>
      <c r="L41" s="19">
        <f>B*c_gom^K41</f>
        <v>5.2253833837216544E-3</v>
      </c>
      <c r="M41" s="19">
        <f>N41*delta +Prem-L41*(1-N41)</f>
        <v>-2.2029405450106564E-3</v>
      </c>
      <c r="N41" s="26">
        <f>N40-Step_h*M40</f>
        <v>4.063862907942015E-4</v>
      </c>
      <c r="U41" s="2"/>
      <c r="X41" s="2"/>
    </row>
    <row r="42" spans="1:24" x14ac:dyDescent="0.45">
      <c r="A42" s="24">
        <v>0.19</v>
      </c>
      <c r="B42" s="24">
        <f>A42+Age</f>
        <v>20.190000000000001</v>
      </c>
      <c r="C42" s="19">
        <f>B*c_gom^B42</f>
        <v>2.2787725784726418E-3</v>
      </c>
      <c r="D42" s="19">
        <f t="shared" si="0"/>
        <v>-2.2777945996397854E-3</v>
      </c>
      <c r="E42" s="26">
        <f>E41+Step_h*D41</f>
        <v>0.99957083087531629</v>
      </c>
      <c r="J42" s="24">
        <f>ROUND(J41-Step_h,2)</f>
        <v>9.81</v>
      </c>
      <c r="K42" s="24">
        <f>J42+Age</f>
        <v>29.810000000000002</v>
      </c>
      <c r="L42" s="19">
        <f>B*c_gom^K42</f>
        <v>5.220882208484932E-3</v>
      </c>
      <c r="M42" s="19">
        <f>N42*delta +Prem-L42*(1-N42)</f>
        <v>-2.1972247157863592E-3</v>
      </c>
      <c r="N42" s="26">
        <f>N41-Step_h*M41</f>
        <v>4.2841569624430805E-4</v>
      </c>
      <c r="U42" s="2"/>
      <c r="X42" s="2"/>
    </row>
    <row r="43" spans="1:24" x14ac:dyDescent="0.45">
      <c r="A43" s="24">
        <v>0.2</v>
      </c>
      <c r="B43" s="24">
        <f>A43+Age</f>
        <v>20.2</v>
      </c>
      <c r="C43" s="19">
        <f>B*c_gom^B43</f>
        <v>2.2807372186025555E-3</v>
      </c>
      <c r="D43" s="19">
        <f t="shared" si="0"/>
        <v>-2.279706446097617E-3</v>
      </c>
      <c r="E43" s="26">
        <f>E42+Step_h*D42</f>
        <v>0.99954805292931992</v>
      </c>
      <c r="J43" s="24">
        <f>ROUND(J42-Step_h,2)</f>
        <v>9.8000000000000007</v>
      </c>
      <c r="K43" s="24">
        <f>J43+Age</f>
        <v>29.8</v>
      </c>
      <c r="L43" s="19">
        <f>B*c_gom^K43</f>
        <v>5.2163849105863929E-3</v>
      </c>
      <c r="M43" s="19">
        <f>N43*delta +Prem-L43*(1-N43)</f>
        <v>-2.1915161165444114E-3</v>
      </c>
      <c r="N43" s="26">
        <f>N42-Step_h*M42</f>
        <v>4.5038794340217166E-4</v>
      </c>
      <c r="U43" s="2"/>
      <c r="X43" s="2"/>
    </row>
    <row r="44" spans="1:24" x14ac:dyDescent="0.45">
      <c r="A44" s="24">
        <v>0.21</v>
      </c>
      <c r="B44" s="24">
        <f>A44+Age</f>
        <v>20.21</v>
      </c>
      <c r="C44" s="19">
        <f>B*c_gom^B44</f>
        <v>2.282703552543812E-3</v>
      </c>
      <c r="D44" s="19">
        <f t="shared" si="0"/>
        <v>-2.2816198524199761E-3</v>
      </c>
      <c r="E44" s="26">
        <f>E43+Step_h*D43</f>
        <v>0.99952525586485896</v>
      </c>
      <c r="J44" s="24">
        <f>ROUND(J43-Step_h,2)</f>
        <v>9.7899999999999991</v>
      </c>
      <c r="K44" s="24">
        <f>J44+Age</f>
        <v>29.79</v>
      </c>
      <c r="L44" s="19">
        <f>B*c_gom^K44</f>
        <v>5.2118914866860714E-3</v>
      </c>
      <c r="M44" s="19">
        <f>N44*delta +Prem-L44*(1-N44)</f>
        <v>-2.1858147389278593E-3</v>
      </c>
      <c r="N44" s="26">
        <f>N43-Step_h*M43</f>
        <v>4.7230310456761578E-4</v>
      </c>
      <c r="U44" s="2"/>
      <c r="X44" s="2"/>
    </row>
    <row r="45" spans="1:24" x14ac:dyDescent="0.45">
      <c r="A45" s="24">
        <v>0.22</v>
      </c>
      <c r="B45" s="24">
        <f>A45+Age</f>
        <v>20.22</v>
      </c>
      <c r="C45" s="19">
        <f>B*c_gom^B45</f>
        <v>2.2846715817567273E-3</v>
      </c>
      <c r="D45" s="19">
        <f t="shared" si="0"/>
        <v>-2.283534819802193E-3</v>
      </c>
      <c r="E45" s="26">
        <f>E44+Step_h*D44</f>
        <v>0.99950243966633479</v>
      </c>
      <c r="J45" s="24">
        <f>ROUND(J44-Step_h,2)</f>
        <v>9.7799999999999994</v>
      </c>
      <c r="K45" s="24">
        <f>J45+Age</f>
        <v>29.78</v>
      </c>
      <c r="L45" s="19">
        <f>B*c_gom^K45</f>
        <v>5.2074019334468896E-3</v>
      </c>
      <c r="M45" s="19">
        <f>N45*delta +Prem-L45*(1-N45)</f>
        <v>-2.1801205745901699E-3</v>
      </c>
      <c r="N45" s="26">
        <f>N44-Step_h*M44</f>
        <v>4.9416125195689438E-4</v>
      </c>
      <c r="U45" s="2"/>
      <c r="X45" s="2"/>
    </row>
    <row r="46" spans="1:24" x14ac:dyDescent="0.45">
      <c r="A46" s="24">
        <v>0.23</v>
      </c>
      <c r="B46" s="24">
        <f>A46+Age</f>
        <v>20.23</v>
      </c>
      <c r="C46" s="19">
        <f>B*c_gom^B46</f>
        <v>2.2866413077028778E-3</v>
      </c>
      <c r="D46" s="19">
        <f t="shared" si="0"/>
        <v>-2.285451349440379E-3</v>
      </c>
      <c r="E46" s="26">
        <f>E45+Step_h*D45</f>
        <v>0.99947960431813676</v>
      </c>
      <c r="J46" s="24">
        <f>ROUND(J45-Step_h,2)</f>
        <v>9.77</v>
      </c>
      <c r="K46" s="24">
        <f>J46+Age</f>
        <v>29.77</v>
      </c>
      <c r="L46" s="19">
        <f>B*c_gom^K46</f>
        <v>5.2029162475346353E-3</v>
      </c>
      <c r="M46" s="19">
        <f>N46*delta +Prem-L46*(1-N46)</f>
        <v>-2.1744336151951955E-3</v>
      </c>
      <c r="N46" s="26">
        <f>N45-Step_h*M45</f>
        <v>5.1596245770279604E-4</v>
      </c>
      <c r="U46" s="2"/>
      <c r="X46" s="2"/>
    </row>
    <row r="47" spans="1:24" x14ac:dyDescent="0.45">
      <c r="A47" s="24">
        <v>0.24</v>
      </c>
      <c r="B47" s="24">
        <f>A47+Age</f>
        <v>20.239999999999998</v>
      </c>
      <c r="C47" s="19">
        <f>B*c_gom^B47</f>
        <v>2.2886127318450982E-3</v>
      </c>
      <c r="D47" s="19">
        <f t="shared" si="0"/>
        <v>-2.2873694425314256E-3</v>
      </c>
      <c r="E47" s="26">
        <f>E46+Step_h*D46</f>
        <v>0.99945674980464239</v>
      </c>
      <c r="J47" s="24">
        <f>ROUND(J46-Step_h,2)</f>
        <v>9.76</v>
      </c>
      <c r="K47" s="24">
        <f>J47+Age</f>
        <v>29.759999999999998</v>
      </c>
      <c r="L47" s="19">
        <f>B*c_gom^K47</f>
        <v>5.198434425617968E-3</v>
      </c>
      <c r="M47" s="19">
        <f>N47*delta +Prem-L47*(1-N47)</f>
        <v>-2.1687538524171671E-3</v>
      </c>
      <c r="N47" s="26">
        <f>N46-Step_h*M46</f>
        <v>5.3770679385474799E-4</v>
      </c>
      <c r="U47" s="2"/>
      <c r="X47" s="2"/>
    </row>
    <row r="48" spans="1:24" x14ac:dyDescent="0.45">
      <c r="A48" s="24">
        <v>0.25</v>
      </c>
      <c r="B48" s="24">
        <f>A48+Age</f>
        <v>20.25</v>
      </c>
      <c r="C48" s="19">
        <f>B*c_gom^B48</f>
        <v>2.2905858556474877E-3</v>
      </c>
      <c r="D48" s="19">
        <f t="shared" si="0"/>
        <v>-2.2892891002730068E-3</v>
      </c>
      <c r="E48" s="26">
        <f>E47+Step_h*D47</f>
        <v>0.99943387611021706</v>
      </c>
      <c r="J48" s="24">
        <f>ROUND(J47-Step_h,2)</f>
        <v>9.75</v>
      </c>
      <c r="K48" s="24">
        <f>J48+Age</f>
        <v>29.75</v>
      </c>
      <c r="L48" s="19">
        <f>B*c_gom^K48</f>
        <v>5.1939564643684244E-3</v>
      </c>
      <c r="M48" s="19">
        <f>N48*delta +Prem-L48*(1-N48)</f>
        <v>-2.1630812779406873E-3</v>
      </c>
      <c r="N48" s="26">
        <f>N47-Step_h*M47</f>
        <v>5.5939433237891969E-4</v>
      </c>
      <c r="U48" s="2"/>
      <c r="X48" s="2"/>
    </row>
    <row r="49" spans="1:24" x14ac:dyDescent="0.45">
      <c r="A49" s="24">
        <v>0.26</v>
      </c>
      <c r="B49" s="24">
        <f>A49+Age</f>
        <v>20.260000000000002</v>
      </c>
      <c r="C49" s="19">
        <f>B*c_gom^B49</f>
        <v>2.2925606805754037E-3</v>
      </c>
      <c r="D49" s="19">
        <f t="shared" si="0"/>
        <v>-2.2912103238635754E-3</v>
      </c>
      <c r="E49" s="26">
        <f>E48+Step_h*D48</f>
        <v>0.99941098321921429</v>
      </c>
      <c r="J49" s="24">
        <f>ROUND(J48-Step_h,2)</f>
        <v>9.74</v>
      </c>
      <c r="K49" s="24">
        <f>J49+Age</f>
        <v>29.740000000000002</v>
      </c>
      <c r="L49" s="19">
        <f>B*c_gom^K49</f>
        <v>5.1894823604604007E-3</v>
      </c>
      <c r="M49" s="19">
        <f>N49*delta +Prem-L49*(1-N49)</f>
        <v>-2.1574158834607011E-3</v>
      </c>
      <c r="N49" s="26">
        <f>N48-Step_h*M48</f>
        <v>5.8102514515832654E-4</v>
      </c>
      <c r="U49" s="2"/>
      <c r="X49" s="2"/>
    </row>
    <row r="50" spans="1:24" x14ac:dyDescent="0.45">
      <c r="A50" s="24">
        <v>0.27</v>
      </c>
      <c r="B50" s="24">
        <f>A50+Age</f>
        <v>20.27</v>
      </c>
      <c r="C50" s="19">
        <f>B*c_gom^B50</f>
        <v>2.2945372080954681E-3</v>
      </c>
      <c r="D50" s="19">
        <f t="shared" si="0"/>
        <v>-2.2931331145023656E-3</v>
      </c>
      <c r="E50" s="26">
        <f>E49+Step_h*D49</f>
        <v>0.99938807111597561</v>
      </c>
      <c r="J50" s="24">
        <f>ROUND(J49-Step_h,2)</f>
        <v>9.73</v>
      </c>
      <c r="K50" s="24">
        <f>J50+Age</f>
        <v>29.73</v>
      </c>
      <c r="L50" s="19">
        <f>B*c_gom^K50</f>
        <v>5.1850121105711626E-3</v>
      </c>
      <c r="M50" s="19">
        <f>N50*delta +Prem-L50*(1-N50)</f>
        <v>-2.1517576606824907E-3</v>
      </c>
      <c r="N50" s="26">
        <f>N49-Step_h*M49</f>
        <v>6.0259930399293358E-4</v>
      </c>
      <c r="U50" s="2"/>
      <c r="X50" s="2"/>
    </row>
    <row r="51" spans="1:24" x14ac:dyDescent="0.45">
      <c r="A51" s="24">
        <v>0.28000000000000003</v>
      </c>
      <c r="B51" s="24">
        <f>A51+Age</f>
        <v>20.28</v>
      </c>
      <c r="C51" s="19">
        <f>B*c_gom^B51</f>
        <v>2.296515439675571E-3</v>
      </c>
      <c r="D51" s="19">
        <f t="shared" si="0"/>
        <v>-2.2950574733893985E-3</v>
      </c>
      <c r="E51" s="26">
        <f>E50+Step_h*D50</f>
        <v>0.99936513978483055</v>
      </c>
      <c r="J51" s="24">
        <f>ROUND(J50-Step_h,2)</f>
        <v>9.7200000000000006</v>
      </c>
      <c r="K51" s="24">
        <f>J51+Age</f>
        <v>29.72</v>
      </c>
      <c r="L51" s="19">
        <f>B*c_gom^K51</f>
        <v>5.1805457113808327E-3</v>
      </c>
      <c r="M51" s="19">
        <f>N51*delta +Prem-L51*(1-N51)</f>
        <v>-2.1461066013216536E-3</v>
      </c>
      <c r="N51" s="26">
        <f>N50-Step_h*M50</f>
        <v>6.2411688059975845E-4</v>
      </c>
      <c r="U51" s="2"/>
      <c r="X51" s="2"/>
    </row>
    <row r="52" spans="1:24" x14ac:dyDescent="0.45">
      <c r="A52" s="24">
        <v>0.28999999999999998</v>
      </c>
      <c r="B52" s="24">
        <f>A52+Age</f>
        <v>20.29</v>
      </c>
      <c r="C52" s="19">
        <f>B*c_gom^B52</f>
        <v>2.2984953767848618E-3</v>
      </c>
      <c r="D52" s="19">
        <f t="shared" si="0"/>
        <v>-2.2969834017254696E-3</v>
      </c>
      <c r="E52" s="26">
        <f>E51+Step_h*D51</f>
        <v>0.99934218921009665</v>
      </c>
      <c r="J52" s="24">
        <f>ROUND(J51-Step_h,2)</f>
        <v>9.7100000000000009</v>
      </c>
      <c r="K52" s="24">
        <f>J52+Age</f>
        <v>29.71</v>
      </c>
      <c r="L52" s="19">
        <f>B*c_gom^K52</f>
        <v>5.1760831595724019E-3</v>
      </c>
      <c r="M52" s="19">
        <f>N52*delta +Prem-L52*(1-N52)</f>
        <v>-2.1404626971040981E-3</v>
      </c>
      <c r="N52" s="26">
        <f>N51-Step_h*M51</f>
        <v>6.4557794661297501E-4</v>
      </c>
      <c r="U52" s="2"/>
      <c r="X52" s="2"/>
    </row>
    <row r="53" spans="1:24" x14ac:dyDescent="0.45">
      <c r="A53" s="24">
        <v>0.3</v>
      </c>
      <c r="B53" s="24">
        <f>A53+Age</f>
        <v>20.3</v>
      </c>
      <c r="C53" s="19">
        <f>B*c_gom^B53</f>
        <v>2.300477020893762E-3</v>
      </c>
      <c r="D53" s="19">
        <f t="shared" si="0"/>
        <v>-2.2989109007121628E-3</v>
      </c>
      <c r="E53" s="26">
        <f>E52+Step_h*D52</f>
        <v>0.99931921937607937</v>
      </c>
      <c r="J53" s="24">
        <f>ROUND(J52-Step_h,2)</f>
        <v>9.6999999999999993</v>
      </c>
      <c r="K53" s="24">
        <f>J53+Age</f>
        <v>29.7</v>
      </c>
      <c r="L53" s="19">
        <f>B*c_gom^K53</f>
        <v>5.1716244518317097E-3</v>
      </c>
      <c r="M53" s="19">
        <f>N53*delta +Prem-L53*(1-N53)</f>
        <v>-2.1348259397660162E-3</v>
      </c>
      <c r="N53" s="26">
        <f>N52-Step_h*M52</f>
        <v>6.66982573584016E-4</v>
      </c>
      <c r="U53" s="2"/>
      <c r="X53" s="2"/>
    </row>
    <row r="54" spans="1:24" x14ac:dyDescent="0.45">
      <c r="A54" s="24">
        <v>0.31</v>
      </c>
      <c r="B54" s="24">
        <f>A54+Age</f>
        <v>20.309999999999999</v>
      </c>
      <c r="C54" s="19">
        <f>B*c_gom^B54</f>
        <v>2.3024603734739576E-3</v>
      </c>
      <c r="D54" s="19">
        <f t="shared" si="0"/>
        <v>-2.300839971551841E-3</v>
      </c>
      <c r="E54" s="26">
        <f>E53+Step_h*D53</f>
        <v>0.99929623026707226</v>
      </c>
      <c r="J54" s="24">
        <f>ROUND(J53-Step_h,2)</f>
        <v>9.69</v>
      </c>
      <c r="K54" s="24">
        <f>J54+Age</f>
        <v>29.689999999999998</v>
      </c>
      <c r="L54" s="19">
        <f>B*c_gom^K54</f>
        <v>5.1671695848474536E-3</v>
      </c>
      <c r="M54" s="19">
        <f>N54*delta +Prem-L54*(1-N54)</f>
        <v>-2.1291963210538735E-3</v>
      </c>
      <c r="N54" s="26">
        <f>N53-Step_h*M53</f>
        <v>6.8833083298167617E-4</v>
      </c>
      <c r="U54" s="2"/>
      <c r="X54" s="2"/>
    </row>
    <row r="55" spans="1:24" x14ac:dyDescent="0.45">
      <c r="A55" s="24">
        <v>0.32</v>
      </c>
      <c r="B55" s="24">
        <f>A55+Age</f>
        <v>20.32</v>
      </c>
      <c r="C55" s="19">
        <f>B*c_gom^B55</f>
        <v>2.3044454359984049E-3</v>
      </c>
      <c r="D55" s="19">
        <f t="shared" si="0"/>
        <v>-2.302770615447652E-3</v>
      </c>
      <c r="E55" s="26">
        <f>E54+Step_h*D54</f>
        <v>0.99927322186735679</v>
      </c>
      <c r="J55" s="24">
        <f>ROUND(J54-Step_h,2)</f>
        <v>9.68</v>
      </c>
      <c r="K55" s="24">
        <f>J55+Age</f>
        <v>29.68</v>
      </c>
      <c r="L55" s="19">
        <f>B*c_gom^K55</f>
        <v>5.1627185553111878E-3</v>
      </c>
      <c r="M55" s="19">
        <f>N55*delta +Prem-L55*(1-N55)</f>
        <v>-2.123573832724403E-3</v>
      </c>
      <c r="N55" s="26">
        <f>N54-Step_h*M54</f>
        <v>7.0962279619221494E-4</v>
      </c>
      <c r="U55" s="2"/>
      <c r="X55" s="2"/>
    </row>
    <row r="56" spans="1:24" x14ac:dyDescent="0.45">
      <c r="A56" s="24">
        <v>0.33</v>
      </c>
      <c r="B56" s="24">
        <f>A56+Age</f>
        <v>20.329999999999998</v>
      </c>
      <c r="C56" s="19">
        <f>B*c_gom^B56</f>
        <v>2.3064322099413288E-3</v>
      </c>
      <c r="D56" s="19">
        <f t="shared" si="0"/>
        <v>-2.3047028336035239E-3</v>
      </c>
      <c r="E56" s="26">
        <f>E55+Step_h*D55</f>
        <v>0.99925019416120231</v>
      </c>
      <c r="J56" s="24">
        <f>ROUND(J55-Step_h,2)</f>
        <v>9.67</v>
      </c>
      <c r="K56" s="24">
        <f>J56+Age</f>
        <v>29.67</v>
      </c>
      <c r="L56" s="19">
        <f>B*c_gom^K56</f>
        <v>5.1582713599173102E-3</v>
      </c>
      <c r="M56" s="19">
        <f>N56*delta +Prem-L56*(1-N56)</f>
        <v>-2.1179584665445739E-3</v>
      </c>
      <c r="N56" s="26">
        <f>N55-Step_h*M55</f>
        <v>7.30858534519459E-4</v>
      </c>
      <c r="U56" s="2"/>
      <c r="X56" s="2"/>
    </row>
    <row r="57" spans="1:24" x14ac:dyDescent="0.45">
      <c r="A57" s="24">
        <v>0.34</v>
      </c>
      <c r="B57" s="24">
        <f>A57+Age</f>
        <v>20.34</v>
      </c>
      <c r="C57" s="19">
        <f>B*c_gom^B57</f>
        <v>2.308420696778227E-3</v>
      </c>
      <c r="D57" s="19">
        <f t="shared" si="0"/>
        <v>-2.306636627224171E-3</v>
      </c>
      <c r="E57" s="26">
        <f>E56+Step_h*D56</f>
        <v>0.99922714713286631</v>
      </c>
      <c r="J57" s="24">
        <f>ROUND(J56-Step_h,2)</f>
        <v>9.66</v>
      </c>
      <c r="K57" s="24">
        <f>J57+Age</f>
        <v>29.66</v>
      </c>
      <c r="L57" s="19">
        <f>B*c_gom^K57</f>
        <v>5.1538279953630677E-3</v>
      </c>
      <c r="M57" s="19">
        <f>N57*delta +Prem-L57*(1-N57)</f>
        <v>-2.1123502142915869E-3</v>
      </c>
      <c r="N57" s="26">
        <f>N56-Step_h*M56</f>
        <v>7.5203811918490469E-4</v>
      </c>
      <c r="U57" s="2"/>
      <c r="X57" s="2"/>
    </row>
    <row r="58" spans="1:24" x14ac:dyDescent="0.45">
      <c r="A58" s="24">
        <v>0.35000000000000003</v>
      </c>
      <c r="B58" s="24">
        <f>A58+Age</f>
        <v>20.350000000000001</v>
      </c>
      <c r="C58" s="19">
        <f>B*c_gom^B58</f>
        <v>2.3104108979858681E-3</v>
      </c>
      <c r="D58" s="19">
        <f t="shared" si="0"/>
        <v>-2.3085719975150906E-3</v>
      </c>
      <c r="E58" s="26">
        <f>E57+Step_h*D57</f>
        <v>0.99920408076659406</v>
      </c>
      <c r="J58" s="24">
        <f>ROUND(J57-Step_h,2)</f>
        <v>9.65</v>
      </c>
      <c r="K58" s="24">
        <f>J58+Age</f>
        <v>29.65</v>
      </c>
      <c r="L58" s="19">
        <f>B*c_gom^K58</f>
        <v>5.1493884583485531E-3</v>
      </c>
      <c r="M58" s="19">
        <f>N58*delta +Prem-L58*(1-N58)</f>
        <v>-2.1067490677528587E-3</v>
      </c>
      <c r="N58" s="26">
        <f>N57-Step_h*M57</f>
        <v>7.7316162132782054E-4</v>
      </c>
      <c r="U58" s="2"/>
      <c r="X58" s="2"/>
    </row>
    <row r="59" spans="1:24" x14ac:dyDescent="0.45">
      <c r="A59" s="24">
        <v>0.36</v>
      </c>
      <c r="B59" s="24">
        <f>A59+Age</f>
        <v>20.36</v>
      </c>
      <c r="C59" s="19">
        <f>B*c_gom^B59</f>
        <v>2.3124028150422926E-3</v>
      </c>
      <c r="D59" s="19">
        <f t="shared" si="0"/>
        <v>-2.3105089456825607E-3</v>
      </c>
      <c r="E59" s="26">
        <f>E58+Step_h*D58</f>
        <v>0.99918099504661895</v>
      </c>
      <c r="J59" s="24">
        <f>ROUND(J58-Step_h,2)</f>
        <v>9.64</v>
      </c>
      <c r="K59" s="24">
        <f>J59+Age</f>
        <v>29.64</v>
      </c>
      <c r="L59" s="19">
        <f>B*c_gom^K59</f>
        <v>5.1449527455767041E-3</v>
      </c>
      <c r="M59" s="19">
        <f>N59*delta +Prem-L59*(1-N59)</f>
        <v>-2.1011550187260077E-3</v>
      </c>
      <c r="N59" s="26">
        <f>N58-Step_h*M58</f>
        <v>7.9422911200534914E-4</v>
      </c>
      <c r="U59" s="2"/>
      <c r="X59" s="2"/>
    </row>
    <row r="60" spans="1:24" x14ac:dyDescent="0.45">
      <c r="A60" s="24">
        <v>0.37</v>
      </c>
      <c r="B60" s="24">
        <f>A60+Age</f>
        <v>20.37</v>
      </c>
      <c r="C60" s="19">
        <f>B*c_gom^B60</f>
        <v>2.3143964494268189E-3</v>
      </c>
      <c r="D60" s="19">
        <f t="shared" si="0"/>
        <v>-2.3124474729336484E-3</v>
      </c>
      <c r="E60" s="26">
        <f>E59+Step_h*D59</f>
        <v>0.99915788995716215</v>
      </c>
      <c r="J60" s="24">
        <f>ROUND(J59-Step_h,2)</f>
        <v>9.6300000000000008</v>
      </c>
      <c r="K60" s="24">
        <f>J60+Age</f>
        <v>29.630000000000003</v>
      </c>
      <c r="L60" s="19">
        <f>B*c_gom^K60</f>
        <v>5.1405208537532963E-3</v>
      </c>
      <c r="M60" s="19">
        <f>N60*delta +Prem-L60*(1-N60)</f>
        <v>-2.095568059018837E-3</v>
      </c>
      <c r="N60" s="26">
        <f>N59-Step_h*M59</f>
        <v>8.1524066219260919E-4</v>
      </c>
      <c r="U60" s="2"/>
      <c r="X60" s="2"/>
    </row>
    <row r="61" spans="1:24" x14ac:dyDescent="0.45">
      <c r="A61" s="24">
        <v>0.38</v>
      </c>
      <c r="B61" s="24">
        <f>A61+Age</f>
        <v>20.38</v>
      </c>
      <c r="C61" s="19">
        <f>B*c_gom^B61</f>
        <v>2.3163918026200374E-3</v>
      </c>
      <c r="D61" s="19">
        <f t="shared" si="0"/>
        <v>-2.3143875804762007E-3</v>
      </c>
      <c r="E61" s="26">
        <f>E60+Step_h*D60</f>
        <v>0.99913476548243285</v>
      </c>
      <c r="J61" s="24">
        <f>ROUND(J60-Step_h,2)</f>
        <v>9.6199999999999992</v>
      </c>
      <c r="K61" s="24">
        <f>J61+Age</f>
        <v>29.619999999999997</v>
      </c>
      <c r="L61" s="19">
        <f>B*c_gom^K61</f>
        <v>5.136092779586935E-3</v>
      </c>
      <c r="M61" s="19">
        <f>N61*delta +Prem-L61*(1-N61)</f>
        <v>-2.0899881804493114E-3</v>
      </c>
      <c r="N61" s="26">
        <f>N60-Step_h*M60</f>
        <v>8.3619634278279758E-4</v>
      </c>
      <c r="U61" s="2"/>
      <c r="X61" s="2"/>
    </row>
    <row r="62" spans="1:24" x14ac:dyDescent="0.45">
      <c r="A62" s="24">
        <v>0.39</v>
      </c>
      <c r="B62" s="24">
        <f>A62+Age</f>
        <v>20.39</v>
      </c>
      <c r="C62" s="19">
        <f>B*c_gom^B62</f>
        <v>2.3183888761038173E-3</v>
      </c>
      <c r="D62" s="19">
        <f t="shared" si="0"/>
        <v>-2.3163292695188532E-3</v>
      </c>
      <c r="E62" s="26">
        <f>E61+Step_h*D61</f>
        <v>0.99911162160662814</v>
      </c>
      <c r="J62" s="24">
        <f>ROUND(J61-Step_h,2)</f>
        <v>9.61</v>
      </c>
      <c r="K62" s="24">
        <f>J62+Age</f>
        <v>29.61</v>
      </c>
      <c r="L62" s="19">
        <f>B*c_gom^K62</f>
        <v>5.1316685197890805E-3</v>
      </c>
      <c r="M62" s="19">
        <f>N62*delta +Prem-L62*(1-N62)</f>
        <v>-2.0844153748455709E-3</v>
      </c>
      <c r="N62" s="26">
        <f>N61-Step_h*M61</f>
        <v>8.5709622458729072E-4</v>
      </c>
      <c r="U62" s="2"/>
      <c r="X62" s="2"/>
    </row>
    <row r="63" spans="1:24" x14ac:dyDescent="0.45">
      <c r="A63" s="24">
        <v>0.4</v>
      </c>
      <c r="B63" s="24">
        <f>A63+Age</f>
        <v>20.399999999999999</v>
      </c>
      <c r="C63" s="19">
        <f>B*c_gom^B63</f>
        <v>2.3203876713613031E-3</v>
      </c>
      <c r="D63" s="19">
        <f t="shared" si="0"/>
        <v>-2.3182725412710212E-3</v>
      </c>
      <c r="E63" s="26">
        <f>E62+Step_h*D62</f>
        <v>0.999088458313933</v>
      </c>
      <c r="J63" s="24">
        <f>ROUND(J62-Step_h,2)</f>
        <v>9.6</v>
      </c>
      <c r="K63" s="24">
        <f>J63+Age</f>
        <v>29.6</v>
      </c>
      <c r="L63" s="19">
        <f>B*c_gom^K63</f>
        <v>5.1272480710740087E-3</v>
      </c>
      <c r="M63" s="19">
        <f>N63*delta +Prem-L63*(1-N63)</f>
        <v>-2.0788496340458811E-3</v>
      </c>
      <c r="N63" s="26">
        <f>N62-Step_h*M62</f>
        <v>8.7794037833574643E-4</v>
      </c>
      <c r="U63" s="2"/>
      <c r="X63" s="2"/>
    </row>
    <row r="64" spans="1:24" x14ac:dyDescent="0.45">
      <c r="A64" s="24">
        <v>0.41000000000000003</v>
      </c>
      <c r="B64" s="24">
        <f>A64+Age</f>
        <v>20.41</v>
      </c>
      <c r="C64" s="19">
        <f>B*c_gom^B64</f>
        <v>2.3223881898769196E-3</v>
      </c>
      <c r="D64" s="19">
        <f t="shared" si="0"/>
        <v>-2.3202173969429094E-3</v>
      </c>
      <c r="E64" s="26">
        <f>E63+Step_h*D63</f>
        <v>0.99906527558852032</v>
      </c>
      <c r="J64" s="24">
        <f>ROUND(J63-Step_h,2)</f>
        <v>9.59</v>
      </c>
      <c r="K64" s="24">
        <f>J64+Age</f>
        <v>29.59</v>
      </c>
      <c r="L64" s="19">
        <f>B*c_gom^K64</f>
        <v>5.1228314301588257E-3</v>
      </c>
      <c r="M64" s="19">
        <f>N64*delta +Prem-L64*(1-N64)</f>
        <v>-2.0732909498986326E-3</v>
      </c>
      <c r="N64" s="26">
        <f>N63-Step_h*M63</f>
        <v>8.9872887467620528E-4</v>
      </c>
      <c r="U64" s="2"/>
      <c r="X64" s="2"/>
    </row>
    <row r="65" spans="1:24" x14ac:dyDescent="0.45">
      <c r="A65" s="24">
        <v>0.42</v>
      </c>
      <c r="B65" s="24">
        <f>A65+Age</f>
        <v>20.420000000000002</v>
      </c>
      <c r="C65" s="19">
        <f>B*c_gom^B65</f>
        <v>2.3243904331363718E-3</v>
      </c>
      <c r="D65" s="19">
        <f t="shared" si="0"/>
        <v>-2.322163837745507E-3</v>
      </c>
      <c r="E65" s="26">
        <f>E64+Step_h*D64</f>
        <v>0.99904207341455087</v>
      </c>
      <c r="J65" s="24">
        <f>ROUND(J64-Step_h,2)</f>
        <v>9.58</v>
      </c>
      <c r="K65" s="24">
        <f>J65+Age</f>
        <v>29.58</v>
      </c>
      <c r="L65" s="19">
        <f>B*c_gom^K65</f>
        <v>5.1184185937634755E-3</v>
      </c>
      <c r="M65" s="19">
        <f>N65*delta +Prem-L65*(1-N65)</f>
        <v>-2.0677393142623382E-3</v>
      </c>
      <c r="N65" s="26">
        <f>N64-Step_h*M64</f>
        <v>9.1946178417519158E-4</v>
      </c>
      <c r="U65" s="2"/>
      <c r="X65" s="2"/>
    </row>
    <row r="66" spans="1:24" x14ac:dyDescent="0.45">
      <c r="A66" s="24">
        <v>0.43</v>
      </c>
      <c r="B66" s="24">
        <f>A66+Age</f>
        <v>20.43</v>
      </c>
      <c r="C66" s="19">
        <f>B*c_gom^B66</f>
        <v>2.3263944026266437E-3</v>
      </c>
      <c r="D66" s="19">
        <f t="shared" si="0"/>
        <v>-2.3241118648905865E-3</v>
      </c>
      <c r="E66" s="26">
        <f>E65+Step_h*D65</f>
        <v>0.99901885177617344</v>
      </c>
      <c r="J66" s="24">
        <f>ROUND(J65-Step_h,2)</f>
        <v>9.57</v>
      </c>
      <c r="K66" s="24">
        <f>J66+Age</f>
        <v>29.57</v>
      </c>
      <c r="L66" s="19">
        <f>B*c_gom^K66</f>
        <v>5.1140095586107272E-3</v>
      </c>
      <c r="M66" s="19">
        <f>N66*delta +Prem-L66*(1-N66)</f>
        <v>-2.0621947190056084E-3</v>
      </c>
      <c r="N66" s="26">
        <f>N65-Step_h*M65</f>
        <v>9.4013917731781494E-4</v>
      </c>
      <c r="U66" s="2"/>
      <c r="X66" s="2"/>
    </row>
    <row r="67" spans="1:24" x14ac:dyDescent="0.45">
      <c r="A67" s="24">
        <v>0.44</v>
      </c>
      <c r="B67" s="24">
        <f>A67+Age</f>
        <v>20.440000000000001</v>
      </c>
      <c r="C67" s="19">
        <f>B*c_gom^B67</f>
        <v>2.3284000998360036E-3</v>
      </c>
      <c r="D67" s="19">
        <f t="shared" si="0"/>
        <v>-2.3260614795907095E-3</v>
      </c>
      <c r="E67" s="26">
        <f>E66+Step_h*D66</f>
        <v>0.99899561065752451</v>
      </c>
      <c r="J67" s="24">
        <f>ROUND(J66-Step_h,2)</f>
        <v>9.56</v>
      </c>
      <c r="K67" s="24">
        <f>J67+Age</f>
        <v>29.560000000000002</v>
      </c>
      <c r="L67" s="19">
        <f>B*c_gom^K67</f>
        <v>5.1096043214261628E-3</v>
      </c>
      <c r="M67" s="19">
        <f>N67*delta +Prem-L67*(1-N67)</f>
        <v>-2.0566571560071256E-3</v>
      </c>
      <c r="N67" s="26">
        <f>N66-Step_h*M66</f>
        <v>9.60761124507871E-4</v>
      </c>
      <c r="U67" s="2"/>
      <c r="X67" s="2"/>
    </row>
    <row r="68" spans="1:24" x14ac:dyDescent="0.45">
      <c r="A68" s="24">
        <v>0.45</v>
      </c>
      <c r="B68" s="24">
        <f>A68+Age</f>
        <v>20.45</v>
      </c>
      <c r="C68" s="19">
        <f>B*c_gom^B68</f>
        <v>2.3304075262540005E-3</v>
      </c>
      <c r="D68" s="19">
        <f t="shared" si="0"/>
        <v>-2.3280126830592207E-3</v>
      </c>
      <c r="E68" s="26">
        <f>E67+Step_h*D67</f>
        <v>0.99897235004272855</v>
      </c>
      <c r="J68" s="24">
        <f>ROUND(J67-Step_h,2)</f>
        <v>9.5500000000000007</v>
      </c>
      <c r="K68" s="24">
        <f>J68+Age</f>
        <v>29.55</v>
      </c>
      <c r="L68" s="19">
        <f>B*c_gom^K68</f>
        <v>5.1052028789381892E-3</v>
      </c>
      <c r="M68" s="19">
        <f>N68*delta +Prem-L68*(1-N68)</f>
        <v>-2.0511266171556446E-3</v>
      </c>
      <c r="N68" s="26">
        <f>N67-Step_h*M67</f>
        <v>9.8132769606794215E-4</v>
      </c>
      <c r="U68" s="2"/>
      <c r="X68" s="2"/>
    </row>
    <row r="69" spans="1:24" x14ac:dyDescent="0.45">
      <c r="A69" s="24">
        <v>0.46</v>
      </c>
      <c r="B69" s="24">
        <f>A69+Age</f>
        <v>20.46</v>
      </c>
      <c r="C69" s="19">
        <f>B*c_gom^B69</f>
        <v>2.33241668337147E-3</v>
      </c>
      <c r="D69" s="19">
        <f t="shared" si="0"/>
        <v>-2.3299654765102534E-3</v>
      </c>
      <c r="E69" s="26">
        <f>E68+Step_h*D68</f>
        <v>0.99894906991589794</v>
      </c>
      <c r="J69" s="24">
        <f>ROUND(J68-Step_h,2)</f>
        <v>9.5399999999999991</v>
      </c>
      <c r="K69" s="24">
        <f>J69+Age</f>
        <v>29.54</v>
      </c>
      <c r="L69" s="19">
        <f>B*c_gom^K69</f>
        <v>5.1008052278780384E-3</v>
      </c>
      <c r="M69" s="19">
        <f>N69*delta +Prem-L69*(1-N69)</f>
        <v>-2.045603094349981E-3</v>
      </c>
      <c r="N69" s="26">
        <f>N68-Step_h*M68</f>
        <v>1.0018389622394987E-3</v>
      </c>
      <c r="U69" s="2"/>
      <c r="X69" s="2"/>
    </row>
    <row r="70" spans="1:24" x14ac:dyDescent="0.45">
      <c r="A70" s="24">
        <v>0.47000000000000003</v>
      </c>
      <c r="B70" s="24">
        <f>A70+Age</f>
        <v>20.47</v>
      </c>
      <c r="C70" s="19">
        <f>B*c_gom^B70</f>
        <v>2.3344275726805306E-3</v>
      </c>
      <c r="D70" s="19">
        <f t="shared" si="0"/>
        <v>-2.3319198611587255E-3</v>
      </c>
      <c r="E70" s="26">
        <f>E69+Step_h*D69</f>
        <v>0.99892577026113283</v>
      </c>
      <c r="J70" s="24">
        <f>ROUND(J69-Step_h,2)</f>
        <v>9.5299999999999994</v>
      </c>
      <c r="K70" s="24">
        <f>J70+Age</f>
        <v>29.53</v>
      </c>
      <c r="L70" s="19">
        <f>B*c_gom^K70</f>
        <v>5.0964113649797499E-3</v>
      </c>
      <c r="M70" s="19">
        <f>N70*delta +Prem-L70*(1-N70)</f>
        <v>-2.0400865794989805E-3</v>
      </c>
      <c r="N70" s="26">
        <f>N69-Step_h*M69</f>
        <v>1.0222949931829985E-3</v>
      </c>
      <c r="U70" s="2"/>
      <c r="X70" s="2"/>
    </row>
    <row r="71" spans="1:24" x14ac:dyDescent="0.45">
      <c r="A71" s="24">
        <v>0.48</v>
      </c>
      <c r="B71" s="24">
        <f>A71+Age</f>
        <v>20.48</v>
      </c>
      <c r="C71" s="19">
        <f>B*c_gom^B71</f>
        <v>2.3364401956745906E-3</v>
      </c>
      <c r="D71" s="19">
        <f t="shared" si="0"/>
        <v>-2.3338758382203456E-3</v>
      </c>
      <c r="E71" s="26">
        <f>E70+Step_h*D70</f>
        <v>0.99890245106252129</v>
      </c>
      <c r="J71" s="24">
        <f>ROUND(J70-Step_h,2)</f>
        <v>9.52</v>
      </c>
      <c r="K71" s="24">
        <f>J71+Age</f>
        <v>29.52</v>
      </c>
      <c r="L71" s="19">
        <f>B*c_gom^K71</f>
        <v>5.0920212869801779E-3</v>
      </c>
      <c r="M71" s="19">
        <f>N71*delta +Prem-L71*(1-N71)</f>
        <v>-2.0345770645215163E-3</v>
      </c>
      <c r="N71" s="26">
        <f>N70-Step_h*M70</f>
        <v>1.0426958589779883E-3</v>
      </c>
      <c r="U71" s="2"/>
      <c r="X71" s="2"/>
    </row>
    <row r="72" spans="1:24" x14ac:dyDescent="0.45">
      <c r="A72" s="24">
        <v>0.49</v>
      </c>
      <c r="B72" s="24">
        <f>A72+Age</f>
        <v>20.49</v>
      </c>
      <c r="C72" s="19">
        <f>B*c_gom^B72</f>
        <v>2.3384545538483411E-3</v>
      </c>
      <c r="D72" s="19">
        <f t="shared" si="0"/>
        <v>-2.3358334089116023E-3</v>
      </c>
      <c r="E72" s="26">
        <f>E71+Step_h*D71</f>
        <v>0.99887911230413906</v>
      </c>
      <c r="J72" s="24">
        <f>ROUND(J71-Step_h,2)</f>
        <v>9.51</v>
      </c>
      <c r="K72" s="24">
        <f>J72+Age</f>
        <v>29.509999999999998</v>
      </c>
      <c r="L72" s="19">
        <f>B*c_gom^K72</f>
        <v>5.0876349906189928E-3</v>
      </c>
      <c r="M72" s="19">
        <f>N72*delta +Prem-L72*(1-N72)</f>
        <v>-2.0290745413464768E-3</v>
      </c>
      <c r="N72" s="26">
        <f>N71-Step_h*M71</f>
        <v>1.0630416296232034E-3</v>
      </c>
      <c r="U72" s="2"/>
      <c r="X72" s="2"/>
    </row>
    <row r="73" spans="1:24" x14ac:dyDescent="0.45">
      <c r="A73" s="24">
        <v>0.5</v>
      </c>
      <c r="B73" s="24">
        <f>A73+Age</f>
        <v>20.5</v>
      </c>
      <c r="C73" s="19">
        <f>B*c_gom^B73</f>
        <v>2.3404706486977668E-3</v>
      </c>
      <c r="D73" s="19">
        <f t="shared" si="0"/>
        <v>-2.3377925744497798E-3</v>
      </c>
      <c r="E73" s="26">
        <f>E72+Step_h*D72</f>
        <v>0.99885575397005</v>
      </c>
      <c r="J73" s="24">
        <f>ROUND(J72-Step_h,2)</f>
        <v>9.5</v>
      </c>
      <c r="K73" s="24">
        <f>J73+Age</f>
        <v>29.5</v>
      </c>
      <c r="L73" s="19">
        <f>B*c_gom^K73</f>
        <v>5.0832524726386668E-3</v>
      </c>
      <c r="M73" s="19">
        <f>N73*delta +Prem-L73*(1-N73)</f>
        <v>-2.0235790019127392E-3</v>
      </c>
      <c r="N73" s="26">
        <f>N72-Step_h*M72</f>
        <v>1.0833323750366682E-3</v>
      </c>
      <c r="U73" s="2"/>
      <c r="X73" s="2"/>
    </row>
    <row r="74" spans="1:24" x14ac:dyDescent="0.45">
      <c r="A74" s="24">
        <v>0.51</v>
      </c>
      <c r="B74" s="24">
        <f>A74+Age</f>
        <v>20.51</v>
      </c>
      <c r="C74" s="19">
        <f>B*c_gom^B74</f>
        <v>2.3424884817201392E-3</v>
      </c>
      <c r="D74" s="19">
        <f t="shared" si="0"/>
        <v>-2.3397533360529446E-3</v>
      </c>
      <c r="E74" s="26">
        <f>E73+Step_h*D73</f>
        <v>0.99883237604430553</v>
      </c>
      <c r="J74" s="24">
        <f>ROUND(J73-Step_h,2)</f>
        <v>9.49</v>
      </c>
      <c r="K74" s="24">
        <f>J74+Age</f>
        <v>29.490000000000002</v>
      </c>
      <c r="L74" s="19">
        <f>B*c_gom^K74</f>
        <v>5.0788737297844822E-3</v>
      </c>
      <c r="M74" s="19">
        <f>N74*delta +Prem-L74*(1-N74)</f>
        <v>-2.0180904381691643E-3</v>
      </c>
      <c r="N74" s="26">
        <f>N73-Step_h*M73</f>
        <v>1.1035681650557955E-3</v>
      </c>
      <c r="U74" s="2"/>
      <c r="X74" s="2"/>
    </row>
    <row r="75" spans="1:24" x14ac:dyDescent="0.45">
      <c r="A75" s="24">
        <v>0.52</v>
      </c>
      <c r="B75" s="24">
        <f>A75+Age</f>
        <v>20.52</v>
      </c>
      <c r="C75" s="19">
        <f>B*c_gom^B75</f>
        <v>2.3445080544140197E-3</v>
      </c>
      <c r="D75" s="19">
        <f t="shared" si="0"/>
        <v>-2.3417156949399501E-3</v>
      </c>
      <c r="E75" s="26">
        <f>E74+Step_h*D74</f>
        <v>0.99880897851094497</v>
      </c>
      <c r="J75" s="24">
        <f>ROUND(J74-Step_h,2)</f>
        <v>9.48</v>
      </c>
      <c r="K75" s="24">
        <f>J75+Age</f>
        <v>29.48</v>
      </c>
      <c r="L75" s="19">
        <f>B*c_gom^K75</f>
        <v>5.0744987588045203E-3</v>
      </c>
      <c r="M75" s="19">
        <f>N75*delta +Prem-L75*(1-N75)</f>
        <v>-2.012608842074578E-3</v>
      </c>
      <c r="N75" s="26">
        <f>N74-Step_h*M74</f>
        <v>1.1237490694374871E-3</v>
      </c>
      <c r="U75" s="2"/>
      <c r="X75" s="2"/>
    </row>
    <row r="76" spans="1:24" x14ac:dyDescent="0.45">
      <c r="A76" s="24">
        <v>0.53</v>
      </c>
      <c r="B76" s="24">
        <f>A76+Age</f>
        <v>20.53</v>
      </c>
      <c r="C76" s="19">
        <f>B*c_gom^B76</f>
        <v>2.3465293682792656E-3</v>
      </c>
      <c r="D76" s="19">
        <f t="shared" si="0"/>
        <v>-2.3436796523304427E-3</v>
      </c>
      <c r="E76" s="26">
        <f>E75+Step_h*D75</f>
        <v>0.99878556135399554</v>
      </c>
      <c r="J76" s="24">
        <f>ROUND(J75-Step_h,2)</f>
        <v>9.4700000000000006</v>
      </c>
      <c r="K76" s="24">
        <f>J76+Age</f>
        <v>29.47</v>
      </c>
      <c r="L76" s="19">
        <f>B*c_gom^K76</f>
        <v>5.0701275564496717E-3</v>
      </c>
      <c r="M76" s="19">
        <f>N76*delta +Prem-L76*(1-N76)</f>
        <v>-2.0071342055977648E-3</v>
      </c>
      <c r="N76" s="26">
        <f>N75-Step_h*M75</f>
        <v>1.1438751578582329E-3</v>
      </c>
      <c r="U76" s="2"/>
      <c r="X76" s="2"/>
    </row>
    <row r="77" spans="1:24" x14ac:dyDescent="0.45">
      <c r="A77" s="24">
        <v>0.54</v>
      </c>
      <c r="B77" s="24">
        <f>A77+Age</f>
        <v>20.54</v>
      </c>
      <c r="C77" s="19">
        <f>B*c_gom^B77</f>
        <v>2.3485524248170239E-3</v>
      </c>
      <c r="D77" s="19">
        <f t="shared" si="0"/>
        <v>-2.3456452094448538E-3</v>
      </c>
      <c r="E77" s="26">
        <f>E76+Step_h*D76</f>
        <v>0.99876212455747226</v>
      </c>
      <c r="J77" s="24">
        <f>ROUND(J76-Step_h,2)</f>
        <v>9.4600000000000009</v>
      </c>
      <c r="K77" s="24">
        <f>J77+Age</f>
        <v>29.46</v>
      </c>
      <c r="L77" s="19">
        <f>B*c_gom^K77</f>
        <v>5.0657601194736201E-3</v>
      </c>
      <c r="M77" s="19">
        <f>N77*delta +Prem-L77*(1-N77)</f>
        <v>-2.0016665207174432E-3</v>
      </c>
      <c r="N77" s="26">
        <f>N76-Step_h*M76</f>
        <v>1.1639464999142106E-3</v>
      </c>
      <c r="U77" s="2"/>
      <c r="X77" s="2"/>
    </row>
    <row r="78" spans="1:24" x14ac:dyDescent="0.45">
      <c r="A78" s="24">
        <v>0.55000000000000004</v>
      </c>
      <c r="B78" s="24">
        <f>A78+Age</f>
        <v>20.55</v>
      </c>
      <c r="C78" s="19">
        <f>B*c_gom^B78</f>
        <v>2.3505772255297372E-3</v>
      </c>
      <c r="D78" s="19">
        <f t="shared" si="0"/>
        <v>-2.3476123675044039E-3</v>
      </c>
      <c r="E78" s="26">
        <f>E77+Step_h*D77</f>
        <v>0.99873866810537781</v>
      </c>
      <c r="J78" s="24">
        <f>ROUND(J77-Step_h,2)</f>
        <v>9.4499999999999993</v>
      </c>
      <c r="K78" s="24">
        <f>J78+Age</f>
        <v>29.45</v>
      </c>
      <c r="L78" s="19">
        <f>B*c_gom^K78</f>
        <v>5.0613964446328437E-3</v>
      </c>
      <c r="M78" s="19">
        <f>N78*delta +Prem-L78*(1-N78)</f>
        <v>-1.9962057794222529E-3</v>
      </c>
      <c r="N78" s="26">
        <f>N77-Step_h*M77</f>
        <v>1.183963165121385E-3</v>
      </c>
      <c r="U78" s="2"/>
      <c r="X78" s="2"/>
    </row>
    <row r="79" spans="1:24" x14ac:dyDescent="0.45">
      <c r="A79" s="24">
        <v>0.56000000000000005</v>
      </c>
      <c r="B79" s="24">
        <f>A79+Age</f>
        <v>20.56</v>
      </c>
      <c r="C79" s="19">
        <f>B*c_gom^B79</f>
        <v>2.3526037719211424E-3</v>
      </c>
      <c r="D79" s="19">
        <f t="shared" si="0"/>
        <v>-2.3495811277311021E-3</v>
      </c>
      <c r="E79" s="26">
        <f>E78+Step_h*D78</f>
        <v>0.99871519198170278</v>
      </c>
      <c r="J79" s="24">
        <f>ROUND(J78-Step_h,2)</f>
        <v>9.44</v>
      </c>
      <c r="K79" s="24">
        <f>J79+Age</f>
        <v>29.439999999999998</v>
      </c>
      <c r="L79" s="19">
        <f>B*c_gom^K79</f>
        <v>5.0570365286866205E-3</v>
      </c>
      <c r="M79" s="19">
        <f>N79*delta +Prem-L79*(1-N79)</f>
        <v>-1.990751973710749E-3</v>
      </c>
      <c r="N79" s="26">
        <f>N78-Step_h*M78</f>
        <v>1.2039252229156076E-3</v>
      </c>
      <c r="U79" s="2"/>
      <c r="X79" s="2"/>
    </row>
    <row r="80" spans="1:24" x14ac:dyDescent="0.45">
      <c r="A80" s="24">
        <v>0.57000000000000006</v>
      </c>
      <c r="B80" s="24">
        <f>A80+Age</f>
        <v>20.57</v>
      </c>
      <c r="C80" s="19">
        <f>B*c_gom^B80</f>
        <v>2.3546320654962748E-3</v>
      </c>
      <c r="D80" s="19">
        <f t="shared" si="0"/>
        <v>-2.3515514913477471E-3</v>
      </c>
      <c r="E80" s="26">
        <f>E79+Step_h*D79</f>
        <v>0.99869169617042541</v>
      </c>
      <c r="J80" s="24">
        <f>ROUND(J79-Step_h,2)</f>
        <v>9.43</v>
      </c>
      <c r="K80" s="24">
        <f>J80+Age</f>
        <v>29.43</v>
      </c>
      <c r="L80" s="19">
        <f>B*c_gom^K80</f>
        <v>5.0526803683970173E-3</v>
      </c>
      <c r="M80" s="19">
        <f>N80*delta +Prem-L80*(1-N80)</f>
        <v>-1.9853050955913787E-3</v>
      </c>
      <c r="N80" s="26">
        <f>N79-Step_h*M79</f>
        <v>1.2238327426527152E-3</v>
      </c>
      <c r="U80" s="2"/>
      <c r="X80" s="2"/>
    </row>
    <row r="81" spans="1:24" x14ac:dyDescent="0.45">
      <c r="A81" s="24">
        <v>0.57999999999999996</v>
      </c>
      <c r="B81" s="24">
        <f>A81+Age</f>
        <v>20.58</v>
      </c>
      <c r="C81" s="19">
        <f>B*c_gom^B81</f>
        <v>2.3566621077614649E-3</v>
      </c>
      <c r="D81" s="19">
        <f t="shared" si="0"/>
        <v>-2.3535234595779262E-3</v>
      </c>
      <c r="E81" s="26">
        <f>E80+Step_h*D80</f>
        <v>0.99866818065551188</v>
      </c>
      <c r="J81" s="24">
        <f>ROUND(J80-Step_h,2)</f>
        <v>9.42</v>
      </c>
      <c r="K81" s="24">
        <f>J81+Age</f>
        <v>29.42</v>
      </c>
      <c r="L81" s="19">
        <f>B*c_gom^K81</f>
        <v>5.0483279605288882E-3</v>
      </c>
      <c r="M81" s="19">
        <f>N81*delta +Prem-L81*(1-N81)</f>
        <v>-1.9798651370824694E-3</v>
      </c>
      <c r="N81" s="26">
        <f>N80-Step_h*M80</f>
        <v>1.2436857936086289E-3</v>
      </c>
      <c r="U81" s="2"/>
      <c r="X81" s="2"/>
    </row>
    <row r="82" spans="1:24" x14ac:dyDescent="0.45">
      <c r="A82" s="24">
        <v>0.59</v>
      </c>
      <c r="B82" s="24">
        <f>A82+Age</f>
        <v>20.59</v>
      </c>
      <c r="C82" s="19">
        <f>B*c_gom^B82</f>
        <v>2.3586939002243441E-3</v>
      </c>
      <c r="D82" s="19">
        <f t="shared" si="0"/>
        <v>-2.3554970336460181E-3</v>
      </c>
      <c r="E82" s="26">
        <f>E81+Step_h*D81</f>
        <v>0.99864464542091613</v>
      </c>
      <c r="J82" s="24">
        <f>ROUND(J81-Step_h,2)</f>
        <v>9.41</v>
      </c>
      <c r="K82" s="24">
        <f>J82+Age</f>
        <v>29.41</v>
      </c>
      <c r="L82" s="19">
        <f>B*c_gom^K82</f>
        <v>5.0439793018498746E-3</v>
      </c>
      <c r="M82" s="19">
        <f>N82*delta +Prem-L82*(1-N82)</f>
        <v>-1.9744320902122161E-3</v>
      </c>
      <c r="N82" s="26">
        <f>N81-Step_h*M81</f>
        <v>1.2634844449794535E-3</v>
      </c>
      <c r="U82" s="2"/>
      <c r="X82" s="2"/>
    </row>
    <row r="83" spans="1:24" x14ac:dyDescent="0.45">
      <c r="A83" s="24">
        <v>0.6</v>
      </c>
      <c r="B83" s="24">
        <f>A83+Age</f>
        <v>20.6</v>
      </c>
      <c r="C83" s="19">
        <f>B*c_gom^B83</f>
        <v>2.360727444393842E-3</v>
      </c>
      <c r="D83" s="19">
        <f t="shared" si="0"/>
        <v>-2.3574722147771889E-3</v>
      </c>
      <c r="E83" s="26">
        <f>E82+Step_h*D82</f>
        <v>0.99862109045057967</v>
      </c>
      <c r="J83" s="24">
        <f>ROUND(J82-Step_h,2)</f>
        <v>9.4</v>
      </c>
      <c r="K83" s="24">
        <f>J83+Age</f>
        <v>29.4</v>
      </c>
      <c r="L83" s="19">
        <f>B*c_gom^K83</f>
        <v>5.039634389130407E-3</v>
      </c>
      <c r="M83" s="19">
        <f>N83*delta +Prem-L83*(1-N83)</f>
        <v>-1.9690059470186699E-3</v>
      </c>
      <c r="N83" s="26">
        <f>N82-Step_h*M82</f>
        <v>1.2832287658815756E-3</v>
      </c>
      <c r="U83" s="2"/>
      <c r="X83" s="2"/>
    </row>
    <row r="84" spans="1:24" x14ac:dyDescent="0.45">
      <c r="A84" s="24">
        <v>0.61</v>
      </c>
      <c r="B84" s="24">
        <f>A84+Age</f>
        <v>20.61</v>
      </c>
      <c r="C84" s="19">
        <f>B*c_gom^B84</f>
        <v>2.3627627417801889E-3</v>
      </c>
      <c r="D84" s="19">
        <f t="shared" si="0"/>
        <v>-2.359449004197395E-3</v>
      </c>
      <c r="E84" s="26">
        <f>E83+Step_h*D83</f>
        <v>0.99859751572843192</v>
      </c>
      <c r="J84" s="24">
        <f>ROUND(J83-Step_h,2)</f>
        <v>9.39</v>
      </c>
      <c r="K84" s="24">
        <f>J84+Age</f>
        <v>29.39</v>
      </c>
      <c r="L84" s="19">
        <f>B*c_gom^K84</f>
        <v>5.0352932191436934E-3</v>
      </c>
      <c r="M84" s="19">
        <f>N84*delta +Prem-L84*(1-N84)</f>
        <v>-1.9635866995497166E-3</v>
      </c>
      <c r="N84" s="26">
        <f>N83-Step_h*M83</f>
        <v>1.3029188253517623E-3</v>
      </c>
      <c r="U84" s="2"/>
      <c r="X84" s="2"/>
    </row>
    <row r="85" spans="1:24" x14ac:dyDescent="0.45">
      <c r="A85" s="24">
        <v>0.62</v>
      </c>
      <c r="B85" s="24">
        <f>A85+Age</f>
        <v>20.62</v>
      </c>
      <c r="C85" s="19">
        <f>B*c_gom^B85</f>
        <v>2.3647997938949198E-3</v>
      </c>
      <c r="D85" s="19">
        <f t="shared" si="0"/>
        <v>-2.3614274031333862E-3</v>
      </c>
      <c r="E85" s="26">
        <f>E84+Step_h*D84</f>
        <v>0.99857392123838995</v>
      </c>
      <c r="J85" s="24">
        <f>ROUND(J84-Step_h,2)</f>
        <v>9.3800000000000008</v>
      </c>
      <c r="K85" s="24">
        <f>J85+Age</f>
        <v>29.380000000000003</v>
      </c>
      <c r="L85" s="19">
        <f>B*c_gom^K85</f>
        <v>5.0309557886657214E-3</v>
      </c>
      <c r="M85" s="19">
        <f>N85*delta +Prem-L85*(1-N85)</f>
        <v>-1.958174339863067E-3</v>
      </c>
      <c r="N85" s="26">
        <f>N84-Step_h*M84</f>
        <v>1.3225546923472595E-3</v>
      </c>
      <c r="U85" s="2"/>
      <c r="X85" s="2"/>
    </row>
    <row r="86" spans="1:24" x14ac:dyDescent="0.45">
      <c r="A86" s="24">
        <v>0.63</v>
      </c>
      <c r="B86" s="24">
        <f>A86+Age</f>
        <v>20.63</v>
      </c>
      <c r="C86" s="19">
        <f>B*c_gom^B86</f>
        <v>2.3668386022508685E-3</v>
      </c>
      <c r="D86" s="19">
        <f t="shared" si="0"/>
        <v>-2.3634074128126982E-3</v>
      </c>
      <c r="E86" s="26">
        <f>E85+Step_h*D85</f>
        <v>0.99855030696435865</v>
      </c>
      <c r="J86" s="24">
        <f>ROUND(J85-Step_h,2)</f>
        <v>9.3699999999999992</v>
      </c>
      <c r="K86" s="24">
        <f>J86+Age</f>
        <v>29.369999999999997</v>
      </c>
      <c r="L86" s="19">
        <f>B*c_gom^K86</f>
        <v>5.0266220944752546E-3</v>
      </c>
      <c r="M86" s="19">
        <f>N86*delta +Prem-L86*(1-N86)</f>
        <v>-1.95276886002624E-3</v>
      </c>
      <c r="N86" s="26">
        <f>N85-Step_h*M85</f>
        <v>1.3421364357458902E-3</v>
      </c>
      <c r="U86" s="2"/>
      <c r="X86" s="2"/>
    </row>
    <row r="87" spans="1:24" x14ac:dyDescent="0.45">
      <c r="A87" s="24">
        <v>0.64</v>
      </c>
      <c r="B87" s="24">
        <f>A87+Age</f>
        <v>20.64</v>
      </c>
      <c r="C87" s="19">
        <f>B*c_gom^B87</f>
        <v>2.3688791683621779E-3</v>
      </c>
      <c r="D87" s="19">
        <f t="shared" si="0"/>
        <v>-2.3653890344636618E-3</v>
      </c>
      <c r="E87" s="26">
        <f>E86+Step_h*D86</f>
        <v>0.99852667289023056</v>
      </c>
      <c r="J87" s="24">
        <f>ROUND(J86-Step_h,2)</f>
        <v>9.36</v>
      </c>
      <c r="K87" s="24">
        <f>J87+Age</f>
        <v>29.36</v>
      </c>
      <c r="L87" s="19">
        <f>B*c_gom^K87</f>
        <v>5.0222921333538369E-3</v>
      </c>
      <c r="M87" s="19">
        <f>N87*delta +Prem-L87*(1-N87)</f>
        <v>-1.9473702521165558E-3</v>
      </c>
      <c r="N87" s="26">
        <f>N86-Step_h*M86</f>
        <v>1.3616641243461526E-3</v>
      </c>
      <c r="U87" s="2"/>
      <c r="X87" s="2"/>
    </row>
    <row r="88" spans="1:24" x14ac:dyDescent="0.45">
      <c r="A88" s="24">
        <v>0.65</v>
      </c>
      <c r="B88" s="24">
        <f>A88+Age</f>
        <v>20.65</v>
      </c>
      <c r="C88" s="19">
        <f>B*c_gom^B88</f>
        <v>2.3709214937442922E-3</v>
      </c>
      <c r="D88" s="19">
        <f t="shared" ref="D88:D151" si="1">-E88*C88</f>
        <v>-2.367372269315395E-3</v>
      </c>
      <c r="E88" s="26">
        <f>E87+Step_h*D87</f>
        <v>0.99850301899988592</v>
      </c>
      <c r="J88" s="24">
        <f>ROUND(J87-Step_h,2)</f>
        <v>9.35</v>
      </c>
      <c r="K88" s="24">
        <f>J88+Age</f>
        <v>29.35</v>
      </c>
      <c r="L88" s="19">
        <f>B*c_gom^K88</f>
        <v>5.0179659020857812E-3</v>
      </c>
      <c r="M88" s="19">
        <f>N88*delta +Prem-L88*(1-N88)</f>
        <v>-1.9419785082211141E-3</v>
      </c>
      <c r="N88" s="26">
        <f>N87-Step_h*M87</f>
        <v>1.3811378268673181E-3</v>
      </c>
      <c r="U88" s="2"/>
      <c r="X88" s="2"/>
    </row>
    <row r="89" spans="1:24" x14ac:dyDescent="0.45">
      <c r="A89" s="24">
        <v>0.66</v>
      </c>
      <c r="B89" s="24">
        <f>A89+Age</f>
        <v>20.66</v>
      </c>
      <c r="C89" s="19">
        <f>B*c_gom^B89</f>
        <v>2.3729655799139653E-3</v>
      </c>
      <c r="D89" s="19">
        <f t="shared" si="1"/>
        <v>-2.3693571185978098E-3</v>
      </c>
      <c r="E89" s="26">
        <f>E88+Step_h*D88</f>
        <v>0.99847934527719273</v>
      </c>
      <c r="J89" s="24">
        <f>ROUND(J88-Step_h,2)</f>
        <v>9.34</v>
      </c>
      <c r="K89" s="24">
        <f>J89+Age</f>
        <v>29.34</v>
      </c>
      <c r="L89" s="19">
        <f>B*c_gom^K89</f>
        <v>5.0136433974581696E-3</v>
      </c>
      <c r="M89" s="19">
        <f>N89*delta +Prem-L89*(1-N89)</f>
        <v>-1.9365936204367822E-3</v>
      </c>
      <c r="N89" s="26">
        <f>N88-Step_h*M88</f>
        <v>1.4005576119495292E-3</v>
      </c>
      <c r="U89" s="2"/>
      <c r="X89" s="2"/>
    </row>
    <row r="90" spans="1:24" x14ac:dyDescent="0.45">
      <c r="A90" s="24">
        <v>0.67</v>
      </c>
      <c r="B90" s="24">
        <f>A90+Age</f>
        <v>20.67</v>
      </c>
      <c r="C90" s="19">
        <f>B*c_gom^B90</f>
        <v>2.375011428389257E-3</v>
      </c>
      <c r="D90" s="19">
        <f t="shared" si="1"/>
        <v>-2.3713435835416097E-3</v>
      </c>
      <c r="E90" s="26">
        <f>E89+Step_h*D89</f>
        <v>0.99845565170600681</v>
      </c>
      <c r="J90" s="24">
        <f>ROUND(J89-Step_h,2)</f>
        <v>9.33</v>
      </c>
      <c r="K90" s="24">
        <f>J90+Age</f>
        <v>29.33</v>
      </c>
      <c r="L90" s="19">
        <f>B*c_gom^K90</f>
        <v>5.0093246162608487E-3</v>
      </c>
      <c r="M90" s="19">
        <f>N90*delta +Prem-L90*(1-N90)</f>
        <v>-1.9312155808701784E-3</v>
      </c>
      <c r="N90" s="26">
        <f>N89-Step_h*M89</f>
        <v>1.4199235481538971E-3</v>
      </c>
      <c r="U90" s="2"/>
      <c r="X90" s="2"/>
    </row>
    <row r="91" spans="1:24" x14ac:dyDescent="0.45">
      <c r="A91" s="24">
        <v>0.68</v>
      </c>
      <c r="B91" s="24">
        <f>A91+Age</f>
        <v>20.68</v>
      </c>
      <c r="C91" s="19">
        <f>B*c_gom^B91</f>
        <v>2.3770590406895355E-3</v>
      </c>
      <c r="D91" s="19">
        <f t="shared" si="1"/>
        <v>-2.373331665378287E-3</v>
      </c>
      <c r="E91" s="26">
        <f>E90+Step_h*D90</f>
        <v>0.9984319382701714</v>
      </c>
      <c r="J91" s="24">
        <f>ROUND(J90-Step_h,2)</f>
        <v>9.32</v>
      </c>
      <c r="K91" s="24">
        <f>J91+Age</f>
        <v>29.32</v>
      </c>
      <c r="L91" s="19">
        <f>B*c_gom^K91</f>
        <v>5.0050095552864413E-3</v>
      </c>
      <c r="M91" s="19">
        <f>N91*delta +Prem-L91*(1-N91)</f>
        <v>-1.9258443816376693E-3</v>
      </c>
      <c r="N91" s="26">
        <f>N90-Step_h*M90</f>
        <v>1.4392357039625988E-3</v>
      </c>
      <c r="U91" s="2"/>
      <c r="X91" s="2"/>
    </row>
    <row r="92" spans="1:24" x14ac:dyDescent="0.45">
      <c r="A92" s="24">
        <v>0.69000000000000006</v>
      </c>
      <c r="B92" s="24">
        <f>A92+Age</f>
        <v>20.69</v>
      </c>
      <c r="C92" s="19">
        <f>B*c_gom^B92</f>
        <v>2.3791084183354804E-3</v>
      </c>
      <c r="D92" s="19">
        <f t="shared" si="1"/>
        <v>-2.3753213653401298E-3</v>
      </c>
      <c r="E92" s="26">
        <f>E91+Step_h*D91</f>
        <v>0.99840820495351768</v>
      </c>
      <c r="J92" s="24">
        <f>ROUND(J91-Step_h,2)</f>
        <v>9.31</v>
      </c>
      <c r="K92" s="24">
        <f>J92+Age</f>
        <v>29.310000000000002</v>
      </c>
      <c r="L92" s="19">
        <f>B*c_gom^K92</f>
        <v>5.0006982113303226E-3</v>
      </c>
      <c r="M92" s="19">
        <f>N92*delta +Prem-L92*(1-N92)</f>
        <v>-1.9204800148653394E-3</v>
      </c>
      <c r="N92" s="26">
        <f>N91-Step_h*M91</f>
        <v>1.4584941477789755E-3</v>
      </c>
      <c r="U92" s="2"/>
      <c r="X92" s="2"/>
    </row>
    <row r="93" spans="1:24" x14ac:dyDescent="0.45">
      <c r="A93" s="24">
        <v>0.70000000000000007</v>
      </c>
      <c r="B93" s="24">
        <f>A93+Age</f>
        <v>20.7</v>
      </c>
      <c r="C93" s="19">
        <f>B*c_gom^B93</f>
        <v>2.3811595628490806E-3</v>
      </c>
      <c r="D93" s="19">
        <f t="shared" si="1"/>
        <v>-2.3773126846602143E-3</v>
      </c>
      <c r="E93" s="26">
        <f>E92+Step_h*D92</f>
        <v>0.99838445173986423</v>
      </c>
      <c r="J93" s="24">
        <f>ROUND(J92-Step_h,2)</f>
        <v>9.3000000000000007</v>
      </c>
      <c r="K93" s="24">
        <f>J93+Age</f>
        <v>29.3</v>
      </c>
      <c r="L93" s="19">
        <f>B*c_gom^K93</f>
        <v>4.9963905811906319E-3</v>
      </c>
      <c r="M93" s="19">
        <f>N93*delta +Prem-L93*(1-N93)</f>
        <v>-1.9151224726889895E-3</v>
      </c>
      <c r="N93" s="26">
        <f>N92-Step_h*M92</f>
        <v>1.4776989479276289E-3</v>
      </c>
      <c r="U93" s="2"/>
      <c r="X93" s="2"/>
    </row>
    <row r="94" spans="1:24" x14ac:dyDescent="0.45">
      <c r="A94" s="24">
        <v>0.71</v>
      </c>
      <c r="B94" s="24">
        <f>A94+Age</f>
        <v>20.71</v>
      </c>
      <c r="C94" s="19">
        <f>B*c_gom^B94</f>
        <v>2.38321247575364E-3</v>
      </c>
      <c r="D94" s="19">
        <f t="shared" si="1"/>
        <v>-2.3793056245724137E-3</v>
      </c>
      <c r="E94" s="26">
        <f>E93+Step_h*D93</f>
        <v>0.99836067861301758</v>
      </c>
      <c r="J94" s="24">
        <f>ROUND(J93-Step_h,2)</f>
        <v>9.2899999999999991</v>
      </c>
      <c r="K94" s="24">
        <f>J94+Age</f>
        <v>29.29</v>
      </c>
      <c r="L94" s="19">
        <f>B*c_gom^K94</f>
        <v>4.9920866616682633E-3</v>
      </c>
      <c r="M94" s="19">
        <f>N94*delta +Prem-L94*(1-N94)</f>
        <v>-1.9097717472541125E-3</v>
      </c>
      <c r="N94" s="26">
        <f>N93-Step_h*M93</f>
        <v>1.4968501726545188E-3</v>
      </c>
      <c r="U94" s="2"/>
      <c r="X94" s="2"/>
    </row>
    <row r="95" spans="1:24" x14ac:dyDescent="0.45">
      <c r="A95" s="24">
        <v>0.72</v>
      </c>
      <c r="B95" s="24">
        <f>A95+Age</f>
        <v>20.72</v>
      </c>
      <c r="C95" s="19">
        <f>B*c_gom^B95</f>
        <v>2.3852671585737721E-3</v>
      </c>
      <c r="D95" s="19">
        <f t="shared" si="1"/>
        <v>-2.3813001863113906E-3</v>
      </c>
      <c r="E95" s="26">
        <f>E94+Step_h*D94</f>
        <v>0.99833688555677191</v>
      </c>
      <c r="J95" s="24">
        <f>ROUND(J94-Step_h,2)</f>
        <v>9.2799999999999994</v>
      </c>
      <c r="K95" s="24">
        <f>J95+Age</f>
        <v>29.28</v>
      </c>
      <c r="L95" s="19">
        <f>B*c_gom^K95</f>
        <v>4.9877864495668752E-3</v>
      </c>
      <c r="M95" s="19">
        <f>N95*delta +Prem-L95*(1-N95)</f>
        <v>-1.9044278307158973E-3</v>
      </c>
      <c r="N95" s="26">
        <f>N94-Step_h*M94</f>
        <v>1.5159478901270599E-3</v>
      </c>
      <c r="U95" s="2"/>
      <c r="X95" s="2"/>
    </row>
    <row r="96" spans="1:24" x14ac:dyDescent="0.45">
      <c r="A96" s="24">
        <v>0.73</v>
      </c>
      <c r="B96" s="24">
        <f>A96+Age</f>
        <v>20.73</v>
      </c>
      <c r="C96" s="19">
        <f>B*c_gom^B96</f>
        <v>2.3873236128354089E-3</v>
      </c>
      <c r="D96" s="19">
        <f t="shared" si="1"/>
        <v>-2.3832963711126025E-3</v>
      </c>
      <c r="E96" s="26">
        <f>E95+Step_h*D95</f>
        <v>0.99831307255490875</v>
      </c>
      <c r="J96" s="24">
        <f>ROUND(J95-Step_h,2)</f>
        <v>9.27</v>
      </c>
      <c r="K96" s="24">
        <f>J96+Age</f>
        <v>29.27</v>
      </c>
      <c r="L96" s="19">
        <f>B*c_gom^K96</f>
        <v>4.9834899416928719E-3</v>
      </c>
      <c r="M96" s="19">
        <f>N96*delta +Prem-L96*(1-N96)</f>
        <v>-1.8990907152391912E-3</v>
      </c>
      <c r="N96" s="26">
        <f>N95-Step_h*M95</f>
        <v>1.5349921684342188E-3</v>
      </c>
      <c r="U96" s="2"/>
      <c r="X96" s="2"/>
    </row>
    <row r="97" spans="1:24" x14ac:dyDescent="0.45">
      <c r="A97" s="24">
        <v>0.74</v>
      </c>
      <c r="B97" s="24">
        <f>A97+Age</f>
        <v>20.74</v>
      </c>
      <c r="C97" s="19">
        <f>B*c_gom^B97</f>
        <v>2.3893818400657937E-3</v>
      </c>
      <c r="D97" s="19">
        <f t="shared" si="1"/>
        <v>-2.3852941802122978E-3</v>
      </c>
      <c r="E97" s="26">
        <f>E96+Step_h*D96</f>
        <v>0.99828923959119764</v>
      </c>
      <c r="J97" s="24">
        <f>ROUND(J96-Step_h,2)</f>
        <v>9.26</v>
      </c>
      <c r="K97" s="24">
        <f>J97+Age</f>
        <v>29.259999999999998</v>
      </c>
      <c r="L97" s="19">
        <f>B*c_gom^K97</f>
        <v>4.9791971348554075E-3</v>
      </c>
      <c r="M97" s="19">
        <f>N97*delta +Prem-L97*(1-N97)</f>
        <v>-1.8937603929985026E-3</v>
      </c>
      <c r="N97" s="26">
        <f>N96-Step_h*M96</f>
        <v>1.5539830755866106E-3</v>
      </c>
      <c r="U97" s="2"/>
      <c r="X97" s="2"/>
    </row>
    <row r="98" spans="1:24" x14ac:dyDescent="0.45">
      <c r="A98" s="24">
        <v>0.75</v>
      </c>
      <c r="B98" s="24">
        <f>A98+Age</f>
        <v>20.75</v>
      </c>
      <c r="C98" s="19">
        <f>B*c_gom^B98</f>
        <v>2.3914418417934906E-3</v>
      </c>
      <c r="D98" s="19">
        <f t="shared" si="1"/>
        <v>-2.3872936148475214E-3</v>
      </c>
      <c r="E98" s="26">
        <f>E97+Step_h*D97</f>
        <v>0.99826538664939557</v>
      </c>
      <c r="J98" s="24">
        <f>ROUND(J97-Step_h,2)</f>
        <v>9.25</v>
      </c>
      <c r="K98" s="24">
        <f>J98+Age</f>
        <v>29.25</v>
      </c>
      <c r="L98" s="19">
        <f>B*c_gom^K98</f>
        <v>4.9749080258663925E-3</v>
      </c>
      <c r="M98" s="19">
        <f>N98*delta +Prem-L98*(1-N98)</f>
        <v>-1.8884368561779838E-3</v>
      </c>
      <c r="N98" s="26">
        <f>N97-Step_h*M97</f>
        <v>1.5729206795165956E-3</v>
      </c>
      <c r="U98" s="2"/>
      <c r="X98" s="2"/>
    </row>
    <row r="99" spans="1:24" x14ac:dyDescent="0.45">
      <c r="A99" s="24">
        <v>0.76</v>
      </c>
      <c r="B99" s="24">
        <f>A99+Age</f>
        <v>20.76</v>
      </c>
      <c r="C99" s="19">
        <f>B*c_gom^B99</f>
        <v>2.3935036195483783E-3</v>
      </c>
      <c r="D99" s="19">
        <f t="shared" si="1"/>
        <v>-2.389294676256109E-3</v>
      </c>
      <c r="E99" s="26">
        <f>E98+Step_h*D98</f>
        <v>0.9982415137132471</v>
      </c>
      <c r="J99" s="24">
        <f>ROUND(J98-Step_h,2)</f>
        <v>9.24</v>
      </c>
      <c r="K99" s="24">
        <f>J99+Age</f>
        <v>29.240000000000002</v>
      </c>
      <c r="L99" s="19">
        <f>B*c_gom^K99</f>
        <v>4.970622611540478E-3</v>
      </c>
      <c r="M99" s="19">
        <f>N99*delta +Prem-L99*(1-N99)</f>
        <v>-1.8831200969714164E-3</v>
      </c>
      <c r="N99" s="26">
        <f>N98-Step_h*M98</f>
        <v>1.5918050480783754E-3</v>
      </c>
      <c r="U99" s="2"/>
      <c r="X99" s="2"/>
    </row>
    <row r="100" spans="1:24" x14ac:dyDescent="0.45">
      <c r="A100" s="24">
        <v>0.77</v>
      </c>
      <c r="B100" s="24">
        <f>A100+Age</f>
        <v>20.77</v>
      </c>
      <c r="C100" s="19">
        <f>B*c_gom^B100</f>
        <v>2.3955671748616559E-3</v>
      </c>
      <c r="D100" s="19">
        <f t="shared" si="1"/>
        <v>-2.3912973656766913E-3</v>
      </c>
      <c r="E100" s="26">
        <f>E99+Step_h*D99</f>
        <v>0.99821762076648457</v>
      </c>
      <c r="J100" s="24">
        <f>ROUND(J99-Step_h,2)</f>
        <v>9.23</v>
      </c>
      <c r="K100" s="24">
        <f>J100+Age</f>
        <v>29.23</v>
      </c>
      <c r="L100" s="19">
        <f>B*c_gom^K100</f>
        <v>4.9663408886950582E-3</v>
      </c>
      <c r="M100" s="19">
        <f>N100*delta +Prem-L100*(1-N100)</f>
        <v>-1.8778101075821916E-3</v>
      </c>
      <c r="N100" s="26">
        <f>N99-Step_h*M99</f>
        <v>1.6106362490480896E-3</v>
      </c>
      <c r="U100" s="2"/>
      <c r="X100" s="2"/>
    </row>
    <row r="101" spans="1:24" x14ac:dyDescent="0.45">
      <c r="A101" s="24">
        <v>0.78</v>
      </c>
      <c r="B101" s="24">
        <f>A101+Age</f>
        <v>20.78</v>
      </c>
      <c r="C101" s="19">
        <f>B*c_gom^B101</f>
        <v>2.3976325092658437E-3</v>
      </c>
      <c r="D101" s="19">
        <f t="shared" si="1"/>
        <v>-2.3933016843486941E-3</v>
      </c>
      <c r="E101" s="26">
        <f>E100+Step_h*D100</f>
        <v>0.99819370779282779</v>
      </c>
      <c r="J101" s="24">
        <f>ROUND(J100-Step_h,2)</f>
        <v>9.2200000000000006</v>
      </c>
      <c r="K101" s="24">
        <f>J101+Age</f>
        <v>29.22</v>
      </c>
      <c r="L101" s="19">
        <f>B*c_gom^K101</f>
        <v>4.9620628541502693E-3</v>
      </c>
      <c r="M101" s="19">
        <f>N101*delta +Prem-L101*(1-N101)</f>
        <v>-1.8725068802233047E-3</v>
      </c>
      <c r="N101" s="26">
        <f>N100-Step_h*M100</f>
        <v>1.6294143501239115E-3</v>
      </c>
      <c r="U101" s="2"/>
      <c r="X101" s="2"/>
    </row>
    <row r="102" spans="1:24" x14ac:dyDescent="0.45">
      <c r="A102" s="24">
        <v>0.79</v>
      </c>
      <c r="B102" s="24">
        <f>A102+Age</f>
        <v>20.79</v>
      </c>
      <c r="C102" s="19">
        <f>B*c_gom^B102</f>
        <v>2.3996996242947803E-3</v>
      </c>
      <c r="D102" s="19">
        <f t="shared" si="1"/>
        <v>-2.3953076335123352E-3</v>
      </c>
      <c r="E102" s="26">
        <f>E101+Step_h*D101</f>
        <v>0.99816977477598434</v>
      </c>
      <c r="J102" s="24">
        <f>ROUND(J101-Step_h,2)</f>
        <v>9.2100000000000009</v>
      </c>
      <c r="K102" s="24">
        <f>J102+Age</f>
        <v>29.21</v>
      </c>
      <c r="L102" s="19">
        <f>B*c_gom^K102</f>
        <v>4.9577885047289924E-3</v>
      </c>
      <c r="M102" s="19">
        <f>N102*delta +Prem-L102*(1-N102)</f>
        <v>-1.8672104071173427E-3</v>
      </c>
      <c r="N102" s="26">
        <f>N101-Step_h*M101</f>
        <v>1.6481394189261445E-3</v>
      </c>
      <c r="U102" s="2"/>
      <c r="X102" s="2"/>
    </row>
    <row r="103" spans="1:24" x14ac:dyDescent="0.45">
      <c r="A103" s="24">
        <v>0.8</v>
      </c>
      <c r="B103" s="24">
        <f>A103+Age</f>
        <v>20.8</v>
      </c>
      <c r="C103" s="19">
        <f>B*c_gom^B103</f>
        <v>2.40176852148363E-3</v>
      </c>
      <c r="D103" s="19">
        <f t="shared" si="1"/>
        <v>-2.3973152144086294E-3</v>
      </c>
      <c r="E103" s="26">
        <f>E102+Step_h*D102</f>
        <v>0.99814582169964927</v>
      </c>
      <c r="J103" s="24">
        <f>ROUND(J102-Step_h,2)</f>
        <v>9.1999999999999993</v>
      </c>
      <c r="K103" s="24">
        <f>J103+Age</f>
        <v>29.2</v>
      </c>
      <c r="L103" s="19">
        <f>B*c_gom^K103</f>
        <v>4.9535178372568395E-3</v>
      </c>
      <c r="M103" s="19">
        <f>N103*delta +Prem-L103*(1-N103)</f>
        <v>-1.8619206804964608E-3</v>
      </c>
      <c r="N103" s="26">
        <f>N102-Step_h*M102</f>
        <v>1.666811522997318E-3</v>
      </c>
      <c r="U103" s="2"/>
      <c r="X103" s="2"/>
    </row>
    <row r="104" spans="1:24" x14ac:dyDescent="0.45">
      <c r="A104" s="24">
        <v>0.81</v>
      </c>
      <c r="B104" s="24">
        <f>A104+Age</f>
        <v>20.81</v>
      </c>
      <c r="C104" s="19">
        <f>B*c_gom^B104</f>
        <v>2.4038392023688778E-3</v>
      </c>
      <c r="D104" s="19">
        <f t="shared" si="1"/>
        <v>-2.3993244282793846E-3</v>
      </c>
      <c r="E104" s="26">
        <f>E103+Step_h*D103</f>
        <v>0.99812184854750519</v>
      </c>
      <c r="J104" s="24">
        <f>ROUND(J103-Step_h,2)</f>
        <v>9.19</v>
      </c>
      <c r="K104" s="24">
        <f>J104+Age</f>
        <v>29.189999999999998</v>
      </c>
      <c r="L104" s="19">
        <f>B*c_gom^K104</f>
        <v>4.9492508485621551E-3</v>
      </c>
      <c r="M104" s="19">
        <f>N104*delta +Prem-L104*(1-N104)</f>
        <v>-1.8566376926023743E-3</v>
      </c>
      <c r="N104" s="26">
        <f>N103-Step_h*M103</f>
        <v>1.6854307298022825E-3</v>
      </c>
      <c r="U104" s="2"/>
      <c r="X104" s="2"/>
    </row>
    <row r="105" spans="1:24" x14ac:dyDescent="0.45">
      <c r="A105" s="24">
        <v>0.82000000000000006</v>
      </c>
      <c r="B105" s="24">
        <f>A105+Age</f>
        <v>20.82</v>
      </c>
      <c r="C105" s="19">
        <f>B*c_gom^B105</f>
        <v>2.4059116684883356E-3</v>
      </c>
      <c r="D105" s="19">
        <f t="shared" si="1"/>
        <v>-2.4013352763672053E-3</v>
      </c>
      <c r="E105" s="26">
        <f>E104+Step_h*D104</f>
        <v>0.99809785530322237</v>
      </c>
      <c r="J105" s="24">
        <f>ROUND(J104-Step_h,2)</f>
        <v>9.18</v>
      </c>
      <c r="K105" s="24">
        <f>J105+Age</f>
        <v>29.18</v>
      </c>
      <c r="L105" s="19">
        <f>B*c_gom^K105</f>
        <v>4.9449875354760234E-3</v>
      </c>
      <c r="M105" s="19">
        <f>N105*delta +Prem-L105*(1-N105)</f>
        <v>-1.8513614356863496E-3</v>
      </c>
      <c r="N105" s="26">
        <f>N104-Step_h*M104</f>
        <v>1.7039971067283064E-3</v>
      </c>
      <c r="U105" s="2"/>
      <c r="X105" s="2"/>
    </row>
    <row r="106" spans="1:24" x14ac:dyDescent="0.45">
      <c r="A106" s="24">
        <v>0.83000000000000007</v>
      </c>
      <c r="B106" s="24">
        <f>A106+Age</f>
        <v>20.83</v>
      </c>
      <c r="C106" s="19">
        <f>B*c_gom^B106</f>
        <v>2.4079859213811399E-3</v>
      </c>
      <c r="D106" s="19">
        <f t="shared" si="1"/>
        <v>-2.4033477599154896E-3</v>
      </c>
      <c r="E106" s="26">
        <f>E105+Step_h*D105</f>
        <v>0.99807384195045867</v>
      </c>
      <c r="J106" s="24">
        <f>ROUND(J105-Step_h,2)</f>
        <v>9.17</v>
      </c>
      <c r="K106" s="24">
        <f>J106+Age</f>
        <v>29.17</v>
      </c>
      <c r="L106" s="19">
        <f>B*c_gom^K106</f>
        <v>4.940727894832255E-3</v>
      </c>
      <c r="M106" s="19">
        <f>N106*delta +Prem-L106*(1-N106)</f>
        <v>-1.8460919020091828E-3</v>
      </c>
      <c r="N106" s="26">
        <f>N105-Step_h*M105</f>
        <v>1.7225107210851699E-3</v>
      </c>
      <c r="U106" s="2"/>
      <c r="X106" s="2"/>
    </row>
    <row r="107" spans="1:24" x14ac:dyDescent="0.45">
      <c r="A107" s="24">
        <v>0.84</v>
      </c>
      <c r="B107" s="24">
        <f>A107+Age</f>
        <v>20.84</v>
      </c>
      <c r="C107" s="19">
        <f>B*c_gom^B107</f>
        <v>2.4100619625877554E-3</v>
      </c>
      <c r="D107" s="19">
        <f t="shared" si="1"/>
        <v>-2.4053618801684333E-3</v>
      </c>
      <c r="E107" s="26">
        <f>E106+Step_h*D106</f>
        <v>0.99804980847285951</v>
      </c>
      <c r="J107" s="24">
        <f>ROUND(J106-Step_h,2)</f>
        <v>9.16</v>
      </c>
      <c r="K107" s="24">
        <f>J107+Age</f>
        <v>29.16</v>
      </c>
      <c r="L107" s="19">
        <f>B*c_gom^K107</f>
        <v>4.9364719234673803E-3</v>
      </c>
      <c r="M107" s="19">
        <f>N107*delta +Prem-L107*(1-N107)</f>
        <v>-1.8408290838411849E-3</v>
      </c>
      <c r="N107" s="26">
        <f>N106-Step_h*M106</f>
        <v>1.7409716401052618E-3</v>
      </c>
      <c r="U107" s="2"/>
      <c r="X107" s="2"/>
    </row>
    <row r="108" spans="1:24" x14ac:dyDescent="0.45">
      <c r="A108" s="24">
        <v>0.85</v>
      </c>
      <c r="B108" s="24">
        <f>A108+Age</f>
        <v>20.85</v>
      </c>
      <c r="C108" s="19">
        <f>B*c_gom^B108</f>
        <v>2.4121397936499728E-3</v>
      </c>
      <c r="D108" s="19">
        <f t="shared" si="1"/>
        <v>-2.4073776383710254E-3</v>
      </c>
      <c r="E108" s="26">
        <f>E107+Step_h*D107</f>
        <v>0.99802575485405787</v>
      </c>
      <c r="J108" s="24">
        <f>ROUND(J107-Step_h,2)</f>
        <v>9.15</v>
      </c>
      <c r="K108" s="24">
        <f>J108+Age</f>
        <v>29.15</v>
      </c>
      <c r="L108" s="19">
        <f>B*c_gom^K108</f>
        <v>4.9322196182206655E-3</v>
      </c>
      <c r="M108" s="19">
        <f>N108*delta +Prem-L108*(1-N108)</f>
        <v>-1.8355729734621773E-3</v>
      </c>
      <c r="N108" s="26">
        <f>N107-Step_h*M107</f>
        <v>1.7593799309436736E-3</v>
      </c>
      <c r="U108" s="2"/>
      <c r="X108" s="2"/>
    </row>
    <row r="109" spans="1:24" x14ac:dyDescent="0.45">
      <c r="A109" s="24">
        <v>0.86</v>
      </c>
      <c r="B109" s="24">
        <f>A109+Age</f>
        <v>20.86</v>
      </c>
      <c r="C109" s="19">
        <f>B*c_gom^B109</f>
        <v>2.4142194161109131E-3</v>
      </c>
      <c r="D109" s="19">
        <f t="shared" si="1"/>
        <v>-2.4093950357690522E-3</v>
      </c>
      <c r="E109" s="26">
        <f>E108+Step_h*D108</f>
        <v>0.99800168107767417</v>
      </c>
      <c r="J109" s="24">
        <f>ROUND(J108-Step_h,2)</f>
        <v>9.14</v>
      </c>
      <c r="K109" s="24">
        <f>J109+Age</f>
        <v>29.14</v>
      </c>
      <c r="L109" s="19">
        <f>B*c_gom^K109</f>
        <v>4.9279709759340994E-3</v>
      </c>
      <c r="M109" s="19">
        <f>N109*delta +Prem-L109*(1-N109)</f>
        <v>-1.8303235631614788E-3</v>
      </c>
      <c r="N109" s="26">
        <f>N108-Step_h*M108</f>
        <v>1.7777356606782954E-3</v>
      </c>
      <c r="U109" s="2"/>
      <c r="X109" s="2"/>
    </row>
    <row r="110" spans="1:24" x14ac:dyDescent="0.45">
      <c r="A110" s="24">
        <v>0.87</v>
      </c>
      <c r="B110" s="24">
        <f>A110+Age</f>
        <v>20.87</v>
      </c>
      <c r="C110" s="19">
        <f>B*c_gom^B110</f>
        <v>2.4163008315150293E-3</v>
      </c>
      <c r="D110" s="19">
        <f t="shared" si="1"/>
        <v>-2.4114140736090973E-3</v>
      </c>
      <c r="E110" s="26">
        <f>E109+Step_h*D109</f>
        <v>0.99797758712731643</v>
      </c>
      <c r="J110" s="24">
        <f>ROUND(J109-Step_h,2)</f>
        <v>9.1300000000000008</v>
      </c>
      <c r="K110" s="24">
        <f>J110+Age</f>
        <v>29.130000000000003</v>
      </c>
      <c r="L110" s="19">
        <f>B*c_gom^K110</f>
        <v>4.9237259934523814E-3</v>
      </c>
      <c r="M110" s="19">
        <f>N110*delta +Prem-L110*(1-N110)</f>
        <v>-1.8250808452378734E-3</v>
      </c>
      <c r="N110" s="26">
        <f>N109-Step_h*M109</f>
        <v>1.7960388963099102E-3</v>
      </c>
      <c r="U110" s="2"/>
      <c r="X110" s="2"/>
    </row>
    <row r="111" spans="1:24" x14ac:dyDescent="0.45">
      <c r="A111" s="24">
        <v>0.88</v>
      </c>
      <c r="B111" s="24">
        <f>A111+Age</f>
        <v>20.88</v>
      </c>
      <c r="C111" s="19">
        <f>B*c_gom^B111</f>
        <v>2.4183840414081022E-3</v>
      </c>
      <c r="D111" s="19">
        <f t="shared" si="1"/>
        <v>-2.4134347531385375E-3</v>
      </c>
      <c r="E111" s="26">
        <f>E110+Step_h*D110</f>
        <v>0.99795347298658033</v>
      </c>
      <c r="J111" s="24">
        <f>ROUND(J110-Step_h,2)</f>
        <v>9.1199999999999992</v>
      </c>
      <c r="K111" s="24">
        <f>J111+Age</f>
        <v>29.119999999999997</v>
      </c>
      <c r="L111" s="19">
        <f>B*c_gom^K111</f>
        <v>4.9194846676229318E-3</v>
      </c>
      <c r="M111" s="19">
        <f>N111*delta +Prem-L111*(1-N111)</f>
        <v>-1.8198448119996131E-3</v>
      </c>
      <c r="N111" s="26">
        <f>N110-Step_h*M110</f>
        <v>1.8142897047622889E-3</v>
      </c>
      <c r="U111" s="2"/>
      <c r="X111" s="2"/>
    </row>
    <row r="112" spans="1:24" x14ac:dyDescent="0.45">
      <c r="A112" s="24">
        <v>0.89</v>
      </c>
      <c r="B112" s="24">
        <f>A112+Age</f>
        <v>20.89</v>
      </c>
      <c r="C112" s="19">
        <f>B*c_gom^B112</f>
        <v>2.4204690473372498E-3</v>
      </c>
      <c r="D112" s="19">
        <f t="shared" si="1"/>
        <v>-2.4154570756055507E-3</v>
      </c>
      <c r="E112" s="26">
        <f>E111+Step_h*D111</f>
        <v>0.99792933863904898</v>
      </c>
      <c r="J112" s="24">
        <f>ROUND(J111-Step_h,2)</f>
        <v>9.11</v>
      </c>
      <c r="K112" s="24">
        <f>J112+Age</f>
        <v>29.11</v>
      </c>
      <c r="L112" s="19">
        <f>B*c_gom^K112</f>
        <v>4.9152469952959002E-3</v>
      </c>
      <c r="M112" s="19">
        <f>N112*delta +Prem-L112*(1-N112)</f>
        <v>-1.8146154557644157E-3</v>
      </c>
      <c r="N112" s="26">
        <f>N111-Step_h*M111</f>
        <v>1.8324881528822849E-3</v>
      </c>
      <c r="U112" s="2"/>
      <c r="X112" s="2"/>
    </row>
    <row r="113" spans="1:24" x14ac:dyDescent="0.45">
      <c r="A113" s="24">
        <v>0.9</v>
      </c>
      <c r="B113" s="24">
        <f>A113+Age</f>
        <v>20.9</v>
      </c>
      <c r="C113" s="19">
        <f>B*c_gom^B113</f>
        <v>2.4225558508509199E-3</v>
      </c>
      <c r="D113" s="19">
        <f t="shared" si="1"/>
        <v>-2.4174810422591072E-3</v>
      </c>
      <c r="E113" s="26">
        <f>E112+Step_h*D112</f>
        <v>0.99790518406829287</v>
      </c>
      <c r="J113" s="24">
        <f>ROUND(J112-Step_h,2)</f>
        <v>9.1</v>
      </c>
      <c r="K113" s="24">
        <f>J113+Age</f>
        <v>29.1</v>
      </c>
      <c r="L113" s="19">
        <f>B*c_gom^K113</f>
        <v>4.9110129733241307E-3</v>
      </c>
      <c r="M113" s="19">
        <f>N113*delta +Prem-L113*(1-N113)</f>
        <v>-1.8093927688594184E-3</v>
      </c>
      <c r="N113" s="26">
        <f>N112-Step_h*M112</f>
        <v>1.8506343074399291E-3</v>
      </c>
      <c r="U113" s="2"/>
      <c r="X113" s="2"/>
    </row>
    <row r="114" spans="1:24" x14ac:dyDescent="0.45">
      <c r="A114" s="24">
        <v>0.91</v>
      </c>
      <c r="B114" s="24">
        <f>A114+Age</f>
        <v>20.91</v>
      </c>
      <c r="C114" s="19">
        <f>B*c_gom^B114</f>
        <v>2.4246444534988996E-3</v>
      </c>
      <c r="D114" s="19">
        <f t="shared" si="1"/>
        <v>-2.4195066543489792E-3</v>
      </c>
      <c r="E114" s="26">
        <f>E113+Step_h*D113</f>
        <v>0.99788100925787027</v>
      </c>
      <c r="J114" s="24">
        <f>ROUND(J113-Step_h,2)</f>
        <v>9.09</v>
      </c>
      <c r="K114" s="24">
        <f>J114+Age</f>
        <v>29.09</v>
      </c>
      <c r="L114" s="19">
        <f>B*c_gom^K114</f>
        <v>4.9067825985631862E-3</v>
      </c>
      <c r="M114" s="19">
        <f>N114*delta +Prem-L114*(1-N114)</f>
        <v>-1.8041767436211874E-3</v>
      </c>
      <c r="N114" s="26">
        <f>N113-Step_h*M113</f>
        <v>1.8687282351285233E-3</v>
      </c>
      <c r="U114" s="2"/>
      <c r="X114" s="2"/>
    </row>
    <row r="115" spans="1:24" x14ac:dyDescent="0.45">
      <c r="A115" s="24">
        <v>0.92</v>
      </c>
      <c r="B115" s="24">
        <f>A115+Age</f>
        <v>20.92</v>
      </c>
      <c r="C115" s="19">
        <f>B*c_gom^B115</f>
        <v>2.4267348568323076E-3</v>
      </c>
      <c r="D115" s="19">
        <f t="shared" si="1"/>
        <v>-2.4215339131257322E-3</v>
      </c>
      <c r="E115" s="26">
        <f>E114+Step_h*D114</f>
        <v>0.99785681419132677</v>
      </c>
      <c r="J115" s="24">
        <f>ROUND(J114-Step_h,2)</f>
        <v>9.08</v>
      </c>
      <c r="K115" s="24">
        <f>J115+Age</f>
        <v>29.08</v>
      </c>
      <c r="L115" s="19">
        <f>B*c_gom^K115</f>
        <v>4.902555867871341E-3</v>
      </c>
      <c r="M115" s="19">
        <f>N115*delta +Prem-L115*(1-N115)</f>
        <v>-1.7989673723957066E-3</v>
      </c>
      <c r="N115" s="26">
        <f>N114-Step_h*M114</f>
        <v>1.8867700025647352E-3</v>
      </c>
      <c r="U115" s="2"/>
      <c r="X115" s="2"/>
    </row>
    <row r="116" spans="1:24" x14ac:dyDescent="0.45">
      <c r="A116" s="24">
        <v>0.93</v>
      </c>
      <c r="B116" s="24">
        <f>A116+Age</f>
        <v>20.93</v>
      </c>
      <c r="C116" s="19">
        <f>B*c_gom^B116</f>
        <v>2.428827062403602E-3</v>
      </c>
      <c r="D116" s="19">
        <f t="shared" si="1"/>
        <v>-2.4235628198407298E-3</v>
      </c>
      <c r="E116" s="26">
        <f>E115+Step_h*D115</f>
        <v>0.99783259885219555</v>
      </c>
      <c r="J116" s="24">
        <f>ROUND(J115-Step_h,2)</f>
        <v>9.07</v>
      </c>
      <c r="K116" s="24">
        <f>J116+Age</f>
        <v>29.07</v>
      </c>
      <c r="L116" s="19">
        <f>B*c_gom^K116</f>
        <v>4.8983327781095725E-3</v>
      </c>
      <c r="M116" s="19">
        <f>N116*delta +Prem-L116*(1-N116)</f>
        <v>-1.7937646475383513E-3</v>
      </c>
      <c r="N116" s="26">
        <f>N115-Step_h*M115</f>
        <v>1.9047596762886922E-3</v>
      </c>
      <c r="U116" s="2"/>
      <c r="X116" s="2"/>
    </row>
    <row r="117" spans="1:24" x14ac:dyDescent="0.45">
      <c r="A117" s="24">
        <v>0.94000000000000006</v>
      </c>
      <c r="B117" s="24">
        <f>A117+Age</f>
        <v>20.94</v>
      </c>
      <c r="C117" s="19">
        <f>B*c_gom^B117</f>
        <v>2.4309210717665805E-3</v>
      </c>
      <c r="D117" s="19">
        <f t="shared" si="1"/>
        <v>-2.4255933757461367E-3</v>
      </c>
      <c r="E117" s="26">
        <f>E116+Step_h*D116</f>
        <v>0.99780836322399713</v>
      </c>
      <c r="J117" s="24">
        <f>ROUND(J116-Step_h,2)</f>
        <v>9.06</v>
      </c>
      <c r="K117" s="24">
        <f>J117+Age</f>
        <v>29.060000000000002</v>
      </c>
      <c r="L117" s="19">
        <f>B*c_gom^K117</f>
        <v>4.8941133261415628E-3</v>
      </c>
      <c r="M117" s="19">
        <f>N117*delta +Prem-L117*(1-N117)</f>
        <v>-1.7885685614138828E-3</v>
      </c>
      <c r="N117" s="26">
        <f>N116-Step_h*M116</f>
        <v>1.9226973227640756E-3</v>
      </c>
      <c r="U117" s="2"/>
      <c r="X117" s="2"/>
    </row>
    <row r="118" spans="1:24" x14ac:dyDescent="0.45">
      <c r="A118" s="24">
        <v>0.95000000000000007</v>
      </c>
      <c r="B118" s="24">
        <f>A118+Age</f>
        <v>20.95</v>
      </c>
      <c r="C118" s="19">
        <f>B*c_gom^B118</f>
        <v>2.4330168864763772E-3</v>
      </c>
      <c r="D118" s="19">
        <f t="shared" si="1"/>
        <v>-2.4276255820949106E-3</v>
      </c>
      <c r="E118" s="26">
        <f>E117+Step_h*D117</f>
        <v>0.9977841072902397</v>
      </c>
      <c r="J118" s="24">
        <f>ROUND(J117-Step_h,2)</f>
        <v>9.0500000000000007</v>
      </c>
      <c r="K118" s="24">
        <f>J118+Age</f>
        <v>29.05</v>
      </c>
      <c r="L118" s="19">
        <f>B*c_gom^K118</f>
        <v>4.8898975088336929E-3</v>
      </c>
      <c r="M118" s="19">
        <f>N118*delta +Prem-L118*(1-N118)</f>
        <v>-1.7833791063964284E-3</v>
      </c>
      <c r="N118" s="26">
        <f>N117-Step_h*M117</f>
        <v>1.9405830083782144E-3</v>
      </c>
      <c r="U118" s="2"/>
      <c r="X118" s="2"/>
    </row>
    <row r="119" spans="1:24" x14ac:dyDescent="0.45">
      <c r="A119" s="24">
        <v>0.96</v>
      </c>
      <c r="B119" s="24">
        <f>A119+Age</f>
        <v>20.96</v>
      </c>
      <c r="C119" s="19">
        <f>B*c_gom^B119</f>
        <v>2.4351145080894715E-3</v>
      </c>
      <c r="D119" s="19">
        <f t="shared" si="1"/>
        <v>-2.4296594401408129E-3</v>
      </c>
      <c r="E119" s="26">
        <f>E118+Step_h*D118</f>
        <v>0.99775983103441879</v>
      </c>
      <c r="J119" s="24">
        <f>ROUND(J118-Step_h,2)</f>
        <v>9.0399999999999991</v>
      </c>
      <c r="K119" s="24">
        <f>J119+Age</f>
        <v>29.04</v>
      </c>
      <c r="L119" s="19">
        <f>B*c_gom^K119</f>
        <v>4.8856853230550496E-3</v>
      </c>
      <c r="M119" s="19">
        <f>N119*delta +Prem-L119*(1-N119)</f>
        <v>-1.7781962748694815E-3</v>
      </c>
      <c r="N119" s="26">
        <f>N118-Step_h*M118</f>
        <v>1.9584167994421788E-3</v>
      </c>
      <c r="U119" s="2"/>
      <c r="X119" s="2"/>
    </row>
    <row r="120" spans="1:24" x14ac:dyDescent="0.45">
      <c r="A120" s="24">
        <v>0.97</v>
      </c>
      <c r="B120" s="24">
        <f>A120+Age</f>
        <v>20.97</v>
      </c>
      <c r="C120" s="19">
        <f>B*c_gom^B120</f>
        <v>2.4372139381636801E-3</v>
      </c>
      <c r="D120" s="19">
        <f t="shared" si="1"/>
        <v>-2.4316949511383988E-3</v>
      </c>
      <c r="E120" s="26">
        <f>E119+Step_h*D119</f>
        <v>0.99773553444001739</v>
      </c>
      <c r="J120" s="24">
        <f>ROUND(J119-Step_h,2)</f>
        <v>9.0299999999999994</v>
      </c>
      <c r="K120" s="24">
        <f>J120+Age</f>
        <v>29.03</v>
      </c>
      <c r="L120" s="19">
        <f>B*c_gom^K120</f>
        <v>4.8814767656774113E-3</v>
      </c>
      <c r="M120" s="19">
        <f>N120*delta +Prem-L120*(1-N120)</f>
        <v>-1.7730200592258722E-3</v>
      </c>
      <c r="N120" s="26">
        <f>N119-Step_h*M119</f>
        <v>1.9761987621908735E-3</v>
      </c>
      <c r="U120" s="2"/>
      <c r="X120" s="2"/>
    </row>
    <row r="121" spans="1:24" x14ac:dyDescent="0.45">
      <c r="A121" s="24">
        <v>0.98</v>
      </c>
      <c r="B121" s="24">
        <f>A121+Age</f>
        <v>20.98</v>
      </c>
      <c r="C121" s="19">
        <f>B*c_gom^B121</f>
        <v>2.4393151782581665E-3</v>
      </c>
      <c r="D121" s="19">
        <f t="shared" si="1"/>
        <v>-2.433732116343026E-3</v>
      </c>
      <c r="E121" s="26">
        <f>E120+Step_h*D120</f>
        <v>0.99771121749050595</v>
      </c>
      <c r="J121" s="24">
        <f>ROUND(J120-Step_h,2)</f>
        <v>9.02</v>
      </c>
      <c r="K121" s="24">
        <f>J121+Age</f>
        <v>29.02</v>
      </c>
      <c r="L121" s="19">
        <f>B*c_gom^K121</f>
        <v>4.8772718335752495E-3</v>
      </c>
      <c r="M121" s="19">
        <f>N121*delta +Prem-L121*(1-N121)</f>
        <v>-1.7678504518677607E-3</v>
      </c>
      <c r="N121" s="26">
        <f>N120-Step_h*M120</f>
        <v>1.9939289627831321E-3</v>
      </c>
      <c r="U121" s="2"/>
      <c r="X121" s="2"/>
    </row>
    <row r="122" spans="1:24" x14ac:dyDescent="0.45">
      <c r="A122" s="24">
        <v>0.99</v>
      </c>
      <c r="B122" s="24">
        <f>A122+Age</f>
        <v>20.99</v>
      </c>
      <c r="C122" s="19">
        <f>B*c_gom^B122</f>
        <v>2.4414182299334355E-3</v>
      </c>
      <c r="D122" s="19">
        <f t="shared" si="1"/>
        <v>-2.4357709370108477E-3</v>
      </c>
      <c r="E122" s="26">
        <f>E121+Step_h*D121</f>
        <v>0.99768688016934248</v>
      </c>
      <c r="J122" s="24">
        <f>ROUND(J121-Step_h,2)</f>
        <v>9.01</v>
      </c>
      <c r="K122" s="24">
        <f>J122+Age</f>
        <v>29.009999999999998</v>
      </c>
      <c r="L122" s="19">
        <f>B*c_gom^K122</f>
        <v>4.8730705236257358E-3</v>
      </c>
      <c r="M122" s="19">
        <f>N122*delta +Prem-L122*(1-N122)</f>
        <v>-1.7626874452066313E-3</v>
      </c>
      <c r="N122" s="26">
        <f>N121-Step_h*M121</f>
        <v>2.0116074673018096E-3</v>
      </c>
      <c r="U122" s="2"/>
      <c r="X122" s="2"/>
    </row>
    <row r="123" spans="1:24" x14ac:dyDescent="0.45">
      <c r="A123" s="24">
        <v>1</v>
      </c>
      <c r="B123" s="24">
        <f>A123+Age</f>
        <v>21</v>
      </c>
      <c r="C123" s="19">
        <f>B*c_gom^B123</f>
        <v>2.4435230947513382E-3</v>
      </c>
      <c r="D123" s="19">
        <f t="shared" si="1"/>
        <v>-2.437811414398818E-3</v>
      </c>
      <c r="E123" s="26">
        <f>E122+Step_h*D122</f>
        <v>0.99766252245997233</v>
      </c>
      <c r="J123" s="24">
        <f>ROUND(J122-Step_h,2)</f>
        <v>9</v>
      </c>
      <c r="K123" s="24">
        <f>J123+Age</f>
        <v>29</v>
      </c>
      <c r="L123" s="19">
        <f>B*c_gom^K123</f>
        <v>4.8688728327087221E-3</v>
      </c>
      <c r="M123" s="19">
        <f>N123*delta +Prem-L123*(1-N123)</f>
        <v>-1.7575310316632637E-3</v>
      </c>
      <c r="N123" s="26">
        <f>N122-Step_h*M122</f>
        <v>2.0292343417538761E-3</v>
      </c>
      <c r="U123" s="2"/>
      <c r="X123" s="2"/>
    </row>
    <row r="124" spans="1:24" x14ac:dyDescent="0.45">
      <c r="A124" s="24">
        <v>1.01</v>
      </c>
      <c r="B124" s="24">
        <f>A124+Age</f>
        <v>21.01</v>
      </c>
      <c r="C124" s="19">
        <f>B*c_gom^B124</f>
        <v>2.4456297742750763E-3</v>
      </c>
      <c r="D124" s="19">
        <f t="shared" si="1"/>
        <v>-2.4398535497646939E-3</v>
      </c>
      <c r="E124" s="26">
        <f>E123+Step_h*D123</f>
        <v>0.99763814434582831</v>
      </c>
      <c r="J124" s="24">
        <f>ROUND(J123-Step_h,2)</f>
        <v>8.99</v>
      </c>
      <c r="K124" s="24">
        <f>J124+Age</f>
        <v>28.990000000000002</v>
      </c>
      <c r="L124" s="19">
        <f>B*c_gom^K124</f>
        <v>4.8646787577067635E-3</v>
      </c>
      <c r="M124" s="19">
        <f>N124*delta +Prem-L124*(1-N124)</f>
        <v>-1.7523812036677419E-3</v>
      </c>
      <c r="N124" s="26">
        <f>N123-Step_h*M123</f>
        <v>2.0468096520705088E-3</v>
      </c>
      <c r="U124" s="2"/>
      <c r="X124" s="2"/>
    </row>
    <row r="125" spans="1:24" x14ac:dyDescent="0.45">
      <c r="A125" s="24">
        <v>1.02</v>
      </c>
      <c r="B125" s="24">
        <f>A125+Age</f>
        <v>21.02</v>
      </c>
      <c r="C125" s="19">
        <f>B*c_gom^B125</f>
        <v>2.4477382700691902E-3</v>
      </c>
      <c r="D125" s="19">
        <f t="shared" si="1"/>
        <v>-2.4418973443670238E-3</v>
      </c>
      <c r="E125" s="26">
        <f>E124+Step_h*D124</f>
        <v>0.99761374581033069</v>
      </c>
      <c r="J125" s="24">
        <f>ROUND(J124-Step_h,2)</f>
        <v>8.98</v>
      </c>
      <c r="K125" s="24">
        <f>J125+Age</f>
        <v>28.98</v>
      </c>
      <c r="L125" s="19">
        <f>B*c_gom^K125</f>
        <v>4.8604882955050766E-3</v>
      </c>
      <c r="M125" s="19">
        <f>N125*delta +Prem-L125*(1-N125)</f>
        <v>-1.7472379536594054E-3</v>
      </c>
      <c r="N125" s="26">
        <f>N124-Step_h*M124</f>
        <v>2.0643334641071861E-3</v>
      </c>
      <c r="U125" s="2"/>
      <c r="X125" s="2"/>
    </row>
    <row r="126" spans="1:24" x14ac:dyDescent="0.45">
      <c r="A126" s="24">
        <v>1.03</v>
      </c>
      <c r="B126" s="24">
        <f>A126+Age</f>
        <v>21.03</v>
      </c>
      <c r="C126" s="19">
        <f>B*c_gom^B126</f>
        <v>2.449848583699578E-3</v>
      </c>
      <c r="D126" s="19">
        <f t="shared" si="1"/>
        <v>-2.4439427994651631E-3</v>
      </c>
      <c r="E126" s="26">
        <f>E125+Step_h*D125</f>
        <v>0.99758932683688706</v>
      </c>
      <c r="J126" s="24">
        <f>ROUND(J125-Step_h,2)</f>
        <v>8.9700000000000006</v>
      </c>
      <c r="K126" s="24">
        <f>J126+Age</f>
        <v>28.97</v>
      </c>
      <c r="L126" s="19">
        <f>B*c_gom^K126</f>
        <v>4.856301442991583E-3</v>
      </c>
      <c r="M126" s="19">
        <f>N126*delta +Prem-L126*(1-N126)</f>
        <v>-1.742101274086878E-3</v>
      </c>
      <c r="N126" s="26">
        <f>N125-Step_h*M125</f>
        <v>2.0818058436437802E-3</v>
      </c>
      <c r="U126" s="2"/>
      <c r="X126" s="2"/>
    </row>
    <row r="127" spans="1:24" x14ac:dyDescent="0.45">
      <c r="A127" s="24">
        <v>1.04</v>
      </c>
      <c r="B127" s="24">
        <f>A127+Age</f>
        <v>21.04</v>
      </c>
      <c r="C127" s="19">
        <f>B*c_gom^B127</f>
        <v>2.4519607167334829E-3</v>
      </c>
      <c r="D127" s="19">
        <f t="shared" si="1"/>
        <v>-2.4459899163192639E-3</v>
      </c>
      <c r="E127" s="26">
        <f>E126+Step_h*D126</f>
        <v>0.99756488740889238</v>
      </c>
      <c r="J127" s="24">
        <f>ROUND(J126-Step_h,2)</f>
        <v>8.9600000000000009</v>
      </c>
      <c r="K127" s="24">
        <f>J127+Age</f>
        <v>28.96</v>
      </c>
      <c r="L127" s="19">
        <f>B*c_gom^K127</f>
        <v>4.8521181970568733E-3</v>
      </c>
      <c r="M127" s="19">
        <f>N127*delta +Prem-L127*(1-N127)</f>
        <v>-1.7369711574080266E-3</v>
      </c>
      <c r="N127" s="26">
        <f>N126-Step_h*M126</f>
        <v>2.099226856384649E-3</v>
      </c>
      <c r="U127" s="2"/>
      <c r="X127" s="2"/>
    </row>
    <row r="128" spans="1:24" x14ac:dyDescent="0.45">
      <c r="A128" s="24">
        <v>1.05</v>
      </c>
      <c r="B128" s="24">
        <f>A128+Age</f>
        <v>21.05</v>
      </c>
      <c r="C128" s="19">
        <f>B*c_gom^B128</f>
        <v>2.4540746707395018E-3</v>
      </c>
      <c r="D128" s="19">
        <f t="shared" si="1"/>
        <v>-2.4480386961902804E-3</v>
      </c>
      <c r="E128" s="26">
        <f>E127+Step_h*D127</f>
        <v>0.99754042750972916</v>
      </c>
      <c r="J128" s="24">
        <f>ROUND(J127-Step_h,2)</f>
        <v>8.9499999999999993</v>
      </c>
      <c r="K128" s="24">
        <f>J128+Age</f>
        <v>28.95</v>
      </c>
      <c r="L128" s="19">
        <f>B*c_gom^K128</f>
        <v>4.8479385545942191E-3</v>
      </c>
      <c r="M128" s="19">
        <f>N128*delta +Prem-L128*(1-N128)</f>
        <v>-1.7318475960899538E-3</v>
      </c>
      <c r="N128" s="26">
        <f>N127-Step_h*M127</f>
        <v>2.1165965679587292E-3</v>
      </c>
      <c r="U128" s="2"/>
      <c r="X128" s="2"/>
    </row>
    <row r="129" spans="1:24" x14ac:dyDescent="0.45">
      <c r="A129" s="24">
        <v>1.06</v>
      </c>
      <c r="B129" s="24">
        <f>A129+Age</f>
        <v>21.06</v>
      </c>
      <c r="C129" s="19">
        <f>B*c_gom^B129</f>
        <v>2.4561904472875816E-3</v>
      </c>
      <c r="D129" s="19">
        <f t="shared" si="1"/>
        <v>-2.4500891403399653E-3</v>
      </c>
      <c r="E129" s="26">
        <f>E128+Step_h*D128</f>
        <v>0.99751594712276725</v>
      </c>
      <c r="J129" s="24">
        <f>ROUND(J128-Step_h,2)</f>
        <v>8.94</v>
      </c>
      <c r="K129" s="24">
        <f>J129+Age</f>
        <v>28.939999999999998</v>
      </c>
      <c r="L129" s="19">
        <f>B*c_gom^K129</f>
        <v>4.843762512499572E-3</v>
      </c>
      <c r="M129" s="19">
        <f>N129*delta +Prem-L129*(1-N129)</f>
        <v>-1.7267305826089941E-3</v>
      </c>
      <c r="N129" s="26">
        <f>N128-Step_h*M128</f>
        <v>2.1339150439196289E-3</v>
      </c>
      <c r="U129" s="2"/>
      <c r="X129" s="2"/>
    </row>
    <row r="130" spans="1:24" x14ac:dyDescent="0.45">
      <c r="A130" s="24">
        <v>1.07</v>
      </c>
      <c r="B130" s="24">
        <f>A130+Age</f>
        <v>21.07</v>
      </c>
      <c r="C130" s="19">
        <f>B*c_gom^B130</f>
        <v>2.4583080479490256E-3</v>
      </c>
      <c r="D130" s="19">
        <f t="shared" si="1"/>
        <v>-2.4521412500308746E-3</v>
      </c>
      <c r="E130" s="26">
        <f>E129+Step_h*D129</f>
        <v>0.99749144623136388</v>
      </c>
      <c r="J130" s="24">
        <f>ROUND(J129-Step_h,2)</f>
        <v>8.93</v>
      </c>
      <c r="K130" s="24">
        <f>J130+Age</f>
        <v>28.93</v>
      </c>
      <c r="L130" s="19">
        <f>B*c_gom^K130</f>
        <v>4.8395900676715528E-3</v>
      </c>
      <c r="M130" s="19">
        <f>N130*delta +Prem-L130*(1-N130)</f>
        <v>-1.7216201094506869E-3</v>
      </c>
      <c r="N130" s="26">
        <f>N129-Step_h*M129</f>
        <v>2.1511823497457187E-3</v>
      </c>
      <c r="U130" s="2"/>
      <c r="X130" s="2"/>
    </row>
    <row r="131" spans="1:24" x14ac:dyDescent="0.45">
      <c r="A131" s="24">
        <v>1.08</v>
      </c>
      <c r="B131" s="24">
        <f>A131+Age</f>
        <v>21.08</v>
      </c>
      <c r="C131" s="19">
        <f>B*c_gom^B131</f>
        <v>2.4604274742964882E-3</v>
      </c>
      <c r="D131" s="19">
        <f t="shared" si="1"/>
        <v>-2.4541950265263616E-3</v>
      </c>
      <c r="E131" s="26">
        <f>E130+Step_h*D130</f>
        <v>0.99746692481886357</v>
      </c>
      <c r="J131" s="24">
        <f>ROUND(J130-Step_h,2)</f>
        <v>8.92</v>
      </c>
      <c r="K131" s="24">
        <f>J131+Age</f>
        <v>28.92</v>
      </c>
      <c r="L131" s="19">
        <f>B*c_gom^K131</f>
        <v>4.835421217011456E-3</v>
      </c>
      <c r="M131" s="19">
        <f>N131*delta +Prem-L131*(1-N131)</f>
        <v>-1.7165161691097743E-3</v>
      </c>
      <c r="N131" s="26">
        <f>N130-Step_h*M130</f>
        <v>2.1683985508402256E-3</v>
      </c>
      <c r="U131" s="2"/>
      <c r="X131" s="2"/>
    </row>
    <row r="132" spans="1:24" x14ac:dyDescent="0.45">
      <c r="A132" s="24">
        <v>1.0900000000000001</v>
      </c>
      <c r="B132" s="24">
        <f>A132+Age</f>
        <v>21.09</v>
      </c>
      <c r="C132" s="19">
        <f>B*c_gom^B132</f>
        <v>2.4625487279039833E-3</v>
      </c>
      <c r="D132" s="19">
        <f t="shared" si="1"/>
        <v>-2.4562504710905846E-3</v>
      </c>
      <c r="E132" s="26">
        <f>E131+Step_h*D131</f>
        <v>0.99744238286859832</v>
      </c>
      <c r="J132" s="24">
        <f>ROUND(J131-Step_h,2)</f>
        <v>8.91</v>
      </c>
      <c r="K132" s="24">
        <f>J132+Age</f>
        <v>28.91</v>
      </c>
      <c r="L132" s="19">
        <f>B*c_gom^K132</f>
        <v>4.8312559574232436E-3</v>
      </c>
      <c r="M132" s="19">
        <f>N132*delta +Prem-L132*(1-N132)</f>
        <v>-1.7114187540901819E-3</v>
      </c>
      <c r="N132" s="26">
        <f>N131-Step_h*M131</f>
        <v>2.1855637125313232E-3</v>
      </c>
      <c r="U132" s="2"/>
      <c r="X132" s="2"/>
    </row>
    <row r="133" spans="1:24" x14ac:dyDescent="0.45">
      <c r="A133" s="24">
        <v>1.1000000000000001</v>
      </c>
      <c r="B133" s="24">
        <f>A133+Age</f>
        <v>21.1</v>
      </c>
      <c r="C133" s="19">
        <f>B*c_gom^B133</f>
        <v>2.4646718103468802E-3</v>
      </c>
      <c r="D133" s="19">
        <f t="shared" si="1"/>
        <v>-2.4583075849885015E-3</v>
      </c>
      <c r="E133" s="26">
        <f>E132+Step_h*D132</f>
        <v>0.99741782036388738</v>
      </c>
      <c r="J133" s="24">
        <f>ROUND(J132-Step_h,2)</f>
        <v>8.9</v>
      </c>
      <c r="K133" s="24">
        <f>J133+Age</f>
        <v>28.9</v>
      </c>
      <c r="L133" s="19">
        <f>B*c_gom^K133</f>
        <v>4.8270942858135435E-3</v>
      </c>
      <c r="M133" s="19">
        <f>N133*delta +Prem-L133*(1-N133)</f>
        <v>-1.7063278569050058E-3</v>
      </c>
      <c r="N133" s="26">
        <f>N132-Step_h*M132</f>
        <v>2.2026779000722252E-3</v>
      </c>
      <c r="U133" s="2"/>
      <c r="X133" s="2"/>
    </row>
    <row r="134" spans="1:24" x14ac:dyDescent="0.45">
      <c r="A134" s="24">
        <v>1.1100000000000001</v>
      </c>
      <c r="B134" s="24">
        <f>A134+Age</f>
        <v>21.11</v>
      </c>
      <c r="C134" s="19">
        <f>B*c_gom^B134</f>
        <v>2.4667967232019049E-3</v>
      </c>
      <c r="D134" s="19">
        <f t="shared" si="1"/>
        <v>-2.460366369485871E-3</v>
      </c>
      <c r="E134" s="26">
        <f>E133+Step_h*D133</f>
        <v>0.99739323728803753</v>
      </c>
      <c r="J134" s="24">
        <f>ROUND(J133-Step_h,2)</f>
        <v>8.89</v>
      </c>
      <c r="K134" s="24">
        <f>J134+Age</f>
        <v>28.89</v>
      </c>
      <c r="L134" s="19">
        <f>B*c_gom^K134</f>
        <v>4.8229361990916562E-3</v>
      </c>
      <c r="M134" s="19">
        <f>N134*delta +Prem-L134*(1-N134)</f>
        <v>-1.7012434700765088E-3</v>
      </c>
      <c r="N134" s="26">
        <f>N133-Step_h*M133</f>
        <v>2.2197411786412753E-3</v>
      </c>
      <c r="U134" s="2"/>
      <c r="X134" s="2"/>
    </row>
    <row r="135" spans="1:24" x14ac:dyDescent="0.45">
      <c r="A135" s="24">
        <v>1.1200000000000001</v>
      </c>
      <c r="B135" s="24">
        <f>A135+Age</f>
        <v>21.12</v>
      </c>
      <c r="C135" s="19">
        <f>B*c_gom^B135</f>
        <v>2.4689234680471458E-3</v>
      </c>
      <c r="D135" s="19">
        <f t="shared" si="1"/>
        <v>-2.4624268258492555E-3</v>
      </c>
      <c r="E135" s="26">
        <f>E134+Step_h*D134</f>
        <v>0.99736863362434269</v>
      </c>
      <c r="J135" s="24">
        <f>ROUND(J134-Step_h,2)</f>
        <v>8.8800000000000008</v>
      </c>
      <c r="K135" s="24">
        <f>J135+Age</f>
        <v>28.880000000000003</v>
      </c>
      <c r="L135" s="19">
        <f>B*c_gom^K135</f>
        <v>4.8187816941695346E-3</v>
      </c>
      <c r="M135" s="19">
        <f>N135*delta +Prem-L135*(1-N135)</f>
        <v>-1.6961655861360918E-3</v>
      </c>
      <c r="N135" s="26">
        <f>N134-Step_h*M134</f>
        <v>2.2367536133420405E-3</v>
      </c>
      <c r="U135" s="2"/>
      <c r="X135" s="2"/>
    </row>
    <row r="136" spans="1:24" x14ac:dyDescent="0.45">
      <c r="A136" s="24">
        <v>1.1300000000000001</v>
      </c>
      <c r="B136" s="24">
        <f>A136+Age</f>
        <v>21.13</v>
      </c>
      <c r="C136" s="19">
        <f>B*c_gom^B136</f>
        <v>2.4710520464620491E-3</v>
      </c>
      <c r="D136" s="19">
        <f t="shared" si="1"/>
        <v>-2.4644889553460171E-3</v>
      </c>
      <c r="E136" s="26">
        <f>E135+Step_h*D135</f>
        <v>0.99734400935608425</v>
      </c>
      <c r="J136" s="24">
        <f>ROUND(J135-Step_h,2)</f>
        <v>8.8699999999999992</v>
      </c>
      <c r="K136" s="24">
        <f>J136+Age</f>
        <v>28.869999999999997</v>
      </c>
      <c r="L136" s="19">
        <f>B*c_gom^K136</f>
        <v>4.814630767961796E-3</v>
      </c>
      <c r="M136" s="19">
        <f>N136*delta +Prem-L136*(1-N136)</f>
        <v>-1.6910941976242939E-3</v>
      </c>
      <c r="N136" s="26">
        <f>N135-Step_h*M135</f>
        <v>2.2537152692034016E-3</v>
      </c>
      <c r="U136" s="2"/>
      <c r="X136" s="2"/>
    </row>
    <row r="137" spans="1:24" x14ac:dyDescent="0.45">
      <c r="A137" s="24">
        <v>1.1400000000000001</v>
      </c>
      <c r="B137" s="24">
        <f>A137+Age</f>
        <v>21.14</v>
      </c>
      <c r="C137" s="19">
        <f>B*c_gom^B137</f>
        <v>2.4731824600274259E-3</v>
      </c>
      <c r="D137" s="19">
        <f t="shared" si="1"/>
        <v>-2.4665527592443236E-3</v>
      </c>
      <c r="E137" s="26">
        <f>E136+Step_h*D136</f>
        <v>0.9973193644665308</v>
      </c>
      <c r="J137" s="24">
        <f>ROUND(J136-Step_h,2)</f>
        <v>8.86</v>
      </c>
      <c r="K137" s="24">
        <f>J137+Age</f>
        <v>28.86</v>
      </c>
      <c r="L137" s="19">
        <f>B*c_gom^K137</f>
        <v>4.8104834173857162E-3</v>
      </c>
      <c r="M137" s="19">
        <f>N137*delta +Prem-L137*(1-N137)</f>
        <v>-1.6860292970907725E-3</v>
      </c>
      <c r="N137" s="26">
        <f>N136-Step_h*M136</f>
        <v>2.2706262111796445E-3</v>
      </c>
      <c r="U137" s="2"/>
      <c r="X137" s="2"/>
    </row>
    <row r="138" spans="1:24" x14ac:dyDescent="0.45">
      <c r="A138" s="24">
        <v>1.1500000000000001</v>
      </c>
      <c r="B138" s="24">
        <f>A138+Age</f>
        <v>21.15</v>
      </c>
      <c r="C138" s="19">
        <f>B*c_gom^B138</f>
        <v>2.4753147103254458E-3</v>
      </c>
      <c r="D138" s="19">
        <f t="shared" si="1"/>
        <v>-2.4686182388131408E-3</v>
      </c>
      <c r="E138" s="26">
        <f>E137+Step_h*D137</f>
        <v>0.99729469893893841</v>
      </c>
      <c r="J138" s="24">
        <f>ROUND(J137-Step_h,2)</f>
        <v>8.85</v>
      </c>
      <c r="K138" s="24">
        <f>J138+Age</f>
        <v>28.85</v>
      </c>
      <c r="L138" s="19">
        <f>B*c_gom^K138</f>
        <v>4.8063396393612278E-3</v>
      </c>
      <c r="M138" s="19">
        <f>N138*delta +Prem-L138*(1-N138)</f>
        <v>-1.6809708770942973E-3</v>
      </c>
      <c r="N138" s="26">
        <f>N137-Step_h*M137</f>
        <v>2.2874865041505521E-3</v>
      </c>
      <c r="U138" s="2"/>
      <c r="X138" s="2"/>
    </row>
    <row r="139" spans="1:24" x14ac:dyDescent="0.45">
      <c r="A139" s="24">
        <v>1.1599999999999999</v>
      </c>
      <c r="B139" s="24">
        <f>A139+Age</f>
        <v>21.16</v>
      </c>
      <c r="C139" s="19">
        <f>B*c_gom^B139</f>
        <v>2.4774487989396472E-3</v>
      </c>
      <c r="D139" s="19">
        <f t="shared" si="1"/>
        <v>-2.4706853953222422E-3</v>
      </c>
      <c r="E139" s="26">
        <f>E138+Step_h*D138</f>
        <v>0.99727001275655025</v>
      </c>
      <c r="J139" s="24">
        <f>ROUND(J138-Step_h,2)</f>
        <v>8.84</v>
      </c>
      <c r="K139" s="24">
        <f>J139+Age</f>
        <v>28.84</v>
      </c>
      <c r="L139" s="19">
        <f>B*c_gom^K139</f>
        <v>4.8021994308109104E-3</v>
      </c>
      <c r="M139" s="19">
        <f>N139*delta +Prem-L139*(1-N139)</f>
        <v>-1.6759189302027245E-3</v>
      </c>
      <c r="N139" s="26">
        <f>N138-Step_h*M138</f>
        <v>2.3042962129214951E-3</v>
      </c>
      <c r="U139" s="2"/>
      <c r="X139" s="2"/>
    </row>
    <row r="140" spans="1:24" x14ac:dyDescent="0.45">
      <c r="A140" s="24">
        <v>1.17</v>
      </c>
      <c r="B140" s="24">
        <f>A140+Age</f>
        <v>21.17</v>
      </c>
      <c r="C140" s="19">
        <f>B*c_gom^B140</f>
        <v>2.4795847274549309E-3</v>
      </c>
      <c r="D140" s="19">
        <f t="shared" si="1"/>
        <v>-2.4727542300422003E-3</v>
      </c>
      <c r="E140" s="26">
        <f>E139+Step_h*D139</f>
        <v>0.99724530590259708</v>
      </c>
      <c r="J140" s="24">
        <f>ROUND(J139-Step_h,2)</f>
        <v>8.83</v>
      </c>
      <c r="K140" s="24">
        <f>J140+Age</f>
        <v>28.83</v>
      </c>
      <c r="L140" s="19">
        <f>B*c_gom^K140</f>
        <v>4.7980627886599989E-3</v>
      </c>
      <c r="M140" s="19">
        <f>N140*delta +Prem-L140*(1-N140)</f>
        <v>-1.6708734489929958E-3</v>
      </c>
      <c r="N140" s="26">
        <f>N139-Step_h*M139</f>
        <v>2.3210554022235221E-3</v>
      </c>
      <c r="U140" s="2"/>
      <c r="X140" s="2"/>
    </row>
    <row r="141" spans="1:24" x14ac:dyDescent="0.45">
      <c r="A141" s="24">
        <v>1.18</v>
      </c>
      <c r="B141" s="24">
        <f>A141+Age</f>
        <v>21.18</v>
      </c>
      <c r="C141" s="19">
        <f>B*c_gom^B141</f>
        <v>2.4817224974575621E-3</v>
      </c>
      <c r="D141" s="19">
        <f t="shared" si="1"/>
        <v>-2.4748247442443901E-3</v>
      </c>
      <c r="E141" s="26">
        <f>E140+Step_h*D140</f>
        <v>0.99722057836029665</v>
      </c>
      <c r="J141" s="24">
        <f>ROUND(J140-Step_h,2)</f>
        <v>8.82</v>
      </c>
      <c r="K141" s="24">
        <f>J141+Age</f>
        <v>28.82</v>
      </c>
      <c r="L141" s="19">
        <f>B*c_gom^K141</f>
        <v>4.7939297098363786E-3</v>
      </c>
      <c r="M141" s="19">
        <f>N141*delta +Prem-L141*(1-N141)</f>
        <v>-1.6658344260511255E-3</v>
      </c>
      <c r="N141" s="26">
        <f>N140-Step_h*M140</f>
        <v>2.3377641367134522E-3</v>
      </c>
      <c r="U141" s="2"/>
      <c r="X141" s="2"/>
    </row>
    <row r="142" spans="1:24" x14ac:dyDescent="0.45">
      <c r="A142" s="24">
        <v>1.19</v>
      </c>
      <c r="B142" s="24">
        <f>A142+Age</f>
        <v>21.19</v>
      </c>
      <c r="C142" s="19">
        <f>B*c_gom^B142</f>
        <v>2.4838621105351794E-3</v>
      </c>
      <c r="D142" s="19">
        <f t="shared" si="1"/>
        <v>-2.476896939200994E-3</v>
      </c>
      <c r="E142" s="26">
        <f>E141+Step_h*D141</f>
        <v>0.99719583011285418</v>
      </c>
      <c r="J142" s="24">
        <f>ROUND(J141-Step_h,2)</f>
        <v>8.81</v>
      </c>
      <c r="K142" s="24">
        <f>J142+Age</f>
        <v>28.810000000000002</v>
      </c>
      <c r="L142" s="19">
        <f>B*c_gom^K142</f>
        <v>4.7898001912705787E-3</v>
      </c>
      <c r="M142" s="19">
        <f>N142*delta +Prem-L142*(1-N142)</f>
        <v>-1.6608018539721798E-3</v>
      </c>
      <c r="N142" s="26">
        <f>N141-Step_h*M141</f>
        <v>2.3544224809739635E-3</v>
      </c>
      <c r="U142" s="2"/>
      <c r="X142" s="2"/>
    </row>
    <row r="143" spans="1:24" x14ac:dyDescent="0.45">
      <c r="A143" s="24">
        <v>1.2</v>
      </c>
      <c r="B143" s="24">
        <f>A143+Age</f>
        <v>21.2</v>
      </c>
      <c r="C143" s="19">
        <f>B*c_gom^B143</f>
        <v>2.4860035682767855E-3</v>
      </c>
      <c r="D143" s="19">
        <f t="shared" si="1"/>
        <v>-2.4789708161849959E-3</v>
      </c>
      <c r="E143" s="26">
        <f>E142+Step_h*D142</f>
        <v>0.99717106114346221</v>
      </c>
      <c r="J143" s="24">
        <f>ROUND(J142-Step_h,2)</f>
        <v>8.8000000000000007</v>
      </c>
      <c r="K143" s="24">
        <f>J143+Age</f>
        <v>28.8</v>
      </c>
      <c r="L143" s="19">
        <f>B*c_gom^K143</f>
        <v>4.7856742298957719E-3</v>
      </c>
      <c r="M143" s="19">
        <f>N143*delta +Prem-L143*(1-N143)</f>
        <v>-1.6557757253602683E-3</v>
      </c>
      <c r="N143" s="26">
        <f>N142-Step_h*M142</f>
        <v>2.3710304995136853E-3</v>
      </c>
      <c r="U143" s="2"/>
      <c r="X143" s="2"/>
    </row>
    <row r="144" spans="1:24" x14ac:dyDescent="0.45">
      <c r="A144" s="24">
        <v>1.21</v>
      </c>
      <c r="B144" s="24">
        <f>A144+Age</f>
        <v>21.21</v>
      </c>
      <c r="C144" s="19">
        <f>B*c_gom^B144</f>
        <v>2.488146872272755E-3</v>
      </c>
      <c r="D144" s="19">
        <f t="shared" si="1"/>
        <v>-2.4810463764701821E-3</v>
      </c>
      <c r="E144" s="26">
        <f>E143+Step_h*D143</f>
        <v>0.99714627143530032</v>
      </c>
      <c r="J144" s="24">
        <f>ROUND(J143-Step_h,2)</f>
        <v>8.7899999999999991</v>
      </c>
      <c r="K144" s="24">
        <f>J144+Age</f>
        <v>28.79</v>
      </c>
      <c r="L144" s="19">
        <f>B*c_gom^K144</f>
        <v>4.7815518226477713E-3</v>
      </c>
      <c r="M144" s="19">
        <f>N144*delta +Prem-L144*(1-N144)</f>
        <v>-1.6507560328285287E-3</v>
      </c>
      <c r="N144" s="26">
        <f>N143-Step_h*M143</f>
        <v>2.3875882567672879E-3</v>
      </c>
      <c r="U144" s="2"/>
      <c r="X144" s="2"/>
    </row>
    <row r="145" spans="1:24" x14ac:dyDescent="0.45">
      <c r="A145" s="24">
        <v>1.22</v>
      </c>
      <c r="B145" s="24">
        <f>A145+Age</f>
        <v>21.22</v>
      </c>
      <c r="C145" s="19">
        <f>B*c_gom^B145</f>
        <v>2.4902920241148328E-3</v>
      </c>
      <c r="D145" s="19">
        <f t="shared" si="1"/>
        <v>-2.4831236213311448E-3</v>
      </c>
      <c r="E145" s="26">
        <f>E144+Step_h*D144</f>
        <v>0.99712146097153564</v>
      </c>
      <c r="J145" s="24">
        <f>ROUND(J144-Step_h,2)</f>
        <v>8.7799999999999994</v>
      </c>
      <c r="K145" s="24">
        <f>J145+Age</f>
        <v>28.78</v>
      </c>
      <c r="L145" s="19">
        <f>B*c_gom^K145</f>
        <v>4.7774329664650355E-3</v>
      </c>
      <c r="M145" s="19">
        <f>N145*delta +Prem-L145*(1-N145)</f>
        <v>-1.6457427689991234E-3</v>
      </c>
      <c r="N145" s="26">
        <f>N144-Step_h*M144</f>
        <v>2.4040958170955733E-3</v>
      </c>
      <c r="U145" s="2"/>
      <c r="X145" s="2"/>
    </row>
    <row r="146" spans="1:24" x14ac:dyDescent="0.45">
      <c r="A146" s="24">
        <v>1.23</v>
      </c>
      <c r="B146" s="24">
        <f>A146+Age</f>
        <v>21.23</v>
      </c>
      <c r="C146" s="19">
        <f>B*c_gom^B146</f>
        <v>2.492439025396137E-3</v>
      </c>
      <c r="D146" s="19">
        <f t="shared" si="1"/>
        <v>-2.4852025520432797E-3</v>
      </c>
      <c r="E146" s="26">
        <f>E145+Step_h*D145</f>
        <v>0.99709662973532232</v>
      </c>
      <c r="J146" s="24">
        <f>ROUND(J145-Step_h,2)</f>
        <v>8.77</v>
      </c>
      <c r="K146" s="24">
        <f>J146+Age</f>
        <v>28.77</v>
      </c>
      <c r="L146" s="19">
        <f>B*c_gom^K146</f>
        <v>4.7733176582886554E-3</v>
      </c>
      <c r="M146" s="19">
        <f>N146*delta +Prem-L146*(1-N146)</f>
        <v>-1.6407359265032144E-3</v>
      </c>
      <c r="N146" s="26">
        <f>N145-Step_h*M145</f>
        <v>2.4205532447855644E-3</v>
      </c>
      <c r="U146" s="2"/>
      <c r="X146" s="2"/>
    </row>
    <row r="147" spans="1:24" x14ac:dyDescent="0.45">
      <c r="A147" s="24">
        <v>1.24</v>
      </c>
      <c r="B147" s="24">
        <f>A147+Age</f>
        <v>21.24</v>
      </c>
      <c r="C147" s="19">
        <f>B*c_gom^B147</f>
        <v>2.4945878777111576E-3</v>
      </c>
      <c r="D147" s="19">
        <f t="shared" si="1"/>
        <v>-2.4872831698827861E-3</v>
      </c>
      <c r="E147" s="26">
        <f>E146+Step_h*D146</f>
        <v>0.99707177770980193</v>
      </c>
      <c r="J147" s="24">
        <f>ROUND(J146-Step_h,2)</f>
        <v>8.76</v>
      </c>
      <c r="K147" s="24">
        <f>J147+Age</f>
        <v>28.759999999999998</v>
      </c>
      <c r="L147" s="19">
        <f>B*c_gom^K147</f>
        <v>4.7692058950623553E-3</v>
      </c>
      <c r="M147" s="19">
        <f>N147*delta +Prem-L147*(1-N147)</f>
        <v>-1.6357354979809526E-3</v>
      </c>
      <c r="N147" s="26">
        <f>N146-Step_h*M146</f>
        <v>2.4369606040505966E-3</v>
      </c>
      <c r="U147" s="2"/>
      <c r="X147" s="2"/>
    </row>
    <row r="148" spans="1:24" x14ac:dyDescent="0.45">
      <c r="A148" s="24">
        <v>1.25</v>
      </c>
      <c r="B148" s="24">
        <f>A148+Age</f>
        <v>21.25</v>
      </c>
      <c r="C148" s="19">
        <f>B*c_gom^B148</f>
        <v>2.4967385826557614E-3</v>
      </c>
      <c r="D148" s="19">
        <f t="shared" si="1"/>
        <v>-2.4893654761266688E-3</v>
      </c>
      <c r="E148" s="26">
        <f>E147+Step_h*D147</f>
        <v>0.9970469048781031</v>
      </c>
      <c r="J148" s="24">
        <f>ROUND(J147-Step_h,2)</f>
        <v>8.75</v>
      </c>
      <c r="K148" s="24">
        <f>J148+Age</f>
        <v>28.75</v>
      </c>
      <c r="L148" s="19">
        <f>B*c_gom^K148</f>
        <v>4.765097673732498E-3</v>
      </c>
      <c r="M148" s="19">
        <f>N148*delta +Prem-L148*(1-N148)</f>
        <v>-1.6307414760814752E-3</v>
      </c>
      <c r="N148" s="26">
        <f>N147-Step_h*M147</f>
        <v>2.4533179590304063E-3</v>
      </c>
      <c r="U148" s="2"/>
      <c r="X148" s="2"/>
    </row>
    <row r="149" spans="1:24" x14ac:dyDescent="0.45">
      <c r="A149" s="24">
        <v>1.26</v>
      </c>
      <c r="B149" s="24">
        <f>A149+Age</f>
        <v>21.26</v>
      </c>
      <c r="C149" s="19">
        <f>B*c_gom^B149</f>
        <v>2.4988911418271898E-3</v>
      </c>
      <c r="D149" s="19">
        <f t="shared" si="1"/>
        <v>-2.4914494720527382E-3</v>
      </c>
      <c r="E149" s="26">
        <f>E148+Step_h*D148</f>
        <v>0.99702201122334189</v>
      </c>
      <c r="J149" s="24">
        <f>ROUND(J148-Step_h,2)</f>
        <v>8.74</v>
      </c>
      <c r="K149" s="24">
        <f>J149+Age</f>
        <v>28.740000000000002</v>
      </c>
      <c r="L149" s="19">
        <f>B*c_gom^K149</f>
        <v>4.7609929912480753E-3</v>
      </c>
      <c r="M149" s="19">
        <f>N149*delta +Prem-L149*(1-N149)</f>
        <v>-1.625753853462886E-3</v>
      </c>
      <c r="N149" s="26">
        <f>N148-Step_h*M148</f>
        <v>2.4696253737912211E-3</v>
      </c>
      <c r="U149" s="2"/>
      <c r="X149" s="2"/>
    </row>
    <row r="150" spans="1:24" x14ac:dyDescent="0.45">
      <c r="A150" s="24">
        <v>1.27</v>
      </c>
      <c r="B150" s="24">
        <f>A150+Age</f>
        <v>21.27</v>
      </c>
      <c r="C150" s="19">
        <f>B*c_gom^B150</f>
        <v>2.5010455568240612E-3</v>
      </c>
      <c r="D150" s="19">
        <f t="shared" si="1"/>
        <v>-2.493535158939607E-3</v>
      </c>
      <c r="E150" s="26">
        <f>E149+Step_h*D149</f>
        <v>0.99699709672862136</v>
      </c>
      <c r="J150" s="24">
        <f>ROUND(J149-Step_h,2)</f>
        <v>8.73</v>
      </c>
      <c r="K150" s="24">
        <f>J150+Age</f>
        <v>28.73</v>
      </c>
      <c r="L150" s="19">
        <f>B*c_gom^K150</f>
        <v>4.7568918445606984E-3</v>
      </c>
      <c r="M150" s="19">
        <f>N150*delta +Prem-L150*(1-N150)</f>
        <v>-1.62077262279223E-3</v>
      </c>
      <c r="N150" s="26">
        <f>N149-Step_h*M149</f>
        <v>2.4858829123258499E-3</v>
      </c>
      <c r="U150" s="2"/>
      <c r="X150" s="2"/>
    </row>
    <row r="151" spans="1:24" x14ac:dyDescent="0.45">
      <c r="A151" s="24">
        <v>1.28</v>
      </c>
      <c r="B151" s="24">
        <f>A151+Age</f>
        <v>21.28</v>
      </c>
      <c r="C151" s="19">
        <f>B*c_gom^B151</f>
        <v>2.5032018292463721E-3</v>
      </c>
      <c r="D151" s="19">
        <f t="shared" si="1"/>
        <v>-2.4956225380666957E-3</v>
      </c>
      <c r="E151" s="26">
        <f>E150+Step_h*D150</f>
        <v>0.99697216137703193</v>
      </c>
      <c r="J151" s="24">
        <f>ROUND(J150-Step_h,2)</f>
        <v>8.7200000000000006</v>
      </c>
      <c r="K151" s="24">
        <f>J151+Age</f>
        <v>28.72</v>
      </c>
      <c r="L151" s="19">
        <f>B*c_gom^K151</f>
        <v>4.752794230624616E-3</v>
      </c>
      <c r="M151" s="19">
        <f>N151*delta +Prem-L151*(1-N151)</f>
        <v>-1.6157977767455095E-3</v>
      </c>
      <c r="N151" s="26">
        <f>N150-Step_h*M150</f>
        <v>2.5020906385537721E-3</v>
      </c>
      <c r="U151" s="2"/>
      <c r="X151" s="2"/>
    </row>
    <row r="152" spans="1:24" x14ac:dyDescent="0.45">
      <c r="A152" s="24">
        <v>1.29</v>
      </c>
      <c r="B152" s="24">
        <f>A152+Age</f>
        <v>21.29</v>
      </c>
      <c r="C152" s="19">
        <f>B*c_gom^B152</f>
        <v>2.5053599606954997E-3</v>
      </c>
      <c r="D152" s="19">
        <f t="shared" ref="D152:D215" si="2">-E152*C152</f>
        <v>-2.4977116107142293E-3</v>
      </c>
      <c r="E152" s="26">
        <f>E151+Step_h*D151</f>
        <v>0.99694720515165125</v>
      </c>
      <c r="J152" s="24">
        <f>ROUND(J151-Step_h,2)</f>
        <v>8.7100000000000009</v>
      </c>
      <c r="K152" s="24">
        <f>J152+Age</f>
        <v>28.71</v>
      </c>
      <c r="L152" s="19">
        <f>B*c_gom^K152</f>
        <v>4.7487001463966992E-3</v>
      </c>
      <c r="M152" s="19">
        <f>N152*delta +Prem-L152*(1-N152)</f>
        <v>-1.61082930800765E-3</v>
      </c>
      <c r="N152" s="26">
        <f>N151-Step_h*M151</f>
        <v>2.5182486163212274E-3</v>
      </c>
      <c r="U152" s="2"/>
      <c r="X152" s="2"/>
    </row>
    <row r="153" spans="1:24" x14ac:dyDescent="0.45">
      <c r="A153" s="24">
        <v>1.3</v>
      </c>
      <c r="B153" s="24">
        <f>A153+Age</f>
        <v>21.3</v>
      </c>
      <c r="C153" s="19">
        <f>B*c_gom^B153</f>
        <v>2.5075199527742013E-3</v>
      </c>
      <c r="D153" s="19">
        <f t="shared" si="2"/>
        <v>-2.4998023781632392E-3</v>
      </c>
      <c r="E153" s="26">
        <f>E152+Step_h*D152</f>
        <v>0.99692222803554409</v>
      </c>
      <c r="J153" s="24">
        <f>ROUND(J152-Step_h,2)</f>
        <v>8.6999999999999993</v>
      </c>
      <c r="K153" s="24">
        <f>J153+Age</f>
        <v>28.7</v>
      </c>
      <c r="L153" s="19">
        <f>B*c_gom^K153</f>
        <v>4.7446095888364296E-3</v>
      </c>
      <c r="M153" s="19">
        <f>N153*delta +Prem-L153*(1-N153)</f>
        <v>-1.6058672092724847E-3</v>
      </c>
      <c r="N153" s="26">
        <f>N152-Step_h*M152</f>
        <v>2.534356909401304E-3</v>
      </c>
      <c r="U153" s="2"/>
      <c r="X153" s="2"/>
    </row>
    <row r="154" spans="1:24" x14ac:dyDescent="0.45">
      <c r="A154" s="24">
        <v>1.31</v>
      </c>
      <c r="B154" s="24">
        <f>A154+Age</f>
        <v>21.31</v>
      </c>
      <c r="C154" s="19">
        <f>B*c_gom^B154</f>
        <v>2.5096818070866143E-3</v>
      </c>
      <c r="D154" s="19">
        <f t="shared" si="2"/>
        <v>-2.5018948416955602E-3</v>
      </c>
      <c r="E154" s="26">
        <f>E153+Step_h*D153</f>
        <v>0.99689723001176245</v>
      </c>
      <c r="J154" s="24">
        <f>ROUND(J153-Step_h,2)</f>
        <v>8.69</v>
      </c>
      <c r="K154" s="24">
        <f>J154+Age</f>
        <v>28.689999999999998</v>
      </c>
      <c r="L154" s="19">
        <f>B*c_gom^K154</f>
        <v>4.7405225549059194E-3</v>
      </c>
      <c r="M154" s="19">
        <f>N154*delta +Prem-L154*(1-N154)</f>
        <v>-1.6009114732427618E-3</v>
      </c>
      <c r="N154" s="26">
        <f>N153-Step_h*M153</f>
        <v>2.550415581494029E-3</v>
      </c>
      <c r="U154" s="2"/>
      <c r="X154" s="2"/>
    </row>
    <row r="155" spans="1:24" x14ac:dyDescent="0.45">
      <c r="A155" s="24">
        <v>1.32</v>
      </c>
      <c r="B155" s="24">
        <f>A155+Age</f>
        <v>21.32</v>
      </c>
      <c r="C155" s="19">
        <f>B*c_gom^B155</f>
        <v>2.5118455252382617E-3</v>
      </c>
      <c r="D155" s="19">
        <f t="shared" si="2"/>
        <v>-2.503989002593836E-3</v>
      </c>
      <c r="E155" s="26">
        <f>E154+Step_h*D154</f>
        <v>0.99687221106334545</v>
      </c>
      <c r="J155" s="24">
        <f>ROUND(J154-Step_h,2)</f>
        <v>8.68</v>
      </c>
      <c r="K155" s="24">
        <f>J155+Age</f>
        <v>28.68</v>
      </c>
      <c r="L155" s="19">
        <f>B*c_gom^K155</f>
        <v>4.736439041569898E-3</v>
      </c>
      <c r="M155" s="19">
        <f>N155*delta +Prem-L155*(1-N155)</f>
        <v>-1.5959620926301191E-3</v>
      </c>
      <c r="N155" s="26">
        <f>N154-Step_h*M154</f>
        <v>2.5664246962264566E-3</v>
      </c>
      <c r="U155" s="2"/>
      <c r="X155" s="2"/>
    </row>
    <row r="156" spans="1:24" x14ac:dyDescent="0.45">
      <c r="A156" s="24">
        <v>1.33</v>
      </c>
      <c r="B156" s="24">
        <f>A156+Age</f>
        <v>21.33</v>
      </c>
      <c r="C156" s="19">
        <f>B*c_gom^B156</f>
        <v>2.5140111088360483E-3</v>
      </c>
      <c r="D156" s="19">
        <f t="shared" si="2"/>
        <v>-2.5060848621415153E-3</v>
      </c>
      <c r="E156" s="26">
        <f>E155+Step_h*D155</f>
        <v>0.99684717117331956</v>
      </c>
      <c r="J156" s="24">
        <f>ROUND(J155-Step_h,2)</f>
        <v>8.67</v>
      </c>
      <c r="K156" s="24">
        <f>J156+Age</f>
        <v>28.67</v>
      </c>
      <c r="L156" s="19">
        <f>B*c_gom^K156</f>
        <v>4.7323590457956982E-3</v>
      </c>
      <c r="M156" s="19">
        <f>N156*delta +Prem-L156*(1-N156)</f>
        <v>-1.5910190601550614E-3</v>
      </c>
      <c r="N156" s="26">
        <f>N155-Step_h*M155</f>
        <v>2.5823843171527577E-3</v>
      </c>
      <c r="U156" s="2"/>
      <c r="X156" s="2"/>
    </row>
    <row r="157" spans="1:24" x14ac:dyDescent="0.45">
      <c r="A157" s="24">
        <v>1.34</v>
      </c>
      <c r="B157" s="24">
        <f>A157+Age</f>
        <v>21.34</v>
      </c>
      <c r="C157" s="19">
        <f>B*c_gom^B157</f>
        <v>2.5161785594882682E-3</v>
      </c>
      <c r="D157" s="19">
        <f t="shared" si="2"/>
        <v>-2.5081824216228545E-3</v>
      </c>
      <c r="E157" s="26">
        <f>E156+Step_h*D156</f>
        <v>0.99682211032469814</v>
      </c>
      <c r="J157" s="24">
        <f>ROUND(J156-Step_h,2)</f>
        <v>8.66</v>
      </c>
      <c r="K157" s="24">
        <f>J157+Age</f>
        <v>28.66</v>
      </c>
      <c r="L157" s="19">
        <f>B*c_gom^K157</f>
        <v>4.7282825645532725E-3</v>
      </c>
      <c r="M157" s="19">
        <f>N157*delta +Prem-L157*(1-N157)</f>
        <v>-1.5860823685469681E-3</v>
      </c>
      <c r="N157" s="26">
        <f>N156-Step_h*M156</f>
        <v>2.5982945077543083E-3</v>
      </c>
      <c r="U157" s="2"/>
      <c r="X157" s="2"/>
    </row>
    <row r="158" spans="1:24" x14ac:dyDescent="0.45">
      <c r="A158" s="24">
        <v>1.35</v>
      </c>
      <c r="B158" s="24">
        <f>A158+Age</f>
        <v>21.35</v>
      </c>
      <c r="C158" s="19">
        <f>B*c_gom^B158</f>
        <v>2.5183478788045966E-3</v>
      </c>
      <c r="D158" s="19">
        <f t="shared" si="2"/>
        <v>-2.5102816823229135E-3</v>
      </c>
      <c r="E158" s="26">
        <f>E157+Step_h*D157</f>
        <v>0.99679702850048191</v>
      </c>
      <c r="J158" s="24">
        <f>ROUND(J157-Step_h,2)</f>
        <v>8.65</v>
      </c>
      <c r="K158" s="24">
        <f>J158+Age</f>
        <v>28.65</v>
      </c>
      <c r="L158" s="19">
        <f>B*c_gom^K158</f>
        <v>4.7242095948151876E-3</v>
      </c>
      <c r="M158" s="19">
        <f>N158*delta +Prem-L158*(1-N158)</f>
        <v>-1.5811520105440732E-3</v>
      </c>
      <c r="N158" s="26">
        <f>N157-Step_h*M157</f>
        <v>2.6141553314397779E-3</v>
      </c>
      <c r="U158" s="2"/>
      <c r="X158" s="2"/>
    </row>
    <row r="159" spans="1:24" x14ac:dyDescent="0.45">
      <c r="A159" s="24">
        <v>1.36</v>
      </c>
      <c r="B159" s="24">
        <f>A159+Age</f>
        <v>21.36</v>
      </c>
      <c r="C159" s="19">
        <f>B*c_gom^B159</f>
        <v>2.5205190683960988E-3</v>
      </c>
      <c r="D159" s="19">
        <f t="shared" si="2"/>
        <v>-2.5123826455275607E-3</v>
      </c>
      <c r="E159" s="26">
        <f>E158+Step_h*D158</f>
        <v>0.99677192568365869</v>
      </c>
      <c r="J159" s="24">
        <f>ROUND(J158-Step_h,2)</f>
        <v>8.64</v>
      </c>
      <c r="K159" s="24">
        <f>J159+Age</f>
        <v>28.64</v>
      </c>
      <c r="L159" s="19">
        <f>B*c_gom^K159</f>
        <v>4.7201401335566105E-3</v>
      </c>
      <c r="M159" s="19">
        <f>N159*delta +Prem-L159*(1-N159)</f>
        <v>-1.5762279788934471E-3</v>
      </c>
      <c r="N159" s="26">
        <f>N158-Step_h*M158</f>
        <v>2.6299668515452185E-3</v>
      </c>
      <c r="U159" s="2"/>
      <c r="X159" s="2"/>
    </row>
    <row r="160" spans="1:24" x14ac:dyDescent="0.45">
      <c r="A160" s="24">
        <v>1.37</v>
      </c>
      <c r="B160" s="24">
        <f>A160+Age</f>
        <v>21.37</v>
      </c>
      <c r="C160" s="19">
        <f>B*c_gom^B160</f>
        <v>2.5226921298752334E-3</v>
      </c>
      <c r="D160" s="19">
        <f t="shared" si="2"/>
        <v>-2.5144853125234757E-3</v>
      </c>
      <c r="E160" s="26">
        <f>E159+Step_h*D159</f>
        <v>0.99674680185720343</v>
      </c>
      <c r="J160" s="24">
        <f>ROUND(J159-Step_h,2)</f>
        <v>8.6300000000000008</v>
      </c>
      <c r="K160" s="24">
        <f>J160+Age</f>
        <v>28.630000000000003</v>
      </c>
      <c r="L160" s="19">
        <f>B*c_gom^K160</f>
        <v>4.7160741777553172E-3</v>
      </c>
      <c r="M160" s="19">
        <f>N160*delta +Prem-L160*(1-N160)</f>
        <v>-1.5713102663509892E-3</v>
      </c>
      <c r="N160" s="26">
        <f>N159-Step_h*M159</f>
        <v>2.6457291313341531E-3</v>
      </c>
      <c r="U160" s="2"/>
      <c r="X160" s="2"/>
    </row>
    <row r="161" spans="1:24" x14ac:dyDescent="0.45">
      <c r="A161" s="24">
        <v>1.3800000000000001</v>
      </c>
      <c r="B161" s="24">
        <f>A161+Age</f>
        <v>21.38</v>
      </c>
      <c r="C161" s="19">
        <f>B*c_gom^B161</f>
        <v>2.5248670648558413E-3</v>
      </c>
      <c r="D161" s="19">
        <f t="shared" si="2"/>
        <v>-2.5165896845981374E-3</v>
      </c>
      <c r="E161" s="26">
        <f>E160+Step_h*D160</f>
        <v>0.99672165700407822</v>
      </c>
      <c r="J161" s="24">
        <f>ROUND(J160-Step_h,2)</f>
        <v>8.6199999999999992</v>
      </c>
      <c r="K161" s="24">
        <f>J161+Age</f>
        <v>28.619999999999997</v>
      </c>
      <c r="L161" s="19">
        <f>B*c_gom^K161</f>
        <v>4.712011724391685E-3</v>
      </c>
      <c r="M161" s="19">
        <f>N161*delta +Prem-L161*(1-N161)</f>
        <v>-1.5663988656814134E-3</v>
      </c>
      <c r="N161" s="26">
        <f>N160-Step_h*M160</f>
        <v>2.6614422339976628E-3</v>
      </c>
      <c r="U161" s="2"/>
      <c r="X161" s="2"/>
    </row>
    <row r="162" spans="1:24" x14ac:dyDescent="0.45">
      <c r="A162" s="24">
        <v>1.3900000000000001</v>
      </c>
      <c r="B162" s="24">
        <f>A162+Age</f>
        <v>21.39</v>
      </c>
      <c r="C162" s="19">
        <f>B*c_gom^B162</f>
        <v>2.5270438749531608E-3</v>
      </c>
      <c r="D162" s="19">
        <f t="shared" si="2"/>
        <v>-2.5186957630398388E-3</v>
      </c>
      <c r="E162" s="26">
        <f>E161+Step_h*D161</f>
        <v>0.99669649110723224</v>
      </c>
      <c r="J162" s="24">
        <f>ROUND(J161-Step_h,2)</f>
        <v>8.61</v>
      </c>
      <c r="K162" s="24">
        <f>J162+Age</f>
        <v>28.61</v>
      </c>
      <c r="L162" s="19">
        <f>B*c_gom^K162</f>
        <v>4.7079527704486984E-3</v>
      </c>
      <c r="M162" s="19">
        <f>N162*delta +Prem-L162*(1-N162)</f>
        <v>-1.5614937696582427E-3</v>
      </c>
      <c r="N162" s="26">
        <f>N161-Step_h*M161</f>
        <v>2.6771062226544767E-3</v>
      </c>
      <c r="U162" s="2"/>
      <c r="X162" s="2"/>
    </row>
    <row r="163" spans="1:24" x14ac:dyDescent="0.45">
      <c r="A163" s="24">
        <v>1.4000000000000001</v>
      </c>
      <c r="B163" s="24">
        <f>A163+Age</f>
        <v>21.4</v>
      </c>
      <c r="C163" s="19">
        <f>B*c_gom^B163</f>
        <v>2.5292225617838198E-3</v>
      </c>
      <c r="D163" s="19">
        <f t="shared" si="2"/>
        <v>-2.5208035491376766E-3</v>
      </c>
      <c r="E163" s="26">
        <f>E162+Step_h*D162</f>
        <v>0.99667130414960181</v>
      </c>
      <c r="J163" s="24">
        <f>ROUND(J162-Step_h,2)</f>
        <v>8.6</v>
      </c>
      <c r="K163" s="24">
        <f>J163+Age</f>
        <v>28.6</v>
      </c>
      <c r="L163" s="19">
        <f>B*c_gom^K163</f>
        <v>4.7038973129119328E-3</v>
      </c>
      <c r="M163" s="19">
        <f>N163*delta +Prem-L163*(1-N163)</f>
        <v>-1.5565949710637838E-3</v>
      </c>
      <c r="N163" s="26">
        <f>N162-Step_h*M162</f>
        <v>2.6927211603510592E-3</v>
      </c>
      <c r="U163" s="2"/>
      <c r="X163" s="2"/>
    </row>
    <row r="164" spans="1:24" x14ac:dyDescent="0.45">
      <c r="A164" s="24">
        <v>1.41</v>
      </c>
      <c r="B164" s="24">
        <f>A164+Age</f>
        <v>21.41</v>
      </c>
      <c r="C164" s="19">
        <f>B*c_gom^B164</f>
        <v>2.5314031269658421E-3</v>
      </c>
      <c r="D164" s="19">
        <f t="shared" si="2"/>
        <v>-2.5229130441815585E-3</v>
      </c>
      <c r="E164" s="26">
        <f>E163+Step_h*D163</f>
        <v>0.99664609611411048</v>
      </c>
      <c r="J164" s="24">
        <f>ROUND(J163-Step_h,2)</f>
        <v>8.59</v>
      </c>
      <c r="K164" s="24">
        <f>J164+Age</f>
        <v>28.59</v>
      </c>
      <c r="L164" s="19">
        <f>B*c_gom^K164</f>
        <v>4.6998453487695638E-3</v>
      </c>
      <c r="M164" s="19">
        <f>N164*delta +Prem-L164*(1-N164)</f>
        <v>-1.5517024626891234E-3</v>
      </c>
      <c r="N164" s="26">
        <f>N163-Step_h*M163</f>
        <v>2.7082871100616969E-3</v>
      </c>
      <c r="U164" s="2"/>
      <c r="X164" s="2"/>
    </row>
    <row r="165" spans="1:24" x14ac:dyDescent="0.45">
      <c r="A165" s="24">
        <v>1.42</v>
      </c>
      <c r="B165" s="24">
        <f>A165+Age</f>
        <v>21.42</v>
      </c>
      <c r="C165" s="19">
        <f>B*c_gom^B165</f>
        <v>2.5335855721186451E-3</v>
      </c>
      <c r="D165" s="19">
        <f t="shared" si="2"/>
        <v>-2.5250242494621981E-3</v>
      </c>
      <c r="E165" s="26">
        <f>E164+Step_h*D164</f>
        <v>0.9966208669836687</v>
      </c>
      <c r="J165" s="24">
        <f>ROUND(J164-Step_h,2)</f>
        <v>8.58</v>
      </c>
      <c r="K165" s="24">
        <f>J165+Age</f>
        <v>28.58</v>
      </c>
      <c r="L165" s="19">
        <f>B*c_gom^K165</f>
        <v>4.6957968750123641E-3</v>
      </c>
      <c r="M165" s="19">
        <f>N165*delta +Prem-L165*(1-N165)</f>
        <v>-1.546816237334118E-3</v>
      </c>
      <c r="N165" s="26">
        <f>N164-Step_h*M164</f>
        <v>2.7238041346885882E-3</v>
      </c>
      <c r="U165" s="2"/>
      <c r="X165" s="2"/>
    </row>
    <row r="166" spans="1:24" x14ac:dyDescent="0.45">
      <c r="A166" s="24">
        <v>1.43</v>
      </c>
      <c r="B166" s="24">
        <f>A166+Age</f>
        <v>21.43</v>
      </c>
      <c r="C166" s="19">
        <f>B*c_gom^B166</f>
        <v>2.5357698988630415E-3</v>
      </c>
      <c r="D166" s="19">
        <f t="shared" si="2"/>
        <v>-2.5271371662711171E-3</v>
      </c>
      <c r="E166" s="26">
        <f>E165+Step_h*D165</f>
        <v>0.99659561674117403</v>
      </c>
      <c r="J166" s="24">
        <f>ROUND(J165-Step_h,2)</f>
        <v>8.57</v>
      </c>
      <c r="K166" s="24">
        <f>J166+Age</f>
        <v>28.57</v>
      </c>
      <c r="L166" s="19">
        <f>B*c_gom^K166</f>
        <v>4.6917518886336936E-3</v>
      </c>
      <c r="M166" s="19">
        <f>N166*delta +Prem-L166*(1-N166)</f>
        <v>-1.5419362878073745E-3</v>
      </c>
      <c r="N166" s="26">
        <f>N165-Step_h*M165</f>
        <v>2.7392722970619294E-3</v>
      </c>
      <c r="U166" s="2"/>
      <c r="X166" s="2"/>
    </row>
    <row r="167" spans="1:24" x14ac:dyDescent="0.45">
      <c r="A167" s="24">
        <v>1.44</v>
      </c>
      <c r="B167" s="24">
        <f>A167+Age</f>
        <v>21.44</v>
      </c>
      <c r="C167" s="19">
        <f>B*c_gom^B167</f>
        <v>2.5379561088212437E-3</v>
      </c>
      <c r="D167" s="19">
        <f t="shared" si="2"/>
        <v>-2.5292517959006476E-3</v>
      </c>
      <c r="E167" s="26">
        <f>E166+Step_h*D166</f>
        <v>0.99657034536951128</v>
      </c>
      <c r="J167" s="24">
        <f>ROUND(J166-Step_h,2)</f>
        <v>8.56</v>
      </c>
      <c r="K167" s="24">
        <f>J167+Age</f>
        <v>28.560000000000002</v>
      </c>
      <c r="L167" s="19">
        <f>B*c_gom^K167</f>
        <v>4.6877103866295065E-3</v>
      </c>
      <c r="M167" s="19">
        <f>N167*delta +Prem-L167*(1-N167)</f>
        <v>-1.5370626069262441E-3</v>
      </c>
      <c r="N167" s="26">
        <f>N166-Step_h*M166</f>
        <v>2.7546916599400029E-3</v>
      </c>
      <c r="U167" s="2"/>
      <c r="X167" s="2"/>
    </row>
    <row r="168" spans="1:24" x14ac:dyDescent="0.45">
      <c r="A168" s="24">
        <v>1.45</v>
      </c>
      <c r="B168" s="24">
        <f>A168+Age</f>
        <v>21.45</v>
      </c>
      <c r="C168" s="19">
        <f>B*c_gom^B168</f>
        <v>2.5401442036168606E-3</v>
      </c>
      <c r="D168" s="19">
        <f t="shared" si="2"/>
        <v>-2.5313681396439284E-3</v>
      </c>
      <c r="E168" s="26">
        <f>E167+Step_h*D167</f>
        <v>0.99654505285155226</v>
      </c>
      <c r="J168" s="24">
        <f>ROUND(J167-Step_h,2)</f>
        <v>8.5500000000000007</v>
      </c>
      <c r="K168" s="24">
        <f>J168+Age</f>
        <v>28.55</v>
      </c>
      <c r="L168" s="19">
        <f>B*c_gom^K168</f>
        <v>4.6836723659983382E-3</v>
      </c>
      <c r="M168" s="19">
        <f>N168*delta +Prem-L168*(1-N168)</f>
        <v>-1.532195187516799E-3</v>
      </c>
      <c r="N168" s="26">
        <f>N167-Step_h*M167</f>
        <v>2.7700622860092655E-3</v>
      </c>
      <c r="U168" s="2"/>
      <c r="X168" s="2"/>
    </row>
    <row r="169" spans="1:24" x14ac:dyDescent="0.45">
      <c r="A169" s="24">
        <v>1.46</v>
      </c>
      <c r="B169" s="24">
        <f>A169+Age</f>
        <v>21.46</v>
      </c>
      <c r="C169" s="19">
        <f>B*c_gom^B169</f>
        <v>2.5423341848749021E-3</v>
      </c>
      <c r="D169" s="19">
        <f t="shared" si="2"/>
        <v>-2.5334861987949082E-3</v>
      </c>
      <c r="E169" s="26">
        <f>E168+Step_h*D168</f>
        <v>0.99651973917015579</v>
      </c>
      <c r="J169" s="24">
        <f>ROUND(J168-Step_h,2)</f>
        <v>8.5399999999999991</v>
      </c>
      <c r="K169" s="24">
        <f>J169+Age</f>
        <v>28.54</v>
      </c>
      <c r="L169" s="19">
        <f>B*c_gom^K169</f>
        <v>4.6796378237413186E-3</v>
      </c>
      <c r="M169" s="19">
        <f>N169*delta +Prem-L169*(1-N169)</f>
        <v>-1.5273340224138399E-3</v>
      </c>
      <c r="N169" s="26">
        <f>N168-Step_h*M168</f>
        <v>2.7853842378844336E-3</v>
      </c>
      <c r="U169" s="2"/>
      <c r="X169" s="2"/>
    </row>
    <row r="170" spans="1:24" x14ac:dyDescent="0.45">
      <c r="A170" s="24">
        <v>1.47</v>
      </c>
      <c r="B170" s="24">
        <f>A170+Age</f>
        <v>21.47</v>
      </c>
      <c r="C170" s="19">
        <f>B*c_gom^B170</f>
        <v>2.5445260542217786E-3</v>
      </c>
      <c r="D170" s="19">
        <f t="shared" si="2"/>
        <v>-2.535605974648344E-3</v>
      </c>
      <c r="E170" s="26">
        <f>E169+Step_h*D169</f>
        <v>0.99649440430816782</v>
      </c>
      <c r="J170" s="24">
        <f>ROUND(J169-Step_h,2)</f>
        <v>8.5299999999999994</v>
      </c>
      <c r="K170" s="24">
        <f>J170+Age</f>
        <v>28.53</v>
      </c>
      <c r="L170" s="19">
        <f>B*c_gom^K170</f>
        <v>4.6756067568621551E-3</v>
      </c>
      <c r="M170" s="19">
        <f>N170*delta +Prem-L170*(1-N170)</f>
        <v>-1.5224791044608646E-3</v>
      </c>
      <c r="N170" s="26">
        <f>N169-Step_h*M169</f>
        <v>2.8006575781085721E-3</v>
      </c>
      <c r="U170" s="2"/>
      <c r="X170" s="2"/>
    </row>
    <row r="171" spans="1:24" x14ac:dyDescent="0.45">
      <c r="A171" s="24">
        <v>1.48</v>
      </c>
      <c r="B171" s="24">
        <f>A171+Age</f>
        <v>21.48</v>
      </c>
      <c r="C171" s="19">
        <f>B*c_gom^B171</f>
        <v>2.5467198132853035E-3</v>
      </c>
      <c r="D171" s="19">
        <f t="shared" si="2"/>
        <v>-2.5377274684998037E-3</v>
      </c>
      <c r="E171" s="26">
        <f>E170+Step_h*D170</f>
        <v>0.99646904824842131</v>
      </c>
      <c r="J171" s="24">
        <f>ROUND(J170-Step_h,2)</f>
        <v>8.52</v>
      </c>
      <c r="K171" s="24">
        <f>J171+Age</f>
        <v>28.52</v>
      </c>
      <c r="L171" s="19">
        <f>B*c_gom^K171</f>
        <v>4.6715791623671349E-3</v>
      </c>
      <c r="M171" s="19">
        <f>N171*delta +Prem-L171*(1-N171)</f>
        <v>-1.5176304265100624E-3</v>
      </c>
      <c r="N171" s="26">
        <f>N170-Step_h*M170</f>
        <v>2.8158823691531807E-3</v>
      </c>
      <c r="U171" s="2"/>
      <c r="X171" s="2"/>
    </row>
    <row r="172" spans="1:24" x14ac:dyDescent="0.45">
      <c r="A172" s="24">
        <v>1.49</v>
      </c>
      <c r="B172" s="24">
        <f>A172+Age</f>
        <v>21.49</v>
      </c>
      <c r="C172" s="19">
        <f>B*c_gom^B172</f>
        <v>2.5489154636946921E-3</v>
      </c>
      <c r="D172" s="19">
        <f t="shared" si="2"/>
        <v>-2.5398506816456624E-3</v>
      </c>
      <c r="E172" s="26">
        <f>E171+Step_h*D171</f>
        <v>0.99644367097373632</v>
      </c>
      <c r="J172" s="24">
        <f>ROUND(J171-Step_h,2)</f>
        <v>8.51</v>
      </c>
      <c r="K172" s="24">
        <f>J172+Age</f>
        <v>28.509999999999998</v>
      </c>
      <c r="L172" s="19">
        <f>B*c_gom^K172</f>
        <v>4.6675550372651297E-3</v>
      </c>
      <c r="M172" s="19">
        <f>N172*delta +Prem-L172*(1-N172)</f>
        <v>-1.5127879814223091E-3</v>
      </c>
      <c r="N172" s="26">
        <f>N171-Step_h*M171</f>
        <v>2.8310586734182812E-3</v>
      </c>
      <c r="U172" s="2"/>
      <c r="X172" s="2"/>
    </row>
    <row r="173" spans="1:24" x14ac:dyDescent="0.45">
      <c r="A173" s="24">
        <v>1.5</v>
      </c>
      <c r="B173" s="24">
        <f>A173+Age</f>
        <v>21.5</v>
      </c>
      <c r="C173" s="19">
        <f>B*c_gom^B173</f>
        <v>2.551113007080566E-3</v>
      </c>
      <c r="D173" s="19">
        <f t="shared" si="2"/>
        <v>-2.5419756153831066E-3</v>
      </c>
      <c r="E173" s="26">
        <f>E172+Step_h*D172</f>
        <v>0.99641827246691983</v>
      </c>
      <c r="J173" s="24">
        <f>ROUND(J172-Step_h,2)</f>
        <v>8.5</v>
      </c>
      <c r="K173" s="24">
        <f>J173+Age</f>
        <v>28.5</v>
      </c>
      <c r="L173" s="19">
        <f>B*c_gom^K173</f>
        <v>4.6635343785675831E-3</v>
      </c>
      <c r="M173" s="19">
        <f>N173*delta +Prem-L173*(1-N173)</f>
        <v>-1.5079517620671412E-3</v>
      </c>
      <c r="N173" s="26">
        <f>N172-Step_h*M172</f>
        <v>2.8461865532325042E-3</v>
      </c>
      <c r="U173" s="2"/>
      <c r="X173" s="2"/>
    </row>
    <row r="174" spans="1:24" x14ac:dyDescent="0.45">
      <c r="A174" s="24">
        <v>1.51</v>
      </c>
      <c r="B174" s="24">
        <f>A174+Age</f>
        <v>21.51</v>
      </c>
      <c r="C174" s="19">
        <f>B*c_gom^B174</f>
        <v>2.553312445074952E-3</v>
      </c>
      <c r="D174" s="19">
        <f t="shared" si="2"/>
        <v>-2.5441022710101326E-3</v>
      </c>
      <c r="E174" s="26">
        <f>E173+Step_h*D173</f>
        <v>0.99639285271076605</v>
      </c>
      <c r="J174" s="24">
        <f>ROUND(J173-Step_h,2)</f>
        <v>8.49</v>
      </c>
      <c r="K174" s="24">
        <f>J174+Age</f>
        <v>28.490000000000002</v>
      </c>
      <c r="L174" s="19">
        <f>B*c_gom^K174</f>
        <v>4.6595171832885147E-3</v>
      </c>
      <c r="M174" s="19">
        <f>N174*delta +Prem-L174*(1-N174)</f>
        <v>-1.5031217613227553E-3</v>
      </c>
      <c r="N174" s="26">
        <f>N173-Step_h*M173</f>
        <v>2.8612660708531757E-3</v>
      </c>
      <c r="U174" s="2"/>
      <c r="X174" s="2"/>
    </row>
    <row r="175" spans="1:24" x14ac:dyDescent="0.45">
      <c r="A175" s="24">
        <v>1.52</v>
      </c>
      <c r="B175" s="24">
        <f>A175+Age</f>
        <v>21.52</v>
      </c>
      <c r="C175" s="19">
        <f>B*c_gom^B175</f>
        <v>2.5555137793112823E-3</v>
      </c>
      <c r="D175" s="19">
        <f t="shared" si="2"/>
        <v>-2.5462306498255441E-3</v>
      </c>
      <c r="E175" s="26">
        <f>E174+Step_h*D174</f>
        <v>0.99636741168805598</v>
      </c>
      <c r="J175" s="24">
        <f>ROUND(J174-Step_h,2)</f>
        <v>8.48</v>
      </c>
      <c r="K175" s="24">
        <f>J175+Age</f>
        <v>28.48</v>
      </c>
      <c r="L175" s="19">
        <f>B*c_gom^K175</f>
        <v>4.6555034484445151E-3</v>
      </c>
      <c r="M175" s="19">
        <f>N175*delta +Prem-L175*(1-N175)</f>
        <v>-1.4982979720759883E-3</v>
      </c>
      <c r="N175" s="26">
        <f>N174-Step_h*M174</f>
        <v>2.8762972884664034E-3</v>
      </c>
      <c r="U175" s="2"/>
      <c r="X175" s="2"/>
    </row>
    <row r="176" spans="1:24" x14ac:dyDescent="0.45">
      <c r="A176" s="24">
        <v>1.53</v>
      </c>
      <c r="B176" s="24">
        <f>A176+Age</f>
        <v>21.53</v>
      </c>
      <c r="C176" s="19">
        <f>B*c_gom^B176</f>
        <v>2.5577170114244002E-3</v>
      </c>
      <c r="D176" s="19">
        <f t="shared" si="2"/>
        <v>-2.5483607531289589E-3</v>
      </c>
      <c r="E176" s="26">
        <f>E175+Step_h*D175</f>
        <v>0.99634194938155773</v>
      </c>
      <c r="J176" s="24">
        <f>ROUND(J175-Step_h,2)</f>
        <v>8.4700000000000006</v>
      </c>
      <c r="K176" s="24">
        <f>J176+Age</f>
        <v>28.47</v>
      </c>
      <c r="L176" s="19">
        <f>B*c_gom^K176</f>
        <v>4.6514931710547438E-3</v>
      </c>
      <c r="M176" s="19">
        <f>N176*delta +Prem-L176*(1-N176)</f>
        <v>-1.4934803872223078E-3</v>
      </c>
      <c r="N176" s="26">
        <f>N175-Step_h*M175</f>
        <v>2.8912802681871634E-3</v>
      </c>
      <c r="U176" s="2"/>
      <c r="X176" s="2"/>
    </row>
    <row r="177" spans="1:24" x14ac:dyDescent="0.45">
      <c r="A177" s="24">
        <v>1.54</v>
      </c>
      <c r="B177" s="24">
        <f>A177+Age</f>
        <v>21.54</v>
      </c>
      <c r="C177" s="19">
        <f>B*c_gom^B177</f>
        <v>2.5599221430505563E-3</v>
      </c>
      <c r="D177" s="19">
        <f t="shared" si="2"/>
        <v>-2.5504925822208021E-3</v>
      </c>
      <c r="E177" s="26">
        <f>E176+Step_h*D176</f>
        <v>0.99631646577402644</v>
      </c>
      <c r="J177" s="24">
        <f>ROUND(J176-Step_h,2)</f>
        <v>8.4600000000000009</v>
      </c>
      <c r="K177" s="24">
        <f>J177+Age</f>
        <v>28.46</v>
      </c>
      <c r="L177" s="19">
        <f>B*c_gom^K177</f>
        <v>4.6474863481409355E-3</v>
      </c>
      <c r="M177" s="19">
        <f>N177*delta +Prem-L177*(1-N177)</f>
        <v>-1.4886689996658087E-3</v>
      </c>
      <c r="N177" s="26">
        <f>N176-Step_h*M176</f>
        <v>2.9062150720593864E-3</v>
      </c>
      <c r="U177" s="2"/>
      <c r="X177" s="2"/>
    </row>
    <row r="178" spans="1:24" x14ac:dyDescent="0.45">
      <c r="A178" s="24">
        <v>1.55</v>
      </c>
      <c r="B178" s="24">
        <f>A178+Age</f>
        <v>21.55</v>
      </c>
      <c r="C178" s="19">
        <f>B*c_gom^B178</f>
        <v>2.5621291758274136E-3</v>
      </c>
      <c r="D178" s="19">
        <f t="shared" si="2"/>
        <v>-2.5526261384023114E-3</v>
      </c>
      <c r="E178" s="26">
        <f>E177+Step_h*D177</f>
        <v>0.99629096084820423</v>
      </c>
      <c r="J178" s="24">
        <f>ROUND(J177-Step_h,2)</f>
        <v>8.4499999999999993</v>
      </c>
      <c r="K178" s="24">
        <f>J178+Age</f>
        <v>28.45</v>
      </c>
      <c r="L178" s="19">
        <f>B*c_gom^K178</f>
        <v>4.6434829767273804E-3</v>
      </c>
      <c r="M178" s="19">
        <f>N178*delta +Prem-L178*(1-N178)</f>
        <v>-1.4838638023191822E-3</v>
      </c>
      <c r="N178" s="26">
        <f>N177-Step_h*M177</f>
        <v>2.9211017620560443E-3</v>
      </c>
      <c r="U178" s="2"/>
      <c r="X178" s="2"/>
    </row>
    <row r="179" spans="1:24" x14ac:dyDescent="0.45">
      <c r="A179" s="24">
        <v>1.56</v>
      </c>
      <c r="B179" s="24">
        <f>A179+Age</f>
        <v>21.56</v>
      </c>
      <c r="C179" s="19">
        <f>B*c_gom^B179</f>
        <v>2.5643381113940452E-3</v>
      </c>
      <c r="D179" s="19">
        <f t="shared" si="2"/>
        <v>-2.5547614229755344E-3</v>
      </c>
      <c r="E179" s="26">
        <f>E178+Step_h*D178</f>
        <v>0.99626543458682026</v>
      </c>
      <c r="J179" s="24">
        <f>ROUND(J178-Step_h,2)</f>
        <v>8.44</v>
      </c>
      <c r="K179" s="24">
        <f>J179+Age</f>
        <v>28.439999999999998</v>
      </c>
      <c r="L179" s="19">
        <f>B*c_gom^K179</f>
        <v>4.639483053840935E-3</v>
      </c>
      <c r="M179" s="19">
        <f>N179*delta +Prem-L179*(1-N179)</f>
        <v>-1.4790647881037181E-3</v>
      </c>
      <c r="N179" s="26">
        <f>N178-Step_h*M178</f>
        <v>2.935940400079236E-3</v>
      </c>
      <c r="U179" s="2"/>
      <c r="X179" s="2"/>
    </row>
    <row r="180" spans="1:24" x14ac:dyDescent="0.45">
      <c r="A180" s="24">
        <v>1.57</v>
      </c>
      <c r="B180" s="24">
        <f>A180+Age</f>
        <v>21.57</v>
      </c>
      <c r="C180" s="19">
        <f>B*c_gom^B180</f>
        <v>2.5665489513909401E-3</v>
      </c>
      <c r="D180" s="19">
        <f t="shared" si="2"/>
        <v>-2.5568984372433307E-3</v>
      </c>
      <c r="E180" s="26">
        <f>E179+Step_h*D179</f>
        <v>0.99623988697259047</v>
      </c>
      <c r="J180" s="24">
        <f>ROUND(J179-Step_h,2)</f>
        <v>8.43</v>
      </c>
      <c r="K180" s="24">
        <f>J180+Age</f>
        <v>28.43</v>
      </c>
      <c r="L180" s="19">
        <f>B*c_gom^K180</f>
        <v>4.6354865765110241E-3</v>
      </c>
      <c r="M180" s="19">
        <f>N180*delta +Prem-L180*(1-N180)</f>
        <v>-1.4742719499492964E-3</v>
      </c>
      <c r="N180" s="26">
        <f>N179-Step_h*M179</f>
        <v>2.9507310479602732E-3</v>
      </c>
      <c r="U180" s="2"/>
      <c r="X180" s="2"/>
    </row>
    <row r="181" spans="1:24" x14ac:dyDescent="0.45">
      <c r="A181" s="24">
        <v>1.58</v>
      </c>
      <c r="B181" s="24">
        <f>A181+Age</f>
        <v>21.58</v>
      </c>
      <c r="C181" s="19">
        <f>B*c_gom^B181</f>
        <v>2.5687616974599966E-3</v>
      </c>
      <c r="D181" s="19">
        <f t="shared" si="2"/>
        <v>-2.5590371825093675E-3</v>
      </c>
      <c r="E181" s="26">
        <f>E180+Step_h*D180</f>
        <v>0.99621431798821802</v>
      </c>
      <c r="J181" s="24">
        <f>ROUND(J180-Step_h,2)</f>
        <v>8.42</v>
      </c>
      <c r="K181" s="24">
        <f>J181+Age</f>
        <v>28.42</v>
      </c>
      <c r="L181" s="19">
        <f>B*c_gom^K181</f>
        <v>4.6314935417696218E-3</v>
      </c>
      <c r="M181" s="19">
        <f>N181*delta +Prem-L181*(1-N181)</f>
        <v>-1.4694852807943556E-3</v>
      </c>
      <c r="N181" s="26">
        <f>N180-Step_h*M180</f>
        <v>2.965473767459766E-3</v>
      </c>
      <c r="U181" s="2"/>
      <c r="X181" s="2"/>
    </row>
    <row r="182" spans="1:24" x14ac:dyDescent="0.45">
      <c r="A182" s="24">
        <v>1.59</v>
      </c>
      <c r="B182" s="24">
        <f>A182+Age</f>
        <v>21.59</v>
      </c>
      <c r="C182" s="19">
        <f>B*c_gom^B182</f>
        <v>2.5709763512445352E-3</v>
      </c>
      <c r="D182" s="19">
        <f t="shared" si="2"/>
        <v>-2.5611776600781297E-3</v>
      </c>
      <c r="E182" s="26">
        <f>E181+Step_h*D181</f>
        <v>0.99618872761639288</v>
      </c>
      <c r="J182" s="24">
        <f>ROUND(J181-Step_h,2)</f>
        <v>8.41</v>
      </c>
      <c r="K182" s="24">
        <f>J182+Age</f>
        <v>28.41</v>
      </c>
      <c r="L182" s="19">
        <f>B*c_gom^K182</f>
        <v>4.6275039466512615E-3</v>
      </c>
      <c r="M182" s="19">
        <f>N182*delta +Prem-L182*(1-N182)</f>
        <v>-1.4647047735859009E-3</v>
      </c>
      <c r="N182" s="26">
        <f>N181-Step_h*M181</f>
        <v>2.9801686202677096E-3</v>
      </c>
      <c r="U182" s="2"/>
      <c r="X182" s="2"/>
    </row>
    <row r="183" spans="1:24" x14ac:dyDescent="0.45">
      <c r="A183" s="24">
        <v>1.6</v>
      </c>
      <c r="B183" s="24">
        <f>A183+Age</f>
        <v>21.6</v>
      </c>
      <c r="C183" s="19">
        <f>B*c_gom^B183</f>
        <v>2.573192914389288E-3</v>
      </c>
      <c r="D183" s="19">
        <f t="shared" si="2"/>
        <v>-2.5633198712549086E-3</v>
      </c>
      <c r="E183" s="26">
        <f>E182+Step_h*D182</f>
        <v>0.99616311583979211</v>
      </c>
      <c r="J183" s="24">
        <f>ROUND(J182-Step_h,2)</f>
        <v>8.4</v>
      </c>
      <c r="K183" s="24">
        <f>J183+Age</f>
        <v>28.4</v>
      </c>
      <c r="L183" s="19">
        <f>B*c_gom^K183</f>
        <v>4.6235177881930331E-3</v>
      </c>
      <c r="M183" s="19">
        <f>N183*delta +Prem-L183*(1-N183)</f>
        <v>-1.4599304212794813E-3</v>
      </c>
      <c r="N183" s="26">
        <f>N182-Step_h*M182</f>
        <v>2.9948156680035688E-3</v>
      </c>
      <c r="U183" s="2"/>
      <c r="X183" s="2"/>
    </row>
    <row r="184" spans="1:24" x14ac:dyDescent="0.45">
      <c r="A184" s="24">
        <v>1.61</v>
      </c>
      <c r="B184" s="24">
        <f>A184+Age</f>
        <v>21.61</v>
      </c>
      <c r="C184" s="19">
        <f>B*c_gom^B184</f>
        <v>2.5754113885404061E-3</v>
      </c>
      <c r="D184" s="19">
        <f t="shared" si="2"/>
        <v>-2.5654638173458074E-3</v>
      </c>
      <c r="E184" s="26">
        <f>E183+Step_h*D183</f>
        <v>0.9961374826410796</v>
      </c>
      <c r="J184" s="24">
        <f>ROUND(J183-Step_h,2)</f>
        <v>8.39</v>
      </c>
      <c r="K184" s="24">
        <f>J184+Age</f>
        <v>28.39</v>
      </c>
      <c r="L184" s="19">
        <f>B*c_gom^K184</f>
        <v>4.6195350634345806E-3</v>
      </c>
      <c r="M184" s="19">
        <f>N184*delta +Prem-L184*(1-N184)</f>
        <v>-1.4551622168391841E-3</v>
      </c>
      <c r="N184" s="26">
        <f>N183-Step_h*M183</f>
        <v>3.0094149722163636E-3</v>
      </c>
      <c r="U184" s="2"/>
      <c r="X184" s="2"/>
    </row>
    <row r="185" spans="1:24" x14ac:dyDescent="0.45">
      <c r="A185" s="24">
        <v>1.62</v>
      </c>
      <c r="B185" s="24">
        <f>A185+Age</f>
        <v>21.62</v>
      </c>
      <c r="C185" s="19">
        <f>B*c_gom^B185</f>
        <v>2.5776317753454622E-3</v>
      </c>
      <c r="D185" s="19">
        <f t="shared" si="2"/>
        <v>-2.5676094996577446E-3</v>
      </c>
      <c r="E185" s="26">
        <f>E184+Step_h*D184</f>
        <v>0.9961118280029061</v>
      </c>
      <c r="J185" s="24">
        <f>ROUND(J184-Step_h,2)</f>
        <v>8.3800000000000008</v>
      </c>
      <c r="K185" s="24">
        <f>J185+Age</f>
        <v>28.380000000000003</v>
      </c>
      <c r="L185" s="19">
        <f>B*c_gom^K185</f>
        <v>4.6155557694180912E-3</v>
      </c>
      <c r="M185" s="19">
        <f>N185*delta +Prem-L185*(1-N185)</f>
        <v>-1.4504001532376128E-3</v>
      </c>
      <c r="N185" s="26">
        <f>N184-Step_h*M184</f>
        <v>3.0239665943847553E-3</v>
      </c>
      <c r="U185" s="2"/>
      <c r="X185" s="2"/>
    </row>
    <row r="186" spans="1:24" x14ac:dyDescent="0.45">
      <c r="A186" s="24">
        <v>1.6300000000000001</v>
      </c>
      <c r="B186" s="24">
        <f>A186+Age</f>
        <v>21.63</v>
      </c>
      <c r="C186" s="19">
        <f>B*c_gom^B186</f>
        <v>2.5798540764534468E-3</v>
      </c>
      <c r="D186" s="19">
        <f t="shared" si="2"/>
        <v>-2.5697569194984477E-3</v>
      </c>
      <c r="E186" s="26">
        <f>E185+Step_h*D185</f>
        <v>0.9960861519079095</v>
      </c>
      <c r="J186" s="24">
        <f>ROUND(J185-Step_h,2)</f>
        <v>8.3699999999999992</v>
      </c>
      <c r="K186" s="24">
        <f>J186+Age</f>
        <v>28.369999999999997</v>
      </c>
      <c r="L186" s="19">
        <f>B*c_gom^K186</f>
        <v>4.6115799031883056E-3</v>
      </c>
      <c r="M186" s="19">
        <f>N186*delta +Prem-L186*(1-N186)</f>
        <v>-1.4456442234558895E-3</v>
      </c>
      <c r="N186" s="26">
        <f>N185-Step_h*M185</f>
        <v>3.0384705959171313E-3</v>
      </c>
      <c r="U186" s="2"/>
      <c r="X186" s="2"/>
    </row>
    <row r="187" spans="1:24" x14ac:dyDescent="0.45">
      <c r="A187" s="24">
        <v>1.6400000000000001</v>
      </c>
      <c r="B187" s="24">
        <f>A187+Age</f>
        <v>21.64</v>
      </c>
      <c r="C187" s="19">
        <f>B*c_gom^B187</f>
        <v>2.5820782935147739E-3</v>
      </c>
      <c r="D187" s="19">
        <f t="shared" si="2"/>
        <v>-2.5719060781764585E-3</v>
      </c>
      <c r="E187" s="26">
        <f>E186+Step_h*D186</f>
        <v>0.99606045433871448</v>
      </c>
      <c r="J187" s="24">
        <f>ROUND(J186-Step_h,2)</f>
        <v>8.36</v>
      </c>
      <c r="K187" s="24">
        <f>J187+Age</f>
        <v>28.36</v>
      </c>
      <c r="L187" s="19">
        <f>B*c_gom^K187</f>
        <v>4.6076074617925102E-3</v>
      </c>
      <c r="M187" s="19">
        <f>N187*delta +Prem-L187*(1-N187)</f>
        <v>-1.44089442048363E-3</v>
      </c>
      <c r="N187" s="26">
        <f>N186-Step_h*M186</f>
        <v>3.0529270381516901E-3</v>
      </c>
      <c r="U187" s="2"/>
      <c r="X187" s="2"/>
    </row>
    <row r="188" spans="1:24" x14ac:dyDescent="0.45">
      <c r="A188" s="24">
        <v>1.6500000000000001</v>
      </c>
      <c r="B188" s="24">
        <f>A188+Age</f>
        <v>21.65</v>
      </c>
      <c r="C188" s="19">
        <f>B*c_gom^B188</f>
        <v>2.584304428181279E-3</v>
      </c>
      <c r="D188" s="19">
        <f t="shared" si="2"/>
        <v>-2.5740569770011297E-3</v>
      </c>
      <c r="E188" s="26">
        <f>E187+Step_h*D187</f>
        <v>0.99603473527793274</v>
      </c>
      <c r="J188" s="24">
        <f>ROUND(J187-Step_h,2)</f>
        <v>8.35</v>
      </c>
      <c r="K188" s="24">
        <f>J188+Age</f>
        <v>28.35</v>
      </c>
      <c r="L188" s="19">
        <f>B*c_gom^K188</f>
        <v>4.6036384422805318E-3</v>
      </c>
      <c r="M188" s="19">
        <f>N188*delta +Prem-L188*(1-N188)</f>
        <v>-1.4361507373189387E-3</v>
      </c>
      <c r="N188" s="26">
        <f>N187-Step_h*M187</f>
        <v>3.0673359823565264E-3</v>
      </c>
      <c r="U188" s="2"/>
      <c r="X188" s="2"/>
    </row>
    <row r="189" spans="1:24" x14ac:dyDescent="0.45">
      <c r="A189" s="24">
        <v>1.6600000000000001</v>
      </c>
      <c r="B189" s="24">
        <f>A189+Age</f>
        <v>21.66</v>
      </c>
      <c r="C189" s="19">
        <f>B*c_gom^B189</f>
        <v>2.5865324821062225E-3</v>
      </c>
      <c r="D189" s="19">
        <f t="shared" si="2"/>
        <v>-2.5762096172826277E-3</v>
      </c>
      <c r="E189" s="26">
        <f>E188+Step_h*D188</f>
        <v>0.99600899470816273</v>
      </c>
      <c r="J189" s="24">
        <f>ROUND(J188-Step_h,2)</f>
        <v>8.34</v>
      </c>
      <c r="K189" s="24">
        <f>J189+Age</f>
        <v>28.34</v>
      </c>
      <c r="L189" s="19">
        <f>B*c_gom^K189</f>
        <v>4.5996728417047415E-3</v>
      </c>
      <c r="M189" s="19">
        <f>N189*delta +Prem-L189*(1-N189)</f>
        <v>-1.4314131669683956E-3</v>
      </c>
      <c r="N189" s="26">
        <f>N188-Step_h*M188</f>
        <v>3.081697489729716E-3</v>
      </c>
      <c r="U189" s="2"/>
      <c r="X189" s="2"/>
    </row>
    <row r="190" spans="1:24" x14ac:dyDescent="0.45">
      <c r="A190" s="24">
        <v>1.67</v>
      </c>
      <c r="B190" s="24">
        <f>A190+Age</f>
        <v>21.67</v>
      </c>
      <c r="C190" s="19">
        <f>B*c_gom^B190</f>
        <v>2.5887624569442898E-3</v>
      </c>
      <c r="D190" s="19">
        <f t="shared" si="2"/>
        <v>-2.5783640003319312E-3</v>
      </c>
      <c r="E190" s="26">
        <f>E189+Step_h*D189</f>
        <v>0.99598323261198995</v>
      </c>
      <c r="J190" s="24">
        <f>ROUND(J189-Step_h,2)</f>
        <v>8.33</v>
      </c>
      <c r="K190" s="24">
        <f>J190+Age</f>
        <v>28.33</v>
      </c>
      <c r="L190" s="19">
        <f>B*c_gom^K190</f>
        <v>4.5957106571200444E-3</v>
      </c>
      <c r="M190" s="19">
        <f>N190*delta +Prem-L190*(1-N190)</f>
        <v>-1.4266817024470415E-3</v>
      </c>
      <c r="N190" s="26">
        <f>N189-Step_h*M189</f>
        <v>3.0960116213993999E-3</v>
      </c>
      <c r="U190" s="2"/>
      <c r="X190" s="2"/>
    </row>
    <row r="191" spans="1:24" x14ac:dyDescent="0.45">
      <c r="A191" s="24">
        <v>1.68</v>
      </c>
      <c r="B191" s="24">
        <f>A191+Age</f>
        <v>21.68</v>
      </c>
      <c r="C191" s="19">
        <f>B*c_gom^B191</f>
        <v>2.5909943543515933E-3</v>
      </c>
      <c r="D191" s="19">
        <f t="shared" si="2"/>
        <v>-2.5805201274608325E-3</v>
      </c>
      <c r="E191" s="26">
        <f>E190+Step_h*D190</f>
        <v>0.99595744897198668</v>
      </c>
      <c r="J191" s="24">
        <f>ROUND(J190-Step_h,2)</f>
        <v>8.32</v>
      </c>
      <c r="K191" s="24">
        <f>J191+Age</f>
        <v>28.32</v>
      </c>
      <c r="L191" s="19">
        <f>B*c_gom^K191</f>
        <v>4.5917518855838899E-3</v>
      </c>
      <c r="M191" s="19">
        <f>N191*delta +Prem-L191*(1-N191)</f>
        <v>-1.4219563367783728E-3</v>
      </c>
      <c r="N191" s="26">
        <f>N190-Step_h*M190</f>
        <v>3.1102784384238703E-3</v>
      </c>
      <c r="U191" s="2"/>
      <c r="X191" s="2"/>
    </row>
    <row r="192" spans="1:24" x14ac:dyDescent="0.45">
      <c r="A192" s="24">
        <v>1.69</v>
      </c>
      <c r="B192" s="24">
        <f>A192+Age</f>
        <v>21.69</v>
      </c>
      <c r="C192" s="19">
        <f>B*c_gom^B192</f>
        <v>2.5932281759856735E-3</v>
      </c>
      <c r="D192" s="19">
        <f t="shared" si="2"/>
        <v>-2.5826779999819373E-3</v>
      </c>
      <c r="E192" s="26">
        <f>E191+Step_h*D191</f>
        <v>0.99593164377071208</v>
      </c>
      <c r="J192" s="24">
        <f>ROUND(J191-Step_h,2)</f>
        <v>8.31</v>
      </c>
      <c r="K192" s="24">
        <f>J192+Age</f>
        <v>28.310000000000002</v>
      </c>
      <c r="L192" s="19">
        <f>B*c_gom^K192</f>
        <v>4.5877965241562608E-3</v>
      </c>
      <c r="M192" s="19">
        <f>N192*delta +Prem-L192*(1-N192)</f>
        <v>-1.417237062994325E-3</v>
      </c>
      <c r="N192" s="26">
        <f>N191-Step_h*M191</f>
        <v>3.1244980017916539E-3</v>
      </c>
      <c r="U192" s="2"/>
      <c r="X192" s="2"/>
    </row>
    <row r="193" spans="1:24" x14ac:dyDescent="0.45">
      <c r="A193" s="24">
        <v>1.7</v>
      </c>
      <c r="B193" s="24">
        <f>A193+Age</f>
        <v>21.7</v>
      </c>
      <c r="C193" s="19">
        <f>B*c_gom^B193</f>
        <v>2.5954639235054983E-3</v>
      </c>
      <c r="D193" s="19">
        <f t="shared" si="2"/>
        <v>-2.5848376192086626E-3</v>
      </c>
      <c r="E193" s="26">
        <f>E192+Step_h*D192</f>
        <v>0.99590581699071223</v>
      </c>
      <c r="J193" s="24">
        <f>ROUND(J192-Step_h,2)</f>
        <v>8.3000000000000007</v>
      </c>
      <c r="K193" s="24">
        <f>J193+Age</f>
        <v>28.3</v>
      </c>
      <c r="L193" s="19">
        <f>B*c_gom^K193</f>
        <v>4.5838445698996614E-3</v>
      </c>
      <c r="M193" s="19">
        <f>N193*delta +Prem-L193*(1-N193)</f>
        <v>-1.4125238741352518E-3</v>
      </c>
      <c r="N193" s="26">
        <f>N192-Step_h*M192</f>
        <v>3.1386703724215971E-3</v>
      </c>
      <c r="U193" s="2"/>
      <c r="X193" s="2"/>
    </row>
    <row r="194" spans="1:24" x14ac:dyDescent="0.45">
      <c r="A194" s="24">
        <v>1.71</v>
      </c>
      <c r="B194" s="24">
        <f>A194+Age</f>
        <v>21.71</v>
      </c>
      <c r="C194" s="19">
        <f>B*c_gom^B194</f>
        <v>2.5977015985714676E-3</v>
      </c>
      <c r="D194" s="19">
        <f t="shared" si="2"/>
        <v>-2.5869989864552418E-3</v>
      </c>
      <c r="E194" s="26">
        <f>E193+Step_h*D193</f>
        <v>0.99587996861452011</v>
      </c>
      <c r="J194" s="24">
        <f>ROUND(J193-Step_h,2)</f>
        <v>8.2899999999999991</v>
      </c>
      <c r="K194" s="24">
        <f>J194+Age</f>
        <v>28.29</v>
      </c>
      <c r="L194" s="19">
        <f>B*c_gom^K194</f>
        <v>4.57989601987914E-3</v>
      </c>
      <c r="M194" s="19">
        <f>N194*delta +Prem-L194*(1-N194)</f>
        <v>-1.4078167632499343E-3</v>
      </c>
      <c r="N194" s="26">
        <f>N193-Step_h*M193</f>
        <v>3.1527956111629496E-3</v>
      </c>
      <c r="U194" s="2"/>
      <c r="X194" s="2"/>
    </row>
    <row r="195" spans="1:24" x14ac:dyDescent="0.45">
      <c r="A195" s="24">
        <v>1.72</v>
      </c>
      <c r="B195" s="24">
        <f>A195+Age</f>
        <v>21.72</v>
      </c>
      <c r="C195" s="19">
        <f>B*c_gom^B195</f>
        <v>2.5999412028454121E-3</v>
      </c>
      <c r="D195" s="19">
        <f t="shared" si="2"/>
        <v>-2.5891621030367205E-3</v>
      </c>
      <c r="E195" s="26">
        <f>E194+Step_h*D194</f>
        <v>0.99585409862465557</v>
      </c>
      <c r="J195" s="24">
        <f>ROUND(J194-Step_h,2)</f>
        <v>8.2799999999999994</v>
      </c>
      <c r="K195" s="24">
        <f>J195+Age</f>
        <v>28.28</v>
      </c>
      <c r="L195" s="19">
        <f>B*c_gom^K195</f>
        <v>4.5759508711622722E-3</v>
      </c>
      <c r="M195" s="19">
        <f>N195*delta +Prem-L195*(1-N195)</f>
        <v>-1.4031157233955595E-3</v>
      </c>
      <c r="N195" s="26">
        <f>N194-Step_h*M194</f>
        <v>3.1668737787954489E-3</v>
      </c>
      <c r="U195" s="2"/>
      <c r="X195" s="2"/>
    </row>
    <row r="196" spans="1:24" x14ac:dyDescent="0.45">
      <c r="A196" s="24">
        <v>1.73</v>
      </c>
      <c r="B196" s="24">
        <f>A196+Age</f>
        <v>21.73</v>
      </c>
      <c r="C196" s="19">
        <f>B*c_gom^B196</f>
        <v>2.6021827379905959E-3</v>
      </c>
      <c r="D196" s="19">
        <f t="shared" si="2"/>
        <v>-2.5913269702689595E-3</v>
      </c>
      <c r="E196" s="26">
        <f>E195+Step_h*D195</f>
        <v>0.99582820700362518</v>
      </c>
      <c r="J196" s="24">
        <f>ROUND(J195-Step_h,2)</f>
        <v>8.27</v>
      </c>
      <c r="K196" s="24">
        <f>J196+Age</f>
        <v>28.27</v>
      </c>
      <c r="L196" s="19">
        <f>B*c_gom^K196</f>
        <v>4.5720091208191482E-3</v>
      </c>
      <c r="M196" s="19">
        <f>N196*delta +Prem-L196*(1-N196)</f>
        <v>-1.3984207476376927E-3</v>
      </c>
      <c r="N196" s="26">
        <f>N195-Step_h*M195</f>
        <v>3.1809049360294046E-3</v>
      </c>
      <c r="U196" s="2"/>
      <c r="X196" s="2"/>
    </row>
    <row r="197" spans="1:24" x14ac:dyDescent="0.45">
      <c r="A197" s="24">
        <v>1.74</v>
      </c>
      <c r="B197" s="24">
        <f>A197+Age</f>
        <v>21.74</v>
      </c>
      <c r="C197" s="19">
        <f>B*c_gom^B197</f>
        <v>2.6044262056717157E-3</v>
      </c>
      <c r="D197" s="19">
        <f t="shared" si="2"/>
        <v>-2.5934935894686311E-3</v>
      </c>
      <c r="E197" s="26">
        <f>E196+Step_h*D196</f>
        <v>0.99580229373392248</v>
      </c>
      <c r="J197" s="24">
        <f>ROUND(J196-Step_h,2)</f>
        <v>8.26</v>
      </c>
      <c r="K197" s="24">
        <f>J197+Age</f>
        <v>28.259999999999998</v>
      </c>
      <c r="L197" s="19">
        <f>B*c_gom^K197</f>
        <v>4.5680707659223911E-3</v>
      </c>
      <c r="M197" s="19">
        <f>N197*delta +Prem-L197*(1-N197)</f>
        <v>-1.3937318290502903E-3</v>
      </c>
      <c r="N197" s="26">
        <f>N196-Step_h*M196</f>
        <v>3.1948891435057817E-3</v>
      </c>
      <c r="U197" s="2"/>
      <c r="X197" s="2"/>
    </row>
    <row r="198" spans="1:24" x14ac:dyDescent="0.45">
      <c r="A198" s="24">
        <v>1.75</v>
      </c>
      <c r="B198" s="24">
        <f>A198+Age</f>
        <v>21.75</v>
      </c>
      <c r="C198" s="19">
        <f>B*c_gom^B198</f>
        <v>2.6066716075549049E-3</v>
      </c>
      <c r="D198" s="19">
        <f t="shared" si="2"/>
        <v>-2.595661961953225E-3</v>
      </c>
      <c r="E198" s="26">
        <f>E197+Step_h*D197</f>
        <v>0.99577635879802784</v>
      </c>
      <c r="J198" s="24">
        <f>ROUND(J197-Step_h,2)</f>
        <v>8.25</v>
      </c>
      <c r="K198" s="24">
        <f>J198+Age</f>
        <v>28.25</v>
      </c>
      <c r="L198" s="19">
        <f>B*c_gom^K198</f>
        <v>4.5641358035471511E-3</v>
      </c>
      <c r="M198" s="19">
        <f>N198*delta +Prem-L198*(1-N198)</f>
        <v>-1.3890489607156827E-3</v>
      </c>
      <c r="N198" s="26">
        <f>N197-Step_h*M197</f>
        <v>3.2088264617962845E-3</v>
      </c>
      <c r="U198" s="2"/>
      <c r="X198" s="2"/>
    </row>
    <row r="199" spans="1:24" x14ac:dyDescent="0.45">
      <c r="A199" s="24">
        <v>1.76</v>
      </c>
      <c r="B199" s="24">
        <f>A199+Age</f>
        <v>21.76</v>
      </c>
      <c r="C199" s="19">
        <f>B*c_gom^B199</f>
        <v>2.6089189453077327E-3</v>
      </c>
      <c r="D199" s="19">
        <f t="shared" si="2"/>
        <v>-2.5978320890410436E-3</v>
      </c>
      <c r="E199" s="26">
        <f>E198+Step_h*D198</f>
        <v>0.99575040217840827</v>
      </c>
      <c r="J199" s="24">
        <f>ROUND(J198-Step_h,2)</f>
        <v>8.24</v>
      </c>
      <c r="K199" s="24">
        <f>J199+Age</f>
        <v>28.240000000000002</v>
      </c>
      <c r="L199" s="19">
        <f>B*c_gom^K199</f>
        <v>4.5602042307710811E-3</v>
      </c>
      <c r="M199" s="19">
        <f>N199*delta +Prem-L199*(1-N199)</f>
        <v>-1.3843721357245414E-3</v>
      </c>
      <c r="N199" s="26">
        <f>N198-Step_h*M198</f>
        <v>3.2227169514034413E-3</v>
      </c>
      <c r="U199" s="2"/>
      <c r="X199" s="2"/>
    </row>
    <row r="200" spans="1:24" x14ac:dyDescent="0.45">
      <c r="A200" s="24">
        <v>1.77</v>
      </c>
      <c r="B200" s="24">
        <f>A200+Age</f>
        <v>21.77</v>
      </c>
      <c r="C200" s="19">
        <f>B*c_gom^B200</f>
        <v>2.6111682205992057E-3</v>
      </c>
      <c r="D200" s="19">
        <f t="shared" si="2"/>
        <v>-2.6000039720512039E-3</v>
      </c>
      <c r="E200" s="26">
        <f>E199+Step_h*D199</f>
        <v>0.9957244238575178</v>
      </c>
      <c r="J200" s="24">
        <f>ROUND(J199-Step_h,2)</f>
        <v>8.23</v>
      </c>
      <c r="K200" s="24">
        <f>J200+Age</f>
        <v>28.23</v>
      </c>
      <c r="L200" s="19">
        <f>B*c_gom^K200</f>
        <v>4.5562760446743638E-3</v>
      </c>
      <c r="M200" s="19">
        <f>N200*delta +Prem-L200*(1-N200)</f>
        <v>-1.3797013471758945E-3</v>
      </c>
      <c r="N200" s="26">
        <f>N199-Step_h*M199</f>
        <v>3.2365606727606869E-3</v>
      </c>
      <c r="U200" s="2"/>
      <c r="X200" s="2"/>
    </row>
    <row r="201" spans="1:24" x14ac:dyDescent="0.45">
      <c r="A201" s="24">
        <v>1.78</v>
      </c>
      <c r="B201" s="24">
        <f>A201+Age</f>
        <v>21.78</v>
      </c>
      <c r="C201" s="19">
        <f>B*c_gom^B201</f>
        <v>2.6134194350997701E-3</v>
      </c>
      <c r="D201" s="19">
        <f t="shared" si="2"/>
        <v>-2.602177612303639E-3</v>
      </c>
      <c r="E201" s="26">
        <f>E200+Step_h*D200</f>
        <v>0.99569842381779727</v>
      </c>
      <c r="J201" s="24">
        <f>ROUND(J200-Step_h,2)</f>
        <v>8.2200000000000006</v>
      </c>
      <c r="K201" s="24">
        <f>J201+Age</f>
        <v>28.22</v>
      </c>
      <c r="L201" s="19">
        <f>B*c_gom^K201</f>
        <v>4.5523512423396983E-3</v>
      </c>
      <c r="M201" s="19">
        <f>N201*delta +Prem-L201*(1-N201)</f>
        <v>-1.3750365881771073E-3</v>
      </c>
      <c r="N201" s="26">
        <f>N200-Step_h*M200</f>
        <v>3.250357686232446E-3</v>
      </c>
      <c r="U201" s="2"/>
      <c r="X201" s="2"/>
    </row>
    <row r="202" spans="1:24" x14ac:dyDescent="0.45">
      <c r="A202" s="24">
        <v>1.79</v>
      </c>
      <c r="B202" s="24">
        <f>A202+Age</f>
        <v>21.79</v>
      </c>
      <c r="C202" s="19">
        <f>B*c_gom^B202</f>
        <v>2.61567259048131E-3</v>
      </c>
      <c r="D202" s="19">
        <f t="shared" si="2"/>
        <v>-2.6043530111190946E-3</v>
      </c>
      <c r="E202" s="26">
        <f>E201+Step_h*D201</f>
        <v>0.99567240204167429</v>
      </c>
      <c r="J202" s="24">
        <f>ROUND(J201-Step_h,2)</f>
        <v>8.2100000000000009</v>
      </c>
      <c r="K202" s="24">
        <f>J202+Age</f>
        <v>28.21</v>
      </c>
      <c r="L202" s="19">
        <f>B*c_gom^K202</f>
        <v>4.5484298208522886E-3</v>
      </c>
      <c r="M202" s="19">
        <f>N202*delta +Prem-L202*(1-N202)</f>
        <v>-1.3703778518438571E-3</v>
      </c>
      <c r="N202" s="26">
        <f>N201-Step_h*M201</f>
        <v>3.264108052114217E-3</v>
      </c>
      <c r="U202" s="2"/>
      <c r="X202" s="2"/>
    </row>
    <row r="203" spans="1:24" x14ac:dyDescent="0.45">
      <c r="A203" s="24">
        <v>1.8</v>
      </c>
      <c r="B203" s="24">
        <f>A203+Age</f>
        <v>21.8</v>
      </c>
      <c r="C203" s="19">
        <f>B*c_gom^B203</f>
        <v>2.617927688417157E-3</v>
      </c>
      <c r="D203" s="19">
        <f t="shared" si="2"/>
        <v>-2.6065301698191363E-3</v>
      </c>
      <c r="E203" s="26">
        <f>E202+Step_h*D202</f>
        <v>0.99564635851156313</v>
      </c>
      <c r="J203" s="24">
        <f>ROUND(J202-Step_h,2)</f>
        <v>8.1999999999999993</v>
      </c>
      <c r="K203" s="24">
        <f>J203+Age</f>
        <v>28.2</v>
      </c>
      <c r="L203" s="19">
        <f>B*c_gom^K203</f>
        <v>4.5445117772998514E-3</v>
      </c>
      <c r="M203" s="19">
        <f>N203*delta +Prem-L203*(1-N203)</f>
        <v>-1.3657251313001356E-3</v>
      </c>
      <c r="N203" s="26">
        <f>N202-Step_h*M202</f>
        <v>3.2778118306326554E-3</v>
      </c>
      <c r="U203" s="2"/>
      <c r="X203" s="2"/>
    </row>
    <row r="204" spans="1:24" x14ac:dyDescent="0.45">
      <c r="A204" s="24">
        <v>1.81</v>
      </c>
      <c r="B204" s="24">
        <f>A204+Age</f>
        <v>21.81</v>
      </c>
      <c r="C204" s="19">
        <f>B*c_gom^B204</f>
        <v>2.6201847305820768E-3</v>
      </c>
      <c r="D204" s="19">
        <f t="shared" si="2"/>
        <v>-2.6087090897261383E-3</v>
      </c>
      <c r="E204" s="26">
        <f>E203+Step_h*D203</f>
        <v>0.99562029320986489</v>
      </c>
      <c r="J204" s="24">
        <f>ROUND(J203-Step_h,2)</f>
        <v>8.19</v>
      </c>
      <c r="K204" s="24">
        <f>J204+Age</f>
        <v>28.189999999999998</v>
      </c>
      <c r="L204" s="19">
        <f>B*c_gom^K204</f>
        <v>4.5405971087726206E-3</v>
      </c>
      <c r="M204" s="19">
        <f>N204*delta +Prem-L204*(1-N204)</f>
        <v>-1.3610784196782409E-3</v>
      </c>
      <c r="N204" s="26">
        <f>N203-Step_h*M203</f>
        <v>3.2914690819456568E-3</v>
      </c>
      <c r="U204" s="2"/>
      <c r="X204" s="2"/>
    </row>
    <row r="205" spans="1:24" x14ac:dyDescent="0.45">
      <c r="A205" s="24">
        <v>1.82</v>
      </c>
      <c r="B205" s="24">
        <f>A205+Age</f>
        <v>21.82</v>
      </c>
      <c r="C205" s="19">
        <f>B*c_gom^B205</f>
        <v>2.622443718652286E-3</v>
      </c>
      <c r="D205" s="19">
        <f t="shared" si="2"/>
        <v>-2.6108897721632959E-3</v>
      </c>
      <c r="E205" s="26">
        <f>E204+Step_h*D204</f>
        <v>0.99559420611896765</v>
      </c>
      <c r="J205" s="24">
        <f>ROUND(J204-Step_h,2)</f>
        <v>8.18</v>
      </c>
      <c r="K205" s="24">
        <f>J205+Age</f>
        <v>28.18</v>
      </c>
      <c r="L205" s="19">
        <f>B*c_gom^K205</f>
        <v>4.5366858123633254E-3</v>
      </c>
      <c r="M205" s="19">
        <f>N205*delta +Prem-L205*(1-N205)</f>
        <v>-1.3564377101187471E-3</v>
      </c>
      <c r="N205" s="26">
        <f>N204-Step_h*M204</f>
        <v>3.3050798661424393E-3</v>
      </c>
      <c r="U205" s="2"/>
      <c r="X205" s="2"/>
    </row>
    <row r="206" spans="1:24" x14ac:dyDescent="0.45">
      <c r="A206" s="24">
        <v>1.83</v>
      </c>
      <c r="B206" s="24">
        <f>A206+Age</f>
        <v>21.83</v>
      </c>
      <c r="C206" s="19">
        <f>B*c_gom^B206</f>
        <v>2.624704654305443E-3</v>
      </c>
      <c r="D206" s="19">
        <f t="shared" si="2"/>
        <v>-2.6130722184546182E-3</v>
      </c>
      <c r="E206" s="26">
        <f>E205+Step_h*D205</f>
        <v>0.99556809722124606</v>
      </c>
      <c r="J206" s="24">
        <f>ROUND(J205-Step_h,2)</f>
        <v>8.17</v>
      </c>
      <c r="K206" s="24">
        <f>J206+Age</f>
        <v>28.17</v>
      </c>
      <c r="L206" s="19">
        <f>B*c_gom^K206</f>
        <v>4.532777885167206E-3</v>
      </c>
      <c r="M206" s="19">
        <f>N206*delta +Prem-L206*(1-N206)</f>
        <v>-1.3518029957705125E-3</v>
      </c>
      <c r="N206" s="26">
        <f>N205-Step_h*M205</f>
        <v>3.3186442432436266E-3</v>
      </c>
      <c r="U206" s="2"/>
      <c r="X206" s="2"/>
    </row>
    <row r="207" spans="1:24" x14ac:dyDescent="0.45">
      <c r="A207" s="24">
        <v>1.84</v>
      </c>
      <c r="B207" s="24">
        <f>A207+Age</f>
        <v>21.84</v>
      </c>
      <c r="C207" s="19">
        <f>B*c_gom^B207</f>
        <v>2.6269675392206534E-3</v>
      </c>
      <c r="D207" s="19">
        <f t="shared" si="2"/>
        <v>-2.6152564299249301E-3</v>
      </c>
      <c r="E207" s="26">
        <f>E206+Step_h*D206</f>
        <v>0.99554196649906157</v>
      </c>
      <c r="J207" s="24">
        <f>ROUND(J206-Step_h,2)</f>
        <v>8.16</v>
      </c>
      <c r="K207" s="24">
        <f>J207+Age</f>
        <v>28.16</v>
      </c>
      <c r="L207" s="19">
        <f>B*c_gom^K207</f>
        <v>4.5288733242819998E-3</v>
      </c>
      <c r="M207" s="19">
        <f>N207*delta +Prem-L207*(1-N207)</f>
        <v>-1.3471742697906525E-3</v>
      </c>
      <c r="N207" s="26">
        <f>N206-Step_h*M206</f>
        <v>3.3321622732013318E-3</v>
      </c>
      <c r="U207" s="2"/>
      <c r="X207" s="2"/>
    </row>
    <row r="208" spans="1:24" x14ac:dyDescent="0.45">
      <c r="A208" s="24">
        <v>1.85</v>
      </c>
      <c r="B208" s="24">
        <f>A208+Age</f>
        <v>21.85</v>
      </c>
      <c r="C208" s="19">
        <f>B*c_gom^B208</f>
        <v>2.6292323750784705E-3</v>
      </c>
      <c r="D208" s="19">
        <f t="shared" si="2"/>
        <v>-2.6174424078998716E-3</v>
      </c>
      <c r="E208" s="26">
        <f>E207+Step_h*D207</f>
        <v>0.99551581393476229</v>
      </c>
      <c r="J208" s="24">
        <f>ROUND(J207-Step_h,2)</f>
        <v>8.15</v>
      </c>
      <c r="K208" s="24">
        <f>J208+Age</f>
        <v>28.15</v>
      </c>
      <c r="L208" s="19">
        <f>B*c_gom^K208</f>
        <v>4.5249721268079517E-3</v>
      </c>
      <c r="M208" s="19">
        <f>N208*delta +Prem-L208*(1-N208)</f>
        <v>-1.3425515253445448E-3</v>
      </c>
      <c r="N208" s="26">
        <f>N207-Step_h*M207</f>
        <v>3.3456340158992382E-3</v>
      </c>
      <c r="U208" s="2"/>
      <c r="X208" s="2"/>
    </row>
    <row r="209" spans="1:24" x14ac:dyDescent="0.45">
      <c r="A209" s="24">
        <v>1.86</v>
      </c>
      <c r="B209" s="24">
        <f>A209+Age</f>
        <v>21.86</v>
      </c>
      <c r="C209" s="19">
        <f>B*c_gom^B209</f>
        <v>2.6314991635608951E-3</v>
      </c>
      <c r="D209" s="19">
        <f t="shared" si="2"/>
        <v>-2.6196301537059E-3</v>
      </c>
      <c r="E209" s="26">
        <f>E208+Step_h*D208</f>
        <v>0.99548963951068326</v>
      </c>
      <c r="J209" s="24">
        <f>ROUND(J208-Step_h,2)</f>
        <v>8.14</v>
      </c>
      <c r="K209" s="24">
        <f>J209+Age</f>
        <v>28.14</v>
      </c>
      <c r="L209" s="19">
        <f>B*c_gom^K209</f>
        <v>4.5210742898477967E-3</v>
      </c>
      <c r="M209" s="19">
        <f>N209*delta +Prem-L209*(1-N209)</f>
        <v>-1.3379347556058E-3</v>
      </c>
      <c r="N209" s="26">
        <f>N208-Step_h*M208</f>
        <v>3.3590595311526836E-3</v>
      </c>
      <c r="U209" s="2"/>
      <c r="X209" s="2"/>
    </row>
    <row r="210" spans="1:24" x14ac:dyDescent="0.45">
      <c r="A210" s="24">
        <v>1.87</v>
      </c>
      <c r="B210" s="24">
        <f>A210+Age</f>
        <v>21.87</v>
      </c>
      <c r="C210" s="19">
        <f>B*c_gom^B210</f>
        <v>2.6337679063513815E-3</v>
      </c>
      <c r="D210" s="19">
        <f t="shared" si="2"/>
        <v>-2.6218196686702902E-3</v>
      </c>
      <c r="E210" s="26">
        <f>E209+Step_h*D209</f>
        <v>0.99546344320914615</v>
      </c>
      <c r="J210" s="24">
        <f>ROUND(J209-Step_h,2)</f>
        <v>8.1300000000000008</v>
      </c>
      <c r="K210" s="24">
        <f>J210+Age</f>
        <v>28.130000000000003</v>
      </c>
      <c r="L210" s="19">
        <f>B*c_gom^K210</f>
        <v>4.5171798105067707E-3</v>
      </c>
      <c r="M210" s="19">
        <f>N210*delta +Prem-L210*(1-N210)</f>
        <v>-1.3333239537562627E-3</v>
      </c>
      <c r="N210" s="26">
        <f>N209-Step_h*M209</f>
        <v>3.3724388787087418E-3</v>
      </c>
      <c r="U210" s="2"/>
      <c r="X210" s="2"/>
    </row>
    <row r="211" spans="1:24" x14ac:dyDescent="0.45">
      <c r="A211" s="24">
        <v>1.8800000000000001</v>
      </c>
      <c r="B211" s="24">
        <f>A211+Age</f>
        <v>21.88</v>
      </c>
      <c r="C211" s="19">
        <f>B*c_gom^B211</f>
        <v>2.6360386051348314E-3</v>
      </c>
      <c r="D211" s="19">
        <f t="shared" si="2"/>
        <v>-2.624010954121131E-3</v>
      </c>
      <c r="E211" s="26">
        <f>E210+Step_h*D210</f>
        <v>0.99543722501245946</v>
      </c>
      <c r="J211" s="24">
        <f>ROUND(J210-Step_h,2)</f>
        <v>8.1199999999999992</v>
      </c>
      <c r="K211" s="24">
        <f>J211+Age</f>
        <v>28.119999999999997</v>
      </c>
      <c r="L211" s="19">
        <f>B*c_gom^K211</f>
        <v>4.5132886858925995E-3</v>
      </c>
      <c r="M211" s="19">
        <f>N211*delta +Prem-L211*(1-N211)</f>
        <v>-1.3287191129859929E-3</v>
      </c>
      <c r="N211" s="26">
        <f>N210-Step_h*M210</f>
        <v>3.3857721182463042E-3</v>
      </c>
      <c r="U211" s="2"/>
      <c r="X211" s="2"/>
    </row>
    <row r="212" spans="1:24" x14ac:dyDescent="0.45">
      <c r="A212" s="24">
        <v>1.8900000000000001</v>
      </c>
      <c r="B212" s="24">
        <f>A212+Age</f>
        <v>21.89</v>
      </c>
      <c r="C212" s="19">
        <f>B*c_gom^B212</f>
        <v>2.6383112615976025E-3</v>
      </c>
      <c r="D212" s="19">
        <f t="shared" si="2"/>
        <v>-2.6262040113873304E-3</v>
      </c>
      <c r="E212" s="26">
        <f>E211+Step_h*D211</f>
        <v>0.99541098490291824</v>
      </c>
      <c r="J212" s="24">
        <f>ROUND(J211-Step_h,2)</f>
        <v>8.11</v>
      </c>
      <c r="K212" s="24">
        <f>J212+Age</f>
        <v>28.11</v>
      </c>
      <c r="L212" s="19">
        <f>B*c_gom^K212</f>
        <v>4.5094009131155044E-3</v>
      </c>
      <c r="M212" s="19">
        <f>N212*delta +Prem-L212*(1-N212)</f>
        <v>-1.3241202264932615E-3</v>
      </c>
      <c r="N212" s="26">
        <f>N211-Step_h*M211</f>
        <v>3.3990593093761643E-3</v>
      </c>
      <c r="U212" s="2"/>
      <c r="X212" s="2"/>
    </row>
    <row r="213" spans="1:24" x14ac:dyDescent="0.45">
      <c r="A213" s="24">
        <v>1.9000000000000001</v>
      </c>
      <c r="B213" s="24">
        <f>A213+Age</f>
        <v>21.9</v>
      </c>
      <c r="C213" s="19">
        <f>B*c_gom^B213</f>
        <v>2.6405858774275035E-3</v>
      </c>
      <c r="D213" s="19">
        <f t="shared" si="2"/>
        <v>-2.6283988417986105E-3</v>
      </c>
      <c r="E213" s="26">
        <f>E212+Step_h*D212</f>
        <v>0.99538472286280433</v>
      </c>
      <c r="J213" s="24">
        <f>ROUND(J212-Step_h,2)</f>
        <v>8.1</v>
      </c>
      <c r="K213" s="24">
        <f>J213+Age</f>
        <v>28.1</v>
      </c>
      <c r="L213" s="19">
        <f>B*c_gom^K213</f>
        <v>4.5055164892881926E-3</v>
      </c>
      <c r="M213" s="19">
        <f>N213*delta +Prem-L213*(1-N213)</f>
        <v>-1.3195272874845323E-3</v>
      </c>
      <c r="N213" s="26">
        <f>N212-Step_h*M212</f>
        <v>3.4123005116410967E-3</v>
      </c>
      <c r="U213" s="2"/>
      <c r="X213" s="2"/>
    </row>
    <row r="214" spans="1:24" x14ac:dyDescent="0.45">
      <c r="A214" s="24">
        <v>1.9100000000000001</v>
      </c>
      <c r="B214" s="24">
        <f>A214+Age</f>
        <v>21.91</v>
      </c>
      <c r="C214" s="19">
        <f>B*c_gom^B214</f>
        <v>2.6428624543138007E-3</v>
      </c>
      <c r="D214" s="19">
        <f t="shared" si="2"/>
        <v>-2.630595446685514E-3</v>
      </c>
      <c r="E214" s="26">
        <f>E213+Step_h*D213</f>
        <v>0.99535843887438635</v>
      </c>
      <c r="J214" s="24">
        <f>ROUND(J213-Step_h,2)</f>
        <v>8.09</v>
      </c>
      <c r="K214" s="24">
        <f>J214+Age</f>
        <v>28.09</v>
      </c>
      <c r="L214" s="19">
        <f>B*c_gom^K214</f>
        <v>4.5016354115258572E-3</v>
      </c>
      <c r="M214" s="19">
        <f>N214*delta +Prem-L214*(1-N214)</f>
        <v>-1.314940289174451E-3</v>
      </c>
      <c r="N214" s="26">
        <f>N213-Step_h*M213</f>
        <v>3.425495784515942E-3</v>
      </c>
      <c r="U214" s="2"/>
      <c r="X214" s="2"/>
    </row>
    <row r="215" spans="1:24" x14ac:dyDescent="0.45">
      <c r="A215" s="24">
        <v>1.92</v>
      </c>
      <c r="B215" s="24">
        <f>A215+Age</f>
        <v>21.92</v>
      </c>
      <c r="C215" s="19">
        <f>B*c_gom^B215</f>
        <v>2.6451409939472156E-3</v>
      </c>
      <c r="D215" s="19">
        <f t="shared" si="2"/>
        <v>-2.6327938273793981E-3</v>
      </c>
      <c r="E215" s="26">
        <f>E214+Step_h*D214</f>
        <v>0.99533213291991951</v>
      </c>
      <c r="J215" s="24">
        <f>ROUND(J214-Step_h,2)</f>
        <v>8.08</v>
      </c>
      <c r="K215" s="24">
        <f>J215+Age</f>
        <v>28.08</v>
      </c>
      <c r="L215" s="19">
        <f>B*c_gom^K215</f>
        <v>4.4977576769461838E-3</v>
      </c>
      <c r="M215" s="19">
        <f>N215*delta +Prem-L215*(1-N215)</f>
        <v>-1.3103592247858424E-3</v>
      </c>
      <c r="N215" s="26">
        <f>N214-Step_h*M214</f>
        <v>3.4386451874076863E-3</v>
      </c>
      <c r="U215" s="2"/>
      <c r="X215" s="2"/>
    </row>
    <row r="216" spans="1:24" x14ac:dyDescent="0.45">
      <c r="A216" s="24">
        <v>1.93</v>
      </c>
      <c r="B216" s="24">
        <f>A216+Age</f>
        <v>21.93</v>
      </c>
      <c r="C216" s="19">
        <f>B*c_gom^B216</f>
        <v>2.6474214980199261E-3</v>
      </c>
      <c r="D216" s="19">
        <f t="shared" ref="D216:D279" si="3">-E216*C216</f>
        <v>-2.6349939852124368E-3</v>
      </c>
      <c r="E216" s="26">
        <f>E215+Step_h*D215</f>
        <v>0.99530580498164567</v>
      </c>
      <c r="J216" s="24">
        <f>ROUND(J215-Step_h,2)</f>
        <v>8.07</v>
      </c>
      <c r="K216" s="24">
        <f>J216+Age</f>
        <v>28.07</v>
      </c>
      <c r="L216" s="19">
        <f>B*c_gom^K216</f>
        <v>4.4938832826693312E-3</v>
      </c>
      <c r="M216" s="19">
        <f>N216*delta +Prem-L216*(1-N216)</f>
        <v>-1.3057840875496853E-3</v>
      </c>
      <c r="N216" s="26">
        <f>N215-Step_h*M215</f>
        <v>3.4517487796555447E-3</v>
      </c>
      <c r="U216" s="2"/>
      <c r="X216" s="2"/>
    </row>
    <row r="217" spans="1:24" x14ac:dyDescent="0.45">
      <c r="A217" s="24">
        <v>1.94</v>
      </c>
      <c r="B217" s="24">
        <f>A217+Age</f>
        <v>21.94</v>
      </c>
      <c r="C217" s="19">
        <f>B*c_gom^B217</f>
        <v>2.6497039682255724E-3</v>
      </c>
      <c r="D217" s="19">
        <f t="shared" si="3"/>
        <v>-2.6371959215176254E-3</v>
      </c>
      <c r="E217" s="26">
        <f>E216+Step_h*D216</f>
        <v>0.99527945504179349</v>
      </c>
      <c r="J217" s="24">
        <f>ROUND(J216-Step_h,2)</f>
        <v>8.06</v>
      </c>
      <c r="K217" s="24">
        <f>J217+Age</f>
        <v>28.060000000000002</v>
      </c>
      <c r="L217" s="19">
        <f>B*c_gom^K217</f>
        <v>4.4900122258179466E-3</v>
      </c>
      <c r="M217" s="19">
        <f>N217*delta +Prem-L217*(1-N217)</f>
        <v>-1.3012148707051154E-3</v>
      </c>
      <c r="N217" s="26">
        <f>N216-Step_h*M216</f>
        <v>3.4648066205310414E-3</v>
      </c>
      <c r="U217" s="2"/>
      <c r="X217" s="2"/>
    </row>
    <row r="218" spans="1:24" x14ac:dyDescent="0.45">
      <c r="A218" s="24">
        <v>1.95</v>
      </c>
      <c r="B218" s="24">
        <f>A218+Age</f>
        <v>21.95</v>
      </c>
      <c r="C218" s="19">
        <f>B*c_gom^B218</f>
        <v>2.6519884062592516E-3</v>
      </c>
      <c r="D218" s="19">
        <f t="shared" si="3"/>
        <v>-2.6393996376287733E-3</v>
      </c>
      <c r="E218" s="26">
        <f>E217+Step_h*D217</f>
        <v>0.99525308308257832</v>
      </c>
      <c r="J218" s="24">
        <f>ROUND(J217-Step_h,2)</f>
        <v>8.0500000000000007</v>
      </c>
      <c r="K218" s="24">
        <f>J218+Age</f>
        <v>28.05</v>
      </c>
      <c r="L218" s="19">
        <f>B*c_gom^K218</f>
        <v>4.4861445035171499E-3</v>
      </c>
      <c r="M218" s="19">
        <f>N218*delta +Prem-L218*(1-N218)</f>
        <v>-1.2966515674993984E-3</v>
      </c>
      <c r="N218" s="26">
        <f>N217-Step_h*M217</f>
        <v>3.4778187692380926E-3</v>
      </c>
      <c r="U218" s="2"/>
      <c r="X218" s="2"/>
    </row>
    <row r="219" spans="1:24" x14ac:dyDescent="0.45">
      <c r="A219" s="24">
        <v>1.96</v>
      </c>
      <c r="B219" s="24">
        <f>A219+Age</f>
        <v>21.96</v>
      </c>
      <c r="C219" s="19">
        <f>B*c_gom^B219</f>
        <v>2.6542748138175241E-3</v>
      </c>
      <c r="D219" s="19">
        <f t="shared" si="3"/>
        <v>-2.64160513488051E-3</v>
      </c>
      <c r="E219" s="26">
        <f>E218+Step_h*D218</f>
        <v>0.99522668908620204</v>
      </c>
      <c r="J219" s="24">
        <f>ROUND(J218-Step_h,2)</f>
        <v>8.0399999999999991</v>
      </c>
      <c r="K219" s="24">
        <f>J219+Age</f>
        <v>28.04</v>
      </c>
      <c r="L219" s="19">
        <f>B*c_gom^K219</f>
        <v>4.48228011289454E-3</v>
      </c>
      <c r="M219" s="19">
        <f>N219*delta +Prem-L219*(1-N219)</f>
        <v>-1.2920941711879351E-3</v>
      </c>
      <c r="N219" s="26">
        <f>N218-Step_h*M218</f>
        <v>3.4907852849130868E-3</v>
      </c>
      <c r="U219" s="2"/>
      <c r="X219" s="2"/>
    </row>
    <row r="220" spans="1:24" x14ac:dyDescent="0.45">
      <c r="A220" s="24">
        <v>1.97</v>
      </c>
      <c r="B220" s="24">
        <f>A220+Age</f>
        <v>21.97</v>
      </c>
      <c r="C220" s="19">
        <f>B*c_gom^B220</f>
        <v>2.6565631925984119E-3</v>
      </c>
      <c r="D220" s="19">
        <f t="shared" si="3"/>
        <v>-2.643812414608281E-3</v>
      </c>
      <c r="E220" s="26">
        <f>E219+Step_h*D219</f>
        <v>0.99520027303485326</v>
      </c>
      <c r="J220" s="24">
        <f>ROUND(J219-Step_h,2)</f>
        <v>8.0299999999999994</v>
      </c>
      <c r="K220" s="24">
        <f>J220+Age</f>
        <v>28.03</v>
      </c>
      <c r="L220" s="19">
        <f>B*c_gom^K220</f>
        <v>4.4784190510801921E-3</v>
      </c>
      <c r="M220" s="19">
        <f>N220*delta +Prem-L220*(1-N220)</f>
        <v>-1.2875426750342377E-3</v>
      </c>
      <c r="N220" s="26">
        <f>N219-Step_h*M219</f>
        <v>3.5037062266249663E-3</v>
      </c>
      <c r="U220" s="2"/>
      <c r="X220" s="2"/>
    </row>
    <row r="221" spans="1:24" x14ac:dyDescent="0.45">
      <c r="A221" s="24">
        <v>1.98</v>
      </c>
      <c r="B221" s="24">
        <f>A221+Age</f>
        <v>21.98</v>
      </c>
      <c r="C221" s="19">
        <f>B*c_gom^B221</f>
        <v>2.6588535443014022E-3</v>
      </c>
      <c r="D221" s="19">
        <f t="shared" si="3"/>
        <v>-2.6460214781483522E-3</v>
      </c>
      <c r="E221" s="26">
        <f>E220+Step_h*D220</f>
        <v>0.99517383491070721</v>
      </c>
      <c r="J221" s="24">
        <f>ROUND(J220-Step_h,2)</f>
        <v>8.02</v>
      </c>
      <c r="K221" s="24">
        <f>J221+Age</f>
        <v>28.02</v>
      </c>
      <c r="L221" s="19">
        <f>B*c_gom^K221</f>
        <v>4.4745613152066517E-3</v>
      </c>
      <c r="M221" s="19">
        <f>N221*delta +Prem-L221*(1-N221)</f>
        <v>-1.2829970723099273E-3</v>
      </c>
      <c r="N221" s="26">
        <f>N220-Step_h*M220</f>
        <v>3.5165816533753087E-3</v>
      </c>
      <c r="U221" s="2"/>
      <c r="X221" s="2"/>
    </row>
    <row r="222" spans="1:24" x14ac:dyDescent="0.45">
      <c r="A222" s="24">
        <v>1.99</v>
      </c>
      <c r="B222" s="24">
        <f>A222+Age</f>
        <v>21.99</v>
      </c>
      <c r="C222" s="19">
        <f>B*c_gom^B222</f>
        <v>2.6611458706274453E-3</v>
      </c>
      <c r="D222" s="19">
        <f t="shared" si="3"/>
        <v>-2.6482323268378059E-3</v>
      </c>
      <c r="E222" s="26">
        <f>E221+Step_h*D221</f>
        <v>0.99514737469592573</v>
      </c>
      <c r="J222" s="24">
        <f>ROUND(J221-Step_h,2)</f>
        <v>8.01</v>
      </c>
      <c r="K222" s="24">
        <f>J222+Age</f>
        <v>28.009999999999998</v>
      </c>
      <c r="L222" s="19">
        <f>B*c_gom^K222</f>
        <v>4.4707069024089319E-3</v>
      </c>
      <c r="M222" s="19">
        <f>N222*delta +Prem-L222*(1-N222)</f>
        <v>-1.2784573562947123E-3</v>
      </c>
      <c r="N222" s="26">
        <f>N221-Step_h*M221</f>
        <v>3.529411624098408E-3</v>
      </c>
      <c r="U222" s="2"/>
      <c r="X222" s="2"/>
    </row>
    <row r="223" spans="1:24" x14ac:dyDescent="0.45">
      <c r="A223" s="24">
        <v>2</v>
      </c>
      <c r="B223" s="24">
        <f>A223+Age</f>
        <v>22</v>
      </c>
      <c r="C223" s="19">
        <f>B*c_gom^B223</f>
        <v>2.6634401732789589E-3</v>
      </c>
      <c r="D223" s="19">
        <f t="shared" si="3"/>
        <v>-2.6504449620145427E-3</v>
      </c>
      <c r="E223" s="26">
        <f>E222+Step_h*D222</f>
        <v>0.99512089237265733</v>
      </c>
      <c r="J223" s="24">
        <f>ROUND(J222-Step_h,2)</f>
        <v>8</v>
      </c>
      <c r="K223" s="24">
        <f>J223+Age</f>
        <v>28</v>
      </c>
      <c r="L223" s="19">
        <f>B*c_gom^K223</f>
        <v>4.4668558098245152E-3</v>
      </c>
      <c r="M223" s="19">
        <f>N223*delta +Prem-L223*(1-N223)</f>
        <v>-1.2739235202763851E-3</v>
      </c>
      <c r="N223" s="26">
        <f>N222-Step_h*M222</f>
        <v>3.5421961976613552E-3</v>
      </c>
      <c r="U223" s="2"/>
      <c r="X223" s="2"/>
    </row>
    <row r="224" spans="1:24" x14ac:dyDescent="0.45">
      <c r="A224" s="24">
        <v>2.0100000000000002</v>
      </c>
      <c r="B224" s="24">
        <f>A224+Age</f>
        <v>22.01</v>
      </c>
      <c r="C224" s="19">
        <f>B*c_gom^B224</f>
        <v>2.6657364539598334E-3</v>
      </c>
      <c r="D224" s="19">
        <f t="shared" si="3"/>
        <v>-2.6526593850172879E-3</v>
      </c>
      <c r="E224" s="26">
        <f>E223+Step_h*D223</f>
        <v>0.99509438792303717</v>
      </c>
      <c r="J224" s="24">
        <f>ROUND(J223-Step_h,2)</f>
        <v>7.99</v>
      </c>
      <c r="K224" s="24">
        <f>J224+Age</f>
        <v>27.990000000000002</v>
      </c>
      <c r="L224" s="19">
        <f>B*c_gom^K224</f>
        <v>4.4630080345933604E-3</v>
      </c>
      <c r="M224" s="19">
        <f>N224*delta +Prem-L224*(1-N224)</f>
        <v>-1.2693955575508215E-3</v>
      </c>
      <c r="N224" s="26">
        <f>N223-Step_h*M223</f>
        <v>3.5549354328641191E-3</v>
      </c>
      <c r="U224" s="2"/>
      <c r="X224" s="2"/>
    </row>
    <row r="225" spans="1:24" x14ac:dyDescent="0.45">
      <c r="A225" s="24">
        <v>2.02</v>
      </c>
      <c r="B225" s="24">
        <f>A225+Age</f>
        <v>22.02</v>
      </c>
      <c r="C225" s="19">
        <f>B*c_gom^B225</f>
        <v>2.6680347143754174E-3</v>
      </c>
      <c r="D225" s="19">
        <f t="shared" si="3"/>
        <v>-2.654875597185575E-3</v>
      </c>
      <c r="E225" s="26">
        <f>E224+Step_h*D224</f>
        <v>0.99506786132918701</v>
      </c>
      <c r="J225" s="24">
        <f>ROUND(J224-Step_h,2)</f>
        <v>7.98</v>
      </c>
      <c r="K225" s="24">
        <f>J225+Age</f>
        <v>27.98</v>
      </c>
      <c r="L225" s="19">
        <f>B*c_gom^K225</f>
        <v>4.4591635738578696E-3</v>
      </c>
      <c r="M225" s="19">
        <f>N225*delta +Prem-L225*(1-N225)</f>
        <v>-1.2648734614219333E-3</v>
      </c>
      <c r="N225" s="26">
        <f>N224-Step_h*M224</f>
        <v>3.5676293884396274E-3</v>
      </c>
      <c r="U225" s="2"/>
      <c r="X225" s="2"/>
    </row>
    <row r="226" spans="1:24" x14ac:dyDescent="0.45">
      <c r="A226" s="24">
        <v>2.0300000000000002</v>
      </c>
      <c r="B226" s="24">
        <f>A226+Age</f>
        <v>22.03</v>
      </c>
      <c r="C226" s="19">
        <f>B*c_gom^B226</f>
        <v>2.670334956232541E-3</v>
      </c>
      <c r="D226" s="19">
        <f t="shared" si="3"/>
        <v>-2.6570935998597666E-3</v>
      </c>
      <c r="E226" s="26">
        <f>E225+Step_h*D225</f>
        <v>0.99504131257321515</v>
      </c>
      <c r="J226" s="24">
        <f>ROUND(J225-Step_h,2)</f>
        <v>7.97</v>
      </c>
      <c r="K226" s="24">
        <f>J226+Age</f>
        <v>27.97</v>
      </c>
      <c r="L226" s="19">
        <f>B*c_gom^K226</f>
        <v>4.4553224247629187E-3</v>
      </c>
      <c r="M226" s="19">
        <f>N226*delta +Prem-L226*(1-N226)</f>
        <v>-1.260357225201696E-3</v>
      </c>
      <c r="N226" s="26">
        <f>N225-Step_h*M225</f>
        <v>3.5802781230538467E-3</v>
      </c>
      <c r="U226" s="2"/>
      <c r="X226" s="2"/>
    </row>
    <row r="227" spans="1:24" x14ac:dyDescent="0.45">
      <c r="A227" s="24">
        <v>2.04</v>
      </c>
      <c r="B227" s="24">
        <f>A227+Age</f>
        <v>22.04</v>
      </c>
      <c r="C227" s="19">
        <f>B*c_gom^B227</f>
        <v>2.6726371812394963E-3</v>
      </c>
      <c r="D227" s="19">
        <f t="shared" si="3"/>
        <v>-2.6593133943810365E-3</v>
      </c>
      <c r="E227" s="26">
        <f>E226+Step_h*D226</f>
        <v>0.99501474163721659</v>
      </c>
      <c r="J227" s="24">
        <f>ROUND(J226-Step_h,2)</f>
        <v>7.96</v>
      </c>
      <c r="K227" s="24">
        <f>J227+Age</f>
        <v>27.96</v>
      </c>
      <c r="L227" s="19">
        <f>B*c_gom^K227</f>
        <v>4.451484584455846E-3</v>
      </c>
      <c r="M227" s="19">
        <f>N227*delta +Prem-L227*(1-N227)</f>
        <v>-1.2558468422101251E-3</v>
      </c>
      <c r="N227" s="26">
        <f>N226-Step_h*M226</f>
        <v>3.5928816953058637E-3</v>
      </c>
      <c r="U227" s="2"/>
      <c r="X227" s="2"/>
    </row>
    <row r="228" spans="1:24" x14ac:dyDescent="0.45">
      <c r="A228" s="24">
        <v>2.0499999999999998</v>
      </c>
      <c r="B228" s="24">
        <f>A228+Age</f>
        <v>22.05</v>
      </c>
      <c r="C228" s="19">
        <f>B*c_gom^B228</f>
        <v>2.674941391106057E-3</v>
      </c>
      <c r="D228" s="19">
        <f t="shared" si="3"/>
        <v>-2.6615349820913845E-3</v>
      </c>
      <c r="E228" s="26">
        <f>E227+Step_h*D227</f>
        <v>0.99498814850327277</v>
      </c>
      <c r="J228" s="24">
        <f>ROUND(J227-Step_h,2)</f>
        <v>7.95</v>
      </c>
      <c r="K228" s="24">
        <f>J228+Age</f>
        <v>27.95</v>
      </c>
      <c r="L228" s="19">
        <f>B*c_gom^K228</f>
        <v>4.4476500500864402E-3</v>
      </c>
      <c r="M228" s="19">
        <f>N228*delta +Prem-L228*(1-N228)</f>
        <v>-1.251342305775254E-3</v>
      </c>
      <c r="N228" s="26">
        <f>N227-Step_h*M227</f>
        <v>3.6054401637279649E-3</v>
      </c>
      <c r="U228" s="2"/>
      <c r="X228" s="2"/>
    </row>
    <row r="229" spans="1:24" x14ac:dyDescent="0.45">
      <c r="A229" s="24">
        <v>2.06</v>
      </c>
      <c r="B229" s="24">
        <f>A229+Age</f>
        <v>22.06</v>
      </c>
      <c r="C229" s="19">
        <f>B*c_gom^B229</f>
        <v>2.6772475875434638E-3</v>
      </c>
      <c r="D229" s="19">
        <f t="shared" si="3"/>
        <v>-2.6637583643336249E-3</v>
      </c>
      <c r="E229" s="26">
        <f>E228+Step_h*D228</f>
        <v>0.99496153315345182</v>
      </c>
      <c r="J229" s="24">
        <f>ROUND(J228-Step_h,2)</f>
        <v>7.94</v>
      </c>
      <c r="K229" s="24">
        <f>J229+Age</f>
        <v>27.94</v>
      </c>
      <c r="L229" s="19">
        <f>B*c_gom^K229</f>
        <v>4.443818818806948E-3</v>
      </c>
      <c r="M229" s="19">
        <f>N229*delta +Prem-L229*(1-N229)</f>
        <v>-1.2468436092331332E-3</v>
      </c>
      <c r="N229" s="26">
        <f>N228-Step_h*M228</f>
        <v>3.6179535867857174E-3</v>
      </c>
      <c r="U229" s="2"/>
      <c r="X229" s="2"/>
    </row>
    <row r="230" spans="1:24" x14ac:dyDescent="0.45">
      <c r="A230" s="24">
        <v>2.0699999999999998</v>
      </c>
      <c r="B230" s="24">
        <f>A230+Age</f>
        <v>22.07</v>
      </c>
      <c r="C230" s="19">
        <f>B*c_gom^B230</f>
        <v>2.6795557722644374E-3</v>
      </c>
      <c r="D230" s="19">
        <f t="shared" si="3"/>
        <v>-2.6659835424513957E-3</v>
      </c>
      <c r="E230" s="26">
        <f>E229+Step_h*D229</f>
        <v>0.99493489556980852</v>
      </c>
      <c r="J230" s="24">
        <f>ROUND(J229-Step_h,2)</f>
        <v>7.93</v>
      </c>
      <c r="K230" s="24">
        <f>J230+Age</f>
        <v>27.93</v>
      </c>
      <c r="L230" s="19">
        <f>B*c_gom^K230</f>
        <v>4.4399908877720664E-3</v>
      </c>
      <c r="M230" s="19">
        <f>N230*delta +Prem-L230*(1-N230)</f>
        <v>-1.2423507459278188E-3</v>
      </c>
      <c r="N230" s="26">
        <f>N229-Step_h*M229</f>
        <v>3.6304220228780488E-3</v>
      </c>
      <c r="U230" s="2"/>
      <c r="X230" s="2"/>
    </row>
    <row r="231" spans="1:24" x14ac:dyDescent="0.45">
      <c r="A231" s="24">
        <v>2.08</v>
      </c>
      <c r="B231" s="24">
        <f>A231+Age</f>
        <v>22.08</v>
      </c>
      <c r="C231" s="19">
        <f>B*c_gom^B231</f>
        <v>2.6818659469831719E-3</v>
      </c>
      <c r="D231" s="19">
        <f t="shared" si="3"/>
        <v>-2.6682105177891508E-3</v>
      </c>
      <c r="E231" s="26">
        <f>E230+Step_h*D230</f>
        <v>0.99490823573438403</v>
      </c>
      <c r="J231" s="24">
        <f>ROUND(J230-Step_h,2)</f>
        <v>7.92</v>
      </c>
      <c r="K231" s="24">
        <f>J231+Age</f>
        <v>27.92</v>
      </c>
      <c r="L231" s="19">
        <f>B*c_gom^K231</f>
        <v>4.4361662541389495E-3</v>
      </c>
      <c r="M231" s="19">
        <f>N231*delta +Prem-L231*(1-N231)</f>
        <v>-1.2378637092113594E-3</v>
      </c>
      <c r="N231" s="26">
        <f>N230-Step_h*M230</f>
        <v>3.642845530337327E-3</v>
      </c>
      <c r="U231" s="2"/>
      <c r="X231" s="2"/>
    </row>
    <row r="232" spans="1:24" x14ac:dyDescent="0.45">
      <c r="A232" s="24">
        <v>2.09</v>
      </c>
      <c r="B232" s="24">
        <f>A232+Age</f>
        <v>22.09</v>
      </c>
      <c r="C232" s="19">
        <f>B*c_gom^B232</f>
        <v>2.6841781134153415E-3</v>
      </c>
      <c r="D232" s="19">
        <f t="shared" si="3"/>
        <v>-2.6704392916921667E-3</v>
      </c>
      <c r="E232" s="26">
        <f>E231+Step_h*D231</f>
        <v>0.99488155362920616</v>
      </c>
      <c r="J232" s="24">
        <f>ROUND(J231-Step_h,2)</f>
        <v>7.91</v>
      </c>
      <c r="K232" s="24">
        <f>J232+Age</f>
        <v>27.91</v>
      </c>
      <c r="L232" s="19">
        <f>B*c_gom^K232</f>
        <v>4.4323449150671951E-3</v>
      </c>
      <c r="M232" s="19">
        <f>N232*delta +Prem-L232*(1-N232)</f>
        <v>-1.2333824924437862E-3</v>
      </c>
      <c r="N232" s="26">
        <f>N231-Step_h*M231</f>
        <v>3.6552241674294404E-3</v>
      </c>
      <c r="U232" s="2"/>
      <c r="X232" s="2"/>
    </row>
    <row r="233" spans="1:24" x14ac:dyDescent="0.45">
      <c r="A233" s="24">
        <v>2.1</v>
      </c>
      <c r="B233" s="24">
        <f>A233+Age</f>
        <v>22.1</v>
      </c>
      <c r="C233" s="19">
        <f>B*c_gom^B233</f>
        <v>2.6864922732780989E-3</v>
      </c>
      <c r="D233" s="19">
        <f t="shared" si="3"/>
        <v>-2.6726698655065387E-3</v>
      </c>
      <c r="E233" s="26">
        <f>E232+Step_h*D232</f>
        <v>0.9948548492362892</v>
      </c>
      <c r="J233" s="24">
        <f>ROUND(J232-Step_h,2)</f>
        <v>7.9</v>
      </c>
      <c r="K233" s="24">
        <f>J233+Age</f>
        <v>27.9</v>
      </c>
      <c r="L233" s="19">
        <f>B*c_gom^K233</f>
        <v>4.4285268677188468E-3</v>
      </c>
      <c r="M233" s="19">
        <f>N233*delta +Prem-L233*(1-N233)</f>
        <v>-1.2289070889930972E-3</v>
      </c>
      <c r="N233" s="26">
        <f>N232-Step_h*M232</f>
        <v>3.6675579923538784E-3</v>
      </c>
      <c r="U233" s="2"/>
      <c r="X233" s="2"/>
    </row>
    <row r="234" spans="1:24" x14ac:dyDescent="0.45">
      <c r="A234" s="24">
        <v>2.11</v>
      </c>
      <c r="B234" s="24">
        <f>A234+Age</f>
        <v>22.11</v>
      </c>
      <c r="C234" s="19">
        <f>B*c_gom^B234</f>
        <v>2.6888084282900761E-3</v>
      </c>
      <c r="D234" s="19">
        <f t="shared" si="3"/>
        <v>-2.6749022405791831E-3</v>
      </c>
      <c r="E234" s="26">
        <f>E233+Step_h*D233</f>
        <v>0.99482812253763409</v>
      </c>
      <c r="J234" s="24">
        <f>ROUND(J233-Step_h,2)</f>
        <v>7.89</v>
      </c>
      <c r="K234" s="24">
        <f>J234+Age</f>
        <v>27.89</v>
      </c>
      <c r="L234" s="19">
        <f>B*c_gom^K234</f>
        <v>4.4247121092583991E-3</v>
      </c>
      <c r="M234" s="19">
        <f>N234*delta +Prem-L234*(1-N234)</f>
        <v>-1.2244374922352553E-3</v>
      </c>
      <c r="N234" s="26">
        <f>N233-Step_h*M233</f>
        <v>3.6798470632438095E-3</v>
      </c>
      <c r="U234" s="2"/>
      <c r="X234" s="2"/>
    </row>
    <row r="235" spans="1:24" x14ac:dyDescent="0.45">
      <c r="A235" s="24">
        <v>2.12</v>
      </c>
      <c r="B235" s="24">
        <f>A235+Age</f>
        <v>22.12</v>
      </c>
      <c r="C235" s="19">
        <f>B*c_gom^B235</f>
        <v>2.6911265801713891E-3</v>
      </c>
      <c r="D235" s="19">
        <f t="shared" si="3"/>
        <v>-2.6771364182578373E-3</v>
      </c>
      <c r="E235" s="26">
        <f>E234+Step_h*D234</f>
        <v>0.99480137351522835</v>
      </c>
      <c r="J235" s="24">
        <f>ROUND(J234-Step_h,2)</f>
        <v>7.88</v>
      </c>
      <c r="K235" s="24">
        <f>J235+Age</f>
        <v>27.88</v>
      </c>
      <c r="L235" s="19">
        <f>B*c_gom^K235</f>
        <v>4.4209006368527834E-3</v>
      </c>
      <c r="M235" s="19">
        <f>N235*delta +Prem-L235*(1-N235)</f>
        <v>-1.2199736955541677E-3</v>
      </c>
      <c r="N235" s="26">
        <f>N234-Step_h*M234</f>
        <v>3.692091438166162E-3</v>
      </c>
      <c r="U235" s="2"/>
      <c r="X235" s="2"/>
    </row>
    <row r="236" spans="1:24" x14ac:dyDescent="0.45">
      <c r="A236" s="24">
        <v>2.13</v>
      </c>
      <c r="B236" s="24">
        <f>A236+Age</f>
        <v>22.13</v>
      </c>
      <c r="C236" s="19">
        <f>B*c_gom^B236</f>
        <v>2.6934467306436341E-3</v>
      </c>
      <c r="D236" s="19">
        <f t="shared" si="3"/>
        <v>-2.6793723998910558E-3</v>
      </c>
      <c r="E236" s="26">
        <f>E235+Step_h*D235</f>
        <v>0.99477460215104574</v>
      </c>
      <c r="J236" s="24">
        <f>ROUND(J235-Step_h,2)</f>
        <v>7.87</v>
      </c>
      <c r="K236" s="24">
        <f>J236+Age</f>
        <v>27.87</v>
      </c>
      <c r="L236" s="19">
        <f>B*c_gom^K236</f>
        <v>4.4170924476713731E-3</v>
      </c>
      <c r="M236" s="19">
        <f>N236*delta +Prem-L236*(1-N236)</f>
        <v>-1.2155156923416817E-3</v>
      </c>
      <c r="N236" s="26">
        <f>N235-Step_h*M235</f>
        <v>3.7042911751217038E-3</v>
      </c>
      <c r="U236" s="2"/>
      <c r="X236" s="2"/>
    </row>
    <row r="237" spans="1:24" x14ac:dyDescent="0.45">
      <c r="A237" s="24">
        <v>2.14</v>
      </c>
      <c r="B237" s="24">
        <f>A237+Age</f>
        <v>22.14</v>
      </c>
      <c r="C237" s="19">
        <f>B*c_gom^B237</f>
        <v>2.6957688814298946E-3</v>
      </c>
      <c r="D237" s="19">
        <f t="shared" si="3"/>
        <v>-2.6816101868282192E-3</v>
      </c>
      <c r="E237" s="26">
        <f>E236+Step_h*D236</f>
        <v>0.9947478084270468</v>
      </c>
      <c r="J237" s="24">
        <f>ROUND(J236-Step_h,2)</f>
        <v>7.86</v>
      </c>
      <c r="K237" s="24">
        <f>J237+Age</f>
        <v>27.86</v>
      </c>
      <c r="L237" s="19">
        <f>B*c_gom^K237</f>
        <v>4.4132875388859776E-3</v>
      </c>
      <c r="M237" s="19">
        <f>N237*delta +Prem-L237*(1-N237)</f>
        <v>-1.2110634759975678E-3</v>
      </c>
      <c r="N237" s="26">
        <f>N236-Step_h*M236</f>
        <v>3.7164463320451206E-3</v>
      </c>
      <c r="U237" s="2"/>
      <c r="X237" s="2"/>
    </row>
    <row r="238" spans="1:24" x14ac:dyDescent="0.45">
      <c r="A238" s="24">
        <v>2.15</v>
      </c>
      <c r="B238" s="24">
        <f>A238+Age</f>
        <v>22.15</v>
      </c>
      <c r="C238" s="19">
        <f>B*c_gom^B238</f>
        <v>2.6980930342547366E-3</v>
      </c>
      <c r="D238" s="19">
        <f t="shared" si="3"/>
        <v>-2.6838497804195236E-3</v>
      </c>
      <c r="E238" s="26">
        <f>E237+Step_h*D237</f>
        <v>0.99472099232517852</v>
      </c>
      <c r="J238" s="24">
        <f>ROUND(J237-Step_h,2)</f>
        <v>7.85</v>
      </c>
      <c r="K238" s="24">
        <f>J238+Age</f>
        <v>27.85</v>
      </c>
      <c r="L238" s="19">
        <f>B*c_gom^K238</f>
        <v>4.409485907670852E-3</v>
      </c>
      <c r="M238" s="19">
        <f>N238*delta +Prem-L238*(1-N238)</f>
        <v>-1.206617039929522E-3</v>
      </c>
      <c r="N238" s="26">
        <f>N237-Step_h*M237</f>
        <v>3.7285569668050961E-3</v>
      </c>
      <c r="U238" s="2"/>
      <c r="X238" s="2"/>
    </row>
    <row r="239" spans="1:24" x14ac:dyDescent="0.45">
      <c r="A239" s="24">
        <v>2.16</v>
      </c>
      <c r="B239" s="24">
        <f>A239+Age</f>
        <v>22.16</v>
      </c>
      <c r="C239" s="19">
        <f>B*c_gom^B239</f>
        <v>2.7004191908442158E-3</v>
      </c>
      <c r="D239" s="19">
        <f t="shared" si="3"/>
        <v>-2.6860911820159902E-3</v>
      </c>
      <c r="E239" s="26">
        <f>E238+Step_h*D238</f>
        <v>0.99469415382737436</v>
      </c>
      <c r="J239" s="24">
        <f>ROUND(J238-Step_h,2)</f>
        <v>7.84</v>
      </c>
      <c r="K239" s="24">
        <f>J239+Age</f>
        <v>27.84</v>
      </c>
      <c r="L239" s="19">
        <f>B*c_gom^K239</f>
        <v>4.4056875512026696E-3</v>
      </c>
      <c r="M239" s="19">
        <f>N239*delta +Prem-L239*(1-N239)</f>
        <v>-1.2021763775531282E-3</v>
      </c>
      <c r="N239" s="26">
        <f>N238-Step_h*M238</f>
        <v>3.7406231372043913E-3</v>
      </c>
      <c r="U239" s="2"/>
      <c r="X239" s="2"/>
    </row>
    <row r="240" spans="1:24" x14ac:dyDescent="0.45">
      <c r="A240" s="24">
        <v>2.17</v>
      </c>
      <c r="B240" s="24">
        <f>A240+Age</f>
        <v>22.17</v>
      </c>
      <c r="C240" s="19">
        <f>B*c_gom^B240</f>
        <v>2.7027473529258744E-3</v>
      </c>
      <c r="D240" s="19">
        <f t="shared" si="3"/>
        <v>-2.6883343929694596E-3</v>
      </c>
      <c r="E240" s="26">
        <f>E239+Step_h*D239</f>
        <v>0.99466729291555422</v>
      </c>
      <c r="J240" s="24">
        <f>ROUND(J239-Step_h,2)</f>
        <v>7.83</v>
      </c>
      <c r="K240" s="24">
        <f>J240+Age</f>
        <v>27.83</v>
      </c>
      <c r="L240" s="19">
        <f>B*c_gom^K240</f>
        <v>4.401892466660548E-3</v>
      </c>
      <c r="M240" s="19">
        <f>N240*delta +Prem-L240*(1-N240)</f>
        <v>-1.1977414822918761E-3</v>
      </c>
      <c r="N240" s="26">
        <f>N239-Step_h*M239</f>
        <v>3.7526449009799225E-3</v>
      </c>
      <c r="U240" s="2"/>
      <c r="X240" s="2"/>
    </row>
    <row r="241" spans="1:24" x14ac:dyDescent="0.45">
      <c r="A241" s="24">
        <v>2.1800000000000002</v>
      </c>
      <c r="B241" s="24">
        <f>A241+Age</f>
        <v>22.18</v>
      </c>
      <c r="C241" s="19">
        <f>B*c_gom^B241</f>
        <v>2.7050775222287431E-3</v>
      </c>
      <c r="D241" s="19">
        <f t="shared" si="3"/>
        <v>-2.6905794146325924E-3</v>
      </c>
      <c r="E241" s="26">
        <f>E240+Step_h*D240</f>
        <v>0.99464040957162458</v>
      </c>
      <c r="J241" s="24">
        <f>ROUND(J240-Step_h,2)</f>
        <v>7.82</v>
      </c>
      <c r="K241" s="24">
        <f>J241+Age</f>
        <v>27.82</v>
      </c>
      <c r="L241" s="19">
        <f>B*c_gom^K241</f>
        <v>4.3981006512260369E-3</v>
      </c>
      <c r="M241" s="19">
        <f>N241*delta +Prem-L241*(1-N241)</f>
        <v>-1.1933123475771426E-3</v>
      </c>
      <c r="N241" s="26">
        <f>N240-Step_h*M240</f>
        <v>3.7646223158028414E-3</v>
      </c>
      <c r="U241" s="2"/>
      <c r="X241" s="2"/>
    </row>
    <row r="242" spans="1:24" x14ac:dyDescent="0.45">
      <c r="A242" s="24">
        <v>2.19</v>
      </c>
      <c r="B242" s="24">
        <f>A242+Age</f>
        <v>22.19</v>
      </c>
      <c r="C242" s="19">
        <f>B*c_gom^B242</f>
        <v>2.7074097004833463E-3</v>
      </c>
      <c r="D242" s="19">
        <f t="shared" si="3"/>
        <v>-2.692826248358874E-3</v>
      </c>
      <c r="E242" s="26">
        <f>E241+Step_h*D241</f>
        <v>0.99461350377747826</v>
      </c>
      <c r="J242" s="24">
        <f>ROUND(J241-Step_h,2)</f>
        <v>7.81</v>
      </c>
      <c r="K242" s="24">
        <f>J242+Age</f>
        <v>27.81</v>
      </c>
      <c r="L242" s="19">
        <f>B*c_gom^K242</f>
        <v>4.394312102083099E-3</v>
      </c>
      <c r="M242" s="19">
        <f>N242*delta +Prem-L242*(1-N242)</f>
        <v>-1.1888889668481583E-3</v>
      </c>
      <c r="N242" s="26">
        <f>N241-Step_h*M241</f>
        <v>3.7765554392786126E-3</v>
      </c>
      <c r="U242" s="2"/>
      <c r="X242" s="2"/>
    </row>
    <row r="243" spans="1:24" x14ac:dyDescent="0.45">
      <c r="A243" s="24">
        <v>2.2000000000000002</v>
      </c>
      <c r="B243" s="24">
        <f>A243+Age</f>
        <v>22.2</v>
      </c>
      <c r="C243" s="19">
        <f>B*c_gom^B243</f>
        <v>2.709743889421697E-3</v>
      </c>
      <c r="D243" s="19">
        <f t="shared" si="3"/>
        <v>-2.6950748955026078E-3</v>
      </c>
      <c r="E243" s="26">
        <f>E242+Step_h*D242</f>
        <v>0.99458657551499463</v>
      </c>
      <c r="J243" s="24">
        <f>ROUND(J242-Step_h,2)</f>
        <v>7.8</v>
      </c>
      <c r="K243" s="24">
        <f>J243+Age</f>
        <v>27.8</v>
      </c>
      <c r="L243" s="19">
        <f>B*c_gom^K243</f>
        <v>4.3905268164181385E-3</v>
      </c>
      <c r="M243" s="19">
        <f>N243*delta +Prem-L243*(1-N243)</f>
        <v>-1.1844713335520344E-3</v>
      </c>
      <c r="N243" s="26">
        <f>N242-Step_h*M242</f>
        <v>3.7884443289470941E-3</v>
      </c>
      <c r="U243" s="2"/>
      <c r="X243" s="2"/>
    </row>
    <row r="244" spans="1:24" x14ac:dyDescent="0.45">
      <c r="A244" s="24">
        <v>2.21</v>
      </c>
      <c r="B244" s="24">
        <f>A244+Age</f>
        <v>22.21</v>
      </c>
      <c r="C244" s="19">
        <f>B*c_gom^B244</f>
        <v>2.712080090777304E-3</v>
      </c>
      <c r="D244" s="19">
        <f t="shared" si="3"/>
        <v>-2.6973253574189221E-3</v>
      </c>
      <c r="E244" s="26">
        <f>E243+Step_h*D243</f>
        <v>0.99455962476603965</v>
      </c>
      <c r="J244" s="24">
        <f>ROUND(J243-Step_h,2)</f>
        <v>7.79</v>
      </c>
      <c r="K244" s="24">
        <f>J244+Age</f>
        <v>27.79</v>
      </c>
      <c r="L244" s="19">
        <f>B*c_gom^K244</f>
        <v>4.3867447914199744E-3</v>
      </c>
      <c r="M244" s="19">
        <f>N244*delta +Prem-L244*(1-N244)</f>
        <v>-1.1800594411437199E-3</v>
      </c>
      <c r="N244" s="26">
        <f>N243-Step_h*M243</f>
        <v>3.8002890422826146E-3</v>
      </c>
      <c r="U244" s="2"/>
      <c r="X244" s="2"/>
    </row>
    <row r="245" spans="1:24" x14ac:dyDescent="0.45">
      <c r="A245" s="24">
        <v>2.2200000000000002</v>
      </c>
      <c r="B245" s="24">
        <f>A245+Age</f>
        <v>22.22</v>
      </c>
      <c r="C245" s="19">
        <f>B*c_gom^B245</f>
        <v>2.7144183062851679E-3</v>
      </c>
      <c r="D245" s="19">
        <f t="shared" si="3"/>
        <v>-2.699577635463764E-3</v>
      </c>
      <c r="E245" s="26">
        <f>E244+Step_h*D244</f>
        <v>0.9945326515124655</v>
      </c>
      <c r="J245" s="24">
        <f>ROUND(J244-Step_h,2)</f>
        <v>7.78</v>
      </c>
      <c r="K245" s="24">
        <f>J245+Age</f>
        <v>27.78</v>
      </c>
      <c r="L245" s="19">
        <f>B*c_gom^K245</f>
        <v>4.382966024279851E-3</v>
      </c>
      <c r="M245" s="19">
        <f>N245*delta +Prem-L245*(1-N245)</f>
        <v>-1.1756532830860082E-3</v>
      </c>
      <c r="N245" s="26">
        <f>N244-Step_h*M244</f>
        <v>3.8120896366940519E-3</v>
      </c>
      <c r="U245" s="2"/>
      <c r="X245" s="2"/>
    </row>
    <row r="246" spans="1:24" x14ac:dyDescent="0.45">
      <c r="A246" s="24">
        <v>2.23</v>
      </c>
      <c r="B246" s="24">
        <f>A246+Age</f>
        <v>22.23</v>
      </c>
      <c r="C246" s="19">
        <f>B*c_gom^B246</f>
        <v>2.7167585376817898E-3</v>
      </c>
      <c r="D246" s="19">
        <f t="shared" si="3"/>
        <v>-2.7018317309939061E-3</v>
      </c>
      <c r="E246" s="26">
        <f>E245+Step_h*D245</f>
        <v>0.99450565573611083</v>
      </c>
      <c r="J246" s="24">
        <f>ROUND(J245-Step_h,2)</f>
        <v>7.77</v>
      </c>
      <c r="K246" s="24">
        <f>J246+Age</f>
        <v>27.77</v>
      </c>
      <c r="L246" s="19">
        <f>B*c_gom^K246</f>
        <v>4.3791905121914254E-3</v>
      </c>
      <c r="M246" s="19">
        <f>N246*delta +Prem-L246*(1-N246)</f>
        <v>-1.1712528528495165E-3</v>
      </c>
      <c r="N246" s="26">
        <f>N245-Step_h*M245</f>
        <v>3.823846169524912E-3</v>
      </c>
      <c r="U246" s="2"/>
      <c r="X246" s="2"/>
    </row>
    <row r="247" spans="1:24" x14ac:dyDescent="0.45">
      <c r="A247" s="24">
        <v>2.2400000000000002</v>
      </c>
      <c r="B247" s="24">
        <f>A247+Age</f>
        <v>22.240000000000002</v>
      </c>
      <c r="C247" s="19">
        <f>B*c_gom^B247</f>
        <v>2.7191007867051627E-3</v>
      </c>
      <c r="D247" s="19">
        <f t="shared" si="3"/>
        <v>-2.70408764536694E-3</v>
      </c>
      <c r="E247" s="26">
        <f>E246+Step_h*D246</f>
        <v>0.99447863741880094</v>
      </c>
      <c r="J247" s="24">
        <f>ROUND(J246-Step_h,2)</f>
        <v>7.76</v>
      </c>
      <c r="K247" s="24">
        <f>J247+Age</f>
        <v>27.759999999999998</v>
      </c>
      <c r="L247" s="19">
        <f>B*c_gom^K247</f>
        <v>4.3754182523507851E-3</v>
      </c>
      <c r="M247" s="19">
        <f>N247*delta +Prem-L247*(1-N247)</f>
        <v>-1.1668581439126893E-3</v>
      </c>
      <c r="N247" s="26">
        <f>N246-Step_h*M246</f>
        <v>3.8355586980534074E-3</v>
      </c>
      <c r="U247" s="2"/>
      <c r="X247" s="2"/>
    </row>
    <row r="248" spans="1:24" x14ac:dyDescent="0.45">
      <c r="A248" s="24">
        <v>2.25</v>
      </c>
      <c r="B248" s="24">
        <f>A248+Age</f>
        <v>22.25</v>
      </c>
      <c r="C248" s="19">
        <f>B*c_gom^B248</f>
        <v>2.7214450550947802E-3</v>
      </c>
      <c r="D248" s="19">
        <f t="shared" si="3"/>
        <v>-2.7063453799412805E-3</v>
      </c>
      <c r="E248" s="26">
        <f>E247+Step_h*D247</f>
        <v>0.99445159654234727</v>
      </c>
      <c r="J248" s="24">
        <f>ROUND(J247-Step_h,2)</f>
        <v>7.75</v>
      </c>
      <c r="K248" s="24">
        <f>J248+Age</f>
        <v>27.75</v>
      </c>
      <c r="L248" s="19">
        <f>B*c_gom^K248</f>
        <v>4.3716492419564211E-3</v>
      </c>
      <c r="M248" s="19">
        <f>N248*delta +Prem-L248*(1-N248)</f>
        <v>-1.1624691497617665E-3</v>
      </c>
      <c r="N248" s="26">
        <f>N247-Step_h*M247</f>
        <v>3.8472272794925341E-3</v>
      </c>
      <c r="U248" s="2"/>
      <c r="X248" s="2"/>
    </row>
    <row r="249" spans="1:24" x14ac:dyDescent="0.45">
      <c r="A249" s="24">
        <v>2.2600000000000002</v>
      </c>
      <c r="B249" s="24">
        <f>A249+Age</f>
        <v>22.26</v>
      </c>
      <c r="C249" s="19">
        <f>B*c_gom^B249</f>
        <v>2.7237913445916375E-3</v>
      </c>
      <c r="D249" s="19">
        <f t="shared" si="3"/>
        <v>-2.708604936076167E-3</v>
      </c>
      <c r="E249" s="26">
        <f>E248+Step_h*D248</f>
        <v>0.99442453308854784</v>
      </c>
      <c r="J249" s="24">
        <f>ROUND(J248-Step_h,2)</f>
        <v>7.74</v>
      </c>
      <c r="K249" s="24">
        <f>J249+Age</f>
        <v>27.740000000000002</v>
      </c>
      <c r="L249" s="19">
        <f>B*c_gom^K249</f>
        <v>4.3678834782092425E-3</v>
      </c>
      <c r="M249" s="19">
        <f>N249*delta +Prem-L249*(1-N249)</f>
        <v>-1.1580858638907919E-3</v>
      </c>
      <c r="N249" s="26">
        <f>N248-Step_h*M248</f>
        <v>3.8588519709901519E-3</v>
      </c>
      <c r="U249" s="2"/>
      <c r="X249" s="2"/>
    </row>
    <row r="250" spans="1:24" x14ac:dyDescent="0.45">
      <c r="A250" s="24">
        <v>2.27</v>
      </c>
      <c r="B250" s="24">
        <f>A250+Age</f>
        <v>22.27</v>
      </c>
      <c r="C250" s="19">
        <f>B*c_gom^B250</f>
        <v>2.7261396569382263E-3</v>
      </c>
      <c r="D250" s="19">
        <f t="shared" si="3"/>
        <v>-2.7108663151316575E-3</v>
      </c>
      <c r="E250" s="26">
        <f>E249+Step_h*D249</f>
        <v>0.99439744703918709</v>
      </c>
      <c r="J250" s="24">
        <f>ROUND(J249-Step_h,2)</f>
        <v>7.73</v>
      </c>
      <c r="K250" s="24">
        <f>J250+Age</f>
        <v>27.73</v>
      </c>
      <c r="L250" s="19">
        <f>B*c_gom^K250</f>
        <v>4.3641209583125664E-3</v>
      </c>
      <c r="M250" s="19">
        <f>N250*delta +Prem-L250*(1-N250)</f>
        <v>-1.1537082798015884E-3</v>
      </c>
      <c r="N250" s="26">
        <f>N249-Step_h*M249</f>
        <v>3.8704328296290599E-3</v>
      </c>
      <c r="U250" s="2"/>
      <c r="X250" s="2"/>
    </row>
    <row r="251" spans="1:24" x14ac:dyDescent="0.45">
      <c r="A251" s="24">
        <v>2.2800000000000002</v>
      </c>
      <c r="B251" s="24">
        <f>A251+Age</f>
        <v>22.28</v>
      </c>
      <c r="C251" s="19">
        <f>B*c_gom^B251</f>
        <v>2.728489993878546E-3</v>
      </c>
      <c r="D251" s="19">
        <f t="shared" si="3"/>
        <v>-2.7131295184686373E-3</v>
      </c>
      <c r="E251" s="26">
        <f>E250+Step_h*D250</f>
        <v>0.99437033837603572</v>
      </c>
      <c r="J251" s="24">
        <f>ROUND(J250-Step_h,2)</f>
        <v>7.72</v>
      </c>
      <c r="K251" s="24">
        <f>J251+Age</f>
        <v>27.72</v>
      </c>
      <c r="L251" s="19">
        <f>B*c_gom^K251</f>
        <v>4.3603616794721254E-3</v>
      </c>
      <c r="M251" s="19">
        <f>N251*delta +Prem-L251*(1-N251)</f>
        <v>-1.149336391003761E-3</v>
      </c>
      <c r="N251" s="26">
        <f>N250-Step_h*M250</f>
        <v>3.8819699124270756E-3</v>
      </c>
      <c r="U251" s="2"/>
      <c r="X251" s="2"/>
    </row>
    <row r="252" spans="1:24" x14ac:dyDescent="0.45">
      <c r="A252" s="24">
        <v>2.29</v>
      </c>
      <c r="B252" s="24">
        <f>A252+Age</f>
        <v>22.29</v>
      </c>
      <c r="C252" s="19">
        <f>B*c_gom^B252</f>
        <v>2.7308423571580946E-3</v>
      </c>
      <c r="D252" s="19">
        <f t="shared" si="3"/>
        <v>-2.7153945474488106E-3</v>
      </c>
      <c r="E252" s="26">
        <f>E251+Step_h*D251</f>
        <v>0.994343207080851</v>
      </c>
      <c r="J252" s="24">
        <f>ROUND(J251-Step_h,2)</f>
        <v>7.71</v>
      </c>
      <c r="K252" s="24">
        <f>J252+Age</f>
        <v>27.71</v>
      </c>
      <c r="L252" s="19">
        <f>B*c_gom^K252</f>
        <v>4.3566056388960536E-3</v>
      </c>
      <c r="M252" s="19">
        <f>N252*delta +Prem-L252*(1-N252)</f>
        <v>-1.1449701910146728E-3</v>
      </c>
      <c r="N252" s="26">
        <f>N251-Step_h*M251</f>
        <v>3.8934632763371131E-3</v>
      </c>
      <c r="U252" s="2"/>
      <c r="X252" s="2"/>
    </row>
    <row r="253" spans="1:24" x14ac:dyDescent="0.45">
      <c r="A253" s="24">
        <v>2.3000000000000003</v>
      </c>
      <c r="B253" s="24">
        <f>A253+Age</f>
        <v>22.3</v>
      </c>
      <c r="C253" s="19">
        <f>B*c_gom^B253</f>
        <v>2.7331967485238794E-3</v>
      </c>
      <c r="D253" s="19">
        <f t="shared" si="3"/>
        <v>-2.7176614034347081E-3</v>
      </c>
      <c r="E253" s="26">
        <f>E252+Step_h*D252</f>
        <v>0.99431605313537652</v>
      </c>
      <c r="J253" s="24">
        <f>ROUND(J252-Step_h,2)</f>
        <v>7.7</v>
      </c>
      <c r="K253" s="24">
        <f>J253+Age</f>
        <v>27.7</v>
      </c>
      <c r="L253" s="19">
        <f>B*c_gom^K253</f>
        <v>4.352852833794889E-3</v>
      </c>
      <c r="M253" s="19">
        <f>N253*delta +Prem-L253*(1-N253)</f>
        <v>-1.1406096733594401E-3</v>
      </c>
      <c r="N253" s="26">
        <f>N252-Step_h*M252</f>
        <v>3.9049129782472601E-3</v>
      </c>
      <c r="U253" s="2"/>
      <c r="X253" s="2"/>
    </row>
    <row r="254" spans="1:24" x14ac:dyDescent="0.45">
      <c r="A254" s="24">
        <v>2.31</v>
      </c>
      <c r="B254" s="24">
        <f>A254+Age</f>
        <v>22.31</v>
      </c>
      <c r="C254" s="19">
        <f>B*c_gom^B254</f>
        <v>2.7355531697244094E-3</v>
      </c>
      <c r="D254" s="19">
        <f t="shared" si="3"/>
        <v>-2.7199300877896793E-3</v>
      </c>
      <c r="E254" s="26">
        <f>E253+Step_h*D253</f>
        <v>0.99428887652134212</v>
      </c>
      <c r="J254" s="24">
        <f>ROUND(J253-Step_h,2)</f>
        <v>7.69</v>
      </c>
      <c r="K254" s="24">
        <f>J254+Age</f>
        <v>27.69</v>
      </c>
      <c r="L254" s="19">
        <f>B*c_gom^K254</f>
        <v>4.3491032613815787E-3</v>
      </c>
      <c r="M254" s="19">
        <f>N254*delta +Prem-L254*(1-N254)</f>
        <v>-1.1362548315709264E-3</v>
      </c>
      <c r="N254" s="26">
        <f>N253-Step_h*M253</f>
        <v>3.9163190749808546E-3</v>
      </c>
      <c r="U254" s="2"/>
      <c r="X254" s="2"/>
    </row>
    <row r="255" spans="1:24" x14ac:dyDescent="0.45">
      <c r="A255" s="24">
        <v>2.3199999999999998</v>
      </c>
      <c r="B255" s="24">
        <f>A255+Age</f>
        <v>22.32</v>
      </c>
      <c r="C255" s="19">
        <f>B*c_gom^B255</f>
        <v>2.7379116225097052E-3</v>
      </c>
      <c r="D255" s="19">
        <f t="shared" si="3"/>
        <v>-2.7222006018779018E-3</v>
      </c>
      <c r="E255" s="26">
        <f>E254+Step_h*D254</f>
        <v>0.99426167722046421</v>
      </c>
      <c r="J255" s="24">
        <f>ROUND(J254-Step_h,2)</f>
        <v>7.68</v>
      </c>
      <c r="K255" s="24">
        <f>J255+Age</f>
        <v>27.68</v>
      </c>
      <c r="L255" s="19">
        <f>B*c_gom^K255</f>
        <v>4.3453569188714649E-3</v>
      </c>
      <c r="M255" s="19">
        <f>N255*delta +Prem-L255*(1-N255)</f>
        <v>-1.1319056591897201E-3</v>
      </c>
      <c r="N255" s="26">
        <f>N254-Step_h*M254</f>
        <v>3.9276816232965642E-3</v>
      </c>
      <c r="U255" s="2"/>
      <c r="X255" s="2"/>
    </row>
    <row r="256" spans="1:24" x14ac:dyDescent="0.45">
      <c r="A256" s="24">
        <v>2.33</v>
      </c>
      <c r="B256" s="24">
        <f>A256+Age</f>
        <v>22.33</v>
      </c>
      <c r="C256" s="19">
        <f>B*c_gom^B256</f>
        <v>2.740272108631293E-3</v>
      </c>
      <c r="D256" s="19">
        <f t="shared" si="3"/>
        <v>-2.724472947064373E-3</v>
      </c>
      <c r="E256" s="26">
        <f>E255+Step_h*D255</f>
        <v>0.99423445521444542</v>
      </c>
      <c r="J256" s="24">
        <f>ROUND(J255-Step_h,2)</f>
        <v>7.67</v>
      </c>
      <c r="K256" s="24">
        <f>J256+Age</f>
        <v>27.67</v>
      </c>
      <c r="L256" s="19">
        <f>B*c_gom^K256</f>
        <v>4.3416138034822914E-3</v>
      </c>
      <c r="M256" s="19">
        <f>N256*delta +Prem-L256*(1-N256)</f>
        <v>-1.1275621497641381E-3</v>
      </c>
      <c r="N256" s="26">
        <f>N255-Step_h*M255</f>
        <v>3.9390006798884613E-3</v>
      </c>
      <c r="U256" s="2"/>
      <c r="X256" s="2"/>
    </row>
    <row r="257" spans="1:24" x14ac:dyDescent="0.45">
      <c r="A257" s="24">
        <v>2.34</v>
      </c>
      <c r="B257" s="24">
        <f>A257+Age</f>
        <v>22.34</v>
      </c>
      <c r="C257" s="19">
        <f>B*c_gom^B257</f>
        <v>2.7426346298422121E-3</v>
      </c>
      <c r="D257" s="19">
        <f t="shared" si="3"/>
        <v>-2.7267471247149171E-3</v>
      </c>
      <c r="E257" s="26">
        <f>E256+Step_h*D256</f>
        <v>0.99420721048497473</v>
      </c>
      <c r="J257" s="24">
        <f>ROUND(J256-Step_h,2)</f>
        <v>7.66</v>
      </c>
      <c r="K257" s="24">
        <f>J257+Age</f>
        <v>27.66</v>
      </c>
      <c r="L257" s="19">
        <f>B*c_gom^K257</f>
        <v>4.3378739124341941E-3</v>
      </c>
      <c r="M257" s="19">
        <f>N257*delta +Prem-L257*(1-N257)</f>
        <v>-1.1232242968501989E-3</v>
      </c>
      <c r="N257" s="26">
        <f>N256-Step_h*M256</f>
        <v>3.9502763013861027E-3</v>
      </c>
      <c r="U257" s="2"/>
      <c r="X257" s="2"/>
    </row>
    <row r="258" spans="1:24" x14ac:dyDescent="0.45">
      <c r="A258" s="24">
        <v>2.35</v>
      </c>
      <c r="B258" s="24">
        <f>A258+Age</f>
        <v>22.35</v>
      </c>
      <c r="C258" s="19">
        <f>B*c_gom^B258</f>
        <v>2.7449991878970102E-3</v>
      </c>
      <c r="D258" s="19">
        <f t="shared" si="3"/>
        <v>-2.7290231361961782E-3</v>
      </c>
      <c r="E258" s="26">
        <f>E257+Step_h*D257</f>
        <v>0.99417994301372759</v>
      </c>
      <c r="J258" s="24">
        <f>ROUND(J257-Step_h,2)</f>
        <v>7.65</v>
      </c>
      <c r="K258" s="24">
        <f>J258+Age</f>
        <v>27.65</v>
      </c>
      <c r="L258" s="19">
        <f>B*c_gom^K258</f>
        <v>4.3341372429497125E-3</v>
      </c>
      <c r="M258" s="19">
        <f>N258*delta +Prem-L258*(1-N258)</f>
        <v>-1.1188920940116312E-3</v>
      </c>
      <c r="N258" s="26">
        <f>N257-Step_h*M257</f>
        <v>3.9615085443546047E-3</v>
      </c>
      <c r="U258" s="2"/>
      <c r="X258" s="2"/>
    </row>
    <row r="259" spans="1:24" x14ac:dyDescent="0.45">
      <c r="A259" s="24">
        <v>2.36</v>
      </c>
      <c r="B259" s="24">
        <f>A259+Age</f>
        <v>22.36</v>
      </c>
      <c r="C259" s="19">
        <f>B*c_gom^B259</f>
        <v>2.747365784551749E-3</v>
      </c>
      <c r="D259" s="19">
        <f t="shared" si="3"/>
        <v>-2.7313009828756262E-3</v>
      </c>
      <c r="E259" s="26">
        <f>E258+Step_h*D258</f>
        <v>0.99415265278236564</v>
      </c>
      <c r="J259" s="24">
        <f>ROUND(J258-Step_h,2)</f>
        <v>7.64</v>
      </c>
      <c r="K259" s="24">
        <f>J259+Age</f>
        <v>27.64</v>
      </c>
      <c r="L259" s="19">
        <f>B*c_gom^K259</f>
        <v>4.3304037922537696E-3</v>
      </c>
      <c r="M259" s="19">
        <f>N259*delta +Prem-L259*(1-N259)</f>
        <v>-1.1145655348198443E-3</v>
      </c>
      <c r="N259" s="26">
        <f>N258-Step_h*M258</f>
        <v>3.972697465294721E-3</v>
      </c>
      <c r="U259" s="2"/>
      <c r="X259" s="2"/>
    </row>
    <row r="260" spans="1:24" x14ac:dyDescent="0.45">
      <c r="A260" s="24">
        <v>2.37</v>
      </c>
      <c r="B260" s="24">
        <f>A260+Age</f>
        <v>22.37</v>
      </c>
      <c r="C260" s="19">
        <f>B*c_gom^B260</f>
        <v>2.7497344215640044E-3</v>
      </c>
      <c r="D260" s="19">
        <f t="shared" si="3"/>
        <v>-2.7335806661215561E-3</v>
      </c>
      <c r="E260" s="26">
        <f>E259+Step_h*D259</f>
        <v>0.99412533977253692</v>
      </c>
      <c r="J260" s="24">
        <f>ROUND(J259-Step_h,2)</f>
        <v>7.63</v>
      </c>
      <c r="K260" s="24">
        <f>J260+Age</f>
        <v>27.63</v>
      </c>
      <c r="L260" s="19">
        <f>B*c_gom^K260</f>
        <v>4.326673557573683E-3</v>
      </c>
      <c r="M260" s="19">
        <f>N260*delta +Prem-L260*(1-N260)</f>
        <v>-1.1102446128539293E-3</v>
      </c>
      <c r="N260" s="26">
        <f>N259-Step_h*M259</f>
        <v>3.9838431206429192E-3</v>
      </c>
      <c r="U260" s="2"/>
      <c r="X260" s="2"/>
    </row>
    <row r="261" spans="1:24" x14ac:dyDescent="0.45">
      <c r="A261" s="24">
        <v>2.38</v>
      </c>
      <c r="B261" s="24">
        <f>A261+Age</f>
        <v>22.38</v>
      </c>
      <c r="C261" s="19">
        <f>B*c_gom^B261</f>
        <v>2.7521051006928672E-3</v>
      </c>
      <c r="D261" s="19">
        <f t="shared" si="3"/>
        <v>-2.7358621873030844E-3</v>
      </c>
      <c r="E261" s="26">
        <f>E260+Step_h*D260</f>
        <v>0.99409800396587567</v>
      </c>
      <c r="J261" s="24">
        <f>ROUND(J260-Step_h,2)</f>
        <v>7.62</v>
      </c>
      <c r="K261" s="24">
        <f>J261+Age</f>
        <v>27.62</v>
      </c>
      <c r="L261" s="19">
        <f>B*c_gom^K261</f>
        <v>4.322946536139162E-3</v>
      </c>
      <c r="M261" s="19">
        <f>N261*delta +Prem-L261*(1-N261)</f>
        <v>-1.1059293217006499E-3</v>
      </c>
      <c r="N261" s="26">
        <f>N260-Step_h*M260</f>
        <v>3.9949455667714585E-3</v>
      </c>
      <c r="U261" s="2"/>
      <c r="X261" s="2"/>
    </row>
    <row r="262" spans="1:24" x14ac:dyDescent="0.45">
      <c r="A262" s="24">
        <v>2.39</v>
      </c>
      <c r="B262" s="24">
        <f>A262+Age</f>
        <v>22.39</v>
      </c>
      <c r="C262" s="19">
        <f>B*c_gom^B262</f>
        <v>2.7544778236989454E-3</v>
      </c>
      <c r="D262" s="19">
        <f t="shared" si="3"/>
        <v>-2.7381455477901544E-3</v>
      </c>
      <c r="E262" s="26">
        <f>E261+Step_h*D261</f>
        <v>0.99407064534400258</v>
      </c>
      <c r="J262" s="24">
        <f>ROUND(J261-Step_h,2)</f>
        <v>7.61</v>
      </c>
      <c r="K262" s="24">
        <f>J262+Age</f>
        <v>27.61</v>
      </c>
      <c r="L262" s="19">
        <f>B*c_gom^K262</f>
        <v>4.3192227251822911E-3</v>
      </c>
      <c r="M262" s="19">
        <f>N262*delta +Prem-L262*(1-N262)</f>
        <v>-1.1016196549544152E-3</v>
      </c>
      <c r="N262" s="26">
        <f>N261-Step_h*M261</f>
        <v>4.0060048599884646E-3</v>
      </c>
      <c r="U262" s="2"/>
      <c r="X262" s="2"/>
    </row>
    <row r="263" spans="1:24" x14ac:dyDescent="0.45">
      <c r="A263" s="24">
        <v>2.4</v>
      </c>
      <c r="B263" s="24">
        <f>A263+Age</f>
        <v>22.4</v>
      </c>
      <c r="C263" s="19">
        <f>B*c_gom^B263</f>
        <v>2.7568525923443643E-3</v>
      </c>
      <c r="D263" s="19">
        <f t="shared" si="3"/>
        <v>-2.7404307489535323E-3</v>
      </c>
      <c r="E263" s="26">
        <f>E262+Step_h*D262</f>
        <v>0.99404326388852471</v>
      </c>
      <c r="J263" s="24">
        <f>ROUND(J262-Step_h,2)</f>
        <v>7.6</v>
      </c>
      <c r="K263" s="24">
        <f>J263+Age</f>
        <v>27.6</v>
      </c>
      <c r="L263" s="19">
        <f>B*c_gom^K263</f>
        <v>4.3155021219375526E-3</v>
      </c>
      <c r="M263" s="19">
        <f>N263*delta +Prem-L263*(1-N263)</f>
        <v>-1.0973156062172944E-3</v>
      </c>
      <c r="N263" s="26">
        <f>N262-Step_h*M262</f>
        <v>4.0170210565380086E-3</v>
      </c>
      <c r="U263" s="2"/>
      <c r="X263" s="2"/>
    </row>
    <row r="264" spans="1:24" x14ac:dyDescent="0.45">
      <c r="A264" s="24">
        <v>2.41</v>
      </c>
      <c r="B264" s="24">
        <f>A264+Age</f>
        <v>22.41</v>
      </c>
      <c r="C264" s="19">
        <f>B*c_gom^B264</f>
        <v>2.759229408392769E-3</v>
      </c>
      <c r="D264" s="19">
        <f t="shared" si="3"/>
        <v>-2.7427177921648094E-3</v>
      </c>
      <c r="E264" s="26">
        <f>E263+Step_h*D263</f>
        <v>0.99401585958103522</v>
      </c>
      <c r="J264" s="24">
        <f>ROUND(J263-Step_h,2)</f>
        <v>7.59</v>
      </c>
      <c r="K264" s="24">
        <f>J264+Age</f>
        <v>27.59</v>
      </c>
      <c r="L264" s="19">
        <f>B*c_gom^K264</f>
        <v>4.3117847236418027E-3</v>
      </c>
      <c r="M264" s="19">
        <f>N264*delta +Prem-L264*(1-N264)</f>
        <v>-1.0930171690989869E-3</v>
      </c>
      <c r="N264" s="26">
        <f>N263-Step_h*M263</f>
        <v>4.0279942126001814E-3</v>
      </c>
      <c r="U264" s="2"/>
      <c r="X264" s="2"/>
    </row>
    <row r="265" spans="1:24" x14ac:dyDescent="0.45">
      <c r="A265" s="24">
        <v>2.42</v>
      </c>
      <c r="B265" s="24">
        <f>A265+Age</f>
        <v>22.42</v>
      </c>
      <c r="C265" s="19">
        <f>B*c_gom^B265</f>
        <v>2.7616082736093236E-3</v>
      </c>
      <c r="D265" s="19">
        <f t="shared" si="3"/>
        <v>-2.7450066787964001E-3</v>
      </c>
      <c r="E265" s="26">
        <f>E264+Step_h*D264</f>
        <v>0.99398843240311352</v>
      </c>
      <c r="J265" s="24">
        <f>ROUND(J264-Step_h,2)</f>
        <v>7.58</v>
      </c>
      <c r="K265" s="24">
        <f>J265+Age</f>
        <v>27.58</v>
      </c>
      <c r="L265" s="19">
        <f>B*c_gom^K265</f>
        <v>4.3080705275342782E-3</v>
      </c>
      <c r="M265" s="19">
        <f>N265*delta +Prem-L265*(1-N265)</f>
        <v>-1.0887243372168154E-3</v>
      </c>
      <c r="N265" s="26">
        <f>N264-Step_h*M264</f>
        <v>4.0389243842911711E-3</v>
      </c>
      <c r="U265" s="2"/>
      <c r="X265" s="2"/>
    </row>
    <row r="266" spans="1:24" x14ac:dyDescent="0.45">
      <c r="A266" s="24">
        <v>2.4300000000000002</v>
      </c>
      <c r="B266" s="24">
        <f>A266+Age</f>
        <v>22.43</v>
      </c>
      <c r="C266" s="19">
        <f>B*c_gom^B266</f>
        <v>2.7639891897607159E-3</v>
      </c>
      <c r="D266" s="19">
        <f t="shared" si="3"/>
        <v>-2.7472974102215456E-3</v>
      </c>
      <c r="E266" s="26">
        <f>E265+Step_h*D265</f>
        <v>0.99396098233632557</v>
      </c>
      <c r="J266" s="24">
        <f>ROUND(J265-Step_h,2)</f>
        <v>7.57</v>
      </c>
      <c r="K266" s="24">
        <f>J266+Age</f>
        <v>27.57</v>
      </c>
      <c r="L266" s="19">
        <f>B*c_gom^K266</f>
        <v>4.3043595308565989E-3</v>
      </c>
      <c r="M266" s="19">
        <f>N266*delta +Prem-L266*(1-N266)</f>
        <v>-1.0844371041957256E-3</v>
      </c>
      <c r="N266" s="26">
        <f>N265-Step_h*M265</f>
        <v>4.0498116276633392E-3</v>
      </c>
      <c r="U266" s="2"/>
      <c r="X266" s="2"/>
    </row>
    <row r="267" spans="1:24" x14ac:dyDescent="0.45">
      <c r="A267" s="24">
        <v>2.44</v>
      </c>
      <c r="B267" s="24">
        <f>A267+Age</f>
        <v>22.44</v>
      </c>
      <c r="C267" s="19">
        <f>B*c_gom^B267</f>
        <v>2.7663721586151562E-3</v>
      </c>
      <c r="D267" s="19">
        <f t="shared" si="3"/>
        <v>-2.7495899878143115E-3</v>
      </c>
      <c r="E267" s="26">
        <f>E266+Step_h*D266</f>
        <v>0.99393350936222336</v>
      </c>
      <c r="J267" s="24">
        <f>ROUND(J266-Step_h,2)</f>
        <v>7.56</v>
      </c>
      <c r="K267" s="24">
        <f>J267+Age</f>
        <v>27.56</v>
      </c>
      <c r="L267" s="19">
        <f>B*c_gom^K267</f>
        <v>4.3006517308527576E-3</v>
      </c>
      <c r="M267" s="19">
        <f>N267*delta +Prem-L267*(1-N267)</f>
        <v>-1.0801554636682633E-3</v>
      </c>
      <c r="N267" s="26">
        <f>N266-Step_h*M266</f>
        <v>4.0606559987052962E-3</v>
      </c>
      <c r="U267" s="2"/>
      <c r="X267" s="2"/>
    </row>
    <row r="268" spans="1:24" x14ac:dyDescent="0.45">
      <c r="A268" s="24">
        <v>2.4500000000000002</v>
      </c>
      <c r="B268" s="24">
        <f>A268+Age</f>
        <v>22.45</v>
      </c>
      <c r="C268" s="19">
        <f>B*c_gom^B268</f>
        <v>2.768757181942378E-3</v>
      </c>
      <c r="D268" s="19">
        <f t="shared" si="3"/>
        <v>-2.751884412949586E-3</v>
      </c>
      <c r="E268" s="26">
        <f>E267+Step_h*D267</f>
        <v>0.99390601346234519</v>
      </c>
      <c r="J268" s="24">
        <f>ROUND(J267-Step_h,2)</f>
        <v>7.55</v>
      </c>
      <c r="K268" s="24">
        <f>J268+Age</f>
        <v>27.55</v>
      </c>
      <c r="L268" s="19">
        <f>B*c_gom^K268</f>
        <v>4.2969471247691184E-3</v>
      </c>
      <c r="M268" s="19">
        <f>N268*delta +Prem-L268*(1-N268)</f>
        <v>-1.075879409274567E-3</v>
      </c>
      <c r="N268" s="26">
        <f>N267-Step_h*M267</f>
        <v>4.0714575533419787E-3</v>
      </c>
      <c r="U268" s="2"/>
      <c r="X268" s="2"/>
    </row>
    <row r="269" spans="1:24" x14ac:dyDescent="0.45">
      <c r="A269" s="24">
        <v>2.46</v>
      </c>
      <c r="B269" s="24">
        <f>A269+Age</f>
        <v>22.46</v>
      </c>
      <c r="C269" s="19">
        <f>B*c_gom^B269</f>
        <v>2.7711442615136438E-3</v>
      </c>
      <c r="D269" s="19">
        <f t="shared" si="3"/>
        <v>-2.754180687003087E-3</v>
      </c>
      <c r="E269" s="26">
        <f>E268+Step_h*D268</f>
        <v>0.99387849461821565</v>
      </c>
      <c r="J269" s="24">
        <f>ROUND(J268-Step_h,2)</f>
        <v>7.54</v>
      </c>
      <c r="K269" s="24">
        <f>J269+Age</f>
        <v>27.54</v>
      </c>
      <c r="L269" s="19">
        <f>B*c_gom^K269</f>
        <v>4.2932457098544203E-3</v>
      </c>
      <c r="M269" s="19">
        <f>N269*delta +Prem-L269*(1-N269)</f>
        <v>-1.0716089346623618E-3</v>
      </c>
      <c r="N269" s="26">
        <f>N268-Step_h*M268</f>
        <v>4.0822163474347247E-3</v>
      </c>
      <c r="U269" s="2"/>
      <c r="X269" s="2"/>
    </row>
    <row r="270" spans="1:24" x14ac:dyDescent="0.45">
      <c r="A270" s="24">
        <v>2.4700000000000002</v>
      </c>
      <c r="B270" s="24">
        <f>A270+Age</f>
        <v>22.47</v>
      </c>
      <c r="C270" s="19">
        <f>B*c_gom^B270</f>
        <v>2.773533399101739E-3</v>
      </c>
      <c r="D270" s="19">
        <f t="shared" si="3"/>
        <v>-2.7564788113513534E-3</v>
      </c>
      <c r="E270" s="26">
        <f>E269+Step_h*D269</f>
        <v>0.99385095281134561</v>
      </c>
      <c r="J270" s="24">
        <f>ROUND(J269-Step_h,2)</f>
        <v>7.53</v>
      </c>
      <c r="K270" s="24">
        <f>J270+Age</f>
        <v>27.53</v>
      </c>
      <c r="L270" s="19">
        <f>B*c_gom^K270</f>
        <v>4.2895474833597744E-3</v>
      </c>
      <c r="M270" s="19">
        <f>N270*delta +Prem-L270*(1-N270)</f>
        <v>-1.0673440334869498E-3</v>
      </c>
      <c r="N270" s="26">
        <f>N269-Step_h*M269</f>
        <v>4.0929324367813486E-3</v>
      </c>
      <c r="U270" s="2"/>
      <c r="X270" s="2"/>
    </row>
    <row r="271" spans="1:24" x14ac:dyDescent="0.45">
      <c r="A271" s="24">
        <v>2.48</v>
      </c>
      <c r="B271" s="24">
        <f>A271+Age</f>
        <v>22.48</v>
      </c>
      <c r="C271" s="19">
        <f>B*c_gom^B271</f>
        <v>2.7759245964809809E-3</v>
      </c>
      <c r="D271" s="19">
        <f t="shared" si="3"/>
        <v>-2.7587787873717519E-3</v>
      </c>
      <c r="E271" s="26">
        <f>E270+Step_h*D270</f>
        <v>0.99382338802323211</v>
      </c>
      <c r="J271" s="24">
        <f>ROUND(J270-Step_h,2)</f>
        <v>7.52</v>
      </c>
      <c r="K271" s="24">
        <f>J271+Age</f>
        <v>27.52</v>
      </c>
      <c r="L271" s="19">
        <f>B*c_gom^K271</f>
        <v>4.2858524425386565E-3</v>
      </c>
      <c r="M271" s="19">
        <f>N271*delta +Prem-L271*(1-N271)</f>
        <v>-1.0630846994111906E-3</v>
      </c>
      <c r="N271" s="26">
        <f>N270-Step_h*M270</f>
        <v>4.103605877116218E-3</v>
      </c>
      <c r="U271" s="2"/>
      <c r="X271" s="2"/>
    </row>
    <row r="272" spans="1:24" x14ac:dyDescent="0.45">
      <c r="A272" s="24">
        <v>2.4900000000000002</v>
      </c>
      <c r="B272" s="24">
        <f>A272+Age</f>
        <v>22.490000000000002</v>
      </c>
      <c r="C272" s="19">
        <f>B*c_gom^B272</f>
        <v>2.7783178554272158E-3</v>
      </c>
      <c r="D272" s="19">
        <f t="shared" si="3"/>
        <v>-2.7610806164424747E-3</v>
      </c>
      <c r="E272" s="26">
        <f>E271+Step_h*D271</f>
        <v>0.99379580023535841</v>
      </c>
      <c r="J272" s="24">
        <f>ROUND(J271-Step_h,2)</f>
        <v>7.51</v>
      </c>
      <c r="K272" s="24">
        <f>J272+Age</f>
        <v>27.509999999999998</v>
      </c>
      <c r="L272" s="19">
        <f>B*c_gom^K272</f>
        <v>4.2821605846469074E-3</v>
      </c>
      <c r="M272" s="19">
        <f>N272*delta +Prem-L272*(1-N272)</f>
        <v>-1.0588309261054985E-3</v>
      </c>
      <c r="N272" s="26">
        <f>N271-Step_h*M271</f>
        <v>4.1142367241103301E-3</v>
      </c>
      <c r="U272" s="2"/>
      <c r="X272" s="2"/>
    </row>
    <row r="273" spans="1:24" x14ac:dyDescent="0.45">
      <c r="A273" s="24">
        <v>2.5</v>
      </c>
      <c r="B273" s="24">
        <f>A273+Age</f>
        <v>22.5</v>
      </c>
      <c r="C273" s="19">
        <f>B*c_gom^B273</f>
        <v>2.7807131777178172E-3</v>
      </c>
      <c r="D273" s="19">
        <f t="shared" si="3"/>
        <v>-2.7633842999425359E-3</v>
      </c>
      <c r="E273" s="26">
        <f>E272+Step_h*D272</f>
        <v>0.99376818942919398</v>
      </c>
      <c r="J273" s="24">
        <f>ROUND(J272-Step_h,2)</f>
        <v>7.5</v>
      </c>
      <c r="K273" s="24">
        <f>J273+Age</f>
        <v>27.5</v>
      </c>
      <c r="L273" s="19">
        <f>B*c_gom^K273</f>
        <v>4.2784719069427352E-3</v>
      </c>
      <c r="M273" s="19">
        <f>N273*delta +Prem-L273*(1-N273)</f>
        <v>-1.0545827072478324E-3</v>
      </c>
      <c r="N273" s="26">
        <f>N272-Step_h*M272</f>
        <v>4.124825033371385E-3</v>
      </c>
      <c r="U273" s="2"/>
      <c r="X273" s="2"/>
    </row>
    <row r="274" spans="1:24" x14ac:dyDescent="0.45">
      <c r="A274" s="24">
        <v>2.5100000000000002</v>
      </c>
      <c r="B274" s="24">
        <f>A274+Age</f>
        <v>22.51</v>
      </c>
      <c r="C274" s="19">
        <f>B*c_gom^B274</f>
        <v>2.7831105651316976E-3</v>
      </c>
      <c r="D274" s="19">
        <f t="shared" si="3"/>
        <v>-2.7656898392517809E-3</v>
      </c>
      <c r="E274" s="26">
        <f>E273+Step_h*D273</f>
        <v>0.99374055558619456</v>
      </c>
      <c r="J274" s="24">
        <f>ROUND(J273-Step_h,2)</f>
        <v>7.49</v>
      </c>
      <c r="K274" s="24">
        <f>J274+Age</f>
        <v>27.490000000000002</v>
      </c>
      <c r="L274" s="19">
        <f>B*c_gom^K274</f>
        <v>4.2747864066867095E-3</v>
      </c>
      <c r="M274" s="19">
        <f>N274*delta +Prem-L274*(1-N274)</f>
        <v>-1.0503400365236824E-3</v>
      </c>
      <c r="N274" s="26">
        <f>N273-Step_h*M273</f>
        <v>4.1353708604438631E-3</v>
      </c>
      <c r="U274" s="2"/>
      <c r="X274" s="2"/>
    </row>
    <row r="275" spans="1:24" x14ac:dyDescent="0.45">
      <c r="A275" s="24">
        <v>2.52</v>
      </c>
      <c r="B275" s="24">
        <f>A275+Age</f>
        <v>22.52</v>
      </c>
      <c r="C275" s="19">
        <f>B*c_gom^B275</f>
        <v>2.7855100194492974E-3</v>
      </c>
      <c r="D275" s="19">
        <f t="shared" si="3"/>
        <v>-2.7679972357508771E-3</v>
      </c>
      <c r="E275" s="26">
        <f>E274+Step_h*D274</f>
        <v>0.99371289868780199</v>
      </c>
      <c r="J275" s="24">
        <f>ROUND(J274-Step_h,2)</f>
        <v>7.48</v>
      </c>
      <c r="K275" s="24">
        <f>J275+Age</f>
        <v>27.48</v>
      </c>
      <c r="L275" s="19">
        <f>B*c_gom^K275</f>
        <v>4.271104081141756E-3</v>
      </c>
      <c r="M275" s="19">
        <f>N275*delta +Prem-L275*(1-N275)</f>
        <v>-1.0461029076260582E-3</v>
      </c>
      <c r="N275" s="26">
        <f>N274-Step_h*M274</f>
        <v>4.1458742608090999E-3</v>
      </c>
      <c r="U275" s="2"/>
      <c r="X275" s="2"/>
    </row>
    <row r="276" spans="1:24" x14ac:dyDescent="0.45">
      <c r="A276" s="24">
        <v>2.5300000000000002</v>
      </c>
      <c r="B276" s="24">
        <f>A276+Age</f>
        <v>22.53</v>
      </c>
      <c r="C276" s="19">
        <f>B*c_gom^B276</f>
        <v>2.787911542452596E-3</v>
      </c>
      <c r="D276" s="19">
        <f t="shared" si="3"/>
        <v>-2.7703064908213199E-3</v>
      </c>
      <c r="E276" s="26">
        <f>E275+Step_h*D275</f>
        <v>0.99368521871544446</v>
      </c>
      <c r="J276" s="24">
        <f>ROUND(J275-Step_h,2)</f>
        <v>7.47</v>
      </c>
      <c r="K276" s="24">
        <f>J276+Age</f>
        <v>27.47</v>
      </c>
      <c r="L276" s="19">
        <f>B*c_gom^K276</f>
        <v>4.2674249275731595E-3</v>
      </c>
      <c r="M276" s="19">
        <f>N276*delta +Prem-L276*(1-N276)</f>
        <v>-1.0418713142554825E-3</v>
      </c>
      <c r="N276" s="26">
        <f>N275-Step_h*M275</f>
        <v>4.1563352898853602E-3</v>
      </c>
      <c r="U276" s="2"/>
      <c r="X276" s="2"/>
    </row>
    <row r="277" spans="1:24" x14ac:dyDescent="0.45">
      <c r="A277" s="24">
        <v>2.54</v>
      </c>
      <c r="B277" s="24">
        <f>A277+Age</f>
        <v>22.54</v>
      </c>
      <c r="C277" s="19">
        <f>B*c_gom^B277</f>
        <v>2.7903151359251065E-3</v>
      </c>
      <c r="D277" s="19">
        <f t="shared" si="3"/>
        <v>-2.7726176058454296E-3</v>
      </c>
      <c r="E277" s="26">
        <f>E276+Step_h*D276</f>
        <v>0.99365751565053628</v>
      </c>
      <c r="J277" s="24">
        <f>ROUND(J276-Step_h,2)</f>
        <v>7.46</v>
      </c>
      <c r="K277" s="24">
        <f>J277+Age</f>
        <v>27.46</v>
      </c>
      <c r="L277" s="19">
        <f>B*c_gom^K277</f>
        <v>4.263748943248563E-3</v>
      </c>
      <c r="M277" s="19">
        <f>N277*delta +Prem-L277*(1-N277)</f>
        <v>-1.0376452501199801E-3</v>
      </c>
      <c r="N277" s="26">
        <f>N276-Step_h*M276</f>
        <v>4.1667540030279147E-3</v>
      </c>
      <c r="U277" s="2"/>
      <c r="X277" s="2"/>
    </row>
    <row r="278" spans="1:24" x14ac:dyDescent="0.45">
      <c r="A278" s="24">
        <v>2.5500000000000003</v>
      </c>
      <c r="B278" s="24">
        <f>A278+Age</f>
        <v>22.55</v>
      </c>
      <c r="C278" s="19">
        <f>B*c_gom^B278</f>
        <v>2.792720801651881E-3</v>
      </c>
      <c r="D278" s="19">
        <f t="shared" si="3"/>
        <v>-2.7749305822063531E-3</v>
      </c>
      <c r="E278" s="26">
        <f>E277+Step_h*D277</f>
        <v>0.99362978947447778</v>
      </c>
      <c r="J278" s="24">
        <f>ROUND(J277-Step_h,2)</f>
        <v>7.45</v>
      </c>
      <c r="K278" s="24">
        <f>J278+Age</f>
        <v>27.45</v>
      </c>
      <c r="L278" s="19">
        <f>B*c_gom^K278</f>
        <v>4.2600761254379628E-3</v>
      </c>
      <c r="M278" s="19">
        <f>N278*delta +Prem-L278*(1-N278)</f>
        <v>-1.0334247089350671E-3</v>
      </c>
      <c r="N278" s="26">
        <f>N277-Step_h*M277</f>
        <v>4.1771304555291147E-3</v>
      </c>
      <c r="U278" s="2"/>
      <c r="X278" s="2"/>
    </row>
    <row r="279" spans="1:24" x14ac:dyDescent="0.45">
      <c r="A279" s="24">
        <v>2.56</v>
      </c>
      <c r="B279" s="24">
        <f>A279+Age</f>
        <v>22.56</v>
      </c>
      <c r="C279" s="19">
        <f>B*c_gom^B279</f>
        <v>2.7951285414195095E-3</v>
      </c>
      <c r="D279" s="19">
        <f t="shared" si="3"/>
        <v>-2.7772454212880637E-3</v>
      </c>
      <c r="E279" s="26">
        <f>E278+Step_h*D278</f>
        <v>0.99360204016865572</v>
      </c>
      <c r="J279" s="24">
        <f>ROUND(J278-Step_h,2)</f>
        <v>7.44</v>
      </c>
      <c r="K279" s="24">
        <f>J279+Age</f>
        <v>27.44</v>
      </c>
      <c r="L279" s="19">
        <f>B*c_gom^K279</f>
        <v>4.2564064714137031E-3</v>
      </c>
      <c r="M279" s="19">
        <f>N279*delta +Prem-L279*(1-N279)</f>
        <v>-1.0292096844237387E-3</v>
      </c>
      <c r="N279" s="26">
        <f>N278-Step_h*M278</f>
        <v>4.1874647026184653E-3</v>
      </c>
      <c r="U279" s="2"/>
      <c r="X279" s="2"/>
    </row>
    <row r="280" spans="1:24" x14ac:dyDescent="0.45">
      <c r="A280" s="24">
        <v>2.57</v>
      </c>
      <c r="B280" s="24">
        <f>A280+Age</f>
        <v>22.57</v>
      </c>
      <c r="C280" s="19">
        <f>B*c_gom^B280</f>
        <v>2.7975383570161246E-3</v>
      </c>
      <c r="D280" s="19">
        <f t="shared" ref="D280:D343" si="4">-E280*C280</f>
        <v>-2.7795621244753616E-3</v>
      </c>
      <c r="E280" s="26">
        <f>E279+Step_h*D279</f>
        <v>0.99357426771444279</v>
      </c>
      <c r="J280" s="24">
        <f>ROUND(J279-Step_h,2)</f>
        <v>7.43</v>
      </c>
      <c r="K280" s="24">
        <f>J280+Age</f>
        <v>27.43</v>
      </c>
      <c r="L280" s="19">
        <f>B*c_gom^K280</f>
        <v>4.2527399784504797E-3</v>
      </c>
      <c r="M280" s="19">
        <f>N280*delta +Prem-L280*(1-N280)</f>
        <v>-1.025000170316457E-3</v>
      </c>
      <c r="N280" s="26">
        <f>N279-Step_h*M279</f>
        <v>4.197756799462703E-3</v>
      </c>
      <c r="U280" s="2"/>
      <c r="X280" s="2"/>
    </row>
    <row r="281" spans="1:24" x14ac:dyDescent="0.45">
      <c r="A281" s="24">
        <v>2.58</v>
      </c>
      <c r="B281" s="24">
        <f>A281+Age</f>
        <v>22.58</v>
      </c>
      <c r="C281" s="19">
        <f>B*c_gom^B281</f>
        <v>2.7999502502313966E-3</v>
      </c>
      <c r="D281" s="19">
        <f t="shared" si="4"/>
        <v>-2.7818806931538711E-3</v>
      </c>
      <c r="E281" s="26">
        <f>E280+Step_h*D280</f>
        <v>0.99354647209319802</v>
      </c>
      <c r="J281" s="24">
        <f>ROUND(J280-Step_h,2)</f>
        <v>7.42</v>
      </c>
      <c r="K281" s="24">
        <f>J281+Age</f>
        <v>27.42</v>
      </c>
      <c r="L281" s="19">
        <f>B*c_gom^K281</f>
        <v>4.2490766438253421E-3</v>
      </c>
      <c r="M281" s="19">
        <f>N281*delta +Prem-L281*(1-N281)</f>
        <v>-1.0207961603511569E-3</v>
      </c>
      <c r="N281" s="26">
        <f>N280-Step_h*M280</f>
        <v>4.2080068011658674E-3</v>
      </c>
      <c r="U281" s="2"/>
      <c r="X281" s="2"/>
    </row>
    <row r="282" spans="1:24" x14ac:dyDescent="0.45">
      <c r="A282" s="24">
        <v>2.59</v>
      </c>
      <c r="B282" s="24">
        <f>A282+Age</f>
        <v>22.59</v>
      </c>
      <c r="C282" s="19">
        <f>B*c_gom^B282</f>
        <v>2.8023642228565439E-3</v>
      </c>
      <c r="D282" s="19">
        <f t="shared" si="4"/>
        <v>-2.7842011287100483E-3</v>
      </c>
      <c r="E282" s="26">
        <f>E281+Step_h*D281</f>
        <v>0.99351865328626643</v>
      </c>
      <c r="J282" s="24">
        <f>ROUND(J281-Step_h,2)</f>
        <v>7.41</v>
      </c>
      <c r="K282" s="24">
        <f>J282+Age</f>
        <v>27.41</v>
      </c>
      <c r="L282" s="19">
        <f>B*c_gom^K282</f>
        <v>4.2454164648176706E-3</v>
      </c>
      <c r="M282" s="19">
        <f>N282*delta +Prem-L282*(1-N282)</f>
        <v>-1.0165976482732031E-3</v>
      </c>
      <c r="N282" s="26">
        <f>N281-Step_h*M281</f>
        <v>4.2182147627693786E-3</v>
      </c>
      <c r="U282" s="2"/>
      <c r="X282" s="2"/>
    </row>
    <row r="283" spans="1:24" x14ac:dyDescent="0.45">
      <c r="A283" s="24">
        <v>2.6</v>
      </c>
      <c r="B283" s="24">
        <f>A283+Age</f>
        <v>22.6</v>
      </c>
      <c r="C283" s="19">
        <f>B*c_gom^B283</f>
        <v>2.8047802766843241E-3</v>
      </c>
      <c r="D283" s="19">
        <f t="shared" si="4"/>
        <v>-2.7865234325311701E-3</v>
      </c>
      <c r="E283" s="26">
        <f>E282+Step_h*D282</f>
        <v>0.99349081127497929</v>
      </c>
      <c r="J283" s="24">
        <f>ROUND(J282-Step_h,2)</f>
        <v>7.4</v>
      </c>
      <c r="K283" s="24">
        <f>J283+Age</f>
        <v>27.4</v>
      </c>
      <c r="L283" s="19">
        <f>B*c_gom^K283</f>
        <v>4.2417594387092038E-3</v>
      </c>
      <c r="M283" s="19">
        <f>N283*delta +Prem-L283*(1-N283)</f>
        <v>-1.0124046278354188E-3</v>
      </c>
      <c r="N283" s="26">
        <f>N282-Step_h*M282</f>
        <v>4.2283807392521104E-3</v>
      </c>
      <c r="U283" s="2"/>
      <c r="X283" s="2"/>
    </row>
    <row r="284" spans="1:24" x14ac:dyDescent="0.45">
      <c r="A284" s="24">
        <v>2.61</v>
      </c>
      <c r="B284" s="24">
        <f>A284+Age</f>
        <v>22.61</v>
      </c>
      <c r="C284" s="19">
        <f>B*c_gom^B284</f>
        <v>2.8071984135090433E-3</v>
      </c>
      <c r="D284" s="19">
        <f t="shared" si="4"/>
        <v>-2.7888476060053441E-3</v>
      </c>
      <c r="E284" s="26">
        <f>E283+Step_h*D283</f>
        <v>0.99346294604065399</v>
      </c>
      <c r="J284" s="24">
        <f>ROUND(J283-Step_h,2)</f>
        <v>7.39</v>
      </c>
      <c r="K284" s="24">
        <f>J284+Age</f>
        <v>27.39</v>
      </c>
      <c r="L284" s="19">
        <f>B*c_gom^K284</f>
        <v>4.2381055627840189E-3</v>
      </c>
      <c r="M284" s="19">
        <f>N284*delta +Prem-L284*(1-N284)</f>
        <v>-1.0082170927980527E-3</v>
      </c>
      <c r="N284" s="26">
        <f>N283-Step_h*M283</f>
        <v>4.2385047855304642E-3</v>
      </c>
      <c r="U284" s="2"/>
      <c r="X284" s="2"/>
    </row>
    <row r="285" spans="1:24" x14ac:dyDescent="0.45">
      <c r="A285" s="24">
        <v>2.62</v>
      </c>
      <c r="B285" s="24">
        <f>A285+Age</f>
        <v>22.62</v>
      </c>
      <c r="C285" s="19">
        <f>B*c_gom^B285</f>
        <v>2.8096186351265545E-3</v>
      </c>
      <c r="D285" s="19">
        <f t="shared" si="4"/>
        <v>-2.7911736505215044E-3</v>
      </c>
      <c r="E285" s="26">
        <f>E284+Step_h*D284</f>
        <v>0.99343505756459394</v>
      </c>
      <c r="J285" s="24">
        <f>ROUND(J284-Step_h,2)</f>
        <v>7.38</v>
      </c>
      <c r="K285" s="24">
        <f>J285+Age</f>
        <v>27.38</v>
      </c>
      <c r="L285" s="19">
        <f>B*c_gom^K285</f>
        <v>4.2344548343285233E-3</v>
      </c>
      <c r="M285" s="19">
        <f>N285*delta +Prem-L285*(1-N285)</f>
        <v>-1.0040350369287599E-3</v>
      </c>
      <c r="N285" s="26">
        <f>N284-Step_h*M284</f>
        <v>4.2485869564584449E-3</v>
      </c>
      <c r="U285" s="2"/>
      <c r="X285" s="2"/>
    </row>
    <row r="286" spans="1:24" x14ac:dyDescent="0.45">
      <c r="A286" s="24">
        <v>2.63</v>
      </c>
      <c r="B286" s="24">
        <f>A286+Age</f>
        <v>22.63</v>
      </c>
      <c r="C286" s="19">
        <f>B*c_gom^B286</f>
        <v>2.812040943334258E-3</v>
      </c>
      <c r="D286" s="19">
        <f t="shared" si="4"/>
        <v>-2.7935015674694116E-3</v>
      </c>
      <c r="E286" s="26">
        <f>E285+Step_h*D285</f>
        <v>0.99340714582808876</v>
      </c>
      <c r="J286" s="24">
        <f>ROUND(J285-Step_h,2)</f>
        <v>7.37</v>
      </c>
      <c r="K286" s="24">
        <f>J286+Age</f>
        <v>27.37</v>
      </c>
      <c r="L286" s="19">
        <f>B*c_gom^K286</f>
        <v>4.2308072506314735E-3</v>
      </c>
      <c r="M286" s="19">
        <f>N286*delta +Prem-L286*(1-N286)</f>
        <v>-9.9985845400262343E-4</v>
      </c>
      <c r="N286" s="26">
        <f>N285-Step_h*M285</f>
        <v>4.2586273068277326E-3</v>
      </c>
      <c r="U286" s="2"/>
      <c r="X286" s="2"/>
    </row>
    <row r="287" spans="1:24" x14ac:dyDescent="0.45">
      <c r="A287" s="24">
        <v>2.64</v>
      </c>
      <c r="B287" s="24">
        <f>A287+Age</f>
        <v>22.64</v>
      </c>
      <c r="C287" s="19">
        <f>B*c_gom^B287</f>
        <v>2.814465339931104E-3</v>
      </c>
      <c r="D287" s="19">
        <f t="shared" si="4"/>
        <v>-2.7958313582396527E-3</v>
      </c>
      <c r="E287" s="26">
        <f>E286+Step_h*D286</f>
        <v>0.99337921081241409</v>
      </c>
      <c r="J287" s="24">
        <f>ROUND(J286-Step_h,2)</f>
        <v>7.36</v>
      </c>
      <c r="K287" s="24">
        <f>J287+Age</f>
        <v>27.36</v>
      </c>
      <c r="L287" s="19">
        <f>B*c_gom^K287</f>
        <v>4.2271628089839558E-3</v>
      </c>
      <c r="M287" s="19">
        <f>N287*delta +Prem-L287*(1-N287)</f>
        <v>-9.9568733780211211E-4</v>
      </c>
      <c r="N287" s="26">
        <f>N286-Step_h*M286</f>
        <v>4.268625891367759E-3</v>
      </c>
      <c r="U287" s="2"/>
      <c r="X287" s="2"/>
    </row>
    <row r="288" spans="1:24" x14ac:dyDescent="0.45">
      <c r="A288" s="24">
        <v>2.65</v>
      </c>
      <c r="B288" s="24">
        <f>A288+Age</f>
        <v>22.65</v>
      </c>
      <c r="C288" s="19">
        <f>B*c_gom^B288</f>
        <v>2.8168918267175943E-3</v>
      </c>
      <c r="D288" s="19">
        <f t="shared" si="4"/>
        <v>-2.7981630242236441E-3</v>
      </c>
      <c r="E288" s="26">
        <f>E287+Step_h*D287</f>
        <v>0.99335125249883172</v>
      </c>
      <c r="J288" s="24">
        <f>ROUND(J287-Step_h,2)</f>
        <v>7.35</v>
      </c>
      <c r="K288" s="24">
        <f>J288+Age</f>
        <v>27.35</v>
      </c>
      <c r="L288" s="19">
        <f>B*c_gom^K288</f>
        <v>4.2235215066793886E-3</v>
      </c>
      <c r="M288" s="19">
        <f>N288*delta +Prem-L288*(1-N288)</f>
        <v>-9.9152168211708762E-4</v>
      </c>
      <c r="N288" s="26">
        <f>N287-Step_h*M287</f>
        <v>4.2785827647457801E-3</v>
      </c>
      <c r="U288" s="2"/>
      <c r="X288" s="2"/>
    </row>
    <row r="289" spans="1:24" x14ac:dyDescent="0.45">
      <c r="A289" s="24">
        <v>2.66</v>
      </c>
      <c r="B289" s="24">
        <f>A289+Age</f>
        <v>22.66</v>
      </c>
      <c r="C289" s="19">
        <f>B*c_gom^B289</f>
        <v>2.8193204054957829E-3</v>
      </c>
      <c r="D289" s="19">
        <f t="shared" si="4"/>
        <v>-2.8004965668136294E-3</v>
      </c>
      <c r="E289" s="26">
        <f>E288+Step_h*D288</f>
        <v>0.99332327086858951</v>
      </c>
      <c r="J289" s="24">
        <f>ROUND(J288-Step_h,2)</f>
        <v>7.34</v>
      </c>
      <c r="K289" s="24">
        <f>J289+Age</f>
        <v>27.34</v>
      </c>
      <c r="L289" s="19">
        <f>B*c_gom^K289</f>
        <v>4.2198833410135228E-3</v>
      </c>
      <c r="M289" s="19">
        <f>N289*delta +Prem-L289*(1-N289)</f>
        <v>-9.873614807447903E-4</v>
      </c>
      <c r="N289" s="26">
        <f>N288-Step_h*M288</f>
        <v>4.2884979815669506E-3</v>
      </c>
      <c r="U289" s="2"/>
      <c r="X289" s="2"/>
    </row>
    <row r="290" spans="1:24" x14ac:dyDescent="0.45">
      <c r="A290" s="24">
        <v>2.67</v>
      </c>
      <c r="B290" s="24">
        <f>A290+Age</f>
        <v>22.67</v>
      </c>
      <c r="C290" s="19">
        <f>B*c_gom^B290</f>
        <v>2.8217510780692767E-3</v>
      </c>
      <c r="D290" s="19">
        <f t="shared" si="4"/>
        <v>-2.8028319874026774E-3</v>
      </c>
      <c r="E290" s="26">
        <f>E289+Step_h*D289</f>
        <v>0.99329526590292139</v>
      </c>
      <c r="J290" s="24">
        <f>ROUND(J289-Step_h,2)</f>
        <v>7.33</v>
      </c>
      <c r="K290" s="24">
        <f>J290+Age</f>
        <v>27.33</v>
      </c>
      <c r="L290" s="19">
        <f>B*c_gom^K290</f>
        <v>4.2162483092844458E-3</v>
      </c>
      <c r="M290" s="19">
        <f>N290*delta +Prem-L290*(1-N290)</f>
        <v>-9.8320672748983566E-4</v>
      </c>
      <c r="N290" s="26">
        <f>N289-Step_h*M289</f>
        <v>4.2983715963743983E-3</v>
      </c>
      <c r="U290" s="2"/>
      <c r="X290" s="2"/>
    </row>
    <row r="291" spans="1:24" x14ac:dyDescent="0.45">
      <c r="A291" s="24">
        <v>2.68</v>
      </c>
      <c r="B291" s="24">
        <f>A291+Age</f>
        <v>22.68</v>
      </c>
      <c r="C291" s="19">
        <f>B*c_gom^B291</f>
        <v>2.8241838462432366E-3</v>
      </c>
      <c r="D291" s="19">
        <f t="shared" si="4"/>
        <v>-2.8051692873846852E-3</v>
      </c>
      <c r="E291" s="26">
        <f>E290+Step_h*D290</f>
        <v>0.99326723758304736</v>
      </c>
      <c r="J291" s="24">
        <f>ROUND(J290-Step_h,2)</f>
        <v>7.32</v>
      </c>
      <c r="K291" s="24">
        <f>J291+Age</f>
        <v>27.32</v>
      </c>
      <c r="L291" s="19">
        <f>B*c_gom^K291</f>
        <v>4.2126164087925612E-3</v>
      </c>
      <c r="M291" s="19">
        <f>N291*delta +Prem-L291*(1-N291)</f>
        <v>-9.790574161641875E-4</v>
      </c>
      <c r="N291" s="26">
        <f>N290-Step_h*M290</f>
        <v>4.308203663649297E-3</v>
      </c>
      <c r="U291" s="2"/>
      <c r="X291" s="2"/>
    </row>
    <row r="292" spans="1:24" x14ac:dyDescent="0.45">
      <c r="A292" s="24">
        <v>2.69</v>
      </c>
      <c r="B292" s="24">
        <f>A292+Age</f>
        <v>22.69</v>
      </c>
      <c r="C292" s="19">
        <f>B*c_gom^B292</f>
        <v>2.8266187118243845E-3</v>
      </c>
      <c r="D292" s="19">
        <f t="shared" si="4"/>
        <v>-2.8075084681543827E-3</v>
      </c>
      <c r="E292" s="26">
        <f>E291+Step_h*D291</f>
        <v>0.99323918589017346</v>
      </c>
      <c r="J292" s="24">
        <f>ROUND(J291-Step_h,2)</f>
        <v>7.31</v>
      </c>
      <c r="K292" s="24">
        <f>J292+Age</f>
        <v>27.31</v>
      </c>
      <c r="L292" s="19">
        <f>B*c_gom^K292</f>
        <v>4.2089876368406037E-3</v>
      </c>
      <c r="M292" s="19">
        <f>N292*delta +Prem-L292*(1-N292)</f>
        <v>-9.7491354058716097E-4</v>
      </c>
      <c r="N292" s="26">
        <f>N291-Step_h*M291</f>
        <v>4.3179942378109388E-3</v>
      </c>
      <c r="U292" s="2"/>
      <c r="X292" s="2"/>
    </row>
    <row r="293" spans="1:24" x14ac:dyDescent="0.45">
      <c r="A293" s="24">
        <v>2.7</v>
      </c>
      <c r="B293" s="24">
        <f>A293+Age</f>
        <v>22.7</v>
      </c>
      <c r="C293" s="19">
        <f>B*c_gom^B293</f>
        <v>2.8290556766209928E-3</v>
      </c>
      <c r="D293" s="19">
        <f t="shared" si="4"/>
        <v>-2.8098495311073188E-3</v>
      </c>
      <c r="E293" s="26">
        <f>E292+Step_h*D292</f>
        <v>0.99321111080549196</v>
      </c>
      <c r="J293" s="24">
        <f>ROUND(J292-Step_h,2)</f>
        <v>7.3</v>
      </c>
      <c r="K293" s="24">
        <f>J293+Age</f>
        <v>27.3</v>
      </c>
      <c r="L293" s="19">
        <f>B*c_gom^K293</f>
        <v>4.2053619907336335E-3</v>
      </c>
      <c r="M293" s="19">
        <f>N293*delta +Prem-L293*(1-N293)</f>
        <v>-9.7077509458541687E-4</v>
      </c>
      <c r="N293" s="26">
        <f>N292-Step_h*M292</f>
        <v>4.3277433732168101E-3</v>
      </c>
      <c r="U293" s="2"/>
      <c r="X293" s="2"/>
    </row>
    <row r="294" spans="1:24" x14ac:dyDescent="0.45">
      <c r="A294" s="24">
        <v>2.71</v>
      </c>
      <c r="B294" s="24">
        <f>A294+Age</f>
        <v>22.71</v>
      </c>
      <c r="C294" s="19">
        <f>B*c_gom^B294</f>
        <v>2.8314947424428996E-3</v>
      </c>
      <c r="D294" s="19">
        <f t="shared" si="4"/>
        <v>-2.8121924776398789E-3</v>
      </c>
      <c r="E294" s="26">
        <f>E293+Step_h*D293</f>
        <v>0.99318301231018091</v>
      </c>
      <c r="J294" s="24">
        <f>ROUND(J293-Step_h,2)</f>
        <v>7.29</v>
      </c>
      <c r="K294" s="24">
        <f>J294+Age</f>
        <v>27.29</v>
      </c>
      <c r="L294" s="19">
        <f>B*c_gom^K294</f>
        <v>4.2017394677790285E-3</v>
      </c>
      <c r="M294" s="19">
        <f>N294*delta +Prem-L294*(1-N294)</f>
        <v>-9.6664207199293872E-4</v>
      </c>
      <c r="N294" s="26">
        <f>N293-Step_h*M293</f>
        <v>4.3374511241626645E-3</v>
      </c>
      <c r="U294" s="2"/>
      <c r="X294" s="2"/>
    </row>
    <row r="295" spans="1:24" x14ac:dyDescent="0.45">
      <c r="A295" s="24">
        <v>2.72</v>
      </c>
      <c r="B295" s="24">
        <f>A295+Age</f>
        <v>22.72</v>
      </c>
      <c r="C295" s="19">
        <f>B*c_gom^B295</f>
        <v>2.833935911101499E-3</v>
      </c>
      <c r="D295" s="19">
        <f t="shared" si="4"/>
        <v>-2.8145373091492706E-3</v>
      </c>
      <c r="E295" s="26">
        <f>E294+Step_h*D294</f>
        <v>0.9931548903854045</v>
      </c>
      <c r="J295" s="24">
        <f>ROUND(J294-Step_h,2)</f>
        <v>7.28</v>
      </c>
      <c r="K295" s="24">
        <f>J295+Age</f>
        <v>27.28</v>
      </c>
      <c r="L295" s="19">
        <f>B*c_gom^K295</f>
        <v>4.1981200652864877E-3</v>
      </c>
      <c r="M295" s="19">
        <f>N295*delta +Prem-L295*(1-N295)</f>
        <v>-9.625144666510271E-4</v>
      </c>
      <c r="N295" s="26">
        <f>N294-Step_h*M294</f>
        <v>4.3471175448825941E-3</v>
      </c>
      <c r="U295" s="2"/>
      <c r="X295" s="2"/>
    </row>
    <row r="296" spans="1:24" x14ac:dyDescent="0.45">
      <c r="A296" s="24">
        <v>2.73</v>
      </c>
      <c r="B296" s="24">
        <f>A296+Age</f>
        <v>22.73</v>
      </c>
      <c r="C296" s="19">
        <f>B*c_gom^B296</f>
        <v>2.8363791844097496E-3</v>
      </c>
      <c r="D296" s="19">
        <f t="shared" si="4"/>
        <v>-2.8168840270335338E-3</v>
      </c>
      <c r="E296" s="26">
        <f>E295+Step_h*D295</f>
        <v>0.99312674501231302</v>
      </c>
      <c r="J296" s="24">
        <f>ROUND(J295-Step_h,2)</f>
        <v>7.27</v>
      </c>
      <c r="K296" s="24">
        <f>J296+Age</f>
        <v>27.27</v>
      </c>
      <c r="L296" s="19">
        <f>B*c_gom^K296</f>
        <v>4.1945037805680247E-3</v>
      </c>
      <c r="M296" s="19">
        <f>N296*delta +Prem-L296*(1-N296)</f>
        <v>-9.5839227240829359E-4</v>
      </c>
      <c r="N296" s="26">
        <f>N295-Step_h*M295</f>
        <v>4.3567426895491047E-3</v>
      </c>
      <c r="U296" s="2"/>
      <c r="X296" s="2"/>
    </row>
    <row r="297" spans="1:24" x14ac:dyDescent="0.45">
      <c r="A297" s="24">
        <v>2.74</v>
      </c>
      <c r="B297" s="24">
        <f>A297+Age</f>
        <v>22.740000000000002</v>
      </c>
      <c r="C297" s="19">
        <f>B*c_gom^B297</f>
        <v>2.8388245641821708E-3</v>
      </c>
      <c r="D297" s="19">
        <f t="shared" si="4"/>
        <v>-2.8192326326915334E-3</v>
      </c>
      <c r="E297" s="26">
        <f>E296+Step_h*D296</f>
        <v>0.99309857617204267</v>
      </c>
      <c r="J297" s="24">
        <f>ROUND(J296-Step_h,2)</f>
        <v>7.26</v>
      </c>
      <c r="K297" s="24">
        <f>J297+Age</f>
        <v>27.259999999999998</v>
      </c>
      <c r="L297" s="19">
        <f>B*c_gom^K297</f>
        <v>4.1908906109379748E-3</v>
      </c>
      <c r="M297" s="19">
        <f>N297*delta +Prem-L297*(1-N297)</f>
        <v>-9.5427548312065121E-4</v>
      </c>
      <c r="N297" s="26">
        <f>N296-Step_h*M296</f>
        <v>4.3663266122731872E-3</v>
      </c>
      <c r="U297" s="2"/>
      <c r="X297" s="2"/>
    </row>
    <row r="298" spans="1:24" x14ac:dyDescent="0.45">
      <c r="A298" s="24">
        <v>2.75</v>
      </c>
      <c r="B298" s="24">
        <f>A298+Age</f>
        <v>22.75</v>
      </c>
      <c r="C298" s="19">
        <f>B*c_gom^B298</f>
        <v>2.8412720522348468E-3</v>
      </c>
      <c r="D298" s="19">
        <f t="shared" si="4"/>
        <v>-2.8215831275229639E-3</v>
      </c>
      <c r="E298" s="26">
        <f>E297+Step_h*D297</f>
        <v>0.99307038384571578</v>
      </c>
      <c r="J298" s="24">
        <f>ROUND(J297-Step_h,2)</f>
        <v>7.25</v>
      </c>
      <c r="K298" s="24">
        <f>J298+Age</f>
        <v>27.25</v>
      </c>
      <c r="L298" s="19">
        <f>B*c_gom^K298</f>
        <v>4.1872805537129807E-3</v>
      </c>
      <c r="M298" s="19">
        <f>N298*delta +Prem-L298*(1-N298)</f>
        <v>-9.5016409265129579E-4</v>
      </c>
      <c r="N298" s="26">
        <f>N297-Step_h*M297</f>
        <v>4.3758693671043939E-3</v>
      </c>
      <c r="U298" s="2"/>
      <c r="X298" s="2"/>
    </row>
    <row r="299" spans="1:24" x14ac:dyDescent="0.45">
      <c r="A299" s="24">
        <v>2.7600000000000002</v>
      </c>
      <c r="B299" s="24">
        <f>A299+Age</f>
        <v>22.76</v>
      </c>
      <c r="C299" s="19">
        <f>B*c_gom^B299</f>
        <v>2.8437216503854287E-3</v>
      </c>
      <c r="D299" s="19">
        <f t="shared" si="4"/>
        <v>-2.8239355129283492E-3</v>
      </c>
      <c r="E299" s="26">
        <f>E298+Step_h*D298</f>
        <v>0.99304216801444056</v>
      </c>
      <c r="J299" s="24">
        <f>ROUND(J298-Step_h,2)</f>
        <v>7.24</v>
      </c>
      <c r="K299" s="24">
        <f>J299+Age</f>
        <v>27.240000000000002</v>
      </c>
      <c r="L299" s="19">
        <f>B*c_gom^K299</f>
        <v>4.1836736062120005E-3</v>
      </c>
      <c r="M299" s="19">
        <f>N299*delta +Prem-L299*(1-N299)</f>
        <v>-9.46058094870709E-4</v>
      </c>
      <c r="N299" s="26">
        <f>N298-Step_h*M298</f>
        <v>4.3853710080309066E-3</v>
      </c>
      <c r="U299" s="2"/>
      <c r="X299" s="2"/>
    </row>
    <row r="300" spans="1:24" x14ac:dyDescent="0.45">
      <c r="A300" s="24">
        <v>2.77</v>
      </c>
      <c r="B300" s="24">
        <f>A300+Age</f>
        <v>22.77</v>
      </c>
      <c r="C300" s="19">
        <f>B*c_gom^B300</f>
        <v>2.8461733604531339E-3</v>
      </c>
      <c r="D300" s="19">
        <f t="shared" si="4"/>
        <v>-2.8262897903090405E-3</v>
      </c>
      <c r="E300" s="26">
        <f>E299+Step_h*D299</f>
        <v>0.99301392865931126</v>
      </c>
      <c r="J300" s="24">
        <f>ROUND(J299-Step_h,2)</f>
        <v>7.23</v>
      </c>
      <c r="K300" s="24">
        <f>J300+Age</f>
        <v>27.23</v>
      </c>
      <c r="L300" s="19">
        <f>B*c_gom^K300</f>
        <v>4.1800697657562967E-3</v>
      </c>
      <c r="M300" s="19">
        <f>N300*delta +Prem-L300*(1-N300)</f>
        <v>-9.4195748365663145E-4</v>
      </c>
      <c r="N300" s="26">
        <f>N299-Step_h*M299</f>
        <v>4.3948315889796134E-3</v>
      </c>
      <c r="U300" s="2"/>
      <c r="X300" s="2"/>
    </row>
    <row r="301" spans="1:24" x14ac:dyDescent="0.45">
      <c r="A301" s="24">
        <v>2.7800000000000002</v>
      </c>
      <c r="B301" s="24">
        <f>A301+Age</f>
        <v>22.78</v>
      </c>
      <c r="C301" s="19">
        <f>B*c_gom^B301</f>
        <v>2.8486271842587492E-3</v>
      </c>
      <c r="D301" s="19">
        <f t="shared" si="4"/>
        <v>-2.8286459610672196E-3</v>
      </c>
      <c r="E301" s="26">
        <f>E300+Step_h*D300</f>
        <v>0.99298566576140812</v>
      </c>
      <c r="J301" s="24">
        <f>ROUND(J300-Step_h,2)</f>
        <v>7.22</v>
      </c>
      <c r="K301" s="24">
        <f>J301+Age</f>
        <v>27.22</v>
      </c>
      <c r="L301" s="19">
        <f>B*c_gom^K301</f>
        <v>4.1764690296694469E-3</v>
      </c>
      <c r="M301" s="19">
        <f>N301*delta +Prem-L301*(1-N301)</f>
        <v>-9.3786225289407355E-4</v>
      </c>
      <c r="N301" s="26">
        <f>N300-Step_h*M300</f>
        <v>4.4042511638161799E-3</v>
      </c>
      <c r="U301" s="2"/>
      <c r="X301" s="2"/>
    </row>
    <row r="302" spans="1:24" x14ac:dyDescent="0.45">
      <c r="A302" s="24">
        <v>2.79</v>
      </c>
      <c r="B302" s="24">
        <f>A302+Age</f>
        <v>22.79</v>
      </c>
      <c r="C302" s="19">
        <f>B*c_gom^B302</f>
        <v>2.8510831236246287E-3</v>
      </c>
      <c r="D302" s="19">
        <f t="shared" si="4"/>
        <v>-2.8310040266058935E-3</v>
      </c>
      <c r="E302" s="26">
        <f>E301+Step_h*D301</f>
        <v>0.99295737930179739</v>
      </c>
      <c r="J302" s="24">
        <f>ROUND(J301-Step_h,2)</f>
        <v>7.21</v>
      </c>
      <c r="K302" s="24">
        <f>J302+Age</f>
        <v>27.21</v>
      </c>
      <c r="L302" s="19">
        <f>B*c_gom^K302</f>
        <v>4.1728713952773281E-3</v>
      </c>
      <c r="M302" s="19">
        <f>N302*delta +Prem-L302*(1-N302)</f>
        <v>-9.3377239647528905E-4</v>
      </c>
      <c r="N302" s="26">
        <f>N301-Step_h*M301</f>
        <v>4.4136297863451206E-3</v>
      </c>
      <c r="U302" s="2"/>
      <c r="X302" s="2"/>
    </row>
    <row r="303" spans="1:24" x14ac:dyDescent="0.45">
      <c r="A303" s="24">
        <v>2.8000000000000003</v>
      </c>
      <c r="B303" s="24">
        <f>A303+Age</f>
        <v>22.8</v>
      </c>
      <c r="C303" s="19">
        <f>B*c_gom^B303</f>
        <v>2.8535411803747011E-3</v>
      </c>
      <c r="D303" s="19">
        <f t="shared" si="4"/>
        <v>-2.8333639883289033E-3</v>
      </c>
      <c r="E303" s="26">
        <f>E302+Step_h*D302</f>
        <v>0.99292906926153135</v>
      </c>
      <c r="J303" s="24">
        <f>ROUND(J302-Step_h,2)</f>
        <v>7.2</v>
      </c>
      <c r="K303" s="24">
        <f>J303+Age</f>
        <v>27.2</v>
      </c>
      <c r="L303" s="19">
        <f>B*c_gom^K303</f>
        <v>4.1692768599081199E-3</v>
      </c>
      <c r="M303" s="19">
        <f>N303*delta +Prem-L303*(1-N303)</f>
        <v>-9.2968790829976548E-4</v>
      </c>
      <c r="N303" s="26">
        <f>N302-Step_h*M302</f>
        <v>4.4229675103098732E-3</v>
      </c>
      <c r="U303" s="2"/>
      <c r="X303" s="2"/>
    </row>
    <row r="304" spans="1:24" x14ac:dyDescent="0.45">
      <c r="A304" s="24">
        <v>2.81</v>
      </c>
      <c r="B304" s="24">
        <f>A304+Age</f>
        <v>22.81</v>
      </c>
      <c r="C304" s="19">
        <f>B*c_gom^B304</f>
        <v>2.856001356334464E-3</v>
      </c>
      <c r="D304" s="19">
        <f t="shared" si="4"/>
        <v>-2.8357258476409139E-3</v>
      </c>
      <c r="E304" s="26">
        <f>E303+Step_h*D303</f>
        <v>0.99290073562164805</v>
      </c>
      <c r="J304" s="24">
        <f>ROUND(J303-Step_h,2)</f>
        <v>7.19</v>
      </c>
      <c r="K304" s="24">
        <f>J304+Age</f>
        <v>27.19</v>
      </c>
      <c r="L304" s="19">
        <f>B*c_gom^K304</f>
        <v>4.1656854208923129E-3</v>
      </c>
      <c r="M304" s="19">
        <f>N304*delta +Prem-L304*(1-N304)</f>
        <v>-9.2560878227423461E-4</v>
      </c>
      <c r="N304" s="26">
        <f>N303-Step_h*M303</f>
        <v>4.4322643893928712E-3</v>
      </c>
      <c r="U304" s="2"/>
      <c r="X304" s="2"/>
    </row>
    <row r="305" spans="1:24" x14ac:dyDescent="0.45">
      <c r="A305" s="24">
        <v>2.82</v>
      </c>
      <c r="B305" s="24">
        <f>A305+Age</f>
        <v>22.82</v>
      </c>
      <c r="C305" s="19">
        <f>B*c_gom^B305</f>
        <v>2.8584636533309925E-3</v>
      </c>
      <c r="D305" s="19">
        <f t="shared" si="4"/>
        <v>-2.8380896059474231E-3</v>
      </c>
      <c r="E305" s="26">
        <f>E304+Step_h*D304</f>
        <v>0.99287237836317166</v>
      </c>
      <c r="J305" s="24">
        <f>ROUND(J304-Step_h,2)</f>
        <v>7.18</v>
      </c>
      <c r="K305" s="24">
        <f>J305+Age</f>
        <v>27.18</v>
      </c>
      <c r="L305" s="19">
        <f>B*c_gom^K305</f>
        <v>4.1620970755626829E-3</v>
      </c>
      <c r="M305" s="19">
        <f>N305*delta +Prem-L305*(1-N305)</f>
        <v>-9.2153501231263162E-4</v>
      </c>
      <c r="N305" s="26">
        <f>N304-Step_h*M304</f>
        <v>4.4415204772156134E-3</v>
      </c>
      <c r="U305" s="2"/>
      <c r="X305" s="2"/>
    </row>
    <row r="306" spans="1:24" x14ac:dyDescent="0.45">
      <c r="A306" s="24">
        <v>2.83</v>
      </c>
      <c r="B306" s="24">
        <f>A306+Age</f>
        <v>22.83</v>
      </c>
      <c r="C306" s="19">
        <f>B*c_gom^B306</f>
        <v>2.8609280731929335E-3</v>
      </c>
      <c r="D306" s="19">
        <f t="shared" si="4"/>
        <v>-2.8404552646547551E-3</v>
      </c>
      <c r="E306" s="26">
        <f>E305+Step_h*D305</f>
        <v>0.99284399746711216</v>
      </c>
      <c r="J306" s="24">
        <f>ROUND(J305-Step_h,2)</f>
        <v>7.17</v>
      </c>
      <c r="K306" s="24">
        <f>J306+Age</f>
        <v>27.17</v>
      </c>
      <c r="L306" s="19">
        <f>B*c_gom^K306</f>
        <v>4.1585118212543156E-3</v>
      </c>
      <c r="M306" s="19">
        <f>N306*delta +Prem-L306*(1-N306)</f>
        <v>-9.1746659233611031E-4</v>
      </c>
      <c r="N306" s="26">
        <f>N305-Step_h*M305</f>
        <v>4.45073582733874E-3</v>
      </c>
      <c r="U306" s="2"/>
      <c r="X306" s="2"/>
    </row>
    <row r="307" spans="1:24" x14ac:dyDescent="0.45">
      <c r="A307" s="24">
        <v>2.84</v>
      </c>
      <c r="B307" s="24">
        <f>A307+Age</f>
        <v>22.84</v>
      </c>
      <c r="C307" s="19">
        <f>B*c_gom^B307</f>
        <v>2.8633946177505126E-3</v>
      </c>
      <c r="D307" s="19">
        <f t="shared" si="4"/>
        <v>-2.8428228251700647E-3</v>
      </c>
      <c r="E307" s="26">
        <f>E306+Step_h*D306</f>
        <v>0.99281559291446564</v>
      </c>
      <c r="J307" s="24">
        <f>ROUND(J306-Step_h,2)</f>
        <v>7.16</v>
      </c>
      <c r="K307" s="24">
        <f>J307+Age</f>
        <v>27.16</v>
      </c>
      <c r="L307" s="19">
        <f>B*c_gom^K307</f>
        <v>4.1549296553045883E-3</v>
      </c>
      <c r="M307" s="19">
        <f>N307*delta +Prem-L307*(1-N307)</f>
        <v>-9.1340351627302403E-4</v>
      </c>
      <c r="N307" s="26">
        <f>N306-Step_h*M306</f>
        <v>4.4599104932621014E-3</v>
      </c>
      <c r="U307" s="2"/>
      <c r="X307" s="2"/>
    </row>
    <row r="308" spans="1:24" x14ac:dyDescent="0.45">
      <c r="A308" s="24">
        <v>2.85</v>
      </c>
      <c r="B308" s="24">
        <f>A308+Age</f>
        <v>22.85</v>
      </c>
      <c r="C308" s="19">
        <f>B*c_gom^B308</f>
        <v>2.8658632888355334E-3</v>
      </c>
      <c r="D308" s="19">
        <f t="shared" si="4"/>
        <v>-2.8451922889013376E-3</v>
      </c>
      <c r="E308" s="26">
        <f>E307+Step_h*D307</f>
        <v>0.99278716468621397</v>
      </c>
      <c r="J308" s="24">
        <f>ROUND(J307-Step_h,2)</f>
        <v>7.15</v>
      </c>
      <c r="K308" s="24">
        <f>J308+Age</f>
        <v>27.15</v>
      </c>
      <c r="L308" s="19">
        <f>B*c_gom^K308</f>
        <v>4.1513505750531655E-3</v>
      </c>
      <c r="M308" s="19">
        <f>N308*delta +Prem-L308*(1-N308)</f>
        <v>-9.0934577805891004E-4</v>
      </c>
      <c r="N308" s="26">
        <f>N307-Step_h*M307</f>
        <v>4.4690445284248318E-3</v>
      </c>
      <c r="U308" s="2"/>
      <c r="X308" s="2"/>
    </row>
    <row r="309" spans="1:24" x14ac:dyDescent="0.45">
      <c r="A309" s="24">
        <v>2.86</v>
      </c>
      <c r="B309" s="24">
        <f>A309+Age</f>
        <v>22.86</v>
      </c>
      <c r="C309" s="19">
        <f>B*c_gom^B309</f>
        <v>2.8683340882813763E-3</v>
      </c>
      <c r="D309" s="19">
        <f t="shared" si="4"/>
        <v>-2.8475636572573844E-3</v>
      </c>
      <c r="E309" s="26">
        <f>E308+Step_h*D308</f>
        <v>0.99275871276332495</v>
      </c>
      <c r="J309" s="24">
        <f>ROUND(J308-Step_h,2)</f>
        <v>7.14</v>
      </c>
      <c r="K309" s="24">
        <f>J309+Age</f>
        <v>27.14</v>
      </c>
      <c r="L309" s="19">
        <f>B*c_gom^K309</f>
        <v>4.1477745778420146E-3</v>
      </c>
      <c r="M309" s="19">
        <f>N309*delta +Prem-L309*(1-N309)</f>
        <v>-9.052933716364917E-4</v>
      </c>
      <c r="N309" s="26">
        <f>N308-Step_h*M308</f>
        <v>4.4781379862054212E-3</v>
      </c>
      <c r="U309" s="2"/>
      <c r="X309" s="2"/>
    </row>
    <row r="310" spans="1:24" x14ac:dyDescent="0.45">
      <c r="A310" s="24">
        <v>2.87</v>
      </c>
      <c r="B310" s="24">
        <f>A310+Age</f>
        <v>22.87</v>
      </c>
      <c r="C310" s="19">
        <f>B*c_gom^B310</f>
        <v>2.8708070179230064E-3</v>
      </c>
      <c r="D310" s="19">
        <f t="shared" si="4"/>
        <v>-2.8499369316478508E-3</v>
      </c>
      <c r="E310" s="26">
        <f>E309+Step_h*D309</f>
        <v>0.99273023712675235</v>
      </c>
      <c r="J310" s="24">
        <f>ROUND(J309-Step_h,2)</f>
        <v>7.13</v>
      </c>
      <c r="K310" s="24">
        <f>J310+Age</f>
        <v>27.13</v>
      </c>
      <c r="L310" s="19">
        <f>B*c_gom^K310</f>
        <v>4.1442016610153858E-3</v>
      </c>
      <c r="M310" s="19">
        <f>N310*delta +Prem-L310*(1-N310)</f>
        <v>-9.0124629095566329E-4</v>
      </c>
      <c r="N310" s="26">
        <f>N309-Step_h*M309</f>
        <v>4.4871909199217857E-3</v>
      </c>
      <c r="U310" s="2"/>
      <c r="X310" s="2"/>
    </row>
    <row r="311" spans="1:24" x14ac:dyDescent="0.45">
      <c r="A311" s="24">
        <v>2.88</v>
      </c>
      <c r="B311" s="24">
        <f>A311+Age</f>
        <v>22.88</v>
      </c>
      <c r="C311" s="19">
        <f>B*c_gom^B311</f>
        <v>2.873282079596967E-3</v>
      </c>
      <c r="D311" s="19">
        <f t="shared" si="4"/>
        <v>-2.8523121134832082E-3</v>
      </c>
      <c r="E311" s="26">
        <f>E310+Step_h*D310</f>
        <v>0.99270173775743586</v>
      </c>
      <c r="J311" s="24">
        <f>ROUND(J310-Step_h,2)</f>
        <v>7.12</v>
      </c>
      <c r="K311" s="24">
        <f>J311+Age</f>
        <v>27.12</v>
      </c>
      <c r="L311" s="19">
        <f>B*c_gom^K311</f>
        <v>4.1406318219198174E-3</v>
      </c>
      <c r="M311" s="19">
        <f>N311*delta +Prem-L311*(1-N311)</f>
        <v>-8.9720452997347567E-4</v>
      </c>
      <c r="N311" s="26">
        <f>N310-Step_h*M310</f>
        <v>4.496203382831342E-3</v>
      </c>
      <c r="U311" s="2"/>
      <c r="X311" s="2"/>
    </row>
    <row r="312" spans="1:24" x14ac:dyDescent="0.45">
      <c r="A312" s="24">
        <v>2.89</v>
      </c>
      <c r="B312" s="24">
        <f>A312+Age</f>
        <v>22.89</v>
      </c>
      <c r="C312" s="19">
        <f>B*c_gom^B312</f>
        <v>2.875759275141387E-3</v>
      </c>
      <c r="D312" s="19">
        <f t="shared" si="4"/>
        <v>-2.8546892041747592E-3</v>
      </c>
      <c r="E312" s="26">
        <f>E311+Step_h*D311</f>
        <v>0.99267321463630098</v>
      </c>
      <c r="J312" s="24">
        <f>ROUND(J311-Step_h,2)</f>
        <v>7.11</v>
      </c>
      <c r="K312" s="24">
        <f>J312+Age</f>
        <v>27.11</v>
      </c>
      <c r="L312" s="19">
        <f>B*c_gom^K312</f>
        <v>4.1370650579041308E-3</v>
      </c>
      <c r="M312" s="19">
        <f>N312*delta +Prem-L312*(1-N312)</f>
        <v>-8.9316808265412721E-4</v>
      </c>
      <c r="N312" s="26">
        <f>N311-Step_h*M311</f>
        <v>4.5051754281310767E-3</v>
      </c>
      <c r="U312" s="2"/>
      <c r="X312" s="2"/>
    </row>
    <row r="313" spans="1:24" x14ac:dyDescent="0.45">
      <c r="A313" s="24">
        <v>2.9</v>
      </c>
      <c r="B313" s="24">
        <f>A313+Age</f>
        <v>22.9</v>
      </c>
      <c r="C313" s="19">
        <f>B*c_gom^B313</f>
        <v>2.8782386063959785E-3</v>
      </c>
      <c r="D313" s="19">
        <f t="shared" si="4"/>
        <v>-2.8570682051346358E-3</v>
      </c>
      <c r="E313" s="26">
        <f>E312+Step_h*D312</f>
        <v>0.99264466774425919</v>
      </c>
      <c r="J313" s="24">
        <f>ROUND(J312-Step_h,2)</f>
        <v>7.1</v>
      </c>
      <c r="K313" s="24">
        <f>J313+Age</f>
        <v>27.1</v>
      </c>
      <c r="L313" s="19">
        <f>B*c_gom^K313</f>
        <v>4.1335013663194422E-3</v>
      </c>
      <c r="M313" s="19">
        <f>N313*delta +Prem-L313*(1-N313)</f>
        <v>-8.8913694296897244E-4</v>
      </c>
      <c r="N313" s="26">
        <f>N312-Step_h*M312</f>
        <v>4.5141071089576179E-3</v>
      </c>
      <c r="U313" s="2"/>
      <c r="X313" s="2"/>
    </row>
    <row r="314" spans="1:24" x14ac:dyDescent="0.45">
      <c r="A314" s="24">
        <v>2.91</v>
      </c>
      <c r="B314" s="24">
        <f>A314+Age</f>
        <v>22.91</v>
      </c>
      <c r="C314" s="19">
        <f>B*c_gom^B314</f>
        <v>2.8807200752020428E-3</v>
      </c>
      <c r="D314" s="19">
        <f t="shared" si="4"/>
        <v>-2.8594491177758017E-3</v>
      </c>
      <c r="E314" s="26">
        <f>E313+Step_h*D313</f>
        <v>0.99261609706220788</v>
      </c>
      <c r="J314" s="24">
        <f>ROUND(J313-Step_h,2)</f>
        <v>7.09</v>
      </c>
      <c r="K314" s="24">
        <f>J314+Age</f>
        <v>27.09</v>
      </c>
      <c r="L314" s="19">
        <f>B*c_gom^K314</f>
        <v>4.1299407445191368E-3</v>
      </c>
      <c r="M314" s="19">
        <f>N314*delta +Prem-L314*(1-N314)</f>
        <v>-8.8511110489648175E-4</v>
      </c>
      <c r="N314" s="26">
        <f>N313-Step_h*M313</f>
        <v>4.5229984783873075E-3</v>
      </c>
      <c r="U314" s="2"/>
      <c r="X314" s="2"/>
    </row>
    <row r="315" spans="1:24" x14ac:dyDescent="0.45">
      <c r="A315" s="24">
        <v>2.92</v>
      </c>
      <c r="B315" s="24">
        <f>A315+Age</f>
        <v>22.92</v>
      </c>
      <c r="C315" s="19">
        <f>B*c_gom^B315</f>
        <v>2.8832036834024652E-3</v>
      </c>
      <c r="D315" s="19">
        <f t="shared" si="4"/>
        <v>-2.861831943512048E-3</v>
      </c>
      <c r="E315" s="26">
        <f>E314+Step_h*D314</f>
        <v>0.99258750257103012</v>
      </c>
      <c r="J315" s="24">
        <f>ROUND(J314-Step_h,2)</f>
        <v>7.08</v>
      </c>
      <c r="K315" s="24">
        <f>J315+Age</f>
        <v>27.08</v>
      </c>
      <c r="L315" s="19">
        <f>B*c_gom^K315</f>
        <v>4.1263831898588829E-3</v>
      </c>
      <c r="M315" s="19">
        <f>N315*delta +Prem-L315*(1-N315)</f>
        <v>-8.8109056242225E-4</v>
      </c>
      <c r="N315" s="26">
        <f>N314-Step_h*M314</f>
        <v>4.5318495894362725E-3</v>
      </c>
      <c r="U315" s="2"/>
      <c r="X315" s="2"/>
    </row>
    <row r="316" spans="1:24" x14ac:dyDescent="0.45">
      <c r="A316" s="24">
        <v>2.93</v>
      </c>
      <c r="B316" s="24">
        <f>A316+Age</f>
        <v>22.93</v>
      </c>
      <c r="C316" s="19">
        <f>B*c_gom^B316</f>
        <v>2.8856894328417194E-3</v>
      </c>
      <c r="D316" s="19">
        <f t="shared" si="4"/>
        <v>-2.8642166837579948E-3</v>
      </c>
      <c r="E316" s="26">
        <f>E315+Step_h*D315</f>
        <v>0.992558884251595</v>
      </c>
      <c r="J316" s="24">
        <f>ROUND(J315-Step_h,2)</f>
        <v>7.07</v>
      </c>
      <c r="K316" s="24">
        <f>J316+Age</f>
        <v>27.07</v>
      </c>
      <c r="L316" s="19">
        <f>B*c_gom^K316</f>
        <v>4.1228286996966342E-3</v>
      </c>
      <c r="M316" s="19">
        <f>N316*delta +Prem-L316*(1-N316)</f>
        <v>-8.7707530953899486E-4</v>
      </c>
      <c r="N316" s="26">
        <f>N315-Step_h*M315</f>
        <v>4.5406604950604954E-3</v>
      </c>
      <c r="U316" s="2"/>
      <c r="X316" s="2"/>
    </row>
    <row r="317" spans="1:24" x14ac:dyDescent="0.45">
      <c r="A317" s="24">
        <v>2.94</v>
      </c>
      <c r="B317" s="24">
        <f>A317+Age</f>
        <v>22.94</v>
      </c>
      <c r="C317" s="19">
        <f>B*c_gom^B317</f>
        <v>2.888177325365874E-3</v>
      </c>
      <c r="D317" s="19">
        <f t="shared" si="4"/>
        <v>-2.866603339929098E-3</v>
      </c>
      <c r="E317" s="26">
        <f>E316+Step_h*D316</f>
        <v>0.99253024208475737</v>
      </c>
      <c r="J317" s="24">
        <f>ROUND(J316-Step_h,2)</f>
        <v>7.06</v>
      </c>
      <c r="K317" s="24">
        <f>J317+Age</f>
        <v>27.06</v>
      </c>
      <c r="L317" s="19">
        <f>B*c_gom^K317</f>
        <v>4.1192772713926108E-3</v>
      </c>
      <c r="M317" s="19">
        <f>N317*delta +Prem-L317*(1-N317)</f>
        <v>-8.7306534024652422E-4</v>
      </c>
      <c r="N317" s="26">
        <f>N316-Step_h*M316</f>
        <v>4.5494312481558852E-3</v>
      </c>
      <c r="U317" s="2"/>
      <c r="X317" s="2"/>
    </row>
    <row r="318" spans="1:24" x14ac:dyDescent="0.45">
      <c r="A318" s="24">
        <v>2.95</v>
      </c>
      <c r="B318" s="24">
        <f>A318+Age</f>
        <v>22.95</v>
      </c>
      <c r="C318" s="19">
        <f>B*c_gom^B318</f>
        <v>2.8906673628225845E-3</v>
      </c>
      <c r="D318" s="19">
        <f t="shared" si="4"/>
        <v>-2.8689919134416383E-3</v>
      </c>
      <c r="E318" s="26">
        <f>E317+Step_h*D317</f>
        <v>0.99250157605135814</v>
      </c>
      <c r="J318" s="24">
        <f>ROUND(J317-Step_h,2)</f>
        <v>7.05</v>
      </c>
      <c r="K318" s="24">
        <f>J318+Age</f>
        <v>27.05</v>
      </c>
      <c r="L318" s="19">
        <f>B*c_gom^K318</f>
        <v>4.1157289023093114E-3</v>
      </c>
      <c r="M318" s="19">
        <f>N318*delta +Prem-L318*(1-N318)</f>
        <v>-8.6906064855174492E-4</v>
      </c>
      <c r="N318" s="26">
        <f>N317-Step_h*M317</f>
        <v>4.5581619015583504E-3</v>
      </c>
      <c r="U318" s="2"/>
      <c r="X318" s="2"/>
    </row>
    <row r="319" spans="1:24" x14ac:dyDescent="0.45">
      <c r="A319" s="24">
        <v>2.96</v>
      </c>
      <c r="B319" s="24">
        <f>A319+Age</f>
        <v>22.96</v>
      </c>
      <c r="C319" s="19">
        <f>B*c_gom^B319</f>
        <v>2.8931595470611015E-3</v>
      </c>
      <c r="D319" s="19">
        <f t="shared" si="4"/>
        <v>-2.8713824057127286E-3</v>
      </c>
      <c r="E319" s="26">
        <f>E318+Step_h*D318</f>
        <v>0.99247288613222373</v>
      </c>
      <c r="J319" s="24">
        <f>ROUND(J318-Step_h,2)</f>
        <v>7.04</v>
      </c>
      <c r="K319" s="24">
        <f>J319+Age</f>
        <v>27.04</v>
      </c>
      <c r="L319" s="19">
        <f>B*c_gom^K319</f>
        <v>4.1121835898115036E-3</v>
      </c>
      <c r="M319" s="19">
        <f>N319*delta +Prem-L319*(1-N319)</f>
        <v>-8.6506122846864231E-4</v>
      </c>
      <c r="N319" s="26">
        <f>N318-Step_h*M318</f>
        <v>4.566852508043868E-3</v>
      </c>
      <c r="U319" s="2"/>
      <c r="X319" s="2"/>
    </row>
    <row r="320" spans="1:24" x14ac:dyDescent="0.45">
      <c r="A320" s="24">
        <v>2.97</v>
      </c>
      <c r="B320" s="24">
        <f>A320+Age</f>
        <v>22.97</v>
      </c>
      <c r="C320" s="19">
        <f>B*c_gom^B320</f>
        <v>2.8956538799322687E-3</v>
      </c>
      <c r="D320" s="19">
        <f t="shared" si="4"/>
        <v>-2.8737748181603116E-3</v>
      </c>
      <c r="E320" s="26">
        <f>E319+Step_h*D319</f>
        <v>0.99244417230816662</v>
      </c>
      <c r="J320" s="24">
        <f>ROUND(J319-Step_h,2)</f>
        <v>7.03</v>
      </c>
      <c r="K320" s="24">
        <f>J320+Age</f>
        <v>27.03</v>
      </c>
      <c r="L320" s="19">
        <f>B*c_gom^K320</f>
        <v>4.1086413312662311E-3</v>
      </c>
      <c r="M320" s="19">
        <f>N320*delta +Prem-L320*(1-N320)</f>
        <v>-8.6106707401828377E-4</v>
      </c>
      <c r="N320" s="26">
        <f>N319-Step_h*M319</f>
        <v>4.5755031203285543E-3</v>
      </c>
      <c r="U320" s="2"/>
      <c r="X320" s="2"/>
    </row>
    <row r="321" spans="1:24" x14ac:dyDescent="0.45">
      <c r="A321" s="24">
        <v>2.98</v>
      </c>
      <c r="B321" s="24">
        <f>A321+Age</f>
        <v>22.98</v>
      </c>
      <c r="C321" s="19">
        <f>B*c_gom^B321</f>
        <v>2.8981503632885281E-3</v>
      </c>
      <c r="D321" s="19">
        <f t="shared" si="4"/>
        <v>-2.8761691522031633E-3</v>
      </c>
      <c r="E321" s="26">
        <f>E320+Step_h*D320</f>
        <v>0.99241543455998504</v>
      </c>
      <c r="J321" s="24">
        <f>ROUND(J320-Step_h,2)</f>
        <v>7.02</v>
      </c>
      <c r="K321" s="24">
        <f>J321+Age</f>
        <v>27.02</v>
      </c>
      <c r="L321" s="19">
        <f>B*c_gom^K321</f>
        <v>4.1051021240427988E-3</v>
      </c>
      <c r="M321" s="19">
        <f>N321*delta +Prem-L321*(1-N321)</f>
        <v>-8.570781792287918E-4</v>
      </c>
      <c r="N321" s="26">
        <f>N320-Step_h*M320</f>
        <v>4.5841137910687373E-3</v>
      </c>
      <c r="U321" s="2"/>
      <c r="X321" s="2"/>
    </row>
    <row r="322" spans="1:24" x14ac:dyDescent="0.45">
      <c r="A322" s="24">
        <v>2.99</v>
      </c>
      <c r="B322" s="24">
        <f>A322+Age</f>
        <v>22.990000000000002</v>
      </c>
      <c r="C322" s="19">
        <f>B*c_gom^B322</f>
        <v>2.9006489989839156E-3</v>
      </c>
      <c r="D322" s="19">
        <f t="shared" si="4"/>
        <v>-2.8785654092608856E-3</v>
      </c>
      <c r="E322" s="26">
        <f>E321+Step_h*D321</f>
        <v>0.99238667286846305</v>
      </c>
      <c r="J322" s="24">
        <f>ROUND(J321-Step_h,2)</f>
        <v>7.01</v>
      </c>
      <c r="K322" s="24">
        <f>J322+Age</f>
        <v>27.009999999999998</v>
      </c>
      <c r="L322" s="19">
        <f>B*c_gom^K322</f>
        <v>4.1015659655127797E-3</v>
      </c>
      <c r="M322" s="19">
        <f>N322*delta +Prem-L322*(1-N322)</f>
        <v>-8.5309453813534617E-4</v>
      </c>
      <c r="N322" s="26">
        <f>N321-Step_h*M321</f>
        <v>4.5926845728610256E-3</v>
      </c>
      <c r="U322" s="2"/>
      <c r="X322" s="2"/>
    </row>
    <row r="323" spans="1:24" x14ac:dyDescent="0.45">
      <c r="A323" s="24">
        <v>3</v>
      </c>
      <c r="B323" s="24">
        <f>A323+Age</f>
        <v>23</v>
      </c>
      <c r="C323" s="19">
        <f>B*c_gom^B323</f>
        <v>2.9031497888740649E-3</v>
      </c>
      <c r="D323" s="19">
        <f t="shared" si="4"/>
        <v>-2.8809635907539126E-3</v>
      </c>
      <c r="E323" s="26">
        <f>E322+Step_h*D322</f>
        <v>0.99235788721437046</v>
      </c>
      <c r="J323" s="24">
        <f>ROUND(J322-Step_h,2)</f>
        <v>7</v>
      </c>
      <c r="K323" s="24">
        <f>J323+Age</f>
        <v>27</v>
      </c>
      <c r="L323" s="19">
        <f>B*c_gom^K323</f>
        <v>4.098032853050014E-3</v>
      </c>
      <c r="M323" s="19">
        <f>N323*delta +Prem-L323*(1-N323)</f>
        <v>-8.4911614478017441E-4</v>
      </c>
      <c r="N323" s="26">
        <f>N322-Step_h*M322</f>
        <v>4.6012155182423792E-3</v>
      </c>
      <c r="U323" s="2"/>
      <c r="X323" s="2"/>
    </row>
    <row r="324" spans="1:24" x14ac:dyDescent="0.45">
      <c r="A324" s="24">
        <v>3.0100000000000002</v>
      </c>
      <c r="B324" s="24">
        <f>A324+Age</f>
        <v>23.01</v>
      </c>
      <c r="C324" s="19">
        <f>B*c_gom^B324</f>
        <v>2.9056527348162182E-3</v>
      </c>
      <c r="D324" s="19">
        <f t="shared" si="4"/>
        <v>-2.8833636981035159E-3</v>
      </c>
      <c r="E324" s="26">
        <f>E323+Step_h*D323</f>
        <v>0.99232907757846289</v>
      </c>
      <c r="J324" s="24">
        <f>ROUND(J323-Step_h,2)</f>
        <v>6.99</v>
      </c>
      <c r="K324" s="24">
        <f>J324+Age</f>
        <v>26.990000000000002</v>
      </c>
      <c r="L324" s="19">
        <f>B*c_gom^K324</f>
        <v>4.0945027840306059E-3</v>
      </c>
      <c r="M324" s="19">
        <f>N324*delta +Prem-L324*(1-N324)</f>
        <v>-8.4514299321254097E-4</v>
      </c>
      <c r="N324" s="26">
        <f>N323-Step_h*M323</f>
        <v>4.6097066796901807E-3</v>
      </c>
      <c r="U324" s="2"/>
      <c r="X324" s="2"/>
    </row>
    <row r="325" spans="1:24" x14ac:dyDescent="0.45">
      <c r="A325" s="24">
        <v>3.02</v>
      </c>
      <c r="B325" s="24">
        <f>A325+Age</f>
        <v>23.02</v>
      </c>
      <c r="C325" s="19">
        <f>B*c_gom^B325</f>
        <v>2.9081578386692055E-3</v>
      </c>
      <c r="D325" s="19">
        <f t="shared" si="4"/>
        <v>-2.8857657327317852E-3</v>
      </c>
      <c r="E325" s="26">
        <f>E324+Step_h*D324</f>
        <v>0.99230024394148186</v>
      </c>
      <c r="J325" s="24">
        <f>ROUND(J324-Step_h,2)</f>
        <v>6.98</v>
      </c>
      <c r="K325" s="24">
        <f>J325+Age</f>
        <v>26.98</v>
      </c>
      <c r="L325" s="19">
        <f>B*c_gom^K325</f>
        <v>4.0909757558329068E-3</v>
      </c>
      <c r="M325" s="19">
        <f>N325*delta +Prem-L325*(1-N325)</f>
        <v>-8.4117507748872333E-4</v>
      </c>
      <c r="N325" s="26">
        <f>N324-Step_h*M324</f>
        <v>4.6181581096223058E-3</v>
      </c>
      <c r="U325" s="2"/>
      <c r="X325" s="2"/>
    </row>
    <row r="326" spans="1:24" x14ac:dyDescent="0.45">
      <c r="A326" s="24">
        <v>3.0300000000000002</v>
      </c>
      <c r="B326" s="24">
        <f>A326+Age</f>
        <v>23.03</v>
      </c>
      <c r="C326" s="19">
        <f>B*c_gom^B326</f>
        <v>2.9106651022934695E-3</v>
      </c>
      <c r="D326" s="19">
        <f t="shared" si="4"/>
        <v>-2.8881696960616514E-3</v>
      </c>
      <c r="E326" s="26">
        <f>E325+Step_h*D325</f>
        <v>0.99227138628415457</v>
      </c>
      <c r="J326" s="24">
        <f>ROUND(J325-Step_h,2)</f>
        <v>6.97</v>
      </c>
      <c r="K326" s="24">
        <f>J326+Age</f>
        <v>26.97</v>
      </c>
      <c r="L326" s="19">
        <f>B*c_gom^K326</f>
        <v>4.0874517658375398E-3</v>
      </c>
      <c r="M326" s="19">
        <f>N326*delta +Prem-L326*(1-N326)</f>
        <v>-8.3721239167202852E-4</v>
      </c>
      <c r="N326" s="26">
        <f>N325-Step_h*M325</f>
        <v>4.6265698603971932E-3</v>
      </c>
      <c r="U326" s="2"/>
      <c r="X326" s="2"/>
    </row>
    <row r="327" spans="1:24" x14ac:dyDescent="0.45">
      <c r="A327" s="24">
        <v>3.04</v>
      </c>
      <c r="B327" s="24">
        <f>A327+Age</f>
        <v>23.04</v>
      </c>
      <c r="C327" s="19">
        <f>B*c_gom^B327</f>
        <v>2.913174527551052E-3</v>
      </c>
      <c r="D327" s="19">
        <f t="shared" si="4"/>
        <v>-2.8905755895168713E-3</v>
      </c>
      <c r="E327" s="26">
        <f>E326+Step_h*D326</f>
        <v>0.99224250458719399</v>
      </c>
      <c r="J327" s="24">
        <f>ROUND(J326-Step_h,2)</f>
        <v>6.96</v>
      </c>
      <c r="K327" s="24">
        <f>J327+Age</f>
        <v>26.96</v>
      </c>
      <c r="L327" s="19">
        <f>B*c_gom^K327</f>
        <v>4.0839308114273831E-3</v>
      </c>
      <c r="M327" s="19">
        <f>N327*delta +Prem-L327*(1-N327)</f>
        <v>-8.3325492983276923E-4</v>
      </c>
      <c r="N327" s="26">
        <f>N326-Step_h*M326</f>
        <v>4.6349419843139134E-3</v>
      </c>
      <c r="U327" s="2"/>
      <c r="X327" s="2"/>
    </row>
    <row r="328" spans="1:24" x14ac:dyDescent="0.45">
      <c r="A328" s="24">
        <v>3.0500000000000003</v>
      </c>
      <c r="B328" s="24">
        <f>A328+Age</f>
        <v>23.05</v>
      </c>
      <c r="C328" s="19">
        <f>B*c_gom^B328</f>
        <v>2.9156861163056025E-3</v>
      </c>
      <c r="D328" s="19">
        <f t="shared" si="4"/>
        <v>-2.8929834145220348E-3</v>
      </c>
      <c r="E328" s="26">
        <f>E327+Step_h*D327</f>
        <v>0.99221359883129878</v>
      </c>
      <c r="J328" s="24">
        <f>ROUND(J327-Step_h,2)</f>
        <v>6.95</v>
      </c>
      <c r="K328" s="24">
        <f>J328+Age</f>
        <v>26.95</v>
      </c>
      <c r="L328" s="19">
        <f>B*c_gom^K328</f>
        <v>4.0804128899875596E-3</v>
      </c>
      <c r="M328" s="19">
        <f>N328*delta +Prem-L328*(1-N328)</f>
        <v>-8.2930268604824477E-4</v>
      </c>
      <c r="N328" s="26">
        <f>N327-Step_h*M327</f>
        <v>4.6432745336122414E-3</v>
      </c>
      <c r="U328" s="2"/>
      <c r="X328" s="2"/>
    </row>
    <row r="329" spans="1:24" x14ac:dyDescent="0.45">
      <c r="A329" s="24">
        <v>3.06</v>
      </c>
      <c r="B329" s="24">
        <f>A329+Age</f>
        <v>23.06</v>
      </c>
      <c r="C329" s="19">
        <f>B*c_gom^B329</f>
        <v>2.9181998704223763E-3</v>
      </c>
      <c r="D329" s="19">
        <f t="shared" si="4"/>
        <v>-2.8953931725025617E-3</v>
      </c>
      <c r="E329" s="26">
        <f>E328+Step_h*D328</f>
        <v>0.99218466899715352</v>
      </c>
      <c r="J329" s="24">
        <f>ROUND(J328-Step_h,2)</f>
        <v>6.94</v>
      </c>
      <c r="K329" s="24">
        <f>J329+Age</f>
        <v>26.94</v>
      </c>
      <c r="L329" s="19">
        <f>B*c_gom^K329</f>
        <v>4.0768979989054561E-3</v>
      </c>
      <c r="M329" s="19">
        <f>N329*delta +Prem-L329*(1-N329)</f>
        <v>-8.2535565440275535E-4</v>
      </c>
      <c r="N329" s="26">
        <f>N328-Step_h*M328</f>
        <v>4.6515675604727235E-3</v>
      </c>
      <c r="U329" s="2"/>
      <c r="X329" s="2"/>
    </row>
    <row r="330" spans="1:24" x14ac:dyDescent="0.45">
      <c r="A330" s="24">
        <v>3.0700000000000003</v>
      </c>
      <c r="B330" s="24">
        <f>A330+Age</f>
        <v>23.07</v>
      </c>
      <c r="C330" s="19">
        <f>B*c_gom^B330</f>
        <v>2.9207157917682373E-3</v>
      </c>
      <c r="D330" s="19">
        <f t="shared" si="4"/>
        <v>-2.8978048648847046E-3</v>
      </c>
      <c r="E330" s="26">
        <f>E329+Step_h*D329</f>
        <v>0.99215571506542855</v>
      </c>
      <c r="J330" s="24">
        <f>ROUND(J329-Step_h,2)</f>
        <v>6.93</v>
      </c>
      <c r="K330" s="24">
        <f>J330+Age</f>
        <v>26.93</v>
      </c>
      <c r="L330" s="19">
        <f>B*c_gom^K330</f>
        <v>4.073386135570704E-3</v>
      </c>
      <c r="M330" s="19">
        <f>N330*delta +Prem-L330*(1-N330)</f>
        <v>-8.2141382898757087E-4</v>
      </c>
      <c r="N330" s="26">
        <f>N329-Step_h*M329</f>
        <v>4.6598211170167511E-3</v>
      </c>
      <c r="U330" s="2"/>
      <c r="X330" s="2"/>
    </row>
    <row r="331" spans="1:24" x14ac:dyDescent="0.45">
      <c r="A331" s="24">
        <v>3.08</v>
      </c>
      <c r="B331" s="24">
        <f>A331+Age</f>
        <v>23.08</v>
      </c>
      <c r="C331" s="19">
        <f>B*c_gom^B331</f>
        <v>2.9232338822116578E-3</v>
      </c>
      <c r="D331" s="19">
        <f t="shared" si="4"/>
        <v>-2.9002184930955453E-3</v>
      </c>
      <c r="E331" s="26">
        <f>E330+Step_h*D330</f>
        <v>0.99212673701677967</v>
      </c>
      <c r="J331" s="24">
        <f>ROUND(J330-Step_h,2)</f>
        <v>6.92</v>
      </c>
      <c r="K331" s="24">
        <f>J331+Age</f>
        <v>26.92</v>
      </c>
      <c r="L331" s="19">
        <f>B*c_gom^K331</f>
        <v>4.0698772973751839E-3</v>
      </c>
      <c r="M331" s="19">
        <f>N331*delta +Prem-L331*(1-N331)</f>
        <v>-8.1747720390093308E-4</v>
      </c>
      <c r="N331" s="26">
        <f>N330-Step_h*M330</f>
        <v>4.6680352553066266E-3</v>
      </c>
      <c r="U331" s="2"/>
      <c r="X331" s="2"/>
    </row>
    <row r="332" spans="1:24" x14ac:dyDescent="0.45">
      <c r="A332" s="24">
        <v>3.09</v>
      </c>
      <c r="B332" s="24">
        <f>A332+Age</f>
        <v>23.09</v>
      </c>
      <c r="C332" s="19">
        <f>B*c_gom^B332</f>
        <v>2.9257541436227231E-3</v>
      </c>
      <c r="D332" s="19">
        <f t="shared" si="4"/>
        <v>-2.9026340585629989E-3</v>
      </c>
      <c r="E332" s="26">
        <f>E331+Step_h*D331</f>
        <v>0.99209773483184871</v>
      </c>
      <c r="J332" s="24">
        <f>ROUND(J331-Step_h,2)</f>
        <v>6.91</v>
      </c>
      <c r="K332" s="24">
        <f>J332+Age</f>
        <v>26.91</v>
      </c>
      <c r="L332" s="19">
        <f>B*c_gom^K332</f>
        <v>4.066371481713022E-3</v>
      </c>
      <c r="M332" s="19">
        <f>N332*delta +Prem-L332*(1-N332)</f>
        <v>-8.1354577324804084E-4</v>
      </c>
      <c r="N332" s="26">
        <f>N331-Step_h*M331</f>
        <v>4.6762100273456363E-3</v>
      </c>
      <c r="U332" s="2"/>
      <c r="X332" s="2"/>
    </row>
    <row r="333" spans="1:24" x14ac:dyDescent="0.45">
      <c r="A333" s="24">
        <v>3.1</v>
      </c>
      <c r="B333" s="24">
        <f>A333+Age</f>
        <v>23.1</v>
      </c>
      <c r="C333" s="19">
        <f>B*c_gom^B333</f>
        <v>2.9282765778731287E-3</v>
      </c>
      <c r="D333" s="19">
        <f t="shared" si="4"/>
        <v>-2.9050515627158102E-3</v>
      </c>
      <c r="E333" s="26">
        <f>E332+Step_h*D332</f>
        <v>0.99206870849126305</v>
      </c>
      <c r="J333" s="24">
        <f>ROUND(J332-Step_h,2)</f>
        <v>6.9</v>
      </c>
      <c r="K333" s="24">
        <f>J333+Age</f>
        <v>26.9</v>
      </c>
      <c r="L333" s="19">
        <f>B*c_gom^K333</f>
        <v>4.0628686859805942E-3</v>
      </c>
      <c r="M333" s="19">
        <f>N333*delta +Prem-L333*(1-N333)</f>
        <v>-8.0961953114105012E-4</v>
      </c>
      <c r="N333" s="26">
        <f>N332-Step_h*M332</f>
        <v>4.6843454850781169E-3</v>
      </c>
      <c r="U333" s="2"/>
      <c r="X333" s="2"/>
    </row>
    <row r="334" spans="1:24" x14ac:dyDescent="0.45">
      <c r="A334" s="24">
        <v>3.11</v>
      </c>
      <c r="B334" s="24">
        <f>A334+Age</f>
        <v>23.11</v>
      </c>
      <c r="C334" s="19">
        <f>B*c_gom^B334</f>
        <v>2.930801186836183E-3</v>
      </c>
      <c r="D334" s="19">
        <f t="shared" si="4"/>
        <v>-2.9074710069835548E-3</v>
      </c>
      <c r="E334" s="26">
        <f>E333+Step_h*D333</f>
        <v>0.99203965797563587</v>
      </c>
      <c r="J334" s="24">
        <f>ROUND(J333-Step_h,2)</f>
        <v>6.89</v>
      </c>
      <c r="K334" s="24">
        <f>J334+Age</f>
        <v>26.89</v>
      </c>
      <c r="L334" s="19">
        <f>B*c_gom^K334</f>
        <v>4.0593689075765146E-3</v>
      </c>
      <c r="M334" s="19">
        <f>N334*delta +Prem-L334*(1-N334)</f>
        <v>-8.056984716990484E-4</v>
      </c>
      <c r="N334" s="26">
        <f>N333-Step_h*M333</f>
        <v>4.6924416803895272E-3</v>
      </c>
      <c r="U334" s="2"/>
      <c r="X334" s="2"/>
    </row>
    <row r="335" spans="1:24" x14ac:dyDescent="0.45">
      <c r="A335" s="24">
        <v>3.12</v>
      </c>
      <c r="B335" s="24">
        <f>A335+Age</f>
        <v>23.12</v>
      </c>
      <c r="C335" s="19">
        <f>B*c_gom^B335</f>
        <v>2.9333279723868146E-3</v>
      </c>
      <c r="D335" s="19">
        <f t="shared" si="4"/>
        <v>-2.909892392796644E-3</v>
      </c>
      <c r="E335" s="26">
        <f>E334+Step_h*D334</f>
        <v>0.99201058326556601</v>
      </c>
      <c r="J335" s="24">
        <f>ROUND(J334-Step_h,2)</f>
        <v>6.88</v>
      </c>
      <c r="K335" s="24">
        <f>J335+Age</f>
        <v>26.88</v>
      </c>
      <c r="L335" s="19">
        <f>B*c_gom^K335</f>
        <v>4.0558721439016357E-3</v>
      </c>
      <c r="M335" s="19">
        <f>N335*delta +Prem-L335*(1-N335)</f>
        <v>-8.0178258904805774E-4</v>
      </c>
      <c r="N335" s="26">
        <f>N334-Step_h*M334</f>
        <v>4.7004986651065176E-3</v>
      </c>
      <c r="U335" s="2"/>
      <c r="X335" s="2"/>
    </row>
    <row r="336" spans="1:24" x14ac:dyDescent="0.45">
      <c r="A336" s="24">
        <v>3.13</v>
      </c>
      <c r="B336" s="24">
        <f>A336+Age</f>
        <v>23.13</v>
      </c>
      <c r="C336" s="19">
        <f>B*c_gom^B336</f>
        <v>2.935856936401561E-3</v>
      </c>
      <c r="D336" s="19">
        <f t="shared" si="4"/>
        <v>-2.9123157215863145E-3</v>
      </c>
      <c r="E336" s="26">
        <f>E335+Step_h*D335</f>
        <v>0.99198148434163802</v>
      </c>
      <c r="J336" s="24">
        <f>ROUND(J335-Step_h,2)</f>
        <v>6.87</v>
      </c>
      <c r="K336" s="24">
        <f>J336+Age</f>
        <v>26.87</v>
      </c>
      <c r="L336" s="19">
        <f>B*c_gom^K336</f>
        <v>4.0523783923590573E-3</v>
      </c>
      <c r="M336" s="19">
        <f>N336*delta +Prem-L336*(1-N336)</f>
        <v>-7.9787187732102477E-4</v>
      </c>
      <c r="N336" s="26">
        <f>N335-Step_h*M335</f>
        <v>4.7085164909969985E-3</v>
      </c>
      <c r="U336" s="2"/>
      <c r="X336" s="2"/>
    </row>
    <row r="337" spans="1:24" x14ac:dyDescent="0.45">
      <c r="A337" s="24">
        <v>3.14</v>
      </c>
      <c r="B337" s="24">
        <f>A337+Age</f>
        <v>23.14</v>
      </c>
      <c r="C337" s="19">
        <f>B*c_gom^B337</f>
        <v>2.9383880807585848E-3</v>
      </c>
      <c r="D337" s="19">
        <f t="shared" si="4"/>
        <v>-2.9147409947846408E-3</v>
      </c>
      <c r="E337" s="26">
        <f>E336+Step_h*D336</f>
        <v>0.9919523611844222</v>
      </c>
      <c r="J337" s="24">
        <f>ROUND(J336-Step_h,2)</f>
        <v>6.86</v>
      </c>
      <c r="K337" s="24">
        <f>J337+Age</f>
        <v>26.86</v>
      </c>
      <c r="L337" s="19">
        <f>B*c_gom^K337</f>
        <v>4.0488876503541084E-3</v>
      </c>
      <c r="M337" s="19">
        <f>N337*delta +Prem-L337*(1-N337)</f>
        <v>-7.939663306578042E-4</v>
      </c>
      <c r="N337" s="26">
        <f>N336-Step_h*M336</f>
        <v>4.7164952097702084E-3</v>
      </c>
      <c r="U337" s="2"/>
      <c r="X337" s="2"/>
    </row>
    <row r="338" spans="1:24" x14ac:dyDescent="0.45">
      <c r="A338" s="24">
        <v>3.15</v>
      </c>
      <c r="B338" s="24">
        <f>A338+Age</f>
        <v>23.15</v>
      </c>
      <c r="C338" s="19">
        <f>B*c_gom^B338</f>
        <v>2.9409214073376627E-3</v>
      </c>
      <c r="D338" s="19">
        <f t="shared" si="4"/>
        <v>-2.9171682138245244E-3</v>
      </c>
      <c r="E338" s="26">
        <f>E337+Step_h*D337</f>
        <v>0.99192321377447434</v>
      </c>
      <c r="J338" s="24">
        <f>ROUND(J337-Step_h,2)</f>
        <v>6.85</v>
      </c>
      <c r="K338" s="24">
        <f>J338+Age</f>
        <v>26.85</v>
      </c>
      <c r="L338" s="19">
        <f>B*c_gom^K338</f>
        <v>4.0453999152943584E-3</v>
      </c>
      <c r="M338" s="19">
        <f>N338*delta +Prem-L338*(1-N338)</f>
        <v>-7.9006594320515976E-4</v>
      </c>
      <c r="N338" s="26">
        <f>N337-Step_h*M337</f>
        <v>4.7244348730767867E-3</v>
      </c>
      <c r="U338" s="2"/>
      <c r="X338" s="2"/>
    </row>
    <row r="339" spans="1:24" x14ac:dyDescent="0.45">
      <c r="A339" s="24">
        <v>3.16</v>
      </c>
      <c r="B339" s="24">
        <f>A339+Age</f>
        <v>23.16</v>
      </c>
      <c r="C339" s="19">
        <f>B*c_gom^B339</f>
        <v>2.9434569180201951E-3</v>
      </c>
      <c r="D339" s="19">
        <f t="shared" si="4"/>
        <v>-2.9195973801397013E-3</v>
      </c>
      <c r="E339" s="26">
        <f>E338+Step_h*D338</f>
        <v>0.99189404209233611</v>
      </c>
      <c r="J339" s="24">
        <f>ROUND(J338-Step_h,2)</f>
        <v>6.84</v>
      </c>
      <c r="K339" s="24">
        <f>J339+Age</f>
        <v>26.84</v>
      </c>
      <c r="L339" s="19">
        <f>B*c_gom^K339</f>
        <v>4.0419151845896041E-3</v>
      </c>
      <c r="M339" s="19">
        <f>N339*delta +Prem-L339*(1-N339)</f>
        <v>-7.8617070911674155E-4</v>
      </c>
      <c r="N339" s="26">
        <f>N338-Step_h*M338</f>
        <v>4.7323355325088381E-3</v>
      </c>
      <c r="U339" s="2"/>
      <c r="X339" s="2"/>
    </row>
    <row r="340" spans="1:24" x14ac:dyDescent="0.45">
      <c r="A340" s="24">
        <v>3.17</v>
      </c>
      <c r="B340" s="24">
        <f>A340+Age</f>
        <v>23.17</v>
      </c>
      <c r="C340" s="19">
        <f>B*c_gom^B340</f>
        <v>2.9459946146892031E-3</v>
      </c>
      <c r="D340" s="19">
        <f t="shared" si="4"/>
        <v>-2.9220284951647388E-3</v>
      </c>
      <c r="E340" s="26">
        <f>E339+Step_h*D339</f>
        <v>0.99186484611853476</v>
      </c>
      <c r="J340" s="24">
        <f>ROUND(J339-Step_h,2)</f>
        <v>6.83</v>
      </c>
      <c r="K340" s="24">
        <f>J340+Age</f>
        <v>26.83</v>
      </c>
      <c r="L340" s="19">
        <f>B*c_gom^K340</f>
        <v>4.0384334556518801E-3</v>
      </c>
      <c r="M340" s="19">
        <f>N340*delta +Prem-L340*(1-N340)</f>
        <v>-7.8228062255309046E-4</v>
      </c>
      <c r="N340" s="26">
        <f>N339-Step_h*M339</f>
        <v>4.7401972396000054E-3</v>
      </c>
      <c r="U340" s="2"/>
      <c r="X340" s="2"/>
    </row>
    <row r="341" spans="1:24" x14ac:dyDescent="0.45">
      <c r="A341" s="24">
        <v>3.18</v>
      </c>
      <c r="B341" s="24">
        <f>A341+Age</f>
        <v>23.18</v>
      </c>
      <c r="C341" s="19">
        <f>B*c_gom^B341</f>
        <v>2.9485344992293302E-3</v>
      </c>
      <c r="D341" s="19">
        <f t="shared" si="4"/>
        <v>-2.9244615603350333E-3</v>
      </c>
      <c r="E341" s="26">
        <f>E340+Step_h*D340</f>
        <v>0.99183562583358309</v>
      </c>
      <c r="J341" s="24">
        <f>ROUND(J340-Step_h,2)</f>
        <v>6.82</v>
      </c>
      <c r="K341" s="24">
        <f>J341+Age</f>
        <v>26.82</v>
      </c>
      <c r="L341" s="19">
        <f>B*c_gom^K341</f>
        <v>4.0349547258954456E-3</v>
      </c>
      <c r="M341" s="19">
        <f>N341*delta +Prem-L341*(1-N341)</f>
        <v>-7.7839567768161902E-4</v>
      </c>
      <c r="N341" s="26">
        <f>N340-Step_h*M340</f>
        <v>4.7480200458255364E-3</v>
      </c>
      <c r="U341" s="2"/>
      <c r="X341" s="2"/>
    </row>
    <row r="342" spans="1:24" x14ac:dyDescent="0.45">
      <c r="A342" s="24">
        <v>3.19</v>
      </c>
      <c r="B342" s="24">
        <f>A342+Age</f>
        <v>23.19</v>
      </c>
      <c r="C342" s="19">
        <f>B*c_gom^B342</f>
        <v>2.9510765735268471E-3</v>
      </c>
      <c r="D342" s="19">
        <f t="shared" si="4"/>
        <v>-2.9268965770868176E-3</v>
      </c>
      <c r="E342" s="26">
        <f>E341+Step_h*D341</f>
        <v>0.9918063812179797</v>
      </c>
      <c r="J342" s="24">
        <f>ROUND(J341-Step_h,2)</f>
        <v>6.81</v>
      </c>
      <c r="K342" s="24">
        <f>J342+Age</f>
        <v>26.81</v>
      </c>
      <c r="L342" s="19">
        <f>B*c_gom^K342</f>
        <v>4.0314789927367867E-3</v>
      </c>
      <c r="M342" s="19">
        <f>N342*delta +Prem-L342*(1-N342)</f>
        <v>-7.745158686766041E-4</v>
      </c>
      <c r="N342" s="26">
        <f>N341-Step_h*M341</f>
        <v>4.755804002602353E-3</v>
      </c>
      <c r="U342" s="2"/>
      <c r="X342" s="2"/>
    </row>
    <row r="343" spans="1:24" x14ac:dyDescent="0.45">
      <c r="A343" s="24">
        <v>3.2</v>
      </c>
      <c r="B343" s="24">
        <f>A343+Age</f>
        <v>23.2</v>
      </c>
      <c r="C343" s="19">
        <f>B*c_gom^B343</f>
        <v>2.9536208394696497E-3</v>
      </c>
      <c r="D343" s="19">
        <f t="shared" si="4"/>
        <v>-2.9293335468571543E-3</v>
      </c>
      <c r="E343" s="26">
        <f>E342+Step_h*D342</f>
        <v>0.99177711225220888</v>
      </c>
      <c r="J343" s="24">
        <f>ROUND(J342-Step_h,2)</f>
        <v>6.8</v>
      </c>
      <c r="K343" s="24">
        <f>J343+Age</f>
        <v>26.8</v>
      </c>
      <c r="L343" s="19">
        <f>B*c_gom^K343</f>
        <v>4.0280062535946216E-3</v>
      </c>
      <c r="M343" s="19">
        <f>N343*delta +Prem-L343*(1-N343)</f>
        <v>-7.7064118971918727E-4</v>
      </c>
      <c r="N343" s="26">
        <f>N342-Step_h*M342</f>
        <v>4.7635491612891189E-3</v>
      </c>
      <c r="U343" s="2"/>
      <c r="X343" s="2"/>
    </row>
    <row r="344" spans="1:24" x14ac:dyDescent="0.45">
      <c r="A344" s="24">
        <v>3.21</v>
      </c>
      <c r="B344" s="24">
        <f>A344+Age</f>
        <v>23.21</v>
      </c>
      <c r="C344" s="19">
        <f>B*c_gom^B344</f>
        <v>2.956167298947261E-3</v>
      </c>
      <c r="D344" s="19">
        <f t="shared" ref="D344:D407" si="5">-E344*C344</f>
        <v>-2.9317724710839375E-3</v>
      </c>
      <c r="E344" s="26">
        <f>E343+Step_h*D343</f>
        <v>0.99174781891674035</v>
      </c>
      <c r="J344" s="24">
        <f>ROUND(J343-Step_h,2)</f>
        <v>6.79</v>
      </c>
      <c r="K344" s="24">
        <f>J344+Age</f>
        <v>26.79</v>
      </c>
      <c r="L344" s="19">
        <f>B*c_gom^K344</f>
        <v>4.0245365058898842E-3</v>
      </c>
      <c r="M344" s="19">
        <f>N344*delta +Prem-L344*(1-N344)</f>
        <v>-7.667716349973497E-4</v>
      </c>
      <c r="N344" s="26">
        <f>N343-Step_h*M343</f>
        <v>4.7712555731863112E-3</v>
      </c>
      <c r="U344" s="2"/>
      <c r="X344" s="2"/>
    </row>
    <row r="345" spans="1:24" x14ac:dyDescent="0.45">
      <c r="A345" s="24">
        <v>3.22</v>
      </c>
      <c r="B345" s="24">
        <f>A345+Age</f>
        <v>23.22</v>
      </c>
      <c r="C345" s="19">
        <f>B*c_gom^B345</f>
        <v>2.9587159538508336E-3</v>
      </c>
      <c r="D345" s="19">
        <f t="shared" si="5"/>
        <v>-2.9342133512058948E-3</v>
      </c>
      <c r="E345" s="26">
        <f>E344+Step_h*D344</f>
        <v>0.99171850119202953</v>
      </c>
      <c r="J345" s="24">
        <f>ROUND(J344-Step_h,2)</f>
        <v>6.78</v>
      </c>
      <c r="K345" s="24">
        <f>J345+Age</f>
        <v>26.78</v>
      </c>
      <c r="L345" s="19">
        <f>B*c_gom^K345</f>
        <v>4.0210697470457338E-3</v>
      </c>
      <c r="M345" s="19">
        <f>N345*delta +Prem-L345*(1-N345)</f>
        <v>-7.6290719870591214E-4</v>
      </c>
      <c r="N345" s="26">
        <f>N344-Step_h*M344</f>
        <v>4.7789232895362847E-3</v>
      </c>
      <c r="U345" s="2"/>
      <c r="X345" s="2"/>
    </row>
    <row r="346" spans="1:24" x14ac:dyDescent="0.45">
      <c r="A346" s="24">
        <v>3.23</v>
      </c>
      <c r="B346" s="24">
        <f>A346+Age</f>
        <v>23.23</v>
      </c>
      <c r="C346" s="19">
        <f>B*c_gom^B346</f>
        <v>2.9612668060731515E-3</v>
      </c>
      <c r="D346" s="19">
        <f t="shared" si="5"/>
        <v>-2.9366561886625857E-3</v>
      </c>
      <c r="E346" s="26">
        <f>E345+Step_h*D345</f>
        <v>0.99168915905851751</v>
      </c>
      <c r="J346" s="24">
        <f>ROUND(J345-Step_h,2)</f>
        <v>6.77</v>
      </c>
      <c r="K346" s="24">
        <f>J346+Age</f>
        <v>26.77</v>
      </c>
      <c r="L346" s="19">
        <f>B*c_gom^K346</f>
        <v>4.0176059744875458E-3</v>
      </c>
      <c r="M346" s="19">
        <f>N346*delta +Prem-L346*(1-N346)</f>
        <v>-7.5904787504652493E-4</v>
      </c>
      <c r="N346" s="26">
        <f>N345-Step_h*M345</f>
        <v>4.7865523615233437E-3</v>
      </c>
      <c r="U346" s="2"/>
      <c r="X346" s="2"/>
    </row>
    <row r="347" spans="1:24" x14ac:dyDescent="0.45">
      <c r="A347" s="24">
        <v>3.24</v>
      </c>
      <c r="B347" s="24">
        <f>A347+Age</f>
        <v>23.240000000000002</v>
      </c>
      <c r="C347" s="19">
        <f>B*c_gom^B347</f>
        <v>2.9638198575086278E-3</v>
      </c>
      <c r="D347" s="19">
        <f t="shared" si="5"/>
        <v>-2.9391009848944E-3</v>
      </c>
      <c r="E347" s="26">
        <f>E346+Step_h*D346</f>
        <v>0.99165979249663083</v>
      </c>
      <c r="J347" s="24">
        <f>ROUND(J346-Step_h,2)</f>
        <v>6.76</v>
      </c>
      <c r="K347" s="24">
        <f>J347+Age</f>
        <v>26.759999999999998</v>
      </c>
      <c r="L347" s="19">
        <f>B*c_gom^K347</f>
        <v>4.0141451856429214E-3</v>
      </c>
      <c r="M347" s="19">
        <f>N347*delta +Prem-L347*(1-N347)</f>
        <v>-7.551936582276611E-4</v>
      </c>
      <c r="N347" s="26">
        <f>N346-Step_h*M346</f>
        <v>4.7941428402738092E-3</v>
      </c>
      <c r="U347" s="2"/>
      <c r="X347" s="2"/>
    </row>
    <row r="348" spans="1:24" x14ac:dyDescent="0.45">
      <c r="A348" s="24">
        <v>3.25</v>
      </c>
      <c r="B348" s="24">
        <f>A348+Age</f>
        <v>23.25</v>
      </c>
      <c r="C348" s="19">
        <f>B*c_gom^B348</f>
        <v>2.9663751100533105E-3</v>
      </c>
      <c r="D348" s="19">
        <f t="shared" si="5"/>
        <v>-2.9415477413425612E-3</v>
      </c>
      <c r="E348" s="26">
        <f>E347+Step_h*D347</f>
        <v>0.99163040148678194</v>
      </c>
      <c r="J348" s="24">
        <f>ROUND(J347-Step_h,2)</f>
        <v>6.75</v>
      </c>
      <c r="K348" s="24">
        <f>J348+Age</f>
        <v>26.75</v>
      </c>
      <c r="L348" s="19">
        <f>B*c_gom^K348</f>
        <v>4.0106873779416708E-3</v>
      </c>
      <c r="M348" s="19">
        <f>N348*delta +Prem-L348*(1-N348)</f>
        <v>-7.5134454246460116E-4</v>
      </c>
      <c r="N348" s="26">
        <f>N347-Step_h*M347</f>
        <v>4.801694776856086E-3</v>
      </c>
      <c r="U348" s="2"/>
      <c r="X348" s="2"/>
    </row>
    <row r="349" spans="1:24" x14ac:dyDescent="0.45">
      <c r="A349" s="24">
        <v>3.2600000000000002</v>
      </c>
      <c r="B349" s="24">
        <f>A349+Age</f>
        <v>23.26</v>
      </c>
      <c r="C349" s="19">
        <f>B*c_gom^B349</f>
        <v>2.9689325656048855E-3</v>
      </c>
      <c r="D349" s="19">
        <f t="shared" si="5"/>
        <v>-2.9439964594491289E-3</v>
      </c>
      <c r="E349" s="26">
        <f>E348+Step_h*D348</f>
        <v>0.99160098600936852</v>
      </c>
      <c r="J349" s="24">
        <f>ROUND(J348-Step_h,2)</f>
        <v>6.74</v>
      </c>
      <c r="K349" s="24">
        <f>J349+Age</f>
        <v>26.740000000000002</v>
      </c>
      <c r="L349" s="19">
        <f>B*c_gom^K349</f>
        <v>4.0072325488158178E-3</v>
      </c>
      <c r="M349" s="19">
        <f>N349*delta +Prem-L349*(1-N349)</f>
        <v>-7.4750052197942486E-4</v>
      </c>
      <c r="N349" s="26">
        <f>N348-Step_h*M348</f>
        <v>4.8092082222807317E-3</v>
      </c>
      <c r="U349" s="2"/>
      <c r="X349" s="2"/>
    </row>
    <row r="350" spans="1:24" x14ac:dyDescent="0.45">
      <c r="A350" s="24">
        <v>3.27</v>
      </c>
      <c r="B350" s="24">
        <f>A350+Age</f>
        <v>23.27</v>
      </c>
      <c r="C350" s="19">
        <f>B*c_gom^B350</f>
        <v>2.9714922260626665E-3</v>
      </c>
      <c r="D350" s="19">
        <f t="shared" si="5"/>
        <v>-2.9464471406569852E-3</v>
      </c>
      <c r="E350" s="26">
        <f>E349+Step_h*D349</f>
        <v>0.99157154604477404</v>
      </c>
      <c r="J350" s="24">
        <f>ROUND(J349-Step_h,2)</f>
        <v>6.73</v>
      </c>
      <c r="K350" s="24">
        <f>J350+Age</f>
        <v>26.73</v>
      </c>
      <c r="L350" s="19">
        <f>B*c_gom^K350</f>
        <v>4.003780695699604E-3</v>
      </c>
      <c r="M350" s="19">
        <f>N350*delta +Prem-L350*(1-N350)</f>
        <v>-7.4366159100101121E-4</v>
      </c>
      <c r="N350" s="26">
        <f>N349-Step_h*M349</f>
        <v>4.8166832275005258E-3</v>
      </c>
      <c r="U350" s="2"/>
      <c r="X350" s="2"/>
    </row>
    <row r="351" spans="1:24" x14ac:dyDescent="0.45">
      <c r="A351" s="24">
        <v>3.2800000000000002</v>
      </c>
      <c r="B351" s="24">
        <f>A351+Age</f>
        <v>23.28</v>
      </c>
      <c r="C351" s="19">
        <f>B*c_gom^B351</f>
        <v>2.9740540933276154E-3</v>
      </c>
      <c r="D351" s="19">
        <f t="shared" si="5"/>
        <v>-2.9488997864098579E-3</v>
      </c>
      <c r="E351" s="26">
        <f>E350+Step_h*D350</f>
        <v>0.99154208157336743</v>
      </c>
      <c r="J351" s="24">
        <f>ROUND(J350-Step_h,2)</f>
        <v>6.72</v>
      </c>
      <c r="K351" s="24">
        <f>J351+Age</f>
        <v>26.72</v>
      </c>
      <c r="L351" s="19">
        <f>B*c_gom^K351</f>
        <v>4.0003318160294725E-3</v>
      </c>
      <c r="M351" s="19">
        <f>N351*delta +Prem-L351*(1-N351)</f>
        <v>-7.3982774376501158E-4</v>
      </c>
      <c r="N351" s="26">
        <f>N350-Step_h*M350</f>
        <v>4.8241198434105358E-3</v>
      </c>
      <c r="U351" s="2"/>
      <c r="X351" s="2"/>
    </row>
    <row r="352" spans="1:24" x14ac:dyDescent="0.45">
      <c r="A352" s="24">
        <v>3.29</v>
      </c>
      <c r="B352" s="24">
        <f>A352+Age</f>
        <v>23.29</v>
      </c>
      <c r="C352" s="19">
        <f>B*c_gom^B352</f>
        <v>2.9766181693023238E-3</v>
      </c>
      <c r="D352" s="19">
        <f t="shared" si="5"/>
        <v>-2.9513543981522952E-3</v>
      </c>
      <c r="E352" s="26">
        <f>E351+Step_h*D351</f>
        <v>0.99151259257550328</v>
      </c>
      <c r="J352" s="24">
        <f>ROUND(J351-Step_h,2)</f>
        <v>6.71</v>
      </c>
      <c r="K352" s="24">
        <f>J352+Age</f>
        <v>26.71</v>
      </c>
      <c r="L352" s="19">
        <f>B*c_gom^K352</f>
        <v>3.9968859072440849E-3</v>
      </c>
      <c r="M352" s="19">
        <f>N352*delta +Prem-L352*(1-N352)</f>
        <v>-7.359989745138627E-4</v>
      </c>
      <c r="N352" s="26">
        <f>N351-Step_h*M351</f>
        <v>4.8315181208481855E-3</v>
      </c>
      <c r="U352" s="2"/>
      <c r="X352" s="2"/>
    </row>
    <row r="353" spans="1:24" x14ac:dyDescent="0.45">
      <c r="A353" s="24">
        <v>3.3000000000000003</v>
      </c>
      <c r="B353" s="24">
        <f>A353+Age</f>
        <v>23.3</v>
      </c>
      <c r="C353" s="19">
        <f>B*c_gom^B353</f>
        <v>2.9791844558910282E-3</v>
      </c>
      <c r="D353" s="19">
        <f t="shared" si="5"/>
        <v>-2.9538109773296854E-3</v>
      </c>
      <c r="E353" s="26">
        <f>E352+Step_h*D352</f>
        <v>0.99148307903152177</v>
      </c>
      <c r="J353" s="24">
        <f>ROUND(J352-Step_h,2)</f>
        <v>6.7</v>
      </c>
      <c r="K353" s="24">
        <f>J353+Age</f>
        <v>26.7</v>
      </c>
      <c r="L353" s="19">
        <f>B*c_gom^K353</f>
        <v>3.9934429667843026E-3</v>
      </c>
      <c r="M353" s="19">
        <f>N353*delta +Prem-L353*(1-N353)</f>
        <v>-7.3217527749676109E-4</v>
      </c>
      <c r="N353" s="26">
        <f>N352-Step_h*M352</f>
        <v>4.838878110593324E-3</v>
      </c>
      <c r="U353" s="2"/>
      <c r="X353" s="2"/>
    </row>
    <row r="354" spans="1:24" x14ac:dyDescent="0.45">
      <c r="A354" s="24">
        <v>3.31</v>
      </c>
      <c r="B354" s="24">
        <f>A354+Age</f>
        <v>23.31</v>
      </c>
      <c r="C354" s="19">
        <f>B*c_gom^B354</f>
        <v>2.9817529549996061E-3</v>
      </c>
      <c r="D354" s="19">
        <f t="shared" si="5"/>
        <v>-2.9562695253882464E-3</v>
      </c>
      <c r="E354" s="26">
        <f>E353+Step_h*D353</f>
        <v>0.99145354092174853</v>
      </c>
      <c r="J354" s="24">
        <f>ROUND(J353-Step_h,2)</f>
        <v>6.69</v>
      </c>
      <c r="K354" s="24">
        <f>J354+Age</f>
        <v>26.69</v>
      </c>
      <c r="L354" s="19">
        <f>B*c_gom^K354</f>
        <v>3.9900029920931926E-3</v>
      </c>
      <c r="M354" s="19">
        <f>N354*delta +Prem-L354*(1-N354)</f>
        <v>-7.2835664696965655E-4</v>
      </c>
      <c r="N354" s="26">
        <f>N353-Step_h*M353</f>
        <v>4.8461998633682916E-3</v>
      </c>
      <c r="U354" s="2"/>
      <c r="X354" s="2"/>
    </row>
    <row r="355" spans="1:24" x14ac:dyDescent="0.45">
      <c r="A355" s="24">
        <v>3.3200000000000003</v>
      </c>
      <c r="B355" s="24">
        <f>A355+Age</f>
        <v>23.32</v>
      </c>
      <c r="C355" s="19">
        <f>B*c_gom^B355</f>
        <v>2.9843236685355794E-3</v>
      </c>
      <c r="D355" s="19">
        <f t="shared" si="5"/>
        <v>-2.958730043775031E-3</v>
      </c>
      <c r="E355" s="26">
        <f>E354+Step_h*D354</f>
        <v>0.99142397822649464</v>
      </c>
      <c r="J355" s="24">
        <f>ROUND(J354-Step_h,2)</f>
        <v>6.68</v>
      </c>
      <c r="K355" s="24">
        <f>J355+Age</f>
        <v>26.68</v>
      </c>
      <c r="L355" s="19">
        <f>B*c_gom^K355</f>
        <v>3.9865659806160216E-3</v>
      </c>
      <c r="M355" s="19">
        <f>N355*delta +Prem-L355*(1-N355)</f>
        <v>-7.2454307719524652E-4</v>
      </c>
      <c r="N355" s="26">
        <f>N354-Step_h*M354</f>
        <v>4.8534834298379886E-3</v>
      </c>
      <c r="U355" s="2"/>
      <c r="X355" s="2"/>
    </row>
    <row r="356" spans="1:24" x14ac:dyDescent="0.45">
      <c r="A356" s="24">
        <v>3.33</v>
      </c>
      <c r="B356" s="24">
        <f>A356+Age</f>
        <v>23.33</v>
      </c>
      <c r="C356" s="19">
        <f>B*c_gom^B356</f>
        <v>2.9868965984081101E-3</v>
      </c>
      <c r="D356" s="19">
        <f t="shared" si="5"/>
        <v>-2.9611925339379196E-3</v>
      </c>
      <c r="E356" s="26">
        <f>E355+Step_h*D355</f>
        <v>0.99139439092605686</v>
      </c>
      <c r="J356" s="24">
        <f>ROUND(J355-Step_h,2)</f>
        <v>6.67</v>
      </c>
      <c r="K356" s="24">
        <f>J356+Age</f>
        <v>26.67</v>
      </c>
      <c r="L356" s="19">
        <f>B*c_gom^K356</f>
        <v>3.9831319298002663E-3</v>
      </c>
      <c r="M356" s="19">
        <f>N356*delta +Prem-L356*(1-N356)</f>
        <v>-7.2073456244297219E-4</v>
      </c>
      <c r="N356" s="26">
        <f>N355-Step_h*M355</f>
        <v>4.8607288606099409E-3</v>
      </c>
      <c r="U356" s="2"/>
      <c r="X356" s="2"/>
    </row>
    <row r="357" spans="1:24" x14ac:dyDescent="0.45">
      <c r="A357" s="24">
        <v>3.34</v>
      </c>
      <c r="B357" s="24">
        <f>A357+Age</f>
        <v>23.34</v>
      </c>
      <c r="C357" s="19">
        <f>B*c_gom^B357</f>
        <v>2.9894717465280109E-3</v>
      </c>
      <c r="D357" s="19">
        <f t="shared" si="5"/>
        <v>-2.9636569973256303E-3</v>
      </c>
      <c r="E357" s="26">
        <f>E356+Step_h*D356</f>
        <v>0.99136477900071751</v>
      </c>
      <c r="J357" s="24">
        <f>ROUND(J356-Step_h,2)</f>
        <v>6.66</v>
      </c>
      <c r="K357" s="24">
        <f>J357+Age</f>
        <v>26.66</v>
      </c>
      <c r="L357" s="19">
        <f>B*c_gom^K357</f>
        <v>3.9797008370955917E-3</v>
      </c>
      <c r="M357" s="19">
        <f>N357*delta +Prem-L357*(1-N357)</f>
        <v>-7.1693109698899374E-4</v>
      </c>
      <c r="N357" s="26">
        <f>N356-Step_h*M356</f>
        <v>4.8679362062343705E-3</v>
      </c>
      <c r="U357" s="2"/>
      <c r="X357" s="2"/>
    </row>
    <row r="358" spans="1:24" x14ac:dyDescent="0.45">
      <c r="A358" s="24">
        <v>3.35</v>
      </c>
      <c r="B358" s="24">
        <f>A358+Age</f>
        <v>23.35</v>
      </c>
      <c r="C358" s="19">
        <f>B*c_gom^B358</f>
        <v>2.992049114807742E-3</v>
      </c>
      <c r="D358" s="19">
        <f t="shared" si="5"/>
        <v>-2.9661234353877152E-3</v>
      </c>
      <c r="E358" s="26">
        <f>E357+Step_h*D357</f>
        <v>0.99133514243074428</v>
      </c>
      <c r="J358" s="24">
        <f>ROUND(J357-Step_h,2)</f>
        <v>6.65</v>
      </c>
      <c r="K358" s="24">
        <f>J358+Age</f>
        <v>26.65</v>
      </c>
      <c r="L358" s="19">
        <f>B*c_gom^K358</f>
        <v>3.9762726999538634E-3</v>
      </c>
      <c r="M358" s="19">
        <f>N358*delta +Prem-L358*(1-N358)</f>
        <v>-7.1313267511619646E-4</v>
      </c>
      <c r="N358" s="26">
        <f>N357-Step_h*M357</f>
        <v>4.8751055172042606E-3</v>
      </c>
      <c r="U358" s="2"/>
      <c r="X358" s="2"/>
    </row>
    <row r="359" spans="1:24" x14ac:dyDescent="0.45">
      <c r="A359" s="24">
        <v>3.36</v>
      </c>
      <c r="B359" s="24">
        <f>A359+Age</f>
        <v>23.36</v>
      </c>
      <c r="C359" s="19">
        <f>B*c_gom^B359</f>
        <v>2.9946287051614067E-3</v>
      </c>
      <c r="D359" s="19">
        <f t="shared" si="5"/>
        <v>-2.9685918495745518E-3</v>
      </c>
      <c r="E359" s="26">
        <f>E358+Step_h*D358</f>
        <v>0.99130548119639039</v>
      </c>
      <c r="J359" s="24">
        <f>ROUND(J358-Step_h,2)</f>
        <v>6.64</v>
      </c>
      <c r="K359" s="24">
        <f>J359+Age</f>
        <v>26.64</v>
      </c>
      <c r="L359" s="19">
        <f>B*c_gom^K359</f>
        <v>3.9728475158291457E-3</v>
      </c>
      <c r="M359" s="19">
        <f>N359*delta +Prem-L359*(1-N359)</f>
        <v>-7.093392911141764E-4</v>
      </c>
      <c r="N359" s="26">
        <f>N358-Step_h*M358</f>
        <v>4.8822368439554228E-3</v>
      </c>
      <c r="U359" s="2"/>
      <c r="X359" s="2"/>
    </row>
    <row r="360" spans="1:24" x14ac:dyDescent="0.45">
      <c r="A360" s="24">
        <v>3.37</v>
      </c>
      <c r="B360" s="24">
        <f>A360+Age</f>
        <v>23.37</v>
      </c>
      <c r="C360" s="19">
        <f>B*c_gom^B360</f>
        <v>2.9972105195047649E-3</v>
      </c>
      <c r="D360" s="19">
        <f t="shared" si="5"/>
        <v>-2.9710622413373577E-3</v>
      </c>
      <c r="E360" s="26">
        <f>E359+Step_h*D359</f>
        <v>0.99127579527789467</v>
      </c>
      <c r="J360" s="24">
        <f>ROUND(J359-Step_h,2)</f>
        <v>6.63</v>
      </c>
      <c r="K360" s="24">
        <f>J360+Age</f>
        <v>26.63</v>
      </c>
      <c r="L360" s="19">
        <f>B*c_gom^K360</f>
        <v>3.9694252821776913E-3</v>
      </c>
      <c r="M360" s="19">
        <f>N360*delta +Prem-L360*(1-N360)</f>
        <v>-7.0555093927922872E-4</v>
      </c>
      <c r="N360" s="26">
        <f>N359-Step_h*M359</f>
        <v>4.8893302368665644E-3</v>
      </c>
      <c r="U360" s="2"/>
      <c r="X360" s="2"/>
    </row>
    <row r="361" spans="1:24" x14ac:dyDescent="0.45">
      <c r="A361" s="24">
        <v>3.38</v>
      </c>
      <c r="B361" s="24">
        <f>A361+Age</f>
        <v>23.38</v>
      </c>
      <c r="C361" s="19">
        <f>B*c_gom^B361</f>
        <v>2.9997945597552249E-3</v>
      </c>
      <c r="D361" s="19">
        <f t="shared" si="5"/>
        <v>-2.9735346121281796E-3</v>
      </c>
      <c r="E361" s="26">
        <f>E360+Step_h*D360</f>
        <v>0.99124608465548125</v>
      </c>
      <c r="J361" s="24">
        <f>ROUND(J360-Step_h,2)</f>
        <v>6.62</v>
      </c>
      <c r="K361" s="24">
        <f>J361+Age</f>
        <v>26.62</v>
      </c>
      <c r="L361" s="19">
        <f>B*c_gom^K361</f>
        <v>3.9660059964579455E-3</v>
      </c>
      <c r="M361" s="19">
        <f>N361*delta +Prem-L361*(1-N361)</f>
        <v>-7.0176761391434195E-4</v>
      </c>
      <c r="N361" s="26">
        <f>N360-Step_h*M360</f>
        <v>4.8963857462593569E-3</v>
      </c>
      <c r="U361" s="2"/>
      <c r="X361" s="2"/>
    </row>
    <row r="362" spans="1:24" x14ac:dyDescent="0.45">
      <c r="A362" s="24">
        <v>3.39</v>
      </c>
      <c r="B362" s="24">
        <f>A362+Age</f>
        <v>23.39</v>
      </c>
      <c r="C362" s="19">
        <f>B*c_gom^B362</f>
        <v>3.0023808278318515E-3</v>
      </c>
      <c r="D362" s="19">
        <f t="shared" si="5"/>
        <v>-2.976008963399902E-3</v>
      </c>
      <c r="E362" s="26">
        <f>E361+Step_h*D361</f>
        <v>0.99121634930935998</v>
      </c>
      <c r="J362" s="24">
        <f>ROUND(J361-Step_h,2)</f>
        <v>6.61</v>
      </c>
      <c r="K362" s="24">
        <f>J362+Age</f>
        <v>26.61</v>
      </c>
      <c r="L362" s="19">
        <f>B*c_gom^K362</f>
        <v>3.9625896561305413E-3</v>
      </c>
      <c r="M362" s="19">
        <f>N362*delta +Prem-L362*(1-N362)</f>
        <v>-6.9798930932918508E-4</v>
      </c>
      <c r="N362" s="26">
        <f>N361-Step_h*M361</f>
        <v>4.9034034223985005E-3</v>
      </c>
      <c r="U362" s="2"/>
      <c r="X362" s="2"/>
    </row>
    <row r="363" spans="1:24" x14ac:dyDescent="0.45">
      <c r="A363" s="24">
        <v>3.4</v>
      </c>
      <c r="B363" s="24">
        <f>A363+Age</f>
        <v>23.4</v>
      </c>
      <c r="C363" s="19">
        <f>B*c_gom^B363</f>
        <v>3.0049693256553574E-3</v>
      </c>
      <c r="D363" s="19">
        <f t="shared" si="5"/>
        <v>-2.9784852966062338E-3</v>
      </c>
      <c r="E363" s="26">
        <f>E362+Step_h*D362</f>
        <v>0.99118658921972602</v>
      </c>
      <c r="J363" s="24">
        <f>ROUND(J362-Step_h,2)</f>
        <v>6.6</v>
      </c>
      <c r="K363" s="24">
        <f>J363+Age</f>
        <v>26.6</v>
      </c>
      <c r="L363" s="19">
        <f>B*c_gom^K363</f>
        <v>3.9591762586583049E-3</v>
      </c>
      <c r="M363" s="19">
        <f>N363*delta +Prem-L363*(1-N363)</f>
        <v>-6.9421601984010796E-4</v>
      </c>
      <c r="N363" s="26">
        <f>N362-Step_h*M362</f>
        <v>4.9103833154917923E-3</v>
      </c>
      <c r="U363" s="2"/>
      <c r="X363" s="2"/>
    </row>
    <row r="364" spans="1:24" x14ac:dyDescent="0.45">
      <c r="A364" s="24">
        <v>3.41</v>
      </c>
      <c r="B364" s="24">
        <f>A364+Age</f>
        <v>23.41</v>
      </c>
      <c r="C364" s="19">
        <f>B*c_gom^B364</f>
        <v>3.0075600551481177E-3</v>
      </c>
      <c r="D364" s="19">
        <f t="shared" si="5"/>
        <v>-2.9809636132017247E-3</v>
      </c>
      <c r="E364" s="26">
        <f>E363+Step_h*D363</f>
        <v>0.99115680436676001</v>
      </c>
      <c r="J364" s="24">
        <f>ROUND(J363-Step_h,2)</f>
        <v>6.59</v>
      </c>
      <c r="K364" s="24">
        <f>J364+Age</f>
        <v>26.59</v>
      </c>
      <c r="L364" s="19">
        <f>B*c_gom^K364</f>
        <v>3.9557658015062407E-3</v>
      </c>
      <c r="M364" s="19">
        <f>N364*delta +Prem-L364*(1-N364)</f>
        <v>-6.9044773977011958E-4</v>
      </c>
      <c r="N364" s="26">
        <f>N363-Step_h*M363</f>
        <v>4.9173254756901931E-3</v>
      </c>
      <c r="U364" s="2"/>
      <c r="X364" s="2"/>
    </row>
    <row r="365" spans="1:24" x14ac:dyDescent="0.45">
      <c r="A365" s="24">
        <v>3.42</v>
      </c>
      <c r="B365" s="24">
        <f>A365+Age</f>
        <v>23.42</v>
      </c>
      <c r="C365" s="19">
        <f>B*c_gom^B365</f>
        <v>3.0101530182341635E-3</v>
      </c>
      <c r="D365" s="19">
        <f t="shared" si="5"/>
        <v>-2.9834439146417557E-3</v>
      </c>
      <c r="E365" s="26">
        <f>E364+Step_h*D364</f>
        <v>0.99112699473062804</v>
      </c>
      <c r="J365" s="24">
        <f>ROUND(J364-Step_h,2)</f>
        <v>6.58</v>
      </c>
      <c r="K365" s="24">
        <f>J365+Age</f>
        <v>26.58</v>
      </c>
      <c r="L365" s="19">
        <f>B*c_gom^K365</f>
        <v>3.9523582821415389E-3</v>
      </c>
      <c r="M365" s="19">
        <f>N365*delta +Prem-L365*(1-N365)</f>
        <v>-6.8668446344888768E-4</v>
      </c>
      <c r="N365" s="26">
        <f>N364-Step_h*M364</f>
        <v>4.9242299530878946E-3</v>
      </c>
      <c r="U365" s="2"/>
      <c r="X365" s="2"/>
    </row>
    <row r="366" spans="1:24" x14ac:dyDescent="0.45">
      <c r="A366" s="24">
        <v>3.43</v>
      </c>
      <c r="B366" s="24">
        <f>A366+Age</f>
        <v>23.43</v>
      </c>
      <c r="C366" s="19">
        <f>B*c_gom^B366</f>
        <v>3.0127482168391807E-3</v>
      </c>
      <c r="D366" s="19">
        <f t="shared" si="5"/>
        <v>-2.9859262023825368E-3</v>
      </c>
      <c r="E366" s="26">
        <f>E365+Step_h*D365</f>
        <v>0.99109716029148165</v>
      </c>
      <c r="J366" s="24">
        <f>ROUND(J365-Step_h,2)</f>
        <v>6.57</v>
      </c>
      <c r="K366" s="24">
        <f>J366+Age</f>
        <v>26.57</v>
      </c>
      <c r="L366" s="19">
        <f>B*c_gom^K366</f>
        <v>3.948953698033577E-3</v>
      </c>
      <c r="M366" s="19">
        <f>N366*delta +Prem-L366*(1-N366)</f>
        <v>-6.8292618521273007E-4</v>
      </c>
      <c r="N366" s="26">
        <f>N365-Step_h*M365</f>
        <v>4.9310967977223832E-3</v>
      </c>
      <c r="U366" s="2"/>
      <c r="X366" s="2"/>
    </row>
    <row r="367" spans="1:24" x14ac:dyDescent="0.45">
      <c r="A367" s="24">
        <v>3.44</v>
      </c>
      <c r="B367" s="24">
        <f>A367+Age</f>
        <v>23.44</v>
      </c>
      <c r="C367" s="19">
        <f>B*c_gom^B367</f>
        <v>3.0153456528905203E-3</v>
      </c>
      <c r="D367" s="19">
        <f t="shared" si="5"/>
        <v>-2.9884104778811166E-3</v>
      </c>
      <c r="E367" s="26">
        <f>E366+Step_h*D366</f>
        <v>0.99106730102945784</v>
      </c>
      <c r="J367" s="24">
        <f>ROUND(J366-Step_h,2)</f>
        <v>6.56</v>
      </c>
      <c r="K367" s="24">
        <f>J367+Age</f>
        <v>26.56</v>
      </c>
      <c r="L367" s="19">
        <f>B*c_gom^K367</f>
        <v>3.9455520466539044E-3</v>
      </c>
      <c r="M367" s="19">
        <f>N367*delta +Prem-L367*(1-N367)</f>
        <v>-6.79172899404599E-4</v>
      </c>
      <c r="N367" s="26">
        <f>N366-Step_h*M366</f>
        <v>4.9379260595745107E-3</v>
      </c>
      <c r="U367" s="2"/>
      <c r="X367" s="2"/>
    </row>
    <row r="368" spans="1:24" x14ac:dyDescent="0.45">
      <c r="A368" s="24">
        <v>3.45</v>
      </c>
      <c r="B368" s="24">
        <f>A368+Age</f>
        <v>23.45</v>
      </c>
      <c r="C368" s="19">
        <f>B*c_gom^B368</f>
        <v>3.0179453283171926E-3</v>
      </c>
      <c r="D368" s="19">
        <f t="shared" si="5"/>
        <v>-2.990896742595373E-3</v>
      </c>
      <c r="E368" s="26">
        <f>E367+Step_h*D367</f>
        <v>0.99103741692467906</v>
      </c>
      <c r="J368" s="24">
        <f>ROUND(J367-Step_h,2)</f>
        <v>6.55</v>
      </c>
      <c r="K368" s="24">
        <f>J368+Age</f>
        <v>26.55</v>
      </c>
      <c r="L368" s="19">
        <f>B*c_gom^K368</f>
        <v>3.9421533254762548E-3</v>
      </c>
      <c r="M368" s="19">
        <f>N368*delta +Prem-L368*(1-N368)</f>
        <v>-6.754246003740803E-4</v>
      </c>
      <c r="N368" s="26">
        <f>N367-Step_h*M367</f>
        <v>4.9447177885685563E-3</v>
      </c>
      <c r="U368" s="2"/>
      <c r="X368" s="2"/>
    </row>
    <row r="369" spans="1:24" x14ac:dyDescent="0.45">
      <c r="A369" s="24">
        <v>3.46</v>
      </c>
      <c r="B369" s="24">
        <f>A369+Age</f>
        <v>23.46</v>
      </c>
      <c r="C369" s="19">
        <f>B*c_gom^B369</f>
        <v>3.0205472450498725E-3</v>
      </c>
      <c r="D369" s="19">
        <f t="shared" si="5"/>
        <v>-2.9933849979840205E-3</v>
      </c>
      <c r="E369" s="26">
        <f>E368+Step_h*D368</f>
        <v>0.99100750795725312</v>
      </c>
      <c r="J369" s="24">
        <f>ROUND(J368-Step_h,2)</f>
        <v>6.54</v>
      </c>
      <c r="K369" s="24">
        <f>J369+Age</f>
        <v>26.54</v>
      </c>
      <c r="L369" s="19">
        <f>B*c_gom^K369</f>
        <v>3.9387575319765316E-3</v>
      </c>
      <c r="M369" s="19">
        <f>N369*delta +Prem-L369*(1-N369)</f>
        <v>-6.7168128247737432E-4</v>
      </c>
      <c r="N369" s="26">
        <f>N368-Step_h*M368</f>
        <v>4.9514720345722974E-3</v>
      </c>
      <c r="U369" s="2"/>
      <c r="X369" s="2"/>
    </row>
    <row r="370" spans="1:24" x14ac:dyDescent="0.45">
      <c r="A370" s="24">
        <v>3.47</v>
      </c>
      <c r="B370" s="24">
        <f>A370+Age</f>
        <v>23.47</v>
      </c>
      <c r="C370" s="19">
        <f>B*c_gom^B370</f>
        <v>3.0231514050208953E-3</v>
      </c>
      <c r="D370" s="19">
        <f t="shared" si="5"/>
        <v>-2.9958752455066014E-3</v>
      </c>
      <c r="E370" s="26">
        <f>E369+Step_h*D369</f>
        <v>0.99097757410727327</v>
      </c>
      <c r="J370" s="24">
        <f>ROUND(J369-Step_h,2)</f>
        <v>6.53</v>
      </c>
      <c r="K370" s="24">
        <f>J370+Age</f>
        <v>26.53</v>
      </c>
      <c r="L370" s="19">
        <f>B*c_gom^K370</f>
        <v>3.9353646636328217E-3</v>
      </c>
      <c r="M370" s="19">
        <f>N370*delta +Prem-L370*(1-N370)</f>
        <v>-6.6794294007730282E-4</v>
      </c>
      <c r="N370" s="26">
        <f>N369-Step_h*M369</f>
        <v>4.9581888473970714E-3</v>
      </c>
      <c r="U370" s="2"/>
      <c r="X370" s="2"/>
    </row>
    <row r="371" spans="1:24" x14ac:dyDescent="0.45">
      <c r="A371" s="24">
        <v>3.48</v>
      </c>
      <c r="B371" s="24">
        <f>A371+Age</f>
        <v>23.48</v>
      </c>
      <c r="C371" s="19">
        <f>B*c_gom^B371</f>
        <v>3.0257578101642699E-3</v>
      </c>
      <c r="D371" s="19">
        <f t="shared" si="5"/>
        <v>-2.9983674866235002E-3</v>
      </c>
      <c r="E371" s="26">
        <f>E370+Step_h*D370</f>
        <v>0.99094761535481823</v>
      </c>
      <c r="J371" s="24">
        <f>ROUND(J370-Step_h,2)</f>
        <v>6.52</v>
      </c>
      <c r="K371" s="24">
        <f>J371+Age</f>
        <v>26.52</v>
      </c>
      <c r="L371" s="19">
        <f>B*c_gom^K371</f>
        <v>3.9319747179253723E-3</v>
      </c>
      <c r="M371" s="19">
        <f>N371*delta +Prem-L371*(1-N371)</f>
        <v>-6.6420956754328171E-4</v>
      </c>
      <c r="N371" s="26">
        <f>N370-Step_h*M370</f>
        <v>4.9648682767978441E-3</v>
      </c>
      <c r="U371" s="2"/>
      <c r="X371" s="2"/>
    </row>
    <row r="372" spans="1:24" x14ac:dyDescent="0.45">
      <c r="A372" s="24">
        <v>3.49</v>
      </c>
      <c r="B372" s="24">
        <f>A372+Age</f>
        <v>23.490000000000002</v>
      </c>
      <c r="C372" s="19">
        <f>B*c_gom^B372</f>
        <v>3.0283664624156659E-3</v>
      </c>
      <c r="D372" s="19">
        <f t="shared" si="5"/>
        <v>-3.000861722795926E-3</v>
      </c>
      <c r="E372" s="26">
        <f>E371+Step_h*D371</f>
        <v>0.99091763167995195</v>
      </c>
      <c r="J372" s="24">
        <f>ROUND(J371-Step_h,2)</f>
        <v>6.51</v>
      </c>
      <c r="K372" s="24">
        <f>J372+Age</f>
        <v>26.509999999999998</v>
      </c>
      <c r="L372" s="19">
        <f>B*c_gom^K372</f>
        <v>3.9285876923366115E-3</v>
      </c>
      <c r="M372" s="19">
        <f>N372*delta +Prem-L372*(1-N372)</f>
        <v>-6.6048115925132576E-4</v>
      </c>
      <c r="N372" s="26">
        <f>N371-Step_h*M371</f>
        <v>4.9715103724732772E-3</v>
      </c>
      <c r="U372" s="2"/>
      <c r="X372" s="2"/>
    </row>
    <row r="373" spans="1:24" x14ac:dyDescent="0.45">
      <c r="A373" s="24">
        <v>3.5</v>
      </c>
      <c r="B373" s="24">
        <f>A373+Age</f>
        <v>23.5</v>
      </c>
      <c r="C373" s="19">
        <f>B*c_gom^B373</f>
        <v>3.0309773637124207E-3</v>
      </c>
      <c r="D373" s="19">
        <f t="shared" si="5"/>
        <v>-3.0033579554859221E-3</v>
      </c>
      <c r="E373" s="26">
        <f>E372+Step_h*D372</f>
        <v>0.99088762306272404</v>
      </c>
      <c r="J373" s="24">
        <f>ROUND(J372-Step_h,2)</f>
        <v>6.5</v>
      </c>
      <c r="K373" s="24">
        <f>J373+Age</f>
        <v>26.5</v>
      </c>
      <c r="L373" s="19">
        <f>B*c_gom^K373</f>
        <v>3.9252035843511347E-3</v>
      </c>
      <c r="M373" s="19">
        <f>N373*delta +Prem-L373*(1-N373)</f>
        <v>-6.5675770958403736E-4</v>
      </c>
      <c r="N373" s="26">
        <f>N372-Step_h*M372</f>
        <v>4.9781151840657904E-3</v>
      </c>
      <c r="U373" s="2"/>
      <c r="X373" s="2"/>
    </row>
    <row r="374" spans="1:24" x14ac:dyDescent="0.45">
      <c r="A374" s="24">
        <v>3.5100000000000002</v>
      </c>
      <c r="B374" s="24">
        <f>A374+Age</f>
        <v>23.51</v>
      </c>
      <c r="C374" s="19">
        <f>B*c_gom^B374</f>
        <v>3.0335905159935509E-3</v>
      </c>
      <c r="D374" s="19">
        <f t="shared" si="5"/>
        <v>-3.0058561861563732E-3</v>
      </c>
      <c r="E374" s="26">
        <f>E373+Step_h*D373</f>
        <v>0.99085758948316915</v>
      </c>
      <c r="J374" s="24">
        <f>ROUND(J373-Step_h,2)</f>
        <v>6.49</v>
      </c>
      <c r="K374" s="24">
        <f>J374+Age</f>
        <v>26.490000000000002</v>
      </c>
      <c r="L374" s="19">
        <f>B*c_gom^K374</f>
        <v>3.9218223914556979E-3</v>
      </c>
      <c r="M374" s="19">
        <f>N374*delta +Prem-L374*(1-N374)</f>
        <v>-6.5303921293058962E-4</v>
      </c>
      <c r="N374" s="26">
        <f>N373-Step_h*M373</f>
        <v>4.9846827611616309E-3</v>
      </c>
      <c r="U374" s="2"/>
      <c r="X374" s="2"/>
    </row>
    <row r="375" spans="1:24" x14ac:dyDescent="0.45">
      <c r="A375" s="24">
        <v>3.52</v>
      </c>
      <c r="B375" s="24">
        <f>A375+Age</f>
        <v>23.52</v>
      </c>
      <c r="C375" s="19">
        <f>B*c_gom^B375</f>
        <v>3.0362059211997351E-3</v>
      </c>
      <c r="D375" s="19">
        <f t="shared" si="5"/>
        <v>-3.008356416270988E-3</v>
      </c>
      <c r="E375" s="26">
        <f>E374+Step_h*D374</f>
        <v>0.9908275309213076</v>
      </c>
      <c r="J375" s="24">
        <f>ROUND(J374-Step_h,2)</f>
        <v>6.48</v>
      </c>
      <c r="K375" s="24">
        <f>J375+Age</f>
        <v>26.48</v>
      </c>
      <c r="L375" s="19">
        <f>B*c_gom^K375</f>
        <v>3.9184441111392247E-3</v>
      </c>
      <c r="M375" s="19">
        <f>N375*delta +Prem-L375*(1-N375)</f>
        <v>-6.4932566368672414E-4</v>
      </c>
      <c r="N375" s="26">
        <f>N374-Step_h*M374</f>
        <v>4.9912131532909368E-3</v>
      </c>
      <c r="U375" s="2"/>
      <c r="X375" s="2"/>
    </row>
    <row r="376" spans="1:24" x14ac:dyDescent="0.45">
      <c r="A376" s="24">
        <v>3.5300000000000002</v>
      </c>
      <c r="B376" s="24">
        <f>A376+Age</f>
        <v>23.53</v>
      </c>
      <c r="C376" s="19">
        <f>B*c_gom^B376</f>
        <v>3.0388235812733298E-3</v>
      </c>
      <c r="D376" s="19">
        <f t="shared" si="5"/>
        <v>-3.0108586472943127E-3</v>
      </c>
      <c r="E376" s="26">
        <f>E375+Step_h*D375</f>
        <v>0.99079744735714492</v>
      </c>
      <c r="J376" s="24">
        <f>ROUND(J375-Step_h,2)</f>
        <v>6.47</v>
      </c>
      <c r="K376" s="24">
        <f>J376+Age</f>
        <v>26.47</v>
      </c>
      <c r="L376" s="19">
        <f>B*c_gom^K376</f>
        <v>3.915068740892807E-3</v>
      </c>
      <c r="M376" s="19">
        <f>N376*delta +Prem-L376*(1-N376)</f>
        <v>-6.4561705625474849E-4</v>
      </c>
      <c r="N376" s="26">
        <f>N375-Step_h*M375</f>
        <v>4.9977064099278037E-3</v>
      </c>
      <c r="U376" s="2"/>
      <c r="X376" s="2"/>
    </row>
    <row r="377" spans="1:24" x14ac:dyDescent="0.45">
      <c r="A377" s="24">
        <v>3.54</v>
      </c>
      <c r="B377" s="24">
        <f>A377+Age</f>
        <v>23.54</v>
      </c>
      <c r="C377" s="19">
        <f>B*c_gom^B377</f>
        <v>3.0414434981583657E-3</v>
      </c>
      <c r="D377" s="19">
        <f t="shared" si="5"/>
        <v>-3.0133628806917273E-3</v>
      </c>
      <c r="E377" s="26">
        <f>E376+Step_h*D376</f>
        <v>0.99076733877067202</v>
      </c>
      <c r="J377" s="24">
        <f>ROUND(J376-Step_h,2)</f>
        <v>6.46</v>
      </c>
      <c r="K377" s="24">
        <f>J377+Age</f>
        <v>26.46</v>
      </c>
      <c r="L377" s="19">
        <f>B*c_gom^K377</f>
        <v>3.9116962782096924E-3</v>
      </c>
      <c r="M377" s="19">
        <f>N377*delta +Prem-L377*(1-N377)</f>
        <v>-6.4191338504351447E-4</v>
      </c>
      <c r="N377" s="26">
        <f>N376-Step_h*M376</f>
        <v>5.0041625804903515E-3</v>
      </c>
      <c r="U377" s="2"/>
      <c r="X377" s="2"/>
    </row>
    <row r="378" spans="1:24" x14ac:dyDescent="0.45">
      <c r="A378" s="24">
        <v>3.5500000000000003</v>
      </c>
      <c r="B378" s="24">
        <f>A378+Age</f>
        <v>23.55</v>
      </c>
      <c r="C378" s="19">
        <f>B*c_gom^B378</f>
        <v>3.0440656738005508E-3</v>
      </c>
      <c r="D378" s="19">
        <f t="shared" si="5"/>
        <v>-3.0158691179294462E-3</v>
      </c>
      <c r="E378" s="26">
        <f>E377+Step_h*D377</f>
        <v>0.99073720514186514</v>
      </c>
      <c r="J378" s="24">
        <f>ROUND(J377-Step_h,2)</f>
        <v>6.45</v>
      </c>
      <c r="K378" s="24">
        <f>J378+Age</f>
        <v>26.45</v>
      </c>
      <c r="L378" s="19">
        <f>B*c_gom^K378</f>
        <v>3.908326720585286E-3</v>
      </c>
      <c r="M378" s="19">
        <f>N378*delta +Prem-L378*(1-N378)</f>
        <v>-6.3821464446841289E-4</v>
      </c>
      <c r="N378" s="26">
        <f>N377-Step_h*M377</f>
        <v>5.0105817143407862E-3</v>
      </c>
      <c r="U378" s="2"/>
      <c r="X378" s="2"/>
    </row>
    <row r="379" spans="1:24" x14ac:dyDescent="0.45">
      <c r="A379" s="24">
        <v>3.56</v>
      </c>
      <c r="B379" s="24">
        <f>A379+Age</f>
        <v>23.56</v>
      </c>
      <c r="C379" s="19">
        <f>B*c_gom^B379</f>
        <v>3.0466901101472662E-3</v>
      </c>
      <c r="D379" s="19">
        <f t="shared" si="5"/>
        <v>-3.0183773604745127E-3</v>
      </c>
      <c r="E379" s="26">
        <f>E378+Step_h*D378</f>
        <v>0.99070704645068586</v>
      </c>
      <c r="J379" s="24">
        <f>ROUND(J378-Step_h,2)</f>
        <v>6.44</v>
      </c>
      <c r="K379" s="24">
        <f>J379+Age</f>
        <v>26.44</v>
      </c>
      <c r="L379" s="19">
        <f>B*c_gom^K379</f>
        <v>3.9049600655171584E-3</v>
      </c>
      <c r="M379" s="19">
        <f>N379*delta +Prem-L379*(1-N379)</f>
        <v>-6.3452082895137495E-4</v>
      </c>
      <c r="N379" s="26">
        <f>N378-Step_h*M378</f>
        <v>5.01696386078547E-3</v>
      </c>
      <c r="U379" s="2"/>
      <c r="X379" s="2"/>
    </row>
    <row r="380" spans="1:24" x14ac:dyDescent="0.45">
      <c r="A380" s="24">
        <v>3.5700000000000003</v>
      </c>
      <c r="B380" s="24">
        <f>A380+Age</f>
        <v>23.57</v>
      </c>
      <c r="C380" s="19">
        <f>B*c_gom^B380</f>
        <v>3.0493168091475756E-3</v>
      </c>
      <c r="D380" s="19">
        <f t="shared" si="5"/>
        <v>-3.0208876097948078E-3</v>
      </c>
      <c r="E380" s="26">
        <f>E379+Step_h*D379</f>
        <v>0.9906768626770811</v>
      </c>
      <c r="J380" s="24">
        <f>ROUND(J379-Step_h,2)</f>
        <v>6.43</v>
      </c>
      <c r="K380" s="24">
        <f>J380+Age</f>
        <v>26.43</v>
      </c>
      <c r="L380" s="19">
        <f>B*c_gom^K380</f>
        <v>3.9015963105050286E-3</v>
      </c>
      <c r="M380" s="19">
        <f>N380*delta +Prem-L380*(1-N380)</f>
        <v>-6.3083193292085005E-4</v>
      </c>
      <c r="N380" s="26">
        <f>N379-Step_h*M379</f>
        <v>5.0233090690749837E-3</v>
      </c>
      <c r="U380" s="2"/>
      <c r="X380" s="2"/>
    </row>
    <row r="381" spans="1:24" x14ac:dyDescent="0.45">
      <c r="A381" s="24">
        <v>3.58</v>
      </c>
      <c r="B381" s="24">
        <f>A381+Age</f>
        <v>23.58</v>
      </c>
      <c r="C381" s="19">
        <f>B*c_gom^B381</f>
        <v>3.0519457727522224E-3</v>
      </c>
      <c r="D381" s="19">
        <f t="shared" si="5"/>
        <v>-3.0233998673590448E-3</v>
      </c>
      <c r="E381" s="26">
        <f>E380+Step_h*D380</f>
        <v>0.99064665380098316</v>
      </c>
      <c r="J381" s="24">
        <f>ROUND(J380-Step_h,2)</f>
        <v>6.42</v>
      </c>
      <c r="K381" s="24">
        <f>J381+Age</f>
        <v>26.42</v>
      </c>
      <c r="L381" s="19">
        <f>B*c_gom^K381</f>
        <v>3.8982354530507717E-3</v>
      </c>
      <c r="M381" s="19">
        <f>N381*delta +Prem-L381*(1-N381)</f>
        <v>-6.2714795081180406E-4</v>
      </c>
      <c r="N381" s="26">
        <f>N380-Step_h*M380</f>
        <v>5.0296173884041926E-3</v>
      </c>
      <c r="U381" s="2"/>
      <c r="X381" s="2"/>
    </row>
    <row r="382" spans="1:24" x14ac:dyDescent="0.45">
      <c r="A382" s="24">
        <v>3.59</v>
      </c>
      <c r="B382" s="24">
        <f>A382+Age</f>
        <v>23.59</v>
      </c>
      <c r="C382" s="19">
        <f>B*c_gom^B382</f>
        <v>3.0545770029136335E-3</v>
      </c>
      <c r="D382" s="19">
        <f t="shared" si="5"/>
        <v>-3.0259141346367724E-3</v>
      </c>
      <c r="E382" s="26">
        <f>E381+Step_h*D381</f>
        <v>0.99061641980230952</v>
      </c>
      <c r="J382" s="24">
        <f>ROUND(J381-Step_h,2)</f>
        <v>6.41</v>
      </c>
      <c r="K382" s="24">
        <f>J382+Age</f>
        <v>26.41</v>
      </c>
      <c r="L382" s="19">
        <f>B*c_gom^K382</f>
        <v>3.8948774906584129E-3</v>
      </c>
      <c r="M382" s="19">
        <f>N382*delta +Prem-L382*(1-N382)</f>
        <v>-6.2346887706570854E-4</v>
      </c>
      <c r="N382" s="26">
        <f>N381-Step_h*M381</f>
        <v>5.0358888679123102E-3</v>
      </c>
      <c r="U382" s="2"/>
      <c r="X382" s="2"/>
    </row>
    <row r="383" spans="1:24" x14ac:dyDescent="0.45">
      <c r="A383" s="24">
        <v>3.6</v>
      </c>
      <c r="B383" s="24">
        <f>A383+Age</f>
        <v>23.6</v>
      </c>
      <c r="C383" s="19">
        <f>B*c_gom^B383</f>
        <v>3.0572105015859133E-3</v>
      </c>
      <c r="D383" s="19">
        <f t="shared" si="5"/>
        <v>-3.0284304130983675E-3</v>
      </c>
      <c r="E383" s="26">
        <f>E382+Step_h*D382</f>
        <v>0.99058616066096317</v>
      </c>
      <c r="J383" s="24">
        <f>ROUND(J382-Step_h,2)</f>
        <v>6.4</v>
      </c>
      <c r="K383" s="24">
        <f>J383+Age</f>
        <v>26.4</v>
      </c>
      <c r="L383" s="19">
        <f>B*c_gom^K383</f>
        <v>3.8915224208341329E-3</v>
      </c>
      <c r="M383" s="19">
        <f>N383*delta +Prem-L383*(1-N383)</f>
        <v>-6.1979470613053676E-4</v>
      </c>
      <c r="N383" s="26">
        <f>N382-Step_h*M382</f>
        <v>5.042123556682967E-3</v>
      </c>
      <c r="U383" s="2"/>
      <c r="X383" s="2"/>
    </row>
    <row r="384" spans="1:24" x14ac:dyDescent="0.45">
      <c r="A384" s="24">
        <v>3.61</v>
      </c>
      <c r="B384" s="24">
        <f>A384+Age</f>
        <v>23.61</v>
      </c>
      <c r="C384" s="19">
        <f>B*c_gom^B384</f>
        <v>3.0598462707248572E-3</v>
      </c>
      <c r="D384" s="19">
        <f t="shared" si="5"/>
        <v>-3.0309487042150455E-3</v>
      </c>
      <c r="E384" s="26">
        <f>E383+Step_h*D383</f>
        <v>0.99055587635683218</v>
      </c>
      <c r="J384" s="24">
        <f>ROUND(J383-Step_h,2)</f>
        <v>6.39</v>
      </c>
      <c r="K384" s="24">
        <f>J384+Age</f>
        <v>26.39</v>
      </c>
      <c r="L384" s="19">
        <f>B*c_gom^K384</f>
        <v>3.8881702410862554E-3</v>
      </c>
      <c r="M384" s="19">
        <f>N384*delta +Prem-L384*(1-N384)</f>
        <v>-6.1612543246074725E-4</v>
      </c>
      <c r="N384" s="26">
        <f>N383-Step_h*M383</f>
        <v>5.0483215037442726E-3</v>
      </c>
      <c r="U384" s="2"/>
      <c r="X384" s="2"/>
    </row>
    <row r="385" spans="1:24" x14ac:dyDescent="0.45">
      <c r="A385" s="24">
        <v>3.62</v>
      </c>
      <c r="B385" s="24">
        <f>A385+Age</f>
        <v>23.62</v>
      </c>
      <c r="C385" s="19">
        <f>B*c_gom^B385</f>
        <v>3.0624843122879449E-3</v>
      </c>
      <c r="D385" s="19">
        <f t="shared" si="5"/>
        <v>-3.0334690094588556E-3</v>
      </c>
      <c r="E385" s="26">
        <f>E384+Step_h*D384</f>
        <v>0.99052556686978999</v>
      </c>
      <c r="J385" s="24">
        <f>ROUND(J384-Step_h,2)</f>
        <v>6.38</v>
      </c>
      <c r="K385" s="24">
        <f>J385+Age</f>
        <v>26.38</v>
      </c>
      <c r="L385" s="19">
        <f>B*c_gom^K385</f>
        <v>3.8848209489252498E-3</v>
      </c>
      <c r="M385" s="19">
        <f>N385*delta +Prem-L385*(1-N385)</f>
        <v>-6.124610505172782E-4</v>
      </c>
      <c r="N385" s="26">
        <f>N384-Step_h*M384</f>
        <v>5.0544827580688801E-3</v>
      </c>
      <c r="U385" s="2"/>
      <c r="X385" s="2"/>
    </row>
    <row r="386" spans="1:24" x14ac:dyDescent="0.45">
      <c r="A386" s="24">
        <v>3.63</v>
      </c>
      <c r="B386" s="24">
        <f>A386+Age</f>
        <v>23.63</v>
      </c>
      <c r="C386" s="19">
        <f>B*c_gom^B386</f>
        <v>3.0651246282343411E-3</v>
      </c>
      <c r="D386" s="19">
        <f t="shared" si="5"/>
        <v>-3.0359913303026763E-3</v>
      </c>
      <c r="E386" s="26">
        <f>E385+Step_h*D385</f>
        <v>0.99049523217969537</v>
      </c>
      <c r="J386" s="24">
        <f>ROUND(J385-Step_h,2)</f>
        <v>6.37</v>
      </c>
      <c r="K386" s="24">
        <f>J386+Age</f>
        <v>26.37</v>
      </c>
      <c r="L386" s="19">
        <f>B*c_gom^K386</f>
        <v>3.8814745418637368E-3</v>
      </c>
      <c r="M386" s="19">
        <f>N386*delta +Prem-L386*(1-N386)</f>
        <v>-6.088015547675461E-4</v>
      </c>
      <c r="N386" s="26">
        <f>N385-Step_h*M385</f>
        <v>5.0606073685740532E-3</v>
      </c>
      <c r="U386" s="2"/>
      <c r="X386" s="2"/>
    </row>
    <row r="387" spans="1:24" x14ac:dyDescent="0.45">
      <c r="A387" s="24">
        <v>3.64</v>
      </c>
      <c r="B387" s="24">
        <f>A387+Age</f>
        <v>23.64</v>
      </c>
      <c r="C387" s="19">
        <f>B*c_gom^B387</f>
        <v>3.0677672205249038E-3</v>
      </c>
      <c r="D387" s="19">
        <f t="shared" si="5"/>
        <v>-3.0385156682202243E-3</v>
      </c>
      <c r="E387" s="26">
        <f>E386+Step_h*D386</f>
        <v>0.99046487226639235</v>
      </c>
      <c r="J387" s="24">
        <f>ROUND(J386-Step_h,2)</f>
        <v>6.36</v>
      </c>
      <c r="K387" s="24">
        <f>J387+Age</f>
        <v>26.36</v>
      </c>
      <c r="L387" s="19">
        <f>B*c_gom^K387</f>
        <v>3.8781310174164718E-3</v>
      </c>
      <c r="M387" s="19">
        <f>N387*delta +Prem-L387*(1-N387)</f>
        <v>-6.0514693968542191E-4</v>
      </c>
      <c r="N387" s="26">
        <f>N386-Step_h*M386</f>
        <v>5.0666953841217287E-3</v>
      </c>
      <c r="U387" s="2"/>
      <c r="X387" s="2"/>
    </row>
    <row r="388" spans="1:24" x14ac:dyDescent="0.45">
      <c r="A388" s="24">
        <v>3.65</v>
      </c>
      <c r="B388" s="24">
        <f>A388+Age</f>
        <v>23.65</v>
      </c>
      <c r="C388" s="19">
        <f>B*c_gom^B388</f>
        <v>3.0704120911221782E-3</v>
      </c>
      <c r="D388" s="19">
        <f t="shared" si="5"/>
        <v>-3.0410420246860474E-3</v>
      </c>
      <c r="E388" s="26">
        <f>E387+Step_h*D387</f>
        <v>0.99043448710971016</v>
      </c>
      <c r="J388" s="24">
        <f>ROUND(J387-Step_h,2)</f>
        <v>6.35</v>
      </c>
      <c r="K388" s="24">
        <f>J388+Age</f>
        <v>26.35</v>
      </c>
      <c r="L388" s="19">
        <f>B*c_gom^K388</f>
        <v>3.8747903731003557E-3</v>
      </c>
      <c r="M388" s="19">
        <f>N388*delta +Prem-L388*(1-N388)</f>
        <v>-6.01497199751238E-4</v>
      </c>
      <c r="N388" s="26">
        <f>N387-Step_h*M387</f>
        <v>5.0727468535185826E-3</v>
      </c>
      <c r="U388" s="2"/>
      <c r="X388" s="2"/>
    </row>
    <row r="389" spans="1:24" x14ac:dyDescent="0.45">
      <c r="A389" s="24">
        <v>3.66</v>
      </c>
      <c r="B389" s="24">
        <f>A389+Age</f>
        <v>23.66</v>
      </c>
      <c r="C389" s="19">
        <f>B*c_gom^B389</f>
        <v>3.0730592419904042E-3</v>
      </c>
      <c r="D389" s="19">
        <f t="shared" si="5"/>
        <v>-3.0435704011755283E-3</v>
      </c>
      <c r="E389" s="26">
        <f>E388+Step_h*D388</f>
        <v>0.99040407668946329</v>
      </c>
      <c r="J389" s="24">
        <f>ROUND(J388-Step_h,2)</f>
        <v>6.34</v>
      </c>
      <c r="K389" s="24">
        <f>J389+Age</f>
        <v>26.34</v>
      </c>
      <c r="L389" s="19">
        <f>B*c_gom^K389</f>
        <v>3.8714526064344244E-3</v>
      </c>
      <c r="M389" s="19">
        <f>N389*delta +Prem-L389*(1-N389)</f>
        <v>-5.9785232945176563E-4</v>
      </c>
      <c r="N389" s="26">
        <f>N388-Step_h*M388</f>
        <v>5.0787618255160949E-3</v>
      </c>
      <c r="U389" s="2"/>
      <c r="X389" s="2"/>
    </row>
    <row r="390" spans="1:24" x14ac:dyDescent="0.45">
      <c r="A390" s="24">
        <v>3.67</v>
      </c>
      <c r="B390" s="24">
        <f>A390+Age</f>
        <v>23.67</v>
      </c>
      <c r="C390" s="19">
        <f>B*c_gom^B390</f>
        <v>3.0757086750955115E-3</v>
      </c>
      <c r="D390" s="19">
        <f t="shared" si="5"/>
        <v>-3.0461007991648809E-3</v>
      </c>
      <c r="E390" s="26">
        <f>E389+Step_h*D389</f>
        <v>0.99037364098545155</v>
      </c>
      <c r="J390" s="24">
        <f>ROUND(J389-Step_h,2)</f>
        <v>6.33</v>
      </c>
      <c r="K390" s="24">
        <f>J390+Age</f>
        <v>26.33</v>
      </c>
      <c r="L390" s="19">
        <f>B*c_gom^K390</f>
        <v>3.8681177149398572E-3</v>
      </c>
      <c r="M390" s="19">
        <f>N390*delta +Prem-L390*(1-N390)</f>
        <v>-5.9421232328022268E-4</v>
      </c>
      <c r="N390" s="26">
        <f>N389-Step_h*M389</f>
        <v>5.0847403488106123E-3</v>
      </c>
      <c r="U390" s="2"/>
      <c r="X390" s="2"/>
    </row>
    <row r="391" spans="1:24" x14ac:dyDescent="0.45">
      <c r="A391" s="24">
        <v>3.68</v>
      </c>
      <c r="B391" s="24">
        <f>A391+Age</f>
        <v>23.68</v>
      </c>
      <c r="C391" s="19">
        <f>B*c_gom^B391</f>
        <v>3.0783603924051288E-3</v>
      </c>
      <c r="D391" s="19">
        <f t="shared" si="5"/>
        <v>-3.0486332201311566E-3</v>
      </c>
      <c r="E391" s="26">
        <f>E390+Step_h*D390</f>
        <v>0.99034317997745991</v>
      </c>
      <c r="J391" s="24">
        <f>ROUND(J390-Step_h,2)</f>
        <v>6.32</v>
      </c>
      <c r="K391" s="24">
        <f>J391+Age</f>
        <v>26.32</v>
      </c>
      <c r="L391" s="19">
        <f>B*c_gom^K391</f>
        <v>3.8647856961399633E-3</v>
      </c>
      <c r="M391" s="19">
        <f>N391*delta +Prem-L391*(1-N391)</f>
        <v>-5.9057717573624859E-4</v>
      </c>
      <c r="N391" s="26">
        <f>N390-Step_h*M390</f>
        <v>5.0906824720434148E-3</v>
      </c>
      <c r="U391" s="2"/>
      <c r="X391" s="2"/>
    </row>
    <row r="392" spans="1:24" x14ac:dyDescent="0.45">
      <c r="A392" s="24">
        <v>3.69</v>
      </c>
      <c r="B392" s="24">
        <f>A392+Age</f>
        <v>23.69</v>
      </c>
      <c r="C392" s="19">
        <f>B*c_gom^B392</f>
        <v>3.0810143958885797E-3</v>
      </c>
      <c r="D392" s="19">
        <f t="shared" si="5"/>
        <v>-3.0511676655522388E-3</v>
      </c>
      <c r="E392" s="26">
        <f>E391+Step_h*D391</f>
        <v>0.99031269364525865</v>
      </c>
      <c r="J392" s="24">
        <f>ROUND(J391-Step_h,2)</f>
        <v>6.31</v>
      </c>
      <c r="K392" s="24">
        <f>J392+Age</f>
        <v>26.31</v>
      </c>
      <c r="L392" s="19">
        <f>B*c_gom^K392</f>
        <v>3.8614565475601861E-3</v>
      </c>
      <c r="M392" s="19">
        <f>N392*delta +Prem-L392*(1-N392)</f>
        <v>-5.8694688132590427E-4</v>
      </c>
      <c r="N392" s="26">
        <f>N391-Step_h*M391</f>
        <v>5.0965882438007773E-3</v>
      </c>
      <c r="U392" s="2"/>
      <c r="X392" s="2"/>
    </row>
    <row r="393" spans="1:24" x14ac:dyDescent="0.45">
      <c r="A393" s="24">
        <v>3.7</v>
      </c>
      <c r="B393" s="24">
        <f>A393+Age</f>
        <v>23.7</v>
      </c>
      <c r="C393" s="19">
        <f>B*c_gom^B393</f>
        <v>3.0836706875168821E-3</v>
      </c>
      <c r="D393" s="19">
        <f t="shared" si="5"/>
        <v>-3.0537041369068404E-3</v>
      </c>
      <c r="E393" s="26">
        <f>E392+Step_h*D392</f>
        <v>0.99028218196860307</v>
      </c>
      <c r="J393" s="24">
        <f>ROUND(J392-Step_h,2)</f>
        <v>6.3</v>
      </c>
      <c r="K393" s="24">
        <f>J393+Age</f>
        <v>26.3</v>
      </c>
      <c r="L393" s="19">
        <f>B*c_gom^K393</f>
        <v>3.8581302667281044E-3</v>
      </c>
      <c r="M393" s="19">
        <f>N393*delta +Prem-L393*(1-N393)</f>
        <v>-5.8332143456166566E-4</v>
      </c>
      <c r="N393" s="26">
        <f>N392-Step_h*M392</f>
        <v>5.1024577126140367E-3</v>
      </c>
      <c r="U393" s="2"/>
      <c r="X393" s="2"/>
    </row>
    <row r="394" spans="1:24" x14ac:dyDescent="0.45">
      <c r="A394" s="24">
        <v>3.71</v>
      </c>
      <c r="B394" s="24">
        <f>A394+Age</f>
        <v>23.71</v>
      </c>
      <c r="C394" s="19">
        <f>B*c_gom^B394</f>
        <v>3.0863292692627615E-3</v>
      </c>
      <c r="D394" s="19">
        <f t="shared" si="5"/>
        <v>-3.0562426356745176E-3</v>
      </c>
      <c r="E394" s="26">
        <f>E393+Step_h*D393</f>
        <v>0.99025164492723405</v>
      </c>
      <c r="J394" s="24">
        <f>ROUND(J393-Step_h,2)</f>
        <v>6.29</v>
      </c>
      <c r="K394" s="24">
        <f>J394+Age</f>
        <v>26.29</v>
      </c>
      <c r="L394" s="19">
        <f>B*c_gom^K394</f>
        <v>3.8548068511734196E-3</v>
      </c>
      <c r="M394" s="19">
        <f>N394*delta +Prem-L394*(1-N394)</f>
        <v>-5.7970082996240593E-4</v>
      </c>
      <c r="N394" s="26">
        <f>N393-Step_h*M393</f>
        <v>5.1082909269596537E-3</v>
      </c>
      <c r="U394" s="2"/>
      <c r="X394" s="2"/>
    </row>
    <row r="395" spans="1:24" x14ac:dyDescent="0.45">
      <c r="A395" s="24">
        <v>3.72</v>
      </c>
      <c r="B395" s="24">
        <f>A395+Age</f>
        <v>23.72</v>
      </c>
      <c r="C395" s="19">
        <f>B*c_gom^B395</f>
        <v>3.0889901431006349E-3</v>
      </c>
      <c r="D395" s="19">
        <f t="shared" si="5"/>
        <v>-3.0587831633356504E-3</v>
      </c>
      <c r="E395" s="26">
        <f>E394+Step_h*D394</f>
        <v>0.99022108250087726</v>
      </c>
      <c r="J395" s="24">
        <f>ROUND(J394-Step_h,2)</f>
        <v>6.28</v>
      </c>
      <c r="K395" s="24">
        <f>J395+Age</f>
        <v>26.28</v>
      </c>
      <c r="L395" s="19">
        <f>B*c_gom^K395</f>
        <v>3.8514862984279689E-3</v>
      </c>
      <c r="M395" s="19">
        <f>N395*delta +Prem-L395*(1-N395)</f>
        <v>-5.7608506205339806E-4</v>
      </c>
      <c r="N395" s="26">
        <f>N394-Step_h*M394</f>
        <v>5.1140879352592778E-3</v>
      </c>
      <c r="U395" s="2"/>
      <c r="X395" s="2"/>
    </row>
    <row r="396" spans="1:24" x14ac:dyDescent="0.45">
      <c r="A396" s="24">
        <v>3.73</v>
      </c>
      <c r="B396" s="24">
        <f>A396+Age</f>
        <v>23.73</v>
      </c>
      <c r="C396" s="19">
        <f>B*c_gom^B396</f>
        <v>3.0916533110066269E-3</v>
      </c>
      <c r="D396" s="19">
        <f t="shared" si="5"/>
        <v>-3.0613257213714575E-3</v>
      </c>
      <c r="E396" s="26">
        <f>E395+Step_h*D395</f>
        <v>0.99019049466924391</v>
      </c>
      <c r="J396" s="24">
        <f>ROUND(J395-Step_h,2)</f>
        <v>6.27</v>
      </c>
      <c r="K396" s="24">
        <f>J396+Age</f>
        <v>26.27</v>
      </c>
      <c r="L396" s="19">
        <f>B*c_gom^K396</f>
        <v>3.8481686060257113E-3</v>
      </c>
      <c r="M396" s="19">
        <f>N396*delta +Prem-L396*(1-N396)</f>
        <v>-5.7247412536629927E-4</v>
      </c>
      <c r="N396" s="26">
        <f>N395-Step_h*M395</f>
        <v>5.1198487858798115E-3</v>
      </c>
      <c r="U396" s="2"/>
      <c r="X396" s="2"/>
    </row>
    <row r="397" spans="1:24" x14ac:dyDescent="0.45">
      <c r="A397" s="24">
        <v>3.74</v>
      </c>
      <c r="B397" s="24">
        <f>A397+Age</f>
        <v>23.740000000000002</v>
      </c>
      <c r="C397" s="19">
        <f>B*c_gom^B397</f>
        <v>3.0943187749585665E-3</v>
      </c>
      <c r="D397" s="19">
        <f t="shared" si="5"/>
        <v>-3.0638703112639927E-3</v>
      </c>
      <c r="E397" s="26">
        <f>E396+Step_h*D396</f>
        <v>0.99015988141203015</v>
      </c>
      <c r="J397" s="24">
        <f>ROUND(J396-Step_h,2)</f>
        <v>6.26</v>
      </c>
      <c r="K397" s="24">
        <f>J397+Age</f>
        <v>26.259999999999998</v>
      </c>
      <c r="L397" s="19">
        <f>B*c_gom^K397</f>
        <v>3.8448537715027281E-3</v>
      </c>
      <c r="M397" s="19">
        <f>N397*delta +Prem-L397*(1-N397)</f>
        <v>-5.6886801443914057E-4</v>
      </c>
      <c r="N397" s="26">
        <f>N396-Step_h*M396</f>
        <v>5.1255735271334745E-3</v>
      </c>
      <c r="U397" s="2"/>
      <c r="X397" s="2"/>
    </row>
    <row r="398" spans="1:24" x14ac:dyDescent="0.45">
      <c r="A398" s="24">
        <v>3.75</v>
      </c>
      <c r="B398" s="24">
        <f>A398+Age</f>
        <v>23.75</v>
      </c>
      <c r="C398" s="19">
        <f>B*c_gom^B398</f>
        <v>3.0969865369359834E-3</v>
      </c>
      <c r="D398" s="19">
        <f t="shared" si="5"/>
        <v>-3.0664169344961382E-3</v>
      </c>
      <c r="E398" s="26">
        <f>E397+Step_h*D397</f>
        <v>0.99012924270891756</v>
      </c>
      <c r="J398" s="24">
        <f>ROUND(J397-Step_h,2)</f>
        <v>6.25</v>
      </c>
      <c r="K398" s="24">
        <f>J398+Age</f>
        <v>26.25</v>
      </c>
      <c r="L398" s="19">
        <f>B*c_gom^K398</f>
        <v>3.8415417923972294E-3</v>
      </c>
      <c r="M398" s="19">
        <f>N398*delta +Prem-L398*(1-N398)</f>
        <v>-5.6526672381632939E-4</v>
      </c>
      <c r="N398" s="26">
        <f>N397-Step_h*M397</f>
        <v>5.131262207277866E-3</v>
      </c>
      <c r="U398" s="2"/>
      <c r="X398" s="2"/>
    </row>
    <row r="399" spans="1:24" x14ac:dyDescent="0.45">
      <c r="A399" s="24">
        <v>3.7600000000000002</v>
      </c>
      <c r="B399" s="24">
        <f>A399+Age</f>
        <v>23.76</v>
      </c>
      <c r="C399" s="19">
        <f>B*c_gom^B399</f>
        <v>3.0996565989201176E-3</v>
      </c>
      <c r="D399" s="19">
        <f t="shared" si="5"/>
        <v>-3.0689655925516144E-3</v>
      </c>
      <c r="E399" s="26">
        <f>E398+Step_h*D398</f>
        <v>0.99009857853957262</v>
      </c>
      <c r="J399" s="24">
        <f>ROUND(J398-Step_h,2)</f>
        <v>6.24</v>
      </c>
      <c r="K399" s="24">
        <f>J399+Age</f>
        <v>26.240000000000002</v>
      </c>
      <c r="L399" s="19">
        <f>B*c_gom^K399</f>
        <v>3.8382326662495412E-3</v>
      </c>
      <c r="M399" s="19">
        <f>N399*delta +Prem-L399*(1-N399)</f>
        <v>-5.6167024804862917E-4</v>
      </c>
      <c r="N399" s="26">
        <f>N398-Step_h*M398</f>
        <v>5.1369148745160293E-3</v>
      </c>
      <c r="U399" s="2"/>
      <c r="X399" s="2"/>
    </row>
    <row r="400" spans="1:24" x14ac:dyDescent="0.45">
      <c r="A400" s="24">
        <v>3.77</v>
      </c>
      <c r="B400" s="24">
        <f>A400+Age</f>
        <v>23.77</v>
      </c>
      <c r="C400" s="19">
        <f>B*c_gom^B400</f>
        <v>3.1023289628939162E-3</v>
      </c>
      <c r="D400" s="19">
        <f t="shared" si="5"/>
        <v>-3.0715162869149738E-3</v>
      </c>
      <c r="E400" s="26">
        <f>E399+Step_h*D399</f>
        <v>0.99006788888364705</v>
      </c>
      <c r="J400" s="24">
        <f>ROUND(J399-Step_h,2)</f>
        <v>6.23</v>
      </c>
      <c r="K400" s="24">
        <f>J400+Age</f>
        <v>26.23</v>
      </c>
      <c r="L400" s="19">
        <f>B*c_gom^K400</f>
        <v>3.8349263906021082E-3</v>
      </c>
      <c r="M400" s="19">
        <f>N400*delta +Prem-L400*(1-N400)</f>
        <v>-5.5807858169315376E-4</v>
      </c>
      <c r="N400" s="26">
        <f>N399-Step_h*M399</f>
        <v>5.1425315769965153E-3</v>
      </c>
      <c r="U400" s="2"/>
      <c r="X400" s="2"/>
    </row>
    <row r="401" spans="1:24" x14ac:dyDescent="0.45">
      <c r="A401" s="24">
        <v>3.7800000000000002</v>
      </c>
      <c r="B401" s="24">
        <f>A401+Age</f>
        <v>23.78</v>
      </c>
      <c r="C401" s="19">
        <f>B*c_gom^B401</f>
        <v>3.1050036308420373E-3</v>
      </c>
      <c r="D401" s="19">
        <f t="shared" si="5"/>
        <v>-3.0740690190716041E-3</v>
      </c>
      <c r="E401" s="26">
        <f>E400+Step_h*D400</f>
        <v>0.99003717372077793</v>
      </c>
      <c r="J401" s="24">
        <f>ROUND(J400-Step_h,2)</f>
        <v>6.22</v>
      </c>
      <c r="K401" s="24">
        <f>J401+Age</f>
        <v>26.22</v>
      </c>
      <c r="L401" s="19">
        <f>B*c_gom^K401</f>
        <v>3.8316229629994916E-3</v>
      </c>
      <c r="M401" s="19">
        <f>N401*delta +Prem-L401*(1-N401)</f>
        <v>-5.5449171931336175E-4</v>
      </c>
      <c r="N401" s="26">
        <f>N400-Step_h*M400</f>
        <v>5.1481123628134466E-3</v>
      </c>
      <c r="U401" s="2"/>
      <c r="X401" s="2"/>
    </row>
    <row r="402" spans="1:24" x14ac:dyDescent="0.45">
      <c r="A402" s="24">
        <v>3.79</v>
      </c>
      <c r="B402" s="24">
        <f>A402+Age</f>
        <v>23.79</v>
      </c>
      <c r="C402" s="19">
        <f>B*c_gom^B402</f>
        <v>3.107680604750846E-3</v>
      </c>
      <c r="D402" s="19">
        <f t="shared" si="5"/>
        <v>-3.0766237905077232E-3</v>
      </c>
      <c r="E402" s="26">
        <f>E401+Step_h*D401</f>
        <v>0.99000643303058722</v>
      </c>
      <c r="J402" s="24">
        <f>ROUND(J401-Step_h,2)</f>
        <v>6.21</v>
      </c>
      <c r="K402" s="24">
        <f>J402+Age</f>
        <v>26.21</v>
      </c>
      <c r="L402" s="19">
        <f>B*c_gom^K402</f>
        <v>3.8283223809883731E-3</v>
      </c>
      <c r="M402" s="19">
        <f>N402*delta +Prem-L402*(1-N402)</f>
        <v>-5.5090965547905085E-4</v>
      </c>
      <c r="N402" s="26">
        <f>N401-Step_h*M401</f>
        <v>5.1536572800065803E-3</v>
      </c>
      <c r="U402" s="2"/>
      <c r="X402" s="2"/>
    </row>
    <row r="403" spans="1:24" x14ac:dyDescent="0.45">
      <c r="A403" s="24">
        <v>3.8000000000000003</v>
      </c>
      <c r="B403" s="24">
        <f>A403+Age</f>
        <v>23.8</v>
      </c>
      <c r="C403" s="19">
        <f>B*c_gom^B403</f>
        <v>3.1103598866084243E-3</v>
      </c>
      <c r="D403" s="19">
        <f t="shared" si="5"/>
        <v>-3.0791806027103859E-3</v>
      </c>
      <c r="E403" s="26">
        <f>E402+Step_h*D402</f>
        <v>0.98997566679268212</v>
      </c>
      <c r="J403" s="24">
        <f>ROUND(J402-Step_h,2)</f>
        <v>6.2</v>
      </c>
      <c r="K403" s="24">
        <f>J403+Age</f>
        <v>26.2</v>
      </c>
      <c r="L403" s="19">
        <f>B*c_gom^K403</f>
        <v>3.8250246421175421E-3</v>
      </c>
      <c r="M403" s="19">
        <f>N403*delta +Prem-L403*(1-N403)</f>
        <v>-5.4733238476634225E-4</v>
      </c>
      <c r="N403" s="26">
        <f>N402-Step_h*M402</f>
        <v>5.1591663765613704E-3</v>
      </c>
      <c r="U403" s="2"/>
      <c r="X403" s="2"/>
    </row>
    <row r="404" spans="1:24" x14ac:dyDescent="0.45">
      <c r="A404" s="24">
        <v>3.81</v>
      </c>
      <c r="B404" s="24">
        <f>A404+Age</f>
        <v>23.81</v>
      </c>
      <c r="C404" s="19">
        <f>B*c_gom^B404</f>
        <v>3.1130414784045659E-3</v>
      </c>
      <c r="D404" s="19">
        <f t="shared" si="5"/>
        <v>-3.0817394571674801E-3</v>
      </c>
      <c r="E404" s="26">
        <f>E403+Step_h*D403</f>
        <v>0.98994487498665507</v>
      </c>
      <c r="J404" s="24">
        <f>ROUND(J403-Step_h,2)</f>
        <v>6.19</v>
      </c>
      <c r="K404" s="24">
        <f>J404+Age</f>
        <v>26.19</v>
      </c>
      <c r="L404" s="19">
        <f>B*c_gom^K404</f>
        <v>3.8217297439379011E-3</v>
      </c>
      <c r="M404" s="19">
        <f>N404*delta +Prem-L404*(1-N404)</f>
        <v>-5.4375990175767374E-4</v>
      </c>
      <c r="N404" s="26">
        <f>N403-Step_h*M403</f>
        <v>5.1646397004090341E-3</v>
      </c>
      <c r="U404" s="2"/>
      <c r="X404" s="2"/>
    </row>
    <row r="405" spans="1:24" x14ac:dyDescent="0.45">
      <c r="A405" s="24">
        <v>3.8200000000000003</v>
      </c>
      <c r="B405" s="24">
        <f>A405+Age</f>
        <v>23.82</v>
      </c>
      <c r="C405" s="19">
        <f>B*c_gom^B405</f>
        <v>3.1157253821307825E-3</v>
      </c>
      <c r="D405" s="19">
        <f t="shared" si="5"/>
        <v>-3.0843003553677273E-3</v>
      </c>
      <c r="E405" s="26">
        <f>E404+Step_h*D404</f>
        <v>0.9899140575920834</v>
      </c>
      <c r="J405" s="24">
        <f>ROUND(J404-Step_h,2)</f>
        <v>6.18</v>
      </c>
      <c r="K405" s="24">
        <f>J405+Age</f>
        <v>26.18</v>
      </c>
      <c r="L405" s="19">
        <f>B*c_gom^K405</f>
        <v>3.8184376840024606E-3</v>
      </c>
      <c r="M405" s="19">
        <f>N405*delta +Prem-L405*(1-N405)</f>
        <v>-5.4019220104179356E-4</v>
      </c>
      <c r="N405" s="26">
        <f>N404-Step_h*M404</f>
        <v>5.1700772994266106E-3</v>
      </c>
      <c r="U405" s="2"/>
      <c r="X405" s="2"/>
    </row>
    <row r="406" spans="1:24" x14ac:dyDescent="0.45">
      <c r="A406" s="24">
        <v>3.83</v>
      </c>
      <c r="B406" s="24">
        <f>A406+Age</f>
        <v>23.83</v>
      </c>
      <c r="C406" s="19">
        <f>B*c_gom^B406</f>
        <v>3.1184115997802977E-3</v>
      </c>
      <c r="D406" s="19">
        <f t="shared" si="5"/>
        <v>-3.0868632988006804E-3</v>
      </c>
      <c r="E406" s="26">
        <f>E405+Step_h*D405</f>
        <v>0.98988321458852968</v>
      </c>
      <c r="J406" s="24">
        <f>ROUND(J405-Step_h,2)</f>
        <v>6.17</v>
      </c>
      <c r="K406" s="24">
        <f>J406+Age</f>
        <v>26.17</v>
      </c>
      <c r="L406" s="19">
        <f>B*c_gom^K406</f>
        <v>3.8151484598663446E-3</v>
      </c>
      <c r="M406" s="19">
        <f>N406*delta +Prem-L406*(1-N406)</f>
        <v>-5.3662927721375743E-4</v>
      </c>
      <c r="N406" s="26">
        <f>N405-Step_h*M405</f>
        <v>5.1754792214370286E-3</v>
      </c>
      <c r="U406" s="2"/>
      <c r="X406" s="2"/>
    </row>
    <row r="407" spans="1:24" x14ac:dyDescent="0.45">
      <c r="A407" s="24">
        <v>3.84</v>
      </c>
      <c r="B407" s="24">
        <f>A407+Age</f>
        <v>23.84</v>
      </c>
      <c r="C407" s="19">
        <f>B*c_gom^B407</f>
        <v>3.1211001333480586E-3</v>
      </c>
      <c r="D407" s="19">
        <f t="shared" si="5"/>
        <v>-3.08942828895673E-3</v>
      </c>
      <c r="E407" s="26">
        <f>E406+Step_h*D406</f>
        <v>0.98985234595554172</v>
      </c>
      <c r="J407" s="24">
        <f>ROUND(J406-Step_h,2)</f>
        <v>6.16</v>
      </c>
      <c r="K407" s="24">
        <f>J407+Age</f>
        <v>26.16</v>
      </c>
      <c r="L407" s="19">
        <f>B*c_gom^K407</f>
        <v>3.8118620690867767E-3</v>
      </c>
      <c r="M407" s="19">
        <f>N407*delta +Prem-L407*(1-N407)</f>
        <v>-5.3307112487490597E-4</v>
      </c>
      <c r="N407" s="26">
        <f>N406-Step_h*M406</f>
        <v>5.1808455142091665E-3</v>
      </c>
      <c r="U407" s="2"/>
      <c r="X407" s="2"/>
    </row>
    <row r="408" spans="1:24" x14ac:dyDescent="0.45">
      <c r="A408" s="24">
        <v>3.85</v>
      </c>
      <c r="B408" s="24">
        <f>A408+Age</f>
        <v>23.85</v>
      </c>
      <c r="C408" s="19">
        <f>B*c_gom^B408</f>
        <v>3.1237909848307321E-3</v>
      </c>
      <c r="D408" s="19">
        <f t="shared" ref="D408:D471" si="6">-E408*C408</f>
        <v>-3.0919953273270987E-3</v>
      </c>
      <c r="E408" s="26">
        <f>E407+Step_h*D407</f>
        <v>0.98982145167265212</v>
      </c>
      <c r="J408" s="24">
        <f>ROUND(J407-Step_h,2)</f>
        <v>6.15</v>
      </c>
      <c r="K408" s="24">
        <f>J408+Age</f>
        <v>26.15</v>
      </c>
      <c r="L408" s="19">
        <f>B*c_gom^K408</f>
        <v>3.8085785092230864E-3</v>
      </c>
      <c r="M408" s="19">
        <f>N408*delta +Prem-L408*(1-N408)</f>
        <v>-5.2951773863286773E-4</v>
      </c>
      <c r="N408" s="26">
        <f>N407-Step_h*M407</f>
        <v>5.1861762254579152E-3</v>
      </c>
      <c r="U408" s="2"/>
      <c r="X408" s="2"/>
    </row>
    <row r="409" spans="1:24" x14ac:dyDescent="0.45">
      <c r="A409" s="24">
        <v>3.86</v>
      </c>
      <c r="B409" s="24">
        <f>A409+Age</f>
        <v>23.86</v>
      </c>
      <c r="C409" s="19">
        <f>B*c_gom^B409</f>
        <v>3.126484156226701E-3</v>
      </c>
      <c r="D409" s="19">
        <f t="shared" si="6"/>
        <v>-3.09456441540384E-3</v>
      </c>
      <c r="E409" s="26">
        <f>E408+Step_h*D408</f>
        <v>0.98979053171937881</v>
      </c>
      <c r="J409" s="24">
        <f>ROUND(J408-Step_h,2)</f>
        <v>6.14</v>
      </c>
      <c r="K409" s="24">
        <f>J409+Age</f>
        <v>26.14</v>
      </c>
      <c r="L409" s="19">
        <f>B*c_gom^K409</f>
        <v>3.8052977778367104E-3</v>
      </c>
      <c r="M409" s="19">
        <f>N409*delta +Prem-L409*(1-N409)</f>
        <v>-5.2596911310155226E-4</v>
      </c>
      <c r="N409" s="26">
        <f>N408-Step_h*M408</f>
        <v>5.1914714028442437E-3</v>
      </c>
      <c r="U409" s="2"/>
      <c r="X409" s="2"/>
    </row>
    <row r="410" spans="1:24" x14ac:dyDescent="0.45">
      <c r="A410" s="24">
        <v>3.87</v>
      </c>
      <c r="B410" s="24">
        <f>A410+Age</f>
        <v>23.87</v>
      </c>
      <c r="C410" s="19">
        <f>B*c_gom^B410</f>
        <v>3.129179649536077E-3</v>
      </c>
      <c r="D410" s="19">
        <f t="shared" si="6"/>
        <v>-3.0971355546798446E-3</v>
      </c>
      <c r="E410" s="26">
        <f>E409+Step_h*D409</f>
        <v>0.98975958607522474</v>
      </c>
      <c r="J410" s="24">
        <f>ROUND(J409-Step_h,2)</f>
        <v>6.13</v>
      </c>
      <c r="K410" s="24">
        <f>J410+Age</f>
        <v>26.13</v>
      </c>
      <c r="L410" s="19">
        <f>B*c_gom^K410</f>
        <v>3.8020198724911789E-3</v>
      </c>
      <c r="M410" s="19">
        <f>N410*delta +Prem-L410*(1-N410)</f>
        <v>-5.224252429011293E-4</v>
      </c>
      <c r="N410" s="26">
        <f>N409-Step_h*M409</f>
        <v>5.1967310939752594E-3</v>
      </c>
      <c r="U410" s="2"/>
      <c r="X410" s="2"/>
    </row>
    <row r="411" spans="1:24" x14ac:dyDescent="0.45">
      <c r="A411" s="24">
        <v>3.88</v>
      </c>
      <c r="B411" s="24">
        <f>A411+Age</f>
        <v>23.88</v>
      </c>
      <c r="C411" s="19">
        <f>B*c_gom^B411</f>
        <v>3.1318774667606938E-3</v>
      </c>
      <c r="D411" s="19">
        <f t="shared" si="6"/>
        <v>-3.0997087466488357E-3</v>
      </c>
      <c r="E411" s="26">
        <f>E410+Step_h*D410</f>
        <v>0.98972861471967799</v>
      </c>
      <c r="J411" s="24">
        <f>ROUND(J410-Step_h,2)</f>
        <v>6.12</v>
      </c>
      <c r="K411" s="24">
        <f>J411+Age</f>
        <v>26.12</v>
      </c>
      <c r="L411" s="19">
        <f>B*c_gom^K411</f>
        <v>3.7987447907521245E-3</v>
      </c>
      <c r="M411" s="19">
        <f>N411*delta +Prem-L411*(1-N411)</f>
        <v>-5.1888612265803269E-4</v>
      </c>
      <c r="N411" s="26">
        <f>N410-Step_h*M410</f>
        <v>5.201955346404271E-3</v>
      </c>
      <c r="U411" s="2"/>
      <c r="X411" s="2"/>
    </row>
    <row r="412" spans="1:24" x14ac:dyDescent="0.45">
      <c r="A412" s="24">
        <v>3.89</v>
      </c>
      <c r="B412" s="24">
        <f>A412+Age</f>
        <v>23.89</v>
      </c>
      <c r="C412" s="19">
        <f>B*c_gom^B412</f>
        <v>3.1345776099041128E-3</v>
      </c>
      <c r="D412" s="19">
        <f t="shared" si="6"/>
        <v>-3.1022839928053722E-3</v>
      </c>
      <c r="E412" s="26">
        <f>E411+Step_h*D411</f>
        <v>0.98969761763221153</v>
      </c>
      <c r="J412" s="24">
        <f>ROUND(J411-Step_h,2)</f>
        <v>6.11</v>
      </c>
      <c r="K412" s="24">
        <f>J412+Age</f>
        <v>26.11</v>
      </c>
      <c r="L412" s="19">
        <f>B*c_gom^K412</f>
        <v>3.7954725301872758E-3</v>
      </c>
      <c r="M412" s="19">
        <f>N412*delta +Prem-L412*(1-N412)</f>
        <v>-5.1535174700494688E-4</v>
      </c>
      <c r="N412" s="26">
        <f>N411-Step_h*M411</f>
        <v>5.2071442076308512E-3</v>
      </c>
      <c r="U412" s="2"/>
      <c r="X412" s="2"/>
    </row>
    <row r="413" spans="1:24" x14ac:dyDescent="0.45">
      <c r="A413" s="24">
        <v>3.9</v>
      </c>
      <c r="B413" s="24">
        <f>A413+Age</f>
        <v>23.9</v>
      </c>
      <c r="C413" s="19">
        <f>B*c_gom^B413</f>
        <v>3.1372800809716167E-3</v>
      </c>
      <c r="D413" s="19">
        <f t="shared" si="6"/>
        <v>-3.1048612946448393E-3</v>
      </c>
      <c r="E413" s="26">
        <f>E412+Step_h*D412</f>
        <v>0.98966659479228347</v>
      </c>
      <c r="J413" s="24">
        <f>ROUND(J412-Step_h,2)</f>
        <v>6.1</v>
      </c>
      <c r="K413" s="24">
        <f>J413+Age</f>
        <v>26.1</v>
      </c>
      <c r="L413" s="19">
        <f>B*c_gom^K413</f>
        <v>3.7922030883664614E-3</v>
      </c>
      <c r="M413" s="19">
        <f>N413*delta +Prem-L413*(1-N413)</f>
        <v>-5.1182211058080308E-4</v>
      </c>
      <c r="N413" s="26">
        <f>N412-Step_h*M412</f>
        <v>5.2122977251009006E-3</v>
      </c>
      <c r="U413" s="2"/>
      <c r="X413" s="2"/>
    </row>
    <row r="414" spans="1:24" x14ac:dyDescent="0.45">
      <c r="A414" s="24">
        <v>3.91</v>
      </c>
      <c r="B414" s="24">
        <f>A414+Age</f>
        <v>23.91</v>
      </c>
      <c r="C414" s="19">
        <f>B*c_gom^B414</f>
        <v>3.1399848819702271E-3</v>
      </c>
      <c r="D414" s="19">
        <f t="shared" si="6"/>
        <v>-3.1074406536634666E-3</v>
      </c>
      <c r="E414" s="26">
        <f>E413+Step_h*D413</f>
        <v>0.98963554617933702</v>
      </c>
      <c r="J414" s="24">
        <f>ROUND(J413-Step_h,2)</f>
        <v>6.09</v>
      </c>
      <c r="K414" s="24">
        <f>J414+Age</f>
        <v>26.09</v>
      </c>
      <c r="L414" s="19">
        <f>B*c_gom^K414</f>
        <v>3.7889364628615925E-3</v>
      </c>
      <c r="M414" s="19">
        <f>N414*delta +Prem-L414*(1-N414)</f>
        <v>-5.0829720803075842E-4</v>
      </c>
      <c r="N414" s="26">
        <f>N413-Step_h*M413</f>
        <v>5.2174159462067089E-3</v>
      </c>
      <c r="U414" s="2"/>
      <c r="X414" s="2"/>
    </row>
    <row r="415" spans="1:24" x14ac:dyDescent="0.45">
      <c r="A415" s="24">
        <v>3.92</v>
      </c>
      <c r="B415" s="24">
        <f>A415+Age</f>
        <v>23.92</v>
      </c>
      <c r="C415" s="19">
        <f>B*c_gom^B415</f>
        <v>3.1426920149086879E-3</v>
      </c>
      <c r="D415" s="19">
        <f t="shared" si="6"/>
        <v>-3.1100220713583099E-3</v>
      </c>
      <c r="E415" s="26">
        <f>E414+Step_h*D414</f>
        <v>0.98960447177280042</v>
      </c>
      <c r="J415" s="24">
        <f>ROUND(J414-Step_h,2)</f>
        <v>6.08</v>
      </c>
      <c r="K415" s="24">
        <f>J415+Age</f>
        <v>26.08</v>
      </c>
      <c r="L415" s="19">
        <f>B*c_gom^K415</f>
        <v>3.7856726512466811E-3</v>
      </c>
      <c r="M415" s="19">
        <f>N415*delta +Prem-L415*(1-N415)</f>
        <v>-5.0477703400620593E-4</v>
      </c>
      <c r="N415" s="26">
        <f>N414-Step_h*M414</f>
        <v>5.2224989182870166E-3</v>
      </c>
      <c r="U415" s="2"/>
      <c r="X415" s="2"/>
    </row>
    <row r="416" spans="1:24" x14ac:dyDescent="0.45">
      <c r="A416" s="24">
        <v>3.93</v>
      </c>
      <c r="B416" s="24">
        <f>A416+Age</f>
        <v>23.93</v>
      </c>
      <c r="C416" s="19">
        <f>B*c_gom^B416</f>
        <v>3.1454014817974742E-3</v>
      </c>
      <c r="D416" s="19">
        <f t="shared" si="6"/>
        <v>-3.1126055492272562E-3</v>
      </c>
      <c r="E416" s="26">
        <f>E415+Step_h*D415</f>
        <v>0.9895733715520868</v>
      </c>
      <c r="J416" s="24">
        <f>ROUND(J415-Step_h,2)</f>
        <v>6.07</v>
      </c>
      <c r="K416" s="24">
        <f>J416+Age</f>
        <v>26.07</v>
      </c>
      <c r="L416" s="19">
        <f>B*c_gom^K416</f>
        <v>3.78241165109783E-3</v>
      </c>
      <c r="M416" s="19">
        <f>N416*delta +Prem-L416*(1-N416)</f>
        <v>-5.0126158316475501E-4</v>
      </c>
      <c r="N416" s="26">
        <f>N415-Step_h*M415</f>
        <v>5.2275466886270786E-3</v>
      </c>
      <c r="U416" s="2"/>
      <c r="X416" s="2"/>
    </row>
    <row r="417" spans="1:24" x14ac:dyDescent="0.45">
      <c r="A417" s="24">
        <v>3.94</v>
      </c>
      <c r="B417" s="24">
        <f>A417+Age</f>
        <v>23.94</v>
      </c>
      <c r="C417" s="19">
        <f>B*c_gom^B417</f>
        <v>3.1481132846488034E-3</v>
      </c>
      <c r="D417" s="19">
        <f t="shared" si="6"/>
        <v>-3.1151910887690366E-3</v>
      </c>
      <c r="E417" s="26">
        <f>E416+Step_h*D416</f>
        <v>0.98954224549659453</v>
      </c>
      <c r="J417" s="24">
        <f>ROUND(J416-Step_h,2)</f>
        <v>6.06</v>
      </c>
      <c r="K417" s="24">
        <f>J417+Age</f>
        <v>26.06</v>
      </c>
      <c r="L417" s="19">
        <f>B*c_gom^K417</f>
        <v>3.7791534599932201E-3</v>
      </c>
      <c r="M417" s="19">
        <f>N417*delta +Prem-L417*(1-N417)</f>
        <v>-4.9775085017021888E-4</v>
      </c>
      <c r="N417" s="26">
        <f>N416-Step_h*M416</f>
        <v>5.2325593044587259E-3</v>
      </c>
      <c r="U417" s="2"/>
      <c r="X417" s="2"/>
    </row>
    <row r="418" spans="1:24" x14ac:dyDescent="0.45">
      <c r="A418" s="24">
        <v>3.95</v>
      </c>
      <c r="B418" s="24">
        <f>A418+Age</f>
        <v>23.95</v>
      </c>
      <c r="C418" s="19">
        <f>B*c_gom^B418</f>
        <v>3.1508274254766176E-3</v>
      </c>
      <c r="D418" s="19">
        <f t="shared" si="6"/>
        <v>-3.1177786914832052E-3</v>
      </c>
      <c r="E418" s="26">
        <f>E417+Step_h*D417</f>
        <v>0.98951109358570688</v>
      </c>
      <c r="J418" s="24">
        <f>ROUND(J417-Step_h,2)</f>
        <v>6.05</v>
      </c>
      <c r="K418" s="24">
        <f>J418+Age</f>
        <v>26.05</v>
      </c>
      <c r="L418" s="19">
        <f>B*c_gom^K418</f>
        <v>3.7758980755131294E-3</v>
      </c>
      <c r="M418" s="19">
        <f>N418*delta +Prem-L418*(1-N418)</f>
        <v>-4.9424482969262105E-4</v>
      </c>
      <c r="N418" s="26">
        <f>N417-Step_h*M417</f>
        <v>5.2375368129604282E-3</v>
      </c>
      <c r="U418" s="2"/>
      <c r="X418" s="2"/>
    </row>
    <row r="419" spans="1:24" x14ac:dyDescent="0.45">
      <c r="A419" s="24">
        <v>3.96</v>
      </c>
      <c r="B419" s="24">
        <f>A419+Age</f>
        <v>23.96</v>
      </c>
      <c r="C419" s="19">
        <f>B*c_gom^B419</f>
        <v>3.1535439062966002E-3</v>
      </c>
      <c r="D419" s="19">
        <f t="shared" si="6"/>
        <v>-3.1203683588701537E-3</v>
      </c>
      <c r="E419" s="26">
        <f>E418+Step_h*D418</f>
        <v>0.98947991579879202</v>
      </c>
      <c r="J419" s="24">
        <f>ROUND(J418-Step_h,2)</f>
        <v>6.04</v>
      </c>
      <c r="K419" s="24">
        <f>J419+Age</f>
        <v>26.04</v>
      </c>
      <c r="L419" s="19">
        <f>B*c_gom^K419</f>
        <v>3.7726454952399127E-3</v>
      </c>
      <c r="M419" s="19">
        <f>N419*delta +Prem-L419*(1-N419)</f>
        <v>-4.9074351640817368E-4</v>
      </c>
      <c r="N419" s="26">
        <f>N418-Step_h*M418</f>
        <v>5.2424792612573547E-3</v>
      </c>
      <c r="U419" s="2"/>
      <c r="X419" s="2"/>
    </row>
    <row r="420" spans="1:24" x14ac:dyDescent="0.45">
      <c r="A420" s="24">
        <v>3.97</v>
      </c>
      <c r="B420" s="24">
        <f>A420+Age</f>
        <v>23.97</v>
      </c>
      <c r="C420" s="19">
        <f>B*c_gom^B420</f>
        <v>3.156262729126173E-3</v>
      </c>
      <c r="D420" s="19">
        <f t="shared" si="6"/>
        <v>-3.1229600924311089E-3</v>
      </c>
      <c r="E420" s="26">
        <f>E419+Step_h*D419</f>
        <v>0.98944871211520335</v>
      </c>
      <c r="J420" s="24">
        <f>ROUND(J419-Step_h,2)</f>
        <v>6.03</v>
      </c>
      <c r="K420" s="24">
        <f>J420+Age</f>
        <v>26.03</v>
      </c>
      <c r="L420" s="19">
        <f>B*c_gom^K420</f>
        <v>3.7693957167580111E-3</v>
      </c>
      <c r="M420" s="19">
        <f>N420*delta +Prem-L420*(1-N420)</f>
        <v>-4.8724690499927495E-4</v>
      </c>
      <c r="N420" s="26">
        <f>N419-Step_h*M419</f>
        <v>5.2473866964214367E-3</v>
      </c>
      <c r="U420" s="2"/>
      <c r="X420" s="2"/>
    </row>
    <row r="421" spans="1:24" x14ac:dyDescent="0.45">
      <c r="A421" s="24">
        <v>3.98</v>
      </c>
      <c r="B421" s="24">
        <f>A421+Age</f>
        <v>23.98</v>
      </c>
      <c r="C421" s="19">
        <f>B*c_gom^B421</f>
        <v>3.1589838959844964E-3</v>
      </c>
      <c r="D421" s="19">
        <f t="shared" si="6"/>
        <v>-3.1255538936681296E-3</v>
      </c>
      <c r="E421" s="26">
        <f>E420+Step_h*D420</f>
        <v>0.98941748251427908</v>
      </c>
      <c r="J421" s="24">
        <f>ROUND(J420-Step_h,2)</f>
        <v>6.02</v>
      </c>
      <c r="K421" s="24">
        <f>J421+Age</f>
        <v>26.02</v>
      </c>
      <c r="L421" s="19">
        <f>B*c_gom^K421</f>
        <v>3.7661487376539435E-3</v>
      </c>
      <c r="M421" s="19">
        <f>N421*delta +Prem-L421*(1-N421)</f>
        <v>-4.8375499015450036E-4</v>
      </c>
      <c r="N421" s="26">
        <f>N420-Step_h*M420</f>
        <v>5.2522591654714295E-3</v>
      </c>
      <c r="U421" s="2"/>
      <c r="X421" s="2"/>
    </row>
    <row r="422" spans="1:24" x14ac:dyDescent="0.45">
      <c r="A422" s="24">
        <v>3.99</v>
      </c>
      <c r="B422" s="24">
        <f>A422+Age</f>
        <v>23.990000000000002</v>
      </c>
      <c r="C422" s="19">
        <f>B*c_gom^B422</f>
        <v>3.1617074088924682E-3</v>
      </c>
      <c r="D422" s="19">
        <f t="shared" si="6"/>
        <v>-3.1281497640841052E-3</v>
      </c>
      <c r="E422" s="26">
        <f>E421+Step_h*D421</f>
        <v>0.9893862269753424</v>
      </c>
      <c r="J422" s="24">
        <f>ROUND(J421-Step_h,2)</f>
        <v>6.01</v>
      </c>
      <c r="K422" s="24">
        <f>J422+Age</f>
        <v>26.009999999999998</v>
      </c>
      <c r="L422" s="19">
        <f>B*c_gom^K422</f>
        <v>3.7629045555163131E-3</v>
      </c>
      <c r="M422" s="19">
        <f>N422*delta +Prem-L422*(1-N422)</f>
        <v>-4.8026776656859759E-4</v>
      </c>
      <c r="N422" s="26">
        <f>N421-Step_h*M421</f>
        <v>5.2570967153729746E-3</v>
      </c>
      <c r="U422" s="2"/>
      <c r="X422" s="2"/>
    </row>
    <row r="423" spans="1:24" x14ac:dyDescent="0.45">
      <c r="A423" s="24">
        <v>4</v>
      </c>
      <c r="B423" s="24">
        <f>A423+Age</f>
        <v>24</v>
      </c>
      <c r="C423" s="19">
        <f>B*c_gom^B423</f>
        <v>3.1644332698727313E-3</v>
      </c>
      <c r="D423" s="19">
        <f t="shared" si="6"/>
        <v>-3.1307477051827608E-3</v>
      </c>
      <c r="E423" s="26">
        <f>E422+Step_h*D422</f>
        <v>0.98935494547770153</v>
      </c>
      <c r="J423" s="24">
        <f>ROUND(J422-Step_h,2)</f>
        <v>6</v>
      </c>
      <c r="K423" s="24">
        <f>J423+Age</f>
        <v>26</v>
      </c>
      <c r="L423" s="19">
        <f>B*c_gom^K423</f>
        <v>3.7596631679357928E-3</v>
      </c>
      <c r="M423" s="19">
        <f>N423*delta +Prem-L423*(1-N423)</f>
        <v>-4.7678522894246825E-4</v>
      </c>
      <c r="N423" s="26">
        <f>N422-Step_h*M422</f>
        <v>5.2618993930386602E-3</v>
      </c>
      <c r="U423" s="2"/>
      <c r="X423" s="2"/>
    </row>
    <row r="424" spans="1:24" x14ac:dyDescent="0.45">
      <c r="A424" s="24">
        <v>4.01</v>
      </c>
      <c r="B424" s="24">
        <f>A424+Age</f>
        <v>24.009999999999998</v>
      </c>
      <c r="C424" s="19">
        <f>B*c_gom^B424</f>
        <v>3.1671614809496772E-3</v>
      </c>
      <c r="D424" s="19">
        <f t="shared" si="6"/>
        <v>-3.1333477184686599E-3</v>
      </c>
      <c r="E424" s="26">
        <f>E423+Step_h*D423</f>
        <v>0.98932363800064971</v>
      </c>
      <c r="J424" s="24">
        <f>ROUND(J423-Step_h,2)</f>
        <v>5.99</v>
      </c>
      <c r="K424" s="24">
        <f>J424+Age</f>
        <v>25.990000000000002</v>
      </c>
      <c r="L424" s="19">
        <f>B*c_gom^K424</f>
        <v>3.7564245725051431E-3</v>
      </c>
      <c r="M424" s="19">
        <f>N424*delta +Prem-L424*(1-N424)</f>
        <v>-4.7330737198318044E-4</v>
      </c>
      <c r="N424" s="26">
        <f>N423-Step_h*M423</f>
        <v>5.2666672453280852E-3</v>
      </c>
      <c r="U424" s="2"/>
      <c r="X424" s="2"/>
    </row>
    <row r="425" spans="1:24" x14ac:dyDescent="0.45">
      <c r="A425" s="24">
        <v>4.0200000000000005</v>
      </c>
      <c r="B425" s="24">
        <f>A425+Age</f>
        <v>24.02</v>
      </c>
      <c r="C425" s="19">
        <f>B*c_gom^B425</f>
        <v>3.1698920441494351E-3</v>
      </c>
      <c r="D425" s="19">
        <f t="shared" si="6"/>
        <v>-3.1359498054471919E-3</v>
      </c>
      <c r="E425" s="26">
        <f>E424+Step_h*D424</f>
        <v>0.98929230452346506</v>
      </c>
      <c r="J425" s="24">
        <f>ROUND(J424-Step_h,2)</f>
        <v>5.98</v>
      </c>
      <c r="K425" s="24">
        <f>J425+Age</f>
        <v>25.98</v>
      </c>
      <c r="L425" s="19">
        <f>B*c_gom^K425</f>
        <v>3.75318876681918E-3</v>
      </c>
      <c r="M425" s="19">
        <f>N425*delta +Prem-L425*(1-N425)</f>
        <v>-4.6983419040392627E-4</v>
      </c>
      <c r="N425" s="26">
        <f>N424-Step_h*M424</f>
        <v>5.2714003190479173E-3</v>
      </c>
      <c r="U425" s="2"/>
      <c r="X425" s="2"/>
    </row>
    <row r="426" spans="1:24" x14ac:dyDescent="0.45">
      <c r="A426" s="24">
        <v>4.03</v>
      </c>
      <c r="B426" s="24">
        <f>A426+Age</f>
        <v>24.03</v>
      </c>
      <c r="C426" s="19">
        <f>B*c_gom^B426</f>
        <v>3.1726249614998816E-3</v>
      </c>
      <c r="D426" s="19">
        <f t="shared" si="6"/>
        <v>-3.1385539676245799E-3</v>
      </c>
      <c r="E426" s="26">
        <f>E425+Step_h*D425</f>
        <v>0.98926094502541062</v>
      </c>
      <c r="J426" s="24">
        <f>ROUND(J425-Step_h,2)</f>
        <v>5.97</v>
      </c>
      <c r="K426" s="24">
        <f>J426+Age</f>
        <v>25.97</v>
      </c>
      <c r="L426" s="19">
        <f>B*c_gom^K426</f>
        <v>3.7499557484748074E-3</v>
      </c>
      <c r="M426" s="19">
        <f>N426*delta +Prem-L426*(1-N426)</f>
        <v>-4.6636567892405266E-4</v>
      </c>
      <c r="N426" s="26">
        <f>N425-Step_h*M425</f>
        <v>5.2760986609519563E-3</v>
      </c>
      <c r="U426" s="2"/>
      <c r="X426" s="2"/>
    </row>
    <row r="427" spans="1:24" x14ac:dyDescent="0.45">
      <c r="A427" s="24">
        <v>4.04</v>
      </c>
      <c r="B427" s="24">
        <f>A427+Age</f>
        <v>24.04</v>
      </c>
      <c r="C427" s="19">
        <f>B*c_gom^B427</f>
        <v>3.1753602350306463E-3</v>
      </c>
      <c r="D427" s="19">
        <f t="shared" si="6"/>
        <v>-3.1411602065078842E-3</v>
      </c>
      <c r="E427" s="26">
        <f>E426+Step_h*D426</f>
        <v>0.98922955948573432</v>
      </c>
      <c r="J427" s="24">
        <f>ROUND(J426-Step_h,2)</f>
        <v>5.96</v>
      </c>
      <c r="K427" s="24">
        <f>J427+Age</f>
        <v>25.96</v>
      </c>
      <c r="L427" s="19">
        <f>B*c_gom^K427</f>
        <v>3.7467255150709926E-3</v>
      </c>
      <c r="M427" s="19">
        <f>N427*delta +Prem-L427*(1-N427)</f>
        <v>-4.629018322690262E-4</v>
      </c>
      <c r="N427" s="26">
        <f>N426-Step_h*M426</f>
        <v>5.2807623177411967E-3</v>
      </c>
      <c r="U427" s="2"/>
      <c r="X427" s="2"/>
    </row>
    <row r="428" spans="1:24" x14ac:dyDescent="0.45">
      <c r="A428" s="24">
        <v>4.05</v>
      </c>
      <c r="B428" s="24">
        <f>A428+Age</f>
        <v>24.05</v>
      </c>
      <c r="C428" s="19">
        <f>B*c_gom^B428</f>
        <v>3.1780978667731077E-3</v>
      </c>
      <c r="D428" s="19">
        <f t="shared" si="6"/>
        <v>-3.1437685236049982E-3</v>
      </c>
      <c r="E428" s="26">
        <f>E427+Step_h*D427</f>
        <v>0.98919814788366922</v>
      </c>
      <c r="J428" s="24">
        <f>ROUND(J427-Step_h,2)</f>
        <v>5.95</v>
      </c>
      <c r="K428" s="24">
        <f>J428+Age</f>
        <v>25.95</v>
      </c>
      <c r="L428" s="19">
        <f>B*c_gom^K428</f>
        <v>3.743498064208769E-3</v>
      </c>
      <c r="M428" s="19">
        <f>N428*delta +Prem-L428*(1-N428)</f>
        <v>-4.5944264517043358E-4</v>
      </c>
      <c r="N428" s="26">
        <f>N427-Step_h*M427</f>
        <v>5.2853913360638872E-3</v>
      </c>
      <c r="U428" s="2"/>
      <c r="X428" s="2"/>
    </row>
    <row r="429" spans="1:24" x14ac:dyDescent="0.45">
      <c r="A429" s="24">
        <v>4.0600000000000005</v>
      </c>
      <c r="B429" s="24">
        <f>A429+Age</f>
        <v>24.060000000000002</v>
      </c>
      <c r="C429" s="19">
        <f>B*c_gom^B429</f>
        <v>3.1808378587603907E-3</v>
      </c>
      <c r="D429" s="19">
        <f t="shared" si="6"/>
        <v>-3.1463789204246441E-3</v>
      </c>
      <c r="E429" s="26">
        <f>E428+Step_h*D428</f>
        <v>0.98916671019843316</v>
      </c>
      <c r="J429" s="24">
        <f>ROUND(J428-Step_h,2)</f>
        <v>5.94</v>
      </c>
      <c r="K429" s="24">
        <f>J429+Age</f>
        <v>25.94</v>
      </c>
      <c r="L429" s="19">
        <f>B*c_gom^K429</f>
        <v>3.7402733934912436E-3</v>
      </c>
      <c r="M429" s="19">
        <f>N429*delta +Prem-L429*(1-N429)</f>
        <v>-4.5598811236597942E-4</v>
      </c>
      <c r="N429" s="26">
        <f>N428-Step_h*M428</f>
        <v>5.2899857625155911E-3</v>
      </c>
      <c r="U429" s="2"/>
      <c r="X429" s="2"/>
    </row>
    <row r="430" spans="1:24" x14ac:dyDescent="0.45">
      <c r="A430" s="24">
        <v>4.07</v>
      </c>
      <c r="B430" s="24">
        <f>A430+Age</f>
        <v>24.07</v>
      </c>
      <c r="C430" s="19">
        <f>B*c_gom^B430</f>
        <v>3.1835802130273788E-3</v>
      </c>
      <c r="D430" s="19">
        <f t="shared" si="6"/>
        <v>-3.148991398476382E-3</v>
      </c>
      <c r="E430" s="26">
        <f>E429+Step_h*D429</f>
        <v>0.9891352464092289</v>
      </c>
      <c r="J430" s="24">
        <f>ROUND(J429-Step_h,2)</f>
        <v>5.93</v>
      </c>
      <c r="K430" s="24">
        <f>J430+Age</f>
        <v>25.93</v>
      </c>
      <c r="L430" s="19">
        <f>B*c_gom^K430</f>
        <v>3.7370515005235813E-3</v>
      </c>
      <c r="M430" s="19">
        <f>N430*delta +Prem-L430*(1-N430)</f>
        <v>-4.525382285994659E-4</v>
      </c>
      <c r="N430" s="26">
        <f>N429-Step_h*M429</f>
        <v>5.2945456436392507E-3</v>
      </c>
      <c r="U430" s="2"/>
      <c r="X430" s="2"/>
    </row>
    <row r="431" spans="1:24" x14ac:dyDescent="0.45">
      <c r="A431" s="24">
        <v>4.08</v>
      </c>
      <c r="B431" s="24">
        <f>A431+Age</f>
        <v>24.08</v>
      </c>
      <c r="C431" s="19">
        <f>B*c_gom^B431</f>
        <v>3.1863249316107069E-3</v>
      </c>
      <c r="D431" s="19">
        <f t="shared" si="6"/>
        <v>-3.1516059592706022E-3</v>
      </c>
      <c r="E431" s="26">
        <f>E430+Step_h*D430</f>
        <v>0.98910375649524418</v>
      </c>
      <c r="J431" s="24">
        <f>ROUND(J430-Step_h,2)</f>
        <v>5.92</v>
      </c>
      <c r="K431" s="24">
        <f>J431+Age</f>
        <v>25.92</v>
      </c>
      <c r="L431" s="19">
        <f>B*c_gom^K431</f>
        <v>3.7338323829130119E-3</v>
      </c>
      <c r="M431" s="19">
        <f>N431*delta +Prem-L431*(1-N431)</f>
        <v>-4.4909298862079406E-4</v>
      </c>
      <c r="N431" s="26">
        <f>N430-Step_h*M430</f>
        <v>5.2990710259252453E-3</v>
      </c>
      <c r="U431" s="2"/>
      <c r="X431" s="2"/>
    </row>
    <row r="432" spans="1:24" x14ac:dyDescent="0.45">
      <c r="A432" s="24">
        <v>4.09</v>
      </c>
      <c r="B432" s="24">
        <f>A432+Age</f>
        <v>24.09</v>
      </c>
      <c r="C432" s="19">
        <f>B*c_gom^B432</f>
        <v>3.1890720165487687E-3</v>
      </c>
      <c r="D432" s="19">
        <f t="shared" si="6"/>
        <v>-3.1542226043185318E-3</v>
      </c>
      <c r="E432" s="26">
        <f>E431+Step_h*D431</f>
        <v>0.98907224043565145</v>
      </c>
      <c r="J432" s="24">
        <f>ROUND(J431-Step_h,2)</f>
        <v>5.91</v>
      </c>
      <c r="K432" s="24">
        <f>J432+Age</f>
        <v>25.91</v>
      </c>
      <c r="L432" s="19">
        <f>B*c_gom^K432</f>
        <v>3.7306160382688269E-3</v>
      </c>
      <c r="M432" s="19">
        <f>N432*delta +Prem-L432*(1-N432)</f>
        <v>-4.4565238718595164E-4</v>
      </c>
      <c r="N432" s="26">
        <f>N431-Step_h*M431</f>
        <v>5.3035619558114535E-3</v>
      </c>
      <c r="U432" s="2"/>
      <c r="X432" s="2"/>
    </row>
    <row r="433" spans="1:24" x14ac:dyDescent="0.45">
      <c r="A433" s="24">
        <v>4.0999999999999996</v>
      </c>
      <c r="B433" s="24">
        <f>A433+Age</f>
        <v>24.1</v>
      </c>
      <c r="C433" s="19">
        <f>B*c_gom^B433</f>
        <v>3.19182146988171E-3</v>
      </c>
      <c r="D433" s="19">
        <f t="shared" si="6"/>
        <v>-3.1568413351322246E-3</v>
      </c>
      <c r="E433" s="26">
        <f>E432+Step_h*D432</f>
        <v>0.98904069820960827</v>
      </c>
      <c r="J433" s="24">
        <f>ROUND(J432-Step_h,2)</f>
        <v>5.9</v>
      </c>
      <c r="K433" s="24">
        <f>J433+Age</f>
        <v>25.9</v>
      </c>
      <c r="L433" s="19">
        <f>B*c_gom^K433</f>
        <v>3.7274024642023791E-3</v>
      </c>
      <c r="M433" s="19">
        <f>N433*delta +Prem-L433*(1-N433)</f>
        <v>-4.4221641905701006E-4</v>
      </c>
      <c r="N433" s="26">
        <f>N432-Step_h*M432</f>
        <v>5.3080184796833133E-3</v>
      </c>
      <c r="U433" s="2"/>
      <c r="X433" s="2"/>
    </row>
    <row r="434" spans="1:24" x14ac:dyDescent="0.45">
      <c r="A434" s="24">
        <v>4.1100000000000003</v>
      </c>
      <c r="B434" s="24">
        <f>A434+Age</f>
        <v>24.11</v>
      </c>
      <c r="C434" s="19">
        <f>B*c_gom^B434</f>
        <v>3.19457329365144E-3</v>
      </c>
      <c r="D434" s="19">
        <f t="shared" si="6"/>
        <v>-3.1594621532245733E-3</v>
      </c>
      <c r="E434" s="26">
        <f>E433+Step_h*D433</f>
        <v>0.98900912979625699</v>
      </c>
      <c r="J434" s="24">
        <f>ROUND(J433-Step_h,2)</f>
        <v>5.89</v>
      </c>
      <c r="K434" s="24">
        <f>J434+Age</f>
        <v>25.89</v>
      </c>
      <c r="L434" s="19">
        <f>B*c_gom^K434</f>
        <v>3.724191658327076E-3</v>
      </c>
      <c r="M434" s="19">
        <f>N434*delta +Prem-L434*(1-N434)</f>
        <v>-4.387850790021088E-4</v>
      </c>
      <c r="N434" s="26">
        <f>N433-Step_h*M433</f>
        <v>5.3124406438738838E-3</v>
      </c>
      <c r="U434" s="2"/>
      <c r="X434" s="2"/>
    </row>
    <row r="435" spans="1:24" x14ac:dyDescent="0.45">
      <c r="A435" s="24">
        <v>4.12</v>
      </c>
      <c r="B435" s="24">
        <f>A435+Age</f>
        <v>24.12</v>
      </c>
      <c r="C435" s="19">
        <f>B*c_gom^B435</f>
        <v>3.1973274899016286E-3</v>
      </c>
      <c r="D435" s="19">
        <f t="shared" si="6"/>
        <v>-3.1620850601093023E-3</v>
      </c>
      <c r="E435" s="26">
        <f>E434+Step_h*D434</f>
        <v>0.98897753517472475</v>
      </c>
      <c r="J435" s="24">
        <f>ROUND(J434-Step_h,2)</f>
        <v>5.88</v>
      </c>
      <c r="K435" s="24">
        <f>J435+Age</f>
        <v>25.88</v>
      </c>
      <c r="L435" s="19">
        <f>B*c_gom^K435</f>
        <v>3.72098361825838E-3</v>
      </c>
      <c r="M435" s="19">
        <f>N435*delta +Prem-L435*(1-N435)</f>
        <v>-4.3535836179545108E-4</v>
      </c>
      <c r="N435" s="26">
        <f>N434-Step_h*M434</f>
        <v>5.3168284946639045E-3</v>
      </c>
      <c r="U435" s="2"/>
      <c r="X435" s="2"/>
    </row>
    <row r="436" spans="1:24" x14ac:dyDescent="0.45">
      <c r="A436" s="24">
        <v>4.13</v>
      </c>
      <c r="B436" s="24">
        <f>A436+Age</f>
        <v>24.13</v>
      </c>
      <c r="C436" s="19">
        <f>B*c_gom^B436</f>
        <v>3.2000840606777013E-3</v>
      </c>
      <c r="D436" s="19">
        <f t="shared" si="6"/>
        <v>-3.1647100573009637E-3</v>
      </c>
      <c r="E436" s="26">
        <f>E435+Step_h*D435</f>
        <v>0.98894591432412371</v>
      </c>
      <c r="J436" s="24">
        <f>ROUND(J435-Step_h,2)</f>
        <v>5.87</v>
      </c>
      <c r="K436" s="24">
        <f>J436+Age</f>
        <v>25.87</v>
      </c>
      <c r="L436" s="19">
        <f>B*c_gom^K436</f>
        <v>3.7177783416138151E-3</v>
      </c>
      <c r="M436" s="19">
        <f>N436*delta +Prem-L436*(1-N436)</f>
        <v>-4.3193626221730251E-4</v>
      </c>
      <c r="N436" s="26">
        <f>N435-Step_h*M435</f>
        <v>5.3211820782818591E-3</v>
      </c>
      <c r="U436" s="2"/>
      <c r="X436" s="2"/>
    </row>
    <row r="437" spans="1:24" x14ac:dyDescent="0.45">
      <c r="A437" s="24">
        <v>4.1399999999999997</v>
      </c>
      <c r="B437" s="24">
        <f>A437+Age</f>
        <v>24.14</v>
      </c>
      <c r="C437" s="19">
        <f>B*c_gom^B437</f>
        <v>3.2028430080268577E-3</v>
      </c>
      <c r="D437" s="19">
        <f t="shared" si="6"/>
        <v>-3.1673371463149529E-3</v>
      </c>
      <c r="E437" s="26">
        <f>E436+Step_h*D436</f>
        <v>0.98891426722355069</v>
      </c>
      <c r="J437" s="24">
        <f>ROUND(J436-Step_h,2)</f>
        <v>5.86</v>
      </c>
      <c r="K437" s="24">
        <f>J437+Age</f>
        <v>25.86</v>
      </c>
      <c r="L437" s="19">
        <f>B*c_gom^K437</f>
        <v>3.7145758260129437E-3</v>
      </c>
      <c r="M437" s="19">
        <f>N437*delta +Prem-L437*(1-N437)</f>
        <v>-4.2851877505396254E-4</v>
      </c>
      <c r="N437" s="26">
        <f>N436-Step_h*M436</f>
        <v>5.3255014409040319E-3</v>
      </c>
      <c r="U437" s="2"/>
      <c r="X437" s="2"/>
    </row>
    <row r="438" spans="1:24" x14ac:dyDescent="0.45">
      <c r="A438" s="24">
        <v>4.1500000000000004</v>
      </c>
      <c r="B438" s="24">
        <f>A438+Age</f>
        <v>24.15</v>
      </c>
      <c r="C438" s="19">
        <f>B*c_gom^B438</f>
        <v>3.2056043339980527E-3</v>
      </c>
      <c r="D438" s="19">
        <f t="shared" si="6"/>
        <v>-3.1699663286674879E-3</v>
      </c>
      <c r="E438" s="26">
        <f>E437+Step_h*D437</f>
        <v>0.98888259385208754</v>
      </c>
      <c r="J438" s="24">
        <f>ROUND(J437-Step_h,2)</f>
        <v>5.85</v>
      </c>
      <c r="K438" s="24">
        <f>J438+Age</f>
        <v>25.85</v>
      </c>
      <c r="L438" s="19">
        <f>B*c_gom^K438</f>
        <v>3.7113760690773924E-3</v>
      </c>
      <c r="M438" s="19">
        <f>N438*delta +Prem-L438*(1-N438)</f>
        <v>-4.2510589509778653E-4</v>
      </c>
      <c r="N438" s="26">
        <f>N437-Step_h*M437</f>
        <v>5.3297866286545715E-3</v>
      </c>
      <c r="U438" s="2"/>
      <c r="X438" s="2"/>
    </row>
    <row r="439" spans="1:24" x14ac:dyDescent="0.45">
      <c r="A439" s="24">
        <v>4.16</v>
      </c>
      <c r="B439" s="24">
        <f>A439+Age</f>
        <v>24.16</v>
      </c>
      <c r="C439" s="19">
        <f>B*c_gom^B439</f>
        <v>3.2083680406420128E-3</v>
      </c>
      <c r="D439" s="19">
        <f t="shared" si="6"/>
        <v>-3.1725976058756254E-3</v>
      </c>
      <c r="E439" s="26">
        <f>E438+Step_h*D438</f>
        <v>0.9888508941888009</v>
      </c>
      <c r="J439" s="24">
        <f>ROUND(J438-Step_h,2)</f>
        <v>5.84</v>
      </c>
      <c r="K439" s="24">
        <f>J439+Age</f>
        <v>25.84</v>
      </c>
      <c r="L439" s="19">
        <f>B*c_gom^K439</f>
        <v>3.7081790684308303E-3</v>
      </c>
      <c r="M439" s="19">
        <f>N439*delta +Prem-L439*(1-N439)</f>
        <v>-4.2169761714715235E-4</v>
      </c>
      <c r="N439" s="26">
        <f>N438-Step_h*M438</f>
        <v>5.3340376876055496E-3</v>
      </c>
      <c r="U439" s="2"/>
      <c r="X439" s="2"/>
    </row>
    <row r="440" spans="1:24" x14ac:dyDescent="0.45">
      <c r="A440" s="24">
        <v>4.17</v>
      </c>
      <c r="B440" s="24">
        <f>A440+Age</f>
        <v>24.17</v>
      </c>
      <c r="C440" s="19">
        <f>B*c_gom^B440</f>
        <v>3.2111341300112319E-3</v>
      </c>
      <c r="D440" s="19">
        <f t="shared" si="6"/>
        <v>-3.1752309794572538E-3</v>
      </c>
      <c r="E440" s="26">
        <f>E439+Step_h*D439</f>
        <v>0.98881916821274218</v>
      </c>
      <c r="J440" s="24">
        <f>ROUND(J439-Step_h,2)</f>
        <v>5.83</v>
      </c>
      <c r="K440" s="24">
        <f>J440+Age</f>
        <v>25.83</v>
      </c>
      <c r="L440" s="19">
        <f>B*c_gom^K440</f>
        <v>3.7049848216989716E-3</v>
      </c>
      <c r="M440" s="19">
        <f>N440*delta +Prem-L440*(1-N440)</f>
        <v>-4.1829393600646301E-4</v>
      </c>
      <c r="N440" s="26">
        <f>N439-Step_h*M439</f>
        <v>5.3382546637770209E-3</v>
      </c>
      <c r="U440" s="2"/>
      <c r="X440" s="2"/>
    </row>
    <row r="441" spans="1:24" x14ac:dyDescent="0.45">
      <c r="A441" s="24">
        <v>4.18</v>
      </c>
      <c r="B441" s="24">
        <f>A441+Age</f>
        <v>24.18</v>
      </c>
      <c r="C441" s="19">
        <f>B*c_gom^B441</f>
        <v>3.2139026041599706E-3</v>
      </c>
      <c r="D441" s="19">
        <f t="shared" si="6"/>
        <v>-3.1778664509310912E-3</v>
      </c>
      <c r="E441" s="26">
        <f>E440+Step_h*D440</f>
        <v>0.98878741590294761</v>
      </c>
      <c r="J441" s="24">
        <f>ROUND(J440-Step_h,2)</f>
        <v>5.82</v>
      </c>
      <c r="K441" s="24">
        <f>J441+Age</f>
        <v>25.82</v>
      </c>
      <c r="L441" s="19">
        <f>B*c_gom^K441</f>
        <v>3.7017933265095821E-3</v>
      </c>
      <c r="M441" s="19">
        <f>N441*delta +Prem-L441*(1-N441)</f>
        <v>-4.1489484648614058E-4</v>
      </c>
      <c r="N441" s="26">
        <f>N440-Step_h*M440</f>
        <v>5.3424376031370856E-3</v>
      </c>
      <c r="U441" s="2"/>
      <c r="X441" s="2"/>
    </row>
    <row r="442" spans="1:24" x14ac:dyDescent="0.45">
      <c r="A442" s="24">
        <v>4.1900000000000004</v>
      </c>
      <c r="B442" s="24">
        <f>A442+Age</f>
        <v>24.19</v>
      </c>
      <c r="C442" s="19">
        <f>B*c_gom^B442</f>
        <v>3.2166734651442631E-3</v>
      </c>
      <c r="D442" s="19">
        <f t="shared" si="6"/>
        <v>-3.1805040218166915E-3</v>
      </c>
      <c r="E442" s="26">
        <f>E441+Step_h*D441</f>
        <v>0.98875563723843829</v>
      </c>
      <c r="J442" s="24">
        <f>ROUND(J441-Step_h,2)</f>
        <v>5.81</v>
      </c>
      <c r="K442" s="24">
        <f>J442+Age</f>
        <v>25.81</v>
      </c>
      <c r="L442" s="19">
        <f>B*c_gom^K442</f>
        <v>3.698604580492466E-3</v>
      </c>
      <c r="M442" s="19">
        <f>N442*delta +Prem-L442*(1-N442)</f>
        <v>-4.1150034340261448E-4</v>
      </c>
      <c r="N442" s="26">
        <f>N441-Step_h*M441</f>
        <v>5.3465865516019468E-3</v>
      </c>
      <c r="U442" s="2"/>
      <c r="X442" s="2"/>
    </row>
    <row r="443" spans="1:24" x14ac:dyDescent="0.45">
      <c r="A443" s="24">
        <v>4.2</v>
      </c>
      <c r="B443" s="24">
        <f>A443+Age</f>
        <v>24.2</v>
      </c>
      <c r="C443" s="19">
        <f>B*c_gom^B443</f>
        <v>3.2194467150219175E-3</v>
      </c>
      <c r="D443" s="19">
        <f t="shared" si="6"/>
        <v>-3.1831436936344414E-3</v>
      </c>
      <c r="E443" s="26">
        <f>E442+Step_h*D442</f>
        <v>0.98872383219822013</v>
      </c>
      <c r="J443" s="24">
        <f>ROUND(J442-Step_h,2)</f>
        <v>5.8</v>
      </c>
      <c r="K443" s="24">
        <f>J443+Age</f>
        <v>25.8</v>
      </c>
      <c r="L443" s="19">
        <f>B*c_gom^K443</f>
        <v>3.6954185812794701E-3</v>
      </c>
      <c r="M443" s="19">
        <f>N443*delta +Prem-L443*(1-N443)</f>
        <v>-4.0811042157831061E-4</v>
      </c>
      <c r="N443" s="26">
        <f>N442-Step_h*M442</f>
        <v>5.3507015550359732E-3</v>
      </c>
      <c r="U443" s="2"/>
      <c r="X443" s="2"/>
    </row>
    <row r="444" spans="1:24" x14ac:dyDescent="0.45">
      <c r="A444" s="24">
        <v>4.21</v>
      </c>
      <c r="B444" s="24">
        <f>A444+Age</f>
        <v>24.21</v>
      </c>
      <c r="C444" s="19">
        <f>B*c_gom^B444</f>
        <v>3.2222223558525153E-3</v>
      </c>
      <c r="D444" s="19">
        <f t="shared" si="6"/>
        <v>-3.1857854679055607E-3</v>
      </c>
      <c r="E444" s="26">
        <f>E443+Step_h*D443</f>
        <v>0.98869200076128383</v>
      </c>
      <c r="J444" s="24">
        <f>ROUND(J443-Step_h,2)</f>
        <v>5.79</v>
      </c>
      <c r="K444" s="24">
        <f>J444+Age</f>
        <v>25.79</v>
      </c>
      <c r="L444" s="19">
        <f>B*c_gom^K444</f>
        <v>3.69223532650448E-3</v>
      </c>
      <c r="M444" s="19">
        <f>N444*delta +Prem-L444*(1-N444)</f>
        <v>-4.0472507584164924E-4</v>
      </c>
      <c r="N444" s="26">
        <f>N443-Step_h*M443</f>
        <v>5.3547826592517563E-3</v>
      </c>
      <c r="U444" s="2"/>
      <c r="X444" s="2"/>
    </row>
    <row r="445" spans="1:24" x14ac:dyDescent="0.45">
      <c r="A445" s="24">
        <v>4.22</v>
      </c>
      <c r="B445" s="24">
        <f>A445+Age</f>
        <v>24.22</v>
      </c>
      <c r="C445" s="19">
        <f>B*c_gom^B445</f>
        <v>3.2250003896974093E-3</v>
      </c>
      <c r="D445" s="19">
        <f t="shared" si="6"/>
        <v>-3.1884293461520966E-3</v>
      </c>
      <c r="E445" s="26">
        <f>E444+Step_h*D444</f>
        <v>0.98866014290660476</v>
      </c>
      <c r="J445" s="24">
        <f>ROUND(J444-Step_h,2)</f>
        <v>5.78</v>
      </c>
      <c r="K445" s="24">
        <f>J445+Age</f>
        <v>25.78</v>
      </c>
      <c r="L445" s="19">
        <f>B*c_gom^K445</f>
        <v>3.6890548138034242E-3</v>
      </c>
      <c r="M445" s="19">
        <f>N445*delta +Prem-L445*(1-N445)</f>
        <v>-4.0134430102703889E-4</v>
      </c>
      <c r="N445" s="26">
        <f>N444-Step_h*M444</f>
        <v>5.358829910010173E-3</v>
      </c>
      <c r="U445" s="2"/>
      <c r="X445" s="2"/>
    </row>
    <row r="446" spans="1:24" x14ac:dyDescent="0.45">
      <c r="A446" s="24">
        <v>4.2300000000000004</v>
      </c>
      <c r="B446" s="24">
        <f>A446+Age</f>
        <v>24.23</v>
      </c>
      <c r="C446" s="19">
        <f>B*c_gom^B446</f>
        <v>3.227780818619734E-3</v>
      </c>
      <c r="D446" s="19">
        <f t="shared" si="6"/>
        <v>-3.1910753298969334E-3</v>
      </c>
      <c r="E446" s="26">
        <f>E445+Step_h*D445</f>
        <v>0.98862825861314318</v>
      </c>
      <c r="J446" s="24">
        <f>ROUND(J445-Step_h,2)</f>
        <v>5.77</v>
      </c>
      <c r="K446" s="24">
        <f>J446+Age</f>
        <v>25.77</v>
      </c>
      <c r="L446" s="19">
        <f>B*c_gom^K446</f>
        <v>3.6858770408142636E-3</v>
      </c>
      <c r="M446" s="19">
        <f>N446*delta +Prem-L446*(1-N446)</f>
        <v>-3.9796809197485987E-4</v>
      </c>
      <c r="N446" s="26">
        <f>N445-Step_h*M445</f>
        <v>5.3628433530204436E-3</v>
      </c>
      <c r="U446" s="2"/>
      <c r="X446" s="2"/>
    </row>
    <row r="447" spans="1:24" x14ac:dyDescent="0.45">
      <c r="A447" s="24">
        <v>4.24</v>
      </c>
      <c r="B447" s="24">
        <f>A447+Age</f>
        <v>24.240000000000002</v>
      </c>
      <c r="C447" s="19">
        <f>B*c_gom^B447</f>
        <v>3.2305636446844049E-3</v>
      </c>
      <c r="D447" s="19">
        <f t="shared" si="6"/>
        <v>-3.1937234206637901E-3</v>
      </c>
      <c r="E447" s="26">
        <f>E446+Step_h*D446</f>
        <v>0.98859634785984418</v>
      </c>
      <c r="J447" s="24">
        <f>ROUND(J446-Step_h,2)</f>
        <v>5.76</v>
      </c>
      <c r="K447" s="24">
        <f>J447+Age</f>
        <v>25.759999999999998</v>
      </c>
      <c r="L447" s="19">
        <f>B*c_gom^K447</f>
        <v>3.6827020051769916E-3</v>
      </c>
      <c r="M447" s="19">
        <f>N447*delta +Prem-L447*(1-N447)</f>
        <v>-3.9459644353146035E-4</v>
      </c>
      <c r="N447" s="26">
        <f>N446-Step_h*M446</f>
        <v>5.3668230339401924E-3</v>
      </c>
      <c r="U447" s="2"/>
      <c r="X447" s="2"/>
    </row>
    <row r="448" spans="1:24" x14ac:dyDescent="0.45">
      <c r="A448" s="24">
        <v>4.25</v>
      </c>
      <c r="B448" s="24">
        <f>A448+Age</f>
        <v>24.25</v>
      </c>
      <c r="C448" s="19">
        <f>B*c_gom^B448</f>
        <v>3.2333488699581099E-3</v>
      </c>
      <c r="D448" s="19">
        <f t="shared" si="6"/>
        <v>-3.1963736199772099E-3</v>
      </c>
      <c r="E448" s="26">
        <f>E447+Step_h*D447</f>
        <v>0.98856441062563749</v>
      </c>
      <c r="J448" s="24">
        <f>ROUND(J447-Step_h,2)</f>
        <v>5.75</v>
      </c>
      <c r="K448" s="24">
        <f>J448+Age</f>
        <v>25.75</v>
      </c>
      <c r="L448" s="19">
        <f>B*c_gom^K448</f>
        <v>3.6795297045336419E-3</v>
      </c>
      <c r="M448" s="19">
        <f>N448*delta +Prem-L448*(1-N448)</f>
        <v>-3.9122935054915512E-4</v>
      </c>
      <c r="N448" s="26">
        <f>N447-Step_h*M447</f>
        <v>5.370768998375507E-3</v>
      </c>
      <c r="U448" s="2"/>
      <c r="X448" s="2"/>
    </row>
    <row r="449" spans="1:24" x14ac:dyDescent="0.45">
      <c r="A449" s="24">
        <v>4.26</v>
      </c>
      <c r="B449" s="24">
        <f>A449+Age</f>
        <v>24.259999999999998</v>
      </c>
      <c r="C449" s="19">
        <f>B*c_gom^B449</f>
        <v>3.2361364965093247E-3</v>
      </c>
      <c r="D449" s="19">
        <f t="shared" si="6"/>
        <v>-3.1990259293625751E-3</v>
      </c>
      <c r="E449" s="26">
        <f>E448+Step_h*D448</f>
        <v>0.98853244688943775</v>
      </c>
      <c r="J449" s="24">
        <f>ROUND(J448-Step_h,2)</f>
        <v>5.74</v>
      </c>
      <c r="K449" s="24">
        <f>J449+Age</f>
        <v>25.740000000000002</v>
      </c>
      <c r="L449" s="19">
        <f>B*c_gom^K449</f>
        <v>3.6763601365282727E-3</v>
      </c>
      <c r="M449" s="19">
        <f>N449*delta +Prem-L449*(1-N449)</f>
        <v>-3.8786680788620732E-4</v>
      </c>
      <c r="N449" s="26">
        <f>N448-Step_h*M448</f>
        <v>5.3746812918809986E-3</v>
      </c>
      <c r="U449" s="2"/>
      <c r="X449" s="2"/>
    </row>
    <row r="450" spans="1:24" x14ac:dyDescent="0.45">
      <c r="A450" s="24">
        <v>4.2700000000000005</v>
      </c>
      <c r="B450" s="24">
        <f>A450+Age</f>
        <v>24.27</v>
      </c>
      <c r="C450" s="19">
        <f>B*c_gom^B450</f>
        <v>3.2389265264083072E-3</v>
      </c>
      <c r="D450" s="19">
        <f t="shared" si="6"/>
        <v>-3.2016803503460982E-3</v>
      </c>
      <c r="E450" s="26">
        <f>E449+Step_h*D449</f>
        <v>0.98850045663014408</v>
      </c>
      <c r="J450" s="24">
        <f>ROUND(J449-Step_h,2)</f>
        <v>5.73</v>
      </c>
      <c r="K450" s="24">
        <f>J450+Age</f>
        <v>25.73</v>
      </c>
      <c r="L450" s="19">
        <f>B*c_gom^K450</f>
        <v>3.6731932988069752E-3</v>
      </c>
      <c r="M450" s="19">
        <f>N450*delta +Prem-L450*(1-N450)</f>
        <v>-3.8450881040682627E-4</v>
      </c>
      <c r="N450" s="26">
        <f>N449-Step_h*M449</f>
        <v>5.3785599599598605E-3</v>
      </c>
      <c r="U450" s="2"/>
      <c r="X450" s="2"/>
    </row>
    <row r="451" spans="1:24" x14ac:dyDescent="0.45">
      <c r="A451" s="24">
        <v>4.28</v>
      </c>
      <c r="B451" s="24">
        <f>A451+Age</f>
        <v>24.28</v>
      </c>
      <c r="C451" s="19">
        <f>B*c_gom^B451</f>
        <v>3.2417189617271014E-3</v>
      </c>
      <c r="D451" s="19">
        <f t="shared" si="6"/>
        <v>-3.2043368844548248E-3</v>
      </c>
      <c r="E451" s="26">
        <f>E450+Step_h*D450</f>
        <v>0.98846843982664057</v>
      </c>
      <c r="J451" s="24">
        <f>ROUND(J450-Step_h,2)</f>
        <v>5.72</v>
      </c>
      <c r="K451" s="24">
        <f>J451+Age</f>
        <v>25.72</v>
      </c>
      <c r="L451" s="19">
        <f>B*c_gom^K451</f>
        <v>3.6700291890178643E-3</v>
      </c>
      <c r="M451" s="19">
        <f>N451*delta +Prem-L451*(1-N451)</f>
        <v>-3.8115535298115623E-4</v>
      </c>
      <c r="N451" s="26">
        <f>N450-Step_h*M450</f>
        <v>5.3824050480639285E-3</v>
      </c>
      <c r="U451" s="2"/>
      <c r="X451" s="2"/>
    </row>
    <row r="452" spans="1:24" x14ac:dyDescent="0.45">
      <c r="A452" s="24">
        <v>4.29</v>
      </c>
      <c r="B452" s="24">
        <f>A452+Age</f>
        <v>24.29</v>
      </c>
      <c r="C452" s="19">
        <f>B*c_gom^B452</f>
        <v>3.2445138045395332E-3</v>
      </c>
      <c r="D452" s="19">
        <f t="shared" si="6"/>
        <v>-3.2069955332166299E-3</v>
      </c>
      <c r="E452" s="26">
        <f>E451+Step_h*D451</f>
        <v>0.98843639645779602</v>
      </c>
      <c r="J452" s="24">
        <f>ROUND(J451-Step_h,2)</f>
        <v>5.71</v>
      </c>
      <c r="K452" s="24">
        <f>J452+Age</f>
        <v>25.71</v>
      </c>
      <c r="L452" s="19">
        <f>B*c_gom^K452</f>
        <v>3.6668678048110866E-3</v>
      </c>
      <c r="M452" s="19">
        <f>N452*delta +Prem-L452*(1-N452)</f>
        <v>-3.7780643048527639E-4</v>
      </c>
      <c r="N452" s="26">
        <f>N451-Step_h*M451</f>
        <v>5.3862166015937402E-3</v>
      </c>
      <c r="U452" s="2"/>
      <c r="X452" s="2"/>
    </row>
    <row r="453" spans="1:24" x14ac:dyDescent="0.45">
      <c r="A453" s="24">
        <v>4.3</v>
      </c>
      <c r="B453" s="24">
        <f>A453+Age</f>
        <v>24.3</v>
      </c>
      <c r="C453" s="19">
        <f>B*c_gom^B453</f>
        <v>3.2473110569212213E-3</v>
      </c>
      <c r="D453" s="19">
        <f t="shared" si="6"/>
        <v>-3.2096562981602239E-3</v>
      </c>
      <c r="E453" s="26">
        <f>E452+Step_h*D452</f>
        <v>0.9884043265024639</v>
      </c>
      <c r="J453" s="24">
        <f>ROUND(J452-Step_h,2)</f>
        <v>5.7</v>
      </c>
      <c r="K453" s="24">
        <f>J453+Age</f>
        <v>25.7</v>
      </c>
      <c r="L453" s="19">
        <f>B*c_gom^K453</f>
        <v>3.6637091438388092E-3</v>
      </c>
      <c r="M453" s="19">
        <f>N453*delta +Prem-L453*(1-N453)</f>
        <v>-3.7446203780118438E-4</v>
      </c>
      <c r="N453" s="26">
        <f>N452-Step_h*M452</f>
        <v>5.3899946658985927E-3</v>
      </c>
      <c r="U453" s="2"/>
      <c r="X453" s="2"/>
    </row>
    <row r="454" spans="1:24" x14ac:dyDescent="0.45">
      <c r="A454" s="24">
        <v>4.3100000000000005</v>
      </c>
      <c r="B454" s="24">
        <f>A454+Age</f>
        <v>24.310000000000002</v>
      </c>
      <c r="C454" s="19">
        <f>B*c_gom^B454</f>
        <v>3.2501107209495731E-3</v>
      </c>
      <c r="D454" s="19">
        <f t="shared" si="6"/>
        <v>-3.2123191808151479E-3</v>
      </c>
      <c r="E454" s="26">
        <f>E453+Step_h*D453</f>
        <v>0.98837222993948226</v>
      </c>
      <c r="J454" s="24">
        <f>ROUND(J453-Step_h,2)</f>
        <v>5.69</v>
      </c>
      <c r="K454" s="24">
        <f>J454+Age</f>
        <v>25.69</v>
      </c>
      <c r="L454" s="19">
        <f>B*c_gom^K454</f>
        <v>3.6605532037552219E-3</v>
      </c>
      <c r="M454" s="19">
        <f>N454*delta +Prem-L454*(1-N454)</f>
        <v>-3.7112216981679148E-4</v>
      </c>
      <c r="N454" s="26">
        <f>N453-Step_h*M453</f>
        <v>5.3937392862766047E-3</v>
      </c>
      <c r="U454" s="2"/>
      <c r="X454" s="2"/>
    </row>
    <row r="455" spans="1:24" x14ac:dyDescent="0.45">
      <c r="A455" s="24">
        <v>4.32</v>
      </c>
      <c r="B455" s="24">
        <f>A455+Age</f>
        <v>24.32</v>
      </c>
      <c r="C455" s="19">
        <f>B*c_gom^B455</f>
        <v>3.2529127987037821E-3</v>
      </c>
      <c r="D455" s="19">
        <f t="shared" si="6"/>
        <v>-3.2149841827117717E-3</v>
      </c>
      <c r="E455" s="26">
        <f>E454+Step_h*D454</f>
        <v>0.98834010674767414</v>
      </c>
      <c r="J455" s="24">
        <f>ROUND(J454-Step_h,2)</f>
        <v>5.68</v>
      </c>
      <c r="K455" s="24">
        <f>J455+Age</f>
        <v>25.68</v>
      </c>
      <c r="L455" s="19">
        <f>B*c_gom^K455</f>
        <v>3.6573999822165333E-3</v>
      </c>
      <c r="M455" s="19">
        <f>N455*delta +Prem-L455*(1-N455)</f>
        <v>-3.6778682142591312E-4</v>
      </c>
      <c r="N455" s="26">
        <f>N454-Step_h*M454</f>
        <v>5.3974505079747723E-3</v>
      </c>
      <c r="U455" s="2"/>
      <c r="X455" s="2"/>
    </row>
    <row r="456" spans="1:24" x14ac:dyDescent="0.45">
      <c r="A456" s="24">
        <v>4.33</v>
      </c>
      <c r="B456" s="24">
        <f>A456+Age</f>
        <v>24.33</v>
      </c>
      <c r="C456" s="19">
        <f>B*c_gom^B456</f>
        <v>3.2557172922648391E-3</v>
      </c>
      <c r="D456" s="19">
        <f t="shared" si="6"/>
        <v>-3.2176513053812994E-3</v>
      </c>
      <c r="E456" s="26">
        <f>E455+Step_h*D455</f>
        <v>0.98830795690584705</v>
      </c>
      <c r="J456" s="24">
        <f>ROUND(J455-Step_h,2)</f>
        <v>5.67</v>
      </c>
      <c r="K456" s="24">
        <f>J456+Age</f>
        <v>25.67</v>
      </c>
      <c r="L456" s="19">
        <f>B*c_gom^K456</f>
        <v>3.6542494768809792E-3</v>
      </c>
      <c r="M456" s="19">
        <f>N456*delta +Prem-L456*(1-N456)</f>
        <v>-3.644559875282719E-4</v>
      </c>
      <c r="N456" s="26">
        <f>N455-Step_h*M455</f>
        <v>5.4011283761890311E-3</v>
      </c>
      <c r="U456" s="2"/>
      <c r="X456" s="2"/>
    </row>
    <row r="457" spans="1:24" x14ac:dyDescent="0.45">
      <c r="A457" s="24">
        <v>4.34</v>
      </c>
      <c r="B457" s="24">
        <f>A457+Age</f>
        <v>24.34</v>
      </c>
      <c r="C457" s="19">
        <f>B*c_gom^B457</f>
        <v>3.2585242037155328E-3</v>
      </c>
      <c r="D457" s="19">
        <f t="shared" si="6"/>
        <v>-3.2203205503557736E-3</v>
      </c>
      <c r="E457" s="26">
        <f>E456+Step_h*D456</f>
        <v>0.98827578039279329</v>
      </c>
      <c r="J457" s="24">
        <f>ROUND(J456-Step_h,2)</f>
        <v>5.66</v>
      </c>
      <c r="K457" s="24">
        <f>J457+Age</f>
        <v>25.66</v>
      </c>
      <c r="L457" s="19">
        <f>B*c_gom^K457</f>
        <v>3.6511016854087991E-3</v>
      </c>
      <c r="M457" s="19">
        <f>N457*delta +Prem-L457*(1-N457)</f>
        <v>-3.611296630294668E-4</v>
      </c>
      <c r="N457" s="26">
        <f>N456-Step_h*M456</f>
        <v>5.4047729360643141E-3</v>
      </c>
      <c r="U457" s="2"/>
      <c r="X457" s="2"/>
    </row>
    <row r="458" spans="1:24" x14ac:dyDescent="0.45">
      <c r="A458" s="24">
        <v>4.3500000000000005</v>
      </c>
      <c r="B458" s="24">
        <f>A458+Age</f>
        <v>24.35</v>
      </c>
      <c r="C458" s="19">
        <f>B*c_gom^B458</f>
        <v>3.2613335351404388E-3</v>
      </c>
      <c r="D458" s="19">
        <f t="shared" si="6"/>
        <v>-3.2229919191680569E-3</v>
      </c>
      <c r="E458" s="26">
        <f>E457+Step_h*D457</f>
        <v>0.98824357718728972</v>
      </c>
      <c r="J458" s="24">
        <f>ROUND(J457-Step_h,2)</f>
        <v>5.65</v>
      </c>
      <c r="K458" s="24">
        <f>J458+Age</f>
        <v>25.65</v>
      </c>
      <c r="L458" s="19">
        <f>B*c_gom^K458</f>
        <v>3.6479566054622597E-3</v>
      </c>
      <c r="M458" s="19">
        <f>N458*delta +Prem-L458*(1-N458)</f>
        <v>-3.5780784284099266E-4</v>
      </c>
      <c r="N458" s="26">
        <f>N457-Step_h*M457</f>
        <v>5.4083842326946088E-3</v>
      </c>
      <c r="U458" s="2"/>
      <c r="X458" s="2"/>
    </row>
    <row r="459" spans="1:24" x14ac:dyDescent="0.45">
      <c r="A459" s="24">
        <v>4.3600000000000003</v>
      </c>
      <c r="B459" s="24">
        <f>A459+Age</f>
        <v>24.36</v>
      </c>
      <c r="C459" s="19">
        <f>B*c_gom^B459</f>
        <v>3.2641452886259326E-3</v>
      </c>
      <c r="D459" s="19">
        <f t="shared" si="6"/>
        <v>-3.2256654133518475E-3</v>
      </c>
      <c r="E459" s="26">
        <f>E458+Step_h*D458</f>
        <v>0.98821134726809801</v>
      </c>
      <c r="J459" s="24">
        <f>ROUND(J458-Step_h,2)</f>
        <v>5.64</v>
      </c>
      <c r="K459" s="24">
        <f>J459+Age</f>
        <v>25.64</v>
      </c>
      <c r="L459" s="19">
        <f>B*c_gom^K459</f>
        <v>3.6448142347056392E-3</v>
      </c>
      <c r="M459" s="19">
        <f>N459*delta +Prem-L459*(1-N459)</f>
        <v>-3.544905218802164E-4</v>
      </c>
      <c r="N459" s="26">
        <f>N458-Step_h*M458</f>
        <v>5.411962311123019E-3</v>
      </c>
      <c r="U459" s="2"/>
      <c r="X459" s="2"/>
    </row>
    <row r="460" spans="1:24" x14ac:dyDescent="0.45">
      <c r="A460" s="24">
        <v>4.37</v>
      </c>
      <c r="B460" s="24">
        <f>A460+Age</f>
        <v>24.37</v>
      </c>
      <c r="C460" s="19">
        <f>B*c_gom^B460</f>
        <v>3.2669594662601939E-3</v>
      </c>
      <c r="D460" s="19">
        <f t="shared" si="6"/>
        <v>-3.2283410344416813E-3</v>
      </c>
      <c r="E460" s="26">
        <f>E459+Step_h*D459</f>
        <v>0.98817909061396447</v>
      </c>
      <c r="J460" s="24">
        <f>ROUND(J459-Step_h,2)</f>
        <v>5.63</v>
      </c>
      <c r="K460" s="24">
        <f>J460+Age</f>
        <v>25.63</v>
      </c>
      <c r="L460" s="19">
        <f>B*c_gom^K460</f>
        <v>3.6416745708052205E-3</v>
      </c>
      <c r="M460" s="19">
        <f>N460*delta +Prem-L460*(1-N460)</f>
        <v>-3.5117769507036481E-4</v>
      </c>
      <c r="N460" s="26">
        <f>N459-Step_h*M459</f>
        <v>5.4155072163418212E-3</v>
      </c>
      <c r="U460" s="2"/>
      <c r="X460" s="2"/>
    </row>
    <row r="461" spans="1:24" x14ac:dyDescent="0.45">
      <c r="A461" s="24">
        <v>4.38</v>
      </c>
      <c r="B461" s="24">
        <f>A461+Age</f>
        <v>24.38</v>
      </c>
      <c r="C461" s="19">
        <f>B*c_gom^B461</f>
        <v>3.269776070133196E-3</v>
      </c>
      <c r="D461" s="19">
        <f t="shared" si="6"/>
        <v>-3.2310187839729174E-3</v>
      </c>
      <c r="E461" s="26">
        <f>E460+Step_h*D460</f>
        <v>0.98814680720362003</v>
      </c>
      <c r="J461" s="24">
        <f>ROUND(J460-Step_h,2)</f>
        <v>5.62</v>
      </c>
      <c r="K461" s="24">
        <f>J461+Age</f>
        <v>25.62</v>
      </c>
      <c r="L461" s="19">
        <f>B*c_gom^K461</f>
        <v>3.6385376114293076E-3</v>
      </c>
      <c r="M461" s="19">
        <f>N461*delta +Prem-L461*(1-N461)</f>
        <v>-3.4786935734053672E-4</v>
      </c>
      <c r="N461" s="26">
        <f>N460-Step_h*M460</f>
        <v>5.4190189932925249E-3</v>
      </c>
      <c r="U461" s="2"/>
      <c r="X461" s="2"/>
    </row>
    <row r="462" spans="1:24" x14ac:dyDescent="0.45">
      <c r="A462" s="24">
        <v>4.3899999999999997</v>
      </c>
      <c r="B462" s="24">
        <f>A462+Age</f>
        <v>24.39</v>
      </c>
      <c r="C462" s="19">
        <f>B*c_gom^B462</f>
        <v>3.2725951023367173E-3</v>
      </c>
      <c r="D462" s="19">
        <f t="shared" si="6"/>
        <v>-3.2336986634817514E-3</v>
      </c>
      <c r="E462" s="26">
        <f>E461+Step_h*D461</f>
        <v>0.98811449701578025</v>
      </c>
      <c r="J462" s="24">
        <f>ROUND(J461-Step_h,2)</f>
        <v>5.61</v>
      </c>
      <c r="K462" s="24">
        <f>J462+Age</f>
        <v>25.61</v>
      </c>
      <c r="L462" s="19">
        <f>B*c_gom^K462</f>
        <v>3.6354033542482038E-3</v>
      </c>
      <c r="M462" s="19">
        <f>N462*delta +Prem-L462*(1-N462)</f>
        <v>-3.4456550362567135E-4</v>
      </c>
      <c r="N462" s="26">
        <f>N461-Step_h*M461</f>
        <v>5.4224976868659305E-3</v>
      </c>
      <c r="U462" s="2"/>
      <c r="X462" s="2"/>
    </row>
    <row r="463" spans="1:24" x14ac:dyDescent="0.45">
      <c r="A463" s="24">
        <v>4.4000000000000004</v>
      </c>
      <c r="B463" s="24">
        <f>A463+Age</f>
        <v>24.4</v>
      </c>
      <c r="C463" s="19">
        <f>B*c_gom^B463</f>
        <v>3.2754165649643394E-3</v>
      </c>
      <c r="D463" s="19">
        <f t="shared" si="6"/>
        <v>-3.2363806745052083E-3</v>
      </c>
      <c r="E463" s="26">
        <f>E462+Step_h*D462</f>
        <v>0.9880821600291454</v>
      </c>
      <c r="J463" s="24">
        <f>ROUND(J462-Step_h,2)</f>
        <v>5.6</v>
      </c>
      <c r="K463" s="24">
        <f>J463+Age</f>
        <v>25.6</v>
      </c>
      <c r="L463" s="19">
        <f>B*c_gom^K463</f>
        <v>3.6322717969342251E-3</v>
      </c>
      <c r="M463" s="19">
        <f>N463*delta +Prem-L463*(1-N463)</f>
        <v>-3.4126612886656131E-4</v>
      </c>
      <c r="N463" s="26">
        <f>N462-Step_h*M462</f>
        <v>5.425943341902187E-3</v>
      </c>
      <c r="U463" s="2"/>
      <c r="X463" s="2"/>
    </row>
    <row r="464" spans="1:24" x14ac:dyDescent="0.45">
      <c r="A464" s="24">
        <v>4.41</v>
      </c>
      <c r="B464" s="24">
        <f>A464+Age</f>
        <v>24.41</v>
      </c>
      <c r="C464" s="19">
        <f>B*c_gom^B464</f>
        <v>3.2782404601114493E-3</v>
      </c>
      <c r="D464" s="19">
        <f t="shared" si="6"/>
        <v>-3.2390648185811454E-3</v>
      </c>
      <c r="E464" s="26">
        <f>E463+Step_h*D463</f>
        <v>0.9880497962224003</v>
      </c>
      <c r="J464" s="24">
        <f>ROUND(J463-Step_h,2)</f>
        <v>5.59</v>
      </c>
      <c r="K464" s="24">
        <f>J464+Age</f>
        <v>25.59</v>
      </c>
      <c r="L464" s="19">
        <f>B*c_gom^K464</f>
        <v>3.6291429371616874E-3</v>
      </c>
      <c r="M464" s="19">
        <f>N464*delta +Prem-L464*(1-N464)</f>
        <v>-3.3797122800982788E-4</v>
      </c>
      <c r="N464" s="26">
        <f>N463-Step_h*M463</f>
        <v>5.4293560031908527E-3</v>
      </c>
      <c r="U464" s="2"/>
      <c r="X464" s="2"/>
    </row>
    <row r="465" spans="1:24" x14ac:dyDescent="0.45">
      <c r="A465" s="24">
        <v>4.42</v>
      </c>
      <c r="B465" s="24">
        <f>A465+Age</f>
        <v>24.42</v>
      </c>
      <c r="C465" s="19">
        <f>B*c_gom^B465</f>
        <v>3.2810667898752373E-3</v>
      </c>
      <c r="D465" s="19">
        <f t="shared" si="6"/>
        <v>-3.2417510972482483E-3</v>
      </c>
      <c r="E465" s="26">
        <f>E464+Step_h*D464</f>
        <v>0.98801740557421447</v>
      </c>
      <c r="J465" s="24">
        <f>ROUND(J464-Step_h,2)</f>
        <v>5.58</v>
      </c>
      <c r="K465" s="24">
        <f>J465+Age</f>
        <v>25.58</v>
      </c>
      <c r="L465" s="19">
        <f>B*c_gom^K465</f>
        <v>3.6260167726069174E-3</v>
      </c>
      <c r="M465" s="19">
        <f>N465*delta +Prem-L465*(1-N465)</f>
        <v>-3.346807960079314E-4</v>
      </c>
      <c r="N465" s="26">
        <f>N464-Step_h*M464</f>
        <v>5.4327357154709509E-3</v>
      </c>
      <c r="U465" s="2"/>
      <c r="X465" s="2"/>
    </row>
    <row r="466" spans="1:24" x14ac:dyDescent="0.45">
      <c r="A466" s="24">
        <v>4.43</v>
      </c>
      <c r="B466" s="24">
        <f>A466+Age</f>
        <v>24.43</v>
      </c>
      <c r="C466" s="19">
        <f>B*c_gom^B466</f>
        <v>3.283895556354706E-3</v>
      </c>
      <c r="D466" s="19">
        <f t="shared" si="6"/>
        <v>-3.2444395120460375E-3</v>
      </c>
      <c r="E466" s="26">
        <f>E465+Step_h*D465</f>
        <v>0.98798498806324198</v>
      </c>
      <c r="J466" s="24">
        <f>ROUND(J465-Step_h,2)</f>
        <v>5.57</v>
      </c>
      <c r="K466" s="24">
        <f>J466+Age</f>
        <v>25.57</v>
      </c>
      <c r="L466" s="19">
        <f>B*c_gom^K466</f>
        <v>3.6228933009482362E-3</v>
      </c>
      <c r="M466" s="19">
        <f>N466*delta +Prem-L466*(1-N466)</f>
        <v>-3.3139482781914444E-4</v>
      </c>
      <c r="N466" s="26">
        <f>N465-Step_h*M465</f>
        <v>5.4360825234310304E-3</v>
      </c>
      <c r="U466" s="2"/>
      <c r="X466" s="2"/>
    </row>
    <row r="467" spans="1:24" x14ac:dyDescent="0.45">
      <c r="A467" s="24">
        <v>4.4400000000000004</v>
      </c>
      <c r="B467" s="24">
        <f>A467+Age</f>
        <v>24.44</v>
      </c>
      <c r="C467" s="19">
        <f>B*c_gom^B467</f>
        <v>3.2867267616506677E-3</v>
      </c>
      <c r="D467" s="19">
        <f t="shared" si="6"/>
        <v>-3.2471300645148648E-3</v>
      </c>
      <c r="E467" s="26">
        <f>E466+Step_h*D466</f>
        <v>0.98795254366812146</v>
      </c>
      <c r="J467" s="24">
        <f>ROUND(J466-Step_h,2)</f>
        <v>5.56</v>
      </c>
      <c r="K467" s="24">
        <f>J467+Age</f>
        <v>25.56</v>
      </c>
      <c r="L467" s="19">
        <f>B*c_gom^K467</f>
        <v>3.6197725198659669E-3</v>
      </c>
      <c r="M467" s="19">
        <f>N467*delta +Prem-L467*(1-N467)</f>
        <v>-3.2811331840755693E-4</v>
      </c>
      <c r="N467" s="26">
        <f>N466-Step_h*M466</f>
        <v>5.439396471709222E-3</v>
      </c>
      <c r="U467" s="2"/>
      <c r="X467" s="2"/>
    </row>
    <row r="468" spans="1:24" x14ac:dyDescent="0.45">
      <c r="A468" s="24">
        <v>4.45</v>
      </c>
      <c r="B468" s="24">
        <f>A468+Age</f>
        <v>24.45</v>
      </c>
      <c r="C468" s="19">
        <f>B*c_gom^B468</f>
        <v>3.2895604078657403E-3</v>
      </c>
      <c r="D468" s="19">
        <f t="shared" si="6"/>
        <v>-3.2498227561959074E-3</v>
      </c>
      <c r="E468" s="26">
        <f>E467+Step_h*D467</f>
        <v>0.98792007236747637</v>
      </c>
      <c r="J468" s="24">
        <f>ROUND(J467-Step_h,2)</f>
        <v>5.55</v>
      </c>
      <c r="K468" s="24">
        <f>J468+Age</f>
        <v>25.55</v>
      </c>
      <c r="L468" s="19">
        <f>B*c_gom^K468</f>
        <v>3.6166544270424348E-3</v>
      </c>
      <c r="M468" s="19">
        <f>N468*delta +Prem-L468*(1-N468)</f>
        <v>-3.2483626274306798E-4</v>
      </c>
      <c r="N468" s="26">
        <f>N467-Step_h*M467</f>
        <v>5.4426776048932977E-3</v>
      </c>
      <c r="U468" s="2"/>
      <c r="X468" s="2"/>
    </row>
    <row r="469" spans="1:24" x14ac:dyDescent="0.45">
      <c r="A469" s="24">
        <v>4.46</v>
      </c>
      <c r="B469" s="24">
        <f>A469+Age</f>
        <v>24.46</v>
      </c>
      <c r="C469" s="19">
        <f>B*c_gom^B469</f>
        <v>3.2923964971043602E-3</v>
      </c>
      <c r="D469" s="19">
        <f t="shared" si="6"/>
        <v>-3.2525175886311784E-3</v>
      </c>
      <c r="E469" s="26">
        <f>E468+Step_h*D468</f>
        <v>0.98788757413991446</v>
      </c>
      <c r="J469" s="24">
        <f>ROUND(J468-Step_h,2)</f>
        <v>5.54</v>
      </c>
      <c r="K469" s="24">
        <f>J469+Age</f>
        <v>25.54</v>
      </c>
      <c r="L469" s="19">
        <f>B*c_gom^K469</f>
        <v>3.6135390201619561E-3</v>
      </c>
      <c r="M469" s="19">
        <f>N469*delta +Prem-L469*(1-N469)</f>
        <v>-3.2156365580137021E-4</v>
      </c>
      <c r="N469" s="26">
        <f>N468-Step_h*M468</f>
        <v>5.4459259675207284E-3</v>
      </c>
      <c r="U469" s="2"/>
      <c r="X469" s="2"/>
    </row>
    <row r="470" spans="1:24" x14ac:dyDescent="0.45">
      <c r="A470" s="24">
        <v>4.47</v>
      </c>
      <c r="B470" s="24">
        <f>A470+Age</f>
        <v>24.47</v>
      </c>
      <c r="C470" s="19">
        <f>B*c_gom^B470</f>
        <v>3.2952350314727767E-3</v>
      </c>
      <c r="D470" s="19">
        <f t="shared" si="6"/>
        <v>-3.2552145633635205E-3</v>
      </c>
      <c r="E470" s="26">
        <f>E469+Step_h*D469</f>
        <v>0.98785504896402809</v>
      </c>
      <c r="J470" s="24">
        <f>ROUND(J469-Step_h,2)</f>
        <v>5.53</v>
      </c>
      <c r="K470" s="24">
        <f>J470+Age</f>
        <v>25.53</v>
      </c>
      <c r="L470" s="19">
        <f>B*c_gom^K470</f>
        <v>3.6104262969108448E-3</v>
      </c>
      <c r="M470" s="19">
        <f>N470*delta +Prem-L470*(1-N470)</f>
        <v>-3.1829549256395069E-4</v>
      </c>
      <c r="N470" s="26">
        <f>N469-Step_h*M469</f>
        <v>5.4491416040787421E-3</v>
      </c>
      <c r="U470" s="2"/>
      <c r="X470" s="2"/>
    </row>
    <row r="471" spans="1:24" x14ac:dyDescent="0.45">
      <c r="A471" s="24">
        <v>4.4800000000000004</v>
      </c>
      <c r="B471" s="24">
        <f>A471+Age</f>
        <v>24.48</v>
      </c>
      <c r="C471" s="19">
        <f>B*c_gom^B471</f>
        <v>3.2980760130790552E-3</v>
      </c>
      <c r="D471" s="19">
        <f t="shared" si="6"/>
        <v>-3.2579136819366082E-3</v>
      </c>
      <c r="E471" s="26">
        <f>E470+Step_h*D470</f>
        <v>0.98782249681839451</v>
      </c>
      <c r="J471" s="24">
        <f>ROUND(J470-Step_h,2)</f>
        <v>5.52</v>
      </c>
      <c r="K471" s="24">
        <f>J471+Age</f>
        <v>25.52</v>
      </c>
      <c r="L471" s="19">
        <f>B*c_gom^K471</f>
        <v>3.6073162549774048E-3</v>
      </c>
      <c r="M471" s="19">
        <f>N471*delta +Prem-L471*(1-N471)</f>
        <v>-3.1503176801807656E-4</v>
      </c>
      <c r="N471" s="26">
        <f>N470-Step_h*M470</f>
        <v>5.4523245590043816E-3</v>
      </c>
      <c r="U471" s="2"/>
      <c r="X471" s="2"/>
    </row>
    <row r="472" spans="1:24" x14ac:dyDescent="0.45">
      <c r="A472" s="24">
        <v>4.49</v>
      </c>
      <c r="B472" s="24">
        <f>A472+Age</f>
        <v>24.490000000000002</v>
      </c>
      <c r="C472" s="19">
        <f>B*c_gom^B472</f>
        <v>3.3009194440330749E-3</v>
      </c>
      <c r="D472" s="19">
        <f t="shared" ref="D472:D535" si="7">-E472*C472</f>
        <v>-3.260614945894942E-3</v>
      </c>
      <c r="E472" s="26">
        <f>E471+Step_h*D471</f>
        <v>0.9877899176815752</v>
      </c>
      <c r="J472" s="24">
        <f>ROUND(J471-Step_h,2)</f>
        <v>5.51</v>
      </c>
      <c r="K472" s="24">
        <f>J472+Age</f>
        <v>25.509999999999998</v>
      </c>
      <c r="L472" s="19">
        <f>B*c_gom^K472</f>
        <v>3.6042088920519378E-3</v>
      </c>
      <c r="M472" s="19">
        <f>N472*delta +Prem-L472*(1-N472)</f>
        <v>-3.1177247715679724E-4</v>
      </c>
      <c r="N472" s="26">
        <f>N471-Step_h*M471</f>
        <v>5.4554748766845627E-3</v>
      </c>
      <c r="U472" s="2"/>
      <c r="X472" s="2"/>
    </row>
    <row r="473" spans="1:24" x14ac:dyDescent="0.45">
      <c r="A473" s="24">
        <v>4.5</v>
      </c>
      <c r="B473" s="24">
        <f>A473+Age</f>
        <v>24.5</v>
      </c>
      <c r="C473" s="19">
        <f>B*c_gom^B473</f>
        <v>3.3037653264465392E-3</v>
      </c>
      <c r="D473" s="19">
        <f t="shared" si="7"/>
        <v>-3.263318356783858E-3</v>
      </c>
      <c r="E473" s="26">
        <f>E472+Step_h*D472</f>
        <v>0.98775731153211621</v>
      </c>
      <c r="J473" s="24">
        <f>ROUND(J472-Step_h,2)</f>
        <v>5.5</v>
      </c>
      <c r="K473" s="24">
        <f>J473+Age</f>
        <v>25.5</v>
      </c>
      <c r="L473" s="19">
        <f>B*c_gom^K473</f>
        <v>3.6011042058267289E-3</v>
      </c>
      <c r="M473" s="19">
        <f>N473*delta +Prem-L473*(1-N473)</f>
        <v>-3.0851761497892446E-4</v>
      </c>
      <c r="N473" s="26">
        <f>N472-Step_h*M472</f>
        <v>5.4585926014561305E-3</v>
      </c>
      <c r="U473" s="2"/>
      <c r="X473" s="2"/>
    </row>
    <row r="474" spans="1:24" x14ac:dyDescent="0.45">
      <c r="A474" s="24">
        <v>4.51</v>
      </c>
      <c r="B474" s="24">
        <f>A474+Age</f>
        <v>24.509999999999998</v>
      </c>
      <c r="C474" s="19">
        <f>B*c_gom^B474</f>
        <v>3.3066136624329695E-3</v>
      </c>
      <c r="D474" s="19">
        <f t="shared" si="7"/>
        <v>-3.2660239161495202E-3</v>
      </c>
      <c r="E474" s="26">
        <f>E473+Step_h*D473</f>
        <v>0.98772467834854838</v>
      </c>
      <c r="J474" s="24">
        <f>ROUND(J473-Step_h,2)</f>
        <v>5.49</v>
      </c>
      <c r="K474" s="24">
        <f>J474+Age</f>
        <v>25.490000000000002</v>
      </c>
      <c r="L474" s="19">
        <f>B*c_gom^K474</f>
        <v>3.5980021939960526E-3</v>
      </c>
      <c r="M474" s="19">
        <f>N474*delta +Prem-L474*(1-N474)</f>
        <v>-3.0526717648903098E-4</v>
      </c>
      <c r="N474" s="26">
        <f>N473-Step_h*M473</f>
        <v>5.4616777776059196E-3</v>
      </c>
      <c r="U474" s="2"/>
      <c r="X474" s="2"/>
    </row>
    <row r="475" spans="1:24" x14ac:dyDescent="0.45">
      <c r="A475" s="24">
        <v>4.5200000000000005</v>
      </c>
      <c r="B475" s="24">
        <f>A475+Age</f>
        <v>24.52</v>
      </c>
      <c r="C475" s="19">
        <f>B*c_gom^B475</f>
        <v>3.3094644541077117E-3</v>
      </c>
      <c r="D475" s="19">
        <f t="shared" si="7"/>
        <v>-3.2687316255389262E-3</v>
      </c>
      <c r="E475" s="26">
        <f>E474+Step_h*D474</f>
        <v>0.98769201810938689</v>
      </c>
      <c r="J475" s="24">
        <f>ROUND(J474-Step_h,2)</f>
        <v>5.48</v>
      </c>
      <c r="K475" s="24">
        <f>J475+Age</f>
        <v>25.48</v>
      </c>
      <c r="L475" s="19">
        <f>B*c_gom^K475</f>
        <v>3.5949028542561685E-3</v>
      </c>
      <c r="M475" s="19">
        <f>N475*delta +Prem-L475*(1-N475)</f>
        <v>-3.0202115669744449E-4</v>
      </c>
      <c r="N475" s="26">
        <f>N474-Step_h*M474</f>
        <v>5.4647304493708098E-3</v>
      </c>
      <c r="U475" s="2"/>
      <c r="X475" s="2"/>
    </row>
    <row r="476" spans="1:24" x14ac:dyDescent="0.45">
      <c r="A476" s="24">
        <v>4.53</v>
      </c>
      <c r="B476" s="24">
        <f>A476+Age</f>
        <v>24.53</v>
      </c>
      <c r="C476" s="19">
        <f>B*c_gom^B476</f>
        <v>3.3123177035879305E-3</v>
      </c>
      <c r="D476" s="19">
        <f t="shared" si="7"/>
        <v>-3.2714414864998976E-3</v>
      </c>
      <c r="E476" s="26">
        <f>E475+Step_h*D475</f>
        <v>0.98765933079313151</v>
      </c>
      <c r="J476" s="24">
        <f>ROUND(J475-Step_h,2)</f>
        <v>5.47</v>
      </c>
      <c r="K476" s="24">
        <f>J476+Age</f>
        <v>25.47</v>
      </c>
      <c r="L476" s="19">
        <f>B*c_gom^K476</f>
        <v>3.591806184305327E-3</v>
      </c>
      <c r="M476" s="19">
        <f>N476*delta +Prem-L476*(1-N476)</f>
        <v>-2.9877955062024199E-4</v>
      </c>
      <c r="N476" s="26">
        <f>N475-Step_h*M475</f>
        <v>5.4677506609377841E-3</v>
      </c>
      <c r="U476" s="2"/>
      <c r="X476" s="2"/>
    </row>
    <row r="477" spans="1:24" x14ac:dyDescent="0.45">
      <c r="A477" s="24">
        <v>4.54</v>
      </c>
      <c r="B477" s="24">
        <f>A477+Age</f>
        <v>24.54</v>
      </c>
      <c r="C477" s="19">
        <f>B*c_gom^B477</f>
        <v>3.3151734129926191E-3</v>
      </c>
      <c r="D477" s="19">
        <f t="shared" si="7"/>
        <v>-3.2741535005810902E-3</v>
      </c>
      <c r="E477" s="26">
        <f>E476+Step_h*D476</f>
        <v>0.98762661637826654</v>
      </c>
      <c r="J477" s="24">
        <f>ROUND(J476-Step_h,2)</f>
        <v>5.46</v>
      </c>
      <c r="K477" s="24">
        <f>J477+Age</f>
        <v>25.46</v>
      </c>
      <c r="L477" s="19">
        <f>B*c_gom^K477</f>
        <v>3.5887121818437536E-3</v>
      </c>
      <c r="M477" s="19">
        <f>N477*delta +Prem-L477*(1-N477)</f>
        <v>-2.9554235327923246E-4</v>
      </c>
      <c r="N477" s="26">
        <f>N476-Step_h*M476</f>
        <v>5.4707384564439861E-3</v>
      </c>
      <c r="U477" s="2"/>
      <c r="X477" s="2"/>
    </row>
    <row r="478" spans="1:24" x14ac:dyDescent="0.45">
      <c r="A478" s="24">
        <v>4.55</v>
      </c>
      <c r="B478" s="24">
        <f>A478+Age</f>
        <v>24.55</v>
      </c>
      <c r="C478" s="19">
        <f>B*c_gom^B478</f>
        <v>3.3180315844426015E-3</v>
      </c>
      <c r="D478" s="19">
        <f t="shared" si="7"/>
        <v>-3.2768676693319928E-3</v>
      </c>
      <c r="E478" s="26">
        <f>E477+Step_h*D477</f>
        <v>0.98759387484326078</v>
      </c>
      <c r="J478" s="24">
        <f>ROUND(J477-Step_h,2)</f>
        <v>5.45</v>
      </c>
      <c r="K478" s="24">
        <f>J478+Age</f>
        <v>25.45</v>
      </c>
      <c r="L478" s="19">
        <f>B*c_gom^K478</f>
        <v>3.5856208445736565E-3</v>
      </c>
      <c r="M478" s="19">
        <f>N478*delta +Prem-L478*(1-N478)</f>
        <v>-2.9230955970195767E-4</v>
      </c>
      <c r="N478" s="26">
        <f>N477-Step_h*M477</f>
        <v>5.473693879976778E-3</v>
      </c>
      <c r="U478" s="2"/>
      <c r="X478" s="2"/>
    </row>
    <row r="479" spans="1:24" x14ac:dyDescent="0.45">
      <c r="A479" s="24">
        <v>4.5600000000000005</v>
      </c>
      <c r="B479" s="24">
        <f>A479+Age</f>
        <v>24.560000000000002</v>
      </c>
      <c r="C479" s="19">
        <f>B*c_gom^B479</f>
        <v>3.3208922200605208E-3</v>
      </c>
      <c r="D479" s="19">
        <f t="shared" si="7"/>
        <v>-3.279583994302916E-3</v>
      </c>
      <c r="E479" s="26">
        <f>E478+Step_h*D478</f>
        <v>0.98756110616656745</v>
      </c>
      <c r="J479" s="24">
        <f>ROUND(J478-Step_h,2)</f>
        <v>5.44</v>
      </c>
      <c r="K479" s="24">
        <f>J479+Age</f>
        <v>25.44</v>
      </c>
      <c r="L479" s="19">
        <f>B*c_gom^K479</f>
        <v>3.5825321701992291E-3</v>
      </c>
      <c r="M479" s="19">
        <f>N479*delta +Prem-L479*(1-N479)</f>
        <v>-2.8908116492168704E-4</v>
      </c>
      <c r="N479" s="26">
        <f>N478-Step_h*M478</f>
        <v>5.4766169755737972E-3</v>
      </c>
      <c r="U479" s="2"/>
      <c r="X479" s="2"/>
    </row>
    <row r="480" spans="1:24" x14ac:dyDescent="0.45">
      <c r="A480" s="24">
        <v>4.57</v>
      </c>
      <c r="B480" s="24">
        <f>A480+Age</f>
        <v>24.57</v>
      </c>
      <c r="C480" s="19">
        <f>B*c_gom^B480</f>
        <v>3.3237553219708582E-3</v>
      </c>
      <c r="D480" s="19">
        <f t="shared" si="7"/>
        <v>-3.2823024770450072E-3</v>
      </c>
      <c r="E480" s="26">
        <f>E479+Step_h*D479</f>
        <v>0.98752831032662447</v>
      </c>
      <c r="J480" s="24">
        <f>ROUND(J479-Step_h,2)</f>
        <v>5.43</v>
      </c>
      <c r="K480" s="24">
        <f>J480+Age</f>
        <v>25.43</v>
      </c>
      <c r="L480" s="19">
        <f>B*c_gom^K480</f>
        <v>3.5794461564266308E-3</v>
      </c>
      <c r="M480" s="19">
        <f>N480*delta +Prem-L480*(1-N480)</f>
        <v>-2.8585716397739463E-4</v>
      </c>
      <c r="N480" s="26">
        <f>N479-Step_h*M479</f>
        <v>5.479507787223014E-3</v>
      </c>
      <c r="U480" s="2"/>
      <c r="X480" s="2"/>
    </row>
    <row r="481" spans="1:24" x14ac:dyDescent="0.45">
      <c r="A481" s="24">
        <v>4.58</v>
      </c>
      <c r="B481" s="24">
        <f>A481+Age</f>
        <v>24.58</v>
      </c>
      <c r="C481" s="19">
        <f>B*c_gom^B481</f>
        <v>3.3266208922999234E-3</v>
      </c>
      <c r="D481" s="19">
        <f t="shared" si="7"/>
        <v>-3.285023119110241E-3</v>
      </c>
      <c r="E481" s="26">
        <f>E480+Step_h*D480</f>
        <v>0.98749548730185399</v>
      </c>
      <c r="J481" s="24">
        <f>ROUND(J480-Step_h,2)</f>
        <v>5.42</v>
      </c>
      <c r="K481" s="24">
        <f>J481+Age</f>
        <v>25.42</v>
      </c>
      <c r="L481" s="19">
        <f>B*c_gom^K481</f>
        <v>3.5763628009640096E-3</v>
      </c>
      <c r="M481" s="19">
        <f>N481*delta +Prem-L481*(1-N481)</f>
        <v>-2.8263755191377648E-4</v>
      </c>
      <c r="N481" s="26">
        <f>N480-Step_h*M480</f>
        <v>5.4823663588627882E-3</v>
      </c>
      <c r="U481" s="2"/>
      <c r="X481" s="2"/>
    </row>
    <row r="482" spans="1:24" x14ac:dyDescent="0.45">
      <c r="A482" s="24">
        <v>4.59</v>
      </c>
      <c r="B482" s="24">
        <f>A482+Age</f>
        <v>24.59</v>
      </c>
      <c r="C482" s="19">
        <f>B*c_gom^B482</f>
        <v>3.3294889331758593E-3</v>
      </c>
      <c r="D482" s="19">
        <f t="shared" si="7"/>
        <v>-3.2877459220514221E-3</v>
      </c>
      <c r="E482" s="26">
        <f>E481+Step_h*D481</f>
        <v>0.98746263707066284</v>
      </c>
      <c r="J482" s="24">
        <f>ROUND(J481-Step_h,2)</f>
        <v>5.41</v>
      </c>
      <c r="K482" s="24">
        <f>J482+Age</f>
        <v>25.41</v>
      </c>
      <c r="L482" s="19">
        <f>B*c_gom^K482</f>
        <v>3.5732821015214806E-3</v>
      </c>
      <c r="M482" s="19">
        <f>N482*delta +Prem-L482*(1-N482)</f>
        <v>-2.7942232378122111E-4</v>
      </c>
      <c r="N482" s="26">
        <f>N481-Step_h*M481</f>
        <v>5.4851927343819258E-3</v>
      </c>
      <c r="U482" s="2"/>
      <c r="X482" s="2"/>
    </row>
    <row r="483" spans="1:24" x14ac:dyDescent="0.45">
      <c r="A483" s="24">
        <v>4.6000000000000005</v>
      </c>
      <c r="B483" s="24">
        <f>A483+Age</f>
        <v>24.6</v>
      </c>
      <c r="C483" s="19">
        <f>B*c_gom^B483</f>
        <v>3.3323594467286463E-3</v>
      </c>
      <c r="D483" s="19">
        <f t="shared" si="7"/>
        <v>-3.2904708874221863E-3</v>
      </c>
      <c r="E483" s="26">
        <f>E482+Step_h*D482</f>
        <v>0.9874297596114423</v>
      </c>
      <c r="J483" s="24">
        <f>ROUND(J482-Step_h,2)</f>
        <v>5.4</v>
      </c>
      <c r="K483" s="24">
        <f>J483+Age</f>
        <v>25.4</v>
      </c>
      <c r="L483" s="19">
        <f>B*c_gom^K483</f>
        <v>3.57020405581113E-3</v>
      </c>
      <c r="M483" s="19">
        <f>N483*delta +Prem-L483*(1-N483)</f>
        <v>-2.7621147463581042E-4</v>
      </c>
      <c r="N483" s="26">
        <f>N482-Step_h*M482</f>
        <v>5.4879869576197381E-3</v>
      </c>
      <c r="U483" s="2"/>
      <c r="X483" s="2"/>
    </row>
    <row r="484" spans="1:24" x14ac:dyDescent="0.45">
      <c r="A484" s="24">
        <v>4.6100000000000003</v>
      </c>
      <c r="B484" s="24">
        <f>A484+Age</f>
        <v>24.61</v>
      </c>
      <c r="C484" s="19">
        <f>B*c_gom^B484</f>
        <v>3.3352324350900946E-3</v>
      </c>
      <c r="D484" s="19">
        <f t="shared" si="7"/>
        <v>-3.2931980167769932E-3</v>
      </c>
      <c r="E484" s="26">
        <f>E483+Step_h*D483</f>
        <v>0.98739685490256812</v>
      </c>
      <c r="J484" s="24">
        <f>ROUND(J483-Step_h,2)</f>
        <v>5.39</v>
      </c>
      <c r="K484" s="24">
        <f>J484+Age</f>
        <v>25.39</v>
      </c>
      <c r="L484" s="19">
        <f>B*c_gom^K484</f>
        <v>3.5671286615470226E-3</v>
      </c>
      <c r="M484" s="19">
        <f>N484*delta +Prem-L484*(1-N484)</f>
        <v>-2.7300499953931794E-4</v>
      </c>
      <c r="N484" s="26">
        <f>N483-Step_h*M483</f>
        <v>5.4907490723660963E-3</v>
      </c>
      <c r="U484" s="2"/>
      <c r="X484" s="2"/>
    </row>
    <row r="485" spans="1:24" x14ac:dyDescent="0.45">
      <c r="A485" s="24">
        <v>4.62</v>
      </c>
      <c r="B485" s="24">
        <f>A485+Age</f>
        <v>24.62</v>
      </c>
      <c r="C485" s="19">
        <f>B*c_gom^B485</f>
        <v>3.3381079003938587E-3</v>
      </c>
      <c r="D485" s="19">
        <f t="shared" si="7"/>
        <v>-3.2959273116711378E-3</v>
      </c>
      <c r="E485" s="26">
        <f>E484+Step_h*D484</f>
        <v>0.98736392292240038</v>
      </c>
      <c r="J485" s="24">
        <f>ROUND(J484-Step_h,2)</f>
        <v>5.38</v>
      </c>
      <c r="K485" s="24">
        <f>J485+Age</f>
        <v>25.38</v>
      </c>
      <c r="L485" s="19">
        <f>B*c_gom^K485</f>
        <v>3.5640559164451845E-3</v>
      </c>
      <c r="M485" s="19">
        <f>N485*delta +Prem-L485*(1-N485)</f>
        <v>-2.6980289355918929E-4</v>
      </c>
      <c r="N485" s="26">
        <f>N484-Step_h*M484</f>
        <v>5.4934791223614898E-3</v>
      </c>
      <c r="U485" s="2"/>
      <c r="X485" s="2"/>
    </row>
    <row r="486" spans="1:24" x14ac:dyDescent="0.45">
      <c r="A486" s="24">
        <v>4.63</v>
      </c>
      <c r="B486" s="24">
        <f>A486+Age</f>
        <v>24.63</v>
      </c>
      <c r="C486" s="19">
        <f>B*c_gom^B486</f>
        <v>3.3409858447754313E-3</v>
      </c>
      <c r="D486" s="19">
        <f t="shared" si="7"/>
        <v>-3.2986587736607426E-3</v>
      </c>
      <c r="E486" s="26">
        <f>E485+Step_h*D485</f>
        <v>0.98733096364928363</v>
      </c>
      <c r="J486" s="24">
        <f>ROUND(J485-Step_h,2)</f>
        <v>5.37</v>
      </c>
      <c r="K486" s="24">
        <f>J486+Age</f>
        <v>25.37</v>
      </c>
      <c r="L486" s="19">
        <f>B*c_gom^K486</f>
        <v>3.5609858182236126E-3</v>
      </c>
      <c r="M486" s="19">
        <f>N486*delta +Prem-L486*(1-N486)</f>
        <v>-2.6660515176854483E-4</v>
      </c>
      <c r="N486" s="26">
        <f>N485-Step_h*M485</f>
        <v>5.4961771512970813E-3</v>
      </c>
      <c r="U486" s="2"/>
      <c r="X486" s="2"/>
    </row>
    <row r="487" spans="1:24" x14ac:dyDescent="0.45">
      <c r="A487" s="24">
        <v>4.6399999999999997</v>
      </c>
      <c r="B487" s="24">
        <f>A487+Age</f>
        <v>24.64</v>
      </c>
      <c r="C487" s="19">
        <f>B*c_gom^B487</f>
        <v>3.3438662703721457E-3</v>
      </c>
      <c r="D487" s="19">
        <f t="shared" si="7"/>
        <v>-3.3013924043027595E-3</v>
      </c>
      <c r="E487" s="26">
        <f>E486+Step_h*D486</f>
        <v>0.98729797706154698</v>
      </c>
      <c r="J487" s="24">
        <f>ROUND(J486-Step_h,2)</f>
        <v>5.36</v>
      </c>
      <c r="K487" s="24">
        <f>J487+Age</f>
        <v>25.36</v>
      </c>
      <c r="L487" s="19">
        <f>B*c_gom^K487</f>
        <v>3.5579183646022674E-3</v>
      </c>
      <c r="M487" s="19">
        <f>N487*delta +Prem-L487*(1-N487)</f>
        <v>-2.6341176924616619E-4</v>
      </c>
      <c r="N487" s="26">
        <f>N486-Step_h*M486</f>
        <v>5.4988432028147665E-3</v>
      </c>
      <c r="U487" s="2"/>
      <c r="X487" s="2"/>
    </row>
    <row r="488" spans="1:24" x14ac:dyDescent="0.45">
      <c r="A488" s="24">
        <v>4.6500000000000004</v>
      </c>
      <c r="B488" s="24">
        <f>A488+Age</f>
        <v>24.65</v>
      </c>
      <c r="C488" s="19">
        <f>B*c_gom^B488</f>
        <v>3.3467491793231748E-3</v>
      </c>
      <c r="D488" s="19">
        <f t="shared" si="7"/>
        <v>-3.3041282051549659E-3</v>
      </c>
      <c r="E488" s="26">
        <f>E487+Step_h*D487</f>
        <v>0.987264963137504</v>
      </c>
      <c r="J488" s="24">
        <f>ROUND(J487-Step_h,2)</f>
        <v>5.35</v>
      </c>
      <c r="K488" s="24">
        <f>J488+Age</f>
        <v>25.35</v>
      </c>
      <c r="L488" s="19">
        <f>B*c_gom^K488</f>
        <v>3.554853553303078E-3</v>
      </c>
      <c r="M488" s="19">
        <f>N488*delta +Prem-L488*(1-N488)</f>
        <v>-2.6022274107649493E-4</v>
      </c>
      <c r="N488" s="26">
        <f>N487-Step_h*M487</f>
        <v>5.5014773205072278E-3</v>
      </c>
      <c r="U488" s="2"/>
      <c r="X488" s="2"/>
    </row>
    <row r="489" spans="1:24" x14ac:dyDescent="0.45">
      <c r="A489" s="24">
        <v>4.66</v>
      </c>
      <c r="B489" s="24">
        <f>A489+Age</f>
        <v>24.66</v>
      </c>
      <c r="C489" s="19">
        <f>B*c_gom^B489</f>
        <v>3.3496345737695395E-3</v>
      </c>
      <c r="D489" s="19">
        <f t="shared" si="7"/>
        <v>-3.3068661777759718E-3</v>
      </c>
      <c r="E489" s="26">
        <f>E488+Step_h*D488</f>
        <v>0.9872319218554525</v>
      </c>
      <c r="J489" s="24">
        <f>ROUND(J488-Step_h,2)</f>
        <v>5.34</v>
      </c>
      <c r="K489" s="24">
        <f>J489+Age</f>
        <v>25.34</v>
      </c>
      <c r="L489" s="19">
        <f>B*c_gom^K489</f>
        <v>3.5517913820499319E-3</v>
      </c>
      <c r="M489" s="19">
        <f>N489*delta +Prem-L489*(1-N489)</f>
        <v>-2.5703806234961962E-4</v>
      </c>
      <c r="N489" s="26">
        <f>N488-Step_h*M488</f>
        <v>5.5040795479179925E-3</v>
      </c>
      <c r="U489" s="2"/>
      <c r="X489" s="2"/>
    </row>
    <row r="490" spans="1:24" x14ac:dyDescent="0.45">
      <c r="A490" s="24">
        <v>4.67</v>
      </c>
      <c r="B490" s="24">
        <f>A490+Age</f>
        <v>24.67</v>
      </c>
      <c r="C490" s="19">
        <f>B*c_gom^B490</f>
        <v>3.3525224558541085E-3</v>
      </c>
      <c r="D490" s="19">
        <f t="shared" si="7"/>
        <v>-3.3096063237252177E-3</v>
      </c>
      <c r="E490" s="26">
        <f>E489+Step_h*D489</f>
        <v>0.98719885319367473</v>
      </c>
      <c r="J490" s="24">
        <f>ROUND(J489-Step_h,2)</f>
        <v>5.33</v>
      </c>
      <c r="K490" s="24">
        <f>J490+Age</f>
        <v>25.33</v>
      </c>
      <c r="L490" s="19">
        <f>B*c_gom^K490</f>
        <v>3.5487318485686757E-3</v>
      </c>
      <c r="M490" s="19">
        <f>N490*delta +Prem-L490*(1-N490)</f>
        <v>-2.5385772816126752E-4</v>
      </c>
      <c r="N490" s="26">
        <f>N489-Step_h*M489</f>
        <v>5.5066499285414891E-3</v>
      </c>
      <c r="U490" s="2"/>
      <c r="X490" s="2"/>
    </row>
    <row r="491" spans="1:24" x14ac:dyDescent="0.45">
      <c r="A491" s="24">
        <v>4.68</v>
      </c>
      <c r="B491" s="24">
        <f>A491+Age</f>
        <v>24.68</v>
      </c>
      <c r="C491" s="19">
        <f>B*c_gom^B491</f>
        <v>3.3554128277215912E-3</v>
      </c>
      <c r="D491" s="19">
        <f t="shared" si="7"/>
        <v>-3.3123486445629669E-3</v>
      </c>
      <c r="E491" s="26">
        <f>E490+Step_h*D490</f>
        <v>0.98716575713043753</v>
      </c>
      <c r="J491" s="24">
        <f>ROUND(J490-Step_h,2)</f>
        <v>5.32</v>
      </c>
      <c r="K491" s="24">
        <f>J491+Age</f>
        <v>25.32</v>
      </c>
      <c r="L491" s="19">
        <f>B*c_gom^K491</f>
        <v>3.5456749505871216E-3</v>
      </c>
      <c r="M491" s="19">
        <f>N491*delta +Prem-L491*(1-N491)</f>
        <v>-2.5068173361280722E-4</v>
      </c>
      <c r="N491" s="26">
        <f>N490-Step_h*M490</f>
        <v>5.5091885058231021E-3</v>
      </c>
      <c r="U491" s="2"/>
      <c r="X491" s="2"/>
    </row>
    <row r="492" spans="1:24" x14ac:dyDescent="0.45">
      <c r="A492" s="24">
        <v>4.6900000000000004</v>
      </c>
      <c r="B492" s="24">
        <f>A492+Age</f>
        <v>24.69</v>
      </c>
      <c r="C492" s="19">
        <f>B*c_gom^B492</f>
        <v>3.358305691518551E-3</v>
      </c>
      <c r="D492" s="19">
        <f t="shared" si="7"/>
        <v>-3.3150931418503148E-3</v>
      </c>
      <c r="E492" s="26">
        <f>E491+Step_h*D491</f>
        <v>0.98713263364399195</v>
      </c>
      <c r="J492" s="24">
        <f>ROUND(J491-Step_h,2)</f>
        <v>5.31</v>
      </c>
      <c r="K492" s="24">
        <f>J492+Age</f>
        <v>25.31</v>
      </c>
      <c r="L492" s="19">
        <f>B*c_gom^K492</f>
        <v>3.5426206858350335E-3</v>
      </c>
      <c r="M492" s="19">
        <f>N492*delta +Prem-L492*(1-N492)</f>
        <v>-2.4751007381122779E-4</v>
      </c>
      <c r="N492" s="26">
        <f>N491-Step_h*M491</f>
        <v>5.5116953231592299E-3</v>
      </c>
      <c r="U492" s="2"/>
      <c r="X492" s="2"/>
    </row>
    <row r="493" spans="1:24" x14ac:dyDescent="0.45">
      <c r="A493" s="24">
        <v>4.7</v>
      </c>
      <c r="B493" s="24">
        <f>A493+Age</f>
        <v>24.7</v>
      </c>
      <c r="C493" s="19">
        <f>B*c_gom^B493</f>
        <v>3.3612010493934024E-3</v>
      </c>
      <c r="D493" s="19">
        <f t="shared" si="7"/>
        <v>-3.3178398171491864E-3</v>
      </c>
      <c r="E493" s="26">
        <f>E492+Step_h*D492</f>
        <v>0.98709948271257342</v>
      </c>
      <c r="J493" s="24">
        <f>ROUND(J492-Step_h,2)</f>
        <v>5.3</v>
      </c>
      <c r="K493" s="24">
        <f>J493+Age</f>
        <v>25.3</v>
      </c>
      <c r="L493" s="19">
        <f>B*c_gom^K493</f>
        <v>3.5395690520441322E-3</v>
      </c>
      <c r="M493" s="19">
        <f>N493*delta +Prem-L493*(1-N493)</f>
        <v>-2.4434274386914102E-4</v>
      </c>
      <c r="N493" s="26">
        <f>N492-Step_h*M492</f>
        <v>5.5141704238973422E-3</v>
      </c>
      <c r="U493" s="2"/>
      <c r="X493" s="2"/>
    </row>
    <row r="494" spans="1:24" x14ac:dyDescent="0.45">
      <c r="A494" s="24">
        <v>4.71</v>
      </c>
      <c r="B494" s="24">
        <f>A494+Age</f>
        <v>24.71</v>
      </c>
      <c r="C494" s="19">
        <f>B*c_gom^B494</f>
        <v>3.3640989034964108E-3</v>
      </c>
      <c r="D494" s="19">
        <f t="shared" si="7"/>
        <v>-3.3205886720223338E-3</v>
      </c>
      <c r="E494" s="26">
        <f>E493+Step_h*D493</f>
        <v>0.9870663043144019</v>
      </c>
      <c r="J494" s="24">
        <f>ROUND(J493-Step_h,2)</f>
        <v>5.29</v>
      </c>
      <c r="K494" s="24">
        <f>J494+Age</f>
        <v>25.29</v>
      </c>
      <c r="L494" s="19">
        <f>B*c_gom^K494</f>
        <v>3.5365200469480904E-3</v>
      </c>
      <c r="M494" s="19">
        <f>N494*delta +Prem-L494*(1-N494)</f>
        <v>-2.4117973890476745E-4</v>
      </c>
      <c r="N494" s="26">
        <f>N493-Step_h*M493</f>
        <v>5.5166138513360339E-3</v>
      </c>
      <c r="U494" s="2"/>
      <c r="X494" s="2"/>
    </row>
    <row r="495" spans="1:24" x14ac:dyDescent="0.45">
      <c r="A495" s="24">
        <v>4.72</v>
      </c>
      <c r="B495" s="24">
        <f>A495+Age</f>
        <v>24.72</v>
      </c>
      <c r="C495" s="19">
        <f>B*c_gom^B495</f>
        <v>3.3669992559796926E-3</v>
      </c>
      <c r="D495" s="19">
        <f t="shared" si="7"/>
        <v>-3.3233397080333349E-3</v>
      </c>
      <c r="E495" s="26">
        <f>E494+Step_h*D494</f>
        <v>0.98703309842768172</v>
      </c>
      <c r="J495" s="24">
        <f>ROUND(J494-Step_h,2)</f>
        <v>5.28</v>
      </c>
      <c r="K495" s="24">
        <f>J495+Age</f>
        <v>25.28</v>
      </c>
      <c r="L495" s="19">
        <f>B*c_gom^K495</f>
        <v>3.5334736682825401E-3</v>
      </c>
      <c r="M495" s="19">
        <f>N495*delta +Prem-L495*(1-N495)</f>
        <v>-2.3802105404193991E-4</v>
      </c>
      <c r="N495" s="26">
        <f>N494-Step_h*M494</f>
        <v>5.5190256487250818E-3</v>
      </c>
      <c r="U495" s="2"/>
      <c r="X495" s="2"/>
    </row>
    <row r="496" spans="1:24" x14ac:dyDescent="0.45">
      <c r="A496" s="24">
        <v>4.7300000000000004</v>
      </c>
      <c r="B496" s="24">
        <f>A496+Age</f>
        <v>24.73</v>
      </c>
      <c r="C496" s="19">
        <f>B*c_gom^B496</f>
        <v>3.3699021089972241E-3</v>
      </c>
      <c r="D496" s="19">
        <f t="shared" si="7"/>
        <v>-3.3260929267465993E-3</v>
      </c>
      <c r="E496" s="26">
        <f>E495+Step_h*D495</f>
        <v>0.98699986503060144</v>
      </c>
      <c r="J496" s="24">
        <f>ROUND(J495-Step_h,2)</f>
        <v>5.27</v>
      </c>
      <c r="K496" s="24">
        <f>J496+Age</f>
        <v>25.27</v>
      </c>
      <c r="L496" s="19">
        <f>B*c_gom^K496</f>
        <v>3.5304299137850557E-3</v>
      </c>
      <c r="M496" s="19">
        <f>N496*delta +Prem-L496*(1-N496)</f>
        <v>-2.348666844100818E-4</v>
      </c>
      <c r="N496" s="26">
        <f>N495-Step_h*M495</f>
        <v>5.5214058592655008E-3</v>
      </c>
      <c r="U496" s="2"/>
      <c r="X496" s="2"/>
    </row>
    <row r="497" spans="1:24" x14ac:dyDescent="0.45">
      <c r="A497" s="24">
        <v>4.74</v>
      </c>
      <c r="B497" s="24">
        <f>A497+Age</f>
        <v>24.740000000000002</v>
      </c>
      <c r="C497" s="19">
        <f>B*c_gom^B497</f>
        <v>3.3728074647048382E-3</v>
      </c>
      <c r="D497" s="19">
        <f t="shared" si="7"/>
        <v>-3.328848329727364E-3</v>
      </c>
      <c r="E497" s="26">
        <f>E496+Step_h*D496</f>
        <v>0.98696660410133397</v>
      </c>
      <c r="J497" s="24">
        <f>ROUND(J496-Step_h,2)</f>
        <v>5.26</v>
      </c>
      <c r="K497" s="24">
        <f>J497+Age</f>
        <v>25.259999999999998</v>
      </c>
      <c r="L497" s="19">
        <f>B*c_gom^K497</f>
        <v>3.5273887811951626E-3</v>
      </c>
      <c r="M497" s="19">
        <f>N497*delta +Prem-L497*(1-N497)</f>
        <v>-2.3171662514420753E-4</v>
      </c>
      <c r="N497" s="26">
        <f>N496-Step_h*M496</f>
        <v>5.5237545261096017E-3</v>
      </c>
      <c r="U497" s="2"/>
      <c r="X497" s="2"/>
    </row>
    <row r="498" spans="1:24" x14ac:dyDescent="0.45">
      <c r="A498" s="24">
        <v>4.75</v>
      </c>
      <c r="B498" s="24">
        <f>A498+Age</f>
        <v>24.75</v>
      </c>
      <c r="C498" s="19">
        <f>B*c_gom^B498</f>
        <v>3.3757153252602225E-3</v>
      </c>
      <c r="D498" s="19">
        <f t="shared" si="7"/>
        <v>-3.3316059185416903E-3</v>
      </c>
      <c r="E498" s="26">
        <f>E497+Step_h*D497</f>
        <v>0.98693331561803666</v>
      </c>
      <c r="J498" s="24">
        <f>ROUND(J497-Step_h,2)</f>
        <v>5.25</v>
      </c>
      <c r="K498" s="24">
        <f>J498+Age</f>
        <v>25.25</v>
      </c>
      <c r="L498" s="19">
        <f>B*c_gom^K498</f>
        <v>3.5243502682543383E-3</v>
      </c>
      <c r="M498" s="19">
        <f>N498*delta +Prem-L498*(1-N498)</f>
        <v>-2.2857087138492081E-4</v>
      </c>
      <c r="N498" s="26">
        <f>N497-Step_h*M497</f>
        <v>5.526071692361044E-3</v>
      </c>
      <c r="U498" s="2"/>
      <c r="X498" s="2"/>
    </row>
    <row r="499" spans="1:24" x14ac:dyDescent="0.45">
      <c r="A499" s="24">
        <v>4.76</v>
      </c>
      <c r="B499" s="24">
        <f>A499+Age</f>
        <v>24.759999999999998</v>
      </c>
      <c r="C499" s="19">
        <f>B*c_gom^B499</f>
        <v>3.3786256928229272E-3</v>
      </c>
      <c r="D499" s="19">
        <f t="shared" si="7"/>
        <v>-3.3343656947564704E-3</v>
      </c>
      <c r="E499" s="26">
        <f>E498+Step_h*D498</f>
        <v>0.98689999955885122</v>
      </c>
      <c r="J499" s="24">
        <f>ROUND(J498-Step_h,2)</f>
        <v>5.24</v>
      </c>
      <c r="K499" s="24">
        <f>J499+Age</f>
        <v>25.240000000000002</v>
      </c>
      <c r="L499" s="19">
        <f>B*c_gom^K499</f>
        <v>3.5213143727060017E-3</v>
      </c>
      <c r="M499" s="19">
        <f>N499*delta +Prem-L499*(1-N499)</f>
        <v>-2.2542941827839637E-4</v>
      </c>
      <c r="N499" s="26">
        <f>N498-Step_h*M498</f>
        <v>5.5283574010748932E-3</v>
      </c>
      <c r="U499" s="2"/>
      <c r="X499" s="2"/>
    </row>
    <row r="500" spans="1:24" x14ac:dyDescent="0.45">
      <c r="A500" s="24">
        <v>4.7700000000000005</v>
      </c>
      <c r="B500" s="24">
        <f>A500+Age</f>
        <v>24.77</v>
      </c>
      <c r="C500" s="19">
        <f>B*c_gom^B500</f>
        <v>3.3815385695543693E-3</v>
      </c>
      <c r="D500" s="19">
        <f t="shared" si="7"/>
        <v>-3.3371276599394274E-3</v>
      </c>
      <c r="E500" s="26">
        <f>E499+Step_h*D499</f>
        <v>0.9868666559019037</v>
      </c>
      <c r="J500" s="24">
        <f>ROUND(J499-Step_h,2)</f>
        <v>5.23</v>
      </c>
      <c r="K500" s="24">
        <f>J500+Age</f>
        <v>25.23</v>
      </c>
      <c r="L500" s="19">
        <f>B*c_gom^K500</f>
        <v>3.5182810922955114E-3</v>
      </c>
      <c r="M500" s="19">
        <f>N500*delta +Prem-L500*(1-N500)</f>
        <v>-2.2229226097637356E-4</v>
      </c>
      <c r="N500" s="26">
        <f>N499-Step_h*M499</f>
        <v>5.5306116952576773E-3</v>
      </c>
      <c r="U500" s="2"/>
      <c r="X500" s="2"/>
    </row>
    <row r="501" spans="1:24" x14ac:dyDescent="0.45">
      <c r="A501" s="24">
        <v>4.78</v>
      </c>
      <c r="B501" s="24">
        <f>A501+Age</f>
        <v>24.78</v>
      </c>
      <c r="C501" s="19">
        <f>B*c_gom^B501</f>
        <v>3.3844539576178214E-3</v>
      </c>
      <c r="D501" s="19">
        <f t="shared" si="7"/>
        <v>-3.3398918156591051E-3</v>
      </c>
      <c r="E501" s="26">
        <f>E500+Step_h*D500</f>
        <v>0.98683328462530429</v>
      </c>
      <c r="J501" s="24">
        <f>ROUND(J500-Step_h,2)</f>
        <v>5.22</v>
      </c>
      <c r="K501" s="24">
        <f>J501+Age</f>
        <v>25.22</v>
      </c>
      <c r="L501" s="19">
        <f>B*c_gom^K501</f>
        <v>3.5152504247701749E-3</v>
      </c>
      <c r="M501" s="19">
        <f>N501*delta +Prem-L501*(1-N501)</f>
        <v>-2.1915939463616101E-4</v>
      </c>
      <c r="N501" s="26">
        <f>N500-Step_h*M500</f>
        <v>5.5328346178674407E-3</v>
      </c>
      <c r="U501" s="2"/>
      <c r="X501" s="2"/>
    </row>
    <row r="502" spans="1:24" x14ac:dyDescent="0.45">
      <c r="A502" s="24">
        <v>4.79</v>
      </c>
      <c r="B502" s="24">
        <f>A502+Age</f>
        <v>24.79</v>
      </c>
      <c r="C502" s="19">
        <f>B*c_gom^B502</f>
        <v>3.3873718591784212E-3</v>
      </c>
      <c r="D502" s="19">
        <f t="shared" si="7"/>
        <v>-3.3426581634848746E-3</v>
      </c>
      <c r="E502" s="26">
        <f>E501+Step_h*D501</f>
        <v>0.98679988570714772</v>
      </c>
      <c r="J502" s="24">
        <f>ROUND(J501-Step_h,2)</f>
        <v>5.21</v>
      </c>
      <c r="K502" s="24">
        <f>J502+Age</f>
        <v>25.21</v>
      </c>
      <c r="L502" s="19">
        <f>B*c_gom^K502</f>
        <v>3.5122223678792424E-3</v>
      </c>
      <c r="M502" s="19">
        <f>N502*delta +Prem-L502*(1-N502)</f>
        <v>-2.1603081442062239E-4</v>
      </c>
      <c r="N502" s="26">
        <f>N501-Step_h*M501</f>
        <v>5.5350262118138019E-3</v>
      </c>
      <c r="U502" s="2"/>
      <c r="X502" s="2"/>
    </row>
    <row r="503" spans="1:24" x14ac:dyDescent="0.45">
      <c r="A503" s="24">
        <v>4.8</v>
      </c>
      <c r="B503" s="24">
        <f>A503+Age</f>
        <v>24.8</v>
      </c>
      <c r="C503" s="19">
        <f>B*c_gom^B503</f>
        <v>3.3902922764031829E-3</v>
      </c>
      <c r="D503" s="19">
        <f t="shared" si="7"/>
        <v>-3.3454267049869433E-3</v>
      </c>
      <c r="E503" s="26">
        <f>E502+Step_h*D502</f>
        <v>0.98676645912551286</v>
      </c>
      <c r="J503" s="24">
        <f>ROUND(J502-Step_h,2)</f>
        <v>5.2</v>
      </c>
      <c r="K503" s="24">
        <f>J503+Age</f>
        <v>25.2</v>
      </c>
      <c r="L503" s="19">
        <f>B*c_gom^K503</f>
        <v>3.5091969193738913E-3</v>
      </c>
      <c r="M503" s="19">
        <f>N503*delta +Prem-L503*(1-N503)</f>
        <v>-2.1290651549815513E-4</v>
      </c>
      <c r="N503" s="26">
        <f>N502-Step_h*M502</f>
        <v>5.5371865199580084E-3</v>
      </c>
      <c r="U503" s="2"/>
      <c r="X503" s="2"/>
    </row>
    <row r="504" spans="1:24" x14ac:dyDescent="0.45">
      <c r="A504" s="24">
        <v>4.8100000000000005</v>
      </c>
      <c r="B504" s="24">
        <f>A504+Age</f>
        <v>24.810000000000002</v>
      </c>
      <c r="C504" s="19">
        <f>B*c_gom^B504</f>
        <v>3.3932152114609787E-3</v>
      </c>
      <c r="D504" s="19">
        <f t="shared" si="7"/>
        <v>-3.3481974417363366E-3</v>
      </c>
      <c r="E504" s="26">
        <f>E503+Step_h*D503</f>
        <v>0.98673300485846305</v>
      </c>
      <c r="J504" s="24">
        <f>ROUND(J503-Step_h,2)</f>
        <v>5.19</v>
      </c>
      <c r="K504" s="24">
        <f>J504+Age</f>
        <v>25.19</v>
      </c>
      <c r="L504" s="19">
        <f>B*c_gom^K504</f>
        <v>3.5061740770072477E-3</v>
      </c>
      <c r="M504" s="19">
        <f>N504*delta +Prem-L504*(1-N504)</f>
        <v>-2.0978649304271299E-4</v>
      </c>
      <c r="N504" s="26">
        <f>N503-Step_h*M503</f>
        <v>5.5393155851129897E-3</v>
      </c>
      <c r="U504" s="2"/>
      <c r="X504" s="2"/>
    </row>
    <row r="505" spans="1:24" x14ac:dyDescent="0.45">
      <c r="A505" s="24">
        <v>4.82</v>
      </c>
      <c r="B505" s="24">
        <f>A505+Age</f>
        <v>24.82</v>
      </c>
      <c r="C505" s="19">
        <f>B*c_gom^B505</f>
        <v>3.3961406665225517E-3</v>
      </c>
      <c r="D505" s="19">
        <f t="shared" si="7"/>
        <v>-3.3509703753049069E-3</v>
      </c>
      <c r="E505" s="26">
        <f>E504+Step_h*D504</f>
        <v>0.98669952288404572</v>
      </c>
      <c r="J505" s="24">
        <f>ROUND(J504-Step_h,2)</f>
        <v>5.18</v>
      </c>
      <c r="K505" s="24">
        <f>J505+Age</f>
        <v>25.18</v>
      </c>
      <c r="L505" s="19">
        <f>B*c_gom^K505</f>
        <v>3.503153838534368E-3</v>
      </c>
      <c r="M505" s="19">
        <f>N505*delta +Prem-L505*(1-N505)</f>
        <v>-2.0667074223377135E-4</v>
      </c>
      <c r="N505" s="26">
        <f>N504-Step_h*M504</f>
        <v>5.5414134500434168E-3</v>
      </c>
      <c r="U505" s="2"/>
      <c r="X505" s="2"/>
    </row>
    <row r="506" spans="1:24" x14ac:dyDescent="0.45">
      <c r="A506" s="24">
        <v>4.83</v>
      </c>
      <c r="B506" s="24">
        <f>A506+Age</f>
        <v>24.83</v>
      </c>
      <c r="C506" s="19">
        <f>B*c_gom^B506</f>
        <v>3.3990686437605235E-3</v>
      </c>
      <c r="D506" s="19">
        <f t="shared" si="7"/>
        <v>-3.3537455072653404E-3</v>
      </c>
      <c r="E506" s="26">
        <f>E505+Step_h*D505</f>
        <v>0.98666601318029268</v>
      </c>
      <c r="J506" s="24">
        <f>ROUND(J505-Step_h,2)</f>
        <v>5.17</v>
      </c>
      <c r="K506" s="24">
        <f>J506+Age</f>
        <v>25.17</v>
      </c>
      <c r="L506" s="19">
        <f>B*c_gom^K506</f>
        <v>3.5001362017122433E-3</v>
      </c>
      <c r="M506" s="19">
        <f>N506*delta +Prem-L506*(1-N506)</f>
        <v>-2.0355925825633631E-4</v>
      </c>
      <c r="N506" s="26">
        <f>N505-Step_h*M505</f>
        <v>5.5434801574657548E-3</v>
      </c>
      <c r="U506" s="2"/>
      <c r="X506" s="2"/>
    </row>
    <row r="507" spans="1:24" x14ac:dyDescent="0.45">
      <c r="A507" s="24">
        <v>4.84</v>
      </c>
      <c r="B507" s="24">
        <f>A507+Age</f>
        <v>24.84</v>
      </c>
      <c r="C507" s="19">
        <f>B*c_gom^B507</f>
        <v>3.4019991453493846E-3</v>
      </c>
      <c r="D507" s="19">
        <f t="shared" si="7"/>
        <v>-3.3565228391911461E-3</v>
      </c>
      <c r="E507" s="26">
        <f>E506+Step_h*D506</f>
        <v>0.98663247572522006</v>
      </c>
      <c r="J507" s="24">
        <f>ROUND(J506-Step_h,2)</f>
        <v>5.16</v>
      </c>
      <c r="K507" s="24">
        <f>J507+Age</f>
        <v>25.16</v>
      </c>
      <c r="L507" s="19">
        <f>B*c_gom^K507</f>
        <v>3.4971211642997944E-3</v>
      </c>
      <c r="M507" s="19">
        <f>N507*delta +Prem-L507*(1-N507)</f>
        <v>-2.0045203630092651E-4</v>
      </c>
      <c r="N507" s="26">
        <f>N506-Step_h*M506</f>
        <v>5.5455157500483177E-3</v>
      </c>
      <c r="U507" s="2"/>
      <c r="X507" s="2"/>
    </row>
    <row r="508" spans="1:24" x14ac:dyDescent="0.45">
      <c r="A508" s="24">
        <v>4.8500000000000005</v>
      </c>
      <c r="B508" s="24">
        <f>A508+Age</f>
        <v>24.85</v>
      </c>
      <c r="C508" s="19">
        <f>B*c_gom^B508</f>
        <v>3.404932173465497E-3</v>
      </c>
      <c r="D508" s="19">
        <f t="shared" si="7"/>
        <v>-3.3593023726566562E-3</v>
      </c>
      <c r="E508" s="26">
        <f>E507+Step_h*D507</f>
        <v>0.98659891049682813</v>
      </c>
      <c r="J508" s="24">
        <f>ROUND(J507-Step_h,2)</f>
        <v>5.15</v>
      </c>
      <c r="K508" s="24">
        <f>J508+Age</f>
        <v>25.15</v>
      </c>
      <c r="L508" s="19">
        <f>B*c_gom^K508</f>
        <v>3.4941087240578784E-3</v>
      </c>
      <c r="M508" s="19">
        <f>N508*delta +Prem-L508*(1-N508)</f>
        <v>-1.9734907156358002E-4</v>
      </c>
      <c r="N508" s="26">
        <f>N507-Step_h*M507</f>
        <v>5.5475202704113272E-3</v>
      </c>
      <c r="U508" s="2"/>
      <c r="X508" s="2"/>
    </row>
    <row r="509" spans="1:24" x14ac:dyDescent="0.45">
      <c r="A509" s="24">
        <v>4.8600000000000003</v>
      </c>
      <c r="B509" s="24">
        <f>A509+Age</f>
        <v>24.86</v>
      </c>
      <c r="C509" s="19">
        <f>B*c_gom^B509</f>
        <v>3.4078677302871031E-3</v>
      </c>
      <c r="D509" s="19">
        <f t="shared" si="7"/>
        <v>-3.3620841092370339E-3</v>
      </c>
      <c r="E509" s="26">
        <f>E508+Step_h*D508</f>
        <v>0.98656531747310161</v>
      </c>
      <c r="J509" s="24">
        <f>ROUND(J508-Step_h,2)</f>
        <v>5.14</v>
      </c>
      <c r="K509" s="24">
        <f>J509+Age</f>
        <v>25.14</v>
      </c>
      <c r="L509" s="19">
        <f>B*c_gom^K509</f>
        <v>3.4910988787492762E-3</v>
      </c>
      <c r="M509" s="19">
        <f>N509*delta +Prem-L509*(1-N509)</f>
        <v>-1.9425035924583141E-4</v>
      </c>
      <c r="N509" s="26">
        <f>N508-Step_h*M508</f>
        <v>5.5494937611269626E-3</v>
      </c>
      <c r="U509" s="2"/>
      <c r="X509" s="2"/>
    </row>
    <row r="510" spans="1:24" x14ac:dyDescent="0.45">
      <c r="A510" s="24">
        <v>4.87</v>
      </c>
      <c r="B510" s="24">
        <f>A510+Age</f>
        <v>24.87</v>
      </c>
      <c r="C510" s="19">
        <f>B*c_gom^B510</f>
        <v>3.4108058179943244E-3</v>
      </c>
      <c r="D510" s="19">
        <f t="shared" si="7"/>
        <v>-3.364868050508269E-3</v>
      </c>
      <c r="E510" s="26">
        <f>E509+Step_h*D509</f>
        <v>0.98653169663200924</v>
      </c>
      <c r="J510" s="24">
        <f>ROUND(J509-Step_h,2)</f>
        <v>5.13</v>
      </c>
      <c r="K510" s="24">
        <f>J510+Age</f>
        <v>25.13</v>
      </c>
      <c r="L510" s="19">
        <f>B*c_gom^K510</f>
        <v>3.4880916261386952E-3</v>
      </c>
      <c r="M510" s="19">
        <f>N510*delta +Prem-L510*(1-N510)</f>
        <v>-1.9115589455471343E-4</v>
      </c>
      <c r="N510" s="26">
        <f>N509-Step_h*M509</f>
        <v>5.5514362647194207E-3</v>
      </c>
      <c r="U510" s="2"/>
      <c r="X510" s="2"/>
    </row>
    <row r="511" spans="1:24" x14ac:dyDescent="0.45">
      <c r="A511" s="24">
        <v>4.88</v>
      </c>
      <c r="B511" s="24">
        <f>A511+Age</f>
        <v>24.88</v>
      </c>
      <c r="C511" s="19">
        <f>B*c_gom^B511</f>
        <v>3.4137464387691569E-3</v>
      </c>
      <c r="D511" s="19">
        <f t="shared" si="7"/>
        <v>-3.3676541980471723E-3</v>
      </c>
      <c r="E511" s="26">
        <f>E510+Step_h*D510</f>
        <v>0.9864980479515042</v>
      </c>
      <c r="J511" s="24">
        <f>ROUND(J510-Step_h,2)</f>
        <v>5.12</v>
      </c>
      <c r="K511" s="24">
        <f>J511+Age</f>
        <v>25.12</v>
      </c>
      <c r="L511" s="19">
        <f>B*c_gom^K511</f>
        <v>3.4850869639927746E-3</v>
      </c>
      <c r="M511" s="19">
        <f>N511*delta +Prem-L511*(1-N511)</f>
        <v>-1.8806567270275359E-4</v>
      </c>
      <c r="N511" s="26">
        <f>N510-Step_h*M510</f>
        <v>5.553347823664968E-3</v>
      </c>
      <c r="U511" s="2"/>
      <c r="X511" s="2"/>
    </row>
    <row r="512" spans="1:24" x14ac:dyDescent="0.45">
      <c r="A512" s="24">
        <v>4.8899999999999997</v>
      </c>
      <c r="B512" s="24">
        <f>A512+Age</f>
        <v>24.89</v>
      </c>
      <c r="C512" s="19">
        <f>B*c_gom^B512</f>
        <v>3.4166895947954821E-3</v>
      </c>
      <c r="D512" s="19">
        <f t="shared" si="7"/>
        <v>-3.3704425534313853E-3</v>
      </c>
      <c r="E512" s="26">
        <f>E511+Step_h*D511</f>
        <v>0.9864643714095237</v>
      </c>
      <c r="J512" s="24">
        <f>ROUND(J511-Step_h,2)</f>
        <v>5.1100000000000003</v>
      </c>
      <c r="K512" s="24">
        <f>J512+Age</f>
        <v>25.11</v>
      </c>
      <c r="L512" s="19">
        <f>B*c_gom^K512</f>
        <v>3.4820848900800707E-3</v>
      </c>
      <c r="M512" s="19">
        <f>N512*delta +Prem-L512*(1-N512)</f>
        <v>-1.8497968890795503E-4</v>
      </c>
      <c r="N512" s="26">
        <f>N511-Step_h*M511</f>
        <v>5.5552284803919959E-3</v>
      </c>
      <c r="U512" s="2"/>
      <c r="X512" s="2"/>
    </row>
    <row r="513" spans="1:24" x14ac:dyDescent="0.45">
      <c r="A513" s="24">
        <v>4.9000000000000004</v>
      </c>
      <c r="B513" s="24">
        <f>A513+Age</f>
        <v>24.9</v>
      </c>
      <c r="C513" s="19">
        <f>B*c_gom^B513</f>
        <v>3.4196352882590632E-3</v>
      </c>
      <c r="D513" s="19">
        <f t="shared" si="7"/>
        <v>-3.3732331182393747E-3</v>
      </c>
      <c r="E513" s="26">
        <f>E512+Step_h*D512</f>
        <v>0.9864306669839894</v>
      </c>
      <c r="J513" s="24">
        <f>ROUND(J512-Step_h,2)</f>
        <v>5.0999999999999996</v>
      </c>
      <c r="K513" s="24">
        <f>J513+Age</f>
        <v>25.1</v>
      </c>
      <c r="L513" s="19">
        <f>B*c_gom^K513</f>
        <v>3.4790854021710645E-3</v>
      </c>
      <c r="M513" s="19">
        <f>N513*delta +Prem-L513*(1-N513)</f>
        <v>-1.8189793839380047E-4</v>
      </c>
      <c r="N513" s="26">
        <f>N512-Step_h*M512</f>
        <v>5.5570782772810757E-3</v>
      </c>
      <c r="U513" s="2"/>
      <c r="X513" s="2"/>
    </row>
    <row r="514" spans="1:24" x14ac:dyDescent="0.45">
      <c r="A514" s="24">
        <v>4.91</v>
      </c>
      <c r="B514" s="24">
        <f>A514+Age</f>
        <v>24.91</v>
      </c>
      <c r="C514" s="19">
        <f>B*c_gom^B514</f>
        <v>3.4225835213475488E-3</v>
      </c>
      <c r="D514" s="19">
        <f t="shared" si="7"/>
        <v>-3.3760258940504322E-3</v>
      </c>
      <c r="E514" s="26">
        <f>E513+Step_h*D513</f>
        <v>0.98639693465280698</v>
      </c>
      <c r="J514" s="24">
        <f>ROUND(J513-Step_h,2)</f>
        <v>5.09</v>
      </c>
      <c r="K514" s="24">
        <f>J514+Age</f>
        <v>25.09</v>
      </c>
      <c r="L514" s="19">
        <f>B*c_gom^K514</f>
        <v>3.4760884980381572E-3</v>
      </c>
      <c r="M514" s="19">
        <f>N514*delta +Prem-L514*(1-N514)</f>
        <v>-1.7882041638923743E-4</v>
      </c>
      <c r="N514" s="26">
        <f>N513-Step_h*M513</f>
        <v>5.558897256665014E-3</v>
      </c>
      <c r="U514" s="2"/>
      <c r="X514" s="2"/>
    </row>
    <row r="515" spans="1:24" x14ac:dyDescent="0.45">
      <c r="A515" s="24">
        <v>4.92</v>
      </c>
      <c r="B515" s="24">
        <f>A515+Age</f>
        <v>24.92</v>
      </c>
      <c r="C515" s="19">
        <f>B*c_gom^B515</f>
        <v>3.4255342962504695E-3</v>
      </c>
      <c r="D515" s="19">
        <f t="shared" si="7"/>
        <v>-3.3788208824446723E-3</v>
      </c>
      <c r="E515" s="26">
        <f>E514+Step_h*D514</f>
        <v>0.98636317439386645</v>
      </c>
      <c r="J515" s="24">
        <f>ROUND(J514-Step_h,2)</f>
        <v>5.08</v>
      </c>
      <c r="K515" s="24">
        <f>J515+Age</f>
        <v>25.08</v>
      </c>
      <c r="L515" s="19">
        <f>B*c_gom^K515</f>
        <v>3.4730941754556712E-3</v>
      </c>
      <c r="M515" s="19">
        <f>N515*delta +Prem-L515*(1-N515)</f>
        <v>-1.7574711812867998E-4</v>
      </c>
      <c r="N515" s="26">
        <f>N514-Step_h*M514</f>
        <v>5.5606854608289064E-3</v>
      </c>
      <c r="U515" s="2"/>
      <c r="X515" s="2"/>
    </row>
    <row r="516" spans="1:24" x14ac:dyDescent="0.45">
      <c r="A516" s="24">
        <v>4.93</v>
      </c>
      <c r="B516" s="24">
        <f>A516+Age</f>
        <v>24.93</v>
      </c>
      <c r="C516" s="19">
        <f>B*c_gom^B516</f>
        <v>3.4284876151592478E-3</v>
      </c>
      <c r="D516" s="19">
        <f t="shared" si="7"/>
        <v>-3.3816180850030392E-3</v>
      </c>
      <c r="E516" s="26">
        <f>E515+Step_h*D515</f>
        <v>0.98632938618504196</v>
      </c>
      <c r="J516" s="24">
        <f>ROUND(J515-Step_h,2)</f>
        <v>5.07</v>
      </c>
      <c r="K516" s="24">
        <f>J516+Age</f>
        <v>25.07</v>
      </c>
      <c r="L516" s="19">
        <f>B*c_gom^K516</f>
        <v>3.4701024321998433E-3</v>
      </c>
      <c r="M516" s="19">
        <f>N516*delta +Prem-L516*(1-N516)</f>
        <v>-1.7267803885199226E-4</v>
      </c>
      <c r="N516" s="26">
        <f>N515-Step_h*M515</f>
        <v>5.5624429320101929E-3</v>
      </c>
      <c r="U516" s="2"/>
      <c r="X516" s="2"/>
    </row>
    <row r="517" spans="1:24" x14ac:dyDescent="0.45">
      <c r="A517" s="24">
        <v>4.9400000000000004</v>
      </c>
      <c r="B517" s="24">
        <f>A517+Age</f>
        <v>24.94</v>
      </c>
      <c r="C517" s="19">
        <f>B*c_gom^B517</f>
        <v>3.4314434802671964E-3</v>
      </c>
      <c r="D517" s="19">
        <f t="shared" si="7"/>
        <v>-3.3844175033073023E-3</v>
      </c>
      <c r="E517" s="26">
        <f>E516+Step_h*D516</f>
        <v>0.98629557000419188</v>
      </c>
      <c r="J517" s="24">
        <f>ROUND(J516-Step_h,2)</f>
        <v>5.0599999999999996</v>
      </c>
      <c r="K517" s="24">
        <f>J517+Age</f>
        <v>25.06</v>
      </c>
      <c r="L517" s="19">
        <f>B*c_gom^K517</f>
        <v>3.4671132660488249E-3</v>
      </c>
      <c r="M517" s="19">
        <f>N517*delta +Prem-L517*(1-N517)</f>
        <v>-1.6961317380448458E-4</v>
      </c>
      <c r="N517" s="26">
        <f>N516-Step_h*M516</f>
        <v>5.5641697123987128E-3</v>
      </c>
      <c r="U517" s="2"/>
      <c r="X517" s="2"/>
    </row>
    <row r="518" spans="1:24" x14ac:dyDescent="0.45">
      <c r="A518" s="24">
        <v>4.95</v>
      </c>
      <c r="B518" s="24">
        <f>A518+Age</f>
        <v>24.95</v>
      </c>
      <c r="C518" s="19">
        <f>B*c_gom^B518</f>
        <v>3.4344018937695142E-3</v>
      </c>
      <c r="D518" s="19">
        <f t="shared" si="7"/>
        <v>-3.3872191389400525E-3</v>
      </c>
      <c r="E518" s="26">
        <f>E517+Step_h*D517</f>
        <v>0.98626172582915883</v>
      </c>
      <c r="J518" s="24">
        <f>ROUND(J517-Step_h,2)</f>
        <v>5.05</v>
      </c>
      <c r="K518" s="24">
        <f>J518+Age</f>
        <v>25.05</v>
      </c>
      <c r="L518" s="19">
        <f>B*c_gom^K518</f>
        <v>3.4641266747826864E-3</v>
      </c>
      <c r="M518" s="19">
        <f>N518*delta +Prem-L518*(1-N518)</f>
        <v>-1.6655251823691252E-4</v>
      </c>
      <c r="N518" s="26">
        <f>N517-Step_h*M517</f>
        <v>5.5658658441367576E-3</v>
      </c>
      <c r="U518" s="2"/>
      <c r="X518" s="2"/>
    </row>
    <row r="519" spans="1:24" x14ac:dyDescent="0.45">
      <c r="A519" s="24">
        <v>4.96</v>
      </c>
      <c r="B519" s="24">
        <f>A519+Age</f>
        <v>24.96</v>
      </c>
      <c r="C519" s="19">
        <f>B*c_gom^B519</f>
        <v>3.4373628578632954E-3</v>
      </c>
      <c r="D519" s="19">
        <f t="shared" si="7"/>
        <v>-3.3900229934847067E-3</v>
      </c>
      <c r="E519" s="26">
        <f>E518+Step_h*D518</f>
        <v>0.98622785363776944</v>
      </c>
      <c r="J519" s="24">
        <f>ROUND(J518-Step_h,2)</f>
        <v>5.04</v>
      </c>
      <c r="K519" s="24">
        <f>J519+Age</f>
        <v>25.04</v>
      </c>
      <c r="L519" s="19">
        <f>B*c_gom^K519</f>
        <v>3.4611426561834053E-3</v>
      </c>
      <c r="M519" s="19">
        <f>N519*delta +Prem-L519*(1-N519)</f>
        <v>-1.6349606740545921E-4</v>
      </c>
      <c r="N519" s="26">
        <f>N518-Step_h*M518</f>
        <v>5.5675313693191271E-3</v>
      </c>
      <c r="U519" s="2"/>
      <c r="X519" s="2"/>
    </row>
    <row r="520" spans="1:24" x14ac:dyDescent="0.45">
      <c r="A520" s="24">
        <v>4.97</v>
      </c>
      <c r="B520" s="24">
        <f>A520+Age</f>
        <v>24.97</v>
      </c>
      <c r="C520" s="19">
        <f>B*c_gom^B520</f>
        <v>3.4403263747475295E-3</v>
      </c>
      <c r="D520" s="19">
        <f t="shared" si="7"/>
        <v>-3.3928290685255095E-3</v>
      </c>
      <c r="E520" s="26">
        <f>E519+Step_h*D519</f>
        <v>0.98619395340783456</v>
      </c>
      <c r="J520" s="24">
        <f>ROUND(J519-Step_h,2)</f>
        <v>5.03</v>
      </c>
      <c r="K520" s="24">
        <f>J520+Age</f>
        <v>25.03</v>
      </c>
      <c r="L520" s="19">
        <f>B*c_gom^K520</f>
        <v>3.4581612080348714E-3</v>
      </c>
      <c r="M520" s="19">
        <f>N520*delta +Prem-L520*(1-N520)</f>
        <v>-1.6044381657173614E-4</v>
      </c>
      <c r="N520" s="26">
        <f>N519-Step_h*M519</f>
        <v>5.5691663299931816E-3</v>
      </c>
      <c r="U520" s="2"/>
      <c r="X520" s="2"/>
    </row>
    <row r="521" spans="1:24" x14ac:dyDescent="0.45">
      <c r="A521" s="24">
        <v>4.9800000000000004</v>
      </c>
      <c r="B521" s="24">
        <f>A521+Age</f>
        <v>24.98</v>
      </c>
      <c r="C521" s="19">
        <f>B*c_gom^B521</f>
        <v>3.4432924466231015E-3</v>
      </c>
      <c r="D521" s="19">
        <f t="shared" si="7"/>
        <v>-3.3956373656475283E-3</v>
      </c>
      <c r="E521" s="26">
        <f>E520+Step_h*D520</f>
        <v>0.98616002511714929</v>
      </c>
      <c r="J521" s="24">
        <f>ROUND(J520-Step_h,2)</f>
        <v>5.0199999999999996</v>
      </c>
      <c r="K521" s="24">
        <f>J521+Age</f>
        <v>25.02</v>
      </c>
      <c r="L521" s="19">
        <f>B*c_gom^K521</f>
        <v>3.4551823281228828E-3</v>
      </c>
      <c r="M521" s="19">
        <f>N521*delta +Prem-L521*(1-N521)</f>
        <v>-1.5739576100277149E-4</v>
      </c>
      <c r="N521" s="26">
        <f>N520-Step_h*M520</f>
        <v>5.5707707681588994E-3</v>
      </c>
      <c r="U521" s="2"/>
      <c r="X521" s="2"/>
    </row>
    <row r="522" spans="1:24" x14ac:dyDescent="0.45">
      <c r="A522" s="24">
        <v>4.99</v>
      </c>
      <c r="B522" s="24">
        <f>A522+Age</f>
        <v>24.990000000000002</v>
      </c>
      <c r="C522" s="19">
        <f>B*c_gom^B522</f>
        <v>3.446261075692791E-3</v>
      </c>
      <c r="D522" s="19">
        <f t="shared" si="7"/>
        <v>-3.3984478864366526E-3</v>
      </c>
      <c r="E522" s="26">
        <f>E521+Step_h*D521</f>
        <v>0.98612606874349285</v>
      </c>
      <c r="J522" s="24">
        <f>ROUND(J521-Step_h,2)</f>
        <v>5.01</v>
      </c>
      <c r="K522" s="24">
        <f>J522+Age</f>
        <v>25.009999999999998</v>
      </c>
      <c r="L522" s="19">
        <f>B*c_gom^K522</f>
        <v>3.4522060142351488E-3</v>
      </c>
      <c r="M522" s="19">
        <f>N522*delta +Prem-L522*(1-N522)</f>
        <v>-1.5435189597101141E-4</v>
      </c>
      <c r="N522" s="26">
        <f>N521-Step_h*M521</f>
        <v>5.5723447257689275E-3</v>
      </c>
      <c r="U522" s="2"/>
      <c r="X522" s="2"/>
    </row>
    <row r="523" spans="1:24" x14ac:dyDescent="0.45">
      <c r="A523" s="24">
        <v>5</v>
      </c>
      <c r="B523" s="24">
        <f>A523+Age</f>
        <v>25</v>
      </c>
      <c r="C523" s="19">
        <f>B*c_gom^B523</f>
        <v>3.4492322641612775E-3</v>
      </c>
      <c r="D523" s="19">
        <f t="shared" si="7"/>
        <v>-3.4012606324795975E-3</v>
      </c>
      <c r="E523" s="26">
        <f>E522+Step_h*D522</f>
        <v>0.98609208426462847</v>
      </c>
      <c r="J523" s="24">
        <f>ROUND(J522-Step_h,2)</f>
        <v>5</v>
      </c>
      <c r="K523" s="24">
        <f>J523+Age</f>
        <v>25</v>
      </c>
      <c r="L523" s="19">
        <f>B*c_gom^K523</f>
        <v>3.4492322641612775E-3</v>
      </c>
      <c r="M523" s="19">
        <f>N523*delta +Prem-L523*(1-N523)</f>
        <v>-1.5131221675429834E-4</v>
      </c>
      <c r="N523" s="26">
        <f>N522-Step_h*M522</f>
        <v>5.5738882447286375E-3</v>
      </c>
      <c r="U523" s="2"/>
      <c r="X523" s="2"/>
    </row>
    <row r="524" spans="1:24" x14ac:dyDescent="0.45">
      <c r="A524" s="24">
        <v>5.01</v>
      </c>
      <c r="B524" s="24">
        <f>A524+Age</f>
        <v>25.009999999999998</v>
      </c>
      <c r="C524" s="19">
        <f>B*c_gom^B524</f>
        <v>3.4522060142351488E-3</v>
      </c>
      <c r="D524" s="19">
        <f t="shared" si="7"/>
        <v>-3.4040756053639091E-3</v>
      </c>
      <c r="E524" s="26">
        <f>E523+Step_h*D523</f>
        <v>0.98605807165830361</v>
      </c>
      <c r="J524" s="24">
        <f>ROUND(J523-Step_h,2)</f>
        <v>4.99</v>
      </c>
      <c r="K524" s="24">
        <f>J524+Age</f>
        <v>24.990000000000002</v>
      </c>
      <c r="L524" s="19">
        <f>B*c_gom^K524</f>
        <v>3.446261075692791E-3</v>
      </c>
      <c r="M524" s="19">
        <f>N524*delta +Prem-L524*(1-N524)</f>
        <v>-1.4827671863588314E-4</v>
      </c>
      <c r="N524" s="26">
        <f>N523-Step_h*M523</f>
        <v>5.5754013668961808E-3</v>
      </c>
      <c r="U524" s="2"/>
      <c r="X524" s="2"/>
    </row>
    <row r="525" spans="1:24" x14ac:dyDescent="0.45">
      <c r="A525" s="24">
        <v>5.0200000000000005</v>
      </c>
      <c r="B525" s="24">
        <f>A525+Age</f>
        <v>25.02</v>
      </c>
      <c r="C525" s="19">
        <f>B*c_gom^B525</f>
        <v>3.4551823281228828E-3</v>
      </c>
      <c r="D525" s="19">
        <f t="shared" si="7"/>
        <v>-3.4068928066779453E-3</v>
      </c>
      <c r="E525" s="26">
        <f>E524+Step_h*D524</f>
        <v>0.98602403090224999</v>
      </c>
      <c r="J525" s="24">
        <f>ROUND(J524-Step_h,2)</f>
        <v>4.9800000000000004</v>
      </c>
      <c r="K525" s="24">
        <f>J525+Age</f>
        <v>24.98</v>
      </c>
      <c r="L525" s="19">
        <f>B*c_gom^K525</f>
        <v>3.4432924466231015E-3</v>
      </c>
      <c r="M525" s="19">
        <f>N525*delta +Prem-L525*(1-N525)</f>
        <v>-1.4524539690439608E-4</v>
      </c>
      <c r="N525" s="26">
        <f>N524-Step_h*M524</f>
        <v>5.5768841340825392E-3</v>
      </c>
      <c r="U525" s="2"/>
      <c r="X525" s="2"/>
    </row>
    <row r="526" spans="1:24" x14ac:dyDescent="0.45">
      <c r="A526" s="24">
        <v>5.03</v>
      </c>
      <c r="B526" s="24">
        <f>A526+Age</f>
        <v>25.03</v>
      </c>
      <c r="C526" s="19">
        <f>B*c_gom^B526</f>
        <v>3.4581612080348714E-3</v>
      </c>
      <c r="D526" s="19">
        <f t="shared" si="7"/>
        <v>-3.4097122380108984E-3</v>
      </c>
      <c r="E526" s="26">
        <f>E525+Step_h*D525</f>
        <v>0.9859899619741832</v>
      </c>
      <c r="J526" s="24">
        <f>ROUND(J525-Step_h,2)</f>
        <v>4.97</v>
      </c>
      <c r="K526" s="24">
        <f>J526+Age</f>
        <v>24.97</v>
      </c>
      <c r="L526" s="19">
        <f>B*c_gom^K526</f>
        <v>3.4403263747475295E-3</v>
      </c>
      <c r="M526" s="19">
        <f>N526*delta +Prem-L526*(1-N526)</f>
        <v>-1.4221824685385718E-4</v>
      </c>
      <c r="N526" s="26">
        <f>N525-Step_h*M525</f>
        <v>5.5783365880515828E-3</v>
      </c>
      <c r="U526" s="2"/>
      <c r="X526" s="2"/>
    </row>
    <row r="527" spans="1:24" x14ac:dyDescent="0.45">
      <c r="A527" s="24">
        <v>5.04</v>
      </c>
      <c r="B527" s="24">
        <f>A527+Age</f>
        <v>25.04</v>
      </c>
      <c r="C527" s="19">
        <f>B*c_gom^B527</f>
        <v>3.4611426561834053E-3</v>
      </c>
      <c r="D527" s="19">
        <f t="shared" si="7"/>
        <v>-3.4125339009527765E-3</v>
      </c>
      <c r="E527" s="26">
        <f>E526+Step_h*D526</f>
        <v>0.98595586485180309</v>
      </c>
      <c r="J527" s="24">
        <f>ROUND(J526-Step_h,2)</f>
        <v>4.96</v>
      </c>
      <c r="K527" s="24">
        <f>J527+Age</f>
        <v>24.96</v>
      </c>
      <c r="L527" s="19">
        <f>B*c_gom^K527</f>
        <v>3.4373628578632954E-3</v>
      </c>
      <c r="M527" s="19">
        <f>N527*delta +Prem-L527*(1-N527)</f>
        <v>-1.3919526378366673E-4</v>
      </c>
      <c r="N527" s="26">
        <f>N526-Step_h*M526</f>
        <v>5.5797587705201214E-3</v>
      </c>
      <c r="U527" s="2"/>
      <c r="X527" s="2"/>
    </row>
    <row r="528" spans="1:24" x14ac:dyDescent="0.45">
      <c r="A528" s="24">
        <v>5.05</v>
      </c>
      <c r="B528" s="24">
        <f>A528+Age</f>
        <v>25.05</v>
      </c>
      <c r="C528" s="19">
        <f>B*c_gom^B528</f>
        <v>3.4641266747826864E-3</v>
      </c>
      <c r="D528" s="19">
        <f t="shared" si="7"/>
        <v>-3.4153577970944156E-3</v>
      </c>
      <c r="E528" s="26">
        <f>E527+Step_h*D527</f>
        <v>0.9859217395127936</v>
      </c>
      <c r="J528" s="24">
        <f>ROUND(J527-Step_h,2)</f>
        <v>4.95</v>
      </c>
      <c r="K528" s="24">
        <f>J528+Age</f>
        <v>24.95</v>
      </c>
      <c r="L528" s="19">
        <f>B*c_gom^K528</f>
        <v>3.4344018937695142E-3</v>
      </c>
      <c r="M528" s="19">
        <f>N528*delta +Prem-L528*(1-N528)</f>
        <v>-1.3617644299858964E-4</v>
      </c>
      <c r="N528" s="26">
        <f>N527-Step_h*M527</f>
        <v>5.581150723157958E-3</v>
      </c>
      <c r="U528" s="2"/>
      <c r="X528" s="2"/>
    </row>
    <row r="529" spans="1:24" x14ac:dyDescent="0.45">
      <c r="A529" s="24">
        <v>5.0600000000000005</v>
      </c>
      <c r="B529" s="24">
        <f>A529+Age</f>
        <v>25.060000000000002</v>
      </c>
      <c r="C529" s="19">
        <f>B*c_gom^B529</f>
        <v>3.4671132660488262E-3</v>
      </c>
      <c r="D529" s="19">
        <f t="shared" si="7"/>
        <v>-3.4181839280274756E-3</v>
      </c>
      <c r="E529" s="26">
        <f>E528+Step_h*D528</f>
        <v>0.98588758593482262</v>
      </c>
      <c r="J529" s="24">
        <f>ROUND(J528-Step_h,2)</f>
        <v>4.9400000000000004</v>
      </c>
      <c r="K529" s="24">
        <f>J529+Age</f>
        <v>24.94</v>
      </c>
      <c r="L529" s="19">
        <f>B*c_gom^K529</f>
        <v>3.4314434802671964E-3</v>
      </c>
      <c r="M529" s="19">
        <f>N529*delta +Prem-L529*(1-N529)</f>
        <v>-1.3316177980875546E-4</v>
      </c>
      <c r="N529" s="26">
        <f>N528-Step_h*M528</f>
        <v>5.5825124875879435E-3</v>
      </c>
      <c r="U529" s="2"/>
      <c r="X529" s="2"/>
    </row>
    <row r="530" spans="1:24" x14ac:dyDescent="0.45">
      <c r="A530" s="24">
        <v>5.07</v>
      </c>
      <c r="B530" s="24">
        <f>A530+Age</f>
        <v>25.07</v>
      </c>
      <c r="C530" s="19">
        <f>B*c_gom^B530</f>
        <v>3.4701024321998433E-3</v>
      </c>
      <c r="D530" s="19">
        <f t="shared" si="7"/>
        <v>-3.4210122953444366E-3</v>
      </c>
      <c r="E530" s="26">
        <f>E529+Step_h*D529</f>
        <v>0.98585340409554234</v>
      </c>
      <c r="J530" s="24">
        <f>ROUND(J529-Step_h,2)</f>
        <v>4.93</v>
      </c>
      <c r="K530" s="24">
        <f>J530+Age</f>
        <v>24.93</v>
      </c>
      <c r="L530" s="19">
        <f>B*c_gom^K530</f>
        <v>3.4284876151592478E-3</v>
      </c>
      <c r="M530" s="19">
        <f>N530*delta +Prem-L530*(1-N530)</f>
        <v>-1.3015126952965013E-4</v>
      </c>
      <c r="N530" s="26">
        <f>N529-Step_h*M529</f>
        <v>5.5838441053860308E-3</v>
      </c>
      <c r="U530" s="2"/>
      <c r="X530" s="2"/>
    </row>
    <row r="531" spans="1:24" x14ac:dyDescent="0.45">
      <c r="A531" s="24">
        <v>5.08</v>
      </c>
      <c r="B531" s="24">
        <f>A531+Age</f>
        <v>25.08</v>
      </c>
      <c r="C531" s="19">
        <f>B*c_gom^B531</f>
        <v>3.4730941754556712E-3</v>
      </c>
      <c r="D531" s="19">
        <f t="shared" si="7"/>
        <v>-3.4238429006386031E-3</v>
      </c>
      <c r="E531" s="26">
        <f>E530+Step_h*D530</f>
        <v>0.98581919397258888</v>
      </c>
      <c r="J531" s="24">
        <f>ROUND(J530-Step_h,2)</f>
        <v>4.92</v>
      </c>
      <c r="K531" s="24">
        <f>J531+Age</f>
        <v>24.92</v>
      </c>
      <c r="L531" s="19">
        <f>B*c_gom^K531</f>
        <v>3.4255342962504695E-3</v>
      </c>
      <c r="M531" s="19">
        <f>N531*delta +Prem-L531*(1-N531)</f>
        <v>-1.271449074821125E-4</v>
      </c>
      <c r="N531" s="26">
        <f>N530-Step_h*M530</f>
        <v>5.5851456180813271E-3</v>
      </c>
      <c r="U531" s="2"/>
      <c r="X531" s="2"/>
    </row>
    <row r="532" spans="1:24" x14ac:dyDescent="0.45">
      <c r="A532" s="24">
        <v>5.09</v>
      </c>
      <c r="B532" s="24">
        <f>A532+Age</f>
        <v>25.09</v>
      </c>
      <c r="C532" s="19">
        <f>B*c_gom^B532</f>
        <v>3.4760884980381572E-3</v>
      </c>
      <c r="D532" s="19">
        <f t="shared" si="7"/>
        <v>-3.426675745504103E-3</v>
      </c>
      <c r="E532" s="26">
        <f>E531+Step_h*D531</f>
        <v>0.98578495554358248</v>
      </c>
      <c r="J532" s="24">
        <f>ROUND(J531-Step_h,2)</f>
        <v>4.91</v>
      </c>
      <c r="K532" s="24">
        <f>J532+Age</f>
        <v>24.91</v>
      </c>
      <c r="L532" s="19">
        <f>B*c_gom^K532</f>
        <v>3.4225835213475488E-3</v>
      </c>
      <c r="M532" s="19">
        <f>N532*delta +Prem-L532*(1-N532)</f>
        <v>-1.2414268899231789E-4</v>
      </c>
      <c r="N532" s="26">
        <f>N531-Step_h*M531</f>
        <v>5.5864170671561485E-3</v>
      </c>
      <c r="U532" s="2"/>
      <c r="X532" s="2"/>
    </row>
    <row r="533" spans="1:24" x14ac:dyDescent="0.45">
      <c r="A533" s="24">
        <v>5.1000000000000005</v>
      </c>
      <c r="B533" s="24">
        <f>A533+Age</f>
        <v>25.1</v>
      </c>
      <c r="C533" s="19">
        <f>B*c_gom^B533</f>
        <v>3.4790854021710645E-3</v>
      </c>
      <c r="D533" s="19">
        <f t="shared" si="7"/>
        <v>-3.4295108315358881E-3</v>
      </c>
      <c r="E533" s="26">
        <f>E532+Step_h*D532</f>
        <v>0.98575068878612748</v>
      </c>
      <c r="J533" s="24">
        <f>ROUND(J532-Step_h,2)</f>
        <v>4.9000000000000004</v>
      </c>
      <c r="K533" s="24">
        <f>J533+Age</f>
        <v>24.9</v>
      </c>
      <c r="L533" s="19">
        <f>B*c_gom^K533</f>
        <v>3.4196352882590632E-3</v>
      </c>
      <c r="M533" s="19">
        <f>N533*delta +Prem-L533*(1-N533)</f>
        <v>-1.211446093917789E-4</v>
      </c>
      <c r="N533" s="26">
        <f>N532-Step_h*M532</f>
        <v>5.587658494046072E-3</v>
      </c>
      <c r="U533" s="2"/>
      <c r="X533" s="2"/>
    </row>
    <row r="534" spans="1:24" x14ac:dyDescent="0.45">
      <c r="A534" s="24">
        <v>5.1100000000000003</v>
      </c>
      <c r="B534" s="24">
        <f>A534+Age</f>
        <v>25.11</v>
      </c>
      <c r="C534" s="19">
        <f>B*c_gom^B534</f>
        <v>3.4820848900800707E-3</v>
      </c>
      <c r="D534" s="19">
        <f t="shared" si="7"/>
        <v>-3.4323481603297282E-3</v>
      </c>
      <c r="E534" s="26">
        <f>E533+Step_h*D533</f>
        <v>0.98571639367781216</v>
      </c>
      <c r="J534" s="24">
        <f>ROUND(J533-Step_h,2)</f>
        <v>4.8899999999999997</v>
      </c>
      <c r="K534" s="24">
        <f>J534+Age</f>
        <v>24.89</v>
      </c>
      <c r="L534" s="19">
        <f>B*c_gom^K534</f>
        <v>3.4166895947954821E-3</v>
      </c>
      <c r="M534" s="19">
        <f>N534*delta +Prem-L534*(1-N534)</f>
        <v>-1.181506640173407E-4</v>
      </c>
      <c r="N534" s="26">
        <f>N533-Step_h*M533</f>
        <v>5.5888699401399899E-3</v>
      </c>
      <c r="U534" s="2"/>
      <c r="X534" s="2"/>
    </row>
    <row r="535" spans="1:24" x14ac:dyDescent="0.45">
      <c r="A535" s="24">
        <v>5.12</v>
      </c>
      <c r="B535" s="24">
        <f>A535+Age</f>
        <v>25.12</v>
      </c>
      <c r="C535" s="19">
        <f>B*c_gom^B535</f>
        <v>3.4850869639927746E-3</v>
      </c>
      <c r="D535" s="19">
        <f t="shared" si="7"/>
        <v>-3.4351877334822187E-3</v>
      </c>
      <c r="E535" s="26">
        <f>E534+Step_h*D534</f>
        <v>0.9856820701962089</v>
      </c>
      <c r="J535" s="24">
        <f>ROUND(J534-Step_h,2)</f>
        <v>4.88</v>
      </c>
      <c r="K535" s="24">
        <f>J535+Age</f>
        <v>24.88</v>
      </c>
      <c r="L535" s="19">
        <f>B*c_gom^K535</f>
        <v>3.4137464387691569E-3</v>
      </c>
      <c r="M535" s="19">
        <f>N535*delta +Prem-L535*(1-N535)</f>
        <v>-1.1516084821116667E-4</v>
      </c>
      <c r="N535" s="26">
        <f>N534-Step_h*M534</f>
        <v>5.5900514467801636E-3</v>
      </c>
      <c r="U535" s="2"/>
      <c r="X535" s="2"/>
    </row>
    <row r="536" spans="1:24" x14ac:dyDescent="0.45">
      <c r="A536" s="24">
        <v>5.13</v>
      </c>
      <c r="B536" s="24">
        <f>A536+Age</f>
        <v>25.13</v>
      </c>
      <c r="C536" s="19">
        <f>B*c_gom^B536</f>
        <v>3.4880916261386952E-3</v>
      </c>
      <c r="D536" s="19">
        <f t="shared" ref="D536:D599" si="8">-E536*C536</f>
        <v>-3.4380295525907761E-3</v>
      </c>
      <c r="E536" s="26">
        <f>E535+Step_h*D535</f>
        <v>0.9856477183188741</v>
      </c>
      <c r="J536" s="24">
        <f>ROUND(J535-Step_h,2)</f>
        <v>4.87</v>
      </c>
      <c r="K536" s="24">
        <f>J536+Age</f>
        <v>24.87</v>
      </c>
      <c r="L536" s="19">
        <f>B*c_gom^K536</f>
        <v>3.4108058179943244E-3</v>
      </c>
      <c r="M536" s="19">
        <f>N536*delta +Prem-L536*(1-N536)</f>
        <v>-1.1217515732073451E-4</v>
      </c>
      <c r="N536" s="26">
        <f>N535-Step_h*M535</f>
        <v>5.5912030552622751E-3</v>
      </c>
      <c r="U536" s="2"/>
      <c r="X536" s="2"/>
    </row>
    <row r="537" spans="1:24" x14ac:dyDescent="0.45">
      <c r="A537" s="24">
        <v>5.14</v>
      </c>
      <c r="B537" s="24">
        <f>A537+Age</f>
        <v>25.14</v>
      </c>
      <c r="C537" s="19">
        <f>B*c_gom^B537</f>
        <v>3.4910988787492762E-3</v>
      </c>
      <c r="D537" s="19">
        <f t="shared" si="8"/>
        <v>-3.440873619253642E-3</v>
      </c>
      <c r="E537" s="26">
        <f>E536+Step_h*D536</f>
        <v>0.98561333802334816</v>
      </c>
      <c r="J537" s="24">
        <f>ROUND(J536-Step_h,2)</f>
        <v>4.8600000000000003</v>
      </c>
      <c r="K537" s="24">
        <f>J537+Age</f>
        <v>24.86</v>
      </c>
      <c r="L537" s="19">
        <f>B*c_gom^K537</f>
        <v>3.4078677302871031E-3</v>
      </c>
      <c r="M537" s="19">
        <f>N537*delta +Prem-L537*(1-N537)</f>
        <v>-1.0919358669883019E-4</v>
      </c>
      <c r="N537" s="26">
        <f>N536-Step_h*M536</f>
        <v>5.5923248068354822E-3</v>
      </c>
      <c r="U537" s="2"/>
      <c r="X537" s="2"/>
    </row>
    <row r="538" spans="1:24" x14ac:dyDescent="0.45">
      <c r="A538" s="24">
        <v>5.15</v>
      </c>
      <c r="B538" s="24">
        <f>A538+Age</f>
        <v>25.15</v>
      </c>
      <c r="C538" s="19">
        <f>B*c_gom^B538</f>
        <v>3.4941087240578784E-3</v>
      </c>
      <c r="D538" s="19">
        <f t="shared" si="8"/>
        <v>-3.4437199350698731E-3</v>
      </c>
      <c r="E538" s="26">
        <f>E537+Step_h*D537</f>
        <v>0.98557892928715563</v>
      </c>
      <c r="J538" s="24">
        <f>ROUND(J537-Step_h,2)</f>
        <v>4.8499999999999996</v>
      </c>
      <c r="K538" s="24">
        <f>J538+Age</f>
        <v>24.85</v>
      </c>
      <c r="L538" s="19">
        <f>B*c_gom^K538</f>
        <v>3.404932173465497E-3</v>
      </c>
      <c r="M538" s="19">
        <f>N538*delta +Prem-L538*(1-N538)</f>
        <v>-1.0621613170354533E-4</v>
      </c>
      <c r="N538" s="26">
        <f>N537-Step_h*M537</f>
        <v>5.5934167427024702E-3</v>
      </c>
      <c r="U538" s="2"/>
      <c r="X538" s="2"/>
    </row>
    <row r="539" spans="1:24" x14ac:dyDescent="0.45">
      <c r="A539" s="24">
        <v>5.16</v>
      </c>
      <c r="B539" s="24">
        <f>A539+Age</f>
        <v>25.16</v>
      </c>
      <c r="C539" s="19">
        <f>B*c_gom^B539</f>
        <v>3.4971211642997944E-3</v>
      </c>
      <c r="D539" s="19">
        <f t="shared" si="8"/>
        <v>-3.4465685016393539E-3</v>
      </c>
      <c r="E539" s="26">
        <f>E538+Step_h*D538</f>
        <v>0.98554449208780492</v>
      </c>
      <c r="J539" s="24">
        <f>ROUND(J538-Step_h,2)</f>
        <v>4.84</v>
      </c>
      <c r="K539" s="24">
        <f>J539+Age</f>
        <v>24.84</v>
      </c>
      <c r="L539" s="19">
        <f>B*c_gom^K539</f>
        <v>3.4019991453493846E-3</v>
      </c>
      <c r="M539" s="19">
        <f>N539*delta +Prem-L539*(1-N539)</f>
        <v>-1.0324278769825983E-4</v>
      </c>
      <c r="N539" s="26">
        <f>N538-Step_h*M538</f>
        <v>5.5944789040195059E-3</v>
      </c>
      <c r="U539" s="2"/>
      <c r="X539" s="2"/>
    </row>
    <row r="540" spans="1:24" x14ac:dyDescent="0.45">
      <c r="A540" s="24">
        <v>5.17</v>
      </c>
      <c r="B540" s="24">
        <f>A540+Age</f>
        <v>25.17</v>
      </c>
      <c r="C540" s="19">
        <f>B*c_gom^B540</f>
        <v>3.5001362017122433E-3</v>
      </c>
      <c r="D540" s="19">
        <f t="shared" si="8"/>
        <v>-3.449419320562789E-3</v>
      </c>
      <c r="E540" s="26">
        <f>E539+Step_h*D539</f>
        <v>0.98551002640278851</v>
      </c>
      <c r="J540" s="24">
        <f>ROUND(J539-Step_h,2)</f>
        <v>4.83</v>
      </c>
      <c r="K540" s="24">
        <f>J540+Age</f>
        <v>24.83</v>
      </c>
      <c r="L540" s="19">
        <f>B*c_gom^K540</f>
        <v>3.3990686437605235E-3</v>
      </c>
      <c r="M540" s="19">
        <f>N540*delta +Prem-L540*(1-N540)</f>
        <v>-1.002735500516428E-4</v>
      </c>
      <c r="N540" s="26">
        <f>N539-Step_h*M539</f>
        <v>5.5955113318964887E-3</v>
      </c>
      <c r="U540" s="2"/>
      <c r="X540" s="2"/>
    </row>
    <row r="541" spans="1:24" x14ac:dyDescent="0.45">
      <c r="A541" s="24">
        <v>5.18</v>
      </c>
      <c r="B541" s="24">
        <f>A541+Age</f>
        <v>25.18</v>
      </c>
      <c r="C541" s="19">
        <f>B*c_gom^B541</f>
        <v>3.503153838534368E-3</v>
      </c>
      <c r="D541" s="19">
        <f t="shared" si="8"/>
        <v>-3.4522723934416995E-3</v>
      </c>
      <c r="E541" s="26">
        <f>E540+Step_h*D540</f>
        <v>0.98547553220958284</v>
      </c>
      <c r="J541" s="24">
        <f>ROUND(J540-Step_h,2)</f>
        <v>4.82</v>
      </c>
      <c r="K541" s="24">
        <f>J541+Age</f>
        <v>24.82</v>
      </c>
      <c r="L541" s="19">
        <f>B*c_gom^K541</f>
        <v>3.3961406665225517E-3</v>
      </c>
      <c r="M541" s="19">
        <f>N541*delta +Prem-L541*(1-N541)</f>
        <v>-9.730841413764903E-5</v>
      </c>
      <c r="N541" s="26">
        <f>N540-Step_h*M540</f>
        <v>5.596514067397005E-3</v>
      </c>
      <c r="U541" s="2"/>
      <c r="X541" s="2"/>
    </row>
    <row r="542" spans="1:24" x14ac:dyDescent="0.45">
      <c r="A542" s="24">
        <v>5.19</v>
      </c>
      <c r="B542" s="24">
        <f>A542+Age</f>
        <v>25.19</v>
      </c>
      <c r="C542" s="19">
        <f>B*c_gom^B542</f>
        <v>3.5061740770072477E-3</v>
      </c>
      <c r="D542" s="19">
        <f t="shared" si="8"/>
        <v>-3.4551277218784339E-3</v>
      </c>
      <c r="E542" s="26">
        <f>E541+Step_h*D541</f>
        <v>0.98544100948564839</v>
      </c>
      <c r="J542" s="24">
        <f>ROUND(J541-Step_h,2)</f>
        <v>4.8099999999999996</v>
      </c>
      <c r="K542" s="24">
        <f>J542+Age</f>
        <v>24.81</v>
      </c>
      <c r="L542" s="19">
        <f>B*c_gom^K542</f>
        <v>3.3932152114609774E-3</v>
      </c>
      <c r="M542" s="19">
        <f>N542*delta +Prem-L542*(1-N542)</f>
        <v>-9.4347375335500794E-5</v>
      </c>
      <c r="N542" s="26">
        <f>N541-Step_h*M541</f>
        <v>5.5974871515383816E-3</v>
      </c>
      <c r="U542" s="2"/>
      <c r="X542" s="2"/>
    </row>
    <row r="543" spans="1:24" x14ac:dyDescent="0.45">
      <c r="A543" s="24">
        <v>5.2</v>
      </c>
      <c r="B543" s="24">
        <f>A543+Age</f>
        <v>25.2</v>
      </c>
      <c r="C543" s="19">
        <f>B*c_gom^B543</f>
        <v>3.5091969193738913E-3</v>
      </c>
      <c r="D543" s="19">
        <f t="shared" si="8"/>
        <v>-3.4579853074761585E-3</v>
      </c>
      <c r="E543" s="26">
        <f>E542+Step_h*D542</f>
        <v>0.98540645820842965</v>
      </c>
      <c r="J543" s="24">
        <f>ROUND(J542-Step_h,2)</f>
        <v>4.8</v>
      </c>
      <c r="K543" s="24">
        <f>J543+Age</f>
        <v>24.8</v>
      </c>
      <c r="L543" s="19">
        <f>B*c_gom^K543</f>
        <v>3.3902922764031829E-3</v>
      </c>
      <c r="M543" s="19">
        <f>N543*delta +Prem-L543*(1-N543)</f>
        <v>-9.1390429029690468E-5</v>
      </c>
      <c r="N543" s="26">
        <f>N542-Step_h*M542</f>
        <v>5.5984306252917365E-3</v>
      </c>
      <c r="U543" s="2"/>
      <c r="X543" s="2"/>
    </row>
    <row r="544" spans="1:24" x14ac:dyDescent="0.45">
      <c r="A544" s="24">
        <v>5.21</v>
      </c>
      <c r="B544" s="24">
        <f>A544+Age</f>
        <v>25.21</v>
      </c>
      <c r="C544" s="19">
        <f>B*c_gom^B544</f>
        <v>3.5122223678792424E-3</v>
      </c>
      <c r="D544" s="19">
        <f t="shared" si="8"/>
        <v>-3.4608451518388615E-3</v>
      </c>
      <c r="E544" s="26">
        <f>E543+Step_h*D543</f>
        <v>0.98537187835535489</v>
      </c>
      <c r="J544" s="24">
        <f>ROUND(J543-Step_h,2)</f>
        <v>4.79</v>
      </c>
      <c r="K544" s="24">
        <f>J544+Age</f>
        <v>24.79</v>
      </c>
      <c r="L544" s="19">
        <f>B*c_gom^K544</f>
        <v>3.3873718591784212E-3</v>
      </c>
      <c r="M544" s="19">
        <f>N544*delta +Prem-L544*(1-N544)</f>
        <v>-8.8437570609968801E-5</v>
      </c>
      <c r="N544" s="26">
        <f>N543-Step_h*M543</f>
        <v>5.5993445295820336E-3</v>
      </c>
      <c r="U544" s="2"/>
      <c r="X544" s="2"/>
    </row>
    <row r="545" spans="1:24" x14ac:dyDescent="0.45">
      <c r="A545" s="24">
        <v>5.22</v>
      </c>
      <c r="B545" s="24">
        <f>A545+Age</f>
        <v>25.22</v>
      </c>
      <c r="C545" s="19">
        <f>B*c_gom^B545</f>
        <v>3.5152504247701749E-3</v>
      </c>
      <c r="D545" s="19">
        <f t="shared" si="8"/>
        <v>-3.4637072565713457E-3</v>
      </c>
      <c r="E545" s="26">
        <f>E544+Step_h*D544</f>
        <v>0.98533726990383652</v>
      </c>
      <c r="J545" s="24">
        <f>ROUND(J544-Step_h,2)</f>
        <v>4.78</v>
      </c>
      <c r="K545" s="24">
        <f>J545+Age</f>
        <v>24.78</v>
      </c>
      <c r="L545" s="19">
        <f>B*c_gom^K545</f>
        <v>3.3844539576178214E-3</v>
      </c>
      <c r="M545" s="19">
        <f>N545*delta +Prem-L545*(1-N545)</f>
        <v>-8.5488795471346662E-5</v>
      </c>
      <c r="N545" s="26">
        <f>N544-Step_h*M544</f>
        <v>5.6002289052881331E-3</v>
      </c>
      <c r="U545" s="2"/>
      <c r="X545" s="2"/>
    </row>
    <row r="546" spans="1:24" x14ac:dyDescent="0.45">
      <c r="A546" s="24">
        <v>5.23</v>
      </c>
      <c r="B546" s="24">
        <f>A546+Age</f>
        <v>25.23</v>
      </c>
      <c r="C546" s="19">
        <f>B*c_gom^B546</f>
        <v>3.5182810922955114E-3</v>
      </c>
      <c r="D546" s="19">
        <f t="shared" si="8"/>
        <v>-3.4665716232792467E-3</v>
      </c>
      <c r="E546" s="26">
        <f>E545+Step_h*D545</f>
        <v>0.98530263283127084</v>
      </c>
      <c r="J546" s="24">
        <f>ROUND(J545-Step_h,2)</f>
        <v>4.7699999999999996</v>
      </c>
      <c r="K546" s="24">
        <f>J546+Age</f>
        <v>24.77</v>
      </c>
      <c r="L546" s="19">
        <f>B*c_gom^K546</f>
        <v>3.3815385695543693E-3</v>
      </c>
      <c r="M546" s="19">
        <f>N546*delta +Prem-L546*(1-N546)</f>
        <v>-8.2544099014070314E-5</v>
      </c>
      <c r="N546" s="26">
        <f>N545-Step_h*M545</f>
        <v>5.601083793242847E-3</v>
      </c>
      <c r="U546" s="2"/>
      <c r="X546" s="2"/>
    </row>
    <row r="547" spans="1:24" x14ac:dyDescent="0.45">
      <c r="A547" s="24">
        <v>5.24</v>
      </c>
      <c r="B547" s="24">
        <f>A547+Age</f>
        <v>25.240000000000002</v>
      </c>
      <c r="C547" s="19">
        <f>B*c_gom^B547</f>
        <v>3.5213143727060017E-3</v>
      </c>
      <c r="D547" s="19">
        <f t="shared" si="8"/>
        <v>-3.4694382535690078E-3</v>
      </c>
      <c r="E547" s="26">
        <f>E546+Step_h*D546</f>
        <v>0.98526796711503806</v>
      </c>
      <c r="J547" s="24">
        <f>ROUND(J546-Step_h,2)</f>
        <v>4.76</v>
      </c>
      <c r="K547" s="24">
        <f>J547+Age</f>
        <v>24.759999999999998</v>
      </c>
      <c r="L547" s="19">
        <f>B*c_gom^K547</f>
        <v>3.3786256928229272E-3</v>
      </c>
      <c r="M547" s="19">
        <f>N547*delta +Prem-L547*(1-N547)</f>
        <v>-7.9603476643636158E-5</v>
      </c>
      <c r="N547" s="26">
        <f>N546-Step_h*M546</f>
        <v>5.6019092342329876E-3</v>
      </c>
      <c r="U547" s="2"/>
      <c r="X547" s="2"/>
    </row>
    <row r="548" spans="1:24" x14ac:dyDescent="0.45">
      <c r="A548" s="24">
        <v>5.25</v>
      </c>
      <c r="B548" s="24">
        <f>A548+Age</f>
        <v>25.25</v>
      </c>
      <c r="C548" s="19">
        <f>B*c_gom^B548</f>
        <v>3.5243502682543383E-3</v>
      </c>
      <c r="D548" s="19">
        <f t="shared" si="8"/>
        <v>-3.4723071490478943E-3</v>
      </c>
      <c r="E548" s="26">
        <f>E547+Step_h*D547</f>
        <v>0.98523327273250239</v>
      </c>
      <c r="J548" s="24">
        <f>ROUND(J547-Step_h,2)</f>
        <v>4.75</v>
      </c>
      <c r="K548" s="24">
        <f>J548+Age</f>
        <v>24.75</v>
      </c>
      <c r="L548" s="19">
        <f>B*c_gom^K548</f>
        <v>3.3757153252602225E-3</v>
      </c>
      <c r="M548" s="19">
        <f>N548*delta +Prem-L548*(1-N548)</f>
        <v>-7.6666923770773825E-5</v>
      </c>
      <c r="N548" s="26">
        <f>N547-Step_h*M547</f>
        <v>5.6027052689994238E-3</v>
      </c>
      <c r="U548" s="2"/>
      <c r="X548" s="2"/>
    </row>
    <row r="549" spans="1:24" x14ac:dyDescent="0.45">
      <c r="A549" s="24">
        <v>5.26</v>
      </c>
      <c r="B549" s="24">
        <f>A549+Age</f>
        <v>25.259999999999998</v>
      </c>
      <c r="C549" s="19">
        <f>B*c_gom^B549</f>
        <v>3.5273887811951626E-3</v>
      </c>
      <c r="D549" s="19">
        <f t="shared" si="8"/>
        <v>-3.4751783113239989E-3</v>
      </c>
      <c r="E549" s="26">
        <f>E548+Step_h*D548</f>
        <v>0.98519854966101195</v>
      </c>
      <c r="J549" s="24">
        <f>ROUND(J548-Step_h,2)</f>
        <v>4.74</v>
      </c>
      <c r="K549" s="24">
        <f>J549+Age</f>
        <v>24.740000000000002</v>
      </c>
      <c r="L549" s="19">
        <f>B*c_gom^K549</f>
        <v>3.3728074647048382E-3</v>
      </c>
      <c r="M549" s="19">
        <f>N549*delta +Prem-L549*(1-N549)</f>
        <v>-7.3734435811430993E-5</v>
      </c>
      <c r="N549" s="26">
        <f>N548-Step_h*M548</f>
        <v>5.6034719382371317E-3</v>
      </c>
      <c r="U549" s="2"/>
      <c r="X549" s="2"/>
    </row>
    <row r="550" spans="1:24" x14ac:dyDescent="0.45">
      <c r="A550" s="24">
        <v>5.2700000000000005</v>
      </c>
      <c r="B550" s="24">
        <f>A550+Age</f>
        <v>25.27</v>
      </c>
      <c r="C550" s="19">
        <f>B*c_gom^B550</f>
        <v>3.5304299137850557E-3</v>
      </c>
      <c r="D550" s="19">
        <f t="shared" si="8"/>
        <v>-3.4780517420062284E-3</v>
      </c>
      <c r="E550" s="26">
        <f>E549+Step_h*D549</f>
        <v>0.98516379787789876</v>
      </c>
      <c r="J550" s="24">
        <f>ROUND(J549-Step_h,2)</f>
        <v>4.7300000000000004</v>
      </c>
      <c r="K550" s="24">
        <f>J550+Age</f>
        <v>24.73</v>
      </c>
      <c r="L550" s="19">
        <f>B*c_gom^K550</f>
        <v>3.3699021089972241E-3</v>
      </c>
      <c r="M550" s="19">
        <f>N550*delta +Prem-L550*(1-N550)</f>
        <v>-7.0806008186782496E-5</v>
      </c>
      <c r="N550" s="26">
        <f>N549-Step_h*M549</f>
        <v>5.6042092825952464E-3</v>
      </c>
      <c r="U550" s="2"/>
      <c r="X550" s="2"/>
    </row>
    <row r="551" spans="1:24" x14ac:dyDescent="0.45">
      <c r="A551" s="24">
        <v>5.28</v>
      </c>
      <c r="B551" s="24">
        <f>A551+Age</f>
        <v>25.28</v>
      </c>
      <c r="C551" s="19">
        <f>B*c_gom^B551</f>
        <v>3.5334736682825401E-3</v>
      </c>
      <c r="D551" s="19">
        <f t="shared" si="8"/>
        <v>-3.4809274427043051E-3</v>
      </c>
      <c r="E551" s="26">
        <f>E550+Step_h*D550</f>
        <v>0.98512901736047875</v>
      </c>
      <c r="J551" s="24">
        <f>ROUND(J550-Step_h,2)</f>
        <v>4.72</v>
      </c>
      <c r="K551" s="24">
        <f>J551+Age</f>
        <v>24.72</v>
      </c>
      <c r="L551" s="19">
        <f>B*c_gom^K551</f>
        <v>3.3669992559796926E-3</v>
      </c>
      <c r="M551" s="19">
        <f>N551*delta +Prem-L551*(1-N551)</f>
        <v>-6.7881636323215144E-5</v>
      </c>
      <c r="N551" s="26">
        <f>N550-Step_h*M550</f>
        <v>5.6049173426771142E-3</v>
      </c>
      <c r="U551" s="2"/>
      <c r="X551" s="2"/>
    </row>
    <row r="552" spans="1:24" x14ac:dyDescent="0.45">
      <c r="A552" s="24">
        <v>5.29</v>
      </c>
      <c r="B552" s="24">
        <f>A552+Age</f>
        <v>25.29</v>
      </c>
      <c r="C552" s="19">
        <f>B*c_gom^B552</f>
        <v>3.5365200469480904E-3</v>
      </c>
      <c r="D552" s="19">
        <f t="shared" si="8"/>
        <v>-3.4838054150287756E-3</v>
      </c>
      <c r="E552" s="26">
        <f>E551+Step_h*D551</f>
        <v>0.98509420808605175</v>
      </c>
      <c r="J552" s="24">
        <f>ROUND(J551-Step_h,2)</f>
        <v>4.71</v>
      </c>
      <c r="K552" s="24">
        <f>J552+Age</f>
        <v>24.71</v>
      </c>
      <c r="L552" s="19">
        <f>B*c_gom^K552</f>
        <v>3.3640989034964108E-3</v>
      </c>
      <c r="M552" s="19">
        <f>N552*delta +Prem-L552*(1-N552)</f>
        <v>-6.4961315652322087E-5</v>
      </c>
      <c r="N552" s="26">
        <f>N551-Step_h*M551</f>
        <v>5.605596159040346E-3</v>
      </c>
      <c r="U552" s="2"/>
      <c r="X552" s="2"/>
    </row>
    <row r="553" spans="1:24" x14ac:dyDescent="0.45">
      <c r="A553" s="24">
        <v>5.3</v>
      </c>
      <c r="B553" s="24">
        <f>A553+Age</f>
        <v>25.3</v>
      </c>
      <c r="C553" s="19">
        <f>B*c_gom^B553</f>
        <v>3.5395690520441322E-3</v>
      </c>
      <c r="D553" s="19">
        <f t="shared" si="8"/>
        <v>-3.4866856605910075E-3</v>
      </c>
      <c r="E553" s="26">
        <f>E552+Step_h*D552</f>
        <v>0.98505937003190147</v>
      </c>
      <c r="J553" s="24">
        <f>ROUND(J552-Step_h,2)</f>
        <v>4.7</v>
      </c>
      <c r="K553" s="24">
        <f>J553+Age</f>
        <v>24.7</v>
      </c>
      <c r="L553" s="19">
        <f>B*c_gom^K553</f>
        <v>3.3612010493934024E-3</v>
      </c>
      <c r="M553" s="19">
        <f>N553*delta +Prem-L553*(1-N553)</f>
        <v>-6.2045041610893706E-5</v>
      </c>
      <c r="N553" s="26">
        <f>N552-Step_h*M552</f>
        <v>5.6062457721968691E-3</v>
      </c>
      <c r="U553" s="2"/>
      <c r="X553" s="2"/>
    </row>
    <row r="554" spans="1:24" x14ac:dyDescent="0.45">
      <c r="A554" s="24">
        <v>5.3100000000000005</v>
      </c>
      <c r="B554" s="24">
        <f>A554+Age</f>
        <v>25.310000000000002</v>
      </c>
      <c r="C554" s="19">
        <f>B*c_gom^B554</f>
        <v>3.5426206858350335E-3</v>
      </c>
      <c r="D554" s="19">
        <f t="shared" si="8"/>
        <v>-3.4895681810031788E-3</v>
      </c>
      <c r="E554" s="26">
        <f>E553+Step_h*D553</f>
        <v>0.98502450317529555</v>
      </c>
      <c r="J554" s="24">
        <f>ROUND(J553-Step_h,2)</f>
        <v>4.6900000000000004</v>
      </c>
      <c r="K554" s="24">
        <f>J554+Age</f>
        <v>24.69</v>
      </c>
      <c r="L554" s="19">
        <f>B*c_gom^K554</f>
        <v>3.358305691518551E-3</v>
      </c>
      <c r="M554" s="19">
        <f>N554*delta +Prem-L554*(1-N554)</f>
        <v>-5.9132809640918046E-5</v>
      </c>
      <c r="N554" s="26">
        <f>N553-Step_h*M553</f>
        <v>5.6068662226129778E-3</v>
      </c>
      <c r="U554" s="2"/>
      <c r="X554" s="2"/>
    </row>
    <row r="555" spans="1:24" x14ac:dyDescent="0.45">
      <c r="A555" s="24">
        <v>5.32</v>
      </c>
      <c r="B555" s="24">
        <f>A555+Age</f>
        <v>25.32</v>
      </c>
      <c r="C555" s="19">
        <f>B*c_gom^B555</f>
        <v>3.5456749505871216E-3</v>
      </c>
      <c r="D555" s="19">
        <f t="shared" si="8"/>
        <v>-3.4924529778782927E-3</v>
      </c>
      <c r="E555" s="26">
        <f>E554+Step_h*D554</f>
        <v>0.98498960749348552</v>
      </c>
      <c r="J555" s="24">
        <f>ROUND(J554-Step_h,2)</f>
        <v>4.68</v>
      </c>
      <c r="K555" s="24">
        <f>J555+Age</f>
        <v>24.68</v>
      </c>
      <c r="L555" s="19">
        <f>B*c_gom^K555</f>
        <v>3.3554128277215912E-3</v>
      </c>
      <c r="M555" s="19">
        <f>N555*delta +Prem-L555*(1-N555)</f>
        <v>-5.6224615189567374E-5</v>
      </c>
      <c r="N555" s="26">
        <f>N554-Step_h*M554</f>
        <v>5.6074575507093867E-3</v>
      </c>
      <c r="U555" s="2"/>
      <c r="X555" s="2"/>
    </row>
    <row r="556" spans="1:24" x14ac:dyDescent="0.45">
      <c r="A556" s="24">
        <v>5.33</v>
      </c>
      <c r="B556" s="24">
        <f>A556+Age</f>
        <v>25.33</v>
      </c>
      <c r="C556" s="19">
        <f>B*c_gom^B556</f>
        <v>3.5487318485686757E-3</v>
      </c>
      <c r="D556" s="19">
        <f t="shared" si="8"/>
        <v>-3.4953400528301686E-3</v>
      </c>
      <c r="E556" s="26">
        <f>E555+Step_h*D555</f>
        <v>0.9849546829637067</v>
      </c>
      <c r="J556" s="24">
        <f>ROUND(J555-Step_h,2)</f>
        <v>4.67</v>
      </c>
      <c r="K556" s="24">
        <f>J556+Age</f>
        <v>24.67</v>
      </c>
      <c r="L556" s="19">
        <f>B*c_gom^K556</f>
        <v>3.3525224558541085E-3</v>
      </c>
      <c r="M556" s="19">
        <f>N556*delta +Prem-L556*(1-N556)</f>
        <v>-5.3320453709192542E-5</v>
      </c>
      <c r="N556" s="26">
        <f>N555-Step_h*M555</f>
        <v>5.6080197968612824E-3</v>
      </c>
      <c r="U556" s="2"/>
      <c r="X556" s="2"/>
    </row>
    <row r="557" spans="1:24" x14ac:dyDescent="0.45">
      <c r="A557" s="24">
        <v>5.34</v>
      </c>
      <c r="B557" s="24">
        <f>A557+Age</f>
        <v>25.34</v>
      </c>
      <c r="C557" s="19">
        <f>B*c_gom^B557</f>
        <v>3.5517913820499319E-3</v>
      </c>
      <c r="D557" s="19">
        <f t="shared" si="8"/>
        <v>-3.4982294074734467E-3</v>
      </c>
      <c r="E557" s="26">
        <f>E556+Step_h*D556</f>
        <v>0.98491972956317841</v>
      </c>
      <c r="J557" s="24">
        <f>ROUND(J556-Step_h,2)</f>
        <v>4.66</v>
      </c>
      <c r="K557" s="24">
        <f>J557+Age</f>
        <v>24.66</v>
      </c>
      <c r="L557" s="19">
        <f>B*c_gom^K557</f>
        <v>3.3496345737695395E-3</v>
      </c>
      <c r="M557" s="19">
        <f>N557*delta +Prem-L557*(1-N557)</f>
        <v>-5.0420320657317778E-5</v>
      </c>
      <c r="N557" s="26">
        <f>N556-Step_h*M556</f>
        <v>5.6085530013983741E-3</v>
      </c>
      <c r="U557" s="2"/>
      <c r="X557" s="2"/>
    </row>
    <row r="558" spans="1:24" x14ac:dyDescent="0.45">
      <c r="A558" s="24">
        <v>5.3500000000000005</v>
      </c>
      <c r="B558" s="24">
        <f>A558+Age</f>
        <v>25.35</v>
      </c>
      <c r="C558" s="19">
        <f>B*c_gom^B558</f>
        <v>3.554853553303078E-3</v>
      </c>
      <c r="D558" s="19">
        <f t="shared" si="8"/>
        <v>-3.5011210434235771E-3</v>
      </c>
      <c r="E558" s="26">
        <f>E557+Step_h*D557</f>
        <v>0.98488474726910369</v>
      </c>
      <c r="J558" s="24">
        <f>ROUND(J557-Step_h,2)</f>
        <v>4.6500000000000004</v>
      </c>
      <c r="K558" s="24">
        <f>J558+Age</f>
        <v>24.65</v>
      </c>
      <c r="L558" s="19">
        <f>B*c_gom^K558</f>
        <v>3.3467491793231748E-3</v>
      </c>
      <c r="M558" s="19">
        <f>N558*delta +Prem-L558*(1-N558)</f>
        <v>-4.7524211496638956E-5</v>
      </c>
      <c r="N558" s="26">
        <f>N557-Step_h*M557</f>
        <v>5.6090572046049473E-3</v>
      </c>
      <c r="U558" s="2"/>
      <c r="X558" s="2"/>
    </row>
    <row r="559" spans="1:24" x14ac:dyDescent="0.45">
      <c r="A559" s="24">
        <v>5.36</v>
      </c>
      <c r="B559" s="24">
        <f>A559+Age</f>
        <v>25.36</v>
      </c>
      <c r="C559" s="19">
        <f>B*c_gom^B559</f>
        <v>3.5579183646022674E-3</v>
      </c>
      <c r="D559" s="19">
        <f t="shared" si="8"/>
        <v>-3.5040149622968357E-3</v>
      </c>
      <c r="E559" s="26">
        <f>E558+Step_h*D558</f>
        <v>0.98484973605866943</v>
      </c>
      <c r="J559" s="24">
        <f>ROUND(J558-Step_h,2)</f>
        <v>4.6399999999999997</v>
      </c>
      <c r="K559" s="24">
        <f>J559+Age</f>
        <v>24.64</v>
      </c>
      <c r="L559" s="19">
        <f>B*c_gom^K559</f>
        <v>3.3438662703721457E-3</v>
      </c>
      <c r="M559" s="19">
        <f>N559*delta +Prem-L559*(1-N559)</f>
        <v>-4.4632121695004946E-5</v>
      </c>
      <c r="N559" s="26">
        <f>N558-Step_h*M558</f>
        <v>5.6095324467199141E-3</v>
      </c>
      <c r="U559" s="2"/>
      <c r="X559" s="2"/>
    </row>
    <row r="560" spans="1:24" x14ac:dyDescent="0.45">
      <c r="A560" s="24">
        <v>5.37</v>
      </c>
      <c r="B560" s="24">
        <f>A560+Age</f>
        <v>25.37</v>
      </c>
      <c r="C560" s="19">
        <f>B*c_gom^B560</f>
        <v>3.5609858182236126E-3</v>
      </c>
      <c r="D560" s="19">
        <f t="shared" si="8"/>
        <v>-3.5069111657103141E-3</v>
      </c>
      <c r="E560" s="26">
        <f>E559+Step_h*D559</f>
        <v>0.98481469590904647</v>
      </c>
      <c r="J560" s="24">
        <f>ROUND(J559-Step_h,2)</f>
        <v>4.63</v>
      </c>
      <c r="K560" s="24">
        <f>J560+Age</f>
        <v>24.63</v>
      </c>
      <c r="L560" s="19">
        <f>B*c_gom^K560</f>
        <v>3.3409858447754313E-3</v>
      </c>
      <c r="M560" s="19">
        <f>N560*delta +Prem-L560*(1-N560)</f>
        <v>-4.1744046725419783E-5</v>
      </c>
      <c r="N560" s="26">
        <f>N559-Step_h*M559</f>
        <v>5.6099787679368641E-3</v>
      </c>
      <c r="U560" s="2"/>
      <c r="X560" s="2"/>
    </row>
    <row r="561" spans="1:24" x14ac:dyDescent="0.45">
      <c r="A561" s="24">
        <v>5.38</v>
      </c>
      <c r="B561" s="24">
        <f>A561+Age</f>
        <v>25.38</v>
      </c>
      <c r="C561" s="19">
        <f>B*c_gom^B561</f>
        <v>3.5640559164451845E-3</v>
      </c>
      <c r="D561" s="19">
        <f t="shared" si="8"/>
        <v>-3.5098096552819164E-3</v>
      </c>
      <c r="E561" s="26">
        <f>E560+Step_h*D560</f>
        <v>0.9847796267973894</v>
      </c>
      <c r="J561" s="24">
        <f>ROUND(J560-Step_h,2)</f>
        <v>4.62</v>
      </c>
      <c r="K561" s="24">
        <f>J561+Age</f>
        <v>24.62</v>
      </c>
      <c r="L561" s="19">
        <f>B*c_gom^K561</f>
        <v>3.3381079003938587E-3</v>
      </c>
      <c r="M561" s="19">
        <f>N561*delta +Prem-L561*(1-N561)</f>
        <v>-3.885998206603963E-5</v>
      </c>
      <c r="N561" s="26">
        <f>N560-Step_h*M560</f>
        <v>5.6103962084041179E-3</v>
      </c>
      <c r="U561" s="2"/>
      <c r="X561" s="2"/>
    </row>
    <row r="562" spans="1:24" x14ac:dyDescent="0.45">
      <c r="A562" s="24">
        <v>5.39</v>
      </c>
      <c r="B562" s="24">
        <f>A562+Age</f>
        <v>25.39</v>
      </c>
      <c r="C562" s="19">
        <f>B*c_gom^B562</f>
        <v>3.5671286615470226E-3</v>
      </c>
      <c r="D562" s="19">
        <f t="shared" si="8"/>
        <v>-3.5127104326303691E-3</v>
      </c>
      <c r="E562" s="26">
        <f>E561+Step_h*D561</f>
        <v>0.98474452870083662</v>
      </c>
      <c r="J562" s="24">
        <f>ROUND(J561-Step_h,2)</f>
        <v>4.6100000000000003</v>
      </c>
      <c r="K562" s="24">
        <f>J562+Age</f>
        <v>24.61</v>
      </c>
      <c r="L562" s="19">
        <f>B*c_gom^K562</f>
        <v>3.3352324350900946E-3</v>
      </c>
      <c r="M562" s="19">
        <f>N562*delta +Prem-L562*(1-N562)</f>
        <v>-3.5979923200153696E-5</v>
      </c>
      <c r="N562" s="26">
        <f>N561-Step_h*M561</f>
        <v>5.6107848082247785E-3</v>
      </c>
      <c r="U562" s="2"/>
      <c r="X562" s="2"/>
    </row>
    <row r="563" spans="1:24" x14ac:dyDescent="0.45">
      <c r="A563" s="24">
        <v>5.4</v>
      </c>
      <c r="B563" s="24">
        <f>A563+Age</f>
        <v>25.4</v>
      </c>
      <c r="C563" s="19">
        <f>B*c_gom^B563</f>
        <v>3.57020405581113E-3</v>
      </c>
      <c r="D563" s="19">
        <f t="shared" si="8"/>
        <v>-3.5156134993752121E-3</v>
      </c>
      <c r="E563" s="26">
        <f>E562+Step_h*D562</f>
        <v>0.98470940159651033</v>
      </c>
      <c r="J563" s="24">
        <f>ROUND(J562-Step_h,2)</f>
        <v>4.5999999999999996</v>
      </c>
      <c r="K563" s="24">
        <f>J563+Age</f>
        <v>24.6</v>
      </c>
      <c r="L563" s="19">
        <f>B*c_gom^K563</f>
        <v>3.3323594467286463E-3</v>
      </c>
      <c r="M563" s="19">
        <f>N563*delta +Prem-L563*(1-N563)</f>
        <v>-3.3103865616187708E-5</v>
      </c>
      <c r="N563" s="26">
        <f>N562-Step_h*M562</f>
        <v>5.6111446074567804E-3</v>
      </c>
      <c r="U563" s="2"/>
      <c r="X563" s="2"/>
    </row>
    <row r="564" spans="1:24" x14ac:dyDescent="0.45">
      <c r="A564" s="24">
        <v>5.41</v>
      </c>
      <c r="B564" s="24">
        <f>A564+Age</f>
        <v>25.41</v>
      </c>
      <c r="C564" s="19">
        <f>B*c_gom^B564</f>
        <v>3.5732821015214806E-3</v>
      </c>
      <c r="D564" s="19">
        <f t="shared" si="8"/>
        <v>-3.5185188571368064E-3</v>
      </c>
      <c r="E564" s="26">
        <f>E563+Step_h*D563</f>
        <v>0.98467424546151661</v>
      </c>
      <c r="J564" s="24">
        <f>ROUND(J563-Step_h,2)</f>
        <v>4.59</v>
      </c>
      <c r="K564" s="24">
        <f>J564+Age</f>
        <v>24.59</v>
      </c>
      <c r="L564" s="19">
        <f>B*c_gom^K564</f>
        <v>3.3294889331758593E-3</v>
      </c>
      <c r="M564" s="19">
        <f>N564*delta +Prem-L564*(1-N564)</f>
        <v>-3.0231804807693066E-5</v>
      </c>
      <c r="N564" s="26">
        <f>N563-Step_h*M563</f>
        <v>5.6114756461129421E-3</v>
      </c>
      <c r="U564" s="2"/>
      <c r="X564" s="2"/>
    </row>
    <row r="565" spans="1:24" x14ac:dyDescent="0.45">
      <c r="A565" s="24">
        <v>5.42</v>
      </c>
      <c r="B565" s="24">
        <f>A565+Age</f>
        <v>25.42</v>
      </c>
      <c r="C565" s="19">
        <f>B*c_gom^B565</f>
        <v>3.5763628009640096E-3</v>
      </c>
      <c r="D565" s="19">
        <f t="shared" si="8"/>
        <v>-3.5214265075363205E-3</v>
      </c>
      <c r="E565" s="26">
        <f>E564+Step_h*D564</f>
        <v>0.98463906027294523</v>
      </c>
      <c r="J565" s="24">
        <f>ROUND(J564-Step_h,2)</f>
        <v>4.58</v>
      </c>
      <c r="K565" s="24">
        <f>J565+Age</f>
        <v>24.58</v>
      </c>
      <c r="L565" s="19">
        <f>B*c_gom^K565</f>
        <v>3.3266208922999234E-3</v>
      </c>
      <c r="M565" s="19">
        <f>N565*delta +Prem-L565*(1-N565)</f>
        <v>-2.7363736273345977E-5</v>
      </c>
      <c r="N565" s="26">
        <f>N564-Step_h*M564</f>
        <v>5.6117779641610193E-3</v>
      </c>
      <c r="U565" s="2"/>
      <c r="X565" s="2"/>
    </row>
    <row r="566" spans="1:24" x14ac:dyDescent="0.45">
      <c r="A566" s="24">
        <v>5.43</v>
      </c>
      <c r="B566" s="24">
        <f>A566+Age</f>
        <v>25.43</v>
      </c>
      <c r="C566" s="19">
        <f>B*c_gom^B566</f>
        <v>3.5794461564266308E-3</v>
      </c>
      <c r="D566" s="19">
        <f t="shared" si="8"/>
        <v>-3.5243364521957482E-3</v>
      </c>
      <c r="E566" s="26">
        <f>E565+Step_h*D565</f>
        <v>0.98460384600786988</v>
      </c>
      <c r="J566" s="24">
        <f>ROUND(J565-Step_h,2)</f>
        <v>4.57</v>
      </c>
      <c r="K566" s="24">
        <f>J566+Age</f>
        <v>24.57</v>
      </c>
      <c r="L566" s="19">
        <f>B*c_gom^K566</f>
        <v>3.3237553219708582E-3</v>
      </c>
      <c r="M566" s="19">
        <f>N566*delta +Prem-L566*(1-N566)</f>
        <v>-2.4499655516930976E-5</v>
      </c>
      <c r="N566" s="26">
        <f>N565-Step_h*M565</f>
        <v>5.6120516015237525E-3</v>
      </c>
      <c r="U566" s="2"/>
      <c r="X566" s="2"/>
    </row>
    <row r="567" spans="1:24" x14ac:dyDescent="0.45">
      <c r="A567" s="24">
        <v>5.44</v>
      </c>
      <c r="B567" s="24">
        <f>A567+Age</f>
        <v>25.44</v>
      </c>
      <c r="C567" s="19">
        <f>B*c_gom^B567</f>
        <v>3.5825321701992291E-3</v>
      </c>
      <c r="D567" s="19">
        <f t="shared" si="8"/>
        <v>-3.5272486927378954E-3</v>
      </c>
      <c r="E567" s="26">
        <f>E566+Step_h*D566</f>
        <v>0.98456860264334789</v>
      </c>
      <c r="J567" s="24">
        <f>ROUND(J566-Step_h,2)</f>
        <v>4.5599999999999996</v>
      </c>
      <c r="K567" s="24">
        <f>J567+Age</f>
        <v>24.56</v>
      </c>
      <c r="L567" s="19">
        <f>B*c_gom^K567</f>
        <v>3.3208922200605195E-3</v>
      </c>
      <c r="M567" s="19">
        <f>N567*delta +Prem-L567*(1-N567)</f>
        <v>-2.1639558047340923E-5</v>
      </c>
      <c r="N567" s="26">
        <f>N566-Step_h*M566</f>
        <v>5.6122965980789216E-3</v>
      </c>
      <c r="U567" s="2"/>
      <c r="X567" s="2"/>
    </row>
    <row r="568" spans="1:24" x14ac:dyDescent="0.45">
      <c r="A568" s="24">
        <v>5.45</v>
      </c>
      <c r="B568" s="24">
        <f>A568+Age</f>
        <v>25.45</v>
      </c>
      <c r="C568" s="19">
        <f>B*c_gom^B568</f>
        <v>3.5856208445736565E-3</v>
      </c>
      <c r="D568" s="19">
        <f t="shared" si="8"/>
        <v>-3.5301632307863794E-3</v>
      </c>
      <c r="E568" s="26">
        <f>E567+Step_h*D567</f>
        <v>0.98453333015642053</v>
      </c>
      <c r="J568" s="24">
        <f>ROUND(J567-Step_h,2)</f>
        <v>4.55</v>
      </c>
      <c r="K568" s="24">
        <f>J568+Age</f>
        <v>24.55</v>
      </c>
      <c r="L568" s="19">
        <f>B*c_gom^K568</f>
        <v>3.3180315844426015E-3</v>
      </c>
      <c r="M568" s="19">
        <f>N568*delta +Prem-L568*(1-N568)</f>
        <v>-1.8783439378575271E-5</v>
      </c>
      <c r="N568" s="26">
        <f>N567-Step_h*M567</f>
        <v>5.6125129936593953E-3</v>
      </c>
      <c r="U568" s="2"/>
      <c r="X568" s="2"/>
    </row>
    <row r="569" spans="1:24" x14ac:dyDescent="0.45">
      <c r="A569" s="24">
        <v>5.46</v>
      </c>
      <c r="B569" s="24">
        <f>A569+Age</f>
        <v>25.46</v>
      </c>
      <c r="C569" s="19">
        <f>B*c_gom^B569</f>
        <v>3.5887121818437536E-3</v>
      </c>
      <c r="D569" s="19">
        <f t="shared" si="8"/>
        <v>-3.5330800679656423E-3</v>
      </c>
      <c r="E569" s="26">
        <f>E568+Step_h*D568</f>
        <v>0.98449802852411261</v>
      </c>
      <c r="J569" s="24">
        <f>ROUND(J568-Step_h,2)</f>
        <v>4.54</v>
      </c>
      <c r="K569" s="24">
        <f>J569+Age</f>
        <v>24.54</v>
      </c>
      <c r="L569" s="19">
        <f>B*c_gom^K569</f>
        <v>3.3151734129926191E-3</v>
      </c>
      <c r="M569" s="19">
        <f>N569*delta +Prem-L569*(1-N569)</f>
        <v>-1.5931295029716214E-5</v>
      </c>
      <c r="N569" s="26">
        <f>N568-Step_h*M568</f>
        <v>5.6127008280531807E-3</v>
      </c>
      <c r="U569" s="2"/>
      <c r="X569" s="2"/>
    </row>
    <row r="570" spans="1:24" x14ac:dyDescent="0.45">
      <c r="A570" s="24">
        <v>5.47</v>
      </c>
      <c r="B570" s="24">
        <f>A570+Age</f>
        <v>25.47</v>
      </c>
      <c r="C570" s="19">
        <f>B*c_gom^B570</f>
        <v>3.591806184305327E-3</v>
      </c>
      <c r="D570" s="19">
        <f t="shared" si="8"/>
        <v>-3.5359992059009323E-3</v>
      </c>
      <c r="E570" s="26">
        <f>E569+Step_h*D569</f>
        <v>0.98446269772343298</v>
      </c>
      <c r="J570" s="24">
        <f>ROUND(J569-Step_h,2)</f>
        <v>4.53</v>
      </c>
      <c r="K570" s="24">
        <f>J570+Age</f>
        <v>24.53</v>
      </c>
      <c r="L570" s="19">
        <f>B*c_gom^K570</f>
        <v>3.3123177035879305E-3</v>
      </c>
      <c r="M570" s="19">
        <f>N570*delta +Prem-L570*(1-N570)</f>
        <v>-1.3083120524947766E-5</v>
      </c>
      <c r="N570" s="26">
        <f>N569-Step_h*M569</f>
        <v>5.6128601410034779E-3</v>
      </c>
      <c r="U570" s="2"/>
      <c r="X570" s="2"/>
    </row>
    <row r="571" spans="1:24" x14ac:dyDescent="0.45">
      <c r="A571" s="24">
        <v>5.48</v>
      </c>
      <c r="B571" s="24">
        <f>A571+Age</f>
        <v>25.48</v>
      </c>
      <c r="C571" s="19">
        <f>B*c_gom^B571</f>
        <v>3.5949028542561685E-3</v>
      </c>
      <c r="D571" s="19">
        <f t="shared" si="8"/>
        <v>-3.5389206462183172E-3</v>
      </c>
      <c r="E571" s="26">
        <f>E570+Step_h*D570</f>
        <v>0.98442733773137392</v>
      </c>
      <c r="J571" s="24">
        <f>ROUND(J570-Step_h,2)</f>
        <v>4.5199999999999996</v>
      </c>
      <c r="K571" s="24">
        <f>J571+Age</f>
        <v>24.52</v>
      </c>
      <c r="L571" s="19">
        <f>B*c_gom^K571</f>
        <v>3.3094644541077117E-3</v>
      </c>
      <c r="M571" s="19">
        <f>N571*delta +Prem-L571*(1-N571)</f>
        <v>-1.0238911393522804E-5</v>
      </c>
      <c r="N571" s="26">
        <f>N570-Step_h*M570</f>
        <v>5.6129909722087276E-3</v>
      </c>
      <c r="U571" s="2"/>
      <c r="X571" s="2"/>
    </row>
    <row r="572" spans="1:24" x14ac:dyDescent="0.45">
      <c r="A572" s="24">
        <v>5.49</v>
      </c>
      <c r="B572" s="24">
        <f>A572+Age</f>
        <v>25.490000000000002</v>
      </c>
      <c r="C572" s="19">
        <f>B*c_gom^B572</f>
        <v>3.5980021939960526E-3</v>
      </c>
      <c r="D572" s="19">
        <f t="shared" si="8"/>
        <v>-3.5418443905446818E-3</v>
      </c>
      <c r="E572" s="26">
        <f>E571+Step_h*D571</f>
        <v>0.98439194852491174</v>
      </c>
      <c r="J572" s="24">
        <f>ROUND(J571-Step_h,2)</f>
        <v>4.51</v>
      </c>
      <c r="K572" s="24">
        <f>J572+Age</f>
        <v>24.509999999999998</v>
      </c>
      <c r="L572" s="19">
        <f>B*c_gom^K572</f>
        <v>3.3066136624329695E-3</v>
      </c>
      <c r="M572" s="19">
        <f>N572*delta +Prem-L572*(1-N572)</f>
        <v>-7.3986631697747773E-6</v>
      </c>
      <c r="N572" s="26">
        <f>N571-Step_h*M571</f>
        <v>5.6130933613226632E-3</v>
      </c>
      <c r="U572" s="2"/>
      <c r="X572" s="2"/>
    </row>
    <row r="573" spans="1:24" x14ac:dyDescent="0.45">
      <c r="A573" s="24">
        <v>5.5</v>
      </c>
      <c r="B573" s="24">
        <f>A573+Age</f>
        <v>25.5</v>
      </c>
      <c r="C573" s="19">
        <f>B*c_gom^B573</f>
        <v>3.6011042058267289E-3</v>
      </c>
      <c r="D573" s="19">
        <f t="shared" si="8"/>
        <v>-3.5447704405077167E-3</v>
      </c>
      <c r="E573" s="26">
        <f>E572+Step_h*D572</f>
        <v>0.98435653008100632</v>
      </c>
      <c r="J573" s="24">
        <f>ROUND(J572-Step_h,2)</f>
        <v>4.5</v>
      </c>
      <c r="K573" s="24">
        <f>J573+Age</f>
        <v>24.5</v>
      </c>
      <c r="L573" s="19">
        <f>B*c_gom^K573</f>
        <v>3.3037653264465392E-3</v>
      </c>
      <c r="M573" s="19">
        <f>N573*delta +Prem-L573*(1-N573)</f>
        <v>-4.5623713931072958E-6</v>
      </c>
      <c r="N573" s="26">
        <f>N572-Step_h*M572</f>
        <v>5.6131673479543611E-3</v>
      </c>
      <c r="U573" s="2"/>
      <c r="X573" s="2"/>
    </row>
    <row r="574" spans="1:24" x14ac:dyDescent="0.45">
      <c r="A574" s="24">
        <v>5.51</v>
      </c>
      <c r="B574" s="24">
        <f>A574+Age</f>
        <v>25.509999999999998</v>
      </c>
      <c r="C574" s="19">
        <f>B*c_gom^B574</f>
        <v>3.6042088920519378E-3</v>
      </c>
      <c r="D574" s="19">
        <f t="shared" si="8"/>
        <v>-3.5476987977359339E-3</v>
      </c>
      <c r="E574" s="26">
        <f>E573+Step_h*D573</f>
        <v>0.98432108237660121</v>
      </c>
      <c r="J574" s="24">
        <f>ROUND(J573-Step_h,2)</f>
        <v>4.49</v>
      </c>
      <c r="K574" s="24">
        <f>J574+Age</f>
        <v>24.490000000000002</v>
      </c>
      <c r="L574" s="19">
        <f>B*c_gom^K574</f>
        <v>3.3009194440330749E-3</v>
      </c>
      <c r="M574" s="19">
        <f>N574*delta +Prem-L574*(1-N574)</f>
        <v>-1.7300316079815574E-6</v>
      </c>
      <c r="N574" s="26">
        <f>N573-Step_h*M573</f>
        <v>5.6132129716682921E-3</v>
      </c>
      <c r="U574" s="2"/>
      <c r="X574" s="2"/>
    </row>
    <row r="575" spans="1:24" x14ac:dyDescent="0.45">
      <c r="A575" s="24">
        <v>5.5200000000000005</v>
      </c>
      <c r="B575" s="24">
        <f>A575+Age</f>
        <v>25.52</v>
      </c>
      <c r="C575" s="19">
        <f>B*c_gom^B575</f>
        <v>3.6073162549774048E-3</v>
      </c>
      <c r="D575" s="19">
        <f t="shared" si="8"/>
        <v>-3.5506294638586585E-3</v>
      </c>
      <c r="E575" s="26">
        <f>E574+Step_h*D574</f>
        <v>0.98428560538862386</v>
      </c>
      <c r="J575" s="24">
        <f>ROUND(J574-Step_h,2)</f>
        <v>4.4800000000000004</v>
      </c>
      <c r="K575" s="24">
        <f>J575+Age</f>
        <v>24.48</v>
      </c>
      <c r="L575" s="19">
        <f>B*c_gom^K575</f>
        <v>3.2980760130790552E-3</v>
      </c>
      <c r="M575" s="19">
        <f>N575*delta +Prem-L575*(1-N575)</f>
        <v>1.0983606360840878E-6</v>
      </c>
      <c r="N575" s="26">
        <f>N574-Step_h*M574</f>
        <v>5.613230271984372E-3</v>
      </c>
      <c r="U575" s="2"/>
      <c r="X575" s="2"/>
    </row>
    <row r="576" spans="1:24" x14ac:dyDescent="0.45">
      <c r="A576" s="24">
        <v>5.53</v>
      </c>
      <c r="B576" s="24">
        <f>A576+Age</f>
        <v>25.53</v>
      </c>
      <c r="C576" s="19">
        <f>B*c_gom^B576</f>
        <v>3.6104262969108448E-3</v>
      </c>
      <c r="D576" s="19">
        <f t="shared" si="8"/>
        <v>-3.5535624405060293E-3</v>
      </c>
      <c r="E576" s="26">
        <f>E575+Step_h*D575</f>
        <v>0.98425009909398531</v>
      </c>
      <c r="J576" s="24">
        <f>ROUND(J575-Step_h,2)</f>
        <v>4.47</v>
      </c>
      <c r="K576" s="24">
        <f>J576+Age</f>
        <v>24.47</v>
      </c>
      <c r="L576" s="19">
        <f>B*c_gom^K576</f>
        <v>3.2952350314727767E-3</v>
      </c>
      <c r="M576" s="19">
        <f>N576*delta +Prem-L576*(1-N576)</f>
        <v>3.9228097845258464E-6</v>
      </c>
      <c r="N576" s="26">
        <f>N575-Step_h*M575</f>
        <v>5.6132192883780107E-3</v>
      </c>
      <c r="U576" s="2"/>
      <c r="X576" s="2"/>
    </row>
    <row r="577" spans="1:24" x14ac:dyDescent="0.45">
      <c r="A577" s="24">
        <v>5.54</v>
      </c>
      <c r="B577" s="24">
        <f>A577+Age</f>
        <v>25.54</v>
      </c>
      <c r="C577" s="19">
        <f>B*c_gom^B577</f>
        <v>3.6135390201619561E-3</v>
      </c>
      <c r="D577" s="19">
        <f t="shared" si="8"/>
        <v>-3.5564977293089943E-3</v>
      </c>
      <c r="E577" s="26">
        <f>E576+Step_h*D576</f>
        <v>0.98421456346958025</v>
      </c>
      <c r="J577" s="24">
        <f>ROUND(J576-Step_h,2)</f>
        <v>4.46</v>
      </c>
      <c r="K577" s="24">
        <f>J577+Age</f>
        <v>24.46</v>
      </c>
      <c r="L577" s="19">
        <f>B*c_gom^K577</f>
        <v>3.2923964971043602E-3</v>
      </c>
      <c r="M577" s="19">
        <f>N577*delta +Prem-L577*(1-N577)</f>
        <v>6.7433202777305787E-6</v>
      </c>
      <c r="N577" s="26">
        <f>N576-Step_h*M576</f>
        <v>5.6131800602801651E-3</v>
      </c>
      <c r="U577" s="2"/>
      <c r="X577" s="2"/>
    </row>
    <row r="578" spans="1:24" x14ac:dyDescent="0.45">
      <c r="A578" s="24">
        <v>5.55</v>
      </c>
      <c r="B578" s="24">
        <f>A578+Age</f>
        <v>25.55</v>
      </c>
      <c r="C578" s="19">
        <f>B*c_gom^B578</f>
        <v>3.6166544270424348E-3</v>
      </c>
      <c r="D578" s="19">
        <f t="shared" si="8"/>
        <v>-3.5594353318993202E-3</v>
      </c>
      <c r="E578" s="26">
        <f>E577+Step_h*D577</f>
        <v>0.98417899849228718</v>
      </c>
      <c r="J578" s="24">
        <f>ROUND(J577-Step_h,2)</f>
        <v>4.45</v>
      </c>
      <c r="K578" s="24">
        <f>J578+Age</f>
        <v>24.45</v>
      </c>
      <c r="L578" s="19">
        <f>B*c_gom^K578</f>
        <v>3.2895604078657403E-3</v>
      </c>
      <c r="M578" s="19">
        <f>N578*delta +Prem-L578*(1-N578)</f>
        <v>9.5598965510540132E-6</v>
      </c>
      <c r="N578" s="26">
        <f>N577-Step_h*M577</f>
        <v>5.6131126270773882E-3</v>
      </c>
      <c r="U578" s="2"/>
      <c r="X578" s="2"/>
    </row>
    <row r="579" spans="1:24" x14ac:dyDescent="0.45">
      <c r="A579" s="24">
        <v>5.5600000000000005</v>
      </c>
      <c r="B579" s="24">
        <f>A579+Age</f>
        <v>25.560000000000002</v>
      </c>
      <c r="C579" s="19">
        <f>B*c_gom^B579</f>
        <v>3.6197725198659682E-3</v>
      </c>
      <c r="D579" s="19">
        <f t="shared" si="8"/>
        <v>-3.5623752499095848E-3</v>
      </c>
      <c r="E579" s="26">
        <f>E578+Step_h*D578</f>
        <v>0.98414340413896817</v>
      </c>
      <c r="J579" s="24">
        <f>ROUND(J578-Step_h,2)</f>
        <v>4.4400000000000004</v>
      </c>
      <c r="K579" s="24">
        <f>J579+Age</f>
        <v>24.44</v>
      </c>
      <c r="L579" s="19">
        <f>B*c_gom^K579</f>
        <v>3.2867267616506677E-3</v>
      </c>
      <c r="M579" s="19">
        <f>N579*delta +Prem-L579*(1-N579)</f>
        <v>1.2372543034822481E-5</v>
      </c>
      <c r="N579" s="26">
        <f>N578-Step_h*M578</f>
        <v>5.6130170281118779E-3</v>
      </c>
      <c r="U579" s="2"/>
      <c r="X579" s="2"/>
    </row>
    <row r="580" spans="1:24" x14ac:dyDescent="0.45">
      <c r="A580" s="24">
        <v>5.57</v>
      </c>
      <c r="B580" s="24">
        <f>A580+Age</f>
        <v>25.57</v>
      </c>
      <c r="C580" s="19">
        <f>B*c_gom^B580</f>
        <v>3.6228933009482362E-3</v>
      </c>
      <c r="D580" s="19">
        <f t="shared" si="8"/>
        <v>-3.5653174849731768E-3</v>
      </c>
      <c r="E580" s="26">
        <f>E579+Step_h*D579</f>
        <v>0.98410778038646907</v>
      </c>
      <c r="J580" s="24">
        <f>ROUND(J579-Step_h,2)</f>
        <v>4.43</v>
      </c>
      <c r="K580" s="24">
        <f>J580+Age</f>
        <v>24.43</v>
      </c>
      <c r="L580" s="19">
        <f>B*c_gom^K580</f>
        <v>3.283895556354706E-3</v>
      </c>
      <c r="M580" s="19">
        <f>N580*delta +Prem-L580*(1-N580)</f>
        <v>1.5181264154339423E-5</v>
      </c>
      <c r="N580" s="26">
        <f>N579-Step_h*M579</f>
        <v>5.6128933026815299E-3</v>
      </c>
      <c r="U580" s="2"/>
      <c r="X580" s="2"/>
    </row>
    <row r="581" spans="1:24" x14ac:dyDescent="0.45">
      <c r="A581" s="24">
        <v>5.58</v>
      </c>
      <c r="B581" s="24">
        <f>A581+Age</f>
        <v>25.58</v>
      </c>
      <c r="C581" s="19">
        <f>B*c_gom^B581</f>
        <v>3.6260167726069174E-3</v>
      </c>
      <c r="D581" s="19">
        <f t="shared" si="8"/>
        <v>-3.5682620387242998E-3</v>
      </c>
      <c r="E581" s="26">
        <f>E580+Step_h*D580</f>
        <v>0.9840721272116193</v>
      </c>
      <c r="J581" s="24">
        <f>ROUND(J580-Step_h,2)</f>
        <v>4.42</v>
      </c>
      <c r="K581" s="24">
        <f>J581+Age</f>
        <v>24.42</v>
      </c>
      <c r="L581" s="19">
        <f>B*c_gom^K581</f>
        <v>3.2810667898752373E-3</v>
      </c>
      <c r="M581" s="19">
        <f>N581*delta +Prem-L581*(1-N581)</f>
        <v>1.7986064329887121E-5</v>
      </c>
      <c r="N581" s="26">
        <f>N580-Step_h*M580</f>
        <v>5.6127414900399861E-3</v>
      </c>
      <c r="U581" s="2"/>
      <c r="X581" s="2"/>
    </row>
    <row r="582" spans="1:24" x14ac:dyDescent="0.45">
      <c r="A582" s="24">
        <v>5.59</v>
      </c>
      <c r="B582" s="24">
        <f>A582+Age</f>
        <v>25.59</v>
      </c>
      <c r="C582" s="19">
        <f>B*c_gom^B582</f>
        <v>3.6291429371616874E-3</v>
      </c>
      <c r="D582" s="19">
        <f t="shared" si="8"/>
        <v>-3.571208912797968E-3</v>
      </c>
      <c r="E582" s="26">
        <f>E581+Step_h*D581</f>
        <v>0.98403644459123207</v>
      </c>
      <c r="J582" s="24">
        <f>ROUND(J581-Step_h,2)</f>
        <v>4.41</v>
      </c>
      <c r="K582" s="24">
        <f>J582+Age</f>
        <v>24.41</v>
      </c>
      <c r="L582" s="19">
        <f>B*c_gom^K582</f>
        <v>3.2782404601114493E-3</v>
      </c>
      <c r="M582" s="19">
        <f>N582*delta +Prem-L582*(1-N582)</f>
        <v>2.0786947976742312E-5</v>
      </c>
      <c r="N582" s="26">
        <f>N581-Step_h*M581</f>
        <v>5.612561629396687E-3</v>
      </c>
      <c r="U582" s="2"/>
      <c r="X582" s="2"/>
    </row>
    <row r="583" spans="1:24" x14ac:dyDescent="0.45">
      <c r="A583" s="24">
        <v>5.6000000000000005</v>
      </c>
      <c r="B583" s="24">
        <f>A583+Age</f>
        <v>25.6</v>
      </c>
      <c r="C583" s="19">
        <f>B*c_gom^B583</f>
        <v>3.6322717969342251E-3</v>
      </c>
      <c r="D583" s="19">
        <f t="shared" si="8"/>
        <v>-3.5741581088300114E-3</v>
      </c>
      <c r="E583" s="26">
        <f>E582+Step_h*D582</f>
        <v>0.98400073250210407</v>
      </c>
      <c r="J583" s="24">
        <f>ROUND(J582-Step_h,2)</f>
        <v>4.4000000000000004</v>
      </c>
      <c r="K583" s="24">
        <f>J583+Age</f>
        <v>24.4</v>
      </c>
      <c r="L583" s="19">
        <f>B*c_gom^K583</f>
        <v>3.2754165649643394E-3</v>
      </c>
      <c r="M583" s="19">
        <f>N583*delta +Prem-L583*(1-N583)</f>
        <v>2.3583919505178359E-5</v>
      </c>
      <c r="N583" s="26">
        <f>N582-Step_h*M582</f>
        <v>5.6123537599169198E-3</v>
      </c>
      <c r="U583" s="2"/>
      <c r="X583" s="2"/>
    </row>
    <row r="584" spans="1:24" x14ac:dyDescent="0.45">
      <c r="A584" s="24">
        <v>5.61</v>
      </c>
      <c r="B584" s="24">
        <f>A584+Age</f>
        <v>25.61</v>
      </c>
      <c r="C584" s="19">
        <f>B*c_gom^B584</f>
        <v>3.6354033542482038E-3</v>
      </c>
      <c r="D584" s="19">
        <f t="shared" si="8"/>
        <v>-3.5771096284570639E-3</v>
      </c>
      <c r="E584" s="26">
        <f>E583+Step_h*D583</f>
        <v>0.98396499092101575</v>
      </c>
      <c r="J584" s="24">
        <f>ROUND(J583-Step_h,2)</f>
        <v>4.3899999999999997</v>
      </c>
      <c r="K584" s="24">
        <f>J584+Age</f>
        <v>24.39</v>
      </c>
      <c r="L584" s="19">
        <f>B*c_gom^K584</f>
        <v>3.2725951023367173E-3</v>
      </c>
      <c r="M584" s="19">
        <f>N584*delta +Prem-L584*(1-N584)</f>
        <v>2.6376983320466982E-5</v>
      </c>
      <c r="N584" s="26">
        <f>N583-Step_h*M583</f>
        <v>5.6121179207218683E-3</v>
      </c>
      <c r="U584" s="2"/>
      <c r="X584" s="2"/>
    </row>
    <row r="585" spans="1:24" x14ac:dyDescent="0.45">
      <c r="A585" s="24">
        <v>5.62</v>
      </c>
      <c r="B585" s="24">
        <f>A585+Age</f>
        <v>25.62</v>
      </c>
      <c r="C585" s="19">
        <f>B*c_gom^B585</f>
        <v>3.6385376114293076E-3</v>
      </c>
      <c r="D585" s="19">
        <f t="shared" si="8"/>
        <v>-3.5800634733165796E-3</v>
      </c>
      <c r="E585" s="26">
        <f>E584+Step_h*D584</f>
        <v>0.98392921982473114</v>
      </c>
      <c r="J585" s="24">
        <f>ROUND(J584-Step_h,2)</f>
        <v>4.38</v>
      </c>
      <c r="K585" s="24">
        <f>J585+Age</f>
        <v>24.38</v>
      </c>
      <c r="L585" s="19">
        <f>B*c_gom^K585</f>
        <v>3.269776070133196E-3</v>
      </c>
      <c r="M585" s="19">
        <f>N585*delta +Prem-L585*(1-N585)</f>
        <v>2.9166143822890837E-5</v>
      </c>
      <c r="N585" s="26">
        <f>N584-Step_h*M584</f>
        <v>5.6118541508886639E-3</v>
      </c>
      <c r="U585" s="2"/>
      <c r="X585" s="2"/>
    </row>
    <row r="586" spans="1:24" x14ac:dyDescent="0.45">
      <c r="A586" s="24">
        <v>5.63</v>
      </c>
      <c r="B586" s="24">
        <f>A586+Age</f>
        <v>25.63</v>
      </c>
      <c r="C586" s="19">
        <f>B*c_gom^B586</f>
        <v>3.6416745708052205E-3</v>
      </c>
      <c r="D586" s="19">
        <f t="shared" si="8"/>
        <v>-3.5830196450468165E-3</v>
      </c>
      <c r="E586" s="26">
        <f>E585+Step_h*D585</f>
        <v>0.98389341918999795</v>
      </c>
      <c r="J586" s="24">
        <f>ROUND(J585-Step_h,2)</f>
        <v>4.37</v>
      </c>
      <c r="K586" s="24">
        <f>J586+Age</f>
        <v>24.37</v>
      </c>
      <c r="L586" s="19">
        <f>B*c_gom^K586</f>
        <v>3.2669594662601939E-3</v>
      </c>
      <c r="M586" s="19">
        <f>N586*delta +Prem-L586*(1-N586)</f>
        <v>3.1951405407748285E-5</v>
      </c>
      <c r="N586" s="26">
        <f>N585-Step_h*M585</f>
        <v>5.6115624894504347E-3</v>
      </c>
      <c r="U586" s="2"/>
      <c r="X586" s="2"/>
    </row>
    <row r="587" spans="1:24" x14ac:dyDescent="0.45">
      <c r="A587" s="24">
        <v>5.64</v>
      </c>
      <c r="B587" s="24">
        <f>A587+Age</f>
        <v>25.64</v>
      </c>
      <c r="C587" s="19">
        <f>B*c_gom^B587</f>
        <v>3.6448142347056392E-3</v>
      </c>
      <c r="D587" s="19">
        <f t="shared" si="8"/>
        <v>-3.5859781452868521E-3</v>
      </c>
      <c r="E587" s="26">
        <f>E586+Step_h*D586</f>
        <v>0.98385758899354747</v>
      </c>
      <c r="J587" s="24">
        <f>ROUND(J586-Step_h,2)</f>
        <v>4.3600000000000003</v>
      </c>
      <c r="K587" s="24">
        <f>J587+Age</f>
        <v>24.36</v>
      </c>
      <c r="L587" s="19">
        <f>B*c_gom^K587</f>
        <v>3.2641452886259326E-3</v>
      </c>
      <c r="M587" s="19">
        <f>N587*delta +Prem-L587*(1-N587)</f>
        <v>3.4732772465360766E-5</v>
      </c>
      <c r="N587" s="26">
        <f>N586-Step_h*M586</f>
        <v>5.6112429753963572E-3</v>
      </c>
      <c r="U587" s="2"/>
      <c r="X587" s="2"/>
    </row>
    <row r="588" spans="1:24" x14ac:dyDescent="0.45">
      <c r="A588" s="24">
        <v>5.65</v>
      </c>
      <c r="B588" s="24">
        <f>A588+Age</f>
        <v>25.65</v>
      </c>
      <c r="C588" s="19">
        <f>B*c_gom^B588</f>
        <v>3.6479566054622597E-3</v>
      </c>
      <c r="D588" s="19">
        <f t="shared" si="8"/>
        <v>-3.5889389756765633E-3</v>
      </c>
      <c r="E588" s="26">
        <f>E587+Step_h*D587</f>
        <v>0.98382172921209465</v>
      </c>
      <c r="J588" s="24">
        <f>ROUND(J587-Step_h,2)</f>
        <v>4.3499999999999996</v>
      </c>
      <c r="K588" s="24">
        <f>J588+Age</f>
        <v>24.35</v>
      </c>
      <c r="L588" s="19">
        <f>B*c_gom^K588</f>
        <v>3.2613335351404388E-3</v>
      </c>
      <c r="M588" s="19">
        <f>N588*delta +Prem-L588*(1-N588)</f>
        <v>3.7510249381071496E-5</v>
      </c>
      <c r="N588" s="26">
        <f>N587-Step_h*M587</f>
        <v>5.6108956476717039E-3</v>
      </c>
      <c r="U588" s="2"/>
      <c r="X588" s="2"/>
    </row>
    <row r="589" spans="1:24" x14ac:dyDescent="0.45">
      <c r="A589" s="24">
        <v>5.66</v>
      </c>
      <c r="B589" s="24">
        <f>A589+Age</f>
        <v>25.66</v>
      </c>
      <c r="C589" s="19">
        <f>B*c_gom^B589</f>
        <v>3.6511016854087991E-3</v>
      </c>
      <c r="D589" s="19">
        <f t="shared" si="8"/>
        <v>-3.591902137856649E-3</v>
      </c>
      <c r="E589" s="26">
        <f>E588+Step_h*D588</f>
        <v>0.98378583982233792</v>
      </c>
      <c r="J589" s="24">
        <f>ROUND(J588-Step_h,2)</f>
        <v>4.34</v>
      </c>
      <c r="K589" s="24">
        <f>J589+Age</f>
        <v>24.34</v>
      </c>
      <c r="L589" s="19">
        <f>B*c_gom^K589</f>
        <v>3.2585242037155328E-3</v>
      </c>
      <c r="M589" s="19">
        <f>N589*delta +Prem-L589*(1-N589)</f>
        <v>4.0283840535267155E-5</v>
      </c>
      <c r="N589" s="26">
        <f>N588-Step_h*M588</f>
        <v>5.6105205451778932E-3</v>
      </c>
      <c r="U589" s="2"/>
      <c r="X589" s="2"/>
    </row>
    <row r="590" spans="1:24" x14ac:dyDescent="0.45">
      <c r="A590" s="24">
        <v>5.67</v>
      </c>
      <c r="B590" s="24">
        <f>A590+Age</f>
        <v>25.67</v>
      </c>
      <c r="C590" s="19">
        <f>B*c_gom^B590</f>
        <v>3.6542494768809792E-3</v>
      </c>
      <c r="D590" s="19">
        <f t="shared" si="8"/>
        <v>-3.5948676334686103E-3</v>
      </c>
      <c r="E590" s="26">
        <f>E589+Step_h*D589</f>
        <v>0.98374992080095935</v>
      </c>
      <c r="J590" s="24">
        <f>ROUND(J589-Step_h,2)</f>
        <v>4.33</v>
      </c>
      <c r="K590" s="24">
        <f>J590+Age</f>
        <v>24.33</v>
      </c>
      <c r="L590" s="19">
        <f>B*c_gom^K590</f>
        <v>3.2557172922648391E-3</v>
      </c>
      <c r="M590" s="19">
        <f>N590*delta +Prem-L590*(1-N590)</f>
        <v>4.305355030336834E-5</v>
      </c>
      <c r="N590" s="26">
        <f>N589-Step_h*M589</f>
        <v>5.6101177067725402E-3</v>
      </c>
      <c r="U590" s="2"/>
      <c r="X590" s="2"/>
    </row>
    <row r="591" spans="1:24" x14ac:dyDescent="0.45">
      <c r="A591" s="24">
        <v>5.68</v>
      </c>
      <c r="B591" s="24">
        <f>A591+Age</f>
        <v>25.68</v>
      </c>
      <c r="C591" s="19">
        <f>B*c_gom^B591</f>
        <v>3.6573999822165333E-3</v>
      </c>
      <c r="D591" s="19">
        <f t="shared" si="8"/>
        <v>-3.5978354641547573E-3</v>
      </c>
      <c r="E591" s="26">
        <f>E590+Step_h*D590</f>
        <v>0.98371397212462464</v>
      </c>
      <c r="J591" s="24">
        <f>ROUND(J590-Step_h,2)</f>
        <v>4.32</v>
      </c>
      <c r="K591" s="24">
        <f>J591+Age</f>
        <v>24.32</v>
      </c>
      <c r="L591" s="19">
        <f>B*c_gom^K591</f>
        <v>3.2529127987037821E-3</v>
      </c>
      <c r="M591" s="19">
        <f>N591*delta +Prem-L591*(1-N591)</f>
        <v>4.5819383055840414E-5</v>
      </c>
      <c r="N591" s="26">
        <f>N590-Step_h*M590</f>
        <v>5.6096871712695067E-3</v>
      </c>
      <c r="U591" s="2"/>
      <c r="X591" s="2"/>
    </row>
    <row r="592" spans="1:24" x14ac:dyDescent="0.45">
      <c r="A592" s="24">
        <v>5.69</v>
      </c>
      <c r="B592" s="24">
        <f>A592+Age</f>
        <v>25.69</v>
      </c>
      <c r="C592" s="19">
        <f>B*c_gom^B592</f>
        <v>3.6605532037552219E-3</v>
      </c>
      <c r="D592" s="19">
        <f t="shared" si="8"/>
        <v>-3.600805631558221E-3</v>
      </c>
      <c r="E592" s="26">
        <f>E591+Step_h*D591</f>
        <v>0.98367799376998311</v>
      </c>
      <c r="J592" s="24">
        <f>ROUND(J591-Step_h,2)</f>
        <v>4.3099999999999996</v>
      </c>
      <c r="K592" s="24">
        <f>J592+Age</f>
        <v>24.31</v>
      </c>
      <c r="L592" s="19">
        <f>B*c_gom^K592</f>
        <v>3.2501107209495714E-3</v>
      </c>
      <c r="M592" s="19">
        <f>N592*delta +Prem-L592*(1-N592)</f>
        <v>4.8581343158211714E-5</v>
      </c>
      <c r="N592" s="26">
        <f>N591-Step_h*M591</f>
        <v>5.6092289774389483E-3</v>
      </c>
      <c r="U592" s="2"/>
      <c r="X592" s="2"/>
    </row>
    <row r="593" spans="1:24" x14ac:dyDescent="0.45">
      <c r="A593" s="24">
        <v>5.7</v>
      </c>
      <c r="B593" s="24">
        <f>A593+Age</f>
        <v>25.7</v>
      </c>
      <c r="C593" s="19">
        <f>B*c_gom^B593</f>
        <v>3.6637091438388092E-3</v>
      </c>
      <c r="D593" s="19">
        <f t="shared" si="8"/>
        <v>-3.6037781373229271E-3</v>
      </c>
      <c r="E593" s="26">
        <f>E592+Step_h*D592</f>
        <v>0.98364198571366757</v>
      </c>
      <c r="J593" s="24">
        <f>ROUND(J592-Step_h,2)</f>
        <v>4.3</v>
      </c>
      <c r="K593" s="24">
        <f>J593+Age</f>
        <v>24.3</v>
      </c>
      <c r="L593" s="19">
        <f>B*c_gom^K593</f>
        <v>3.2473110569212213E-3</v>
      </c>
      <c r="M593" s="19">
        <f>N593*delta +Prem-L593*(1-N593)</f>
        <v>5.1339434971059677E-5</v>
      </c>
      <c r="N593" s="26">
        <f>N592-Step_h*M592</f>
        <v>5.6087431640073661E-3</v>
      </c>
      <c r="U593" s="2"/>
      <c r="X593" s="2"/>
    </row>
    <row r="594" spans="1:24" x14ac:dyDescent="0.45">
      <c r="A594" s="24">
        <v>5.71</v>
      </c>
      <c r="B594" s="24">
        <f>A594+Age</f>
        <v>25.71</v>
      </c>
      <c r="C594" s="19">
        <f>B*c_gom^B594</f>
        <v>3.6668678048110866E-3</v>
      </c>
      <c r="D594" s="19">
        <f t="shared" si="8"/>
        <v>-3.6067529830936204E-3</v>
      </c>
      <c r="E594" s="26">
        <f>E593+Step_h*D593</f>
        <v>0.98360594793229439</v>
      </c>
      <c r="J594" s="24">
        <f>ROUND(J593-Step_h,2)</f>
        <v>4.29</v>
      </c>
      <c r="K594" s="24">
        <f>J594+Age</f>
        <v>24.29</v>
      </c>
      <c r="L594" s="19">
        <f>B*c_gom^K594</f>
        <v>3.2445138045395332E-3</v>
      </c>
      <c r="M594" s="19">
        <f>N594*delta +Prem-L594*(1-N594)</f>
        <v>5.4093662850033825E-5</v>
      </c>
      <c r="N594" s="26">
        <f>N593-Step_h*M593</f>
        <v>5.6082297696576555E-3</v>
      </c>
      <c r="U594" s="2"/>
      <c r="X594" s="2"/>
    </row>
    <row r="595" spans="1:24" x14ac:dyDescent="0.45">
      <c r="A595" s="24">
        <v>5.72</v>
      </c>
      <c r="B595" s="24">
        <f>A595+Age</f>
        <v>25.72</v>
      </c>
      <c r="C595" s="19">
        <f>B*c_gom^B595</f>
        <v>3.6700291890178643E-3</v>
      </c>
      <c r="D595" s="19">
        <f t="shared" si="8"/>
        <v>-3.6097301705158504E-3</v>
      </c>
      <c r="E595" s="26">
        <f>E594+Step_h*D594</f>
        <v>0.9835698804024634</v>
      </c>
      <c r="J595" s="24">
        <f>ROUND(J594-Step_h,2)</f>
        <v>4.28</v>
      </c>
      <c r="K595" s="24">
        <f>J595+Age</f>
        <v>24.28</v>
      </c>
      <c r="L595" s="19">
        <f>B*c_gom^K595</f>
        <v>3.2417189617271014E-3</v>
      </c>
      <c r="M595" s="19">
        <f>N595*delta +Prem-L595*(1-N595)</f>
        <v>5.6844031145852729E-5</v>
      </c>
      <c r="N595" s="26">
        <f>N594-Step_h*M594</f>
        <v>5.6076888330291548E-3</v>
      </c>
      <c r="U595" s="2"/>
      <c r="X595" s="2"/>
    </row>
    <row r="596" spans="1:24" x14ac:dyDescent="0.45">
      <c r="A596" s="24">
        <v>5.73</v>
      </c>
      <c r="B596" s="24">
        <f>A596+Age</f>
        <v>25.73</v>
      </c>
      <c r="C596" s="19">
        <f>B*c_gom^B596</f>
        <v>3.6731932988069752E-3</v>
      </c>
      <c r="D596" s="19">
        <f t="shared" si="8"/>
        <v>-3.6127097012359781E-3</v>
      </c>
      <c r="E596" s="26">
        <f>E595+Step_h*D595</f>
        <v>0.98353378310075823</v>
      </c>
      <c r="J596" s="24">
        <f>ROUND(J595-Step_h,2)</f>
        <v>4.2699999999999996</v>
      </c>
      <c r="K596" s="24">
        <f>J596+Age</f>
        <v>24.27</v>
      </c>
      <c r="L596" s="19">
        <f>B*c_gom^K596</f>
        <v>3.2389265264083072E-3</v>
      </c>
      <c r="M596" s="19">
        <f>N596*delta +Prem-L596*(1-N596)</f>
        <v>5.959054420431615E-5</v>
      </c>
      <c r="N596" s="26">
        <f>N595-Step_h*M595</f>
        <v>5.6071203927176962E-3</v>
      </c>
      <c r="U596" s="2"/>
      <c r="X596" s="2"/>
    </row>
    <row r="597" spans="1:24" x14ac:dyDescent="0.45">
      <c r="A597" s="24">
        <v>5.74</v>
      </c>
      <c r="B597" s="24">
        <f>A597+Age</f>
        <v>25.740000000000002</v>
      </c>
      <c r="C597" s="19">
        <f>B*c_gom^B597</f>
        <v>3.6763601365282727E-3</v>
      </c>
      <c r="D597" s="19">
        <f t="shared" si="8"/>
        <v>-3.6156915769011673E-3</v>
      </c>
      <c r="E597" s="26">
        <f>E596+Step_h*D596</f>
        <v>0.98349765600374583</v>
      </c>
      <c r="J597" s="24">
        <f>ROUND(J596-Step_h,2)</f>
        <v>4.26</v>
      </c>
      <c r="K597" s="24">
        <f>J597+Age</f>
        <v>24.259999999999998</v>
      </c>
      <c r="L597" s="19">
        <f>B*c_gom^K597</f>
        <v>3.2361364965093247E-3</v>
      </c>
      <c r="M597" s="19">
        <f>N597*delta +Prem-L597*(1-N597)</f>
        <v>6.2333206366304173E-5</v>
      </c>
      <c r="N597" s="26">
        <f>N596-Step_h*M596</f>
        <v>5.6065244872756529E-3</v>
      </c>
      <c r="U597" s="2"/>
      <c r="X597" s="2"/>
    </row>
    <row r="598" spans="1:24" x14ac:dyDescent="0.45">
      <c r="A598" s="24">
        <v>5.75</v>
      </c>
      <c r="B598" s="24">
        <f>A598+Age</f>
        <v>25.75</v>
      </c>
      <c r="C598" s="19">
        <f>B*c_gom^B598</f>
        <v>3.6795297045336419E-3</v>
      </c>
      <c r="D598" s="19">
        <f t="shared" si="8"/>
        <v>-3.6186757991593962E-3</v>
      </c>
      <c r="E598" s="26">
        <f>E597+Step_h*D597</f>
        <v>0.98346149908797686</v>
      </c>
      <c r="J598" s="24">
        <f>ROUND(J597-Step_h,2)</f>
        <v>4.25</v>
      </c>
      <c r="K598" s="24">
        <f>J598+Age</f>
        <v>24.25</v>
      </c>
      <c r="L598" s="19">
        <f>B*c_gom^K598</f>
        <v>3.2333488699581099E-3</v>
      </c>
      <c r="M598" s="19">
        <f>N598*delta +Prem-L598*(1-N598)</f>
        <v>6.5072021967791088E-5</v>
      </c>
      <c r="N598" s="26">
        <f>N597-Step_h*M597</f>
        <v>5.6059011552119899E-3</v>
      </c>
      <c r="U598" s="2"/>
      <c r="X598" s="2"/>
    </row>
    <row r="599" spans="1:24" x14ac:dyDescent="0.45">
      <c r="A599" s="24">
        <v>5.76</v>
      </c>
      <c r="B599" s="24">
        <f>A599+Age</f>
        <v>25.759999999999998</v>
      </c>
      <c r="C599" s="19">
        <f>B*c_gom^B599</f>
        <v>3.6827020051769916E-3</v>
      </c>
      <c r="D599" s="19">
        <f t="shared" si="8"/>
        <v>-3.6216623696594462E-3</v>
      </c>
      <c r="E599" s="26">
        <f>E598+Step_h*D598</f>
        <v>0.98342531232998531</v>
      </c>
      <c r="J599" s="24">
        <f>ROUND(J598-Step_h,2)</f>
        <v>4.24</v>
      </c>
      <c r="K599" s="24">
        <f>J599+Age</f>
        <v>24.240000000000002</v>
      </c>
      <c r="L599" s="19">
        <f>B*c_gom^K599</f>
        <v>3.2305636446844049E-3</v>
      </c>
      <c r="M599" s="19">
        <f>N599*delta +Prem-L599*(1-N599)</f>
        <v>6.7806995339848419E-5</v>
      </c>
      <c r="N599" s="26">
        <f>N598-Step_h*M598</f>
        <v>5.6052504349923121E-3</v>
      </c>
      <c r="U599" s="2"/>
      <c r="X599" s="2"/>
    </row>
    <row r="600" spans="1:24" x14ac:dyDescent="0.45">
      <c r="A600" s="24">
        <v>5.7700000000000005</v>
      </c>
      <c r="B600" s="24">
        <f>A600+Age</f>
        <v>25.77</v>
      </c>
      <c r="C600" s="19">
        <f>B*c_gom^B600</f>
        <v>3.6858770408142636E-3</v>
      </c>
      <c r="D600" s="19">
        <f t="shared" ref="D600:D663" si="9">-E600*C600</f>
        <v>-3.6246512900509104E-3</v>
      </c>
      <c r="E600" s="26">
        <f>E599+Step_h*D599</f>
        <v>0.98338909570628874</v>
      </c>
      <c r="J600" s="24">
        <f>ROUND(J599-Step_h,2)</f>
        <v>4.2300000000000004</v>
      </c>
      <c r="K600" s="24">
        <f>J600+Age</f>
        <v>24.23</v>
      </c>
      <c r="L600" s="19">
        <f>B*c_gom^K600</f>
        <v>3.227780818619734E-3</v>
      </c>
      <c r="M600" s="19">
        <f>N600*delta +Prem-L600*(1-N600)</f>
        <v>7.0538130808650568E-5</v>
      </c>
      <c r="N600" s="26">
        <f>N599-Step_h*M599</f>
        <v>5.6045723650389135E-3</v>
      </c>
      <c r="U600" s="2"/>
      <c r="X600" s="2"/>
    </row>
    <row r="601" spans="1:24" x14ac:dyDescent="0.45">
      <c r="A601" s="24">
        <v>5.78</v>
      </c>
      <c r="B601" s="24">
        <f>A601+Age</f>
        <v>25.78</v>
      </c>
      <c r="C601" s="19">
        <f>B*c_gom^B601</f>
        <v>3.6890548138034242E-3</v>
      </c>
      <c r="D601" s="19">
        <f t="shared" si="9"/>
        <v>-3.6276425619841818E-3</v>
      </c>
      <c r="E601" s="26">
        <f>E600+Step_h*D600</f>
        <v>0.98335284919338828</v>
      </c>
      <c r="J601" s="24">
        <f>ROUND(J600-Step_h,2)</f>
        <v>4.22</v>
      </c>
      <c r="K601" s="24">
        <f>J601+Age</f>
        <v>24.22</v>
      </c>
      <c r="L601" s="19">
        <f>B*c_gom^K601</f>
        <v>3.2250003896974093E-3</v>
      </c>
      <c r="M601" s="19">
        <f>N601*delta +Prem-L601*(1-N601)</f>
        <v>7.3265432695476546E-5</v>
      </c>
      <c r="N601" s="26">
        <f>N600-Step_h*M600</f>
        <v>5.6038669837308267E-3</v>
      </c>
      <c r="U601" s="2"/>
      <c r="X601" s="2"/>
    </row>
    <row r="602" spans="1:24" x14ac:dyDescent="0.45">
      <c r="A602" s="24">
        <v>5.79</v>
      </c>
      <c r="B602" s="24">
        <f>A602+Age</f>
        <v>25.79</v>
      </c>
      <c r="C602" s="19">
        <f>B*c_gom^B602</f>
        <v>3.69223532650448E-3</v>
      </c>
      <c r="D602" s="19">
        <f t="shared" si="9"/>
        <v>-3.6306361871104678E-3</v>
      </c>
      <c r="E602" s="26">
        <f>E601+Step_h*D601</f>
        <v>0.9833165727677684</v>
      </c>
      <c r="J602" s="24">
        <f>ROUND(J601-Step_h,2)</f>
        <v>4.21</v>
      </c>
      <c r="K602" s="24">
        <f>J602+Age</f>
        <v>24.21</v>
      </c>
      <c r="L602" s="19">
        <f>B*c_gom^K602</f>
        <v>3.2222223558525153E-3</v>
      </c>
      <c r="M602" s="19">
        <f>N602*delta +Prem-L602*(1-N602)</f>
        <v>7.5988905316728191E-5</v>
      </c>
      <c r="N602" s="26">
        <f>N601-Step_h*M601</f>
        <v>5.6031343294038723E-3</v>
      </c>
      <c r="U602" s="2"/>
      <c r="X602" s="2"/>
    </row>
    <row r="603" spans="1:24" x14ac:dyDescent="0.45">
      <c r="A603" s="24">
        <v>5.8</v>
      </c>
      <c r="B603" s="24">
        <f>A603+Age</f>
        <v>25.8</v>
      </c>
      <c r="C603" s="19">
        <f>B*c_gom^B603</f>
        <v>3.6954185812794701E-3</v>
      </c>
      <c r="D603" s="19">
        <f t="shared" si="9"/>
        <v>-3.6336321670817802E-3</v>
      </c>
      <c r="E603" s="26">
        <f>E602+Step_h*D602</f>
        <v>0.98328026640589727</v>
      </c>
      <c r="J603" s="24">
        <f>ROUND(J602-Step_h,2)</f>
        <v>4.2</v>
      </c>
      <c r="K603" s="24">
        <f>J603+Age</f>
        <v>24.2</v>
      </c>
      <c r="L603" s="19">
        <f>B*c_gom^K603</f>
        <v>3.2194467150219175E-3</v>
      </c>
      <c r="M603" s="19">
        <f>N603*delta +Prem-L603*(1-N603)</f>
        <v>7.8708552983927996E-5</v>
      </c>
      <c r="N603" s="26">
        <f>N602-Step_h*M602</f>
        <v>5.6023744403507049E-3</v>
      </c>
      <c r="U603" s="2"/>
      <c r="X603" s="2"/>
    </row>
    <row r="604" spans="1:24" x14ac:dyDescent="0.45">
      <c r="A604" s="24">
        <v>5.8100000000000005</v>
      </c>
      <c r="B604" s="24">
        <f>A604+Age</f>
        <v>25.810000000000002</v>
      </c>
      <c r="C604" s="19">
        <f>B*c_gom^B604</f>
        <v>3.698604580492466E-3</v>
      </c>
      <c r="D604" s="19">
        <f t="shared" si="9"/>
        <v>-3.6366305035509341E-3</v>
      </c>
      <c r="E604" s="26">
        <f>E603+Step_h*D603</f>
        <v>0.9832439300842265</v>
      </c>
      <c r="J604" s="24">
        <f>ROUND(J603-Step_h,2)</f>
        <v>4.1900000000000004</v>
      </c>
      <c r="K604" s="24">
        <f>J604+Age</f>
        <v>24.19</v>
      </c>
      <c r="L604" s="19">
        <f>B*c_gom^K604</f>
        <v>3.2166734651442631E-3</v>
      </c>
      <c r="M604" s="19">
        <f>N604*delta +Prem-L604*(1-N604)</f>
        <v>8.1424380003719977E-5</v>
      </c>
      <c r="N604" s="26">
        <f>N603-Step_h*M603</f>
        <v>5.6015873548208653E-3</v>
      </c>
      <c r="U604" s="2"/>
      <c r="X604" s="2"/>
    </row>
    <row r="605" spans="1:24" x14ac:dyDescent="0.45">
      <c r="A605" s="24">
        <v>5.82</v>
      </c>
      <c r="B605" s="24">
        <f>A605+Age</f>
        <v>25.82</v>
      </c>
      <c r="C605" s="19">
        <f>B*c_gom^B605</f>
        <v>3.7017933265095821E-3</v>
      </c>
      <c r="D605" s="19">
        <f t="shared" si="9"/>
        <v>-3.6396311981715533E-3</v>
      </c>
      <c r="E605" s="26">
        <f>E604+Step_h*D604</f>
        <v>0.98320756377919094</v>
      </c>
      <c r="J605" s="24">
        <f>ROUND(J604-Step_h,2)</f>
        <v>4.18</v>
      </c>
      <c r="K605" s="24">
        <f>J605+Age</f>
        <v>24.18</v>
      </c>
      <c r="L605" s="19">
        <f>B*c_gom^K605</f>
        <v>3.2139026041599706E-3</v>
      </c>
      <c r="M605" s="19">
        <f>N605*delta +Prem-L605*(1-N605)</f>
        <v>8.4136390677889625E-5</v>
      </c>
      <c r="N605" s="26">
        <f>N604-Step_h*M604</f>
        <v>5.6007731110208278E-3</v>
      </c>
      <c r="U605" s="2"/>
      <c r="X605" s="2"/>
    </row>
    <row r="606" spans="1:24" x14ac:dyDescent="0.45">
      <c r="A606" s="24">
        <v>5.83</v>
      </c>
      <c r="B606" s="24">
        <f>A606+Age</f>
        <v>25.83</v>
      </c>
      <c r="C606" s="19">
        <f>B*c_gom^B606</f>
        <v>3.7049848216989716E-3</v>
      </c>
      <c r="D606" s="19">
        <f t="shared" si="9"/>
        <v>-3.642634252598068E-3</v>
      </c>
      <c r="E606" s="26">
        <f>E605+Step_h*D605</f>
        <v>0.98317116746720923</v>
      </c>
      <c r="J606" s="24">
        <f>ROUND(J605-Step_h,2)</f>
        <v>4.17</v>
      </c>
      <c r="K606" s="24">
        <f>J606+Age</f>
        <v>24.17</v>
      </c>
      <c r="L606" s="19">
        <f>B*c_gom^K606</f>
        <v>3.2111341300112319E-3</v>
      </c>
      <c r="M606" s="19">
        <f>N606*delta +Prem-L606*(1-N606)</f>
        <v>8.6844589303362169E-5</v>
      </c>
      <c r="N606" s="26">
        <f>N605-Step_h*M605</f>
        <v>5.5999317471140493E-3</v>
      </c>
      <c r="U606" s="2"/>
      <c r="X606" s="2"/>
    </row>
    <row r="607" spans="1:24" x14ac:dyDescent="0.45">
      <c r="A607" s="24">
        <v>5.84</v>
      </c>
      <c r="B607" s="24">
        <f>A607+Age</f>
        <v>25.84</v>
      </c>
      <c r="C607" s="19">
        <f>B*c_gom^B607</f>
        <v>3.7081790684308303E-3</v>
      </c>
      <c r="D607" s="19">
        <f t="shared" si="9"/>
        <v>-3.6456396684857134E-3</v>
      </c>
      <c r="E607" s="26">
        <f>E606+Step_h*D606</f>
        <v>0.98313474112468324</v>
      </c>
      <c r="J607" s="24">
        <f>ROUND(J606-Step_h,2)</f>
        <v>4.16</v>
      </c>
      <c r="K607" s="24">
        <f>J607+Age</f>
        <v>24.16</v>
      </c>
      <c r="L607" s="19">
        <f>B*c_gom^K607</f>
        <v>3.2083680406420128E-3</v>
      </c>
      <c r="M607" s="19">
        <f>N607*delta +Prem-L607*(1-N607)</f>
        <v>8.9548980172206912E-5</v>
      </c>
      <c r="N607" s="26">
        <f>N606-Step_h*M606</f>
        <v>5.5990633012210156E-3</v>
      </c>
      <c r="U607" s="2"/>
      <c r="X607" s="2"/>
    </row>
    <row r="608" spans="1:24" x14ac:dyDescent="0.45">
      <c r="A608" s="24">
        <v>5.8500000000000005</v>
      </c>
      <c r="B608" s="24">
        <f>A608+Age</f>
        <v>25.85</v>
      </c>
      <c r="C608" s="19">
        <f>B*c_gom^B608</f>
        <v>3.7113760690773924E-3</v>
      </c>
      <c r="D608" s="19">
        <f t="shared" si="9"/>
        <v>-3.6486474474905261E-3</v>
      </c>
      <c r="E608" s="26">
        <f>E607+Step_h*D607</f>
        <v>0.98309828472799843</v>
      </c>
      <c r="J608" s="24">
        <f>ROUND(J607-Step_h,2)</f>
        <v>4.1500000000000004</v>
      </c>
      <c r="K608" s="24">
        <f>J608+Age</f>
        <v>24.15</v>
      </c>
      <c r="L608" s="19">
        <f>B*c_gom^K608</f>
        <v>3.2056043339980527E-3</v>
      </c>
      <c r="M608" s="19">
        <f>N608*delta +Prem-L608*(1-N608)</f>
        <v>9.2249567571646342E-5</v>
      </c>
      <c r="N608" s="26">
        <f>N607-Step_h*M607</f>
        <v>5.598167811419294E-3</v>
      </c>
      <c r="U608" s="2"/>
      <c r="X608" s="2"/>
    </row>
    <row r="609" spans="1:24" x14ac:dyDescent="0.45">
      <c r="A609" s="24">
        <v>5.86</v>
      </c>
      <c r="B609" s="24">
        <f>A609+Age</f>
        <v>25.86</v>
      </c>
      <c r="C609" s="19">
        <f>B*c_gom^B609</f>
        <v>3.7145758260129437E-3</v>
      </c>
      <c r="D609" s="19">
        <f t="shared" si="9"/>
        <v>-3.651657591269352E-3</v>
      </c>
      <c r="E609" s="26">
        <f>E608+Step_h*D608</f>
        <v>0.98306179825352358</v>
      </c>
      <c r="J609" s="24">
        <f>ROUND(J608-Step_h,2)</f>
        <v>4.1399999999999997</v>
      </c>
      <c r="K609" s="24">
        <f>J609+Age</f>
        <v>24.14</v>
      </c>
      <c r="L609" s="19">
        <f>B*c_gom^K609</f>
        <v>3.2028430080268577E-3</v>
      </c>
      <c r="M609" s="19">
        <f>N609*delta +Prem-L609*(1-N609)</f>
        <v>9.4946355784061333E-5</v>
      </c>
      <c r="N609" s="26">
        <f>N608-Step_h*M608</f>
        <v>5.5972453157435778E-3</v>
      </c>
      <c r="U609" s="2"/>
      <c r="X609" s="2"/>
    </row>
    <row r="610" spans="1:24" x14ac:dyDescent="0.45">
      <c r="A610" s="24">
        <v>5.87</v>
      </c>
      <c r="B610" s="24">
        <f>A610+Age</f>
        <v>25.87</v>
      </c>
      <c r="C610" s="19">
        <f>B*c_gom^B610</f>
        <v>3.7177783416138151E-3</v>
      </c>
      <c r="D610" s="19">
        <f t="shared" si="9"/>
        <v>-3.6546701014798415E-3</v>
      </c>
      <c r="E610" s="26">
        <f>E609+Step_h*D609</f>
        <v>0.98302528167761083</v>
      </c>
      <c r="J610" s="24">
        <f>ROUND(J609-Step_h,2)</f>
        <v>4.13</v>
      </c>
      <c r="K610" s="24">
        <f>J610+Age</f>
        <v>24.13</v>
      </c>
      <c r="L610" s="19">
        <f>B*c_gom^K610</f>
        <v>3.2000840606777013E-3</v>
      </c>
      <c r="M610" s="19">
        <f>N610*delta +Prem-L610*(1-N610)</f>
        <v>9.7639349087001986E-5</v>
      </c>
      <c r="N610" s="26">
        <f>N609-Step_h*M609</f>
        <v>5.5962958521857372E-3</v>
      </c>
      <c r="U610" s="2"/>
      <c r="X610" s="2"/>
    </row>
    <row r="611" spans="1:24" x14ac:dyDescent="0.45">
      <c r="A611" s="24">
        <v>5.88</v>
      </c>
      <c r="B611" s="24">
        <f>A611+Age</f>
        <v>25.88</v>
      </c>
      <c r="C611" s="19">
        <f>B*c_gom^B611</f>
        <v>3.72098361825838E-3</v>
      </c>
      <c r="D611" s="19">
        <f t="shared" si="9"/>
        <v>-3.6576849797804421E-3</v>
      </c>
      <c r="E611" s="26">
        <f>E610+Step_h*D610</f>
        <v>0.982988734976596</v>
      </c>
      <c r="J611" s="24">
        <f>ROUND(J610-Step_h,2)</f>
        <v>4.12</v>
      </c>
      <c r="K611" s="24">
        <f>J611+Age</f>
        <v>24.12</v>
      </c>
      <c r="L611" s="19">
        <f>B*c_gom^K611</f>
        <v>3.1973274899016286E-3</v>
      </c>
      <c r="M611" s="19">
        <f>N611*delta +Prem-L611*(1-N611)</f>
        <v>1.0032855175318156E-4</v>
      </c>
      <c r="N611" s="26">
        <f>N610-Step_h*M610</f>
        <v>5.5953194586948673E-3</v>
      </c>
      <c r="U611" s="2"/>
      <c r="X611" s="2"/>
    </row>
    <row r="612" spans="1:24" x14ac:dyDescent="0.45">
      <c r="A612" s="24">
        <v>5.89</v>
      </c>
      <c r="B612" s="24">
        <f>A612+Age</f>
        <v>25.89</v>
      </c>
      <c r="C612" s="19">
        <f>B*c_gom^B612</f>
        <v>3.724191658327076E-3</v>
      </c>
      <c r="D612" s="19">
        <f t="shared" si="9"/>
        <v>-3.6607022278304186E-3</v>
      </c>
      <c r="E612" s="26">
        <f>E611+Step_h*D611</f>
        <v>0.98295215812679815</v>
      </c>
      <c r="J612" s="24">
        <f>ROUND(J611-Step_h,2)</f>
        <v>4.1100000000000003</v>
      </c>
      <c r="K612" s="24">
        <f>J612+Age</f>
        <v>24.11</v>
      </c>
      <c r="L612" s="19">
        <f>B*c_gom^K612</f>
        <v>3.19457329365144E-3</v>
      </c>
      <c r="M612" s="19">
        <f>N612*delta +Prem-L612*(1-N612)</f>
        <v>1.0301396805050119E-4</v>
      </c>
      <c r="N612" s="26">
        <f>N611-Step_h*M611</f>
        <v>5.5943161731773355E-3</v>
      </c>
      <c r="U612" s="2"/>
      <c r="X612" s="2"/>
    </row>
    <row r="613" spans="1:24" x14ac:dyDescent="0.45">
      <c r="A613" s="24">
        <v>5.9</v>
      </c>
      <c r="B613" s="24">
        <f>A613+Age</f>
        <v>25.9</v>
      </c>
      <c r="C613" s="19">
        <f>B*c_gom^B613</f>
        <v>3.7274024642023791E-3</v>
      </c>
      <c r="D613" s="19">
        <f t="shared" si="9"/>
        <v>-3.6637218472898268E-3</v>
      </c>
      <c r="E613" s="26">
        <f>E612+Step_h*D612</f>
        <v>0.98291555110451989</v>
      </c>
      <c r="J613" s="24">
        <f>ROUND(J612-Step_h,2)</f>
        <v>4.0999999999999996</v>
      </c>
      <c r="K613" s="24">
        <f>J613+Age</f>
        <v>24.1</v>
      </c>
      <c r="L613" s="19">
        <f>B*c_gom^K613</f>
        <v>3.19182146988171E-3</v>
      </c>
      <c r="M613" s="19">
        <f>N613*delta +Prem-L613*(1-N613)</f>
        <v>1.0569560224203646E-4</v>
      </c>
      <c r="N613" s="26">
        <f>N612-Step_h*M612</f>
        <v>5.5932860334968306E-3</v>
      </c>
      <c r="U613" s="2"/>
      <c r="X613" s="2"/>
    </row>
    <row r="614" spans="1:24" x14ac:dyDescent="0.45">
      <c r="A614" s="24">
        <v>5.91</v>
      </c>
      <c r="B614" s="24">
        <f>A614+Age</f>
        <v>25.91</v>
      </c>
      <c r="C614" s="19">
        <f>B*c_gom^B614</f>
        <v>3.7306160382688269E-3</v>
      </c>
      <c r="D614" s="19">
        <f t="shared" si="9"/>
        <v>-3.6667438398195321E-3</v>
      </c>
      <c r="E614" s="26">
        <f>E613+Step_h*D613</f>
        <v>0.98287891388604698</v>
      </c>
      <c r="J614" s="24">
        <f>ROUND(J613-Step_h,2)</f>
        <v>4.09</v>
      </c>
      <c r="K614" s="24">
        <f>J614+Age</f>
        <v>24.09</v>
      </c>
      <c r="L614" s="19">
        <f>B*c_gom^K614</f>
        <v>3.1890720165487687E-3</v>
      </c>
      <c r="M614" s="19">
        <f>N614*delta +Prem-L614*(1-N614)</f>
        <v>1.08373458586056E-4</v>
      </c>
      <c r="N614" s="26">
        <f>N613-Step_h*M613</f>
        <v>5.5922290774744103E-3</v>
      </c>
      <c r="U614" s="2"/>
      <c r="X614" s="2"/>
    </row>
    <row r="615" spans="1:24" x14ac:dyDescent="0.45">
      <c r="A615" s="24">
        <v>5.92</v>
      </c>
      <c r="B615" s="24">
        <f>A615+Age</f>
        <v>25.92</v>
      </c>
      <c r="C615" s="19">
        <f>B*c_gom^B615</f>
        <v>3.7338323829130119E-3</v>
      </c>
      <c r="D615" s="19">
        <f t="shared" si="9"/>
        <v>-3.6697682070812023E-3</v>
      </c>
      <c r="E615" s="26">
        <f>E614+Step_h*D614</f>
        <v>0.98284224644764884</v>
      </c>
      <c r="J615" s="24">
        <f>ROUND(J614-Step_h,2)</f>
        <v>4.08</v>
      </c>
      <c r="K615" s="24">
        <f>J615+Age</f>
        <v>24.08</v>
      </c>
      <c r="L615" s="19">
        <f>B*c_gom^K615</f>
        <v>3.1863249316107069E-3</v>
      </c>
      <c r="M615" s="19">
        <f>N615*delta +Prem-L615*(1-N615)</f>
        <v>1.1104754133602545E-4</v>
      </c>
      <c r="N615" s="26">
        <f>N614-Step_h*M614</f>
        <v>5.5911453428885496E-3</v>
      </c>
      <c r="U615" s="2"/>
      <c r="X615" s="2"/>
    </row>
    <row r="616" spans="1:24" x14ac:dyDescent="0.45">
      <c r="A616" s="24">
        <v>5.93</v>
      </c>
      <c r="B616" s="24">
        <f>A616+Age</f>
        <v>25.93</v>
      </c>
      <c r="C616" s="19">
        <f>B*c_gom^B616</f>
        <v>3.7370515005235813E-3</v>
      </c>
      <c r="D616" s="19">
        <f t="shared" si="9"/>
        <v>-3.6727949507373049E-3</v>
      </c>
      <c r="E616" s="26">
        <f>E615+Step_h*D615</f>
        <v>0.98280554876557802</v>
      </c>
      <c r="J616" s="24">
        <f>ROUND(J615-Step_h,2)</f>
        <v>4.07</v>
      </c>
      <c r="K616" s="24">
        <f>J616+Age</f>
        <v>24.07</v>
      </c>
      <c r="L616" s="19">
        <f>B*c_gom^K616</f>
        <v>3.1835802130273788E-3</v>
      </c>
      <c r="M616" s="19">
        <f>N616*delta +Prem-L616*(1-N616)</f>
        <v>1.1371785474060788E-4</v>
      </c>
      <c r="N616" s="26">
        <f>N615-Step_h*M615</f>
        <v>5.5900348674751896E-3</v>
      </c>
      <c r="U616" s="2"/>
      <c r="X616" s="2"/>
    </row>
    <row r="617" spans="1:24" x14ac:dyDescent="0.45">
      <c r="A617" s="24">
        <v>5.94</v>
      </c>
      <c r="B617" s="24">
        <f>A617+Age</f>
        <v>25.94</v>
      </c>
      <c r="C617" s="19">
        <f>B*c_gom^B617</f>
        <v>3.7402733934912436E-3</v>
      </c>
      <c r="D617" s="19">
        <f t="shared" si="9"/>
        <v>-3.6758240724511127E-3</v>
      </c>
      <c r="E617" s="26">
        <f>E616+Step_h*D616</f>
        <v>0.98276882081607064</v>
      </c>
      <c r="J617" s="24">
        <f>ROUND(J616-Step_h,2)</f>
        <v>4.0599999999999996</v>
      </c>
      <c r="K617" s="24">
        <f>J617+Age</f>
        <v>24.06</v>
      </c>
      <c r="L617" s="19">
        <f>B*c_gom^K617</f>
        <v>3.1808378587603907E-3</v>
      </c>
      <c r="M617" s="19">
        <f>N617*delta +Prem-L617*(1-N617)</f>
        <v>1.1638440304367849E-4</v>
      </c>
      <c r="N617" s="26">
        <f>N616-Step_h*M616</f>
        <v>5.5888976889277835E-3</v>
      </c>
      <c r="U617" s="2"/>
      <c r="X617" s="2"/>
    </row>
    <row r="618" spans="1:24" x14ac:dyDescent="0.45">
      <c r="A618" s="24">
        <v>5.95</v>
      </c>
      <c r="B618" s="24">
        <f>A618+Age</f>
        <v>25.95</v>
      </c>
      <c r="C618" s="19">
        <f>B*c_gom^B618</f>
        <v>3.743498064208769E-3</v>
      </c>
      <c r="D618" s="19">
        <f t="shared" si="9"/>
        <v>-3.6788555738866994E-3</v>
      </c>
      <c r="E618" s="26">
        <f>E617+Step_h*D617</f>
        <v>0.98273206257534618</v>
      </c>
      <c r="J618" s="24">
        <f>ROUND(J617-Step_h,2)</f>
        <v>4.05</v>
      </c>
      <c r="K618" s="24">
        <f>J618+Age</f>
        <v>24.05</v>
      </c>
      <c r="L618" s="19">
        <f>B*c_gom^K618</f>
        <v>3.1780978667731077E-3</v>
      </c>
      <c r="M618" s="19">
        <f>N618*delta +Prem-L618*(1-N618)</f>
        <v>1.1904719048432379E-4</v>
      </c>
      <c r="N618" s="26">
        <f>N617-Step_h*M617</f>
        <v>5.5877338448973466E-3</v>
      </c>
      <c r="U618" s="2"/>
      <c r="X618" s="2"/>
    </row>
    <row r="619" spans="1:24" x14ac:dyDescent="0.45">
      <c r="A619" s="24">
        <v>5.96</v>
      </c>
      <c r="B619" s="24">
        <f>A619+Age</f>
        <v>25.96</v>
      </c>
      <c r="C619" s="19">
        <f>B*c_gom^B619</f>
        <v>3.7467255150709926E-3</v>
      </c>
      <c r="D619" s="19">
        <f t="shared" si="9"/>
        <v>-3.6818894567089435E-3</v>
      </c>
      <c r="E619" s="26">
        <f>E618+Step_h*D618</f>
        <v>0.98269527401960732</v>
      </c>
      <c r="J619" s="24">
        <f>ROUND(J618-Step_h,2)</f>
        <v>4.04</v>
      </c>
      <c r="K619" s="24">
        <f>J619+Age</f>
        <v>24.04</v>
      </c>
      <c r="L619" s="19">
        <f>B*c_gom^K619</f>
        <v>3.1753602350306463E-3</v>
      </c>
      <c r="M619" s="19">
        <f>N619*delta +Prem-L619*(1-N619)</f>
        <v>1.2170622129685331E-4</v>
      </c>
      <c r="N619" s="26">
        <f>N618-Step_h*M618</f>
        <v>5.5865433729925034E-3</v>
      </c>
      <c r="U619" s="2"/>
      <c r="X619" s="2"/>
    </row>
    <row r="620" spans="1:24" x14ac:dyDescent="0.45">
      <c r="A620" s="24">
        <v>5.97</v>
      </c>
      <c r="B620" s="24">
        <f>A620+Age</f>
        <v>25.97</v>
      </c>
      <c r="C620" s="19">
        <f>B*c_gom^B620</f>
        <v>3.7499557484748074E-3</v>
      </c>
      <c r="D620" s="19">
        <f t="shared" si="9"/>
        <v>-3.6849257225835181E-3</v>
      </c>
      <c r="E620" s="26">
        <f>E619+Step_h*D619</f>
        <v>0.98265845512504024</v>
      </c>
      <c r="J620" s="24">
        <f>ROUND(J619-Step_h,2)</f>
        <v>4.03</v>
      </c>
      <c r="K620" s="24">
        <f>J620+Age</f>
        <v>24.03</v>
      </c>
      <c r="L620" s="19">
        <f>B*c_gom^K620</f>
        <v>3.1726249614998816E-3</v>
      </c>
      <c r="M620" s="19">
        <f>N620*delta +Prem-L620*(1-N620)</f>
        <v>1.2436149971079653E-4</v>
      </c>
      <c r="N620" s="26">
        <f>N619-Step_h*M619</f>
        <v>5.5853263107795348E-3</v>
      </c>
      <c r="U620" s="2"/>
      <c r="X620" s="2"/>
    </row>
    <row r="621" spans="1:24" x14ac:dyDescent="0.45">
      <c r="A621" s="24">
        <v>5.98</v>
      </c>
      <c r="B621" s="24">
        <f>A621+Age</f>
        <v>25.98</v>
      </c>
      <c r="C621" s="19">
        <f>B*c_gom^B621</f>
        <v>3.75318876681918E-3</v>
      </c>
      <c r="D621" s="19">
        <f t="shared" si="9"/>
        <v>-3.6879643731769049E-3</v>
      </c>
      <c r="E621" s="26">
        <f>E620+Step_h*D620</f>
        <v>0.98262160586781444</v>
      </c>
      <c r="J621" s="24">
        <f>ROUND(J620-Step_h,2)</f>
        <v>4.0199999999999996</v>
      </c>
      <c r="K621" s="24">
        <f>J621+Age</f>
        <v>24.02</v>
      </c>
      <c r="L621" s="19">
        <f>B*c_gom^K621</f>
        <v>3.1698920441494351E-3</v>
      </c>
      <c r="M621" s="19">
        <f>N621*delta +Prem-L621*(1-N621)</f>
        <v>1.2701302995091939E-4</v>
      </c>
      <c r="N621" s="26">
        <f>N620-Step_h*M620</f>
        <v>5.5840826957824271E-3</v>
      </c>
      <c r="U621" s="2"/>
      <c r="X621" s="2"/>
    </row>
    <row r="622" spans="1:24" x14ac:dyDescent="0.45">
      <c r="A622" s="24">
        <v>5.99</v>
      </c>
      <c r="B622" s="24">
        <f>A622+Age</f>
        <v>25.990000000000002</v>
      </c>
      <c r="C622" s="19">
        <f>B*c_gom^B622</f>
        <v>3.7564245725051431E-3</v>
      </c>
      <c r="D622" s="19">
        <f t="shared" si="9"/>
        <v>-3.6910054101563826E-3</v>
      </c>
      <c r="E622" s="26">
        <f>E621+Step_h*D621</f>
        <v>0.98258472622408266</v>
      </c>
      <c r="J622" s="24">
        <f>ROUND(J621-Step_h,2)</f>
        <v>4.01</v>
      </c>
      <c r="K622" s="24">
        <f>J622+Age</f>
        <v>24.009999999999998</v>
      </c>
      <c r="L622" s="19">
        <f>B*c_gom^K622</f>
        <v>3.1671614809496772E-3</v>
      </c>
      <c r="M622" s="19">
        <f>N622*delta +Prem-L622*(1-N622)</f>
        <v>1.2966081623722817E-4</v>
      </c>
      <c r="N622" s="26">
        <f>N621-Step_h*M621</f>
        <v>5.5828125654829178E-3</v>
      </c>
      <c r="U622" s="2"/>
      <c r="X622" s="2"/>
    </row>
    <row r="623" spans="1:24" x14ac:dyDescent="0.45">
      <c r="A623" s="24">
        <v>6</v>
      </c>
      <c r="B623" s="24">
        <f>A623+Age</f>
        <v>26</v>
      </c>
      <c r="C623" s="19">
        <f>B*c_gom^B623</f>
        <v>3.7596631679357928E-3</v>
      </c>
      <c r="D623" s="19">
        <f t="shared" si="9"/>
        <v>-3.6940488351900262E-3</v>
      </c>
      <c r="E623" s="26">
        <f>E622+Step_h*D622</f>
        <v>0.9825478161699811</v>
      </c>
      <c r="J623" s="24">
        <f>ROUND(J622-Step_h,2)</f>
        <v>4</v>
      </c>
      <c r="K623" s="24">
        <f>J623+Age</f>
        <v>24</v>
      </c>
      <c r="L623" s="19">
        <f>B*c_gom^K623</f>
        <v>3.1644332698727313E-3</v>
      </c>
      <c r="M623" s="19">
        <f>N623*delta +Prem-L623*(1-N623)</f>
        <v>1.3230486278496692E-4</v>
      </c>
      <c r="N623" s="26">
        <f>N622-Step_h*M622</f>
        <v>5.5815159573205453E-3</v>
      </c>
      <c r="U623" s="2"/>
      <c r="X623" s="2"/>
    </row>
    <row r="624" spans="1:24" x14ac:dyDescent="0.45">
      <c r="A624" s="24">
        <v>6.01</v>
      </c>
      <c r="B624" s="24">
        <f>A624+Age</f>
        <v>26.009999999999998</v>
      </c>
      <c r="C624" s="19">
        <f>B*c_gom^B624</f>
        <v>3.7629045555163131E-3</v>
      </c>
      <c r="D624" s="19">
        <f t="shared" si="9"/>
        <v>-3.6970946499467246E-3</v>
      </c>
      <c r="E624" s="26">
        <f>E623+Step_h*D623</f>
        <v>0.9825108756816292</v>
      </c>
      <c r="J624" s="24">
        <f>ROUND(J623-Step_h,2)</f>
        <v>3.99</v>
      </c>
      <c r="K624" s="24">
        <f>J624+Age</f>
        <v>23.990000000000002</v>
      </c>
      <c r="L624" s="19">
        <f>B*c_gom^K624</f>
        <v>3.1617074088924682E-3</v>
      </c>
      <c r="M624" s="19">
        <f>N624*delta +Prem-L624*(1-N624)</f>
        <v>1.3494517380462957E-4</v>
      </c>
      <c r="N624" s="26">
        <f>N623-Step_h*M623</f>
        <v>5.5801929086926961E-3</v>
      </c>
      <c r="U624" s="2"/>
      <c r="X624" s="2"/>
    </row>
    <row r="625" spans="1:24" x14ac:dyDescent="0.45">
      <c r="A625" s="24">
        <v>6.0200000000000005</v>
      </c>
      <c r="B625" s="24">
        <f>A625+Age</f>
        <v>26.02</v>
      </c>
      <c r="C625" s="19">
        <f>B*c_gom^B625</f>
        <v>3.7661487376539435E-3</v>
      </c>
      <c r="D625" s="19">
        <f t="shared" si="9"/>
        <v>-3.7001428560961497E-3</v>
      </c>
      <c r="E625" s="26">
        <f>E624+Step_h*D624</f>
        <v>0.98247390473512974</v>
      </c>
      <c r="J625" s="24">
        <f>ROUND(J624-Step_h,2)</f>
        <v>3.98</v>
      </c>
      <c r="K625" s="24">
        <f>J625+Age</f>
        <v>23.98</v>
      </c>
      <c r="L625" s="19">
        <f>B*c_gom^K625</f>
        <v>3.1589838959844964E-3</v>
      </c>
      <c r="M625" s="19">
        <f>N625*delta +Prem-L625*(1-N625)</f>
        <v>1.3758175350197469E-4</v>
      </c>
      <c r="N625" s="26">
        <f>N624-Step_h*M624</f>
        <v>5.5788434569546495E-3</v>
      </c>
      <c r="U625" s="2"/>
      <c r="X625" s="2"/>
    </row>
    <row r="626" spans="1:24" x14ac:dyDescent="0.45">
      <c r="A626" s="24">
        <v>6.03</v>
      </c>
      <c r="B626" s="24">
        <f>A626+Age</f>
        <v>26.03</v>
      </c>
      <c r="C626" s="19">
        <f>B*c_gom^B626</f>
        <v>3.7693957167580111E-3</v>
      </c>
      <c r="D626" s="19">
        <f t="shared" si="9"/>
        <v>-3.7031934553087846E-3</v>
      </c>
      <c r="E626" s="26">
        <f>E625+Step_h*D625</f>
        <v>0.98243690330656874</v>
      </c>
      <c r="J626" s="24">
        <f>ROUND(J625-Step_h,2)</f>
        <v>3.97</v>
      </c>
      <c r="K626" s="24">
        <f>J626+Age</f>
        <v>23.97</v>
      </c>
      <c r="L626" s="19">
        <f>B*c_gom^K626</f>
        <v>3.156262729126173E-3</v>
      </c>
      <c r="M626" s="19">
        <f>N626*delta +Prem-L626*(1-N626)</f>
        <v>1.4021460607801595E-4</v>
      </c>
      <c r="N626" s="26">
        <f>N625-Step_h*M625</f>
        <v>5.5774676394196301E-3</v>
      </c>
      <c r="U626" s="2"/>
      <c r="X626" s="2"/>
    </row>
    <row r="627" spans="1:24" x14ac:dyDescent="0.45">
      <c r="A627" s="24">
        <v>6.04</v>
      </c>
      <c r="B627" s="24">
        <f>A627+Age</f>
        <v>26.04</v>
      </c>
      <c r="C627" s="19">
        <f>B*c_gom^B627</f>
        <v>3.7726454952399127E-3</v>
      </c>
      <c r="D627" s="19">
        <f t="shared" si="9"/>
        <v>-3.7062464492559045E-3</v>
      </c>
      <c r="E627" s="26">
        <f>E626+Step_h*D626</f>
        <v>0.98239987137201568</v>
      </c>
      <c r="J627" s="24">
        <f>ROUND(J626-Step_h,2)</f>
        <v>3.96</v>
      </c>
      <c r="K627" s="24">
        <f>J627+Age</f>
        <v>23.96</v>
      </c>
      <c r="L627" s="19">
        <f>B*c_gom^K627</f>
        <v>3.1535439062966002E-3</v>
      </c>
      <c r="M627" s="19">
        <f>N627*delta +Prem-L627*(1-N627)</f>
        <v>1.4284373572903512E-4</v>
      </c>
      <c r="N627" s="26">
        <f>N626-Step_h*M626</f>
        <v>5.5760654933588501E-3</v>
      </c>
      <c r="U627" s="2"/>
      <c r="X627" s="2"/>
    </row>
    <row r="628" spans="1:24" x14ac:dyDescent="0.45">
      <c r="A628" s="24">
        <v>6.05</v>
      </c>
      <c r="B628" s="24">
        <f>A628+Age</f>
        <v>26.05</v>
      </c>
      <c r="C628" s="19">
        <f>B*c_gom^B628</f>
        <v>3.7758980755131294E-3</v>
      </c>
      <c r="D628" s="19">
        <f t="shared" si="9"/>
        <v>-3.7093018396095888E-3</v>
      </c>
      <c r="E628" s="26">
        <f>E627+Step_h*D627</f>
        <v>0.98236280890752314</v>
      </c>
      <c r="J628" s="24">
        <f>ROUND(J627-Step_h,2)</f>
        <v>3.95</v>
      </c>
      <c r="K628" s="24">
        <f>J628+Age</f>
        <v>23.95</v>
      </c>
      <c r="L628" s="19">
        <f>B*c_gom^K628</f>
        <v>3.1508274254766176E-3</v>
      </c>
      <c r="M628" s="19">
        <f>N628*delta +Prem-L628*(1-N628)</f>
        <v>1.4546914664658817E-4</v>
      </c>
      <c r="N628" s="26">
        <f>N627-Step_h*M627</f>
        <v>5.5746370560015596E-3</v>
      </c>
      <c r="U628" s="2"/>
      <c r="X628" s="2"/>
    </row>
    <row r="629" spans="1:24" x14ac:dyDescent="0.45">
      <c r="A629" s="24">
        <v>6.0600000000000005</v>
      </c>
      <c r="B629" s="24">
        <f>A629+Age</f>
        <v>26.060000000000002</v>
      </c>
      <c r="C629" s="19">
        <f>B*c_gom^B629</f>
        <v>3.7791534599932223E-3</v>
      </c>
      <c r="D629" s="19">
        <f t="shared" si="9"/>
        <v>-3.7123596280427139E-3</v>
      </c>
      <c r="E629" s="26">
        <f>E628+Step_h*D628</f>
        <v>0.98232571588912709</v>
      </c>
      <c r="J629" s="24">
        <f>ROUND(J628-Step_h,2)</f>
        <v>3.94</v>
      </c>
      <c r="K629" s="24">
        <f>J629+Age</f>
        <v>23.94</v>
      </c>
      <c r="L629" s="19">
        <f>B*c_gom^K629</f>
        <v>3.1481132846488034E-3</v>
      </c>
      <c r="M629" s="19">
        <f>N629*delta +Prem-L629*(1-N629)</f>
        <v>1.4809084301751433E-4</v>
      </c>
      <c r="N629" s="26">
        <f>N628-Step_h*M628</f>
        <v>5.5731823645350934E-3</v>
      </c>
      <c r="U629" s="2"/>
      <c r="X629" s="2"/>
    </row>
    <row r="630" spans="1:24" x14ac:dyDescent="0.45">
      <c r="A630" s="24">
        <v>6.07</v>
      </c>
      <c r="B630" s="24">
        <f>A630+Age</f>
        <v>26.07</v>
      </c>
      <c r="C630" s="19">
        <f>B*c_gom^B630</f>
        <v>3.78241165109783E-3</v>
      </c>
      <c r="D630" s="19">
        <f t="shared" si="9"/>
        <v>-3.7154198162289496E-3</v>
      </c>
      <c r="E630" s="26">
        <f>E629+Step_h*D629</f>
        <v>0.98228859229284671</v>
      </c>
      <c r="J630" s="24">
        <f>ROUND(J629-Step_h,2)</f>
        <v>3.93</v>
      </c>
      <c r="K630" s="24">
        <f>J630+Age</f>
        <v>23.93</v>
      </c>
      <c r="L630" s="19">
        <f>B*c_gom^K630</f>
        <v>3.1454014817974742E-3</v>
      </c>
      <c r="M630" s="19">
        <f>N630*delta +Prem-L630*(1-N630)</f>
        <v>1.5070882902393744E-4</v>
      </c>
      <c r="N630" s="26">
        <f>N629-Step_h*M629</f>
        <v>5.5717014561049187E-3</v>
      </c>
      <c r="U630" s="2"/>
      <c r="X630" s="2"/>
    </row>
    <row r="631" spans="1:24" x14ac:dyDescent="0.45">
      <c r="A631" s="24">
        <v>6.08</v>
      </c>
      <c r="B631" s="24">
        <f>A631+Age</f>
        <v>26.08</v>
      </c>
      <c r="C631" s="19">
        <f>B*c_gom^B631</f>
        <v>3.7856726512466811E-3</v>
      </c>
      <c r="D631" s="19">
        <f t="shared" si="9"/>
        <v>-3.7184824058427691E-3</v>
      </c>
      <c r="E631" s="26">
        <f>E630+Step_h*D630</f>
        <v>0.9822514380946844</v>
      </c>
      <c r="J631" s="24">
        <f>ROUND(J630-Step_h,2)</f>
        <v>3.92</v>
      </c>
      <c r="K631" s="24">
        <f>J631+Age</f>
        <v>23.92</v>
      </c>
      <c r="L631" s="19">
        <f>B*c_gom^K631</f>
        <v>3.1426920149086879E-3</v>
      </c>
      <c r="M631" s="19">
        <f>N631*delta +Prem-L631*(1-N631)</f>
        <v>1.5332310884326635E-4</v>
      </c>
      <c r="N631" s="26">
        <f>N630-Step_h*M630</f>
        <v>5.5701943678146794E-3</v>
      </c>
      <c r="U631" s="2"/>
      <c r="X631" s="2"/>
    </row>
    <row r="632" spans="1:24" x14ac:dyDescent="0.45">
      <c r="A632" s="24">
        <v>6.09</v>
      </c>
      <c r="B632" s="24">
        <f>A632+Age</f>
        <v>26.09</v>
      </c>
      <c r="C632" s="19">
        <f>B*c_gom^B632</f>
        <v>3.7889364628615925E-3</v>
      </c>
      <c r="D632" s="19">
        <f t="shared" si="9"/>
        <v>-3.7215473985594458E-3</v>
      </c>
      <c r="E632" s="26">
        <f>E631+Step_h*D631</f>
        <v>0.98221425327062595</v>
      </c>
      <c r="J632" s="24">
        <f>ROUND(J631-Step_h,2)</f>
        <v>3.91</v>
      </c>
      <c r="K632" s="24">
        <f>J632+Age</f>
        <v>23.91</v>
      </c>
      <c r="L632" s="19">
        <f>B*c_gom^K632</f>
        <v>3.1399848819702271E-3</v>
      </c>
      <c r="M632" s="19">
        <f>N632*delta +Prem-L632*(1-N632)</f>
        <v>1.5593368664822095E-4</v>
      </c>
      <c r="N632" s="26">
        <f>N631-Step_h*M631</f>
        <v>5.5686611367262466E-3</v>
      </c>
      <c r="U632" s="2"/>
      <c r="X632" s="2"/>
    </row>
    <row r="633" spans="1:24" x14ac:dyDescent="0.45">
      <c r="A633" s="24">
        <v>6.1000000000000005</v>
      </c>
      <c r="B633" s="24">
        <f>A633+Age</f>
        <v>26.1</v>
      </c>
      <c r="C633" s="19">
        <f>B*c_gom^B633</f>
        <v>3.7922030883664614E-3</v>
      </c>
      <c r="D633" s="19">
        <f t="shared" si="9"/>
        <v>-3.724614796055042E-3</v>
      </c>
      <c r="E633" s="26">
        <f>E632+Step_h*D632</f>
        <v>0.98217703779664034</v>
      </c>
      <c r="J633" s="24">
        <f>ROUND(J632-Step_h,2)</f>
        <v>3.9</v>
      </c>
      <c r="K633" s="24">
        <f>J633+Age</f>
        <v>23.9</v>
      </c>
      <c r="L633" s="19">
        <f>B*c_gom^K633</f>
        <v>3.1372800809716167E-3</v>
      </c>
      <c r="M633" s="19">
        <f>N633*delta +Prem-L633*(1-N633)</f>
        <v>1.5854056660681267E-4</v>
      </c>
      <c r="N633" s="26">
        <f>N632-Step_h*M632</f>
        <v>5.567101799859764E-3</v>
      </c>
      <c r="U633" s="2"/>
      <c r="X633" s="2"/>
    </row>
    <row r="634" spans="1:24" x14ac:dyDescent="0.45">
      <c r="A634" s="24">
        <v>6.11</v>
      </c>
      <c r="B634" s="24">
        <f>A634+Age</f>
        <v>26.11</v>
      </c>
      <c r="C634" s="19">
        <f>B*c_gom^B634</f>
        <v>3.7954725301872758E-3</v>
      </c>
      <c r="D634" s="19">
        <f t="shared" si="9"/>
        <v>-3.7276846000064189E-3</v>
      </c>
      <c r="E634" s="26">
        <f>E633+Step_h*D633</f>
        <v>0.98213979164867982</v>
      </c>
      <c r="J634" s="24">
        <f>ROUND(J633-Step_h,2)</f>
        <v>3.89</v>
      </c>
      <c r="K634" s="24">
        <f>J634+Age</f>
        <v>23.89</v>
      </c>
      <c r="L634" s="19">
        <f>B*c_gom^K634</f>
        <v>3.1345776099041128E-3</v>
      </c>
      <c r="M634" s="19">
        <f>N634*delta +Prem-L634*(1-N634)</f>
        <v>1.611437528823657E-4</v>
      </c>
      <c r="N634" s="26">
        <f>N633-Step_h*M633</f>
        <v>5.5655163941936963E-3</v>
      </c>
      <c r="U634" s="2"/>
      <c r="X634" s="2"/>
    </row>
    <row r="635" spans="1:24" x14ac:dyDescent="0.45">
      <c r="A635" s="24">
        <v>6.12</v>
      </c>
      <c r="B635" s="24">
        <f>A635+Age</f>
        <v>26.12</v>
      </c>
      <c r="C635" s="19">
        <f>B*c_gom^B635</f>
        <v>3.7987447907521245E-3</v>
      </c>
      <c r="D635" s="19">
        <f t="shared" si="9"/>
        <v>-3.730756812091241E-3</v>
      </c>
      <c r="E635" s="26">
        <f>E634+Step_h*D634</f>
        <v>0.98210251480267974</v>
      </c>
      <c r="J635" s="24">
        <f>ROUND(J634-Step_h,2)</f>
        <v>3.88</v>
      </c>
      <c r="K635" s="24">
        <f>J635+Age</f>
        <v>23.88</v>
      </c>
      <c r="L635" s="19">
        <f>B*c_gom^K635</f>
        <v>3.1318774667606938E-3</v>
      </c>
      <c r="M635" s="19">
        <f>N635*delta +Prem-L635*(1-N635)</f>
        <v>1.6374324963352701E-4</v>
      </c>
      <c r="N635" s="26">
        <f>N634-Step_h*M634</f>
        <v>5.5639049566648729E-3</v>
      </c>
      <c r="U635" s="2"/>
      <c r="X635" s="2"/>
    </row>
    <row r="636" spans="1:24" x14ac:dyDescent="0.45">
      <c r="A636" s="24">
        <v>6.13</v>
      </c>
      <c r="B636" s="24">
        <f>A636+Age</f>
        <v>26.13</v>
      </c>
      <c r="C636" s="19">
        <f>B*c_gom^B636</f>
        <v>3.8020198724911789E-3</v>
      </c>
      <c r="D636" s="19">
        <f t="shared" si="9"/>
        <v>-3.7338314339879605E-3</v>
      </c>
      <c r="E636" s="26">
        <f>E635+Step_h*D635</f>
        <v>0.98206520723455881</v>
      </c>
      <c r="J636" s="24">
        <f>ROUND(J635-Step_h,2)</f>
        <v>3.87</v>
      </c>
      <c r="K636" s="24">
        <f>J636+Age</f>
        <v>23.87</v>
      </c>
      <c r="L636" s="19">
        <f>B*c_gom^K636</f>
        <v>3.129179649536077E-3</v>
      </c>
      <c r="M636" s="19">
        <f>N636*delta +Prem-L636*(1-N636)</f>
        <v>1.663390610142537E-4</v>
      </c>
      <c r="N636" s="26">
        <f>N635-Step_h*M635</f>
        <v>5.5622675241685376E-3</v>
      </c>
      <c r="U636" s="2"/>
      <c r="X636" s="2"/>
    </row>
    <row r="637" spans="1:24" x14ac:dyDescent="0.45">
      <c r="A637" s="24">
        <v>6.1400000000000006</v>
      </c>
      <c r="B637" s="24">
        <f>A637+Age</f>
        <v>26.14</v>
      </c>
      <c r="C637" s="19">
        <f>B*c_gom^B637</f>
        <v>3.8052977778367104E-3</v>
      </c>
      <c r="D637" s="19">
        <f t="shared" si="9"/>
        <v>-3.7369084673758296E-3</v>
      </c>
      <c r="E637" s="26">
        <f>E636+Step_h*D636</f>
        <v>0.98202786892021898</v>
      </c>
      <c r="J637" s="24">
        <f>ROUND(J636-Step_h,2)</f>
        <v>3.86</v>
      </c>
      <c r="K637" s="24">
        <f>J637+Age</f>
        <v>23.86</v>
      </c>
      <c r="L637" s="19">
        <f>B*c_gom^K637</f>
        <v>3.126484156226701E-3</v>
      </c>
      <c r="M637" s="19">
        <f>N637*delta +Prem-L637*(1-N637)</f>
        <v>1.6893119117383825E-4</v>
      </c>
      <c r="N637" s="26">
        <f>N636-Step_h*M636</f>
        <v>5.5606041335583955E-3</v>
      </c>
      <c r="U637" s="2"/>
      <c r="X637" s="2"/>
    </row>
    <row r="638" spans="1:24" x14ac:dyDescent="0.45">
      <c r="A638" s="24">
        <v>6.15</v>
      </c>
      <c r="B638" s="24">
        <f>A638+Age</f>
        <v>26.15</v>
      </c>
      <c r="C638" s="19">
        <f>B*c_gom^B638</f>
        <v>3.8085785092230864E-3</v>
      </c>
      <c r="D638" s="19">
        <f t="shared" si="9"/>
        <v>-3.7399879139348941E-3</v>
      </c>
      <c r="E638" s="26">
        <f>E637+Step_h*D637</f>
        <v>0.98199049983554521</v>
      </c>
      <c r="J638" s="24">
        <f>ROUND(J637-Step_h,2)</f>
        <v>3.85</v>
      </c>
      <c r="K638" s="24">
        <f>J638+Age</f>
        <v>23.85</v>
      </c>
      <c r="L638" s="19">
        <f>B*c_gom^K638</f>
        <v>3.1237909848307321E-3</v>
      </c>
      <c r="M638" s="19">
        <f>N638*delta +Prem-L638*(1-N638)</f>
        <v>1.7151964425690235E-4</v>
      </c>
      <c r="N638" s="26">
        <f>N637-Step_h*M637</f>
        <v>5.5589148216466568E-3</v>
      </c>
      <c r="U638" s="2"/>
      <c r="X638" s="2"/>
    </row>
    <row r="639" spans="1:24" x14ac:dyDescent="0.45">
      <c r="A639" s="24">
        <v>6.16</v>
      </c>
      <c r="B639" s="24">
        <f>A639+Age</f>
        <v>26.16</v>
      </c>
      <c r="C639" s="19">
        <f>B*c_gom^B639</f>
        <v>3.8118620690867767E-3</v>
      </c>
      <c r="D639" s="19">
        <f t="shared" si="9"/>
        <v>-3.743069775346E-3</v>
      </c>
      <c r="E639" s="26">
        <f>E638+Step_h*D638</f>
        <v>0.98195309995640589</v>
      </c>
      <c r="J639" s="24">
        <f>ROUND(J638-Step_h,2)</f>
        <v>3.84</v>
      </c>
      <c r="K639" s="24">
        <f>J639+Age</f>
        <v>23.84</v>
      </c>
      <c r="L639" s="19">
        <f>B*c_gom^K639</f>
        <v>3.1211001333480586E-3</v>
      </c>
      <c r="M639" s="19">
        <f>N639*delta +Prem-L639*(1-N639)</f>
        <v>1.7410442440341173E-4</v>
      </c>
      <c r="N639" s="26">
        <f>N638-Step_h*M638</f>
        <v>5.5571996252040878E-3</v>
      </c>
      <c r="U639" s="2"/>
      <c r="X639" s="2"/>
    </row>
    <row r="640" spans="1:24" x14ac:dyDescent="0.45">
      <c r="A640" s="24">
        <v>6.17</v>
      </c>
      <c r="B640" s="24">
        <f>A640+Age</f>
        <v>26.17</v>
      </c>
      <c r="C640" s="19">
        <f>B*c_gom^B640</f>
        <v>3.8151484598663446E-3</v>
      </c>
      <c r="D640" s="19">
        <f t="shared" si="9"/>
        <v>-3.7461540532907791E-3</v>
      </c>
      <c r="E640" s="26">
        <f>E639+Step_h*D639</f>
        <v>0.98191566925865248</v>
      </c>
      <c r="J640" s="24">
        <f>ROUND(J639-Step_h,2)</f>
        <v>3.83</v>
      </c>
      <c r="K640" s="24">
        <f>J640+Age</f>
        <v>23.83</v>
      </c>
      <c r="L640" s="19">
        <f>B*c_gom^K640</f>
        <v>3.1184115997802977E-3</v>
      </c>
      <c r="M640" s="19">
        <f>N640*delta +Prem-L640*(1-N640)</f>
        <v>1.766855357486696E-4</v>
      </c>
      <c r="N640" s="26">
        <f>N639-Step_h*M639</f>
        <v>5.5554585809600536E-3</v>
      </c>
      <c r="U640" s="2"/>
      <c r="X640" s="2"/>
    </row>
    <row r="641" spans="1:24" x14ac:dyDescent="0.45">
      <c r="A641" s="24">
        <v>6.18</v>
      </c>
      <c r="B641" s="24">
        <f>A641+Age</f>
        <v>26.18</v>
      </c>
      <c r="C641" s="19">
        <f>B*c_gom^B641</f>
        <v>3.8184376840024606E-3</v>
      </c>
      <c r="D641" s="19">
        <f t="shared" si="9"/>
        <v>-3.7492407494516635E-3</v>
      </c>
      <c r="E641" s="26">
        <f>E640+Step_h*D640</f>
        <v>0.98187820771811962</v>
      </c>
      <c r="J641" s="24">
        <f>ROUND(J640-Step_h,2)</f>
        <v>3.82</v>
      </c>
      <c r="K641" s="24">
        <f>J641+Age</f>
        <v>23.82</v>
      </c>
      <c r="L641" s="19">
        <f>B*c_gom^K641</f>
        <v>3.1157253821307825E-3</v>
      </c>
      <c r="M641" s="19">
        <f>N641*delta +Prem-L641*(1-N641)</f>
        <v>1.7926298242333574E-4</v>
      </c>
      <c r="N641" s="26">
        <f>N640-Step_h*M640</f>
        <v>5.5536917256025671E-3</v>
      </c>
      <c r="U641" s="2"/>
      <c r="X641" s="2"/>
    </row>
    <row r="642" spans="1:24" x14ac:dyDescent="0.45">
      <c r="A642" s="24">
        <v>6.19</v>
      </c>
      <c r="B642" s="24">
        <f>A642+Age</f>
        <v>26.19</v>
      </c>
      <c r="C642" s="19">
        <f>B*c_gom^B642</f>
        <v>3.8217297439379011E-3</v>
      </c>
      <c r="D642" s="19">
        <f t="shared" si="9"/>
        <v>-3.7523298655118809E-3</v>
      </c>
      <c r="E642" s="26">
        <f>E641+Step_h*D641</f>
        <v>0.98184071531062511</v>
      </c>
      <c r="J642" s="24">
        <f>ROUND(J641-Step_h,2)</f>
        <v>3.81</v>
      </c>
      <c r="K642" s="24">
        <f>J642+Age</f>
        <v>23.81</v>
      </c>
      <c r="L642" s="19">
        <f>B*c_gom^K642</f>
        <v>3.1130414784045659E-3</v>
      </c>
      <c r="M642" s="19">
        <f>N642*delta +Prem-L642*(1-N642)</f>
        <v>1.8183676855342565E-4</v>
      </c>
      <c r="N642" s="26">
        <f>N641-Step_h*M641</f>
        <v>5.5518990957783339E-3</v>
      </c>
      <c r="U642" s="2"/>
      <c r="X642" s="2"/>
    </row>
    <row r="643" spans="1:24" x14ac:dyDescent="0.45">
      <c r="A643" s="24">
        <v>6.2</v>
      </c>
      <c r="B643" s="24">
        <f>A643+Age</f>
        <v>26.2</v>
      </c>
      <c r="C643" s="19">
        <f>B*c_gom^B643</f>
        <v>3.8250246421175421E-3</v>
      </c>
      <c r="D643" s="19">
        <f t="shared" si="9"/>
        <v>-3.7554214031554458E-3</v>
      </c>
      <c r="E643" s="26">
        <f>E642+Step_h*D642</f>
        <v>0.98180319201196997</v>
      </c>
      <c r="J643" s="24">
        <f>ROUND(J642-Step_h,2)</f>
        <v>3.8</v>
      </c>
      <c r="K643" s="24">
        <f>J643+Age</f>
        <v>23.8</v>
      </c>
      <c r="L643" s="19">
        <f>B*c_gom^K643</f>
        <v>3.1103598866084243E-3</v>
      </c>
      <c r="M643" s="19">
        <f>N643*delta +Prem-L643*(1-N643)</f>
        <v>1.8440689826031446E-4</v>
      </c>
      <c r="N643" s="26">
        <f>N642-Step_h*M642</f>
        <v>5.5500807280927994E-3</v>
      </c>
      <c r="U643" s="2"/>
      <c r="X643" s="2"/>
    </row>
    <row r="644" spans="1:24" x14ac:dyDescent="0.45">
      <c r="A644" s="24">
        <v>6.21</v>
      </c>
      <c r="B644" s="24">
        <f>A644+Age</f>
        <v>26.21</v>
      </c>
      <c r="C644" s="19">
        <f>B*c_gom^B644</f>
        <v>3.8283223809883731E-3</v>
      </c>
      <c r="D644" s="19">
        <f t="shared" si="9"/>
        <v>-3.7585153640671727E-3</v>
      </c>
      <c r="E644" s="26">
        <f>E643+Step_h*D643</f>
        <v>0.98176563779793846</v>
      </c>
      <c r="J644" s="24">
        <f>ROUND(J643-Step_h,2)</f>
        <v>3.79</v>
      </c>
      <c r="K644" s="24">
        <f>J644+Age</f>
        <v>23.79</v>
      </c>
      <c r="L644" s="19">
        <f>B*c_gom^K644</f>
        <v>3.107680604750846E-3</v>
      </c>
      <c r="M644" s="19">
        <f>N644*delta +Prem-L644*(1-N644)</f>
        <v>1.8697337566074817E-4</v>
      </c>
      <c r="N644" s="26">
        <f>N643-Step_h*M643</f>
        <v>5.5482366591101959E-3</v>
      </c>
      <c r="U644" s="2"/>
      <c r="X644" s="2"/>
    </row>
    <row r="645" spans="1:24" x14ac:dyDescent="0.45">
      <c r="A645" s="24">
        <v>6.22</v>
      </c>
      <c r="B645" s="24">
        <f>A645+Age</f>
        <v>26.22</v>
      </c>
      <c r="C645" s="19">
        <f>B*c_gom^B645</f>
        <v>3.8316229629994916E-3</v>
      </c>
      <c r="D645" s="19">
        <f t="shared" si="9"/>
        <v>-3.7616117499326648E-3</v>
      </c>
      <c r="E645" s="26">
        <f>E644+Step_h*D644</f>
        <v>0.98172805264429774</v>
      </c>
      <c r="J645" s="24">
        <f>ROUND(J644-Step_h,2)</f>
        <v>3.78</v>
      </c>
      <c r="K645" s="24">
        <f>J645+Age</f>
        <v>23.78</v>
      </c>
      <c r="L645" s="19">
        <f>B*c_gom^K645</f>
        <v>3.1050036308420373E-3</v>
      </c>
      <c r="M645" s="19">
        <f>N645*delta +Prem-L645*(1-N645)</f>
        <v>1.8953620486684714E-4</v>
      </c>
      <c r="N645" s="26">
        <f>N644-Step_h*M644</f>
        <v>5.5463669253535885E-3</v>
      </c>
      <c r="U645" s="2"/>
      <c r="X645" s="2"/>
    </row>
    <row r="646" spans="1:24" x14ac:dyDescent="0.45">
      <c r="A646" s="24">
        <v>6.23</v>
      </c>
      <c r="B646" s="24">
        <f>A646+Age</f>
        <v>26.23</v>
      </c>
      <c r="C646" s="19">
        <f>B*c_gom^B646</f>
        <v>3.8349263906021082E-3</v>
      </c>
      <c r="D646" s="19">
        <f t="shared" si="9"/>
        <v>-3.764710562438323E-3</v>
      </c>
      <c r="E646" s="26">
        <f>E645+Step_h*D645</f>
        <v>0.98169043652679844</v>
      </c>
      <c r="J646" s="24">
        <f>ROUND(J645-Step_h,2)</f>
        <v>3.77</v>
      </c>
      <c r="K646" s="24">
        <f>J646+Age</f>
        <v>23.77</v>
      </c>
      <c r="L646" s="19">
        <f>B*c_gom^K646</f>
        <v>3.1023289628939162E-3</v>
      </c>
      <c r="M646" s="19">
        <f>N646*delta +Prem-L646*(1-N646)</f>
        <v>1.9209538998611218E-4</v>
      </c>
      <c r="N646" s="26">
        <f>N645-Step_h*M645</f>
        <v>5.5444715633049197E-3</v>
      </c>
      <c r="U646" s="2"/>
      <c r="X646" s="2"/>
    </row>
    <row r="647" spans="1:24" x14ac:dyDescent="0.45">
      <c r="A647" s="24">
        <v>6.24</v>
      </c>
      <c r="B647" s="24">
        <f>A647+Age</f>
        <v>26.240000000000002</v>
      </c>
      <c r="C647" s="19">
        <f>B*c_gom^B647</f>
        <v>3.8382326662495412E-3</v>
      </c>
      <c r="D647" s="19">
        <f t="shared" si="9"/>
        <v>-3.7678118032713325E-3</v>
      </c>
      <c r="E647" s="26">
        <f>E646+Step_h*D646</f>
        <v>0.98165278942117407</v>
      </c>
      <c r="J647" s="24">
        <f>ROUND(J646-Step_h,2)</f>
        <v>3.76</v>
      </c>
      <c r="K647" s="24">
        <f>J647+Age</f>
        <v>23.759999999999998</v>
      </c>
      <c r="L647" s="19">
        <f>B*c_gom^K647</f>
        <v>3.0996565989201176E-3</v>
      </c>
      <c r="M647" s="19">
        <f>N647*delta +Prem-L647*(1-N647)</f>
        <v>1.9465093512142668E-4</v>
      </c>
      <c r="N647" s="26">
        <f>N646-Step_h*M646</f>
        <v>5.5425506094050588E-3</v>
      </c>
      <c r="U647" s="2"/>
      <c r="X647" s="2"/>
    </row>
    <row r="648" spans="1:24" x14ac:dyDescent="0.45">
      <c r="A648" s="24">
        <v>6.25</v>
      </c>
      <c r="B648" s="24">
        <f>A648+Age</f>
        <v>26.25</v>
      </c>
      <c r="C648" s="19">
        <f>B*c_gom^B648</f>
        <v>3.8415417923972294E-3</v>
      </c>
      <c r="D648" s="19">
        <f t="shared" si="9"/>
        <v>-3.7709154741196755E-3</v>
      </c>
      <c r="E648" s="26">
        <f>E647+Step_h*D647</f>
        <v>0.98161511130314139</v>
      </c>
      <c r="J648" s="24">
        <f>ROUND(J647-Step_h,2)</f>
        <v>3.75</v>
      </c>
      <c r="K648" s="24">
        <f>J648+Age</f>
        <v>23.75</v>
      </c>
      <c r="L648" s="19">
        <f>B*c_gom^K648</f>
        <v>3.0969865369359834E-3</v>
      </c>
      <c r="M648" s="19">
        <f>N648*delta +Prem-L648*(1-N648)</f>
        <v>1.9720284437106791E-4</v>
      </c>
      <c r="N648" s="26">
        <f>N647-Step_h*M647</f>
        <v>5.5406041000538447E-3</v>
      </c>
      <c r="U648" s="2"/>
      <c r="X648" s="2"/>
    </row>
    <row r="649" spans="1:24" x14ac:dyDescent="0.45">
      <c r="A649" s="24">
        <v>6.26</v>
      </c>
      <c r="B649" s="24">
        <f>A649+Age</f>
        <v>26.259999999999998</v>
      </c>
      <c r="C649" s="19">
        <f>B*c_gom^B649</f>
        <v>3.8448537715027281E-3</v>
      </c>
      <c r="D649" s="19">
        <f t="shared" si="9"/>
        <v>-3.7740215766721265E-3</v>
      </c>
      <c r="E649" s="26">
        <f>E648+Step_h*D648</f>
        <v>0.98157740214840017</v>
      </c>
      <c r="J649" s="24">
        <f>ROUND(J648-Step_h,2)</f>
        <v>3.74</v>
      </c>
      <c r="K649" s="24">
        <f>J649+Age</f>
        <v>23.740000000000002</v>
      </c>
      <c r="L649" s="19">
        <f>B*c_gom^K649</f>
        <v>3.0943187749585665E-3</v>
      </c>
      <c r="M649" s="19">
        <f>N649*delta +Prem-L649*(1-N649)</f>
        <v>1.9975112182871093E-4</v>
      </c>
      <c r="N649" s="26">
        <f>N648-Step_h*M648</f>
        <v>5.5386320716101344E-3</v>
      </c>
      <c r="U649" s="2"/>
      <c r="X649" s="2"/>
    </row>
    <row r="650" spans="1:24" x14ac:dyDescent="0.45">
      <c r="A650" s="24">
        <v>6.2700000000000005</v>
      </c>
      <c r="B650" s="24">
        <f>A650+Age</f>
        <v>26.27</v>
      </c>
      <c r="C650" s="19">
        <f>B*c_gom^B650</f>
        <v>3.8481686060257113E-3</v>
      </c>
      <c r="D650" s="19">
        <f t="shared" si="9"/>
        <v>-3.7771301126182499E-3</v>
      </c>
      <c r="E650" s="26">
        <f>E649+Step_h*D649</f>
        <v>0.98153966193263342</v>
      </c>
      <c r="J650" s="24">
        <f>ROUND(J649-Step_h,2)</f>
        <v>3.73</v>
      </c>
      <c r="K650" s="24">
        <f>J650+Age</f>
        <v>23.73</v>
      </c>
      <c r="L650" s="19">
        <f>B*c_gom^K650</f>
        <v>3.0916533110066269E-3</v>
      </c>
      <c r="M650" s="19">
        <f>N650*delta +Prem-L650*(1-N650)</f>
        <v>2.0229577158343507E-4</v>
      </c>
      <c r="N650" s="26">
        <f>N649-Step_h*M649</f>
        <v>5.536634560391847E-3</v>
      </c>
      <c r="U650" s="2"/>
      <c r="X650" s="2"/>
    </row>
    <row r="651" spans="1:24" x14ac:dyDescent="0.45">
      <c r="A651" s="24">
        <v>6.28</v>
      </c>
      <c r="B651" s="24">
        <f>A651+Age</f>
        <v>26.28</v>
      </c>
      <c r="C651" s="19">
        <f>B*c_gom^B651</f>
        <v>3.8514862984279689E-3</v>
      </c>
      <c r="D651" s="19">
        <f t="shared" si="9"/>
        <v>-3.780241083648397E-3</v>
      </c>
      <c r="E651" s="26">
        <f>E650+Step_h*D650</f>
        <v>0.98150189063150728</v>
      </c>
      <c r="J651" s="24">
        <f>ROUND(J650-Step_h,2)</f>
        <v>3.72</v>
      </c>
      <c r="K651" s="24">
        <f>J651+Age</f>
        <v>23.72</v>
      </c>
      <c r="L651" s="19">
        <f>B*c_gom^K651</f>
        <v>3.0889901431006349E-3</v>
      </c>
      <c r="M651" s="19">
        <f>N651*delta +Prem-L651*(1-N651)</f>
        <v>2.0483679771972222E-4</v>
      </c>
      <c r="N651" s="26">
        <f>N650-Step_h*M650</f>
        <v>5.5346116026760124E-3</v>
      </c>
      <c r="U651" s="2"/>
      <c r="X651" s="2"/>
    </row>
    <row r="652" spans="1:24" x14ac:dyDescent="0.45">
      <c r="A652" s="24">
        <v>6.29</v>
      </c>
      <c r="B652" s="24">
        <f>A652+Age</f>
        <v>26.29</v>
      </c>
      <c r="C652" s="19">
        <f>B*c_gom^B652</f>
        <v>3.8548068511734196E-3</v>
      </c>
      <c r="D652" s="19">
        <f t="shared" si="9"/>
        <v>-3.783354491453715E-3</v>
      </c>
      <c r="E652" s="26">
        <f>E651+Step_h*D651</f>
        <v>0.98146408822067077</v>
      </c>
      <c r="J652" s="24">
        <f>ROUND(J651-Step_h,2)</f>
        <v>3.71</v>
      </c>
      <c r="K652" s="24">
        <f>J652+Age</f>
        <v>23.71</v>
      </c>
      <c r="L652" s="19">
        <f>B*c_gom^K652</f>
        <v>3.0863292692627615E-3</v>
      </c>
      <c r="M652" s="19">
        <f>N652*delta +Prem-L652*(1-N652)</f>
        <v>2.0737420431747762E-4</v>
      </c>
      <c r="N652" s="26">
        <f>N651-Step_h*M651</f>
        <v>5.532563234698815E-3</v>
      </c>
      <c r="U652" s="2"/>
      <c r="X652" s="2"/>
    </row>
    <row r="653" spans="1:24" x14ac:dyDescent="0.45">
      <c r="A653" s="24">
        <v>6.3</v>
      </c>
      <c r="B653" s="24">
        <f>A653+Age</f>
        <v>26.3</v>
      </c>
      <c r="C653" s="19">
        <f>B*c_gom^B653</f>
        <v>3.8581302667281044E-3</v>
      </c>
      <c r="D653" s="19">
        <f t="shared" si="9"/>
        <v>-3.7864703377261401E-3</v>
      </c>
      <c r="E653" s="26">
        <f>E652+Step_h*D652</f>
        <v>0.98142625467575628</v>
      </c>
      <c r="J653" s="24">
        <f>ROUND(J652-Step_h,2)</f>
        <v>3.7</v>
      </c>
      <c r="K653" s="24">
        <f>J653+Age</f>
        <v>23.7</v>
      </c>
      <c r="L653" s="19">
        <f>B*c_gom^K653</f>
        <v>3.0836706875168821E-3</v>
      </c>
      <c r="M653" s="19">
        <f>N653*delta +Prem-L653*(1-N653)</f>
        <v>2.0990799545202252E-4</v>
      </c>
      <c r="N653" s="26">
        <f>N652-Step_h*M652</f>
        <v>5.5304894926556398E-3</v>
      </c>
      <c r="U653" s="2"/>
      <c r="X653" s="2"/>
    </row>
    <row r="654" spans="1:24" x14ac:dyDescent="0.45">
      <c r="A654" s="24">
        <v>6.3100000000000005</v>
      </c>
      <c r="B654" s="24">
        <f>A654+Age</f>
        <v>26.310000000000002</v>
      </c>
      <c r="C654" s="19">
        <f>B*c_gom^B654</f>
        <v>3.8614565475601874E-3</v>
      </c>
      <c r="D654" s="19">
        <f t="shared" si="9"/>
        <v>-3.7895886241583934E-3</v>
      </c>
      <c r="E654" s="26">
        <f>E653+Step_h*D653</f>
        <v>0.98138838997237898</v>
      </c>
      <c r="J654" s="24">
        <f>ROUND(J653-Step_h,2)</f>
        <v>3.69</v>
      </c>
      <c r="K654" s="24">
        <f>J654+Age</f>
        <v>23.69</v>
      </c>
      <c r="L654" s="19">
        <f>B*c_gom^K654</f>
        <v>3.0810143958885797E-3</v>
      </c>
      <c r="M654" s="19">
        <f>N654*delta +Prem-L654*(1-N654)</f>
        <v>2.1243817519410067E-4</v>
      </c>
      <c r="N654" s="26">
        <f>N653-Step_h*M653</f>
        <v>5.5283904127011192E-3</v>
      </c>
      <c r="U654" s="2"/>
      <c r="X654" s="2"/>
    </row>
    <row r="655" spans="1:24" x14ac:dyDescent="0.45">
      <c r="A655" s="24">
        <v>6.32</v>
      </c>
      <c r="B655" s="24">
        <f>A655+Age</f>
        <v>26.32</v>
      </c>
      <c r="C655" s="19">
        <f>B*c_gom^B655</f>
        <v>3.8647856961399633E-3</v>
      </c>
      <c r="D655" s="19">
        <f t="shared" si="9"/>
        <v>-3.7927093524439894E-3</v>
      </c>
      <c r="E655" s="26">
        <f>E654+Step_h*D654</f>
        <v>0.98135049408613739</v>
      </c>
      <c r="J655" s="24">
        <f>ROUND(J654-Step_h,2)</f>
        <v>3.68</v>
      </c>
      <c r="K655" s="24">
        <f>J655+Age</f>
        <v>23.68</v>
      </c>
      <c r="L655" s="19">
        <f>B*c_gom^K655</f>
        <v>3.0783603924051288E-3</v>
      </c>
      <c r="M655" s="19">
        <f>N655*delta +Prem-L655*(1-N655)</f>
        <v>2.1496474760989825E-4</v>
      </c>
      <c r="N655" s="26">
        <f>N654-Step_h*M654</f>
        <v>5.5262660309491783E-3</v>
      </c>
      <c r="U655" s="2"/>
      <c r="X655" s="2"/>
    </row>
    <row r="656" spans="1:24" x14ac:dyDescent="0.45">
      <c r="A656" s="24">
        <v>6.33</v>
      </c>
      <c r="B656" s="24">
        <f>A656+Age</f>
        <v>26.33</v>
      </c>
      <c r="C656" s="19">
        <f>B*c_gom^B656</f>
        <v>3.8681177149398572E-3</v>
      </c>
      <c r="D656" s="19">
        <f t="shared" si="9"/>
        <v>-3.7958325242772313E-3</v>
      </c>
      <c r="E656" s="26">
        <f>E655+Step_h*D655</f>
        <v>0.98131256699261293</v>
      </c>
      <c r="J656" s="24">
        <f>ROUND(J655-Step_h,2)</f>
        <v>3.67</v>
      </c>
      <c r="K656" s="24">
        <f>J656+Age</f>
        <v>23.67</v>
      </c>
      <c r="L656" s="19">
        <f>B*c_gom^K656</f>
        <v>3.0757086750955115E-3</v>
      </c>
      <c r="M656" s="19">
        <f>N656*delta +Prem-L656*(1-N656)</f>
        <v>2.1748771676102785E-4</v>
      </c>
      <c r="N656" s="26">
        <f>N655-Step_h*M655</f>
        <v>5.5241163834730796E-3</v>
      </c>
      <c r="U656" s="2"/>
      <c r="X656" s="2"/>
    </row>
    <row r="657" spans="1:24" x14ac:dyDescent="0.45">
      <c r="A657" s="24">
        <v>6.34</v>
      </c>
      <c r="B657" s="24">
        <f>A657+Age</f>
        <v>26.34</v>
      </c>
      <c r="C657" s="19">
        <f>B*c_gom^B657</f>
        <v>3.8714526064344244E-3</v>
      </c>
      <c r="D657" s="19">
        <f t="shared" si="9"/>
        <v>-3.7989581413532102E-3</v>
      </c>
      <c r="E657" s="26">
        <f>E656+Step_h*D656</f>
        <v>0.98127460866737015</v>
      </c>
      <c r="J657" s="24">
        <f>ROUND(J656-Step_h,2)</f>
        <v>3.66</v>
      </c>
      <c r="K657" s="24">
        <f>J657+Age</f>
        <v>23.66</v>
      </c>
      <c r="L657" s="19">
        <f>B*c_gom^K657</f>
        <v>3.0730592419904042E-3</v>
      </c>
      <c r="M657" s="19">
        <f>N657*delta +Prem-L657*(1-N657)</f>
        <v>2.2000708670455189E-4</v>
      </c>
      <c r="N657" s="26">
        <f>N656-Step_h*M656</f>
        <v>5.5219415063054696E-3</v>
      </c>
      <c r="U657" s="2"/>
      <c r="X657" s="2"/>
    </row>
    <row r="658" spans="1:24" x14ac:dyDescent="0.45">
      <c r="A658" s="24">
        <v>6.3500000000000005</v>
      </c>
      <c r="B658" s="24">
        <f>A658+Age</f>
        <v>26.35</v>
      </c>
      <c r="C658" s="19">
        <f>B*c_gom^B658</f>
        <v>3.8747903731003557E-3</v>
      </c>
      <c r="D658" s="19">
        <f t="shared" si="9"/>
        <v>-3.8020862053678053E-3</v>
      </c>
      <c r="E658" s="26">
        <f>E657+Step_h*D657</f>
        <v>0.98123661908595661</v>
      </c>
      <c r="J658" s="24">
        <f>ROUND(J657-Step_h,2)</f>
        <v>3.65</v>
      </c>
      <c r="K658" s="24">
        <f>J658+Age</f>
        <v>23.65</v>
      </c>
      <c r="L658" s="19">
        <f>B*c_gom^K658</f>
        <v>3.0704120911221782E-3</v>
      </c>
      <c r="M658" s="19">
        <f>N658*delta +Prem-L658*(1-N658)</f>
        <v>2.2252286149298129E-4</v>
      </c>
      <c r="N658" s="26">
        <f>N657-Step_h*M657</f>
        <v>5.5197414354384239E-3</v>
      </c>
      <c r="U658" s="2"/>
      <c r="X658" s="2"/>
    </row>
    <row r="659" spans="1:24" x14ac:dyDescent="0.45">
      <c r="A659" s="24">
        <v>6.36</v>
      </c>
      <c r="B659" s="24">
        <f>A659+Age</f>
        <v>26.36</v>
      </c>
      <c r="C659" s="19">
        <f>B*c_gom^B659</f>
        <v>3.8781310174164718E-3</v>
      </c>
      <c r="D659" s="19">
        <f t="shared" si="9"/>
        <v>-3.8052167180176811E-3</v>
      </c>
      <c r="E659" s="26">
        <f>E658+Step_h*D658</f>
        <v>0.98119859822390298</v>
      </c>
      <c r="J659" s="24">
        <f>ROUND(J658-Step_h,2)</f>
        <v>3.64</v>
      </c>
      <c r="K659" s="24">
        <f>J659+Age</f>
        <v>23.64</v>
      </c>
      <c r="L659" s="19">
        <f>B*c_gom^K659</f>
        <v>3.0677672205249038E-3</v>
      </c>
      <c r="M659" s="19">
        <f>N659*delta +Prem-L659*(1-N659)</f>
        <v>2.2503504517427941E-4</v>
      </c>
      <c r="N659" s="26">
        <f>N658-Step_h*M658</f>
        <v>5.5175162068234942E-3</v>
      </c>
      <c r="U659" s="2"/>
      <c r="X659" s="2"/>
    </row>
    <row r="660" spans="1:24" x14ac:dyDescent="0.45">
      <c r="A660" s="24">
        <v>6.37</v>
      </c>
      <c r="B660" s="24">
        <f>A660+Age</f>
        <v>26.37</v>
      </c>
      <c r="C660" s="19">
        <f>B*c_gom^B660</f>
        <v>3.8814745418637368E-3</v>
      </c>
      <c r="D660" s="19">
        <f t="shared" si="9"/>
        <v>-3.8083496810002917E-3</v>
      </c>
      <c r="E660" s="26">
        <f>E659+Step_h*D659</f>
        <v>0.98116054605672276</v>
      </c>
      <c r="J660" s="24">
        <f>ROUND(J659-Step_h,2)</f>
        <v>3.63</v>
      </c>
      <c r="K660" s="24">
        <f>J660+Age</f>
        <v>23.63</v>
      </c>
      <c r="L660" s="19">
        <f>B*c_gom^K660</f>
        <v>3.0651246282343411E-3</v>
      </c>
      <c r="M660" s="19">
        <f>N660*delta +Prem-L660*(1-N660)</f>
        <v>2.2754364179187157E-4</v>
      </c>
      <c r="N660" s="26">
        <f>N659-Step_h*M659</f>
        <v>5.5152658563717514E-3</v>
      </c>
      <c r="U660" s="2"/>
      <c r="X660" s="2"/>
    </row>
    <row r="661" spans="1:24" x14ac:dyDescent="0.45">
      <c r="A661" s="24">
        <v>6.38</v>
      </c>
      <c r="B661" s="24">
        <f>A661+Age</f>
        <v>26.38</v>
      </c>
      <c r="C661" s="19">
        <f>B*c_gom^B661</f>
        <v>3.8848209489252498E-3</v>
      </c>
      <c r="D661" s="19">
        <f t="shared" si="9"/>
        <v>-3.8114850960138781E-3</v>
      </c>
      <c r="E661" s="26">
        <f>E660+Step_h*D660</f>
        <v>0.98112246255991276</v>
      </c>
      <c r="J661" s="24">
        <f>ROUND(J660-Step_h,2)</f>
        <v>3.62</v>
      </c>
      <c r="K661" s="24">
        <f>J661+Age</f>
        <v>23.62</v>
      </c>
      <c r="L661" s="19">
        <f>B*c_gom^K661</f>
        <v>3.0624843122879449E-3</v>
      </c>
      <c r="M661" s="19">
        <f>N661*delta +Prem-L661*(1-N661)</f>
        <v>2.3004865538464895E-4</v>
      </c>
      <c r="N661" s="26">
        <f>N660-Step_h*M660</f>
        <v>5.5129904199538327E-3</v>
      </c>
      <c r="U661" s="2"/>
      <c r="X661" s="2"/>
    </row>
    <row r="662" spans="1:24" x14ac:dyDescent="0.45">
      <c r="A662" s="24">
        <v>6.3900000000000006</v>
      </c>
      <c r="B662" s="24">
        <f>A662+Age</f>
        <v>26.39</v>
      </c>
      <c r="C662" s="19">
        <f>B*c_gom^B662</f>
        <v>3.8881702410862554E-3</v>
      </c>
      <c r="D662" s="19">
        <f t="shared" si="9"/>
        <v>-3.8146229647574698E-3</v>
      </c>
      <c r="E662" s="26">
        <f>E661+Step_h*D661</f>
        <v>0.98108434770895259</v>
      </c>
      <c r="J662" s="24">
        <f>ROUND(J661-Step_h,2)</f>
        <v>3.61</v>
      </c>
      <c r="K662" s="24">
        <f>J662+Age</f>
        <v>23.61</v>
      </c>
      <c r="L662" s="19">
        <f>B*c_gom^K662</f>
        <v>3.0598462707248572E-3</v>
      </c>
      <c r="M662" s="19">
        <f>N662*delta +Prem-L662*(1-N662)</f>
        <v>2.3255008998697728E-4</v>
      </c>
      <c r="N662" s="26">
        <f>N661-Step_h*M661</f>
        <v>5.5106899333999858E-3</v>
      </c>
      <c r="U662" s="2"/>
      <c r="X662" s="2"/>
    </row>
    <row r="663" spans="1:24" x14ac:dyDescent="0.45">
      <c r="A663" s="24">
        <v>6.4</v>
      </c>
      <c r="B663" s="24">
        <f>A663+Age</f>
        <v>26.4</v>
      </c>
      <c r="C663" s="19">
        <f>B*c_gom^B663</f>
        <v>3.8915224208341329E-3</v>
      </c>
      <c r="D663" s="19">
        <f t="shared" si="9"/>
        <v>-3.8177632889308754E-3</v>
      </c>
      <c r="E663" s="26">
        <f>E662+Step_h*D662</f>
        <v>0.98104620147930499</v>
      </c>
      <c r="J663" s="24">
        <f>ROUND(J662-Step_h,2)</f>
        <v>3.6</v>
      </c>
      <c r="K663" s="24">
        <f>J663+Age</f>
        <v>23.6</v>
      </c>
      <c r="L663" s="19">
        <f>B*c_gom^K663</f>
        <v>3.0572105015859133E-3</v>
      </c>
      <c r="M663" s="19">
        <f>N663*delta +Prem-L663*(1-N663)</f>
        <v>2.3504794962869464E-4</v>
      </c>
      <c r="N663" s="26">
        <f>N662-Step_h*M662</f>
        <v>5.5083644325001164E-3</v>
      </c>
      <c r="U663" s="2"/>
      <c r="X663" s="2"/>
    </row>
    <row r="664" spans="1:24" x14ac:dyDescent="0.45">
      <c r="A664" s="24">
        <v>6.41</v>
      </c>
      <c r="B664" s="24">
        <f>A664+Age</f>
        <v>26.41</v>
      </c>
      <c r="C664" s="19">
        <f>B*c_gom^B664</f>
        <v>3.8948774906584129E-3</v>
      </c>
      <c r="D664" s="19">
        <f t="shared" ref="D664:D727" si="10">-E664*C664</f>
        <v>-3.8209060702346963E-3</v>
      </c>
      <c r="E664" s="26">
        <f>E663+Step_h*D663</f>
        <v>0.98100802384641572</v>
      </c>
      <c r="J664" s="24">
        <f>ROUND(J663-Step_h,2)</f>
        <v>3.59</v>
      </c>
      <c r="K664" s="24">
        <f>J664+Age</f>
        <v>23.59</v>
      </c>
      <c r="L664" s="19">
        <f>B*c_gom^K664</f>
        <v>3.0545770029136335E-3</v>
      </c>
      <c r="M664" s="19">
        <f>N664*delta +Prem-L664*(1-N664)</f>
        <v>2.3754223833512538E-4</v>
      </c>
      <c r="N664" s="26">
        <f>N663-Step_h*M663</f>
        <v>5.5060139530038292E-3</v>
      </c>
      <c r="U664" s="2"/>
      <c r="X664" s="2"/>
    </row>
    <row r="665" spans="1:24" x14ac:dyDescent="0.45">
      <c r="A665" s="24">
        <v>6.42</v>
      </c>
      <c r="B665" s="24">
        <f>A665+Age</f>
        <v>26.42</v>
      </c>
      <c r="C665" s="19">
        <f>B*c_gom^B665</f>
        <v>3.8982354530507717E-3</v>
      </c>
      <c r="D665" s="19">
        <f t="shared" si="10"/>
        <v>-3.8240513103703169E-3</v>
      </c>
      <c r="E665" s="26">
        <f>E664+Step_h*D664</f>
        <v>0.98096981478571332</v>
      </c>
      <c r="J665" s="24">
        <f>ROUND(J664-Step_h,2)</f>
        <v>3.58</v>
      </c>
      <c r="K665" s="24">
        <f>J665+Age</f>
        <v>23.58</v>
      </c>
      <c r="L665" s="19">
        <f>B*c_gom^K665</f>
        <v>3.0519457727522224E-3</v>
      </c>
      <c r="M665" s="19">
        <f>N665*delta +Prem-L665*(1-N665)</f>
        <v>2.4003296012708531E-4</v>
      </c>
      <c r="N665" s="26">
        <f>N664-Step_h*M664</f>
        <v>5.503638530620478E-3</v>
      </c>
      <c r="U665" s="2"/>
      <c r="X665" s="2"/>
    </row>
    <row r="666" spans="1:24" x14ac:dyDescent="0.45">
      <c r="A666" s="24">
        <v>6.43</v>
      </c>
      <c r="B666" s="24">
        <f>A666+Age</f>
        <v>26.43</v>
      </c>
      <c r="C666" s="19">
        <f>B*c_gom^B666</f>
        <v>3.9015963105050286E-3</v>
      </c>
      <c r="D666" s="19">
        <f t="shared" si="10"/>
        <v>-3.8271990110399028E-3</v>
      </c>
      <c r="E666" s="26">
        <f>E665+Step_h*D665</f>
        <v>0.98093157427260957</v>
      </c>
      <c r="J666" s="24">
        <f>ROUND(J665-Step_h,2)</f>
        <v>3.57</v>
      </c>
      <c r="K666" s="24">
        <f>J666+Age</f>
        <v>23.57</v>
      </c>
      <c r="L666" s="19">
        <f>B*c_gom^K666</f>
        <v>3.0493168091475756E-3</v>
      </c>
      <c r="M666" s="19">
        <f>N666*delta +Prem-L666*(1-N666)</f>
        <v>2.4252011902087776E-4</v>
      </c>
      <c r="N666" s="26">
        <f>N665-Step_h*M665</f>
        <v>5.5012382010192068E-3</v>
      </c>
      <c r="U666" s="2"/>
      <c r="X666" s="2"/>
    </row>
    <row r="667" spans="1:24" x14ac:dyDescent="0.45">
      <c r="A667" s="24">
        <v>6.44</v>
      </c>
      <c r="B667" s="24">
        <f>A667+Age</f>
        <v>26.44</v>
      </c>
      <c r="C667" s="19">
        <f>B*c_gom^B667</f>
        <v>3.9049600655171584E-3</v>
      </c>
      <c r="D667" s="19">
        <f t="shared" si="10"/>
        <v>-3.8303491739464096E-3</v>
      </c>
      <c r="E667" s="26">
        <f>E666+Step_h*D666</f>
        <v>0.98089330228249916</v>
      </c>
      <c r="J667" s="24">
        <f>ROUND(J666-Step_h,2)</f>
        <v>3.56</v>
      </c>
      <c r="K667" s="24">
        <f>J667+Age</f>
        <v>23.56</v>
      </c>
      <c r="L667" s="19">
        <f>B*c_gom^K667</f>
        <v>3.0466901101472662E-3</v>
      </c>
      <c r="M667" s="19">
        <f>N667*delta +Prem-L667*(1-N667)</f>
        <v>2.450037190283123E-4</v>
      </c>
      <c r="N667" s="26">
        <f>N666-Step_h*M666</f>
        <v>5.4988129998289979E-3</v>
      </c>
      <c r="U667" s="2"/>
      <c r="X667" s="2"/>
    </row>
    <row r="668" spans="1:24" x14ac:dyDescent="0.45">
      <c r="A668" s="24">
        <v>6.45</v>
      </c>
      <c r="B668" s="24">
        <f>A668+Age</f>
        <v>26.45</v>
      </c>
      <c r="C668" s="19">
        <f>B*c_gom^B668</f>
        <v>3.908326720585286E-3</v>
      </c>
      <c r="D668" s="19">
        <f t="shared" si="10"/>
        <v>-3.8335018007935743E-3</v>
      </c>
      <c r="E668" s="26">
        <f>E667+Step_h*D667</f>
        <v>0.98085499879075966</v>
      </c>
      <c r="J668" s="24">
        <f>ROUND(J667-Step_h,2)</f>
        <v>3.55</v>
      </c>
      <c r="K668" s="24">
        <f>J668+Age</f>
        <v>23.55</v>
      </c>
      <c r="L668" s="19">
        <f>B*c_gom^K668</f>
        <v>3.0440656738005508E-3</v>
      </c>
      <c r="M668" s="19">
        <f>N668*delta +Prem-L668*(1-N668)</f>
        <v>2.4748376415670206E-4</v>
      </c>
      <c r="N668" s="26">
        <f>N667-Step_h*M667</f>
        <v>5.4963629626387147E-3</v>
      </c>
      <c r="U668" s="2"/>
      <c r="X668" s="2"/>
    </row>
    <row r="669" spans="1:24" x14ac:dyDescent="0.45">
      <c r="A669" s="24">
        <v>6.46</v>
      </c>
      <c r="B669" s="24">
        <f>A669+Age</f>
        <v>26.46</v>
      </c>
      <c r="C669" s="19">
        <f>B*c_gom^B669</f>
        <v>3.9116962782096924E-3</v>
      </c>
      <c r="D669" s="19">
        <f t="shared" si="10"/>
        <v>-3.83665689328592E-3</v>
      </c>
      <c r="E669" s="26">
        <f>E668+Step_h*D668</f>
        <v>0.98081666377275167</v>
      </c>
      <c r="J669" s="24">
        <f>ROUND(J668-Step_h,2)</f>
        <v>3.54</v>
      </c>
      <c r="K669" s="24">
        <f>J669+Age</f>
        <v>23.54</v>
      </c>
      <c r="L669" s="19">
        <f>B*c_gom^K669</f>
        <v>3.0414434981583657E-3</v>
      </c>
      <c r="M669" s="19">
        <f>N669*delta +Prem-L669*(1-N669)</f>
        <v>2.4996025840887375E-4</v>
      </c>
      <c r="N669" s="26">
        <f>N668-Step_h*M668</f>
        <v>5.4938881249971478E-3</v>
      </c>
      <c r="U669" s="2"/>
      <c r="X669" s="2"/>
    </row>
    <row r="670" spans="1:24" x14ac:dyDescent="0.45">
      <c r="A670" s="24">
        <v>6.47</v>
      </c>
      <c r="B670" s="24">
        <f>A670+Age</f>
        <v>26.47</v>
      </c>
      <c r="C670" s="19">
        <f>B*c_gom^B670</f>
        <v>3.915068740892807E-3</v>
      </c>
      <c r="D670" s="19">
        <f t="shared" si="10"/>
        <v>-3.8398144531287463E-3</v>
      </c>
      <c r="E670" s="26">
        <f>E669+Step_h*D669</f>
        <v>0.98077829720381882</v>
      </c>
      <c r="J670" s="24">
        <f>ROUND(J669-Step_h,2)</f>
        <v>3.53</v>
      </c>
      <c r="K670" s="24">
        <f>J670+Age</f>
        <v>23.53</v>
      </c>
      <c r="L670" s="19">
        <f>B*c_gom^K670</f>
        <v>3.0388235812733298E-3</v>
      </c>
      <c r="M670" s="19">
        <f>N670*delta +Prem-L670*(1-N670)</f>
        <v>2.5243320578316551E-4</v>
      </c>
      <c r="N670" s="26">
        <f>N669-Step_h*M669</f>
        <v>5.4913885224130588E-3</v>
      </c>
      <c r="U670" s="2"/>
      <c r="X670" s="2"/>
    </row>
    <row r="671" spans="1:24" x14ac:dyDescent="0.45">
      <c r="A671" s="24">
        <v>6.48</v>
      </c>
      <c r="B671" s="24">
        <f>A671+Age</f>
        <v>26.48</v>
      </c>
      <c r="C671" s="19">
        <f>B*c_gom^B671</f>
        <v>3.9184441111392247E-3</v>
      </c>
      <c r="D671" s="19">
        <f t="shared" si="10"/>
        <v>-3.8429744820281425E-3</v>
      </c>
      <c r="E671" s="26">
        <f>E670+Step_h*D670</f>
        <v>0.98073989905928749</v>
      </c>
      <c r="J671" s="24">
        <f>ROUND(J670-Step_h,2)</f>
        <v>3.52</v>
      </c>
      <c r="K671" s="24">
        <f>J671+Age</f>
        <v>23.52</v>
      </c>
      <c r="L671" s="19">
        <f>B*c_gom^K671</f>
        <v>3.0362059211997351E-3</v>
      </c>
      <c r="M671" s="19">
        <f>N671*delta +Prem-L671*(1-N671)</f>
        <v>2.5490261027344375E-4</v>
      </c>
      <c r="N671" s="26">
        <f>N670-Step_h*M670</f>
        <v>5.4888641903552268E-3</v>
      </c>
      <c r="U671" s="2"/>
      <c r="X671" s="2"/>
    </row>
    <row r="672" spans="1:24" x14ac:dyDescent="0.45">
      <c r="A672" s="24">
        <v>6.49</v>
      </c>
      <c r="B672" s="24">
        <f>A672+Age</f>
        <v>26.490000000000002</v>
      </c>
      <c r="C672" s="19">
        <f>B*c_gom^B672</f>
        <v>3.9218223914556979E-3</v>
      </c>
      <c r="D672" s="19">
        <f t="shared" si="10"/>
        <v>-3.8461369816909807E-3</v>
      </c>
      <c r="E672" s="26">
        <f>E671+Step_h*D671</f>
        <v>0.98070146931446722</v>
      </c>
      <c r="J672" s="24">
        <f>ROUND(J671-Step_h,2)</f>
        <v>3.51</v>
      </c>
      <c r="K672" s="24">
        <f>J672+Age</f>
        <v>23.509999999999998</v>
      </c>
      <c r="L672" s="19">
        <f>B*c_gom^K672</f>
        <v>3.0335905159935496E-3</v>
      </c>
      <c r="M672" s="19">
        <f>N672*delta +Prem-L672*(1-N672)</f>
        <v>2.5736847586910281E-4</v>
      </c>
      <c r="N672" s="26">
        <f>N671-Step_h*M671</f>
        <v>5.4863151642524921E-3</v>
      </c>
      <c r="U672" s="2"/>
      <c r="X672" s="2"/>
    </row>
    <row r="673" spans="1:24" x14ac:dyDescent="0.45">
      <c r="A673" s="24">
        <v>6.5</v>
      </c>
      <c r="B673" s="24">
        <f>A673+Age</f>
        <v>26.5</v>
      </c>
      <c r="C673" s="19">
        <f>B*c_gom^B673</f>
        <v>3.9252035843511347E-3</v>
      </c>
      <c r="D673" s="19">
        <f t="shared" si="10"/>
        <v>-3.8493019538249069E-3</v>
      </c>
      <c r="E673" s="26">
        <f>E672+Step_h*D672</f>
        <v>0.98066300794465033</v>
      </c>
      <c r="J673" s="24">
        <f>ROUND(J672-Step_h,2)</f>
        <v>3.5</v>
      </c>
      <c r="K673" s="24">
        <f>J673+Age</f>
        <v>23.5</v>
      </c>
      <c r="L673" s="19">
        <f>B*c_gom^K673</f>
        <v>3.0309773637124207E-3</v>
      </c>
      <c r="M673" s="19">
        <f>N673*delta +Prem-L673*(1-N673)</f>
        <v>2.5983080655506618E-4</v>
      </c>
      <c r="N673" s="26">
        <f>N672-Step_h*M672</f>
        <v>5.4837414794938009E-3</v>
      </c>
      <c r="U673" s="2"/>
      <c r="X673" s="2"/>
    </row>
    <row r="674" spans="1:24" x14ac:dyDescent="0.45">
      <c r="A674" s="24">
        <v>6.51</v>
      </c>
      <c r="B674" s="24">
        <f>A674+Age</f>
        <v>26.509999999999998</v>
      </c>
      <c r="C674" s="19">
        <f>B*c_gom^B674</f>
        <v>3.9285876923366115E-3</v>
      </c>
      <c r="D674" s="19">
        <f t="shared" si="10"/>
        <v>-3.852469400138355E-3</v>
      </c>
      <c r="E674" s="26">
        <f>E673+Step_h*D673</f>
        <v>0.98062451492511205</v>
      </c>
      <c r="J674" s="24">
        <f>ROUND(J673-Step_h,2)</f>
        <v>3.49</v>
      </c>
      <c r="K674" s="24">
        <f>J674+Age</f>
        <v>23.490000000000002</v>
      </c>
      <c r="L674" s="19">
        <f>B*c_gom^K674</f>
        <v>3.0283664624156659E-3</v>
      </c>
      <c r="M674" s="19">
        <f>N674*delta +Prem-L674*(1-N674)</f>
        <v>2.6228960631179826E-4</v>
      </c>
      <c r="N674" s="26">
        <f>N673-Step_h*M673</f>
        <v>5.48114317142825E-3</v>
      </c>
      <c r="U674" s="2"/>
      <c r="X674" s="2"/>
    </row>
    <row r="675" spans="1:24" x14ac:dyDescent="0.45">
      <c r="A675" s="24">
        <v>6.5200000000000005</v>
      </c>
      <c r="B675" s="24">
        <f>A675+Age</f>
        <v>26.52</v>
      </c>
      <c r="C675" s="19">
        <f>B*c_gom^B675</f>
        <v>3.9319747179253723E-3</v>
      </c>
      <c r="D675" s="19">
        <f t="shared" si="10"/>
        <v>-3.8556393223405433E-3</v>
      </c>
      <c r="E675" s="26">
        <f>E674+Step_h*D674</f>
        <v>0.9805859902311107</v>
      </c>
      <c r="J675" s="24">
        <f>ROUND(J674-Step_h,2)</f>
        <v>3.48</v>
      </c>
      <c r="K675" s="24">
        <f>J675+Age</f>
        <v>23.48</v>
      </c>
      <c r="L675" s="19">
        <f>B*c_gom^K675</f>
        <v>3.0257578101642699E-3</v>
      </c>
      <c r="M675" s="19">
        <f>N675*delta +Prem-L675*(1-N675)</f>
        <v>2.6474487911531605E-4</v>
      </c>
      <c r="N675" s="26">
        <f>N674-Step_h*M674</f>
        <v>5.4785202753651323E-3</v>
      </c>
      <c r="U675" s="2"/>
      <c r="X675" s="2"/>
    </row>
    <row r="676" spans="1:24" x14ac:dyDescent="0.45">
      <c r="A676" s="24">
        <v>6.53</v>
      </c>
      <c r="B676" s="24">
        <f>A676+Age</f>
        <v>26.53</v>
      </c>
      <c r="C676" s="19">
        <f>B*c_gom^B676</f>
        <v>3.9353646636328217E-3</v>
      </c>
      <c r="D676" s="19">
        <f t="shared" si="10"/>
        <v>-3.858811722141464E-3</v>
      </c>
      <c r="E676" s="26">
        <f>E675+Step_h*D675</f>
        <v>0.98054743383788734</v>
      </c>
      <c r="J676" s="24">
        <f>ROUND(J675-Step_h,2)</f>
        <v>3.47</v>
      </c>
      <c r="K676" s="24">
        <f>J676+Age</f>
        <v>23.47</v>
      </c>
      <c r="L676" s="19">
        <f>B*c_gom^K676</f>
        <v>3.0231514050208953E-3</v>
      </c>
      <c r="M676" s="19">
        <f>N676*delta +Prem-L676*(1-N676)</f>
        <v>2.6719662893717657E-4</v>
      </c>
      <c r="N676" s="26">
        <f>N675-Step_h*M675</f>
        <v>5.4758728265739791E-3</v>
      </c>
      <c r="U676" s="2"/>
      <c r="X676" s="2"/>
    </row>
    <row r="677" spans="1:24" x14ac:dyDescent="0.45">
      <c r="A677" s="24">
        <v>6.54</v>
      </c>
      <c r="B677" s="24">
        <f>A677+Age</f>
        <v>26.54</v>
      </c>
      <c r="C677" s="19">
        <f>B*c_gom^B677</f>
        <v>3.9387575319765316E-3</v>
      </c>
      <c r="D677" s="19">
        <f t="shared" si="10"/>
        <v>-3.8619866012518877E-3</v>
      </c>
      <c r="E677" s="26">
        <f>E676+Step_h*D676</f>
        <v>0.98050884572066588</v>
      </c>
      <c r="J677" s="24">
        <f>ROUND(J676-Step_h,2)</f>
        <v>3.46</v>
      </c>
      <c r="K677" s="24">
        <f>J677+Age</f>
        <v>23.46</v>
      </c>
      <c r="L677" s="19">
        <f>B*c_gom^K677</f>
        <v>3.0205472450498725E-3</v>
      </c>
      <c r="M677" s="19">
        <f>N677*delta +Prem-L677*(1-N677)</f>
        <v>2.6964485974449509E-4</v>
      </c>
      <c r="N677" s="26">
        <f>N676-Step_h*M676</f>
        <v>5.4732008602846076E-3</v>
      </c>
      <c r="U677" s="2"/>
      <c r="X677" s="2"/>
    </row>
    <row r="678" spans="1:24" x14ac:dyDescent="0.45">
      <c r="A678" s="24">
        <v>6.55</v>
      </c>
      <c r="B678" s="24">
        <f>A678+Age</f>
        <v>26.55</v>
      </c>
      <c r="C678" s="19">
        <f>B*c_gom^B678</f>
        <v>3.9421533254762548E-3</v>
      </c>
      <c r="D678" s="19">
        <f t="shared" si="10"/>
        <v>-3.8651639613833766E-3</v>
      </c>
      <c r="E678" s="26">
        <f>E677+Step_h*D677</f>
        <v>0.98047022585465338</v>
      </c>
      <c r="J678" s="24">
        <f>ROUND(J677-Step_h,2)</f>
        <v>3.45</v>
      </c>
      <c r="K678" s="24">
        <f>J678+Age</f>
        <v>23.45</v>
      </c>
      <c r="L678" s="19">
        <f>B*c_gom^K678</f>
        <v>3.0179453283171926E-3</v>
      </c>
      <c r="M678" s="19">
        <f>N678*delta +Prem-L678*(1-N678)</f>
        <v>2.7208957549995551E-4</v>
      </c>
      <c r="N678" s="26">
        <f>N677-Step_h*M677</f>
        <v>5.4705044116871628E-3</v>
      </c>
      <c r="U678" s="2"/>
      <c r="X678" s="2"/>
    </row>
    <row r="679" spans="1:24" x14ac:dyDescent="0.45">
      <c r="A679" s="24">
        <v>6.5600000000000005</v>
      </c>
      <c r="B679" s="24">
        <f>A679+Age</f>
        <v>26.560000000000002</v>
      </c>
      <c r="C679" s="19">
        <f>B*c_gom^B679</f>
        <v>3.9455520466539062E-3</v>
      </c>
      <c r="D679" s="19">
        <f t="shared" si="10"/>
        <v>-3.8683438042482607E-3</v>
      </c>
      <c r="E679" s="26">
        <f>E678+Step_h*D678</f>
        <v>0.98043157421503957</v>
      </c>
      <c r="J679" s="24">
        <f>ROUND(J678-Step_h,2)</f>
        <v>3.44</v>
      </c>
      <c r="K679" s="24">
        <f>J679+Age</f>
        <v>23.44</v>
      </c>
      <c r="L679" s="19">
        <f>B*c_gom^K679</f>
        <v>3.0153456528905203E-3</v>
      </c>
      <c r="M679" s="19">
        <f>N679*delta +Prem-L679*(1-N679)</f>
        <v>2.7453078016180044E-4</v>
      </c>
      <c r="N679" s="26">
        <f>N678-Step_h*M678</f>
        <v>5.4677835159321637E-3</v>
      </c>
      <c r="U679" s="2"/>
      <c r="X679" s="2"/>
    </row>
    <row r="680" spans="1:24" x14ac:dyDescent="0.45">
      <c r="A680" s="24">
        <v>6.57</v>
      </c>
      <c r="B680" s="24">
        <f>A680+Age</f>
        <v>26.57</v>
      </c>
      <c r="C680" s="19">
        <f>B*c_gom^B680</f>
        <v>3.948953698033577E-3</v>
      </c>
      <c r="D680" s="19">
        <f t="shared" si="10"/>
        <v>-3.8715261315596513E-3</v>
      </c>
      <c r="E680" s="26">
        <f>E679+Step_h*D679</f>
        <v>0.98039289077699709</v>
      </c>
      <c r="J680" s="24">
        <f>ROUND(J679-Step_h,2)</f>
        <v>3.43</v>
      </c>
      <c r="K680" s="24">
        <f>J680+Age</f>
        <v>23.43</v>
      </c>
      <c r="L680" s="19">
        <f>B*c_gom^K680</f>
        <v>3.0127482168391807E-3</v>
      </c>
      <c r="M680" s="19">
        <f>N680*delta +Prem-L680*(1-N680)</f>
        <v>2.7696847768384977E-4</v>
      </c>
      <c r="N680" s="26">
        <f>N679-Step_h*M679</f>
        <v>5.465038208130546E-3</v>
      </c>
      <c r="U680" s="2"/>
      <c r="X680" s="2"/>
    </row>
    <row r="681" spans="1:24" x14ac:dyDescent="0.45">
      <c r="A681" s="24">
        <v>6.58</v>
      </c>
      <c r="B681" s="24">
        <f>A681+Age</f>
        <v>26.58</v>
      </c>
      <c r="C681" s="19">
        <f>B*c_gom^B681</f>
        <v>3.9523582821415389E-3</v>
      </c>
      <c r="D681" s="19">
        <f t="shared" si="10"/>
        <v>-3.8747109450314437E-3</v>
      </c>
      <c r="E681" s="26">
        <f>E680+Step_h*D680</f>
        <v>0.98035417551568149</v>
      </c>
      <c r="J681" s="24">
        <f>ROUND(J680-Step_h,2)</f>
        <v>3.42</v>
      </c>
      <c r="K681" s="24">
        <f>J681+Age</f>
        <v>23.42</v>
      </c>
      <c r="L681" s="19">
        <f>B*c_gom^K681</f>
        <v>3.0101530182341635E-3</v>
      </c>
      <c r="M681" s="19">
        <f>N681*delta +Prem-L681*(1-N681)</f>
        <v>2.7940267201550075E-4</v>
      </c>
      <c r="N681" s="26">
        <f>N680-Step_h*M680</f>
        <v>5.4622685233537078E-3</v>
      </c>
      <c r="U681" s="2"/>
      <c r="X681" s="2"/>
    </row>
    <row r="682" spans="1:24" x14ac:dyDescent="0.45">
      <c r="A682" s="24">
        <v>6.59</v>
      </c>
      <c r="B682" s="24">
        <f>A682+Age</f>
        <v>26.59</v>
      </c>
      <c r="C682" s="19">
        <f>B*c_gom^B682</f>
        <v>3.9557658015062407E-3</v>
      </c>
      <c r="D682" s="19">
        <f t="shared" si="10"/>
        <v>-3.8778982463783091E-3</v>
      </c>
      <c r="E682" s="26">
        <f>E681+Step_h*D681</f>
        <v>0.9803154284062312</v>
      </c>
      <c r="J682" s="24">
        <f>ROUND(J681-Step_h,2)</f>
        <v>3.41</v>
      </c>
      <c r="K682" s="24">
        <f>J682+Age</f>
        <v>23.41</v>
      </c>
      <c r="L682" s="19">
        <f>B*c_gom^K682</f>
        <v>3.0075600551481177E-3</v>
      </c>
      <c r="M682" s="19">
        <f>N682*delta +Prem-L682*(1-N682)</f>
        <v>2.8183336710173486E-4</v>
      </c>
      <c r="N682" s="26">
        <f>N681-Step_h*M681</f>
        <v>5.4594744966335526E-3</v>
      </c>
      <c r="U682" s="2"/>
      <c r="X682" s="2"/>
    </row>
    <row r="683" spans="1:24" x14ac:dyDescent="0.45">
      <c r="A683" s="24">
        <v>6.6000000000000005</v>
      </c>
      <c r="B683" s="24">
        <f>A683+Age</f>
        <v>26.6</v>
      </c>
      <c r="C683" s="19">
        <f>B*c_gom^B683</f>
        <v>3.9591762586583049E-3</v>
      </c>
      <c r="D683" s="19">
        <f t="shared" si="10"/>
        <v>-3.8810880373156905E-3</v>
      </c>
      <c r="E683" s="26">
        <f>E682+Step_h*D682</f>
        <v>0.98027664942376747</v>
      </c>
      <c r="J683" s="24">
        <f>ROUND(J682-Step_h,2)</f>
        <v>3.4</v>
      </c>
      <c r="K683" s="24">
        <f>J683+Age</f>
        <v>23.4</v>
      </c>
      <c r="L683" s="19">
        <f>B*c_gom^K683</f>
        <v>3.0049693256553574E-3</v>
      </c>
      <c r="M683" s="19">
        <f>N683*delta +Prem-L683*(1-N683)</f>
        <v>2.8426056688312003E-4</v>
      </c>
      <c r="N683" s="26">
        <f>N682-Step_h*M682</f>
        <v>5.4566561629625357E-3</v>
      </c>
      <c r="U683" s="2"/>
      <c r="X683" s="2"/>
    </row>
    <row r="684" spans="1:24" x14ac:dyDescent="0.45">
      <c r="A684" s="24">
        <v>6.61</v>
      </c>
      <c r="B684" s="24">
        <f>A684+Age</f>
        <v>26.61</v>
      </c>
      <c r="C684" s="19">
        <f>B*c_gom^B684</f>
        <v>3.9625896561305413E-3</v>
      </c>
      <c r="D684" s="19">
        <f t="shared" si="10"/>
        <v>-3.8842803195598139E-3</v>
      </c>
      <c r="E684" s="26">
        <f>E683+Step_h*D683</f>
        <v>0.9802378385433943</v>
      </c>
      <c r="J684" s="24">
        <f>ROUND(J683-Step_h,2)</f>
        <v>3.39</v>
      </c>
      <c r="K684" s="24">
        <f>J684+Age</f>
        <v>23.39</v>
      </c>
      <c r="L684" s="19">
        <f>B*c_gom^K684</f>
        <v>3.0023808278318515E-3</v>
      </c>
      <c r="M684" s="19">
        <f>N684*delta +Prem-L684*(1-N684)</f>
        <v>2.8668427529582189E-4</v>
      </c>
      <c r="N684" s="26">
        <f>N683-Step_h*M683</f>
        <v>5.4538135572937043E-3</v>
      </c>
      <c r="U684" s="2"/>
      <c r="X684" s="2"/>
    </row>
    <row r="685" spans="1:24" x14ac:dyDescent="0.45">
      <c r="A685" s="24">
        <v>6.62</v>
      </c>
      <c r="B685" s="24">
        <f>A685+Age</f>
        <v>26.62</v>
      </c>
      <c r="C685" s="19">
        <f>B*c_gom^B685</f>
        <v>3.9660059964579455E-3</v>
      </c>
      <c r="D685" s="19">
        <f t="shared" si="10"/>
        <v>-3.8874750948276844E-3</v>
      </c>
      <c r="E685" s="26">
        <f>E684+Step_h*D684</f>
        <v>0.98019899574019875</v>
      </c>
      <c r="J685" s="24">
        <f>ROUND(J684-Step_h,2)</f>
        <v>3.38</v>
      </c>
      <c r="K685" s="24">
        <f>J685+Age</f>
        <v>23.38</v>
      </c>
      <c r="L685" s="19">
        <f>B*c_gom^K685</f>
        <v>2.9997945597552249E-3</v>
      </c>
      <c r="M685" s="19">
        <f>N685*delta +Prem-L685*(1-N685)</f>
        <v>2.8910449627160767E-4</v>
      </c>
      <c r="N685" s="26">
        <f>N684-Step_h*M684</f>
        <v>5.4509467145407459E-3</v>
      </c>
      <c r="U685" s="2"/>
      <c r="X685" s="2"/>
    </row>
    <row r="686" spans="1:24" x14ac:dyDescent="0.45">
      <c r="A686" s="24">
        <v>6.63</v>
      </c>
      <c r="B686" s="24">
        <f>A686+Age</f>
        <v>26.63</v>
      </c>
      <c r="C686" s="19">
        <f>B*c_gom^B686</f>
        <v>3.9694252821776913E-3</v>
      </c>
      <c r="D686" s="19">
        <f t="shared" si="10"/>
        <v>-3.8906723648370754E-3</v>
      </c>
      <c r="E686" s="26">
        <f>E685+Step_h*D685</f>
        <v>0.98016012098925043</v>
      </c>
      <c r="J686" s="24">
        <f>ROUND(J685-Step_h,2)</f>
        <v>3.37</v>
      </c>
      <c r="K686" s="24">
        <f>J686+Age</f>
        <v>23.37</v>
      </c>
      <c r="L686" s="19">
        <f>B*c_gom^K686</f>
        <v>2.9972105195047649E-3</v>
      </c>
      <c r="M686" s="19">
        <f>N686*delta +Prem-L686*(1-N686)</f>
        <v>2.915212337378432E-4</v>
      </c>
      <c r="N686" s="26">
        <f>N685-Step_h*M685</f>
        <v>5.4480556695780296E-3</v>
      </c>
      <c r="U686" s="2"/>
      <c r="X686" s="2"/>
    </row>
    <row r="687" spans="1:24" x14ac:dyDescent="0.45">
      <c r="A687" s="24">
        <v>6.6400000000000006</v>
      </c>
      <c r="B687" s="24">
        <f>A687+Age</f>
        <v>26.64</v>
      </c>
      <c r="C687" s="19">
        <f>B*c_gom^B687</f>
        <v>3.9728475158291457E-3</v>
      </c>
      <c r="D687" s="19">
        <f t="shared" si="10"/>
        <v>-3.8938721313065429E-3</v>
      </c>
      <c r="E687" s="26">
        <f>E686+Step_h*D686</f>
        <v>0.98012121426560206</v>
      </c>
      <c r="J687" s="24">
        <f>ROUND(J686-Step_h,2)</f>
        <v>3.36</v>
      </c>
      <c r="K687" s="24">
        <f>J687+Age</f>
        <v>23.36</v>
      </c>
      <c r="L687" s="19">
        <f>B*c_gom^K687</f>
        <v>2.9946287051614067E-3</v>
      </c>
      <c r="M687" s="19">
        <f>N687*delta +Prem-L687*(1-N687)</f>
        <v>2.9393449161751453E-4</v>
      </c>
      <c r="N687" s="26">
        <f>N686-Step_h*M686</f>
        <v>5.4451404572406509E-3</v>
      </c>
      <c r="U687" s="2"/>
      <c r="X687" s="2"/>
    </row>
    <row r="688" spans="1:24" x14ac:dyDescent="0.45">
      <c r="A688" s="24">
        <v>6.65</v>
      </c>
      <c r="B688" s="24">
        <f>A688+Age</f>
        <v>26.65</v>
      </c>
      <c r="C688" s="19">
        <f>B*c_gom^B688</f>
        <v>3.9762726999538634E-3</v>
      </c>
      <c r="D688" s="19">
        <f t="shared" si="10"/>
        <v>-3.897074395955416E-3</v>
      </c>
      <c r="E688" s="26">
        <f>E687+Step_h*D687</f>
        <v>0.98008227554428895</v>
      </c>
      <c r="J688" s="24">
        <f>ROUND(J687-Step_h,2)</f>
        <v>3.35</v>
      </c>
      <c r="K688" s="24">
        <f>J688+Age</f>
        <v>23.35</v>
      </c>
      <c r="L688" s="19">
        <f>B*c_gom^K688</f>
        <v>2.992049114807742E-3</v>
      </c>
      <c r="M688" s="19">
        <f>N688*delta +Prem-L688*(1-N688)</f>
        <v>2.9634427382921802E-4</v>
      </c>
      <c r="N688" s="26">
        <f>N687-Step_h*M687</f>
        <v>5.4422011123244759E-3</v>
      </c>
      <c r="U688" s="2"/>
      <c r="X688" s="2"/>
    </row>
    <row r="689" spans="1:24" x14ac:dyDescent="0.45">
      <c r="A689" s="24">
        <v>6.66</v>
      </c>
      <c r="B689" s="24">
        <f>A689+Age</f>
        <v>26.66</v>
      </c>
      <c r="C689" s="19">
        <f>B*c_gom^B689</f>
        <v>3.9797008370955917E-3</v>
      </c>
      <c r="D689" s="19">
        <f t="shared" si="10"/>
        <v>-3.9002791605038012E-3</v>
      </c>
      <c r="E689" s="26">
        <f>E688+Step_h*D688</f>
        <v>0.98004330480032942</v>
      </c>
      <c r="J689" s="24">
        <f>ROUND(J688-Step_h,2)</f>
        <v>3.34</v>
      </c>
      <c r="K689" s="24">
        <f>J689+Age</f>
        <v>23.34</v>
      </c>
      <c r="L689" s="19">
        <f>B*c_gom^K689</f>
        <v>2.9894717465280109E-3</v>
      </c>
      <c r="M689" s="19">
        <f>N689*delta +Prem-L689*(1-N689)</f>
        <v>2.9875058428717721E-4</v>
      </c>
      <c r="N689" s="26">
        <f>N688-Step_h*M688</f>
        <v>5.4392376695861838E-3</v>
      </c>
      <c r="U689" s="2"/>
      <c r="X689" s="2"/>
    </row>
    <row r="690" spans="1:24" x14ac:dyDescent="0.45">
      <c r="A690" s="24">
        <v>6.67</v>
      </c>
      <c r="B690" s="24">
        <f>A690+Age</f>
        <v>26.67</v>
      </c>
      <c r="C690" s="19">
        <f>B*c_gom^B690</f>
        <v>3.9831319298002663E-3</v>
      </c>
      <c r="D690" s="19">
        <f t="shared" si="10"/>
        <v>-3.903486426672573E-3</v>
      </c>
      <c r="E690" s="26">
        <f>E689+Step_h*D689</f>
        <v>0.98000430200872435</v>
      </c>
      <c r="J690" s="24">
        <f>ROUND(J689-Step_h,2)</f>
        <v>3.33</v>
      </c>
      <c r="K690" s="24">
        <f>J690+Age</f>
        <v>23.33</v>
      </c>
      <c r="L690" s="19">
        <f>B*c_gom^K690</f>
        <v>2.9868965984081101E-3</v>
      </c>
      <c r="M690" s="19">
        <f>N690*delta +Prem-L690*(1-N690)</f>
        <v>3.011534269012359E-4</v>
      </c>
      <c r="N690" s="26">
        <f>N689-Step_h*M689</f>
        <v>5.4362501637433124E-3</v>
      </c>
      <c r="U690" s="2"/>
      <c r="X690" s="2"/>
    </row>
    <row r="691" spans="1:24" x14ac:dyDescent="0.45">
      <c r="A691" s="24">
        <v>6.68</v>
      </c>
      <c r="B691" s="24">
        <f>A691+Age</f>
        <v>26.68</v>
      </c>
      <c r="C691" s="19">
        <f>B*c_gom^B691</f>
        <v>3.9865659806160216E-3</v>
      </c>
      <c r="D691" s="19">
        <f t="shared" si="10"/>
        <v>-3.9066961961833867E-3</v>
      </c>
      <c r="E691" s="26">
        <f>E690+Step_h*D690</f>
        <v>0.97996526714445764</v>
      </c>
      <c r="J691" s="24">
        <f>ROUND(J690-Step_h,2)</f>
        <v>3.32</v>
      </c>
      <c r="K691" s="24">
        <f>J691+Age</f>
        <v>23.32</v>
      </c>
      <c r="L691" s="19">
        <f>B*c_gom^K691</f>
        <v>2.9843236685355794E-3</v>
      </c>
      <c r="M691" s="19">
        <f>N691*delta +Prem-L691*(1-N691)</f>
        <v>3.0355280557687768E-4</v>
      </c>
      <c r="N691" s="26">
        <f>N690-Step_h*M690</f>
        <v>5.4332386294742999E-3</v>
      </c>
      <c r="U691" s="2"/>
      <c r="X691" s="2"/>
    </row>
    <row r="692" spans="1:24" x14ac:dyDescent="0.45">
      <c r="A692" s="24">
        <v>6.69</v>
      </c>
      <c r="B692" s="24">
        <f>A692+Age</f>
        <v>26.69</v>
      </c>
      <c r="C692" s="19">
        <f>B*c_gom^B692</f>
        <v>3.9900029920931926E-3</v>
      </c>
      <c r="D692" s="19">
        <f t="shared" si="10"/>
        <v>-3.9099084707586709E-3</v>
      </c>
      <c r="E692" s="26">
        <f>E691+Step_h*D691</f>
        <v>0.97992620018249577</v>
      </c>
      <c r="J692" s="24">
        <f>ROUND(J691-Step_h,2)</f>
        <v>3.31</v>
      </c>
      <c r="K692" s="24">
        <f>J692+Age</f>
        <v>23.31</v>
      </c>
      <c r="L692" s="19">
        <f>B*c_gom^K692</f>
        <v>2.9817529549996061E-3</v>
      </c>
      <c r="M692" s="19">
        <f>N692*delta +Prem-L692*(1-N692)</f>
        <v>3.0594872421522328E-4</v>
      </c>
      <c r="N692" s="26">
        <f>N691-Step_h*M691</f>
        <v>5.4302031014185313E-3</v>
      </c>
      <c r="U692" s="2"/>
      <c r="X692" s="2"/>
    </row>
    <row r="693" spans="1:24" x14ac:dyDescent="0.45">
      <c r="A693" s="24">
        <v>6.7</v>
      </c>
      <c r="B693" s="24">
        <f>A693+Age</f>
        <v>26.7</v>
      </c>
      <c r="C693" s="19">
        <f>B*c_gom^B693</f>
        <v>3.9934429667843026E-3</v>
      </c>
      <c r="D693" s="19">
        <f t="shared" si="10"/>
        <v>-3.9131232521216214E-3</v>
      </c>
      <c r="E693" s="26">
        <f>E692+Step_h*D692</f>
        <v>0.9798871010977882</v>
      </c>
      <c r="J693" s="24">
        <f>ROUND(J692-Step_h,2)</f>
        <v>3.3</v>
      </c>
      <c r="K693" s="24">
        <f>J693+Age</f>
        <v>23.3</v>
      </c>
      <c r="L693" s="19">
        <f>B*c_gom^K693</f>
        <v>2.9791844558910282E-3</v>
      </c>
      <c r="M693" s="19">
        <f>N693*delta +Prem-L693*(1-N693)</f>
        <v>3.0834118671303323E-4</v>
      </c>
      <c r="N693" s="26">
        <f>N692-Step_h*M692</f>
        <v>5.4271436141763787E-3</v>
      </c>
      <c r="U693" s="2"/>
      <c r="X693" s="2"/>
    </row>
    <row r="694" spans="1:24" x14ac:dyDescent="0.45">
      <c r="A694" s="24">
        <v>6.71</v>
      </c>
      <c r="B694" s="24">
        <f>A694+Age</f>
        <v>26.71</v>
      </c>
      <c r="C694" s="19">
        <f>B*c_gom^B694</f>
        <v>3.9968859072440849E-3</v>
      </c>
      <c r="D694" s="19">
        <f t="shared" si="10"/>
        <v>-3.9163405419962126E-3</v>
      </c>
      <c r="E694" s="26">
        <f>E693+Step_h*D693</f>
        <v>0.97984796986526701</v>
      </c>
      <c r="J694" s="24">
        <f>ROUND(J693-Step_h,2)</f>
        <v>3.29</v>
      </c>
      <c r="K694" s="24">
        <f>J694+Age</f>
        <v>23.29</v>
      </c>
      <c r="L694" s="19">
        <f>B*c_gom^K694</f>
        <v>2.9766181693023238E-3</v>
      </c>
      <c r="M694" s="19">
        <f>N694*delta +Prem-L694*(1-N694)</f>
        <v>3.1073019696272212E-4</v>
      </c>
      <c r="N694" s="26">
        <f>N693-Step_h*M693</f>
        <v>5.424060202309248E-3</v>
      </c>
      <c r="U694" s="2"/>
      <c r="X694" s="2"/>
    </row>
    <row r="695" spans="1:24" x14ac:dyDescent="0.45">
      <c r="A695" s="24">
        <v>6.72</v>
      </c>
      <c r="B695" s="24">
        <f>A695+Age</f>
        <v>26.72</v>
      </c>
      <c r="C695" s="19">
        <f>B*c_gom^B695</f>
        <v>4.0003318160294725E-3</v>
      </c>
      <c r="D695" s="19">
        <f t="shared" si="10"/>
        <v>-3.9195603421071897E-3</v>
      </c>
      <c r="E695" s="26">
        <f>E694+Step_h*D694</f>
        <v>0.97980880645984703</v>
      </c>
      <c r="J695" s="24">
        <f>ROUND(J694-Step_h,2)</f>
        <v>3.28</v>
      </c>
      <c r="K695" s="24">
        <f>J695+Age</f>
        <v>23.28</v>
      </c>
      <c r="L695" s="19">
        <f>B*c_gom^K695</f>
        <v>2.9740540933276154E-3</v>
      </c>
      <c r="M695" s="19">
        <f>N695*delta +Prem-L695*(1-N695)</f>
        <v>3.1311575885235692E-4</v>
      </c>
      <c r="N695" s="26">
        <f>N694-Step_h*M694</f>
        <v>5.4209529003396211E-3</v>
      </c>
      <c r="U695" s="2"/>
      <c r="X695" s="2"/>
    </row>
    <row r="696" spans="1:24" x14ac:dyDescent="0.45">
      <c r="A696" s="24">
        <v>6.73</v>
      </c>
      <c r="B696" s="24">
        <f>A696+Age</f>
        <v>26.73</v>
      </c>
      <c r="C696" s="19">
        <f>B*c_gom^B696</f>
        <v>4.003780695699604E-3</v>
      </c>
      <c r="D696" s="19">
        <f t="shared" si="10"/>
        <v>-3.9227826541800717E-3</v>
      </c>
      <c r="E696" s="26">
        <f>E695+Step_h*D695</f>
        <v>0.979769610856426</v>
      </c>
      <c r="J696" s="24">
        <f>ROUND(J695-Step_h,2)</f>
        <v>3.27</v>
      </c>
      <c r="K696" s="24">
        <f>J696+Age</f>
        <v>23.27</v>
      </c>
      <c r="L696" s="19">
        <f>B*c_gom^K696</f>
        <v>2.9714922260626665E-3</v>
      </c>
      <c r="M696" s="19">
        <f>N696*delta +Prem-L696*(1-N696)</f>
        <v>3.1549787626566645E-4</v>
      </c>
      <c r="N696" s="26">
        <f>N695-Step_h*M695</f>
        <v>5.4178217427510974E-3</v>
      </c>
      <c r="U696" s="2"/>
      <c r="X696" s="2"/>
    </row>
    <row r="697" spans="1:24" x14ac:dyDescent="0.45">
      <c r="A697" s="24">
        <v>6.74</v>
      </c>
      <c r="B697" s="24">
        <f>A697+Age</f>
        <v>26.740000000000002</v>
      </c>
      <c r="C697" s="19">
        <f>B*c_gom^B697</f>
        <v>4.0072325488158178E-3</v>
      </c>
      <c r="D697" s="19">
        <f t="shared" si="10"/>
        <v>-3.9260074799411402E-3</v>
      </c>
      <c r="E697" s="26">
        <f>E696+Step_h*D696</f>
        <v>0.97973038302988424</v>
      </c>
      <c r="J697" s="24">
        <f>ROUND(J696-Step_h,2)</f>
        <v>3.26</v>
      </c>
      <c r="K697" s="24">
        <f>J697+Age</f>
        <v>23.259999999999998</v>
      </c>
      <c r="L697" s="19">
        <f>B*c_gom^K697</f>
        <v>2.9689325656048842E-3</v>
      </c>
      <c r="M697" s="19">
        <f>N697*delta +Prem-L697*(1-N697)</f>
        <v>3.1787655308204189E-4</v>
      </c>
      <c r="N697" s="26">
        <f>N696-Step_h*M696</f>
        <v>5.4146667639884405E-3</v>
      </c>
      <c r="U697" s="2"/>
      <c r="X697" s="2"/>
    </row>
    <row r="698" spans="1:24" x14ac:dyDescent="0.45">
      <c r="A698" s="24">
        <v>6.75</v>
      </c>
      <c r="B698" s="24">
        <f>A698+Age</f>
        <v>26.75</v>
      </c>
      <c r="C698" s="19">
        <f>B*c_gom^B698</f>
        <v>4.0106873779416708E-3</v>
      </c>
      <c r="D698" s="19">
        <f t="shared" si="10"/>
        <v>-3.9292348211174607E-3</v>
      </c>
      <c r="E698" s="26">
        <f>E697+Step_h*D697</f>
        <v>0.97969112295508487</v>
      </c>
      <c r="J698" s="24">
        <f>ROUND(J697-Step_h,2)</f>
        <v>3.25</v>
      </c>
      <c r="K698" s="24">
        <f>J698+Age</f>
        <v>23.25</v>
      </c>
      <c r="L698" s="19">
        <f>B*c_gom^K698</f>
        <v>2.9663751100533105E-3</v>
      </c>
      <c r="M698" s="19">
        <f>N698*delta +Prem-L698*(1-N698)</f>
        <v>3.2025179317654714E-4</v>
      </c>
      <c r="N698" s="26">
        <f>N697-Step_h*M697</f>
        <v>5.4114879984576199E-3</v>
      </c>
      <c r="U698" s="2"/>
      <c r="X698" s="2"/>
    </row>
    <row r="699" spans="1:24" x14ac:dyDescent="0.45">
      <c r="A699" s="24">
        <v>6.76</v>
      </c>
      <c r="B699" s="24">
        <f>A699+Age</f>
        <v>26.759999999999998</v>
      </c>
      <c r="C699" s="19">
        <f>B*c_gom^B699</f>
        <v>4.0141451856429214E-3</v>
      </c>
      <c r="D699" s="19">
        <f t="shared" si="10"/>
        <v>-3.9324646794368567E-3</v>
      </c>
      <c r="E699" s="26">
        <f>E698+Step_h*D698</f>
        <v>0.97965183060687366</v>
      </c>
      <c r="J699" s="24">
        <f>ROUND(J698-Step_h,2)</f>
        <v>3.24</v>
      </c>
      <c r="K699" s="24">
        <f>J699+Age</f>
        <v>23.240000000000002</v>
      </c>
      <c r="L699" s="19">
        <f>B*c_gom^K699</f>
        <v>2.9638198575086278E-3</v>
      </c>
      <c r="M699" s="19">
        <f>N699*delta +Prem-L699*(1-N699)</f>
        <v>3.2262360041992316E-4</v>
      </c>
      <c r="N699" s="26">
        <f>N698-Step_h*M698</f>
        <v>5.4082854805258549E-3</v>
      </c>
      <c r="U699" s="2"/>
      <c r="X699" s="2"/>
    </row>
    <row r="700" spans="1:24" x14ac:dyDescent="0.45">
      <c r="A700" s="24">
        <v>6.7700000000000005</v>
      </c>
      <c r="B700" s="24">
        <f>A700+Age</f>
        <v>26.77</v>
      </c>
      <c r="C700" s="19">
        <f>B*c_gom^B700</f>
        <v>4.0176059744875458E-3</v>
      </c>
      <c r="D700" s="19">
        <f t="shared" si="10"/>
        <v>-3.9356970566279317E-3</v>
      </c>
      <c r="E700" s="26">
        <f>E699+Step_h*D699</f>
        <v>0.97961250596007932</v>
      </c>
      <c r="J700" s="24">
        <f>ROUND(J699-Step_h,2)</f>
        <v>3.23</v>
      </c>
      <c r="K700" s="24">
        <f>J700+Age</f>
        <v>23.23</v>
      </c>
      <c r="L700" s="19">
        <f>B*c_gom^K700</f>
        <v>2.9612668060731515E-3</v>
      </c>
      <c r="M700" s="19">
        <f>N700*delta +Prem-L700*(1-N700)</f>
        <v>3.2499197867859233E-4</v>
      </c>
      <c r="N700" s="26">
        <f>N699-Step_h*M699</f>
        <v>5.4050592445216558E-3</v>
      </c>
      <c r="U700" s="2"/>
      <c r="X700" s="2"/>
    </row>
    <row r="701" spans="1:24" x14ac:dyDescent="0.45">
      <c r="A701" s="24">
        <v>6.78</v>
      </c>
      <c r="B701" s="24">
        <f>A701+Age</f>
        <v>26.78</v>
      </c>
      <c r="C701" s="19">
        <f>B*c_gom^B701</f>
        <v>4.0210697470457338E-3</v>
      </c>
      <c r="D701" s="19">
        <f t="shared" si="10"/>
        <v>-3.938931954420054E-3</v>
      </c>
      <c r="E701" s="26">
        <f>E700+Step_h*D700</f>
        <v>0.97957314898951309</v>
      </c>
      <c r="J701" s="24">
        <f>ROUND(J700-Step_h,2)</f>
        <v>3.22</v>
      </c>
      <c r="K701" s="24">
        <f>J701+Age</f>
        <v>23.22</v>
      </c>
      <c r="L701" s="19">
        <f>B*c_gom^K701</f>
        <v>2.9587159538508336E-3</v>
      </c>
      <c r="M701" s="19">
        <f>N701*delta +Prem-L701*(1-N701)</f>
        <v>3.2735693181466319E-4</v>
      </c>
      <c r="N701" s="26">
        <f>N700-Step_h*M700</f>
        <v>5.4018093247348697E-3</v>
      </c>
      <c r="U701" s="2"/>
      <c r="X701" s="2"/>
    </row>
    <row r="702" spans="1:24" x14ac:dyDescent="0.45">
      <c r="A702" s="24">
        <v>6.79</v>
      </c>
      <c r="B702" s="24">
        <f>A702+Age</f>
        <v>26.79</v>
      </c>
      <c r="C702" s="19">
        <f>B*c_gom^B702</f>
        <v>4.0245365058898842E-3</v>
      </c>
      <c r="D702" s="19">
        <f t="shared" si="10"/>
        <v>-3.9421693745433587E-3</v>
      </c>
      <c r="E702" s="26">
        <f>E701+Step_h*D701</f>
        <v>0.97953375966996892</v>
      </c>
      <c r="J702" s="24">
        <f>ROUND(J701-Step_h,2)</f>
        <v>3.21</v>
      </c>
      <c r="K702" s="24">
        <f>J702+Age</f>
        <v>23.21</v>
      </c>
      <c r="L702" s="19">
        <f>B*c_gom^K702</f>
        <v>2.956167298947261E-3</v>
      </c>
      <c r="M702" s="19">
        <f>N702*delta +Prem-L702*(1-N702)</f>
        <v>3.2971846368593568E-4</v>
      </c>
      <c r="N702" s="26">
        <f>N701-Step_h*M701</f>
        <v>5.3985357554167234E-3</v>
      </c>
      <c r="U702" s="2"/>
      <c r="X702" s="2"/>
    </row>
    <row r="703" spans="1:24" x14ac:dyDescent="0.45">
      <c r="A703" s="24">
        <v>6.8</v>
      </c>
      <c r="B703" s="24">
        <f>A703+Age</f>
        <v>26.8</v>
      </c>
      <c r="C703" s="19">
        <f>B*c_gom^B703</f>
        <v>4.0280062535946216E-3</v>
      </c>
      <c r="D703" s="19">
        <f t="shared" si="10"/>
        <v>-3.9454093187287521E-3</v>
      </c>
      <c r="E703" s="26">
        <f>E702+Step_h*D702</f>
        <v>0.97949433797622354</v>
      </c>
      <c r="J703" s="24">
        <f>ROUND(J702-Step_h,2)</f>
        <v>3.2</v>
      </c>
      <c r="K703" s="24">
        <f>J703+Age</f>
        <v>23.2</v>
      </c>
      <c r="L703" s="19">
        <f>B*c_gom^K703</f>
        <v>2.9536208394696497E-3</v>
      </c>
      <c r="M703" s="19">
        <f>N703*delta +Prem-L703*(1-N703)</f>
        <v>3.3207657814590934E-4</v>
      </c>
      <c r="N703" s="26">
        <f>N702-Step_h*M702</f>
        <v>5.3952385707798645E-3</v>
      </c>
      <c r="U703" s="2"/>
      <c r="X703" s="2"/>
    </row>
    <row r="704" spans="1:24" x14ac:dyDescent="0.45">
      <c r="A704" s="24">
        <v>6.8100000000000005</v>
      </c>
      <c r="B704" s="24">
        <f>A704+Age</f>
        <v>26.810000000000002</v>
      </c>
      <c r="C704" s="19">
        <f>B*c_gom^B704</f>
        <v>4.0314789927367893E-3</v>
      </c>
      <c r="D704" s="19">
        <f t="shared" si="10"/>
        <v>-3.9486517887079116E-3</v>
      </c>
      <c r="E704" s="26">
        <f>E703+Step_h*D703</f>
        <v>0.97945488388303625</v>
      </c>
      <c r="J704" s="24">
        <f>ROUND(J703-Step_h,2)</f>
        <v>3.19</v>
      </c>
      <c r="K704" s="24">
        <f>J704+Age</f>
        <v>23.19</v>
      </c>
      <c r="L704" s="19">
        <f>B*c_gom^K704</f>
        <v>2.9510765735268471E-3</v>
      </c>
      <c r="M704" s="19">
        <f>N704*delta +Prem-L704*(1-N704)</f>
        <v>3.3443127904378639E-4</v>
      </c>
      <c r="N704" s="26">
        <f>N703-Step_h*M703</f>
        <v>5.3919178049984052E-3</v>
      </c>
      <c r="U704" s="2"/>
      <c r="X704" s="2"/>
    </row>
    <row r="705" spans="1:24" x14ac:dyDescent="0.45">
      <c r="A705" s="24">
        <v>6.82</v>
      </c>
      <c r="B705" s="24">
        <f>A705+Age</f>
        <v>26.82</v>
      </c>
      <c r="C705" s="19">
        <f>B*c_gom^B705</f>
        <v>4.0349547258954456E-3</v>
      </c>
      <c r="D705" s="19">
        <f t="shared" si="10"/>
        <v>-3.9518967862132741E-3</v>
      </c>
      <c r="E705" s="26">
        <f>E704+Step_h*D704</f>
        <v>0.97941539736514915</v>
      </c>
      <c r="J705" s="24">
        <f>ROUND(J704-Step_h,2)</f>
        <v>3.18</v>
      </c>
      <c r="K705" s="24">
        <f>J705+Age</f>
        <v>23.18</v>
      </c>
      <c r="L705" s="19">
        <f>B*c_gom^K705</f>
        <v>2.9485344992293302E-3</v>
      </c>
      <c r="M705" s="19">
        <f>N705*delta +Prem-L705*(1-N705)</f>
        <v>3.3678257022447602E-4</v>
      </c>
      <c r="N705" s="26">
        <f>N704-Step_h*M704</f>
        <v>5.3885734922079669E-3</v>
      </c>
      <c r="U705" s="2"/>
      <c r="X705" s="2"/>
    </row>
    <row r="706" spans="1:24" x14ac:dyDescent="0.45">
      <c r="A706" s="24">
        <v>6.83</v>
      </c>
      <c r="B706" s="24">
        <f>A706+Age</f>
        <v>26.83</v>
      </c>
      <c r="C706" s="19">
        <f>B*c_gom^B706</f>
        <v>4.0384334556518801E-3</v>
      </c>
      <c r="D706" s="19">
        <f t="shared" si="10"/>
        <v>-3.9551443129780513E-3</v>
      </c>
      <c r="E706" s="26">
        <f>E705+Step_h*D705</f>
        <v>0.97937587839728701</v>
      </c>
      <c r="J706" s="24">
        <f>ROUND(J705-Step_h,2)</f>
        <v>3.17</v>
      </c>
      <c r="K706" s="24">
        <f>J706+Age</f>
        <v>23.17</v>
      </c>
      <c r="L706" s="19">
        <f>B*c_gom^K706</f>
        <v>2.9459946146892031E-3</v>
      </c>
      <c r="M706" s="19">
        <f>N706*delta +Prem-L706*(1-N706)</f>
        <v>3.3913045552860267E-4</v>
      </c>
      <c r="N706" s="26">
        <f>N705-Step_h*M705</f>
        <v>5.3852056665057218E-3</v>
      </c>
      <c r="U706" s="2"/>
      <c r="X706" s="2"/>
    </row>
    <row r="707" spans="1:24" x14ac:dyDescent="0.45">
      <c r="A707" s="24">
        <v>6.84</v>
      </c>
      <c r="B707" s="24">
        <f>A707+Age</f>
        <v>26.84</v>
      </c>
      <c r="C707" s="19">
        <f>B*c_gom^B707</f>
        <v>4.0419151845896041E-3</v>
      </c>
      <c r="D707" s="19">
        <f t="shared" si="10"/>
        <v>-3.9583943707362174E-3</v>
      </c>
      <c r="E707" s="26">
        <f>E706+Step_h*D706</f>
        <v>0.97933632695415729</v>
      </c>
      <c r="J707" s="24">
        <f>ROUND(J706-Step_h,2)</f>
        <v>3.16</v>
      </c>
      <c r="K707" s="24">
        <f>J707+Age</f>
        <v>23.16</v>
      </c>
      <c r="L707" s="19">
        <f>B*c_gom^K707</f>
        <v>2.9434569180201951E-3</v>
      </c>
      <c r="M707" s="19">
        <f>N707*delta +Prem-L707*(1-N707)</f>
        <v>3.4147493879251034E-4</v>
      </c>
      <c r="N707" s="26">
        <f>N706-Step_h*M706</f>
        <v>5.3818143619504362E-3</v>
      </c>
      <c r="U707" s="2"/>
      <c r="X707" s="2"/>
    </row>
    <row r="708" spans="1:24" x14ac:dyDescent="0.45">
      <c r="A708" s="24">
        <v>6.8500000000000005</v>
      </c>
      <c r="B708" s="24">
        <f>A708+Age</f>
        <v>26.85</v>
      </c>
      <c r="C708" s="19">
        <f>B*c_gom^B708</f>
        <v>4.0453999152943584E-3</v>
      </c>
      <c r="D708" s="19">
        <f t="shared" si="10"/>
        <v>-3.9616469612225149E-3</v>
      </c>
      <c r="E708" s="26">
        <f>E707+Step_h*D707</f>
        <v>0.97929674301044989</v>
      </c>
      <c r="J708" s="24">
        <f>ROUND(J707-Step_h,2)</f>
        <v>3.15</v>
      </c>
      <c r="K708" s="24">
        <f>J708+Age</f>
        <v>23.15</v>
      </c>
      <c r="L708" s="19">
        <f>B*c_gom^K708</f>
        <v>2.9409214073376627E-3</v>
      </c>
      <c r="M708" s="19">
        <f>N708*delta +Prem-L708*(1-N708)</f>
        <v>3.4381602384826434E-4</v>
      </c>
      <c r="N708" s="26">
        <f>N707-Step_h*M707</f>
        <v>5.378399612562511E-3</v>
      </c>
      <c r="U708" s="2"/>
      <c r="X708" s="2"/>
    </row>
    <row r="709" spans="1:24" x14ac:dyDescent="0.45">
      <c r="A709" s="24">
        <v>6.86</v>
      </c>
      <c r="B709" s="24">
        <f>A709+Age</f>
        <v>26.86</v>
      </c>
      <c r="C709" s="19">
        <f>B*c_gom^B709</f>
        <v>4.0488876503541084E-3</v>
      </c>
      <c r="D709" s="19">
        <f t="shared" si="10"/>
        <v>-3.9649020861724478E-3</v>
      </c>
      <c r="E709" s="26">
        <f>E708+Step_h*D708</f>
        <v>0.97925712654083763</v>
      </c>
      <c r="J709" s="24">
        <f>ROUND(J708-Step_h,2)</f>
        <v>3.14</v>
      </c>
      <c r="K709" s="24">
        <f>J709+Age</f>
        <v>23.14</v>
      </c>
      <c r="L709" s="19">
        <f>B*c_gom^K709</f>
        <v>2.9383880807585848E-3</v>
      </c>
      <c r="M709" s="19">
        <f>N709*delta +Prem-L709*(1-N709)</f>
        <v>3.4615371452366255E-4</v>
      </c>
      <c r="N709" s="26">
        <f>N708-Step_h*M708</f>
        <v>5.3749614523240282E-3</v>
      </c>
      <c r="U709" s="2"/>
      <c r="X709" s="2"/>
    </row>
    <row r="710" spans="1:24" x14ac:dyDescent="0.45">
      <c r="A710" s="24">
        <v>6.87</v>
      </c>
      <c r="B710" s="24">
        <f>A710+Age</f>
        <v>26.87</v>
      </c>
      <c r="C710" s="19">
        <f>B*c_gom^B710</f>
        <v>4.0523783923590573E-3</v>
      </c>
      <c r="D710" s="19">
        <f t="shared" si="10"/>
        <v>-3.9681597473222915E-3</v>
      </c>
      <c r="E710" s="26">
        <f>E709+Step_h*D709</f>
        <v>0.9792174775199759</v>
      </c>
      <c r="J710" s="24">
        <f>ROUND(J709-Step_h,2)</f>
        <v>3.13</v>
      </c>
      <c r="K710" s="24">
        <f>J710+Age</f>
        <v>23.13</v>
      </c>
      <c r="L710" s="19">
        <f>B*c_gom^K710</f>
        <v>2.935856936401561E-3</v>
      </c>
      <c r="M710" s="19">
        <f>N710*delta +Prem-L710*(1-N710)</f>
        <v>3.4848801464223674E-4</v>
      </c>
      <c r="N710" s="26">
        <f>N709-Step_h*M709</f>
        <v>5.3714999151787913E-3</v>
      </c>
      <c r="U710" s="2"/>
      <c r="X710" s="2"/>
    </row>
    <row r="711" spans="1:24" x14ac:dyDescent="0.45">
      <c r="A711" s="24">
        <v>6.88</v>
      </c>
      <c r="B711" s="24">
        <f>A711+Age</f>
        <v>26.88</v>
      </c>
      <c r="C711" s="19">
        <f>B*c_gom^B711</f>
        <v>4.0558721439016357E-3</v>
      </c>
      <c r="D711" s="19">
        <f t="shared" si="10"/>
        <v>-3.971419946409079E-3</v>
      </c>
      <c r="E711" s="26">
        <f>E710+Step_h*D710</f>
        <v>0.97917779592250265</v>
      </c>
      <c r="J711" s="24">
        <f>ROUND(J710-Step_h,2)</f>
        <v>3.12</v>
      </c>
      <c r="K711" s="24">
        <f>J711+Age</f>
        <v>23.12</v>
      </c>
      <c r="L711" s="19">
        <f>B*c_gom^K711</f>
        <v>2.9333279723868146E-3</v>
      </c>
      <c r="M711" s="19">
        <f>N711*delta +Prem-L711*(1-N711)</f>
        <v>3.5081892802325734E-4</v>
      </c>
      <c r="N711" s="26">
        <f>N710-Step_h*M710</f>
        <v>5.3680150350323688E-3</v>
      </c>
      <c r="U711" s="2"/>
      <c r="X711" s="2"/>
    </row>
    <row r="712" spans="1:24" x14ac:dyDescent="0.45">
      <c r="A712" s="24">
        <v>6.8900000000000006</v>
      </c>
      <c r="B712" s="24">
        <f>A712+Age</f>
        <v>26.89</v>
      </c>
      <c r="C712" s="19">
        <f>B*c_gom^B712</f>
        <v>4.0593689075765146E-3</v>
      </c>
      <c r="D712" s="19">
        <f t="shared" si="10"/>
        <v>-3.9746826851706149E-3</v>
      </c>
      <c r="E712" s="26">
        <f>E711+Step_h*D711</f>
        <v>0.97913808172303851</v>
      </c>
      <c r="J712" s="24">
        <f>ROUND(J711-Step_h,2)</f>
        <v>3.11</v>
      </c>
      <c r="K712" s="24">
        <f>J712+Age</f>
        <v>23.11</v>
      </c>
      <c r="L712" s="19">
        <f>B*c_gom^K712</f>
        <v>2.930801186836183E-3</v>
      </c>
      <c r="M712" s="19">
        <f>N712*delta +Prem-L712*(1-N712)</f>
        <v>3.5314645848174512E-4</v>
      </c>
      <c r="N712" s="26">
        <f>N711-Step_h*M711</f>
        <v>5.3645068457521365E-3</v>
      </c>
      <c r="U712" s="2"/>
      <c r="X712" s="2"/>
    </row>
    <row r="713" spans="1:24" x14ac:dyDescent="0.45">
      <c r="A713" s="24">
        <v>6.9</v>
      </c>
      <c r="B713" s="24">
        <f>A713+Age</f>
        <v>26.9</v>
      </c>
      <c r="C713" s="19">
        <f>B*c_gom^B713</f>
        <v>4.0628686859805942E-3</v>
      </c>
      <c r="D713" s="19">
        <f t="shared" si="10"/>
        <v>-3.977947965345458E-3</v>
      </c>
      <c r="E713" s="26">
        <f>E712+Step_h*D712</f>
        <v>0.97909833489618681</v>
      </c>
      <c r="J713" s="24">
        <f>ROUND(J712-Step_h,2)</f>
        <v>3.1</v>
      </c>
      <c r="K713" s="24">
        <f>J713+Age</f>
        <v>23.1</v>
      </c>
      <c r="L713" s="19">
        <f>B*c_gom^K713</f>
        <v>2.9282765778731287E-3</v>
      </c>
      <c r="M713" s="19">
        <f>N713*delta +Prem-L713*(1-N713)</f>
        <v>3.5547060982846386E-4</v>
      </c>
      <c r="N713" s="26">
        <f>N712-Step_h*M712</f>
        <v>5.3609753811673187E-3</v>
      </c>
      <c r="U713" s="2"/>
      <c r="X713" s="2"/>
    </row>
    <row r="714" spans="1:24" x14ac:dyDescent="0.45">
      <c r="A714" s="24">
        <v>6.91</v>
      </c>
      <c r="B714" s="24">
        <f>A714+Age</f>
        <v>26.91</v>
      </c>
      <c r="C714" s="19">
        <f>B*c_gom^B714</f>
        <v>4.066371481713022E-3</v>
      </c>
      <c r="D714" s="19">
        <f t="shared" si="10"/>
        <v>-3.9812157886729392E-3</v>
      </c>
      <c r="E714" s="26">
        <f>E713+Step_h*D713</f>
        <v>0.9790585554165333</v>
      </c>
      <c r="J714" s="24">
        <f>ROUND(J713-Step_h,2)</f>
        <v>3.09</v>
      </c>
      <c r="K714" s="24">
        <f>J714+Age</f>
        <v>23.09</v>
      </c>
      <c r="L714" s="19">
        <f>B*c_gom^K714</f>
        <v>2.9257541436227231E-3</v>
      </c>
      <c r="M714" s="19">
        <f>N714*delta +Prem-L714*(1-N714)</f>
        <v>3.57791385869942E-4</v>
      </c>
      <c r="N714" s="26">
        <f>N713-Step_h*M713</f>
        <v>5.3574206750690344E-3</v>
      </c>
      <c r="U714" s="2"/>
      <c r="X714" s="2"/>
    </row>
    <row r="715" spans="1:24" x14ac:dyDescent="0.45">
      <c r="A715" s="24">
        <v>6.92</v>
      </c>
      <c r="B715" s="24">
        <f>A715+Age</f>
        <v>26.92</v>
      </c>
      <c r="C715" s="19">
        <f>B*c_gom^B715</f>
        <v>4.0698772973751839E-3</v>
      </c>
      <c r="D715" s="19">
        <f t="shared" si="10"/>
        <v>-3.9844861568931493E-3</v>
      </c>
      <c r="E715" s="26">
        <f>E714+Step_h*D714</f>
        <v>0.97901874325864657</v>
      </c>
      <c r="J715" s="24">
        <f>ROUND(J714-Step_h,2)</f>
        <v>3.08</v>
      </c>
      <c r="K715" s="24">
        <f>J715+Age</f>
        <v>23.08</v>
      </c>
      <c r="L715" s="19">
        <f>B*c_gom^K715</f>
        <v>2.9232338822116578E-3</v>
      </c>
      <c r="M715" s="19">
        <f>N715*delta +Prem-L715*(1-N715)</f>
        <v>3.6010879040846268E-4</v>
      </c>
      <c r="N715" s="26">
        <f>N714-Step_h*M714</f>
        <v>5.3538427612103354E-3</v>
      </c>
      <c r="U715" s="2"/>
      <c r="X715" s="2"/>
    </row>
    <row r="716" spans="1:24" x14ac:dyDescent="0.45">
      <c r="A716" s="24">
        <v>6.93</v>
      </c>
      <c r="B716" s="24">
        <f>A716+Age</f>
        <v>26.93</v>
      </c>
      <c r="C716" s="19">
        <f>B*c_gom^B716</f>
        <v>4.073386135570704E-3</v>
      </c>
      <c r="D716" s="19">
        <f t="shared" si="10"/>
        <v>-3.987759071746937E-3</v>
      </c>
      <c r="E716" s="26">
        <f>E715+Step_h*D715</f>
        <v>0.97897889839707763</v>
      </c>
      <c r="J716" s="24">
        <f>ROUND(J715-Step_h,2)</f>
        <v>3.07</v>
      </c>
      <c r="K716" s="24">
        <f>J716+Age</f>
        <v>23.07</v>
      </c>
      <c r="L716" s="19">
        <f>B*c_gom^K716</f>
        <v>2.9207157917682373E-3</v>
      </c>
      <c r="M716" s="19">
        <f>N716*delta +Prem-L716*(1-N716)</f>
        <v>3.6242282724207762E-4</v>
      </c>
      <c r="N716" s="26">
        <f>N715-Step_h*M715</f>
        <v>5.3502416733062505E-3</v>
      </c>
      <c r="U716" s="2"/>
      <c r="X716" s="2"/>
    </row>
    <row r="717" spans="1:24" x14ac:dyDescent="0.45">
      <c r="A717" s="24">
        <v>6.94</v>
      </c>
      <c r="B717" s="24">
        <f>A717+Age</f>
        <v>26.94</v>
      </c>
      <c r="C717" s="19">
        <f>B*c_gom^B717</f>
        <v>4.0768979989054561E-3</v>
      </c>
      <c r="D717" s="19">
        <f t="shared" si="10"/>
        <v>-3.9910345349759169E-3</v>
      </c>
      <c r="E717" s="26">
        <f>E716+Step_h*D716</f>
        <v>0.97893902080636019</v>
      </c>
      <c r="J717" s="24">
        <f>ROUND(J716-Step_h,2)</f>
        <v>3.06</v>
      </c>
      <c r="K717" s="24">
        <f>J717+Age</f>
        <v>23.06</v>
      </c>
      <c r="L717" s="19">
        <f>B*c_gom^K717</f>
        <v>2.9181998704223763E-3</v>
      </c>
      <c r="M717" s="19">
        <f>N717*delta +Prem-L717*(1-N717)</f>
        <v>3.6473350016461101E-4</v>
      </c>
      <c r="N717" s="26">
        <f>N716-Step_h*M716</f>
        <v>5.3466174450338298E-3</v>
      </c>
      <c r="U717" s="2"/>
      <c r="X717" s="2"/>
    </row>
    <row r="718" spans="1:24" x14ac:dyDescent="0.45">
      <c r="A718" s="24">
        <v>6.95</v>
      </c>
      <c r="B718" s="24">
        <f>A718+Age</f>
        <v>26.95</v>
      </c>
      <c r="C718" s="19">
        <f>B*c_gom^B718</f>
        <v>4.0804128899875596E-3</v>
      </c>
      <c r="D718" s="19">
        <f t="shared" si="10"/>
        <v>-3.9943125483224628E-3</v>
      </c>
      <c r="E718" s="26">
        <f>E717+Step_h*D717</f>
        <v>0.97889911046101041</v>
      </c>
      <c r="J718" s="24">
        <f>ROUND(J717-Step_h,2)</f>
        <v>3.05</v>
      </c>
      <c r="K718" s="24">
        <f>J718+Age</f>
        <v>23.05</v>
      </c>
      <c r="L718" s="19">
        <f>B*c_gom^K718</f>
        <v>2.9156861163056025E-3</v>
      </c>
      <c r="M718" s="19">
        <f>N718*delta +Prem-L718*(1-N718)</f>
        <v>3.6704081296566344E-4</v>
      </c>
      <c r="N718" s="26">
        <f>N717-Step_h*M717</f>
        <v>5.3429701100321837E-3</v>
      </c>
      <c r="U718" s="2"/>
      <c r="X718" s="2"/>
    </row>
    <row r="719" spans="1:24" x14ac:dyDescent="0.45">
      <c r="A719" s="24">
        <v>6.96</v>
      </c>
      <c r="B719" s="24">
        <f>A719+Age</f>
        <v>26.96</v>
      </c>
      <c r="C719" s="19">
        <f>B*c_gom^B719</f>
        <v>4.0839308114273831E-3</v>
      </c>
      <c r="D719" s="19">
        <f t="shared" si="10"/>
        <v>-3.9975931135297123E-3</v>
      </c>
      <c r="E719" s="26">
        <f>E718+Step_h*D718</f>
        <v>0.97885916733552714</v>
      </c>
      <c r="J719" s="24">
        <f>ROUND(J718-Step_h,2)</f>
        <v>3.04</v>
      </c>
      <c r="K719" s="24">
        <f>J719+Age</f>
        <v>23.04</v>
      </c>
      <c r="L719" s="19">
        <f>B*c_gom^K719</f>
        <v>2.913174527551052E-3</v>
      </c>
      <c r="M719" s="19">
        <f>N719*delta +Prem-L719*(1-N719)</f>
        <v>3.6934476943061749E-4</v>
      </c>
      <c r="N719" s="26">
        <f>N718-Step_h*M718</f>
        <v>5.339299701902527E-3</v>
      </c>
      <c r="U719" s="2"/>
      <c r="X719" s="2"/>
    </row>
    <row r="720" spans="1:24" x14ac:dyDescent="0.45">
      <c r="A720" s="24">
        <v>6.97</v>
      </c>
      <c r="B720" s="24">
        <f>A720+Age</f>
        <v>26.97</v>
      </c>
      <c r="C720" s="19">
        <f>B*c_gom^B720</f>
        <v>4.0874517658375398E-3</v>
      </c>
      <c r="D720" s="19">
        <f t="shared" si="10"/>
        <v>-4.0008762323415544E-3</v>
      </c>
      <c r="E720" s="26">
        <f>E719+Step_h*D719</f>
        <v>0.97881919140439189</v>
      </c>
      <c r="J720" s="24">
        <f>ROUND(J719-Step_h,2)</f>
        <v>3.03</v>
      </c>
      <c r="K720" s="24">
        <f>J720+Age</f>
        <v>23.03</v>
      </c>
      <c r="L720" s="19">
        <f>B*c_gom^K720</f>
        <v>2.9106651022934695E-3</v>
      </c>
      <c r="M720" s="19">
        <f>N720*delta +Prem-L720*(1-N720)</f>
        <v>3.716453733406443E-4</v>
      </c>
      <c r="N720" s="26">
        <f>N719-Step_h*M719</f>
        <v>5.335606254208221E-3</v>
      </c>
      <c r="U720" s="2"/>
      <c r="X720" s="2"/>
    </row>
    <row r="721" spans="1:24" x14ac:dyDescent="0.45">
      <c r="A721" s="24">
        <v>6.98</v>
      </c>
      <c r="B721" s="24">
        <f>A721+Age</f>
        <v>26.98</v>
      </c>
      <c r="C721" s="19">
        <f>B*c_gom^B721</f>
        <v>4.0909757558329068E-3</v>
      </c>
      <c r="D721" s="19">
        <f t="shared" si="10"/>
        <v>-4.0041619065026507E-3</v>
      </c>
      <c r="E721" s="26">
        <f>E720+Step_h*D720</f>
        <v>0.97877918264206842</v>
      </c>
      <c r="J721" s="24">
        <f>ROUND(J720-Step_h,2)</f>
        <v>3.02</v>
      </c>
      <c r="K721" s="24">
        <f>J721+Age</f>
        <v>23.02</v>
      </c>
      <c r="L721" s="19">
        <f>B*c_gom^K721</f>
        <v>2.9081578386692055E-3</v>
      </c>
      <c r="M721" s="19">
        <f>N721*delta +Prem-L721*(1-N721)</f>
        <v>3.7394262847270654E-4</v>
      </c>
      <c r="N721" s="26">
        <f>N720-Step_h*M720</f>
        <v>5.3318898004748143E-3</v>
      </c>
      <c r="U721" s="2"/>
      <c r="X721" s="2"/>
    </row>
    <row r="722" spans="1:24" x14ac:dyDescent="0.45">
      <c r="A722" s="24">
        <v>6.99</v>
      </c>
      <c r="B722" s="24">
        <f>A722+Age</f>
        <v>26.990000000000002</v>
      </c>
      <c r="C722" s="19">
        <f>B*c_gom^B722</f>
        <v>4.0945027840306059E-3</v>
      </c>
      <c r="D722" s="19">
        <f t="shared" si="10"/>
        <v>-4.0074501377584115E-3</v>
      </c>
      <c r="E722" s="26">
        <f>E721+Step_h*D721</f>
        <v>0.97873914102300341</v>
      </c>
      <c r="J722" s="24">
        <f>ROUND(J721-Step_h,2)</f>
        <v>3.01</v>
      </c>
      <c r="K722" s="24">
        <f>J722+Age</f>
        <v>23.009999999999998</v>
      </c>
      <c r="L722" s="19">
        <f>B*c_gom^K722</f>
        <v>2.9056527348162177E-3</v>
      </c>
      <c r="M722" s="19">
        <f>N722*delta +Prem-L722*(1-N722)</f>
        <v>3.762365385995641E-4</v>
      </c>
      <c r="N722" s="26">
        <f>N721-Step_h*M721</f>
        <v>5.3281503741900871E-3</v>
      </c>
      <c r="U722" s="2"/>
      <c r="X722" s="2"/>
    </row>
    <row r="723" spans="1:24" x14ac:dyDescent="0.45">
      <c r="A723" s="24">
        <v>7</v>
      </c>
      <c r="B723" s="24">
        <f>A723+Age</f>
        <v>27</v>
      </c>
      <c r="C723" s="19">
        <f>B*c_gom^B723</f>
        <v>4.098032853050014E-3</v>
      </c>
      <c r="D723" s="19">
        <f t="shared" si="10"/>
        <v>-4.0107409278550043E-3</v>
      </c>
      <c r="E723" s="26">
        <f>E722+Step_h*D722</f>
        <v>0.97869906652162586</v>
      </c>
      <c r="J723" s="24">
        <f>ROUND(J722-Step_h,2)</f>
        <v>3</v>
      </c>
      <c r="K723" s="24">
        <f>J723+Age</f>
        <v>23</v>
      </c>
      <c r="L723" s="19">
        <f>B*c_gom^K723</f>
        <v>2.9031497888740649E-3</v>
      </c>
      <c r="M723" s="19">
        <f>N723*delta +Prem-L723*(1-N723)</f>
        <v>3.7852710748978316E-4</v>
      </c>
      <c r="N723" s="26">
        <f>N722-Step_h*M722</f>
        <v>5.3243880088040913E-3</v>
      </c>
      <c r="U723" s="2"/>
      <c r="X723" s="2"/>
    </row>
    <row r="724" spans="1:24" x14ac:dyDescent="0.45">
      <c r="A724" s="24">
        <v>7.01</v>
      </c>
      <c r="B724" s="24">
        <f>A724+Age</f>
        <v>27.009999999999998</v>
      </c>
      <c r="C724" s="19">
        <f>B*c_gom^B724</f>
        <v>4.1015659655127797E-3</v>
      </c>
      <c r="D724" s="19">
        <f t="shared" si="10"/>
        <v>-4.0140342785393666E-3</v>
      </c>
      <c r="E724" s="26">
        <f>E723+Step_h*D723</f>
        <v>0.97865895911234735</v>
      </c>
      <c r="J724" s="24">
        <f>ROUND(J723-Step_h,2)</f>
        <v>2.99</v>
      </c>
      <c r="K724" s="24">
        <f>J724+Age</f>
        <v>22.990000000000002</v>
      </c>
      <c r="L724" s="19">
        <f>B*c_gom^K724</f>
        <v>2.9006489989839156E-3</v>
      </c>
      <c r="M724" s="19">
        <f>N724*delta +Prem-L724*(1-N724)</f>
        <v>3.8081433890772929E-4</v>
      </c>
      <c r="N724" s="26">
        <f>N723-Step_h*M723</f>
        <v>5.3206027377291935E-3</v>
      </c>
      <c r="U724" s="2"/>
      <c r="X724" s="2"/>
    </row>
    <row r="725" spans="1:24" x14ac:dyDescent="0.45">
      <c r="A725" s="24">
        <v>7.0200000000000005</v>
      </c>
      <c r="B725" s="24">
        <f>A725+Age</f>
        <v>27.02</v>
      </c>
      <c r="C725" s="19">
        <f>B*c_gom^B725</f>
        <v>4.1051021240427988E-3</v>
      </c>
      <c r="D725" s="19">
        <f t="shared" si="10"/>
        <v>-4.0173301915591838E-3</v>
      </c>
      <c r="E725" s="26">
        <f>E724+Step_h*D724</f>
        <v>0.97861881876956192</v>
      </c>
      <c r="J725" s="24">
        <f>ROUND(J724-Step_h,2)</f>
        <v>2.98</v>
      </c>
      <c r="K725" s="24">
        <f>J725+Age</f>
        <v>22.98</v>
      </c>
      <c r="L725" s="19">
        <f>B*c_gom^K725</f>
        <v>2.8981503632885281E-3</v>
      </c>
      <c r="M725" s="19">
        <f>N725*delta +Prem-L725*(1-N725)</f>
        <v>3.8309823661359516E-4</v>
      </c>
      <c r="N725" s="26">
        <f>N724-Step_h*M724</f>
        <v>5.3167945943401159E-3</v>
      </c>
      <c r="U725" s="2"/>
      <c r="X725" s="2"/>
    </row>
    <row r="726" spans="1:24" x14ac:dyDescent="0.45">
      <c r="A726" s="24">
        <v>7.03</v>
      </c>
      <c r="B726" s="24">
        <f>A726+Age</f>
        <v>27.03</v>
      </c>
      <c r="C726" s="19">
        <f>B*c_gom^B726</f>
        <v>4.1086413312662311E-3</v>
      </c>
      <c r="D726" s="19">
        <f t="shared" si="10"/>
        <v>-4.0206286686628951E-3</v>
      </c>
      <c r="E726" s="26">
        <f>E725+Step_h*D725</f>
        <v>0.97857864546764628</v>
      </c>
      <c r="J726" s="24">
        <f>ROUND(J725-Step_h,2)</f>
        <v>2.97</v>
      </c>
      <c r="K726" s="24">
        <f>J726+Age</f>
        <v>22.97</v>
      </c>
      <c r="L726" s="19">
        <f>B*c_gom^K726</f>
        <v>2.8956538799322687E-3</v>
      </c>
      <c r="M726" s="19">
        <f>N726*delta +Prem-L726*(1-N726)</f>
        <v>3.8537880436338191E-4</v>
      </c>
      <c r="N726" s="26">
        <f>N725-Step_h*M725</f>
        <v>5.3129636119739797E-3</v>
      </c>
      <c r="U726" s="2"/>
      <c r="X726" s="2"/>
    </row>
    <row r="727" spans="1:24" x14ac:dyDescent="0.45">
      <c r="A727" s="24">
        <v>7.04</v>
      </c>
      <c r="B727" s="24">
        <f>A727+Age</f>
        <v>27.04</v>
      </c>
      <c r="C727" s="19">
        <f>B*c_gom^B727</f>
        <v>4.1121835898115036E-3</v>
      </c>
      <c r="D727" s="19">
        <f t="shared" si="10"/>
        <v>-4.0239297115997044E-3</v>
      </c>
      <c r="E727" s="26">
        <f>E726+Step_h*D726</f>
        <v>0.97853843918095962</v>
      </c>
      <c r="J727" s="24">
        <f>ROUND(J726-Step_h,2)</f>
        <v>2.96</v>
      </c>
      <c r="K727" s="24">
        <f>J727+Age</f>
        <v>22.96</v>
      </c>
      <c r="L727" s="19">
        <f>B*c_gom^K727</f>
        <v>2.8931595470611015E-3</v>
      </c>
      <c r="M727" s="19">
        <f>N727*delta +Prem-L727*(1-N727)</f>
        <v>3.8765604590891567E-4</v>
      </c>
      <c r="N727" s="26">
        <f>N726-Step_h*M726</f>
        <v>5.309109823930346E-3</v>
      </c>
      <c r="U727" s="2"/>
      <c r="X727" s="2"/>
    </row>
    <row r="728" spans="1:24" x14ac:dyDescent="0.45">
      <c r="A728" s="24">
        <v>7.05</v>
      </c>
      <c r="B728" s="24">
        <f>A728+Age</f>
        <v>27.05</v>
      </c>
      <c r="C728" s="19">
        <f>B*c_gom^B728</f>
        <v>4.1157289023093114E-3</v>
      </c>
      <c r="D728" s="19">
        <f t="shared" ref="D728:D791" si="11">-E728*C728</f>
        <v>-4.0272333221195687E-3</v>
      </c>
      <c r="E728" s="26">
        <f>E727+Step_h*D727</f>
        <v>0.97849819988384357</v>
      </c>
      <c r="J728" s="24">
        <f>ROUND(J727-Step_h,2)</f>
        <v>2.95</v>
      </c>
      <c r="K728" s="24">
        <f>J728+Age</f>
        <v>22.95</v>
      </c>
      <c r="L728" s="19">
        <f>B*c_gom^K728</f>
        <v>2.8906673628225845E-3</v>
      </c>
      <c r="M728" s="19">
        <f>N728*delta +Prem-L728*(1-N728)</f>
        <v>3.8992996499785573E-4</v>
      </c>
      <c r="N728" s="26">
        <f>N727-Step_h*M727</f>
        <v>5.3052332634712573E-3</v>
      </c>
      <c r="U728" s="2"/>
      <c r="X728" s="2"/>
    </row>
    <row r="729" spans="1:24" x14ac:dyDescent="0.45">
      <c r="A729" s="24">
        <v>7.0600000000000005</v>
      </c>
      <c r="B729" s="24">
        <f>A729+Age</f>
        <v>27.060000000000002</v>
      </c>
      <c r="C729" s="19">
        <f>B*c_gom^B729</f>
        <v>4.1192772713926108E-3</v>
      </c>
      <c r="D729" s="19">
        <f t="shared" si="11"/>
        <v>-4.0305395019731962E-3</v>
      </c>
      <c r="E729" s="26">
        <f>E728+Step_h*D728</f>
        <v>0.97845792755062233</v>
      </c>
      <c r="J729" s="24">
        <f>ROUND(J728-Step_h,2)</f>
        <v>2.94</v>
      </c>
      <c r="K729" s="24">
        <f>J729+Age</f>
        <v>22.94</v>
      </c>
      <c r="L729" s="19">
        <f>B*c_gom^K729</f>
        <v>2.888177325365874E-3</v>
      </c>
      <c r="M729" s="19">
        <f>N729*delta +Prem-L729*(1-N729)</f>
        <v>3.9220056537369067E-4</v>
      </c>
      <c r="N729" s="26">
        <f>N728-Step_h*M728</f>
        <v>5.301333963821279E-3</v>
      </c>
      <c r="U729" s="2"/>
      <c r="X729" s="2"/>
    </row>
    <row r="730" spans="1:24" x14ac:dyDescent="0.45">
      <c r="A730" s="24">
        <v>7.07</v>
      </c>
      <c r="B730" s="24">
        <f>A730+Age</f>
        <v>27.07</v>
      </c>
      <c r="C730" s="19">
        <f>B*c_gom^B730</f>
        <v>4.1228286996966342E-3</v>
      </c>
      <c r="D730" s="19">
        <f t="shared" si="11"/>
        <v>-4.0338482529120555E-3</v>
      </c>
      <c r="E730" s="26">
        <f>E729+Step_h*D729</f>
        <v>0.97841762215560257</v>
      </c>
      <c r="J730" s="24">
        <f>ROUND(J729-Step_h,2)</f>
        <v>2.93</v>
      </c>
      <c r="K730" s="24">
        <f>J730+Age</f>
        <v>22.93</v>
      </c>
      <c r="L730" s="19">
        <f>B*c_gom^K730</f>
        <v>2.8856894328417194E-3</v>
      </c>
      <c r="M730" s="19">
        <f>N730*delta +Prem-L730*(1-N730)</f>
        <v>3.9446785077575141E-4</v>
      </c>
      <c r="N730" s="26">
        <f>N729-Step_h*M729</f>
        <v>5.297411958167542E-3</v>
      </c>
      <c r="U730" s="2"/>
      <c r="X730" s="2"/>
    </row>
    <row r="731" spans="1:24" x14ac:dyDescent="0.45">
      <c r="A731" s="24">
        <v>7.08</v>
      </c>
      <c r="B731" s="24">
        <f>A731+Age</f>
        <v>27.08</v>
      </c>
      <c r="C731" s="19">
        <f>B*c_gom^B731</f>
        <v>4.1263831898588829E-3</v>
      </c>
      <c r="D731" s="19">
        <f t="shared" si="11"/>
        <v>-4.0371595766883657E-3</v>
      </c>
      <c r="E731" s="26">
        <f>E730+Step_h*D730</f>
        <v>0.97837728367307342</v>
      </c>
      <c r="J731" s="24">
        <f>ROUND(J730-Step_h,2)</f>
        <v>2.92</v>
      </c>
      <c r="K731" s="24">
        <f>J731+Age</f>
        <v>22.92</v>
      </c>
      <c r="L731" s="19">
        <f>B*c_gom^K731</f>
        <v>2.8832036834024652E-3</v>
      </c>
      <c r="M731" s="19">
        <f>N731*delta +Prem-L731*(1-N731)</f>
        <v>3.9673182493920938E-4</v>
      </c>
      <c r="N731" s="26">
        <f>N730-Step_h*M730</f>
        <v>5.2934672796597845E-3</v>
      </c>
      <c r="U731" s="2"/>
      <c r="X731" s="2"/>
    </row>
    <row r="732" spans="1:24" x14ac:dyDescent="0.45">
      <c r="A732" s="24">
        <v>7.09</v>
      </c>
      <c r="B732" s="24">
        <f>A732+Age</f>
        <v>27.09</v>
      </c>
      <c r="C732" s="19">
        <f>B*c_gom^B732</f>
        <v>4.1299407445191368E-3</v>
      </c>
      <c r="D732" s="19">
        <f t="shared" si="11"/>
        <v>-4.0404734750551048E-3</v>
      </c>
      <c r="E732" s="26">
        <f>E731+Step_h*D731</f>
        <v>0.97833691207730655</v>
      </c>
      <c r="J732" s="24">
        <f>ROUND(J731-Step_h,2)</f>
        <v>2.91</v>
      </c>
      <c r="K732" s="24">
        <f>J732+Age</f>
        <v>22.91</v>
      </c>
      <c r="L732" s="19">
        <f>B*c_gom^K732</f>
        <v>2.8807200752020428E-3</v>
      </c>
      <c r="M732" s="19">
        <f>N732*delta +Prem-L732*(1-N732)</f>
        <v>3.9899249159509225E-4</v>
      </c>
      <c r="N732" s="26">
        <f>N731-Step_h*M731</f>
        <v>5.2894999614103927E-3</v>
      </c>
      <c r="U732" s="2"/>
      <c r="X732" s="2"/>
    </row>
    <row r="733" spans="1:24" x14ac:dyDescent="0.45">
      <c r="A733" s="24">
        <v>7.1000000000000005</v>
      </c>
      <c r="B733" s="24">
        <f>A733+Age</f>
        <v>27.1</v>
      </c>
      <c r="C733" s="19">
        <f>B*c_gom^B733</f>
        <v>4.1335013663194422E-3</v>
      </c>
      <c r="D733" s="19">
        <f t="shared" si="11"/>
        <v>-4.0437899497659932E-3</v>
      </c>
      <c r="E733" s="26">
        <f>E732+Step_h*D732</f>
        <v>0.97829650734255602</v>
      </c>
      <c r="J733" s="24">
        <f>ROUND(J732-Step_h,2)</f>
        <v>2.9</v>
      </c>
      <c r="K733" s="24">
        <f>J733+Age</f>
        <v>22.9</v>
      </c>
      <c r="L733" s="19">
        <f>B*c_gom^K733</f>
        <v>2.8782386063959785E-3</v>
      </c>
      <c r="M733" s="19">
        <f>N733*delta +Prem-L733*(1-N733)</f>
        <v>4.0124985447027514E-4</v>
      </c>
      <c r="N733" s="26">
        <f>N732-Step_h*M732</f>
        <v>5.2855100364944422E-3</v>
      </c>
      <c r="U733" s="2"/>
      <c r="X733" s="2"/>
    </row>
    <row r="734" spans="1:24" x14ac:dyDescent="0.45">
      <c r="A734" s="24">
        <v>7.11</v>
      </c>
      <c r="B734" s="24">
        <f>A734+Age</f>
        <v>27.11</v>
      </c>
      <c r="C734" s="19">
        <f>B*c_gom^B734</f>
        <v>4.1370650579041308E-3</v>
      </c>
      <c r="D734" s="19">
        <f t="shared" si="11"/>
        <v>-4.0471090025755137E-3</v>
      </c>
      <c r="E734" s="26">
        <f>E733+Step_h*D733</f>
        <v>0.97825606944305832</v>
      </c>
      <c r="J734" s="24">
        <f>ROUND(J733-Step_h,2)</f>
        <v>2.89</v>
      </c>
      <c r="K734" s="24">
        <f>J734+Age</f>
        <v>22.89</v>
      </c>
      <c r="L734" s="19">
        <f>B*c_gom^K734</f>
        <v>2.875759275141387E-3</v>
      </c>
      <c r="M734" s="19">
        <f>N734*delta +Prem-L734*(1-N734)</f>
        <v>4.0350391728749546E-4</v>
      </c>
      <c r="N734" s="26">
        <f>N733-Step_h*M733</f>
        <v>5.2814975379497399E-3</v>
      </c>
      <c r="U734" s="2"/>
      <c r="X734" s="2"/>
    </row>
    <row r="735" spans="1:24" x14ac:dyDescent="0.45">
      <c r="A735" s="24">
        <v>7.12</v>
      </c>
      <c r="B735" s="24">
        <f>A735+Age</f>
        <v>27.12</v>
      </c>
      <c r="C735" s="19">
        <f>B*c_gom^B735</f>
        <v>4.1406318219198174E-3</v>
      </c>
      <c r="D735" s="19">
        <f t="shared" si="11"/>
        <v>-4.0504306352389012E-3</v>
      </c>
      <c r="E735" s="26">
        <f>E734+Step_h*D734</f>
        <v>0.97821559835303251</v>
      </c>
      <c r="J735" s="24">
        <f>ROUND(J734-Step_h,2)</f>
        <v>2.88</v>
      </c>
      <c r="K735" s="24">
        <f>J735+Age</f>
        <v>22.88</v>
      </c>
      <c r="L735" s="19">
        <f>B*c_gom^K735</f>
        <v>2.873282079596967E-3</v>
      </c>
      <c r="M735" s="19">
        <f>N735*delta +Prem-L735*(1-N735)</f>
        <v>4.0575468376535676E-4</v>
      </c>
      <c r="N735" s="26">
        <f>N734-Step_h*M734</f>
        <v>5.2774624987768646E-3</v>
      </c>
      <c r="U735" s="2"/>
      <c r="X735" s="2"/>
    </row>
    <row r="736" spans="1:24" x14ac:dyDescent="0.45">
      <c r="A736" s="24">
        <v>7.13</v>
      </c>
      <c r="B736" s="24">
        <f>A736+Age</f>
        <v>27.13</v>
      </c>
      <c r="C736" s="19">
        <f>B*c_gom^B736</f>
        <v>4.1442016610153858E-3</v>
      </c>
      <c r="D736" s="19">
        <f t="shared" si="11"/>
        <v>-4.0537548495121331E-3</v>
      </c>
      <c r="E736" s="26">
        <f>E735+Step_h*D735</f>
        <v>0.97817509404668013</v>
      </c>
      <c r="J736" s="24">
        <f>ROUND(J735-Step_h,2)</f>
        <v>2.87</v>
      </c>
      <c r="K736" s="24">
        <f>J736+Age</f>
        <v>22.87</v>
      </c>
      <c r="L736" s="19">
        <f>B*c_gom^K736</f>
        <v>2.8708070179230064E-3</v>
      </c>
      <c r="M736" s="19">
        <f>N736*delta +Prem-L736*(1-N736)</f>
        <v>4.080021576183309E-4</v>
      </c>
      <c r="N736" s="26">
        <f>N735-Step_h*M735</f>
        <v>5.2734049519392113E-3</v>
      </c>
      <c r="U736" s="2"/>
      <c r="X736" s="2"/>
    </row>
    <row r="737" spans="1:24" x14ac:dyDescent="0.45">
      <c r="A737" s="24">
        <v>7.1400000000000006</v>
      </c>
      <c r="B737" s="24">
        <f>A737+Age</f>
        <v>27.14</v>
      </c>
      <c r="C737" s="19">
        <f>B*c_gom^B737</f>
        <v>4.1477745778420146E-3</v>
      </c>
      <c r="D737" s="19">
        <f t="shared" si="11"/>
        <v>-4.0570816471519455E-3</v>
      </c>
      <c r="E737" s="26">
        <f>E736+Step_h*D736</f>
        <v>0.97813455649818504</v>
      </c>
      <c r="J737" s="24">
        <f>ROUND(J736-Step_h,2)</f>
        <v>2.86</v>
      </c>
      <c r="K737" s="24">
        <f>J737+Age</f>
        <v>22.86</v>
      </c>
      <c r="L737" s="19">
        <f>B*c_gom^K737</f>
        <v>2.8683340882813763E-3</v>
      </c>
      <c r="M737" s="19">
        <f>N737*delta +Prem-L737*(1-N737)</f>
        <v>4.1024634255676633E-4</v>
      </c>
      <c r="N737" s="26">
        <f>N736-Step_h*M736</f>
        <v>5.2693249303630276E-3</v>
      </c>
      <c r="U737" s="2"/>
      <c r="X737" s="2"/>
    </row>
    <row r="738" spans="1:24" x14ac:dyDescent="0.45">
      <c r="A738" s="24">
        <v>7.15</v>
      </c>
      <c r="B738" s="24">
        <f>A738+Age</f>
        <v>27.15</v>
      </c>
      <c r="C738" s="19">
        <f>B*c_gom^B738</f>
        <v>4.1513505750531655E-3</v>
      </c>
      <c r="D738" s="19">
        <f t="shared" si="11"/>
        <v>-4.060411029915824E-3</v>
      </c>
      <c r="E738" s="26">
        <f>E737+Step_h*D737</f>
        <v>0.97809398568171346</v>
      </c>
      <c r="J738" s="24">
        <f>ROUND(J737-Step_h,2)</f>
        <v>2.85</v>
      </c>
      <c r="K738" s="24">
        <f>J738+Age</f>
        <v>22.85</v>
      </c>
      <c r="L738" s="19">
        <f>B*c_gom^K738</f>
        <v>2.8658632888355334E-3</v>
      </c>
      <c r="M738" s="19">
        <f>N738*delta +Prem-L738*(1-N738)</f>
        <v>4.1248724228688805E-4</v>
      </c>
      <c r="N738" s="26">
        <f>N737-Step_h*M737</f>
        <v>5.26522246693746E-3</v>
      </c>
      <c r="U738" s="2"/>
      <c r="X738" s="2"/>
    </row>
    <row r="739" spans="1:24" x14ac:dyDescent="0.45">
      <c r="A739" s="24">
        <v>7.16</v>
      </c>
      <c r="B739" s="24">
        <f>A739+Age</f>
        <v>27.16</v>
      </c>
      <c r="C739" s="19">
        <f>B*c_gom^B739</f>
        <v>4.1549296553045883E-3</v>
      </c>
      <c r="D739" s="19">
        <f t="shared" si="11"/>
        <v>-4.063742999562003E-3</v>
      </c>
      <c r="E739" s="26">
        <f>E738+Step_h*D738</f>
        <v>0.9780533815714143</v>
      </c>
      <c r="J739" s="24">
        <f>ROUND(J738-Step_h,2)</f>
        <v>2.84</v>
      </c>
      <c r="K739" s="24">
        <f>J739+Age</f>
        <v>22.84</v>
      </c>
      <c r="L739" s="19">
        <f>B*c_gom^K739</f>
        <v>2.8633946177505126E-3</v>
      </c>
      <c r="M739" s="19">
        <f>N739*delta +Prem-L739*(1-N739)</f>
        <v>4.1472486051081017E-4</v>
      </c>
      <c r="N739" s="26">
        <f>N738-Step_h*M738</f>
        <v>5.2610975945145914E-3</v>
      </c>
      <c r="U739" s="2"/>
      <c r="X739" s="2"/>
    </row>
    <row r="740" spans="1:24" x14ac:dyDescent="0.45">
      <c r="A740" s="24">
        <v>7.17</v>
      </c>
      <c r="B740" s="24">
        <f>A740+Age</f>
        <v>27.17</v>
      </c>
      <c r="C740" s="19">
        <f>B*c_gom^B740</f>
        <v>4.1585118212543156E-3</v>
      </c>
      <c r="D740" s="19">
        <f t="shared" si="11"/>
        <v>-4.0670775578494616E-3</v>
      </c>
      <c r="E740" s="26">
        <f>E739+Step_h*D739</f>
        <v>0.9780127441414187</v>
      </c>
      <c r="J740" s="24">
        <f>ROUND(J739-Step_h,2)</f>
        <v>2.83</v>
      </c>
      <c r="K740" s="24">
        <f>J740+Age</f>
        <v>22.83</v>
      </c>
      <c r="L740" s="19">
        <f>B*c_gom^K740</f>
        <v>2.8609280731929335E-3</v>
      </c>
      <c r="M740" s="19">
        <f>N740*delta +Prem-L740*(1-N740)</f>
        <v>4.1695920092653469E-4</v>
      </c>
      <c r="N740" s="26">
        <f>N739-Step_h*M739</f>
        <v>5.2569503459094832E-3</v>
      </c>
      <c r="U740" s="2"/>
      <c r="X740" s="2"/>
    </row>
    <row r="741" spans="1:24" x14ac:dyDescent="0.45">
      <c r="A741" s="24">
        <v>7.18</v>
      </c>
      <c r="B741" s="24">
        <f>A741+Age</f>
        <v>27.18</v>
      </c>
      <c r="C741" s="19">
        <f>B*c_gom^B741</f>
        <v>4.1620970755626829E-3</v>
      </c>
      <c r="D741" s="19">
        <f t="shared" si="11"/>
        <v>-4.0704147065379372E-3</v>
      </c>
      <c r="E741" s="26">
        <f>E740+Step_h*D740</f>
        <v>0.97797207336584024</v>
      </c>
      <c r="J741" s="24">
        <f>ROUND(J740-Step_h,2)</f>
        <v>2.82</v>
      </c>
      <c r="K741" s="24">
        <f>J741+Age</f>
        <v>22.82</v>
      </c>
      <c r="L741" s="19">
        <f>B*c_gom^K741</f>
        <v>2.8584636533309925E-3</v>
      </c>
      <c r="M741" s="19">
        <f>N741*delta +Prem-L741*(1-N741)</f>
        <v>4.1919026722795879E-4</v>
      </c>
      <c r="N741" s="26">
        <f>N740-Step_h*M740</f>
        <v>5.2527807539002177E-3</v>
      </c>
      <c r="U741" s="2"/>
      <c r="X741" s="2"/>
    </row>
    <row r="742" spans="1:24" x14ac:dyDescent="0.45">
      <c r="A742" s="24">
        <v>7.19</v>
      </c>
      <c r="B742" s="24">
        <f>A742+Age</f>
        <v>27.19</v>
      </c>
      <c r="C742" s="19">
        <f>B*c_gom^B742</f>
        <v>4.1656854208923129E-3</v>
      </c>
      <c r="D742" s="19">
        <f t="shared" si="11"/>
        <v>-4.0737544473879077E-3</v>
      </c>
      <c r="E742" s="26">
        <f>E741+Step_h*D741</f>
        <v>0.97793136921877488</v>
      </c>
      <c r="J742" s="24">
        <f>ROUND(J741-Step_h,2)</f>
        <v>2.81</v>
      </c>
      <c r="K742" s="24">
        <f>J742+Age</f>
        <v>22.81</v>
      </c>
      <c r="L742" s="19">
        <f>B*c_gom^K742</f>
        <v>2.856001356334464E-3</v>
      </c>
      <c r="M742" s="19">
        <f>N742*delta +Prem-L742*(1-N742)</f>
        <v>4.2141806310488179E-4</v>
      </c>
      <c r="N742" s="26">
        <f>N741-Step_h*M741</f>
        <v>5.2485888512279382E-3</v>
      </c>
      <c r="U742" s="2"/>
      <c r="X742" s="2"/>
    </row>
    <row r="743" spans="1:24" x14ac:dyDescent="0.45">
      <c r="A743" s="24">
        <v>7.2</v>
      </c>
      <c r="B743" s="24">
        <f>A743+Age</f>
        <v>27.2</v>
      </c>
      <c r="C743" s="19">
        <f>B*c_gom^B743</f>
        <v>4.1692768599081199E-3</v>
      </c>
      <c r="D743" s="19">
        <f t="shared" si="11"/>
        <v>-4.0770967821605972E-3</v>
      </c>
      <c r="E743" s="26">
        <f>E742+Step_h*D742</f>
        <v>0.97789063167430101</v>
      </c>
      <c r="J743" s="24">
        <f>ROUND(J742-Step_h,2)</f>
        <v>2.8</v>
      </c>
      <c r="K743" s="24">
        <f>J743+Age</f>
        <v>22.8</v>
      </c>
      <c r="L743" s="19">
        <f>B*c_gom^K743</f>
        <v>2.8535411803747011E-3</v>
      </c>
      <c r="M743" s="19">
        <f>N743*delta +Prem-L743*(1-N743)</f>
        <v>4.2364259224300562E-4</v>
      </c>
      <c r="N743" s="26">
        <f>N742-Step_h*M742</f>
        <v>5.2443746705968892E-3</v>
      </c>
      <c r="U743" s="2"/>
      <c r="X743" s="2"/>
    </row>
    <row r="744" spans="1:24" x14ac:dyDescent="0.45">
      <c r="A744" s="24">
        <v>7.21</v>
      </c>
      <c r="B744" s="24">
        <f>A744+Age</f>
        <v>27.21</v>
      </c>
      <c r="C744" s="19">
        <f>B*c_gom^B744</f>
        <v>4.1728713952773281E-3</v>
      </c>
      <c r="D744" s="19">
        <f t="shared" si="11"/>
        <v>-4.0804417126179878E-3</v>
      </c>
      <c r="E744" s="26">
        <f>E743+Step_h*D743</f>
        <v>0.97784986070647939</v>
      </c>
      <c r="J744" s="24">
        <f>ROUND(J743-Step_h,2)</f>
        <v>2.79</v>
      </c>
      <c r="K744" s="24">
        <f>J744+Age</f>
        <v>22.79</v>
      </c>
      <c r="L744" s="19">
        <f>B*c_gom^K744</f>
        <v>2.8510831236246287E-3</v>
      </c>
      <c r="M744" s="19">
        <f>N744*delta +Prem-L744*(1-N744)</f>
        <v>4.2586385832394606E-4</v>
      </c>
      <c r="N744" s="26">
        <f>N743-Step_h*M743</f>
        <v>5.2401382446744587E-3</v>
      </c>
      <c r="U744" s="2"/>
      <c r="X744" s="2"/>
    </row>
    <row r="745" spans="1:24" x14ac:dyDescent="0.45">
      <c r="A745" s="24">
        <v>7.22</v>
      </c>
      <c r="B745" s="24">
        <f>A745+Age</f>
        <v>27.22</v>
      </c>
      <c r="C745" s="19">
        <f>B*c_gom^B745</f>
        <v>4.1764690296694469E-3</v>
      </c>
      <c r="D745" s="19">
        <f t="shared" si="11"/>
        <v>-4.0837892405227927E-3</v>
      </c>
      <c r="E745" s="26">
        <f>E744+Step_h*D744</f>
        <v>0.97780905628935322</v>
      </c>
      <c r="J745" s="24">
        <f>ROUND(J744-Step_h,2)</f>
        <v>2.78</v>
      </c>
      <c r="K745" s="24">
        <f>J745+Age</f>
        <v>22.78</v>
      </c>
      <c r="L745" s="19">
        <f>B*c_gom^K745</f>
        <v>2.8486271842587492E-3</v>
      </c>
      <c r="M745" s="19">
        <f>N745*delta +Prem-L745*(1-N745)</f>
        <v>4.2808186502522882E-4</v>
      </c>
      <c r="N745" s="26">
        <f>N744-Step_h*M744</f>
        <v>5.2358796060912195E-3</v>
      </c>
      <c r="U745" s="2"/>
      <c r="X745" s="2"/>
    </row>
    <row r="746" spans="1:24" x14ac:dyDescent="0.45">
      <c r="A746" s="24">
        <v>7.23</v>
      </c>
      <c r="B746" s="24">
        <f>A746+Age</f>
        <v>27.23</v>
      </c>
      <c r="C746" s="19">
        <f>B*c_gom^B746</f>
        <v>4.1800697657562967E-3</v>
      </c>
      <c r="D746" s="19">
        <f t="shared" si="11"/>
        <v>-4.0871393676384813E-3</v>
      </c>
      <c r="E746" s="26">
        <f>E745+Step_h*D745</f>
        <v>0.97776821839694794</v>
      </c>
      <c r="J746" s="24">
        <f>ROUND(J745-Step_h,2)</f>
        <v>2.77</v>
      </c>
      <c r="K746" s="24">
        <f>J746+Age</f>
        <v>22.77</v>
      </c>
      <c r="L746" s="19">
        <f>B*c_gom^K746</f>
        <v>2.8461733604531339E-3</v>
      </c>
      <c r="M746" s="19">
        <f>N746*delta +Prem-L746*(1-N746)</f>
        <v>4.3029661602030783E-4</v>
      </c>
      <c r="N746" s="26">
        <f>N745-Step_h*M745</f>
        <v>5.2315987874409671E-3</v>
      </c>
      <c r="U746" s="2"/>
      <c r="X746" s="2"/>
    </row>
    <row r="747" spans="1:24" x14ac:dyDescent="0.45">
      <c r="A747" s="24">
        <v>7.24</v>
      </c>
      <c r="B747" s="24">
        <f>A747+Age</f>
        <v>27.240000000000002</v>
      </c>
      <c r="C747" s="19">
        <f>B*c_gom^B747</f>
        <v>4.1836736062120005E-3</v>
      </c>
      <c r="D747" s="19">
        <f t="shared" si="11"/>
        <v>-4.0904920957292694E-3</v>
      </c>
      <c r="E747" s="26">
        <f>E746+Step_h*D746</f>
        <v>0.97772734700327157</v>
      </c>
      <c r="J747" s="24">
        <f>ROUND(J746-Step_h,2)</f>
        <v>2.76</v>
      </c>
      <c r="K747" s="24">
        <f>J747+Age</f>
        <v>22.759999999999998</v>
      </c>
      <c r="L747" s="19">
        <f>B*c_gom^K747</f>
        <v>2.8437216503854282E-3</v>
      </c>
      <c r="M747" s="19">
        <f>N747*delta +Prem-L747*(1-N747)</f>
        <v>4.3250811497855517E-4</v>
      </c>
      <c r="N747" s="26">
        <f>N746-Step_h*M746</f>
        <v>5.2272958212807637E-3</v>
      </c>
      <c r="U747" s="2"/>
      <c r="X747" s="2"/>
    </row>
    <row r="748" spans="1:24" x14ac:dyDescent="0.45">
      <c r="A748" s="24">
        <v>7.25</v>
      </c>
      <c r="B748" s="24">
        <f>A748+Age</f>
        <v>27.25</v>
      </c>
      <c r="C748" s="19">
        <f>B*c_gom^B748</f>
        <v>4.1872805537129807E-3</v>
      </c>
      <c r="D748" s="19">
        <f t="shared" si="11"/>
        <v>-4.093847426560107E-3</v>
      </c>
      <c r="E748" s="26">
        <f>E747+Step_h*D747</f>
        <v>0.97768644208231426</v>
      </c>
      <c r="J748" s="24">
        <f>ROUND(J747-Step_h,2)</f>
        <v>2.75</v>
      </c>
      <c r="K748" s="24">
        <f>J748+Age</f>
        <v>22.75</v>
      </c>
      <c r="L748" s="19">
        <f>B*c_gom^K748</f>
        <v>2.8412720522348468E-3</v>
      </c>
      <c r="M748" s="19">
        <f>N748*delta +Prem-L748*(1-N748)</f>
        <v>4.3471636556527676E-4</v>
      </c>
      <c r="N748" s="26">
        <f>N747-Step_h*M747</f>
        <v>5.2229707401309786E-3</v>
      </c>
      <c r="U748" s="2"/>
      <c r="X748" s="2"/>
    </row>
    <row r="749" spans="1:24" x14ac:dyDescent="0.45">
      <c r="A749" s="24">
        <v>7.26</v>
      </c>
      <c r="B749" s="24">
        <f>A749+Age</f>
        <v>27.259999999999998</v>
      </c>
      <c r="C749" s="19">
        <f>B*c_gom^B749</f>
        <v>4.1908906109379748E-3</v>
      </c>
      <c r="D749" s="19">
        <f t="shared" si="11"/>
        <v>-4.0972053618966988E-3</v>
      </c>
      <c r="E749" s="26">
        <f>E748+Step_h*D748</f>
        <v>0.97764550360804869</v>
      </c>
      <c r="J749" s="24">
        <f>ROUND(J748-Step_h,2)</f>
        <v>2.74</v>
      </c>
      <c r="K749" s="24">
        <f>J749+Age</f>
        <v>22.740000000000002</v>
      </c>
      <c r="L749" s="19">
        <f>B*c_gom^K749</f>
        <v>2.8388245641821708E-3</v>
      </c>
      <c r="M749" s="19">
        <f>N749*delta +Prem-L749*(1-N749)</f>
        <v>4.3692137144171403E-4</v>
      </c>
      <c r="N749" s="26">
        <f>N748-Step_h*M748</f>
        <v>5.2186235764753262E-3</v>
      </c>
      <c r="U749" s="2"/>
      <c r="X749" s="2"/>
    </row>
    <row r="750" spans="1:24" x14ac:dyDescent="0.45">
      <c r="A750" s="24">
        <v>7.2700000000000005</v>
      </c>
      <c r="B750" s="24">
        <f>A750+Age</f>
        <v>27.27</v>
      </c>
      <c r="C750" s="19">
        <f>B*c_gom^B750</f>
        <v>4.1945037805680247E-3</v>
      </c>
      <c r="D750" s="19">
        <f t="shared" si="11"/>
        <v>-4.1005659035054879E-3</v>
      </c>
      <c r="E750" s="26">
        <f>E749+Step_h*D749</f>
        <v>0.97760453155442972</v>
      </c>
      <c r="J750" s="24">
        <f>ROUND(J749-Step_h,2)</f>
        <v>2.73</v>
      </c>
      <c r="K750" s="24">
        <f>J750+Age</f>
        <v>22.73</v>
      </c>
      <c r="L750" s="19">
        <f>B*c_gom^K750</f>
        <v>2.8363791844097496E-3</v>
      </c>
      <c r="M750" s="19">
        <f>N750*delta +Prem-L750*(1-N750)</f>
        <v>4.3912313626504832E-4</v>
      </c>
      <c r="N750" s="26">
        <f>N749-Step_h*M749</f>
        <v>5.2142543627609087E-3</v>
      </c>
      <c r="U750" s="2"/>
      <c r="X750" s="2"/>
    </row>
    <row r="751" spans="1:24" x14ac:dyDescent="0.45">
      <c r="A751" s="24">
        <v>7.28</v>
      </c>
      <c r="B751" s="24">
        <f>A751+Age</f>
        <v>27.28</v>
      </c>
      <c r="C751" s="19">
        <f>B*c_gom^B751</f>
        <v>4.1981200652864877E-3</v>
      </c>
      <c r="D751" s="19">
        <f t="shared" si="11"/>
        <v>-4.103929053153663E-3</v>
      </c>
      <c r="E751" s="26">
        <f>E750+Step_h*D750</f>
        <v>0.97756352589539464</v>
      </c>
      <c r="J751" s="24">
        <f>ROUND(J750-Step_h,2)</f>
        <v>2.72</v>
      </c>
      <c r="K751" s="24">
        <f>J751+Age</f>
        <v>22.72</v>
      </c>
      <c r="L751" s="19">
        <f>B*c_gom^K751</f>
        <v>2.833935911101499E-3</v>
      </c>
      <c r="M751" s="19">
        <f>N751*delta +Prem-L751*(1-N751)</f>
        <v>4.4132166368840734E-4</v>
      </c>
      <c r="N751" s="26">
        <f>N750-Step_h*M750</f>
        <v>5.2098631313982581E-3</v>
      </c>
      <c r="U751" s="2"/>
      <c r="X751" s="2"/>
    </row>
    <row r="752" spans="1:24" x14ac:dyDescent="0.45">
      <c r="A752" s="24">
        <v>7.29</v>
      </c>
      <c r="B752" s="24">
        <f>A752+Age</f>
        <v>27.29</v>
      </c>
      <c r="C752" s="19">
        <f>B*c_gom^B752</f>
        <v>4.2017394677790285E-3</v>
      </c>
      <c r="D752" s="19">
        <f t="shared" si="11"/>
        <v>-4.1072948126091502E-3</v>
      </c>
      <c r="E752" s="26">
        <f>E751+Step_h*D751</f>
        <v>0.97752248660486307</v>
      </c>
      <c r="J752" s="24">
        <f>ROUND(J751-Step_h,2)</f>
        <v>2.71</v>
      </c>
      <c r="K752" s="24">
        <f>J752+Age</f>
        <v>22.71</v>
      </c>
      <c r="L752" s="19">
        <f>B*c_gom^K752</f>
        <v>2.8314947424428996E-3</v>
      </c>
      <c r="M752" s="19">
        <f>N752*delta +Prem-L752*(1-N752)</f>
        <v>4.4351695736086607E-4</v>
      </c>
      <c r="N752" s="26">
        <f>N751-Step_h*M751</f>
        <v>5.2054499147613743E-3</v>
      </c>
      <c r="U752" s="2"/>
      <c r="X752" s="2"/>
    </row>
    <row r="753" spans="1:24" x14ac:dyDescent="0.45">
      <c r="A753" s="24">
        <v>7.3</v>
      </c>
      <c r="B753" s="24">
        <f>A753+Age</f>
        <v>27.3</v>
      </c>
      <c r="C753" s="19">
        <f>B*c_gom^B753</f>
        <v>4.2053619907336335E-3</v>
      </c>
      <c r="D753" s="19">
        <f t="shared" si="11"/>
        <v>-4.1106631836406215E-3</v>
      </c>
      <c r="E753" s="26">
        <f>E752+Step_h*D752</f>
        <v>0.97748141365673702</v>
      </c>
      <c r="J753" s="24">
        <f>ROUND(J752-Step_h,2)</f>
        <v>2.7</v>
      </c>
      <c r="K753" s="24">
        <f>J753+Age</f>
        <v>22.7</v>
      </c>
      <c r="L753" s="19">
        <f>B*c_gom^K753</f>
        <v>2.8290556766209928E-3</v>
      </c>
      <c r="M753" s="19">
        <f>N753*delta +Prem-L753*(1-N753)</f>
        <v>4.4570902092745885E-4</v>
      </c>
      <c r="N753" s="26">
        <f>N752-Step_h*M752</f>
        <v>5.201014745187766E-3</v>
      </c>
      <c r="U753" s="2"/>
      <c r="X753" s="2"/>
    </row>
    <row r="754" spans="1:24" x14ac:dyDescent="0.45">
      <c r="A754" s="24">
        <v>7.3100000000000005</v>
      </c>
      <c r="B754" s="24">
        <f>A754+Age</f>
        <v>27.310000000000002</v>
      </c>
      <c r="C754" s="19">
        <f>B*c_gom^B754</f>
        <v>4.2089876368406045E-3</v>
      </c>
      <c r="D754" s="19">
        <f t="shared" si="11"/>
        <v>-4.1140341680174913E-3</v>
      </c>
      <c r="E754" s="26">
        <f>E753+Step_h*D753</f>
        <v>0.97744030702490059</v>
      </c>
      <c r="J754" s="24">
        <f>ROUND(J753-Step_h,2)</f>
        <v>2.69</v>
      </c>
      <c r="K754" s="24">
        <f>J754+Age</f>
        <v>22.69</v>
      </c>
      <c r="L754" s="19">
        <f>B*c_gom^K754</f>
        <v>2.8266187118243845E-3</v>
      </c>
      <c r="M754" s="19">
        <f>N754*delta +Prem-L754*(1-N754)</f>
        <v>4.4789785802917641E-4</v>
      </c>
      <c r="N754" s="26">
        <f>N753-Step_h*M753</f>
        <v>5.1965576549784917E-3</v>
      </c>
      <c r="U754" s="2"/>
      <c r="X754" s="2"/>
    </row>
    <row r="755" spans="1:24" x14ac:dyDescent="0.45">
      <c r="A755" s="24">
        <v>7.32</v>
      </c>
      <c r="B755" s="24">
        <f>A755+Age</f>
        <v>27.32</v>
      </c>
      <c r="C755" s="19">
        <f>B*c_gom^B755</f>
        <v>4.2126164087925612E-3</v>
      </c>
      <c r="D755" s="19">
        <f t="shared" si="11"/>
        <v>-4.1174077675099098E-3</v>
      </c>
      <c r="E755" s="26">
        <f>E754+Step_h*D754</f>
        <v>0.97739916668322047</v>
      </c>
      <c r="J755" s="24">
        <f>ROUND(J754-Step_h,2)</f>
        <v>2.68</v>
      </c>
      <c r="K755" s="24">
        <f>J755+Age</f>
        <v>22.68</v>
      </c>
      <c r="L755" s="19">
        <f>B*c_gom^K755</f>
        <v>2.8241838462432366E-3</v>
      </c>
      <c r="M755" s="19">
        <f>N755*delta +Prem-L755*(1-N755)</f>
        <v>4.5008347230298101E-4</v>
      </c>
      <c r="N755" s="26">
        <f>N754-Step_h*M754</f>
        <v>5.1920786763981997E-3</v>
      </c>
      <c r="U755" s="2"/>
      <c r="X755" s="2"/>
    </row>
    <row r="756" spans="1:24" x14ac:dyDescent="0.45">
      <c r="A756" s="24">
        <v>7.33</v>
      </c>
      <c r="B756" s="24">
        <f>A756+Age</f>
        <v>27.33</v>
      </c>
      <c r="C756" s="19">
        <f>B*c_gom^B756</f>
        <v>4.2162483092844458E-3</v>
      </c>
      <c r="D756" s="19">
        <f t="shared" si="11"/>
        <v>-4.1207839838887702E-3</v>
      </c>
      <c r="E756" s="26">
        <f>E755+Step_h*D755</f>
        <v>0.97735799260554534</v>
      </c>
      <c r="J756" s="24">
        <f>ROUND(J755-Step_h,2)</f>
        <v>2.67</v>
      </c>
      <c r="K756" s="24">
        <f>J756+Age</f>
        <v>22.67</v>
      </c>
      <c r="L756" s="19">
        <f>B*c_gom^K756</f>
        <v>2.8217510780692767E-3</v>
      </c>
      <c r="M756" s="19">
        <f>N756*delta +Prem-L756*(1-N756)</f>
        <v>4.522658673817969E-4</v>
      </c>
      <c r="N756" s="26">
        <f>N755-Step_h*M755</f>
        <v>5.1875778416751702E-3</v>
      </c>
      <c r="U756" s="2"/>
      <c r="X756" s="2"/>
    </row>
    <row r="757" spans="1:24" x14ac:dyDescent="0.45">
      <c r="A757" s="24">
        <v>7.34</v>
      </c>
      <c r="B757" s="24">
        <f>A757+Age</f>
        <v>27.34</v>
      </c>
      <c r="C757" s="19">
        <f>B*c_gom^B757</f>
        <v>4.2198833410135228E-3</v>
      </c>
      <c r="D757" s="19">
        <f t="shared" si="11"/>
        <v>-4.1241628189257031E-3</v>
      </c>
      <c r="E757" s="26">
        <f>E756+Step_h*D756</f>
        <v>0.97731678476570649</v>
      </c>
      <c r="J757" s="24">
        <f>ROUND(J756-Step_h,2)</f>
        <v>2.66</v>
      </c>
      <c r="K757" s="24">
        <f>J757+Age</f>
        <v>22.66</v>
      </c>
      <c r="L757" s="19">
        <f>B*c_gom^K757</f>
        <v>2.8193204054957829E-3</v>
      </c>
      <c r="M757" s="19">
        <f>N757*delta +Prem-L757*(1-N757)</f>
        <v>4.5444504689453116E-4</v>
      </c>
      <c r="N757" s="26">
        <f>N756-Step_h*M756</f>
        <v>5.1830551830013526E-3</v>
      </c>
      <c r="U757" s="2"/>
      <c r="X757" s="2"/>
    </row>
    <row r="758" spans="1:24" x14ac:dyDescent="0.45">
      <c r="A758" s="24">
        <v>7.3500000000000005</v>
      </c>
      <c r="B758" s="24">
        <f>A758+Age</f>
        <v>27.35</v>
      </c>
      <c r="C758" s="19">
        <f>B*c_gom^B758</f>
        <v>4.2235215066793886E-3</v>
      </c>
      <c r="D758" s="19">
        <f t="shared" si="11"/>
        <v>-4.1275442743930841E-3</v>
      </c>
      <c r="E758" s="26">
        <f>E757+Step_h*D757</f>
        <v>0.97727554313751719</v>
      </c>
      <c r="J758" s="24">
        <f>ROUND(J757-Step_h,2)</f>
        <v>2.65</v>
      </c>
      <c r="K758" s="24">
        <f>J758+Age</f>
        <v>22.65</v>
      </c>
      <c r="L758" s="19">
        <f>B*c_gom^K758</f>
        <v>2.8168918267175943E-3</v>
      </c>
      <c r="M758" s="19">
        <f>N758*delta +Prem-L758*(1-N758)</f>
        <v>4.5662101446606587E-4</v>
      </c>
      <c r="N758" s="26">
        <f>N757-Step_h*M757</f>
        <v>5.178510732532407E-3</v>
      </c>
      <c r="U758" s="2"/>
      <c r="X758" s="2"/>
    </row>
    <row r="759" spans="1:24" x14ac:dyDescent="0.45">
      <c r="A759" s="24">
        <v>7.36</v>
      </c>
      <c r="B759" s="24">
        <f>A759+Age</f>
        <v>27.36</v>
      </c>
      <c r="C759" s="19">
        <f>B*c_gom^B759</f>
        <v>4.2271628089839558E-3</v>
      </c>
      <c r="D759" s="19">
        <f t="shared" si="11"/>
        <v>-4.1309283520640167E-3</v>
      </c>
      <c r="E759" s="26">
        <f>E758+Step_h*D758</f>
        <v>0.97723426769477328</v>
      </c>
      <c r="J759" s="24">
        <f>ROUND(J758-Step_h,2)</f>
        <v>2.64</v>
      </c>
      <c r="K759" s="24">
        <f>J759+Age</f>
        <v>22.64</v>
      </c>
      <c r="L759" s="19">
        <f>B*c_gom^K759</f>
        <v>2.814465339931104E-3</v>
      </c>
      <c r="M759" s="19">
        <f>N759*delta +Prem-L759*(1-N759)</f>
        <v>4.5879377371727025E-4</v>
      </c>
      <c r="N759" s="26">
        <f>N758-Step_h*M758</f>
        <v>5.1739445223877465E-3</v>
      </c>
      <c r="U759" s="2"/>
      <c r="X759" s="2"/>
    </row>
    <row r="760" spans="1:24" x14ac:dyDescent="0.45">
      <c r="A760" s="24">
        <v>7.37</v>
      </c>
      <c r="B760" s="24">
        <f>A760+Age</f>
        <v>27.37</v>
      </c>
      <c r="C760" s="19">
        <f>B*c_gom^B760</f>
        <v>4.2308072506314735E-3</v>
      </c>
      <c r="D760" s="19">
        <f t="shared" si="11"/>
        <v>-4.1343150537123475E-3</v>
      </c>
      <c r="E760" s="26">
        <f>E759+Step_h*D759</f>
        <v>0.97719295841125264</v>
      </c>
      <c r="J760" s="24">
        <f>ROUND(J759-Step_h,2)</f>
        <v>2.63</v>
      </c>
      <c r="K760" s="24">
        <f>J760+Age</f>
        <v>22.63</v>
      </c>
      <c r="L760" s="19">
        <f>B*c_gom^K760</f>
        <v>2.812040943334258E-3</v>
      </c>
      <c r="M760" s="19">
        <f>N760*delta +Prem-L760*(1-N760)</f>
        <v>4.6096332826500285E-4</v>
      </c>
      <c r="N760" s="26">
        <f>N759-Step_h*M759</f>
        <v>5.1693565846505736E-3</v>
      </c>
      <c r="U760" s="2"/>
      <c r="X760" s="2"/>
    </row>
    <row r="761" spans="1:24" x14ac:dyDescent="0.45">
      <c r="A761" s="24">
        <v>7.38</v>
      </c>
      <c r="B761" s="24">
        <f>A761+Age</f>
        <v>27.38</v>
      </c>
      <c r="C761" s="19">
        <f>B*c_gom^B761</f>
        <v>4.2344548343285233E-3</v>
      </c>
      <c r="D761" s="19">
        <f t="shared" si="11"/>
        <v>-4.1377043811126621E-3</v>
      </c>
      <c r="E761" s="26">
        <f>E760+Step_h*D760</f>
        <v>0.97715161526071548</v>
      </c>
      <c r="J761" s="24">
        <f>ROUND(J760-Step_h,2)</f>
        <v>2.62</v>
      </c>
      <c r="K761" s="24">
        <f>J761+Age</f>
        <v>22.62</v>
      </c>
      <c r="L761" s="19">
        <f>B*c_gom^K761</f>
        <v>2.8096186351265545E-3</v>
      </c>
      <c r="M761" s="19">
        <f>N761*delta +Prem-L761*(1-N761)</f>
        <v>4.6312968172211805E-4</v>
      </c>
      <c r="N761" s="26">
        <f>N760-Step_h*M760</f>
        <v>5.1647469513679233E-3</v>
      </c>
      <c r="U761" s="2"/>
      <c r="X761" s="2"/>
    </row>
    <row r="762" spans="1:24" x14ac:dyDescent="0.45">
      <c r="A762" s="24">
        <v>7.3900000000000006</v>
      </c>
      <c r="B762" s="24">
        <f>A762+Age</f>
        <v>27.39</v>
      </c>
      <c r="C762" s="19">
        <f>B*c_gom^B762</f>
        <v>4.2381055627840189E-3</v>
      </c>
      <c r="D762" s="19">
        <f t="shared" si="11"/>
        <v>-4.1410963360402802E-3</v>
      </c>
      <c r="E762" s="26">
        <f>E761+Step_h*D761</f>
        <v>0.97711023821690435</v>
      </c>
      <c r="J762" s="24">
        <f>ROUND(J761-Step_h,2)</f>
        <v>2.61</v>
      </c>
      <c r="K762" s="24">
        <f>J762+Age</f>
        <v>22.61</v>
      </c>
      <c r="L762" s="19">
        <f>B*c_gom^K762</f>
        <v>2.8071984135090433E-3</v>
      </c>
      <c r="M762" s="19">
        <f>N762*delta +Prem-L762*(1-N762)</f>
        <v>4.6529283769746951E-4</v>
      </c>
      <c r="N762" s="26">
        <f>N761-Step_h*M761</f>
        <v>5.1601156545507017E-3</v>
      </c>
      <c r="U762" s="2"/>
      <c r="X762" s="2"/>
    </row>
    <row r="763" spans="1:24" x14ac:dyDescent="0.45">
      <c r="A763" s="24">
        <v>7.4</v>
      </c>
      <c r="B763" s="24">
        <f>A763+Age</f>
        <v>27.4</v>
      </c>
      <c r="C763" s="19">
        <f>B*c_gom^B763</f>
        <v>4.2417594387092038E-3</v>
      </c>
      <c r="D763" s="19">
        <f t="shared" si="11"/>
        <v>-4.1444909202712522E-3</v>
      </c>
      <c r="E763" s="26">
        <f>E762+Step_h*D762</f>
        <v>0.97706882725354394</v>
      </c>
      <c r="J763" s="24">
        <f>ROUND(J762-Step_h,2)</f>
        <v>2.6</v>
      </c>
      <c r="K763" s="24">
        <f>J763+Age</f>
        <v>22.6</v>
      </c>
      <c r="L763" s="19">
        <f>B*c_gom^K763</f>
        <v>2.8047802766843241E-3</v>
      </c>
      <c r="M763" s="19">
        <f>N763*delta +Prem-L763*(1-N763)</f>
        <v>4.6745279979591541E-4</v>
      </c>
      <c r="N763" s="26">
        <f>N762-Step_h*M762</f>
        <v>5.1554627261737266E-3</v>
      </c>
      <c r="U763" s="2"/>
      <c r="X763" s="2"/>
    </row>
    <row r="764" spans="1:24" x14ac:dyDescent="0.45">
      <c r="A764" s="24">
        <v>7.41</v>
      </c>
      <c r="B764" s="24">
        <f>A764+Age</f>
        <v>27.41</v>
      </c>
      <c r="C764" s="19">
        <f>B*c_gom^B764</f>
        <v>4.2454164648176706E-3</v>
      </c>
      <c r="D764" s="19">
        <f t="shared" si="11"/>
        <v>-4.1478881355823758E-3</v>
      </c>
      <c r="E764" s="26">
        <f>E763+Step_h*D763</f>
        <v>0.97702738234434128</v>
      </c>
      <c r="J764" s="24">
        <f>ROUND(J763-Step_h,2)</f>
        <v>2.59</v>
      </c>
      <c r="K764" s="24">
        <f>J764+Age</f>
        <v>22.59</v>
      </c>
      <c r="L764" s="19">
        <f>B*c_gom^K764</f>
        <v>2.8023642228565439E-3</v>
      </c>
      <c r="M764" s="19">
        <f>N764*delta +Prem-L764*(1-N764)</f>
        <v>4.6960957161832403E-4</v>
      </c>
      <c r="N764" s="26">
        <f>N763-Step_h*M763</f>
        <v>5.1507881981757674E-3</v>
      </c>
      <c r="U764" s="2"/>
      <c r="X764" s="2"/>
    </row>
    <row r="765" spans="1:24" x14ac:dyDescent="0.45">
      <c r="A765" s="24">
        <v>7.42</v>
      </c>
      <c r="B765" s="24">
        <f>A765+Age</f>
        <v>27.42</v>
      </c>
      <c r="C765" s="19">
        <f>B*c_gom^B765</f>
        <v>4.2490766438253421E-3</v>
      </c>
      <c r="D765" s="19">
        <f t="shared" si="11"/>
        <v>-4.1512879837511717E-3</v>
      </c>
      <c r="E765" s="26">
        <f>E764+Step_h*D764</f>
        <v>0.97698590346298542</v>
      </c>
      <c r="J765" s="24">
        <f>ROUND(J764-Step_h,2)</f>
        <v>2.58</v>
      </c>
      <c r="K765" s="24">
        <f>J765+Age</f>
        <v>22.58</v>
      </c>
      <c r="L765" s="19">
        <f>B*c_gom^K765</f>
        <v>2.7999502502313966E-3</v>
      </c>
      <c r="M765" s="19">
        <f>N765*delta +Prem-L765*(1-N765)</f>
        <v>4.7176315676157815E-4</v>
      </c>
      <c r="N765" s="26">
        <f>N764-Step_h*M764</f>
        <v>5.1460921024595839E-3</v>
      </c>
      <c r="U765" s="2"/>
      <c r="X765" s="2"/>
    </row>
    <row r="766" spans="1:24" x14ac:dyDescent="0.45">
      <c r="A766" s="24">
        <v>7.43</v>
      </c>
      <c r="B766" s="24">
        <f>A766+Age</f>
        <v>27.43</v>
      </c>
      <c r="C766" s="19">
        <f>B*c_gom^B766</f>
        <v>4.2527399784504797E-3</v>
      </c>
      <c r="D766" s="19">
        <f t="shared" si="11"/>
        <v>-4.1546904665558928E-3</v>
      </c>
      <c r="E766" s="26">
        <f>E765+Step_h*D765</f>
        <v>0.97694439058314786</v>
      </c>
      <c r="J766" s="24">
        <f>ROUND(J765-Step_h,2)</f>
        <v>2.57</v>
      </c>
      <c r="K766" s="24">
        <f>J766+Age</f>
        <v>22.57</v>
      </c>
      <c r="L766" s="19">
        <f>B*c_gom^K766</f>
        <v>2.7975383570161246E-3</v>
      </c>
      <c r="M766" s="19">
        <f>N766*delta +Prem-L766*(1-N766)</f>
        <v>4.7391355881857763E-4</v>
      </c>
      <c r="N766" s="26">
        <f>N765-Step_h*M765</f>
        <v>5.1413744708919684E-3</v>
      </c>
      <c r="U766" s="2"/>
      <c r="X766" s="2"/>
    </row>
    <row r="767" spans="1:24" x14ac:dyDescent="0.45">
      <c r="A767" s="24">
        <v>7.44</v>
      </c>
      <c r="B767" s="24">
        <f>A767+Age</f>
        <v>27.44</v>
      </c>
      <c r="C767" s="19">
        <f>B*c_gom^B767</f>
        <v>4.2564064714137031E-3</v>
      </c>
      <c r="D767" s="19">
        <f t="shared" si="11"/>
        <v>-4.1580955857755415E-3</v>
      </c>
      <c r="E767" s="26">
        <f>E766+Step_h*D766</f>
        <v>0.97690284367848235</v>
      </c>
      <c r="J767" s="24">
        <f>ROUND(J766-Step_h,2)</f>
        <v>2.56</v>
      </c>
      <c r="K767" s="24">
        <f>J767+Age</f>
        <v>22.56</v>
      </c>
      <c r="L767" s="19">
        <f>B*c_gom^K767</f>
        <v>2.7951285414195095E-3</v>
      </c>
      <c r="M767" s="19">
        <f>N767*delta +Prem-L767*(1-N767)</f>
        <v>4.760607813782511E-4</v>
      </c>
      <c r="N767" s="26">
        <f>N766-Step_h*M766</f>
        <v>5.1366353353037826E-3</v>
      </c>
      <c r="U767" s="2"/>
      <c r="X767" s="2"/>
    </row>
    <row r="768" spans="1:24" x14ac:dyDescent="0.45">
      <c r="A768" s="24">
        <v>7.45</v>
      </c>
      <c r="B768" s="24">
        <f>A768+Age</f>
        <v>27.45</v>
      </c>
      <c r="C768" s="19">
        <f>B*c_gom^B768</f>
        <v>4.2600761254379628E-3</v>
      </c>
      <c r="D768" s="19">
        <f t="shared" si="11"/>
        <v>-4.1615033431898346E-3</v>
      </c>
      <c r="E768" s="26">
        <f>E767+Step_h*D767</f>
        <v>0.97686126272262463</v>
      </c>
      <c r="J768" s="24">
        <f>ROUND(J767-Step_h,2)</f>
        <v>2.5499999999999998</v>
      </c>
      <c r="K768" s="24">
        <f>J768+Age</f>
        <v>22.55</v>
      </c>
      <c r="L768" s="19">
        <f>B*c_gom^K768</f>
        <v>2.792720801651881E-3</v>
      </c>
      <c r="M768" s="19">
        <f>N768*delta +Prem-L768*(1-N768)</f>
        <v>4.7820482802555164E-4</v>
      </c>
      <c r="N768" s="26">
        <f>N767-Step_h*M767</f>
        <v>5.1318747274900003E-3</v>
      </c>
      <c r="U768" s="2"/>
      <c r="X768" s="2"/>
    </row>
    <row r="769" spans="1:24" x14ac:dyDescent="0.45">
      <c r="A769" s="24">
        <v>7.46</v>
      </c>
      <c r="B769" s="24">
        <f>A769+Age</f>
        <v>27.46</v>
      </c>
      <c r="C769" s="19">
        <f>B*c_gom^B769</f>
        <v>4.263748943248563E-3</v>
      </c>
      <c r="D769" s="19">
        <f t="shared" si="11"/>
        <v>-4.1649137405792291E-3</v>
      </c>
      <c r="E769" s="26">
        <f>E768+Step_h*D768</f>
        <v>0.97681964768919272</v>
      </c>
      <c r="J769" s="24">
        <f>ROUND(J768-Step_h,2)</f>
        <v>2.54</v>
      </c>
      <c r="K769" s="24">
        <f>J769+Age</f>
        <v>22.54</v>
      </c>
      <c r="L769" s="19">
        <f>B*c_gom^K769</f>
        <v>2.7903151359251065E-3</v>
      </c>
      <c r="M769" s="19">
        <f>N769*delta +Prem-L769*(1-N769)</f>
        <v>4.8034570234147065E-4</v>
      </c>
      <c r="N769" s="26">
        <f>N768-Step_h*M768</f>
        <v>5.1270926792097446E-3</v>
      </c>
      <c r="U769" s="2"/>
      <c r="X769" s="2"/>
    </row>
    <row r="770" spans="1:24" x14ac:dyDescent="0.45">
      <c r="A770" s="24">
        <v>7.47</v>
      </c>
      <c r="B770" s="24">
        <f>A770+Age</f>
        <v>27.47</v>
      </c>
      <c r="C770" s="19">
        <f>B*c_gom^B770</f>
        <v>4.2674249275731595E-3</v>
      </c>
      <c r="D770" s="19">
        <f t="shared" si="11"/>
        <v>-4.1683267797249148E-3</v>
      </c>
      <c r="E770" s="26">
        <f>E769+Step_h*D769</f>
        <v>0.97677799855178693</v>
      </c>
      <c r="J770" s="24">
        <f>ROUND(J769-Step_h,2)</f>
        <v>2.5299999999999998</v>
      </c>
      <c r="K770" s="24">
        <f>J770+Age</f>
        <v>22.53</v>
      </c>
      <c r="L770" s="19">
        <f>B*c_gom^K770</f>
        <v>2.787911542452596E-3</v>
      </c>
      <c r="M770" s="19">
        <f>N770*delta +Prem-L770*(1-N770)</f>
        <v>4.824834079030344E-4</v>
      </c>
      <c r="N770" s="26">
        <f>N769-Step_h*M769</f>
        <v>5.1222892221863296E-3</v>
      </c>
      <c r="U770" s="2"/>
      <c r="X770" s="2"/>
    </row>
    <row r="771" spans="1:24" x14ac:dyDescent="0.45">
      <c r="A771" s="24">
        <v>7.48</v>
      </c>
      <c r="B771" s="24">
        <f>A771+Age</f>
        <v>27.48</v>
      </c>
      <c r="C771" s="19">
        <f>B*c_gom^B771</f>
        <v>4.271104081141756E-3</v>
      </c>
      <c r="D771" s="19">
        <f t="shared" si="11"/>
        <v>-4.1717424624088091E-3</v>
      </c>
      <c r="E771" s="26">
        <f>E770+Step_h*D770</f>
        <v>0.97673631528398963</v>
      </c>
      <c r="J771" s="24">
        <f>ROUND(J770-Step_h,2)</f>
        <v>2.52</v>
      </c>
      <c r="K771" s="24">
        <f>J771+Age</f>
        <v>22.52</v>
      </c>
      <c r="L771" s="19">
        <f>B*c_gom^K771</f>
        <v>2.7855100194492974E-3</v>
      </c>
      <c r="M771" s="19">
        <f>N771*delta +Prem-L771*(1-N771)</f>
        <v>4.8461794828331527E-4</v>
      </c>
      <c r="N771" s="26">
        <f>N770-Step_h*M770</f>
        <v>5.1174643881072993E-3</v>
      </c>
      <c r="U771" s="2"/>
      <c r="X771" s="2"/>
    </row>
    <row r="772" spans="1:24" x14ac:dyDescent="0.45">
      <c r="A772" s="24">
        <v>7.49</v>
      </c>
      <c r="B772" s="24">
        <f>A772+Age</f>
        <v>27.490000000000002</v>
      </c>
      <c r="C772" s="19">
        <f>B*c_gom^B772</f>
        <v>4.2747864066867095E-3</v>
      </c>
      <c r="D772" s="19">
        <f t="shared" si="11"/>
        <v>-4.1751607904135582E-3</v>
      </c>
      <c r="E772" s="26">
        <f>E771+Step_h*D771</f>
        <v>0.97669459785936552</v>
      </c>
      <c r="J772" s="24">
        <f>ROUND(J771-Step_h,2)</f>
        <v>2.5099999999999998</v>
      </c>
      <c r="K772" s="24">
        <f>J772+Age</f>
        <v>22.509999999999998</v>
      </c>
      <c r="L772" s="19">
        <f>B*c_gom^K772</f>
        <v>2.7831105651316967E-3</v>
      </c>
      <c r="M772" s="19">
        <f>N772*delta +Prem-L772*(1-N772)</f>
        <v>4.8674932705143397E-4</v>
      </c>
      <c r="N772" s="26">
        <f>N771-Step_h*M771</f>
        <v>5.112618208624466E-3</v>
      </c>
      <c r="U772" s="2"/>
      <c r="X772" s="2"/>
    </row>
    <row r="773" spans="1:24" x14ac:dyDescent="0.45">
      <c r="A773" s="24">
        <v>7.5</v>
      </c>
      <c r="B773" s="24">
        <f>A773+Age</f>
        <v>27.5</v>
      </c>
      <c r="C773" s="19">
        <f>B*c_gom^B773</f>
        <v>4.2784719069427352E-3</v>
      </c>
      <c r="D773" s="19">
        <f t="shared" si="11"/>
        <v>-4.1785817655225401E-3</v>
      </c>
      <c r="E773" s="26">
        <f>E772+Step_h*D772</f>
        <v>0.97665284625146143</v>
      </c>
      <c r="J773" s="24">
        <f>ROUND(J772-Step_h,2)</f>
        <v>2.5</v>
      </c>
      <c r="K773" s="24">
        <f>J773+Age</f>
        <v>22.5</v>
      </c>
      <c r="L773" s="19">
        <f>B*c_gom^K773</f>
        <v>2.7807131777178172E-3</v>
      </c>
      <c r="M773" s="19">
        <f>N773*delta +Prem-L773*(1-N773)</f>
        <v>4.8887754777256296E-4</v>
      </c>
      <c r="N773" s="26">
        <f>N772-Step_h*M772</f>
        <v>5.1077507153539517E-3</v>
      </c>
      <c r="U773" s="2"/>
      <c r="X773" s="2"/>
    </row>
    <row r="774" spans="1:24" x14ac:dyDescent="0.45">
      <c r="A774" s="24">
        <v>7.51</v>
      </c>
      <c r="B774" s="24">
        <f>A774+Age</f>
        <v>27.509999999999998</v>
      </c>
      <c r="C774" s="19">
        <f>B*c_gom^B774</f>
        <v>4.2821605846469074E-3</v>
      </c>
      <c r="D774" s="19">
        <f t="shared" si="11"/>
        <v>-4.1820053895198633E-3</v>
      </c>
      <c r="E774" s="26">
        <f>E773+Step_h*D773</f>
        <v>0.97661106043380619</v>
      </c>
      <c r="J774" s="24">
        <f>ROUND(J773-Step_h,2)</f>
        <v>2.4900000000000002</v>
      </c>
      <c r="K774" s="24">
        <f>J774+Age</f>
        <v>22.490000000000002</v>
      </c>
      <c r="L774" s="19">
        <f>B*c_gom^K774</f>
        <v>2.7783178554272158E-3</v>
      </c>
      <c r="M774" s="19">
        <f>N774*delta +Prem-L774*(1-N774)</f>
        <v>4.910026140079334E-4</v>
      </c>
      <c r="N774" s="26">
        <f>N773-Step_h*M773</f>
        <v>5.1028619398762265E-3</v>
      </c>
      <c r="U774" s="2"/>
      <c r="X774" s="2"/>
    </row>
    <row r="775" spans="1:24" x14ac:dyDescent="0.45">
      <c r="A775" s="24">
        <v>7.5200000000000005</v>
      </c>
      <c r="B775" s="24">
        <f>A775+Age</f>
        <v>27.52</v>
      </c>
      <c r="C775" s="19">
        <f>B*c_gom^B775</f>
        <v>4.2858524425386565E-3</v>
      </c>
      <c r="D775" s="19">
        <f t="shared" si="11"/>
        <v>-4.1854316641903623E-3</v>
      </c>
      <c r="E775" s="26">
        <f>E774+Step_h*D774</f>
        <v>0.976569240379911</v>
      </c>
      <c r="J775" s="24">
        <f>ROUND(J774-Step_h,2)</f>
        <v>2.48</v>
      </c>
      <c r="K775" s="24">
        <f>J775+Age</f>
        <v>22.48</v>
      </c>
      <c r="L775" s="19">
        <f>B*c_gom^K775</f>
        <v>2.7759245964809809E-3</v>
      </c>
      <c r="M775" s="19">
        <f>N775*delta +Prem-L775*(1-N775)</f>
        <v>4.9312452931484386E-4</v>
      </c>
      <c r="N775" s="26">
        <f>N774-Step_h*M774</f>
        <v>5.0979519137361474E-3</v>
      </c>
      <c r="U775" s="2"/>
      <c r="X775" s="2"/>
    </row>
    <row r="776" spans="1:24" x14ac:dyDescent="0.45">
      <c r="A776" s="24">
        <v>7.53</v>
      </c>
      <c r="B776" s="24">
        <f>A776+Age</f>
        <v>27.53</v>
      </c>
      <c r="C776" s="19">
        <f>B*c_gom^B776</f>
        <v>4.2895474833597744E-3</v>
      </c>
      <c r="D776" s="19">
        <f t="shared" si="11"/>
        <v>-4.1888605913195948E-3</v>
      </c>
      <c r="E776" s="26">
        <f>E775+Step_h*D775</f>
        <v>0.97652738606326905</v>
      </c>
      <c r="J776" s="24">
        <f>ROUND(J775-Step_h,2)</f>
        <v>2.4700000000000002</v>
      </c>
      <c r="K776" s="24">
        <f>J776+Age</f>
        <v>22.47</v>
      </c>
      <c r="L776" s="19">
        <f>B*c_gom^K776</f>
        <v>2.773533399101739E-3</v>
      </c>
      <c r="M776" s="19">
        <f>N776*delta +Prem-L776*(1-N776)</f>
        <v>4.9524329724665288E-4</v>
      </c>
      <c r="N776" s="26">
        <f>N775-Step_h*M775</f>
        <v>5.0930206684429991E-3</v>
      </c>
      <c r="U776" s="2"/>
      <c r="X776" s="2"/>
    </row>
    <row r="777" spans="1:24" x14ac:dyDescent="0.45">
      <c r="A777" s="24">
        <v>7.54</v>
      </c>
      <c r="B777" s="24">
        <f>A777+Age</f>
        <v>27.54</v>
      </c>
      <c r="C777" s="19">
        <f>B*c_gom^B777</f>
        <v>4.2932457098544203E-3</v>
      </c>
      <c r="D777" s="19">
        <f t="shared" si="11"/>
        <v>-4.1922921726938525E-3</v>
      </c>
      <c r="E777" s="26">
        <f>E776+Step_h*D776</f>
        <v>0.97648549745735591</v>
      </c>
      <c r="J777" s="24">
        <f>ROUND(J776-Step_h,2)</f>
        <v>2.46</v>
      </c>
      <c r="K777" s="24">
        <f>J777+Age</f>
        <v>22.46</v>
      </c>
      <c r="L777" s="19">
        <f>B*c_gom^K777</f>
        <v>2.7711442615136438E-3</v>
      </c>
      <c r="M777" s="19">
        <f>N777*delta +Prem-L777*(1-N777)</f>
        <v>4.9735892135279684E-4</v>
      </c>
      <c r="N777" s="26">
        <f>N776-Step_h*M776</f>
        <v>5.0880682354705322E-3</v>
      </c>
      <c r="U777" s="2"/>
      <c r="X777" s="2"/>
    </row>
    <row r="778" spans="1:24" x14ac:dyDescent="0.45">
      <c r="A778" s="24">
        <v>7.55</v>
      </c>
      <c r="B778" s="24">
        <f>A778+Age</f>
        <v>27.55</v>
      </c>
      <c r="C778" s="19">
        <f>B*c_gom^B778</f>
        <v>4.2969471247691184E-3</v>
      </c>
      <c r="D778" s="19">
        <f t="shared" si="11"/>
        <v>-4.1957264101001512E-3</v>
      </c>
      <c r="E778" s="26">
        <f>E777+Step_h*D777</f>
        <v>0.97644357453562902</v>
      </c>
      <c r="J778" s="24">
        <f>ROUND(J777-Step_h,2)</f>
        <v>2.4500000000000002</v>
      </c>
      <c r="K778" s="24">
        <f>J778+Age</f>
        <v>22.45</v>
      </c>
      <c r="L778" s="19">
        <f>B*c_gom^K778</f>
        <v>2.768757181942378E-3</v>
      </c>
      <c r="M778" s="19">
        <f>N778*delta +Prem-L778*(1-N778)</f>
        <v>4.9947140517878899E-4</v>
      </c>
      <c r="N778" s="26">
        <f>N777-Step_h*M777</f>
        <v>5.0830946462570043E-3</v>
      </c>
      <c r="U778" s="2"/>
      <c r="X778" s="2"/>
    </row>
    <row r="779" spans="1:24" x14ac:dyDescent="0.45">
      <c r="A779" s="24">
        <v>7.5600000000000005</v>
      </c>
      <c r="B779" s="24">
        <f>A779+Age</f>
        <v>27.560000000000002</v>
      </c>
      <c r="C779" s="19">
        <f>B*c_gom^B779</f>
        <v>4.3006517308527576E-3</v>
      </c>
      <c r="D779" s="19">
        <f t="shared" si="11"/>
        <v>-4.1991633053262284E-3</v>
      </c>
      <c r="E779" s="26">
        <f>E778+Step_h*D778</f>
        <v>0.97640161727152797</v>
      </c>
      <c r="J779" s="24">
        <f>ROUND(J778-Step_h,2)</f>
        <v>2.44</v>
      </c>
      <c r="K779" s="24">
        <f>J779+Age</f>
        <v>22.44</v>
      </c>
      <c r="L779" s="19">
        <f>B*c_gom^K779</f>
        <v>2.7663721586151562E-3</v>
      </c>
      <c r="M779" s="19">
        <f>N779*delta +Prem-L779*(1-N779)</f>
        <v>5.0158075226622301E-4</v>
      </c>
      <c r="N779" s="26">
        <f>N778-Step_h*M778</f>
        <v>5.0780999322052166E-3</v>
      </c>
      <c r="U779" s="2"/>
      <c r="X779" s="2"/>
    </row>
    <row r="780" spans="1:24" x14ac:dyDescent="0.45">
      <c r="A780" s="24">
        <v>7.57</v>
      </c>
      <c r="B780" s="24">
        <f>A780+Age</f>
        <v>27.57</v>
      </c>
      <c r="C780" s="19">
        <f>B*c_gom^B780</f>
        <v>4.3043595308565989E-3</v>
      </c>
      <c r="D780" s="19">
        <f t="shared" si="11"/>
        <v>-4.2026028601605493E-3</v>
      </c>
      <c r="E780" s="26">
        <f>E779+Step_h*D779</f>
        <v>0.97635962563847467</v>
      </c>
      <c r="J780" s="24">
        <f>ROUND(J779-Step_h,2)</f>
        <v>2.4300000000000002</v>
      </c>
      <c r="K780" s="24">
        <f>J780+Age</f>
        <v>22.43</v>
      </c>
      <c r="L780" s="19">
        <f>B*c_gom^K780</f>
        <v>2.7639891897607159E-3</v>
      </c>
      <c r="M780" s="19">
        <f>N780*delta +Prem-L780*(1-N780)</f>
        <v>5.0368696615278119E-4</v>
      </c>
      <c r="N780" s="26">
        <f>N779-Step_h*M779</f>
        <v>5.0730841246825545E-3</v>
      </c>
      <c r="U780" s="2"/>
      <c r="X780" s="2"/>
    </row>
    <row r="781" spans="1:24" x14ac:dyDescent="0.45">
      <c r="A781" s="24">
        <v>7.58</v>
      </c>
      <c r="B781" s="24">
        <f>A781+Age</f>
        <v>27.58</v>
      </c>
      <c r="C781" s="19">
        <f>B*c_gom^B781</f>
        <v>4.3080705275342782E-3</v>
      </c>
      <c r="D781" s="19">
        <f t="shared" si="11"/>
        <v>-4.2060450763923059E-3</v>
      </c>
      <c r="E781" s="26">
        <f>E780+Step_h*D780</f>
        <v>0.97631759960987308</v>
      </c>
      <c r="J781" s="24">
        <f>ROUND(J780-Step_h,2)</f>
        <v>2.42</v>
      </c>
      <c r="K781" s="24">
        <f>J781+Age</f>
        <v>22.42</v>
      </c>
      <c r="L781" s="19">
        <f>B*c_gom^K781</f>
        <v>2.7616082736093236E-3</v>
      </c>
      <c r="M781" s="19">
        <f>N781*delta +Prem-L781*(1-N781)</f>
        <v>5.0579005037223708E-4</v>
      </c>
      <c r="N781" s="26">
        <f>N780-Step_h*M780</f>
        <v>5.0680472550210269E-3</v>
      </c>
      <c r="U781" s="2"/>
      <c r="X781" s="2"/>
    </row>
    <row r="782" spans="1:24" x14ac:dyDescent="0.45">
      <c r="A782" s="24">
        <v>7.59</v>
      </c>
      <c r="B782" s="24">
        <f>A782+Age</f>
        <v>27.59</v>
      </c>
      <c r="C782" s="19">
        <f>B*c_gom^B782</f>
        <v>4.3117847236418027E-3</v>
      </c>
      <c r="D782" s="19">
        <f t="shared" si="11"/>
        <v>-4.2094899558114112E-3</v>
      </c>
      <c r="E782" s="26">
        <f>E781+Step_h*D781</f>
        <v>0.97627553915910914</v>
      </c>
      <c r="J782" s="24">
        <f>ROUND(J781-Step_h,2)</f>
        <v>2.41</v>
      </c>
      <c r="K782" s="24">
        <f>J782+Age</f>
        <v>22.41</v>
      </c>
      <c r="L782" s="19">
        <f>B*c_gom^K782</f>
        <v>2.759229408392769E-3</v>
      </c>
      <c r="M782" s="19">
        <f>N782*delta +Prem-L782*(1-N782)</f>
        <v>5.0789000845446021E-4</v>
      </c>
      <c r="N782" s="26">
        <f>N781-Step_h*M781</f>
        <v>5.0629893545173048E-3</v>
      </c>
      <c r="U782" s="2"/>
      <c r="X782" s="2"/>
    </row>
    <row r="783" spans="1:24" x14ac:dyDescent="0.45">
      <c r="A783" s="24">
        <v>7.6000000000000005</v>
      </c>
      <c r="B783" s="24">
        <f>A783+Age</f>
        <v>27.6</v>
      </c>
      <c r="C783" s="19">
        <f>B*c_gom^B783</f>
        <v>4.3155021219375526E-3</v>
      </c>
      <c r="D783" s="19">
        <f t="shared" si="11"/>
        <v>-4.2129375002084978E-3</v>
      </c>
      <c r="E783" s="26">
        <f>E782+Step_h*D782</f>
        <v>0.97623344425955105</v>
      </c>
      <c r="J783" s="24">
        <f>ROUND(J782-Step_h,2)</f>
        <v>2.4</v>
      </c>
      <c r="K783" s="24">
        <f>J783+Age</f>
        <v>22.4</v>
      </c>
      <c r="L783" s="19">
        <f>B*c_gom^K783</f>
        <v>2.7568525923443643E-3</v>
      </c>
      <c r="M783" s="19">
        <f>N783*delta +Prem-L783*(1-N783)</f>
        <v>5.099868439254222E-4</v>
      </c>
      <c r="N783" s="26">
        <f>N782-Step_h*M782</f>
        <v>5.0579104544327602E-3</v>
      </c>
      <c r="U783" s="2"/>
      <c r="X783" s="2"/>
    </row>
    <row r="784" spans="1:24" x14ac:dyDescent="0.45">
      <c r="A784" s="24">
        <v>7.61</v>
      </c>
      <c r="B784" s="24">
        <f>A784+Age</f>
        <v>27.61</v>
      </c>
      <c r="C784" s="19">
        <f>B*c_gom^B784</f>
        <v>4.3192227251822911E-3</v>
      </c>
      <c r="D784" s="19">
        <f t="shared" si="11"/>
        <v>-4.2163877113749262E-3</v>
      </c>
      <c r="E784" s="26">
        <f>E783+Step_h*D783</f>
        <v>0.97619131488454902</v>
      </c>
      <c r="J784" s="24">
        <f>ROUND(J783-Step_h,2)</f>
        <v>2.39</v>
      </c>
      <c r="K784" s="24">
        <f>J784+Age</f>
        <v>22.39</v>
      </c>
      <c r="L784" s="19">
        <f>B*c_gom^K784</f>
        <v>2.7544778236989454E-3</v>
      </c>
      <c r="M784" s="19">
        <f>N784*delta +Prem-L784*(1-N784)</f>
        <v>5.1208056030720064E-4</v>
      </c>
      <c r="N784" s="26">
        <f>N783-Step_h*M783</f>
        <v>5.0528105859935059E-3</v>
      </c>
      <c r="U784" s="2"/>
      <c r="X784" s="2"/>
    </row>
    <row r="785" spans="1:24" x14ac:dyDescent="0.45">
      <c r="A785" s="24">
        <v>7.62</v>
      </c>
      <c r="B785" s="24">
        <f>A785+Age</f>
        <v>27.62</v>
      </c>
      <c r="C785" s="19">
        <f>B*c_gom^B785</f>
        <v>4.322946536139162E-3</v>
      </c>
      <c r="D785" s="19">
        <f t="shared" si="11"/>
        <v>-4.219840591102776E-3</v>
      </c>
      <c r="E785" s="26">
        <f>E784+Step_h*D784</f>
        <v>0.97614915100743527</v>
      </c>
      <c r="J785" s="24">
        <f>ROUND(J784-Step_h,2)</f>
        <v>2.38</v>
      </c>
      <c r="K785" s="24">
        <f>J785+Age</f>
        <v>22.38</v>
      </c>
      <c r="L785" s="19">
        <f>B*c_gom^K785</f>
        <v>2.7521051006928672E-3</v>
      </c>
      <c r="M785" s="19">
        <f>N785*delta +Prem-L785*(1-N785)</f>
        <v>5.1417116111798214E-4</v>
      </c>
      <c r="N785" s="26">
        <f>N784-Step_h*M784</f>
        <v>5.0476897803904339E-3</v>
      </c>
      <c r="U785" s="2"/>
      <c r="X785" s="2"/>
    </row>
    <row r="786" spans="1:24" x14ac:dyDescent="0.45">
      <c r="A786" s="24">
        <v>7.63</v>
      </c>
      <c r="B786" s="24">
        <f>A786+Age</f>
        <v>27.63</v>
      </c>
      <c r="C786" s="19">
        <f>B*c_gom^B786</f>
        <v>4.326673557573683E-3</v>
      </c>
      <c r="D786" s="19">
        <f t="shared" si="11"/>
        <v>-4.223296141184843E-3</v>
      </c>
      <c r="E786" s="26">
        <f>E785+Step_h*D785</f>
        <v>0.97610695260152425</v>
      </c>
      <c r="J786" s="24">
        <f>ROUND(J785-Step_h,2)</f>
        <v>2.37</v>
      </c>
      <c r="K786" s="24">
        <f>J786+Age</f>
        <v>22.37</v>
      </c>
      <c r="L786" s="19">
        <f>B*c_gom^K786</f>
        <v>2.7497344215640044E-3</v>
      </c>
      <c r="M786" s="19">
        <f>N786*delta +Prem-L786*(1-N786)</f>
        <v>5.1625864987207186E-4</v>
      </c>
      <c r="N786" s="26">
        <f>N785-Step_h*M785</f>
        <v>5.042548068779254E-3</v>
      </c>
      <c r="U786" s="2"/>
      <c r="X786" s="2"/>
    </row>
    <row r="787" spans="1:24" x14ac:dyDescent="0.45">
      <c r="A787" s="24">
        <v>7.6400000000000006</v>
      </c>
      <c r="B787" s="24">
        <f>A787+Age</f>
        <v>27.64</v>
      </c>
      <c r="C787" s="19">
        <f>B*c_gom^B787</f>
        <v>4.3304037922537696E-3</v>
      </c>
      <c r="D787" s="19">
        <f t="shared" si="11"/>
        <v>-4.2267543634146552E-3</v>
      </c>
      <c r="E787" s="26">
        <f>E786+Step_h*D786</f>
        <v>0.97606471964011243</v>
      </c>
      <c r="J787" s="24">
        <f>ROUND(J786-Step_h,2)</f>
        <v>2.36</v>
      </c>
      <c r="K787" s="24">
        <f>J787+Age</f>
        <v>22.36</v>
      </c>
      <c r="L787" s="19">
        <f>B*c_gom^K787</f>
        <v>2.747365784551749E-3</v>
      </c>
      <c r="M787" s="19">
        <f>N787*delta +Prem-L787*(1-N787)</f>
        <v>5.1834303007989311E-4</v>
      </c>
      <c r="N787" s="26">
        <f>N786-Step_h*M786</f>
        <v>5.0373854822805333E-3</v>
      </c>
      <c r="U787" s="2"/>
      <c r="X787" s="2"/>
    </row>
    <row r="788" spans="1:24" x14ac:dyDescent="0.45">
      <c r="A788" s="24">
        <v>7.65</v>
      </c>
      <c r="B788" s="24">
        <f>A788+Age</f>
        <v>27.65</v>
      </c>
      <c r="C788" s="19">
        <f>B*c_gom^B788</f>
        <v>4.3341372429497125E-3</v>
      </c>
      <c r="D788" s="19">
        <f t="shared" si="11"/>
        <v>-4.2302152595864485E-3</v>
      </c>
      <c r="E788" s="26">
        <f>E787+Step_h*D787</f>
        <v>0.97602245209647831</v>
      </c>
      <c r="J788" s="24">
        <f>ROUND(J787-Step_h,2)</f>
        <v>2.35</v>
      </c>
      <c r="K788" s="24">
        <f>J788+Age</f>
        <v>22.35</v>
      </c>
      <c r="L788" s="19">
        <f>B*c_gom^K788</f>
        <v>2.7449991878970102E-3</v>
      </c>
      <c r="M788" s="19">
        <f>N788*delta +Prem-L788*(1-N788)</f>
        <v>5.2042430524799465E-4</v>
      </c>
      <c r="N788" s="26">
        <f>N787-Step_h*M787</f>
        <v>5.0322020519797343E-3</v>
      </c>
      <c r="U788" s="2"/>
      <c r="X788" s="2"/>
    </row>
    <row r="789" spans="1:24" x14ac:dyDescent="0.45">
      <c r="A789" s="24">
        <v>7.66</v>
      </c>
      <c r="B789" s="24">
        <f>A789+Age</f>
        <v>27.66</v>
      </c>
      <c r="C789" s="19">
        <f>B*c_gom^B789</f>
        <v>4.3378739124341941E-3</v>
      </c>
      <c r="D789" s="19">
        <f t="shared" si="11"/>
        <v>-4.2336788314951811E-3</v>
      </c>
      <c r="E789" s="26">
        <f>E788+Step_h*D788</f>
        <v>0.97598014994388249</v>
      </c>
      <c r="J789" s="24">
        <f>ROUND(J788-Step_h,2)</f>
        <v>2.34</v>
      </c>
      <c r="K789" s="24">
        <f>J789+Age</f>
        <v>22.34</v>
      </c>
      <c r="L789" s="19">
        <f>B*c_gom^K789</f>
        <v>2.7426346298422121E-3</v>
      </c>
      <c r="M789" s="19">
        <f>N789*delta +Prem-L789*(1-N789)</f>
        <v>5.2250247887905511E-4</v>
      </c>
      <c r="N789" s="26">
        <f>N788-Step_h*M788</f>
        <v>5.0269978089272542E-3</v>
      </c>
      <c r="U789" s="2"/>
      <c r="X789" s="2"/>
    </row>
    <row r="790" spans="1:24" x14ac:dyDescent="0.45">
      <c r="A790" s="24">
        <v>7.67</v>
      </c>
      <c r="B790" s="24">
        <f>A790+Age</f>
        <v>27.67</v>
      </c>
      <c r="C790" s="19">
        <f>B*c_gom^B790</f>
        <v>4.3416138034822914E-3</v>
      </c>
      <c r="D790" s="19">
        <f t="shared" si="11"/>
        <v>-4.237145080936533E-3</v>
      </c>
      <c r="E790" s="26">
        <f>E789+Step_h*D789</f>
        <v>0.97593781315556749</v>
      </c>
      <c r="J790" s="24">
        <f>ROUND(J789-Step_h,2)</f>
        <v>2.33</v>
      </c>
      <c r="K790" s="24">
        <f>J790+Age</f>
        <v>22.33</v>
      </c>
      <c r="L790" s="19">
        <f>B*c_gom^K790</f>
        <v>2.740272108631293E-3</v>
      </c>
      <c r="M790" s="19">
        <f>N790*delta +Prem-L790*(1-N790)</f>
        <v>5.2457755447188857E-4</v>
      </c>
      <c r="N790" s="26">
        <f>N789-Step_h*M789</f>
        <v>5.0217727841384641E-3</v>
      </c>
      <c r="U790" s="2"/>
      <c r="X790" s="2"/>
    </row>
    <row r="791" spans="1:24" x14ac:dyDescent="0.45">
      <c r="A791" s="24">
        <v>7.68</v>
      </c>
      <c r="B791" s="24">
        <f>A791+Age</f>
        <v>27.68</v>
      </c>
      <c r="C791" s="19">
        <f>B*c_gom^B791</f>
        <v>4.3453569188714649E-3</v>
      </c>
      <c r="D791" s="19">
        <f t="shared" si="11"/>
        <v>-4.2406140097068952E-3</v>
      </c>
      <c r="E791" s="26">
        <f>E790+Step_h*D790</f>
        <v>0.97589544170475817</v>
      </c>
      <c r="J791" s="24">
        <f>ROUND(J790-Step_h,2)</f>
        <v>2.3199999999999998</v>
      </c>
      <c r="K791" s="24">
        <f>J791+Age</f>
        <v>22.32</v>
      </c>
      <c r="L791" s="19">
        <f>B*c_gom^K791</f>
        <v>2.7379116225097052E-3</v>
      </c>
      <c r="M791" s="19">
        <f>N791*delta +Prem-L791*(1-N791)</f>
        <v>5.2664953552144502E-4</v>
      </c>
      <c r="N791" s="26">
        <f>N790-Step_h*M790</f>
        <v>5.0165270085937453E-3</v>
      </c>
      <c r="U791" s="2"/>
      <c r="X791" s="2"/>
    </row>
    <row r="792" spans="1:24" x14ac:dyDescent="0.45">
      <c r="A792" s="24">
        <v>7.69</v>
      </c>
      <c r="B792" s="24">
        <f>A792+Age</f>
        <v>27.69</v>
      </c>
      <c r="C792" s="19">
        <f>B*c_gom^B792</f>
        <v>4.3491032613815787E-3</v>
      </c>
      <c r="D792" s="19">
        <f t="shared" ref="D792:D855" si="12">-E792*C792</f>
        <v>-4.2440856196033815E-3</v>
      </c>
      <c r="E792" s="26">
        <f>E791+Step_h*D791</f>
        <v>0.97585303556466108</v>
      </c>
      <c r="J792" s="24">
        <f>ROUND(J791-Step_h,2)</f>
        <v>2.31</v>
      </c>
      <c r="K792" s="24">
        <f>J792+Age</f>
        <v>22.31</v>
      </c>
      <c r="L792" s="19">
        <f>B*c_gom^K792</f>
        <v>2.7355531697244094E-3</v>
      </c>
      <c r="M792" s="19">
        <f>N792*delta +Prem-L792*(1-N792)</f>
        <v>5.2871842551882164E-4</v>
      </c>
      <c r="N792" s="26">
        <f>N791-Step_h*M791</f>
        <v>5.0112605132385307E-3</v>
      </c>
      <c r="U792" s="2"/>
      <c r="X792" s="2"/>
    </row>
    <row r="793" spans="1:24" x14ac:dyDescent="0.45">
      <c r="A793" s="24">
        <v>7.7</v>
      </c>
      <c r="B793" s="24">
        <f>A793+Age</f>
        <v>27.7</v>
      </c>
      <c r="C793" s="19">
        <f>B*c_gom^B793</f>
        <v>4.352852833794889E-3</v>
      </c>
      <c r="D793" s="19">
        <f t="shared" si="12"/>
        <v>-4.2475599124238185E-3</v>
      </c>
      <c r="E793" s="26">
        <f>E792+Step_h*D792</f>
        <v>0.9758105947084651</v>
      </c>
      <c r="J793" s="24">
        <f>ROUND(J792-Step_h,2)</f>
        <v>2.2999999999999998</v>
      </c>
      <c r="K793" s="24">
        <f>J793+Age</f>
        <v>22.3</v>
      </c>
      <c r="L793" s="19">
        <f>B*c_gom^K793</f>
        <v>2.7331967485238794E-3</v>
      </c>
      <c r="M793" s="19">
        <f>N793*delta +Prem-L793*(1-N793)</f>
        <v>5.3078422795126232E-4</v>
      </c>
      <c r="N793" s="26">
        <f>N792-Step_h*M792</f>
        <v>5.0059733289833427E-3</v>
      </c>
      <c r="U793" s="2"/>
      <c r="X793" s="2"/>
    </row>
    <row r="794" spans="1:24" x14ac:dyDescent="0.45">
      <c r="A794" s="24">
        <v>7.71</v>
      </c>
      <c r="B794" s="24">
        <f>A794+Age</f>
        <v>27.71</v>
      </c>
      <c r="C794" s="19">
        <f>B*c_gom^B794</f>
        <v>4.3566056388960536E-3</v>
      </c>
      <c r="D794" s="19">
        <f t="shared" si="12"/>
        <v>-4.2510368899667502E-3</v>
      </c>
      <c r="E794" s="26">
        <f>E793+Step_h*D793</f>
        <v>0.9757681191093408</v>
      </c>
      <c r="J794" s="24">
        <f>ROUND(J793-Step_h,2)</f>
        <v>2.29</v>
      </c>
      <c r="K794" s="24">
        <f>J794+Age</f>
        <v>22.29</v>
      </c>
      <c r="L794" s="19">
        <f>B*c_gom^K794</f>
        <v>2.7308423571580946E-3</v>
      </c>
      <c r="M794" s="19">
        <f>N794*delta +Prem-L794*(1-N794)</f>
        <v>5.3284694630216642E-4</v>
      </c>
      <c r="N794" s="26">
        <f>N793-Step_h*M793</f>
        <v>5.0006654867038296E-3</v>
      </c>
      <c r="U794" s="2"/>
      <c r="X794" s="2"/>
    </row>
    <row r="795" spans="1:24" x14ac:dyDescent="0.45">
      <c r="A795" s="24">
        <v>7.72</v>
      </c>
      <c r="B795" s="24">
        <f>A795+Age</f>
        <v>27.72</v>
      </c>
      <c r="C795" s="19">
        <f>B*c_gom^B795</f>
        <v>4.3603616794721254E-3</v>
      </c>
      <c r="D795" s="19">
        <f t="shared" si="12"/>
        <v>-4.2545165540314317E-3</v>
      </c>
      <c r="E795" s="26">
        <f>E794+Step_h*D794</f>
        <v>0.97572560874044112</v>
      </c>
      <c r="J795" s="24">
        <f>ROUND(J794-Step_h,2)</f>
        <v>2.2799999999999998</v>
      </c>
      <c r="K795" s="24">
        <f>J795+Age</f>
        <v>22.28</v>
      </c>
      <c r="L795" s="19">
        <f>B*c_gom^K795</f>
        <v>2.728489993878546E-3</v>
      </c>
      <c r="M795" s="19">
        <f>N795*delta +Prem-L795*(1-N795)</f>
        <v>5.3490658405108693E-4</v>
      </c>
      <c r="N795" s="26">
        <f>N794-Step_h*M794</f>
        <v>4.9953370172408076E-3</v>
      </c>
      <c r="U795" s="2"/>
      <c r="X795" s="2"/>
    </row>
    <row r="796" spans="1:24" x14ac:dyDescent="0.45">
      <c r="A796" s="24">
        <v>7.73</v>
      </c>
      <c r="B796" s="24">
        <f>A796+Age</f>
        <v>27.73</v>
      </c>
      <c r="C796" s="19">
        <f>B*c_gom^B796</f>
        <v>4.3641209583125664E-3</v>
      </c>
      <c r="D796" s="19">
        <f t="shared" si="12"/>
        <v>-4.2579989064178364E-3</v>
      </c>
      <c r="E796" s="26">
        <f>E795+Step_h*D795</f>
        <v>0.97568306357490076</v>
      </c>
      <c r="J796" s="24">
        <f>ROUND(J795-Step_h,2)</f>
        <v>2.27</v>
      </c>
      <c r="K796" s="24">
        <f>J796+Age</f>
        <v>22.27</v>
      </c>
      <c r="L796" s="19">
        <f>B*c_gom^K796</f>
        <v>2.7261396569382263E-3</v>
      </c>
      <c r="M796" s="19">
        <f>N796*delta +Prem-L796*(1-N796)</f>
        <v>5.3696314467374488E-4</v>
      </c>
      <c r="N796" s="26">
        <f>N795-Step_h*M795</f>
        <v>4.9899879514002966E-3</v>
      </c>
      <c r="U796" s="2"/>
      <c r="X796" s="2"/>
    </row>
    <row r="797" spans="1:24" x14ac:dyDescent="0.45">
      <c r="A797" s="24">
        <v>7.74</v>
      </c>
      <c r="B797" s="24">
        <f>A797+Age</f>
        <v>27.740000000000002</v>
      </c>
      <c r="C797" s="19">
        <f>B*c_gom^B797</f>
        <v>4.3678834782092425E-3</v>
      </c>
      <c r="D797" s="19">
        <f t="shared" si="12"/>
        <v>-4.2614839489266507E-3</v>
      </c>
      <c r="E797" s="26">
        <f>E796+Step_h*D796</f>
        <v>0.97564048358583655</v>
      </c>
      <c r="J797" s="24">
        <f>ROUND(J796-Step_h,2)</f>
        <v>2.2599999999999998</v>
      </c>
      <c r="K797" s="24">
        <f>J797+Age</f>
        <v>22.259999999999998</v>
      </c>
      <c r="L797" s="19">
        <f>B*c_gom^K797</f>
        <v>2.7237913445916362E-3</v>
      </c>
      <c r="M797" s="19">
        <f>N797*delta +Prem-L797*(1-N797)</f>
        <v>5.3901663164202408E-4</v>
      </c>
      <c r="N797" s="26">
        <f>N796-Step_h*M796</f>
        <v>4.984618319953559E-3</v>
      </c>
      <c r="U797" s="2"/>
      <c r="X797" s="2"/>
    </row>
    <row r="798" spans="1:24" x14ac:dyDescent="0.45">
      <c r="A798" s="24">
        <v>7.75</v>
      </c>
      <c r="B798" s="24">
        <f>A798+Age</f>
        <v>27.75</v>
      </c>
      <c r="C798" s="19">
        <f>B*c_gom^B798</f>
        <v>4.3716492419564211E-3</v>
      </c>
      <c r="D798" s="19">
        <f t="shared" si="12"/>
        <v>-4.2649716833592687E-3</v>
      </c>
      <c r="E798" s="26">
        <f>E797+Step_h*D797</f>
        <v>0.97559786874634724</v>
      </c>
      <c r="J798" s="24">
        <f>ROUND(J797-Step_h,2)</f>
        <v>2.25</v>
      </c>
      <c r="K798" s="24">
        <f>J798+Age</f>
        <v>22.25</v>
      </c>
      <c r="L798" s="19">
        <f>B*c_gom^K798</f>
        <v>2.7214450550947802E-3</v>
      </c>
      <c r="M798" s="19">
        <f>N798*delta +Prem-L798*(1-N798)</f>
        <v>5.4106704842398108E-4</v>
      </c>
      <c r="N798" s="26">
        <f>N797-Step_h*M797</f>
        <v>4.9792281536371391E-3</v>
      </c>
      <c r="U798" s="2"/>
      <c r="X798" s="2"/>
    </row>
    <row r="799" spans="1:24" x14ac:dyDescent="0.45">
      <c r="A799" s="24">
        <v>7.76</v>
      </c>
      <c r="B799" s="24">
        <f>A799+Age</f>
        <v>27.759999999999998</v>
      </c>
      <c r="C799" s="19">
        <f>B*c_gom^B799</f>
        <v>4.3754182523507851E-3</v>
      </c>
      <c r="D799" s="19">
        <f t="shared" si="12"/>
        <v>-4.2684621115178026E-3</v>
      </c>
      <c r="E799" s="26">
        <f>E798+Step_h*D798</f>
        <v>0.9755552190295137</v>
      </c>
      <c r="J799" s="24">
        <f>ROUND(J798-Step_h,2)</f>
        <v>2.2400000000000002</v>
      </c>
      <c r="K799" s="24">
        <f>J799+Age</f>
        <v>22.240000000000002</v>
      </c>
      <c r="L799" s="19">
        <f>B*c_gom^K799</f>
        <v>2.7191007867051627E-3</v>
      </c>
      <c r="M799" s="19">
        <f>N799*delta +Prem-L799*(1-N799)</f>
        <v>5.4311439848385131E-4</v>
      </c>
      <c r="N799" s="26">
        <f>N798-Step_h*M798</f>
        <v>4.9738174831528989E-3</v>
      </c>
      <c r="U799" s="2"/>
      <c r="X799" s="2"/>
    </row>
    <row r="800" spans="1:24" x14ac:dyDescent="0.45">
      <c r="A800" s="24">
        <v>7.7700000000000005</v>
      </c>
      <c r="B800" s="24">
        <f>A800+Age</f>
        <v>27.77</v>
      </c>
      <c r="C800" s="19">
        <f>B*c_gom^B800</f>
        <v>4.3791905121914254E-3</v>
      </c>
      <c r="D800" s="19">
        <f t="shared" si="12"/>
        <v>-4.2719552352050699E-3</v>
      </c>
      <c r="E800" s="26">
        <f>E799+Step_h*D799</f>
        <v>0.97551253440839847</v>
      </c>
      <c r="J800" s="24">
        <f>ROUND(J799-Step_h,2)</f>
        <v>2.23</v>
      </c>
      <c r="K800" s="24">
        <f>J800+Age</f>
        <v>22.23</v>
      </c>
      <c r="L800" s="19">
        <f>B*c_gom^K800</f>
        <v>2.7167585376817898E-3</v>
      </c>
      <c r="M800" s="19">
        <f>N800*delta +Prem-L800*(1-N800)</f>
        <v>5.4515868528204944E-4</v>
      </c>
      <c r="N800" s="26">
        <f>N799-Step_h*M799</f>
        <v>4.9683863391680608E-3</v>
      </c>
      <c r="U800" s="2"/>
      <c r="X800" s="2"/>
    </row>
    <row r="801" spans="1:24" x14ac:dyDescent="0.45">
      <c r="A801" s="24">
        <v>7.78</v>
      </c>
      <c r="B801" s="24">
        <f>A801+Age</f>
        <v>27.78</v>
      </c>
      <c r="C801" s="19">
        <f>B*c_gom^B801</f>
        <v>4.382966024279851E-3</v>
      </c>
      <c r="D801" s="19">
        <f t="shared" si="12"/>
        <v>-4.2754510562246079E-3</v>
      </c>
      <c r="E801" s="26">
        <f>E800+Step_h*D800</f>
        <v>0.97546981485604645</v>
      </c>
      <c r="J801" s="24">
        <f>ROUND(J800-Step_h,2)</f>
        <v>2.2200000000000002</v>
      </c>
      <c r="K801" s="24">
        <f>J801+Age</f>
        <v>22.22</v>
      </c>
      <c r="L801" s="19">
        <f>B*c_gom^K801</f>
        <v>2.7144183062851679E-3</v>
      </c>
      <c r="M801" s="19">
        <f>N801*delta +Prem-L801*(1-N801)</f>
        <v>5.4719991227517766E-4</v>
      </c>
      <c r="N801" s="26">
        <f>N800-Step_h*M800</f>
        <v>4.9629347523152401E-3</v>
      </c>
      <c r="U801" s="2"/>
      <c r="X801" s="2"/>
    </row>
    <row r="802" spans="1:24" x14ac:dyDescent="0.45">
      <c r="A802" s="24">
        <v>7.79</v>
      </c>
      <c r="B802" s="24">
        <f>A802+Age</f>
        <v>27.79</v>
      </c>
      <c r="C802" s="19">
        <f>B*c_gom^B802</f>
        <v>4.3867447914199744E-3</v>
      </c>
      <c r="D802" s="19">
        <f t="shared" si="12"/>
        <v>-4.2789495763806496E-3</v>
      </c>
      <c r="E802" s="26">
        <f>E801+Step_h*D801</f>
        <v>0.97542706034548421</v>
      </c>
      <c r="J802" s="24">
        <f>ROUND(J801-Step_h,2)</f>
        <v>2.21</v>
      </c>
      <c r="K802" s="24">
        <f>J802+Age</f>
        <v>22.21</v>
      </c>
      <c r="L802" s="19">
        <f>B*c_gom^K802</f>
        <v>2.712080090777304E-3</v>
      </c>
      <c r="M802" s="19">
        <f>N802*delta +Prem-L802*(1-N802)</f>
        <v>5.4923808291602394E-4</v>
      </c>
      <c r="N802" s="26">
        <f>N801-Step_h*M801</f>
        <v>4.9574627531924886E-3</v>
      </c>
      <c r="U802" s="2"/>
      <c r="X802" s="2"/>
    </row>
    <row r="803" spans="1:24" x14ac:dyDescent="0.45">
      <c r="A803" s="24">
        <v>7.8</v>
      </c>
      <c r="B803" s="24">
        <f>A803+Age</f>
        <v>27.8</v>
      </c>
      <c r="C803" s="19">
        <f>B*c_gom^B803</f>
        <v>4.3905268164181385E-3</v>
      </c>
      <c r="D803" s="19">
        <f t="shared" si="12"/>
        <v>-4.2824507974781496E-3</v>
      </c>
      <c r="E803" s="26">
        <f>E802+Step_h*D802</f>
        <v>0.97538427084972035</v>
      </c>
      <c r="J803" s="24">
        <f>ROUND(J802-Step_h,2)</f>
        <v>2.2000000000000002</v>
      </c>
      <c r="K803" s="24">
        <f>J803+Age</f>
        <v>22.2</v>
      </c>
      <c r="L803" s="19">
        <f>B*c_gom^K803</f>
        <v>2.709743889421697E-3</v>
      </c>
      <c r="M803" s="19">
        <f>N803*delta +Prem-L803*(1-N803)</f>
        <v>5.5127320065357808E-4</v>
      </c>
      <c r="N803" s="26">
        <f>N802-Step_h*M802</f>
        <v>4.9519703723633285E-3</v>
      </c>
      <c r="U803" s="2"/>
      <c r="X803" s="2"/>
    </row>
    <row r="804" spans="1:24" x14ac:dyDescent="0.45">
      <c r="A804" s="24">
        <v>7.8100000000000005</v>
      </c>
      <c r="B804" s="24">
        <f>A804+Age</f>
        <v>27.810000000000002</v>
      </c>
      <c r="C804" s="19">
        <f>B*c_gom^B804</f>
        <v>4.3943121020831007E-3</v>
      </c>
      <c r="D804" s="19">
        <f t="shared" si="12"/>
        <v>-4.2859547213227678E-3</v>
      </c>
      <c r="E804" s="26">
        <f>E803+Step_h*D803</f>
        <v>0.97534144634174558</v>
      </c>
      <c r="J804" s="24">
        <f>ROUND(J803-Step_h,2)</f>
        <v>2.19</v>
      </c>
      <c r="K804" s="24">
        <f>J804+Age</f>
        <v>22.19</v>
      </c>
      <c r="L804" s="19">
        <f>B*c_gom^K804</f>
        <v>2.7074097004833463E-3</v>
      </c>
      <c r="M804" s="19">
        <f>N804*delta +Prem-L804*(1-N804)</f>
        <v>5.5330526893302562E-4</v>
      </c>
      <c r="N804" s="26">
        <f>N803-Step_h*M803</f>
        <v>4.9464576403567924E-3</v>
      </c>
      <c r="U804" s="2"/>
      <c r="X804" s="2"/>
    </row>
    <row r="805" spans="1:24" x14ac:dyDescent="0.45">
      <c r="A805" s="24">
        <v>7.82</v>
      </c>
      <c r="B805" s="24">
        <f>A805+Age</f>
        <v>27.82</v>
      </c>
      <c r="C805" s="19">
        <f>B*c_gom^B805</f>
        <v>4.3981006512260369E-3</v>
      </c>
      <c r="D805" s="19">
        <f t="shared" si="12"/>
        <v>-4.2894613497208656E-3</v>
      </c>
      <c r="E805" s="26">
        <f>E804+Step_h*D804</f>
        <v>0.9752985867945323</v>
      </c>
      <c r="J805" s="24">
        <f>ROUND(J804-Step_h,2)</f>
        <v>2.1800000000000002</v>
      </c>
      <c r="K805" s="24">
        <f>J805+Age</f>
        <v>22.18</v>
      </c>
      <c r="L805" s="19">
        <f>B*c_gom^K805</f>
        <v>2.7050775222287431E-3</v>
      </c>
      <c r="M805" s="19">
        <f>N805*delta +Prem-L805*(1-N805)</f>
        <v>5.5533429119575695E-4</v>
      </c>
      <c r="N805" s="26">
        <f>N804-Step_h*M804</f>
        <v>4.9409245876674618E-3</v>
      </c>
      <c r="U805" s="2"/>
      <c r="X805" s="2"/>
    </row>
    <row r="806" spans="1:24" x14ac:dyDescent="0.45">
      <c r="A806" s="24">
        <v>7.83</v>
      </c>
      <c r="B806" s="24">
        <f>A806+Age</f>
        <v>27.83</v>
      </c>
      <c r="C806" s="19">
        <f>B*c_gom^B806</f>
        <v>4.401892466660548E-3</v>
      </c>
      <c r="D806" s="19">
        <f t="shared" si="12"/>
        <v>-4.2929706844795166E-3</v>
      </c>
      <c r="E806" s="26">
        <f>E805+Step_h*D805</f>
        <v>0.97525569218103514</v>
      </c>
      <c r="J806" s="24">
        <f>ROUND(J805-Step_h,2)</f>
        <v>2.17</v>
      </c>
      <c r="K806" s="24">
        <f>J806+Age</f>
        <v>22.17</v>
      </c>
      <c r="L806" s="19">
        <f>B*c_gom^K806</f>
        <v>2.7027473529258744E-3</v>
      </c>
      <c r="M806" s="19">
        <f>N806*delta +Prem-L806*(1-N806)</f>
        <v>5.5736027087936995E-4</v>
      </c>
      <c r="N806" s="26">
        <f>N805-Step_h*M805</f>
        <v>4.9353712447555041E-3</v>
      </c>
      <c r="U806" s="2"/>
      <c r="X806" s="2"/>
    </row>
    <row r="807" spans="1:24" x14ac:dyDescent="0.45">
      <c r="A807" s="24">
        <v>7.84</v>
      </c>
      <c r="B807" s="24">
        <f>A807+Age</f>
        <v>27.84</v>
      </c>
      <c r="C807" s="19">
        <f>B*c_gom^B807</f>
        <v>4.4056875512026696E-3</v>
      </c>
      <c r="D807" s="19">
        <f t="shared" si="12"/>
        <v>-4.2964827274065065E-3</v>
      </c>
      <c r="E807" s="26">
        <f>E806+Step_h*D806</f>
        <v>0.97521276247419031</v>
      </c>
      <c r="J807" s="24">
        <f>ROUND(J806-Step_h,2)</f>
        <v>2.16</v>
      </c>
      <c r="K807" s="24">
        <f>J807+Age</f>
        <v>22.16</v>
      </c>
      <c r="L807" s="19">
        <f>B*c_gom^K807</f>
        <v>2.7004191908442158E-3</v>
      </c>
      <c r="M807" s="19">
        <f>N807*delta +Prem-L807*(1-N807)</f>
        <v>5.5938321141768121E-4</v>
      </c>
      <c r="N807" s="26">
        <f>N806-Step_h*M806</f>
        <v>4.9297976420467106E-3</v>
      </c>
      <c r="U807" s="2"/>
      <c r="X807" s="2"/>
    </row>
    <row r="808" spans="1:24" x14ac:dyDescent="0.45">
      <c r="A808" s="24">
        <v>7.8500000000000005</v>
      </c>
      <c r="B808" s="24">
        <f>A808+Age</f>
        <v>27.85</v>
      </c>
      <c r="C808" s="19">
        <f>B*c_gom^B808</f>
        <v>4.409485907670852E-3</v>
      </c>
      <c r="D808" s="19">
        <f t="shared" si="12"/>
        <v>-4.2999974803103139E-3</v>
      </c>
      <c r="E808" s="26">
        <f>E807+Step_h*D807</f>
        <v>0.97516979764691625</v>
      </c>
      <c r="J808" s="24">
        <f>ROUND(J807-Step_h,2)</f>
        <v>2.15</v>
      </c>
      <c r="K808" s="24">
        <f>J808+Age</f>
        <v>22.15</v>
      </c>
      <c r="L808" s="19">
        <f>B*c_gom^K808</f>
        <v>2.6980930342547366E-3</v>
      </c>
      <c r="M808" s="19">
        <f>N808*delta +Prem-L808*(1-N808)</f>
        <v>5.6140311624071956E-4</v>
      </c>
      <c r="N808" s="26">
        <f>N807-Step_h*M807</f>
        <v>4.9242038099325336E-3</v>
      </c>
      <c r="U808" s="2"/>
      <c r="X808" s="2"/>
    </row>
    <row r="809" spans="1:24" x14ac:dyDescent="0.45">
      <c r="A809" s="24">
        <v>7.86</v>
      </c>
      <c r="B809" s="24">
        <f>A809+Age</f>
        <v>27.86</v>
      </c>
      <c r="C809" s="19">
        <f>B*c_gom^B809</f>
        <v>4.4132875388859776E-3</v>
      </c>
      <c r="D809" s="19">
        <f t="shared" si="12"/>
        <v>-4.3035149450001246E-3</v>
      </c>
      <c r="E809" s="26">
        <f>E808+Step_h*D808</f>
        <v>0.97512679767211319</v>
      </c>
      <c r="J809" s="24">
        <f>ROUND(J808-Step_h,2)</f>
        <v>2.14</v>
      </c>
      <c r="K809" s="24">
        <f>J809+Age</f>
        <v>22.14</v>
      </c>
      <c r="L809" s="19">
        <f>B*c_gom^K809</f>
        <v>2.6957688814298946E-3</v>
      </c>
      <c r="M809" s="19">
        <f>N809*delta +Prem-L809*(1-N809)</f>
        <v>5.634199887747395E-4</v>
      </c>
      <c r="N809" s="26">
        <f>N808-Step_h*M808</f>
        <v>4.9185897787701266E-3</v>
      </c>
      <c r="U809" s="2"/>
      <c r="X809" s="2"/>
    </row>
    <row r="810" spans="1:24" x14ac:dyDescent="0.45">
      <c r="A810" s="24">
        <v>7.87</v>
      </c>
      <c r="B810" s="24">
        <f>A810+Age</f>
        <v>27.87</v>
      </c>
      <c r="C810" s="19">
        <f>B*c_gom^B810</f>
        <v>4.4170924476713731E-3</v>
      </c>
      <c r="D810" s="19">
        <f t="shared" si="12"/>
        <v>-4.3070351232858423E-3</v>
      </c>
      <c r="E810" s="26">
        <f>E809+Step_h*D809</f>
        <v>0.97508376252266316</v>
      </c>
      <c r="J810" s="24">
        <f>ROUND(J809-Step_h,2)</f>
        <v>2.13</v>
      </c>
      <c r="K810" s="24">
        <f>J810+Age</f>
        <v>22.13</v>
      </c>
      <c r="L810" s="19">
        <f>B*c_gom^K810</f>
        <v>2.6934467306436341E-3</v>
      </c>
      <c r="M810" s="19">
        <f>N810*delta +Prem-L810*(1-N810)</f>
        <v>5.6543383244222339E-4</v>
      </c>
      <c r="N810" s="26">
        <f>N809-Step_h*M809</f>
        <v>4.9129555788823796E-3</v>
      </c>
      <c r="U810" s="2"/>
      <c r="X810" s="2"/>
    </row>
    <row r="811" spans="1:24" x14ac:dyDescent="0.45">
      <c r="A811" s="24">
        <v>7.88</v>
      </c>
      <c r="B811" s="24">
        <f>A811+Age</f>
        <v>27.88</v>
      </c>
      <c r="C811" s="19">
        <f>B*c_gom^B811</f>
        <v>4.4209006368527834E-3</v>
      </c>
      <c r="D811" s="19">
        <f t="shared" si="12"/>
        <v>-4.3105580169780552E-3</v>
      </c>
      <c r="E811" s="26">
        <f>E810+Step_h*D810</f>
        <v>0.9750406921714303</v>
      </c>
      <c r="J811" s="24">
        <f>ROUND(J810-Step_h,2)</f>
        <v>2.12</v>
      </c>
      <c r="K811" s="24">
        <f>J811+Age</f>
        <v>22.12</v>
      </c>
      <c r="L811" s="19">
        <f>B*c_gom^K811</f>
        <v>2.6911265801713891E-3</v>
      </c>
      <c r="M811" s="19">
        <f>N811*delta +Prem-L811*(1-N811)</f>
        <v>5.6744465066188229E-4</v>
      </c>
      <c r="N811" s="26">
        <f>N810-Step_h*M810</f>
        <v>4.9073012405579574E-3</v>
      </c>
      <c r="U811" s="2"/>
      <c r="X811" s="2"/>
    </row>
    <row r="812" spans="1:24" x14ac:dyDescent="0.45">
      <c r="A812" s="24">
        <v>7.8900000000000006</v>
      </c>
      <c r="B812" s="24">
        <f>A812+Age</f>
        <v>27.89</v>
      </c>
      <c r="C812" s="19">
        <f>B*c_gom^B812</f>
        <v>4.4247121092583991E-3</v>
      </c>
      <c r="D812" s="19">
        <f t="shared" si="12"/>
        <v>-4.3140836278880651E-3</v>
      </c>
      <c r="E812" s="26">
        <f>E811+Step_h*D811</f>
        <v>0.97499758659126057</v>
      </c>
      <c r="J812" s="24">
        <f>ROUND(J811-Step_h,2)</f>
        <v>2.11</v>
      </c>
      <c r="K812" s="24">
        <f>J812+Age</f>
        <v>22.11</v>
      </c>
      <c r="L812" s="19">
        <f>B*c_gom^K812</f>
        <v>2.6888084282900761E-3</v>
      </c>
      <c r="M812" s="19">
        <f>N812*delta +Prem-L812*(1-N812)</f>
        <v>5.6945244684866855E-4</v>
      </c>
      <c r="N812" s="26">
        <f>N811-Step_h*M811</f>
        <v>4.9016267940513386E-3</v>
      </c>
      <c r="U812" s="2"/>
      <c r="X812" s="2"/>
    </row>
    <row r="813" spans="1:24" x14ac:dyDescent="0.45">
      <c r="A813" s="24">
        <v>7.9</v>
      </c>
      <c r="B813" s="24">
        <f>A813+Age</f>
        <v>27.9</v>
      </c>
      <c r="C813" s="19">
        <f>B*c_gom^B813</f>
        <v>4.4285268677188468E-3</v>
      </c>
      <c r="D813" s="19">
        <f t="shared" si="12"/>
        <v>-4.3176119578278733E-3</v>
      </c>
      <c r="E813" s="26">
        <f>E812+Step_h*D812</f>
        <v>0.97495444575498169</v>
      </c>
      <c r="J813" s="24">
        <f>ROUND(J812-Step_h,2)</f>
        <v>2.1</v>
      </c>
      <c r="K813" s="24">
        <f>J813+Age</f>
        <v>22.1</v>
      </c>
      <c r="L813" s="19">
        <f>B*c_gom^K813</f>
        <v>2.6864922732780989E-3</v>
      </c>
      <c r="M813" s="19">
        <f>N813*delta +Prem-L813*(1-N813)</f>
        <v>5.7145722441377103E-4</v>
      </c>
      <c r="N813" s="26">
        <f>N812-Step_h*M812</f>
        <v>4.8959322695828521E-3</v>
      </c>
      <c r="U813" s="2"/>
      <c r="X813" s="2"/>
    </row>
    <row r="814" spans="1:24" x14ac:dyDescent="0.45">
      <c r="A814" s="24">
        <v>7.91</v>
      </c>
      <c r="B814" s="24">
        <f>A814+Age</f>
        <v>27.91</v>
      </c>
      <c r="C814" s="19">
        <f>B*c_gom^B814</f>
        <v>4.4323449150671951E-3</v>
      </c>
      <c r="D814" s="19">
        <f t="shared" si="12"/>
        <v>-4.3211430086101833E-3</v>
      </c>
      <c r="E814" s="26">
        <f>E813+Step_h*D813</f>
        <v>0.97491126963540342</v>
      </c>
      <c r="J814" s="24">
        <f>ROUND(J813-Step_h,2)</f>
        <v>2.09</v>
      </c>
      <c r="K814" s="24">
        <f>J814+Age</f>
        <v>22.09</v>
      </c>
      <c r="L814" s="19">
        <f>B*c_gom^K814</f>
        <v>2.6841781134153415E-3</v>
      </c>
      <c r="M814" s="19">
        <f>N814*delta +Prem-L814*(1-N814)</f>
        <v>5.7345898676462682E-4</v>
      </c>
      <c r="N814" s="26">
        <f>N813-Step_h*M813</f>
        <v>4.8902176973387142E-3</v>
      </c>
      <c r="U814" s="2"/>
      <c r="X814" s="2"/>
    </row>
    <row r="815" spans="1:24" x14ac:dyDescent="0.45">
      <c r="A815" s="24">
        <v>7.92</v>
      </c>
      <c r="B815" s="24">
        <f>A815+Age</f>
        <v>27.92</v>
      </c>
      <c r="C815" s="19">
        <f>B*c_gom^B815</f>
        <v>4.4361662541389495E-3</v>
      </c>
      <c r="D815" s="19">
        <f t="shared" si="12"/>
        <v>-4.3246767820483934E-3</v>
      </c>
      <c r="E815" s="26">
        <f>E814+Step_h*D814</f>
        <v>0.9748680582053173</v>
      </c>
      <c r="J815" s="24">
        <f>ROUND(J814-Step_h,2)</f>
        <v>2.08</v>
      </c>
      <c r="K815" s="24">
        <f>J815+Age</f>
        <v>22.08</v>
      </c>
      <c r="L815" s="19">
        <f>B*c_gom^K815</f>
        <v>2.6818659469831719E-3</v>
      </c>
      <c r="M815" s="19">
        <f>N815*delta +Prem-L815*(1-N815)</f>
        <v>5.7545773730492255E-4</v>
      </c>
      <c r="N815" s="26">
        <f>N814-Step_h*M814</f>
        <v>4.8844831074710679E-3</v>
      </c>
      <c r="U815" s="2"/>
      <c r="X815" s="2"/>
    </row>
    <row r="816" spans="1:24" x14ac:dyDescent="0.45">
      <c r="A816" s="24">
        <v>7.9300000000000006</v>
      </c>
      <c r="B816" s="24">
        <f>A816+Age</f>
        <v>27.93</v>
      </c>
      <c r="C816" s="19">
        <f>B*c_gom^B816</f>
        <v>4.4399908877720664E-3</v>
      </c>
      <c r="D816" s="19">
        <f t="shared" si="12"/>
        <v>-4.3282132799566083E-3</v>
      </c>
      <c r="E816" s="26">
        <f>E815+Step_h*D815</f>
        <v>0.97482481143749677</v>
      </c>
      <c r="J816" s="24">
        <f>ROUND(J815-Step_h,2)</f>
        <v>2.0699999999999998</v>
      </c>
      <c r="K816" s="24">
        <f>J816+Age</f>
        <v>22.07</v>
      </c>
      <c r="L816" s="19">
        <f>B*c_gom^K816</f>
        <v>2.6795557722644374E-3</v>
      </c>
      <c r="M816" s="19">
        <f>N816*delta +Prem-L816*(1-N816)</f>
        <v>5.774534794345987E-4</v>
      </c>
      <c r="N816" s="26">
        <f>N815-Step_h*M815</f>
        <v>4.878728530098019E-3</v>
      </c>
      <c r="U816" s="2"/>
      <c r="X816" s="2"/>
    </row>
    <row r="817" spans="1:24" x14ac:dyDescent="0.45">
      <c r="A817" s="24">
        <v>7.94</v>
      </c>
      <c r="B817" s="24">
        <f>A817+Age</f>
        <v>27.94</v>
      </c>
      <c r="C817" s="19">
        <f>B*c_gom^B817</f>
        <v>4.443818818806948E-3</v>
      </c>
      <c r="D817" s="19">
        <f t="shared" si="12"/>
        <v>-4.3317525041496295E-3</v>
      </c>
      <c r="E817" s="26">
        <f>E816+Step_h*D816</f>
        <v>0.97478152930469719</v>
      </c>
      <c r="J817" s="24">
        <f>ROUND(J816-Step_h,2)</f>
        <v>2.06</v>
      </c>
      <c r="K817" s="24">
        <f>J817+Age</f>
        <v>22.06</v>
      </c>
      <c r="L817" s="19">
        <f>B*c_gom^K817</f>
        <v>2.6772475875434638E-3</v>
      </c>
      <c r="M817" s="19">
        <f>N817*delta +Prem-L817*(1-N817)</f>
        <v>5.7944621654985699E-4</v>
      </c>
      <c r="N817" s="26">
        <f>N816-Step_h*M816</f>
        <v>4.872953995303673E-3</v>
      </c>
      <c r="U817" s="2"/>
      <c r="X817" s="2"/>
    </row>
    <row r="818" spans="1:24" x14ac:dyDescent="0.45">
      <c r="A818" s="24">
        <v>7.95</v>
      </c>
      <c r="B818" s="24">
        <f>A818+Age</f>
        <v>27.95</v>
      </c>
      <c r="C818" s="19">
        <f>B*c_gom^B818</f>
        <v>4.4476500500864402E-3</v>
      </c>
      <c r="D818" s="19">
        <f t="shared" si="12"/>
        <v>-4.3352944564429528E-3</v>
      </c>
      <c r="E818" s="26">
        <f>E817+Step_h*D817</f>
        <v>0.97473821177965569</v>
      </c>
      <c r="J818" s="24">
        <f>ROUND(J817-Step_h,2)</f>
        <v>2.0499999999999998</v>
      </c>
      <c r="K818" s="24">
        <f>J818+Age</f>
        <v>22.05</v>
      </c>
      <c r="L818" s="19">
        <f>B*c_gom^K818</f>
        <v>2.674941391106057E-3</v>
      </c>
      <c r="M818" s="19">
        <f>N818*delta +Prem-L818*(1-N818)</f>
        <v>5.8143595204315952E-4</v>
      </c>
      <c r="N818" s="26">
        <f>N817-Step_h*M817</f>
        <v>4.8671595331381745E-3</v>
      </c>
      <c r="U818" s="2"/>
      <c r="X818" s="2"/>
    </row>
    <row r="819" spans="1:24" x14ac:dyDescent="0.45">
      <c r="A819" s="24">
        <v>7.96</v>
      </c>
      <c r="B819" s="24">
        <f>A819+Age</f>
        <v>27.96</v>
      </c>
      <c r="C819" s="19">
        <f>B*c_gom^B819</f>
        <v>4.451484584455846E-3</v>
      </c>
      <c r="D819" s="19">
        <f t="shared" si="12"/>
        <v>-4.3388391386527756E-3</v>
      </c>
      <c r="E819" s="26">
        <f>E818+Step_h*D818</f>
        <v>0.97469485883509122</v>
      </c>
      <c r="J819" s="24">
        <f>ROUND(J818-Step_h,2)</f>
        <v>2.04</v>
      </c>
      <c r="K819" s="24">
        <f>J819+Age</f>
        <v>22.04</v>
      </c>
      <c r="L819" s="19">
        <f>B*c_gom^K819</f>
        <v>2.6726371812394963E-3</v>
      </c>
      <c r="M819" s="19">
        <f>N819*delta +Prem-L819*(1-N819)</f>
        <v>5.8342268930324046E-4</v>
      </c>
      <c r="N819" s="26">
        <f>N818-Step_h*M818</f>
        <v>4.861345173617743E-3</v>
      </c>
      <c r="U819" s="2"/>
      <c r="X819" s="2"/>
    </row>
    <row r="820" spans="1:24" x14ac:dyDescent="0.45">
      <c r="A820" s="24">
        <v>7.97</v>
      </c>
      <c r="B820" s="24">
        <f>A820+Age</f>
        <v>27.97</v>
      </c>
      <c r="C820" s="19">
        <f>B*c_gom^B820</f>
        <v>4.4553224247629187E-3</v>
      </c>
      <c r="D820" s="19">
        <f t="shared" si="12"/>
        <v>-4.3423865525959908E-3</v>
      </c>
      <c r="E820" s="26">
        <f>E819+Step_h*D819</f>
        <v>0.9746514704437047</v>
      </c>
      <c r="J820" s="24">
        <f>ROUND(J819-Step_h,2)</f>
        <v>2.0299999999999998</v>
      </c>
      <c r="K820" s="24">
        <f>J820+Age</f>
        <v>22.03</v>
      </c>
      <c r="L820" s="19">
        <f>B*c_gom^K820</f>
        <v>2.670334956232541E-3</v>
      </c>
      <c r="M820" s="19">
        <f>N820*delta +Prem-L820*(1-N820)</f>
        <v>5.8540643171510346E-4</v>
      </c>
      <c r="N820" s="26">
        <f>N819-Step_h*M819</f>
        <v>4.8555109467247103E-3</v>
      </c>
      <c r="U820" s="2"/>
      <c r="X820" s="2"/>
    </row>
    <row r="821" spans="1:24" x14ac:dyDescent="0.45">
      <c r="A821" s="24">
        <v>7.98</v>
      </c>
      <c r="B821" s="24">
        <f>A821+Age</f>
        <v>27.98</v>
      </c>
      <c r="C821" s="19">
        <f>B*c_gom^B821</f>
        <v>4.4591635738578696E-3</v>
      </c>
      <c r="D821" s="19">
        <f t="shared" si="12"/>
        <v>-4.3459367000901888E-3</v>
      </c>
      <c r="E821" s="26">
        <f>E820+Step_h*D820</f>
        <v>0.97460804657817879</v>
      </c>
      <c r="J821" s="24">
        <f>ROUND(J820-Step_h,2)</f>
        <v>2.02</v>
      </c>
      <c r="K821" s="24">
        <f>J821+Age</f>
        <v>22.02</v>
      </c>
      <c r="L821" s="19">
        <f>B*c_gom^K821</f>
        <v>2.6680347143754174E-3</v>
      </c>
      <c r="M821" s="19">
        <f>N821*delta +Prem-L821*(1-N821)</f>
        <v>5.8738718266003334E-4</v>
      </c>
      <c r="N821" s="26">
        <f>N820-Step_h*M820</f>
        <v>4.8496568824075593E-3</v>
      </c>
      <c r="U821" s="2"/>
      <c r="X821" s="2"/>
    </row>
    <row r="822" spans="1:24" x14ac:dyDescent="0.45">
      <c r="A822" s="24">
        <v>7.99</v>
      </c>
      <c r="B822" s="24">
        <f>A822+Age</f>
        <v>27.990000000000002</v>
      </c>
      <c r="C822" s="19">
        <f>B*c_gom^B822</f>
        <v>4.4630080345933604E-3</v>
      </c>
      <c r="D822" s="19">
        <f t="shared" si="12"/>
        <v>-4.3494895829536487E-3</v>
      </c>
      <c r="E822" s="26">
        <f>E821+Step_h*D821</f>
        <v>0.97456458721117789</v>
      </c>
      <c r="J822" s="24">
        <f>ROUND(J821-Step_h,2)</f>
        <v>2.0099999999999998</v>
      </c>
      <c r="K822" s="24">
        <f>J822+Age</f>
        <v>22.009999999999998</v>
      </c>
      <c r="L822" s="19">
        <f>B*c_gom^K822</f>
        <v>2.6657364539598321E-3</v>
      </c>
      <c r="M822" s="19">
        <f>N822*delta +Prem-L822*(1-N822)</f>
        <v>5.8936494551559268E-4</v>
      </c>
      <c r="N822" s="26">
        <f>N821-Step_h*M821</f>
        <v>4.8437830105809588E-3</v>
      </c>
      <c r="U822" s="2"/>
      <c r="X822" s="2"/>
    </row>
    <row r="823" spans="1:24" x14ac:dyDescent="0.45">
      <c r="A823" s="24">
        <v>8</v>
      </c>
      <c r="B823" s="24">
        <f>A823+Age</f>
        <v>28</v>
      </c>
      <c r="C823" s="19">
        <f>B*c_gom^B823</f>
        <v>4.4668558098245152E-3</v>
      </c>
      <c r="D823" s="19">
        <f t="shared" si="12"/>
        <v>-4.3530452030053467E-3</v>
      </c>
      <c r="E823" s="26">
        <f>E822+Step_h*D822</f>
        <v>0.97452109231534834</v>
      </c>
      <c r="J823" s="24">
        <f>ROUND(J822-Step_h,2)</f>
        <v>2</v>
      </c>
      <c r="K823" s="24">
        <f>J823+Age</f>
        <v>22</v>
      </c>
      <c r="L823" s="19">
        <f>B*c_gom^K823</f>
        <v>2.6634401732789589E-3</v>
      </c>
      <c r="M823" s="19">
        <f>N823*delta +Prem-L823*(1-N823)</f>
        <v>5.91339723655633E-4</v>
      </c>
      <c r="N823" s="26">
        <f>N822-Step_h*M822</f>
        <v>4.8378893611258026E-3</v>
      </c>
      <c r="U823" s="2"/>
      <c r="X823" s="2"/>
    </row>
    <row r="824" spans="1:24" x14ac:dyDescent="0.45">
      <c r="A824" s="24">
        <v>8.01</v>
      </c>
      <c r="B824" s="24">
        <f>A824+Age</f>
        <v>28.009999999999998</v>
      </c>
      <c r="C824" s="19">
        <f>B*c_gom^B824</f>
        <v>4.4707069024089319E-3</v>
      </c>
      <c r="D824" s="19">
        <f t="shared" si="12"/>
        <v>-4.3566035620649637E-3</v>
      </c>
      <c r="E824" s="26">
        <f>E823+Step_h*D823</f>
        <v>0.97447756186331824</v>
      </c>
      <c r="J824" s="24">
        <f>ROUND(J823-Step_h,2)</f>
        <v>1.99</v>
      </c>
      <c r="K824" s="24">
        <f>J824+Age</f>
        <v>21.99</v>
      </c>
      <c r="L824" s="19">
        <f>B*c_gom^K824</f>
        <v>2.6611458706274453E-3</v>
      </c>
      <c r="M824" s="19">
        <f>N824*delta +Prem-L824*(1-N824)</f>
        <v>5.9331152045029225E-4</v>
      </c>
      <c r="N824" s="26">
        <f>N823-Step_h*M823</f>
        <v>4.8319759638892467E-3</v>
      </c>
      <c r="U824" s="2"/>
      <c r="X824" s="2"/>
    </row>
    <row r="825" spans="1:24" x14ac:dyDescent="0.45">
      <c r="A825" s="24">
        <v>8.02</v>
      </c>
      <c r="B825" s="24">
        <f>A825+Age</f>
        <v>28.02</v>
      </c>
      <c r="C825" s="19">
        <f>B*c_gom^B825</f>
        <v>4.4745613152066517E-3</v>
      </c>
      <c r="D825" s="19">
        <f t="shared" si="12"/>
        <v>-4.360164661952856E-3</v>
      </c>
      <c r="E825" s="26">
        <f>E824+Step_h*D824</f>
        <v>0.97443399582769763</v>
      </c>
      <c r="J825" s="24">
        <f>ROUND(J824-Step_h,2)</f>
        <v>1.98</v>
      </c>
      <c r="K825" s="24">
        <f>J825+Age</f>
        <v>21.98</v>
      </c>
      <c r="L825" s="19">
        <f>B*c_gom^K825</f>
        <v>2.6588535443014022E-3</v>
      </c>
      <c r="M825" s="19">
        <f>N825*delta +Prem-L825*(1-N825)</f>
        <v>5.952803392660108E-4</v>
      </c>
      <c r="N825" s="26">
        <f>N824-Step_h*M824</f>
        <v>4.826042848684744E-3</v>
      </c>
      <c r="U825" s="2"/>
      <c r="X825" s="2"/>
    </row>
    <row r="826" spans="1:24" x14ac:dyDescent="0.45">
      <c r="A826" s="24">
        <v>8.0299999999999994</v>
      </c>
      <c r="B826" s="24">
        <f>A826+Age</f>
        <v>28.03</v>
      </c>
      <c r="C826" s="19">
        <f>B*c_gom^B826</f>
        <v>4.4784190510801921E-3</v>
      </c>
      <c r="D826" s="19">
        <f t="shared" si="12"/>
        <v>-4.3637285044900781E-3</v>
      </c>
      <c r="E826" s="26">
        <f>E825+Step_h*D825</f>
        <v>0.97439039418107809</v>
      </c>
      <c r="J826" s="24">
        <f>ROUND(J825-Step_h,2)</f>
        <v>1.97</v>
      </c>
      <c r="K826" s="24">
        <f>J826+Age</f>
        <v>21.97</v>
      </c>
      <c r="L826" s="19">
        <f>B*c_gom^K826</f>
        <v>2.6565631925984119E-3</v>
      </c>
      <c r="M826" s="19">
        <f>N826*delta +Prem-L826*(1-N826)</f>
        <v>5.9724618346552539E-4</v>
      </c>
      <c r="N826" s="26">
        <f>N825-Step_h*M825</f>
        <v>4.8200900452920843E-3</v>
      </c>
      <c r="U826" s="2"/>
      <c r="X826" s="2"/>
    </row>
    <row r="827" spans="1:24" x14ac:dyDescent="0.45">
      <c r="A827" s="24">
        <v>8.0400000000000009</v>
      </c>
      <c r="B827" s="24">
        <f>A827+Age</f>
        <v>28.04</v>
      </c>
      <c r="C827" s="19">
        <f>B*c_gom^B827</f>
        <v>4.48228011289454E-3</v>
      </c>
      <c r="D827" s="19">
        <f t="shared" si="12"/>
        <v>-4.3672950914983811E-3</v>
      </c>
      <c r="E827" s="26">
        <f>E826+Step_h*D826</f>
        <v>0.97434675689603323</v>
      </c>
      <c r="J827" s="24">
        <f>ROUND(J826-Step_h,2)</f>
        <v>1.96</v>
      </c>
      <c r="K827" s="24">
        <f>J827+Age</f>
        <v>21.96</v>
      </c>
      <c r="L827" s="19">
        <f>B*c_gom^K827</f>
        <v>2.6542748138175241E-3</v>
      </c>
      <c r="M827" s="19">
        <f>N827*delta +Prem-L827*(1-N827)</f>
        <v>5.9920905640787475E-4</v>
      </c>
      <c r="N827" s="26">
        <f>N826-Step_h*M826</f>
        <v>4.8141175834574288E-3</v>
      </c>
      <c r="U827" s="2"/>
      <c r="X827" s="2"/>
    </row>
    <row r="828" spans="1:24" x14ac:dyDescent="0.45">
      <c r="A828" s="24">
        <v>8.0500000000000007</v>
      </c>
      <c r="B828" s="24">
        <f>A828+Age</f>
        <v>28.05</v>
      </c>
      <c r="C828" s="19">
        <f>B*c_gom^B828</f>
        <v>4.4861445035171499E-3</v>
      </c>
      <c r="D828" s="19">
        <f t="shared" si="12"/>
        <v>-4.3708644248002006E-3</v>
      </c>
      <c r="E828" s="26">
        <f>E827+Step_h*D827</f>
        <v>0.97430308394511822</v>
      </c>
      <c r="J828" s="24">
        <f>ROUND(J827-Step_h,2)</f>
        <v>1.95</v>
      </c>
      <c r="K828" s="24">
        <f>J828+Age</f>
        <v>21.95</v>
      </c>
      <c r="L828" s="19">
        <f>B*c_gom^K828</f>
        <v>2.6519884062592516E-3</v>
      </c>
      <c r="M828" s="19">
        <f>N828*delta +Prem-L828*(1-N828)</f>
        <v>6.0116896144840875E-4</v>
      </c>
      <c r="N828" s="26">
        <f>N827-Step_h*M827</f>
        <v>4.8081254928933502E-3</v>
      </c>
      <c r="U828" s="2"/>
      <c r="X828" s="2"/>
    </row>
    <row r="829" spans="1:24" x14ac:dyDescent="0.45">
      <c r="A829" s="24">
        <v>8.06</v>
      </c>
      <c r="B829" s="24">
        <f>A829+Age</f>
        <v>28.060000000000002</v>
      </c>
      <c r="C829" s="19">
        <f>B*c_gom^B829</f>
        <v>4.4900122258179466E-3</v>
      </c>
      <c r="D829" s="19">
        <f t="shared" si="12"/>
        <v>-4.3744365062186623E-3</v>
      </c>
      <c r="E829" s="26">
        <f>E828+Step_h*D828</f>
        <v>0.97425937530087026</v>
      </c>
      <c r="J829" s="24">
        <f>ROUND(J828-Step_h,2)</f>
        <v>1.94</v>
      </c>
      <c r="K829" s="24">
        <f>J829+Age</f>
        <v>21.94</v>
      </c>
      <c r="L829" s="19">
        <f>B*c_gom^K829</f>
        <v>2.6497039682255724E-3</v>
      </c>
      <c r="M829" s="19">
        <f>N829*delta +Prem-L829*(1-N829)</f>
        <v>6.0312590193879008E-4</v>
      </c>
      <c r="N829" s="26">
        <f>N828-Step_h*M828</f>
        <v>4.8021138032788664E-3</v>
      </c>
      <c r="U829" s="2"/>
      <c r="X829" s="2"/>
    </row>
    <row r="830" spans="1:24" x14ac:dyDescent="0.45">
      <c r="A830" s="24">
        <v>8.07</v>
      </c>
      <c r="B830" s="24">
        <f>A830+Age</f>
        <v>28.07</v>
      </c>
      <c r="C830" s="19">
        <f>B*c_gom^B830</f>
        <v>4.4938832826693312E-3</v>
      </c>
      <c r="D830" s="19">
        <f t="shared" si="12"/>
        <v>-4.3780113375775833E-3</v>
      </c>
      <c r="E830" s="26">
        <f>E829+Step_h*D829</f>
        <v>0.9742156309358081</v>
      </c>
      <c r="J830" s="24">
        <f>ROUND(J829-Step_h,2)</f>
        <v>1.93</v>
      </c>
      <c r="K830" s="24">
        <f>J830+Age</f>
        <v>21.93</v>
      </c>
      <c r="L830" s="19">
        <f>B*c_gom^K830</f>
        <v>2.6474214980199261E-3</v>
      </c>
      <c r="M830" s="19">
        <f>N830*delta +Prem-L830*(1-N830)</f>
        <v>6.0507988122699818E-4</v>
      </c>
      <c r="N830" s="26">
        <f>N829-Step_h*M829</f>
        <v>4.7960825442594788E-3</v>
      </c>
      <c r="U830" s="2"/>
      <c r="X830" s="2"/>
    </row>
    <row r="831" spans="1:24" x14ac:dyDescent="0.45">
      <c r="A831" s="24">
        <v>8.08</v>
      </c>
      <c r="B831" s="24">
        <f>A831+Age</f>
        <v>28.08</v>
      </c>
      <c r="C831" s="19">
        <f>B*c_gom^B831</f>
        <v>4.4977576769461838E-3</v>
      </c>
      <c r="D831" s="19">
        <f t="shared" si="12"/>
        <v>-4.3815889207014678E-3</v>
      </c>
      <c r="E831" s="26">
        <f>E830+Step_h*D830</f>
        <v>0.97417185082243229</v>
      </c>
      <c r="J831" s="24">
        <f>ROUND(J830-Step_h,2)</f>
        <v>1.92</v>
      </c>
      <c r="K831" s="24">
        <f>J831+Age</f>
        <v>21.92</v>
      </c>
      <c r="L831" s="19">
        <f>B*c_gom^K831</f>
        <v>2.6451409939472156E-3</v>
      </c>
      <c r="M831" s="19">
        <f>N831*delta +Prem-L831*(1-N831)</f>
        <v>6.0703090265733619E-4</v>
      </c>
      <c r="N831" s="26">
        <f>N830-Step_h*M830</f>
        <v>4.7900317454472085E-3</v>
      </c>
      <c r="U831" s="2"/>
      <c r="X831" s="2"/>
    </row>
    <row r="832" spans="1:24" x14ac:dyDescent="0.45">
      <c r="A832" s="24">
        <v>8.09</v>
      </c>
      <c r="B832" s="24">
        <f>A832+Age</f>
        <v>28.09</v>
      </c>
      <c r="C832" s="19">
        <f>B*c_gom^B832</f>
        <v>4.5016354115258572E-3</v>
      </c>
      <c r="D832" s="19">
        <f t="shared" si="12"/>
        <v>-4.3851692574155042E-3</v>
      </c>
      <c r="E832" s="26">
        <f>E831+Step_h*D831</f>
        <v>0.97412803493322531</v>
      </c>
      <c r="J832" s="24">
        <f>ROUND(J831-Step_h,2)</f>
        <v>1.91</v>
      </c>
      <c r="K832" s="24">
        <f>J832+Age</f>
        <v>21.91</v>
      </c>
      <c r="L832" s="19">
        <f>B*c_gom^K832</f>
        <v>2.6428624543138007E-3</v>
      </c>
      <c r="M832" s="19">
        <f>N832*delta +Prem-L832*(1-N832)</f>
        <v>6.0897896957043222E-4</v>
      </c>
      <c r="N832" s="26">
        <f>N831-Step_h*M831</f>
        <v>4.7839614364206355E-3</v>
      </c>
      <c r="U832" s="2"/>
      <c r="X832" s="2"/>
    </row>
    <row r="833" spans="1:24" x14ac:dyDescent="0.45">
      <c r="A833" s="24">
        <v>8.1</v>
      </c>
      <c r="B833" s="24">
        <f>A833+Age</f>
        <v>28.1</v>
      </c>
      <c r="C833" s="19">
        <f>B*c_gom^B833</f>
        <v>4.5055164892881926E-3</v>
      </c>
      <c r="D833" s="19">
        <f t="shared" si="12"/>
        <v>-4.3887523495455749E-3</v>
      </c>
      <c r="E833" s="26">
        <f>E832+Step_h*D832</f>
        <v>0.97408418324065116</v>
      </c>
      <c r="J833" s="24">
        <f>ROUND(J832-Step_h,2)</f>
        <v>1.9</v>
      </c>
      <c r="K833" s="24">
        <f>J833+Age</f>
        <v>21.9</v>
      </c>
      <c r="L833" s="19">
        <f>B*c_gom^K833</f>
        <v>2.6405858774275035E-3</v>
      </c>
      <c r="M833" s="19">
        <f>N833*delta +Prem-L833*(1-N833)</f>
        <v>6.1092408530324634E-4</v>
      </c>
      <c r="N833" s="26">
        <f>N832-Step_h*M832</f>
        <v>4.7778716467249309E-3</v>
      </c>
      <c r="U833" s="2"/>
      <c r="X833" s="2"/>
    </row>
    <row r="834" spans="1:24" x14ac:dyDescent="0.45">
      <c r="A834" s="24">
        <v>8.11</v>
      </c>
      <c r="B834" s="24">
        <f>A834+Age</f>
        <v>28.11</v>
      </c>
      <c r="C834" s="19">
        <f>B*c_gom^B834</f>
        <v>4.5094009131155044E-3</v>
      </c>
      <c r="D834" s="19">
        <f t="shared" si="12"/>
        <v>-4.3923381989182378E-3</v>
      </c>
      <c r="E834" s="26">
        <f>E833+Step_h*D833</f>
        <v>0.97404029571715567</v>
      </c>
      <c r="J834" s="24">
        <f>ROUND(J833-Step_h,2)</f>
        <v>1.89</v>
      </c>
      <c r="K834" s="24">
        <f>J834+Age</f>
        <v>21.89</v>
      </c>
      <c r="L834" s="19">
        <f>B*c_gom^K834</f>
        <v>2.6383112615976025E-3</v>
      </c>
      <c r="M834" s="19">
        <f>N834*delta +Prem-L834*(1-N834)</f>
        <v>6.1286625318907224E-4</v>
      </c>
      <c r="N834" s="26">
        <f>N833-Step_h*M833</f>
        <v>4.7717624058718983E-3</v>
      </c>
      <c r="U834" s="2"/>
      <c r="X834" s="2"/>
    </row>
    <row r="835" spans="1:24" x14ac:dyDescent="0.45">
      <c r="A835" s="24">
        <v>8.120000000000001</v>
      </c>
      <c r="B835" s="24">
        <f>A835+Age</f>
        <v>28.12</v>
      </c>
      <c r="C835" s="19">
        <f>B*c_gom^B835</f>
        <v>4.5132886858925995E-3</v>
      </c>
      <c r="D835" s="19">
        <f t="shared" si="12"/>
        <v>-4.3959268073607422E-3</v>
      </c>
      <c r="E835" s="26">
        <f>E834+Step_h*D834</f>
        <v>0.97399637233516645</v>
      </c>
      <c r="J835" s="24">
        <f>ROUND(J834-Step_h,2)</f>
        <v>1.88</v>
      </c>
      <c r="K835" s="24">
        <f>J835+Age</f>
        <v>21.88</v>
      </c>
      <c r="L835" s="19">
        <f>B*c_gom^K835</f>
        <v>2.6360386051348314E-3</v>
      </c>
      <c r="M835" s="19">
        <f>N835*delta +Prem-L835*(1-N835)</f>
        <v>6.1480547655754642E-4</v>
      </c>
      <c r="N835" s="26">
        <f>N834-Step_h*M834</f>
        <v>4.7656337433400076E-3</v>
      </c>
      <c r="U835" s="2"/>
      <c r="X835" s="2"/>
    </row>
    <row r="836" spans="1:24" x14ac:dyDescent="0.45">
      <c r="A836" s="24">
        <v>8.1300000000000008</v>
      </c>
      <c r="B836" s="24">
        <f>A836+Age</f>
        <v>28.130000000000003</v>
      </c>
      <c r="C836" s="19">
        <f>B*c_gom^B836</f>
        <v>4.5171798105067707E-3</v>
      </c>
      <c r="D836" s="19">
        <f t="shared" si="12"/>
        <v>-4.3995181767010226E-3</v>
      </c>
      <c r="E836" s="26">
        <f>E835+Step_h*D835</f>
        <v>0.97395241306709279</v>
      </c>
      <c r="J836" s="24">
        <f>ROUND(J835-Step_h,2)</f>
        <v>1.87</v>
      </c>
      <c r="K836" s="24">
        <f>J836+Age</f>
        <v>21.87</v>
      </c>
      <c r="L836" s="19">
        <f>B*c_gom^K836</f>
        <v>2.6337679063513815E-3</v>
      </c>
      <c r="M836" s="19">
        <f>N836*delta +Prem-L836*(1-N836)</f>
        <v>6.1674175873464637E-4</v>
      </c>
      <c r="N836" s="26">
        <f>N835-Step_h*M835</f>
        <v>4.7594856885744318E-3</v>
      </c>
      <c r="U836" s="2"/>
      <c r="X836" s="2"/>
    </row>
    <row r="837" spans="1:24" x14ac:dyDescent="0.45">
      <c r="A837" s="24">
        <v>8.14</v>
      </c>
      <c r="B837" s="24">
        <f>A837+Age</f>
        <v>28.14</v>
      </c>
      <c r="C837" s="19">
        <f>B*c_gom^B837</f>
        <v>4.5210742898477967E-3</v>
      </c>
      <c r="D837" s="19">
        <f t="shared" si="12"/>
        <v>-4.4031123087676909E-3</v>
      </c>
      <c r="E837" s="26">
        <f>E836+Step_h*D836</f>
        <v>0.97390841788532578</v>
      </c>
      <c r="J837" s="24">
        <f>ROUND(J836-Step_h,2)</f>
        <v>1.86</v>
      </c>
      <c r="K837" s="24">
        <f>J837+Age</f>
        <v>21.86</v>
      </c>
      <c r="L837" s="19">
        <f>B*c_gom^K837</f>
        <v>2.6314991635608951E-3</v>
      </c>
      <c r="M837" s="19">
        <f>N837*delta +Prem-L837*(1-N837)</f>
        <v>6.1867510304270063E-4</v>
      </c>
      <c r="N837" s="26">
        <f>N836-Step_h*M836</f>
        <v>4.7533182709870855E-3</v>
      </c>
      <c r="U837" s="2"/>
      <c r="X837" s="2"/>
    </row>
    <row r="838" spans="1:24" x14ac:dyDescent="0.45">
      <c r="A838" s="24">
        <v>8.15</v>
      </c>
      <c r="B838" s="24">
        <f>A838+Age</f>
        <v>28.15</v>
      </c>
      <c r="C838" s="19">
        <f>B*c_gom^B838</f>
        <v>4.5249721268079517E-3</v>
      </c>
      <c r="D838" s="19">
        <f t="shared" si="12"/>
        <v>-4.4067092053900461E-3</v>
      </c>
      <c r="E838" s="26">
        <f>E837+Step_h*D837</f>
        <v>0.97386438676223808</v>
      </c>
      <c r="J838" s="24">
        <f>ROUND(J837-Step_h,2)</f>
        <v>1.85</v>
      </c>
      <c r="K838" s="24">
        <f>J838+Age</f>
        <v>21.85</v>
      </c>
      <c r="L838" s="19">
        <f>B*c_gom^K838</f>
        <v>2.6292323750784705E-3</v>
      </c>
      <c r="M838" s="19">
        <f>N838*delta +Prem-L838*(1-N838)</f>
        <v>6.2060551280038786E-4</v>
      </c>
      <c r="N838" s="26">
        <f>N837-Step_h*M837</f>
        <v>4.7471315199566584E-3</v>
      </c>
      <c r="U838" s="2"/>
      <c r="X838" s="2"/>
    </row>
    <row r="839" spans="1:24" x14ac:dyDescent="0.45">
      <c r="A839" s="24">
        <v>8.16</v>
      </c>
      <c r="B839" s="24">
        <f>A839+Age</f>
        <v>28.16</v>
      </c>
      <c r="C839" s="19">
        <f>B*c_gom^B839</f>
        <v>4.5288733242819998E-3</v>
      </c>
      <c r="D839" s="19">
        <f t="shared" si="12"/>
        <v>-4.4103088683980669E-3</v>
      </c>
      <c r="E839" s="26">
        <f>E838+Step_h*D838</f>
        <v>0.97382031967018423</v>
      </c>
      <c r="J839" s="24">
        <f>ROUND(J838-Step_h,2)</f>
        <v>1.84</v>
      </c>
      <c r="K839" s="24">
        <f>J839+Age</f>
        <v>21.84</v>
      </c>
      <c r="L839" s="19">
        <f>B*c_gom^K839</f>
        <v>2.6269675392206534E-3</v>
      </c>
      <c r="M839" s="19">
        <f>N839*delta +Prem-L839*(1-N839)</f>
        <v>6.2253299132274901E-4</v>
      </c>
      <c r="N839" s="26">
        <f>N838-Step_h*M838</f>
        <v>4.7409254648286547E-3</v>
      </c>
      <c r="U839" s="2"/>
      <c r="X839" s="2"/>
    </row>
    <row r="840" spans="1:24" x14ac:dyDescent="0.45">
      <c r="A840" s="24">
        <v>8.17</v>
      </c>
      <c r="B840" s="24">
        <f>A840+Age</f>
        <v>28.17</v>
      </c>
      <c r="C840" s="19">
        <f>B*c_gom^B840</f>
        <v>4.532777885167206E-3</v>
      </c>
      <c r="D840" s="19">
        <f t="shared" si="12"/>
        <v>-4.4139112996224158E-3</v>
      </c>
      <c r="E840" s="26">
        <f>E839+Step_h*D839</f>
        <v>0.97377621658150026</v>
      </c>
      <c r="J840" s="24">
        <f>ROUND(J839-Step_h,2)</f>
        <v>1.83</v>
      </c>
      <c r="K840" s="24">
        <f>J840+Age</f>
        <v>21.83</v>
      </c>
      <c r="L840" s="19">
        <f>B*c_gom^K840</f>
        <v>2.624704654305443E-3</v>
      </c>
      <c r="M840" s="19">
        <f>N840*delta +Prem-L840*(1-N840)</f>
        <v>6.2445754192118168E-4</v>
      </c>
      <c r="N840" s="26">
        <f>N839-Step_h*M839</f>
        <v>4.7347001349154275E-3</v>
      </c>
      <c r="U840" s="2"/>
      <c r="X840" s="2"/>
    </row>
    <row r="841" spans="1:24" x14ac:dyDescent="0.45">
      <c r="A841" s="24">
        <v>8.18</v>
      </c>
      <c r="B841" s="24">
        <f>A841+Age</f>
        <v>28.18</v>
      </c>
      <c r="C841" s="19">
        <f>B*c_gom^B841</f>
        <v>4.5366858123633254E-3</v>
      </c>
      <c r="D841" s="19">
        <f t="shared" si="12"/>
        <v>-4.4175165008944282E-3</v>
      </c>
      <c r="E841" s="26">
        <f>E840+Step_h*D840</f>
        <v>0.97373207746850399</v>
      </c>
      <c r="J841" s="24">
        <f>ROUND(J840-Step_h,2)</f>
        <v>1.82</v>
      </c>
      <c r="K841" s="24">
        <f>J841+Age</f>
        <v>21.82</v>
      </c>
      <c r="L841" s="19">
        <f>B*c_gom^K841</f>
        <v>2.622443718652286E-3</v>
      </c>
      <c r="M841" s="19">
        <f>N841*delta +Prem-L841*(1-N841)</f>
        <v>6.2637916790345225E-4</v>
      </c>
      <c r="N841" s="26">
        <f>N840-Step_h*M840</f>
        <v>4.7284555594962153E-3</v>
      </c>
      <c r="U841" s="2"/>
      <c r="X841" s="2"/>
    </row>
    <row r="842" spans="1:24" x14ac:dyDescent="0.45">
      <c r="A842" s="24">
        <v>8.19</v>
      </c>
      <c r="B842" s="24">
        <f>A842+Age</f>
        <v>28.189999999999998</v>
      </c>
      <c r="C842" s="19">
        <f>B*c_gom^B842</f>
        <v>4.5405971087726206E-3</v>
      </c>
      <c r="D842" s="19">
        <f t="shared" si="12"/>
        <v>-4.4211244740461272E-3</v>
      </c>
      <c r="E842" s="26">
        <f>E841+Step_h*D841</f>
        <v>0.973687902303495</v>
      </c>
      <c r="J842" s="24">
        <f>ROUND(J841-Step_h,2)</f>
        <v>1.81</v>
      </c>
      <c r="K842" s="24">
        <f>J842+Age</f>
        <v>21.81</v>
      </c>
      <c r="L842" s="19">
        <f>B*c_gom^K842</f>
        <v>2.6201847305820768E-3</v>
      </c>
      <c r="M842" s="19">
        <f>N842*delta +Prem-L842*(1-N842)</f>
        <v>6.2829787257369721E-4</v>
      </c>
      <c r="N842" s="26">
        <f>N841-Step_h*M841</f>
        <v>4.7221917678171811E-3</v>
      </c>
      <c r="U842" s="2"/>
      <c r="X842" s="2"/>
    </row>
    <row r="843" spans="1:24" x14ac:dyDescent="0.45">
      <c r="A843" s="24">
        <v>8.1999999999999993</v>
      </c>
      <c r="B843" s="24">
        <f>A843+Age</f>
        <v>28.2</v>
      </c>
      <c r="C843" s="19">
        <f>B*c_gom^B843</f>
        <v>4.5445117772998514E-3</v>
      </c>
      <c r="D843" s="19">
        <f t="shared" si="12"/>
        <v>-4.4247352209102085E-3</v>
      </c>
      <c r="E843" s="26">
        <f>E842+Step_h*D842</f>
        <v>0.97364369105875459</v>
      </c>
      <c r="J843" s="24">
        <f>ROUND(J842-Step_h,2)</f>
        <v>1.8</v>
      </c>
      <c r="K843" s="24">
        <f>J843+Age</f>
        <v>21.8</v>
      </c>
      <c r="L843" s="19">
        <f>B*c_gom^K843</f>
        <v>2.617927688417157E-3</v>
      </c>
      <c r="M843" s="19">
        <f>N843*delta +Prem-L843*(1-N843)</f>
        <v>6.3021365923242745E-4</v>
      </c>
      <c r="N843" s="26">
        <f>N842-Step_h*M842</f>
        <v>4.7159087890914445E-3</v>
      </c>
      <c r="U843" s="2"/>
      <c r="X843" s="2"/>
    </row>
    <row r="844" spans="1:24" x14ac:dyDescent="0.45">
      <c r="A844" s="24">
        <v>8.2100000000000009</v>
      </c>
      <c r="B844" s="24">
        <f>A844+Age</f>
        <v>28.21</v>
      </c>
      <c r="C844" s="19">
        <f>B*c_gom^B844</f>
        <v>4.5484298208522886E-3</v>
      </c>
      <c r="D844" s="19">
        <f t="shared" si="12"/>
        <v>-4.4283487433200508E-3</v>
      </c>
      <c r="E844" s="26">
        <f>E843+Step_h*D843</f>
        <v>0.9735994437065455</v>
      </c>
      <c r="J844" s="24">
        <f>ROUND(J843-Step_h,2)</f>
        <v>1.79</v>
      </c>
      <c r="K844" s="24">
        <f>J844+Age</f>
        <v>21.79</v>
      </c>
      <c r="L844" s="19">
        <f>B*c_gom^K844</f>
        <v>2.61567259048131E-3</v>
      </c>
      <c r="M844" s="19">
        <f>N844*delta +Prem-L844*(1-N844)</f>
        <v>6.3212653117653613E-4</v>
      </c>
      <c r="N844" s="26">
        <f>N843-Step_h*M843</f>
        <v>4.7096066524991206E-3</v>
      </c>
      <c r="U844" s="2"/>
      <c r="X844" s="2"/>
    </row>
    <row r="845" spans="1:24" x14ac:dyDescent="0.45">
      <c r="A845" s="24">
        <v>8.2200000000000006</v>
      </c>
      <c r="B845" s="24">
        <f>A845+Age</f>
        <v>28.22</v>
      </c>
      <c r="C845" s="19">
        <f>B*c_gom^B845</f>
        <v>4.5523512423396983E-3</v>
      </c>
      <c r="D845" s="19">
        <f t="shared" si="12"/>
        <v>-4.4319650431096994E-3</v>
      </c>
      <c r="E845" s="26">
        <f>E844+Step_h*D844</f>
        <v>0.97355516021911226</v>
      </c>
      <c r="J845" s="24">
        <f>ROUND(J844-Step_h,2)</f>
        <v>1.78</v>
      </c>
      <c r="K845" s="24">
        <f>J845+Age</f>
        <v>21.78</v>
      </c>
      <c r="L845" s="19">
        <f>B*c_gom^K845</f>
        <v>2.6134194350997701E-3</v>
      </c>
      <c r="M845" s="19">
        <f>N845*delta +Prem-L845*(1-N845)</f>
        <v>6.3403649169929384E-4</v>
      </c>
      <c r="N845" s="26">
        <f>N844-Step_h*M844</f>
        <v>4.7032853871873549E-3</v>
      </c>
      <c r="U845" s="2"/>
      <c r="X845" s="2"/>
    </row>
    <row r="846" spans="1:24" x14ac:dyDescent="0.45">
      <c r="A846" s="24">
        <v>8.23</v>
      </c>
      <c r="B846" s="24">
        <f>A846+Age</f>
        <v>28.23</v>
      </c>
      <c r="C846" s="19">
        <f>B*c_gom^B846</f>
        <v>4.5562760446743638E-3</v>
      </c>
      <c r="D846" s="19">
        <f t="shared" si="12"/>
        <v>-4.4355841221138861E-3</v>
      </c>
      <c r="E846" s="26">
        <f>E845+Step_h*D845</f>
        <v>0.9735108405686812</v>
      </c>
      <c r="J846" s="24">
        <f>ROUND(J845-Step_h,2)</f>
        <v>1.77</v>
      </c>
      <c r="K846" s="24">
        <f>J846+Age</f>
        <v>21.77</v>
      </c>
      <c r="L846" s="19">
        <f>B*c_gom^K846</f>
        <v>2.6111682205992057E-3</v>
      </c>
      <c r="M846" s="19">
        <f>N846*delta +Prem-L846*(1-N846)</f>
        <v>6.3594354409036687E-4</v>
      </c>
      <c r="N846" s="26">
        <f>N845-Step_h*M845</f>
        <v>4.6969450222703619E-3</v>
      </c>
      <c r="U846" s="2"/>
      <c r="X846" s="2"/>
    </row>
    <row r="847" spans="1:24" x14ac:dyDescent="0.45">
      <c r="A847" s="24">
        <v>8.24</v>
      </c>
      <c r="B847" s="24">
        <f>A847+Age</f>
        <v>28.240000000000002</v>
      </c>
      <c r="C847" s="19">
        <f>B*c_gom^B847</f>
        <v>4.5602042307710811E-3</v>
      </c>
      <c r="D847" s="19">
        <f t="shared" si="12"/>
        <v>-4.4392059821680152E-3</v>
      </c>
      <c r="E847" s="26">
        <f>E846+Step_h*D846</f>
        <v>0.97346648472746011</v>
      </c>
      <c r="J847" s="24">
        <f>ROUND(J846-Step_h,2)</f>
        <v>1.76</v>
      </c>
      <c r="K847" s="24">
        <f>J847+Age</f>
        <v>21.76</v>
      </c>
      <c r="L847" s="19">
        <f>B*c_gom^K847</f>
        <v>2.6089189453077327E-3</v>
      </c>
      <c r="M847" s="19">
        <f>N847*delta +Prem-L847*(1-N847)</f>
        <v>6.378476916358072E-4</v>
      </c>
      <c r="N847" s="26">
        <f>N846-Step_h*M846</f>
        <v>4.690585586829458E-3</v>
      </c>
      <c r="U847" s="2"/>
      <c r="X847" s="2"/>
    </row>
    <row r="848" spans="1:24" x14ac:dyDescent="0.45">
      <c r="A848" s="24">
        <v>8.25</v>
      </c>
      <c r="B848" s="24">
        <f>A848+Age</f>
        <v>28.25</v>
      </c>
      <c r="C848" s="19">
        <f>B*c_gom^B848</f>
        <v>4.5641358035471511E-3</v>
      </c>
      <c r="D848" s="19">
        <f t="shared" si="12"/>
        <v>-4.4428306251081615E-3</v>
      </c>
      <c r="E848" s="26">
        <f>E847+Step_h*D847</f>
        <v>0.97342209266763846</v>
      </c>
      <c r="J848" s="24">
        <f>ROUND(J847-Step_h,2)</f>
        <v>1.75</v>
      </c>
      <c r="K848" s="24">
        <f>J848+Age</f>
        <v>21.75</v>
      </c>
      <c r="L848" s="19">
        <f>B*c_gom^K848</f>
        <v>2.6066716075549049E-3</v>
      </c>
      <c r="M848" s="19">
        <f>N848*delta +Prem-L848*(1-N848)</f>
        <v>6.3974893761806727E-4</v>
      </c>
      <c r="N848" s="26">
        <f>N847-Step_h*M847</f>
        <v>4.6842071099130996E-3</v>
      </c>
      <c r="U848" s="2"/>
      <c r="X848" s="2"/>
    </row>
    <row r="849" spans="1:24" x14ac:dyDescent="0.45">
      <c r="A849" s="24">
        <v>8.26</v>
      </c>
      <c r="B849" s="24">
        <f>A849+Age</f>
        <v>28.259999999999998</v>
      </c>
      <c r="C849" s="19">
        <f>B*c_gom^B849</f>
        <v>4.5680707659223911E-3</v>
      </c>
      <c r="D849" s="19">
        <f t="shared" si="12"/>
        <v>-4.4464580527710709E-3</v>
      </c>
      <c r="E849" s="26">
        <f>E848+Step_h*D848</f>
        <v>0.9733776643613874</v>
      </c>
      <c r="J849" s="24">
        <f>ROUND(J848-Step_h,2)</f>
        <v>1.74</v>
      </c>
      <c r="K849" s="24">
        <f>J849+Age</f>
        <v>21.74</v>
      </c>
      <c r="L849" s="19">
        <f>B*c_gom^K849</f>
        <v>2.6044262056717157E-3</v>
      </c>
      <c r="M849" s="19">
        <f>N849*delta +Prem-L849*(1-N849)</f>
        <v>6.4164728531599996E-4</v>
      </c>
      <c r="N849" s="26">
        <f>N848-Step_h*M848</f>
        <v>4.6778096205369185E-3</v>
      </c>
      <c r="U849" s="2"/>
      <c r="X849" s="2"/>
    </row>
    <row r="850" spans="1:24" x14ac:dyDescent="0.45">
      <c r="A850" s="24">
        <v>8.27</v>
      </c>
      <c r="B850" s="24">
        <f>A850+Age</f>
        <v>28.27</v>
      </c>
      <c r="C850" s="19">
        <f>B*c_gom^B850</f>
        <v>4.5720091208191482E-3</v>
      </c>
      <c r="D850" s="19">
        <f t="shared" si="12"/>
        <v>-4.4500882669941764E-3</v>
      </c>
      <c r="E850" s="26">
        <f>E849+Step_h*D849</f>
        <v>0.97333319978085964</v>
      </c>
      <c r="J850" s="24">
        <f>ROUND(J849-Step_h,2)</f>
        <v>1.73</v>
      </c>
      <c r="K850" s="24">
        <f>J850+Age</f>
        <v>21.73</v>
      </c>
      <c r="L850" s="19">
        <f>B*c_gom^K850</f>
        <v>2.6021827379905959E-3</v>
      </c>
      <c r="M850" s="19">
        <f>N850*delta +Prem-L850*(1-N850)</f>
        <v>6.4354273800486207E-4</v>
      </c>
      <c r="N850" s="26">
        <f>N849-Step_h*M849</f>
        <v>4.6713931476837587E-3</v>
      </c>
      <c r="U850" s="2"/>
      <c r="X850" s="2"/>
    </row>
    <row r="851" spans="1:24" x14ac:dyDescent="0.45">
      <c r="A851" s="24">
        <v>8.2799999999999994</v>
      </c>
      <c r="B851" s="24">
        <f>A851+Age</f>
        <v>28.28</v>
      </c>
      <c r="C851" s="19">
        <f>B*c_gom^B851</f>
        <v>4.5759508711622722E-3</v>
      </c>
      <c r="D851" s="19">
        <f t="shared" si="12"/>
        <v>-4.4537212696155659E-3</v>
      </c>
      <c r="E851" s="26">
        <f>E850+Step_h*D850</f>
        <v>0.9732886988981897</v>
      </c>
      <c r="J851" s="24">
        <f>ROUND(J850-Step_h,2)</f>
        <v>1.72</v>
      </c>
      <c r="K851" s="24">
        <f>J851+Age</f>
        <v>21.72</v>
      </c>
      <c r="L851" s="19">
        <f>B*c_gom^K851</f>
        <v>2.5999412028454121E-3</v>
      </c>
      <c r="M851" s="19">
        <f>N851*delta +Prem-L851*(1-N851)</f>
        <v>6.45435298956323E-4</v>
      </c>
      <c r="N851" s="26">
        <f>N850-Step_h*M850</f>
        <v>4.6649577203037099E-3</v>
      </c>
      <c r="U851" s="2"/>
      <c r="X851" s="2"/>
    </row>
    <row r="852" spans="1:24" x14ac:dyDescent="0.45">
      <c r="A852" s="24">
        <v>8.2900000000000009</v>
      </c>
      <c r="B852" s="24">
        <f>A852+Age</f>
        <v>28.29</v>
      </c>
      <c r="C852" s="19">
        <f>B*c_gom^B852</f>
        <v>4.57989601987914E-3</v>
      </c>
      <c r="D852" s="19">
        <f t="shared" si="12"/>
        <v>-4.457357062474002E-3</v>
      </c>
      <c r="E852" s="26">
        <f>E851+Step_h*D851</f>
        <v>0.97324416168549355</v>
      </c>
      <c r="J852" s="24">
        <f>ROUND(J851-Step_h,2)</f>
        <v>1.71</v>
      </c>
      <c r="K852" s="24">
        <f>J852+Age</f>
        <v>21.71</v>
      </c>
      <c r="L852" s="19">
        <f>B*c_gom^K852</f>
        <v>2.5977015985714676E-3</v>
      </c>
      <c r="M852" s="19">
        <f>N852*delta +Prem-L852*(1-N852)</f>
        <v>6.4732497143846213E-4</v>
      </c>
      <c r="N852" s="26">
        <f>N851-Step_h*M851</f>
        <v>4.6585033673141466E-3</v>
      </c>
      <c r="U852" s="2"/>
      <c r="X852" s="2"/>
    </row>
    <row r="853" spans="1:24" x14ac:dyDescent="0.45">
      <c r="A853" s="24">
        <v>8.3000000000000007</v>
      </c>
      <c r="B853" s="24">
        <f>A853+Age</f>
        <v>28.3</v>
      </c>
      <c r="C853" s="19">
        <f>B*c_gom^B853</f>
        <v>4.5838445698996614E-3</v>
      </c>
      <c r="D853" s="19">
        <f t="shared" si="12"/>
        <v>-4.4609956474089283E-3</v>
      </c>
      <c r="E853" s="26">
        <f>E852+Step_h*D852</f>
        <v>0.97319958811486884</v>
      </c>
      <c r="J853" s="24">
        <f>ROUND(J852-Step_h,2)</f>
        <v>1.7</v>
      </c>
      <c r="K853" s="24">
        <f>J853+Age</f>
        <v>21.7</v>
      </c>
      <c r="L853" s="19">
        <f>B*c_gom^K853</f>
        <v>2.5954639235054983E-3</v>
      </c>
      <c r="M853" s="19">
        <f>N853*delta +Prem-L853*(1-N853)</f>
        <v>6.4921175871578097E-4</v>
      </c>
      <c r="N853" s="26">
        <f>N852-Step_h*M852</f>
        <v>4.6520301175997621E-3</v>
      </c>
      <c r="U853" s="2"/>
      <c r="X853" s="2"/>
    </row>
    <row r="854" spans="1:24" x14ac:dyDescent="0.45">
      <c r="A854" s="24">
        <v>8.31</v>
      </c>
      <c r="B854" s="24">
        <f>A854+Age</f>
        <v>28.310000000000002</v>
      </c>
      <c r="C854" s="19">
        <f>B*c_gom^B854</f>
        <v>4.5877965241562608E-3</v>
      </c>
      <c r="D854" s="19">
        <f t="shared" si="12"/>
        <v>-4.4646370262604457E-3</v>
      </c>
      <c r="E854" s="26">
        <f>E853+Step_h*D853</f>
        <v>0.9731549781583948</v>
      </c>
      <c r="J854" s="24">
        <f>ROUND(J853-Step_h,2)</f>
        <v>1.69</v>
      </c>
      <c r="K854" s="24">
        <f>J854+Age</f>
        <v>21.69</v>
      </c>
      <c r="L854" s="19">
        <f>B*c_gom^K854</f>
        <v>2.5932281759856735E-3</v>
      </c>
      <c r="M854" s="19">
        <f>N854*delta +Prem-L854*(1-N854)</f>
        <v>6.5109566404920145E-4</v>
      </c>
      <c r="N854" s="26">
        <f>N853-Step_h*M853</f>
        <v>4.6455380000126039E-3</v>
      </c>
      <c r="U854" s="2"/>
      <c r="X854" s="2"/>
    </row>
    <row r="855" spans="1:24" x14ac:dyDescent="0.45">
      <c r="A855" s="24">
        <v>8.32</v>
      </c>
      <c r="B855" s="24">
        <f>A855+Age</f>
        <v>28.32</v>
      </c>
      <c r="C855" s="19">
        <f>B*c_gom^B855</f>
        <v>4.5917518855838899E-3</v>
      </c>
      <c r="D855" s="19">
        <f t="shared" si="12"/>
        <v>-4.4682812008693205E-3</v>
      </c>
      <c r="E855" s="26">
        <f>E854+Step_h*D854</f>
        <v>0.97311033178813222</v>
      </c>
      <c r="J855" s="24">
        <f>ROUND(J854-Step_h,2)</f>
        <v>1.68</v>
      </c>
      <c r="K855" s="24">
        <f>J855+Age</f>
        <v>21.68</v>
      </c>
      <c r="L855" s="19">
        <f>B*c_gom^K855</f>
        <v>2.5909943543515933E-3</v>
      </c>
      <c r="M855" s="19">
        <f>N855*delta +Prem-L855*(1-N855)</f>
        <v>6.5297669069607411E-4</v>
      </c>
      <c r="N855" s="26">
        <f>N854-Step_h*M854</f>
        <v>4.6390270433721119E-3</v>
      </c>
      <c r="U855" s="2"/>
      <c r="X855" s="2"/>
    </row>
    <row r="856" spans="1:24" x14ac:dyDescent="0.45">
      <c r="A856" s="24">
        <v>8.33</v>
      </c>
      <c r="B856" s="24">
        <f>A856+Age</f>
        <v>28.33</v>
      </c>
      <c r="C856" s="19">
        <f>B*c_gom^B856</f>
        <v>4.5957106571200444E-3</v>
      </c>
      <c r="D856" s="19">
        <f t="shared" ref="D856:D919" si="13">-E856*C856</f>
        <v>-4.4719281730770033E-3</v>
      </c>
      <c r="E856" s="26">
        <f>E855+Step_h*D855</f>
        <v>0.97306564897612358</v>
      </c>
      <c r="J856" s="24">
        <f>ROUND(J855-Step_h,2)</f>
        <v>1.67</v>
      </c>
      <c r="K856" s="24">
        <f>J856+Age</f>
        <v>21.67</v>
      </c>
      <c r="L856" s="19">
        <f>B*c_gom^K856</f>
        <v>2.5887624569442898E-3</v>
      </c>
      <c r="M856" s="19">
        <f>N856*delta +Prem-L856*(1-N856)</f>
        <v>6.5485484191017728E-4</v>
      </c>
      <c r="N856" s="26">
        <f>N855-Step_h*M855</f>
        <v>4.6324972764651513E-3</v>
      </c>
      <c r="U856" s="2"/>
      <c r="X856" s="2"/>
    </row>
    <row r="857" spans="1:24" x14ac:dyDescent="0.45">
      <c r="A857" s="24">
        <v>8.34</v>
      </c>
      <c r="B857" s="24">
        <f>A857+Age</f>
        <v>28.34</v>
      </c>
      <c r="C857" s="19">
        <f>B*c_gom^B857</f>
        <v>4.5996728417047415E-3</v>
      </c>
      <c r="D857" s="19">
        <f t="shared" si="13"/>
        <v>-4.4755779447255969E-3</v>
      </c>
      <c r="E857" s="26">
        <f>E856+Step_h*D856</f>
        <v>0.9730209296943928</v>
      </c>
      <c r="J857" s="24">
        <f>ROUND(J856-Step_h,2)</f>
        <v>1.66</v>
      </c>
      <c r="K857" s="24">
        <f>J857+Age</f>
        <v>21.66</v>
      </c>
      <c r="L857" s="19">
        <f>B*c_gom^K857</f>
        <v>2.5865324821062225E-3</v>
      </c>
      <c r="M857" s="19">
        <f>N857*delta +Prem-L857*(1-N857)</f>
        <v>6.5673012094172875E-4</v>
      </c>
      <c r="N857" s="26">
        <f>N856-Step_h*M856</f>
        <v>4.6259487280460492E-3</v>
      </c>
      <c r="U857" s="2"/>
      <c r="X857" s="2"/>
    </row>
    <row r="858" spans="1:24" x14ac:dyDescent="0.45">
      <c r="A858" s="24">
        <v>8.35</v>
      </c>
      <c r="B858" s="24">
        <f>A858+Age</f>
        <v>28.35</v>
      </c>
      <c r="C858" s="19">
        <f>B*c_gom^B858</f>
        <v>4.6036384422805318E-3</v>
      </c>
      <c r="D858" s="19">
        <f t="shared" si="13"/>
        <v>-4.4792305176578713E-3</v>
      </c>
      <c r="E858" s="26">
        <f>E857+Step_h*D857</f>
        <v>0.97297617391494551</v>
      </c>
      <c r="J858" s="24">
        <f>ROUND(J857-Step_h,2)</f>
        <v>1.65</v>
      </c>
      <c r="K858" s="24">
        <f>J858+Age</f>
        <v>21.65</v>
      </c>
      <c r="L858" s="19">
        <f>B*c_gom^K858</f>
        <v>2.584304428181279E-3</v>
      </c>
      <c r="M858" s="19">
        <f>N858*delta +Prem-L858*(1-N858)</f>
        <v>6.5860253103738452E-4</v>
      </c>
      <c r="N858" s="26">
        <f>N857-Step_h*M857</f>
        <v>4.6193814268366317E-3</v>
      </c>
      <c r="U858" s="2"/>
      <c r="X858" s="2"/>
    </row>
    <row r="859" spans="1:24" x14ac:dyDescent="0.45">
      <c r="A859" s="24">
        <v>8.36</v>
      </c>
      <c r="B859" s="24">
        <f>A859+Age</f>
        <v>28.36</v>
      </c>
      <c r="C859" s="19">
        <f>B*c_gom^B859</f>
        <v>4.6076074617925102E-3</v>
      </c>
      <c r="D859" s="19">
        <f t="shared" si="13"/>
        <v>-4.4828858937172675E-3</v>
      </c>
      <c r="E859" s="26">
        <f>E858+Step_h*D858</f>
        <v>0.97293138160976889</v>
      </c>
      <c r="J859" s="24">
        <f>ROUND(J858-Step_h,2)</f>
        <v>1.64</v>
      </c>
      <c r="K859" s="24">
        <f>J859+Age</f>
        <v>21.64</v>
      </c>
      <c r="L859" s="19">
        <f>B*c_gom^K859</f>
        <v>2.5820782935147739E-3</v>
      </c>
      <c r="M859" s="19">
        <f>N859*delta +Prem-L859*(1-N859)</f>
        <v>6.6047207544024482E-4</v>
      </c>
      <c r="N859" s="26">
        <f>N858-Step_h*M858</f>
        <v>4.6127954015262578E-3</v>
      </c>
      <c r="U859" s="2"/>
      <c r="X859" s="2"/>
    </row>
    <row r="860" spans="1:24" x14ac:dyDescent="0.45">
      <c r="A860" s="24">
        <v>8.370000000000001</v>
      </c>
      <c r="B860" s="24">
        <f>A860+Age</f>
        <v>28.37</v>
      </c>
      <c r="C860" s="19">
        <f>B*c_gom^B860</f>
        <v>4.6115799031883073E-3</v>
      </c>
      <c r="D860" s="19">
        <f t="shared" si="13"/>
        <v>-4.4865440747478861E-3</v>
      </c>
      <c r="E860" s="26">
        <f>E859+Step_h*D859</f>
        <v>0.97288655275083169</v>
      </c>
      <c r="J860" s="24">
        <f>ROUND(J859-Step_h,2)</f>
        <v>1.63</v>
      </c>
      <c r="K860" s="24">
        <f>J860+Age</f>
        <v>21.63</v>
      </c>
      <c r="L860" s="19">
        <f>B*c_gom^K860</f>
        <v>2.5798540764534468E-3</v>
      </c>
      <c r="M860" s="19">
        <f>N860*delta +Prem-L860*(1-N860)</f>
        <v>6.6233875738985716E-4</v>
      </c>
      <c r="N860" s="26">
        <f>N859-Step_h*M859</f>
        <v>4.6061906807718551E-3</v>
      </c>
      <c r="U860" s="2"/>
      <c r="X860" s="2"/>
    </row>
    <row r="861" spans="1:24" x14ac:dyDescent="0.45">
      <c r="A861" s="24">
        <v>8.3800000000000008</v>
      </c>
      <c r="B861" s="24">
        <f>A861+Age</f>
        <v>28.380000000000003</v>
      </c>
      <c r="C861" s="19">
        <f>B*c_gom^B861</f>
        <v>4.6155557694180912E-3</v>
      </c>
      <c r="D861" s="19">
        <f t="shared" si="13"/>
        <v>-4.4902050625944901E-3</v>
      </c>
      <c r="E861" s="26">
        <f>E860+Step_h*D860</f>
        <v>0.97284168731008425</v>
      </c>
      <c r="J861" s="24">
        <f>ROUND(J860-Step_h,2)</f>
        <v>1.62</v>
      </c>
      <c r="K861" s="24">
        <f>J861+Age</f>
        <v>21.62</v>
      </c>
      <c r="L861" s="19">
        <f>B*c_gom^K861</f>
        <v>2.5776317753454622E-3</v>
      </c>
      <c r="M861" s="19">
        <f>N861*delta +Prem-L861*(1-N861)</f>
        <v>6.6420258012222242E-4</v>
      </c>
      <c r="N861" s="26">
        <f>N860-Step_h*M860</f>
        <v>4.599567293197957E-3</v>
      </c>
      <c r="U861" s="2"/>
      <c r="X861" s="2"/>
    </row>
    <row r="862" spans="1:24" x14ac:dyDescent="0.45">
      <c r="A862" s="24">
        <v>8.39</v>
      </c>
      <c r="B862" s="24">
        <f>A862+Age</f>
        <v>28.39</v>
      </c>
      <c r="C862" s="19">
        <f>B*c_gom^B862</f>
        <v>4.6195350634345806E-3</v>
      </c>
      <c r="D862" s="19">
        <f t="shared" si="13"/>
        <v>-4.4938688591025077E-3</v>
      </c>
      <c r="E862" s="26">
        <f>E861+Step_h*D861</f>
        <v>0.97279678525945834</v>
      </c>
      <c r="J862" s="24">
        <f>ROUND(J861-Step_h,2)</f>
        <v>1.61</v>
      </c>
      <c r="K862" s="24">
        <f>J862+Age</f>
        <v>21.61</v>
      </c>
      <c r="L862" s="19">
        <f>B*c_gom^K862</f>
        <v>2.5754113885404061E-3</v>
      </c>
      <c r="M862" s="19">
        <f>N862*delta +Prem-L862*(1-N862)</f>
        <v>6.6606354686979917E-4</v>
      </c>
      <c r="N862" s="26">
        <f>N861-Step_h*M861</f>
        <v>4.5929252673967344E-3</v>
      </c>
      <c r="U862" s="2"/>
      <c r="X862" s="2"/>
    </row>
    <row r="863" spans="1:24" x14ac:dyDescent="0.45">
      <c r="A863" s="24">
        <v>8.4</v>
      </c>
      <c r="B863" s="24">
        <f>A863+Age</f>
        <v>28.4</v>
      </c>
      <c r="C863" s="19">
        <f>B*c_gom^B863</f>
        <v>4.6235177881930331E-3</v>
      </c>
      <c r="D863" s="19">
        <f t="shared" si="13"/>
        <v>-4.4975354661180257E-3</v>
      </c>
      <c r="E863" s="26">
        <f>E862+Step_h*D862</f>
        <v>0.97275184657086733</v>
      </c>
      <c r="J863" s="24">
        <f>ROUND(J862-Step_h,2)</f>
        <v>1.6</v>
      </c>
      <c r="K863" s="24">
        <f>J863+Age</f>
        <v>21.6</v>
      </c>
      <c r="L863" s="19">
        <f>B*c_gom^K863</f>
        <v>2.573192914389288E-3</v>
      </c>
      <c r="M863" s="19">
        <f>N863*delta +Prem-L863*(1-N863)</f>
        <v>6.6792166086150542E-4</v>
      </c>
      <c r="N863" s="26">
        <f>N862-Step_h*M862</f>
        <v>4.5862646319280364E-3</v>
      </c>
      <c r="U863" s="2"/>
      <c r="X863" s="2"/>
    </row>
    <row r="864" spans="1:24" x14ac:dyDescent="0.45">
      <c r="A864" s="24">
        <v>8.41</v>
      </c>
      <c r="B864" s="24">
        <f>A864+Age</f>
        <v>28.41</v>
      </c>
      <c r="C864" s="19">
        <f>B*c_gom^B864</f>
        <v>4.6275039466512615E-3</v>
      </c>
      <c r="D864" s="19">
        <f t="shared" si="13"/>
        <v>-4.5012048854877942E-3</v>
      </c>
      <c r="E864" s="26">
        <f>E863+Step_h*D863</f>
        <v>0.97270687121620614</v>
      </c>
      <c r="J864" s="24">
        <f>ROUND(J863-Step_h,2)</f>
        <v>1.59</v>
      </c>
      <c r="K864" s="24">
        <f>J864+Age</f>
        <v>21.59</v>
      </c>
      <c r="L864" s="19">
        <f>B*c_gom^K864</f>
        <v>2.5709763512445352E-3</v>
      </c>
      <c r="M864" s="19">
        <f>N864*delta +Prem-L864*(1-N864)</f>
        <v>6.6977692532272683E-4</v>
      </c>
      <c r="N864" s="26">
        <f>N863-Step_h*M863</f>
        <v>4.5795854153194209E-3</v>
      </c>
      <c r="U864" s="2"/>
      <c r="X864" s="2"/>
    </row>
    <row r="865" spans="1:24" x14ac:dyDescent="0.45">
      <c r="A865" s="24">
        <v>8.42</v>
      </c>
      <c r="B865" s="24">
        <f>A865+Age</f>
        <v>28.42</v>
      </c>
      <c r="C865" s="19">
        <f>B*c_gom^B865</f>
        <v>4.6314935417696218E-3</v>
      </c>
      <c r="D865" s="19">
        <f t="shared" si="13"/>
        <v>-4.5048771190592208E-3</v>
      </c>
      <c r="E865" s="26">
        <f>E864+Step_h*D864</f>
        <v>0.97266185916735126</v>
      </c>
      <c r="J865" s="24">
        <f>ROUND(J864-Step_h,2)</f>
        <v>1.58</v>
      </c>
      <c r="K865" s="24">
        <f>J865+Age</f>
        <v>21.58</v>
      </c>
      <c r="L865" s="19">
        <f>B*c_gom^K865</f>
        <v>2.5687616974599966E-3</v>
      </c>
      <c r="M865" s="19">
        <f>N865*delta +Prem-L865*(1-N865)</f>
        <v>6.7162934347531631E-4</v>
      </c>
      <c r="N865" s="26">
        <f>N864-Step_h*M864</f>
        <v>4.5728876460661939E-3</v>
      </c>
      <c r="U865" s="2"/>
      <c r="X865" s="2"/>
    </row>
    <row r="866" spans="1:24" x14ac:dyDescent="0.45">
      <c r="A866" s="24">
        <v>8.43</v>
      </c>
      <c r="B866" s="24">
        <f>A866+Age</f>
        <v>28.43</v>
      </c>
      <c r="C866" s="19">
        <f>B*c_gom^B866</f>
        <v>4.6354865765110241E-3</v>
      </c>
      <c r="D866" s="19">
        <f t="shared" si="13"/>
        <v>-4.5085521686803708E-3</v>
      </c>
      <c r="E866" s="26">
        <f>E865+Step_h*D865</f>
        <v>0.97261681039616066</v>
      </c>
      <c r="J866" s="24">
        <f>ROUND(J865-Step_h,2)</f>
        <v>1.57</v>
      </c>
      <c r="K866" s="24">
        <f>J866+Age</f>
        <v>21.57</v>
      </c>
      <c r="L866" s="19">
        <f>B*c_gom^K866</f>
        <v>2.5665489513909401E-3</v>
      </c>
      <c r="M866" s="19">
        <f>N866*delta +Prem-L866*(1-N866)</f>
        <v>6.7347891853759964E-4</v>
      </c>
      <c r="N866" s="26">
        <f>N865-Step_h*M865</f>
        <v>4.5661713526314405E-3</v>
      </c>
      <c r="U866" s="2"/>
      <c r="X866" s="2"/>
    </row>
    <row r="867" spans="1:24" x14ac:dyDescent="0.45">
      <c r="A867" s="24">
        <v>8.44</v>
      </c>
      <c r="B867" s="24">
        <f>A867+Age</f>
        <v>28.439999999999998</v>
      </c>
      <c r="C867" s="19">
        <f>B*c_gom^B867</f>
        <v>4.639483053840935E-3</v>
      </c>
      <c r="D867" s="19">
        <f t="shared" si="13"/>
        <v>-4.51223003619997E-3</v>
      </c>
      <c r="E867" s="26">
        <f>E866+Step_h*D866</f>
        <v>0.97257172487447385</v>
      </c>
      <c r="J867" s="24">
        <f>ROUND(J866-Step_h,2)</f>
        <v>1.56</v>
      </c>
      <c r="K867" s="24">
        <f>J867+Age</f>
        <v>21.56</v>
      </c>
      <c r="L867" s="19">
        <f>B*c_gom^K867</f>
        <v>2.5643381113940452E-3</v>
      </c>
      <c r="M867" s="19">
        <f>N867*delta +Prem-L867*(1-N867)</f>
        <v>6.7532565372438631E-4</v>
      </c>
      <c r="N867" s="26">
        <f>N866-Step_h*M866</f>
        <v>4.5594365634460642E-3</v>
      </c>
      <c r="U867" s="2"/>
      <c r="X867" s="2"/>
    </row>
    <row r="868" spans="1:24" x14ac:dyDescent="0.45">
      <c r="A868" s="24">
        <v>8.4499999999999993</v>
      </c>
      <c r="B868" s="24">
        <f>A868+Age</f>
        <v>28.45</v>
      </c>
      <c r="C868" s="19">
        <f>B*c_gom^B868</f>
        <v>4.6434829767273804E-3</v>
      </c>
      <c r="D868" s="19">
        <f t="shared" si="13"/>
        <v>-4.5159107234674029E-3</v>
      </c>
      <c r="E868" s="26">
        <f>E867+Step_h*D867</f>
        <v>0.97252660257411183</v>
      </c>
      <c r="J868" s="24">
        <f>ROUND(J867-Step_h,2)</f>
        <v>1.55</v>
      </c>
      <c r="K868" s="24">
        <f>J868+Age</f>
        <v>21.55</v>
      </c>
      <c r="L868" s="19">
        <f>B*c_gom^K868</f>
        <v>2.5621291758274136E-3</v>
      </c>
      <c r="M868" s="19">
        <f>N868*delta +Prem-L868*(1-N868)</f>
        <v>6.7716955224696087E-4</v>
      </c>
      <c r="N868" s="26">
        <f>N867-Step_h*M867</f>
        <v>4.5526833069088205E-3</v>
      </c>
      <c r="U868" s="2"/>
      <c r="X868" s="2"/>
    </row>
    <row r="869" spans="1:24" x14ac:dyDescent="0.45">
      <c r="A869" s="24">
        <v>8.4600000000000009</v>
      </c>
      <c r="B869" s="24">
        <f>A869+Age</f>
        <v>28.46</v>
      </c>
      <c r="C869" s="19">
        <f>B*c_gom^B869</f>
        <v>4.6474863481409355E-3</v>
      </c>
      <c r="D869" s="19">
        <f t="shared" si="13"/>
        <v>-4.5195942323327026E-3</v>
      </c>
      <c r="E869" s="26">
        <f>E868+Step_h*D868</f>
        <v>0.97248144346687715</v>
      </c>
      <c r="J869" s="24">
        <f>ROUND(J868-Step_h,2)</f>
        <v>1.54</v>
      </c>
      <c r="K869" s="24">
        <f>J869+Age</f>
        <v>21.54</v>
      </c>
      <c r="L869" s="19">
        <f>B*c_gom^K869</f>
        <v>2.5599221430505563E-3</v>
      </c>
      <c r="M869" s="19">
        <f>N869*delta +Prem-L869*(1-N869)</f>
        <v>6.7901061731310023E-4</v>
      </c>
      <c r="N869" s="26">
        <f>N868-Step_h*M868</f>
        <v>4.545911611386351E-3</v>
      </c>
      <c r="U869" s="2"/>
      <c r="X869" s="2"/>
    </row>
    <row r="870" spans="1:24" x14ac:dyDescent="0.45">
      <c r="A870" s="24">
        <v>8.4700000000000006</v>
      </c>
      <c r="B870" s="24">
        <f>A870+Age</f>
        <v>28.47</v>
      </c>
      <c r="C870" s="19">
        <f>B*c_gom^B870</f>
        <v>4.6514931710547438E-3</v>
      </c>
      <c r="D870" s="19">
        <f t="shared" si="13"/>
        <v>-4.5232805646465623E-3</v>
      </c>
      <c r="E870" s="26">
        <f>E869+Step_h*D869</f>
        <v>0.97243624752455382</v>
      </c>
      <c r="J870" s="24">
        <f>ROUND(J869-Step_h,2)</f>
        <v>1.53</v>
      </c>
      <c r="K870" s="24">
        <f>J870+Age</f>
        <v>21.53</v>
      </c>
      <c r="L870" s="19">
        <f>B*c_gom^K870</f>
        <v>2.5577170114244002E-3</v>
      </c>
      <c r="M870" s="19">
        <f>N870*delta +Prem-L870*(1-N870)</f>
        <v>6.8084885212706678E-4</v>
      </c>
      <c r="N870" s="26">
        <f>N869-Step_h*M869</f>
        <v>4.5391215052132203E-3</v>
      </c>
      <c r="U870" s="2"/>
      <c r="X870" s="2"/>
    </row>
    <row r="871" spans="1:24" x14ac:dyDescent="0.45">
      <c r="A871" s="24">
        <v>8.48</v>
      </c>
      <c r="B871" s="24">
        <f>A871+Age</f>
        <v>28.48</v>
      </c>
      <c r="C871" s="19">
        <f>B*c_gom^B871</f>
        <v>4.6555034484445151E-3</v>
      </c>
      <c r="D871" s="19">
        <f t="shared" si="13"/>
        <v>-4.5269697222603345E-3</v>
      </c>
      <c r="E871" s="26">
        <f>E870+Step_h*D870</f>
        <v>0.97239101471890732</v>
      </c>
      <c r="J871" s="24">
        <f>ROUND(J870-Step_h,2)</f>
        <v>1.52</v>
      </c>
      <c r="K871" s="24">
        <f>J871+Age</f>
        <v>21.52</v>
      </c>
      <c r="L871" s="19">
        <f>B*c_gom^K871</f>
        <v>2.5555137793112823E-3</v>
      </c>
      <c r="M871" s="19">
        <f>N871*delta +Prem-L871*(1-N871)</f>
        <v>6.8268425988962352E-4</v>
      </c>
      <c r="N871" s="26">
        <f>N870-Step_h*M870</f>
        <v>4.5323130166919495E-3</v>
      </c>
      <c r="U871" s="2"/>
      <c r="X871" s="2"/>
    </row>
    <row r="872" spans="1:24" x14ac:dyDescent="0.45">
      <c r="A872" s="24">
        <v>8.49</v>
      </c>
      <c r="B872" s="24">
        <f>A872+Age</f>
        <v>28.490000000000002</v>
      </c>
      <c r="C872" s="19">
        <f>B*c_gom^B872</f>
        <v>4.6595171832885147E-3</v>
      </c>
      <c r="D872" s="19">
        <f t="shared" si="13"/>
        <v>-4.5306617070260125E-3</v>
      </c>
      <c r="E872" s="26">
        <f>E871+Step_h*D871</f>
        <v>0.97234574502168469</v>
      </c>
      <c r="J872" s="24">
        <f>ROUND(J871-Step_h,2)</f>
        <v>1.51</v>
      </c>
      <c r="K872" s="24">
        <f>J872+Age</f>
        <v>21.51</v>
      </c>
      <c r="L872" s="19">
        <f>B*c_gom^K872</f>
        <v>2.553312445074952E-3</v>
      </c>
      <c r="M872" s="19">
        <f>N872*delta +Prem-L872*(1-N872)</f>
        <v>6.8451684379802757E-4</v>
      </c>
      <c r="N872" s="26">
        <f>N871-Step_h*M871</f>
        <v>4.5254861740930529E-3</v>
      </c>
      <c r="U872" s="2"/>
      <c r="X872" s="2"/>
    </row>
    <row r="873" spans="1:24" x14ac:dyDescent="0.45">
      <c r="A873" s="24">
        <v>8.5</v>
      </c>
      <c r="B873" s="24">
        <f>A873+Age</f>
        <v>28.5</v>
      </c>
      <c r="C873" s="19">
        <f>B*c_gom^B873</f>
        <v>4.6635343785675831E-3</v>
      </c>
      <c r="D873" s="19">
        <f t="shared" si="13"/>
        <v>-4.5343565207962523E-3</v>
      </c>
      <c r="E873" s="26">
        <f>E872+Step_h*D872</f>
        <v>0.97230043840461444</v>
      </c>
      <c r="J873" s="24">
        <f>ROUND(J872-Step_h,2)</f>
        <v>1.5</v>
      </c>
      <c r="K873" s="24">
        <f>J873+Age</f>
        <v>21.5</v>
      </c>
      <c r="L873" s="19">
        <f>B*c_gom^K873</f>
        <v>2.551113007080566E-3</v>
      </c>
      <c r="M873" s="19">
        <f>N873*delta +Prem-L873*(1-N873)</f>
        <v>6.8634660704604191E-4</v>
      </c>
      <c r="N873" s="26">
        <f>N872-Step_h*M872</f>
        <v>4.5186410056550722E-3</v>
      </c>
      <c r="U873" s="2"/>
      <c r="X873" s="2"/>
    </row>
    <row r="874" spans="1:24" x14ac:dyDescent="0.45">
      <c r="A874" s="24">
        <v>8.51</v>
      </c>
      <c r="B874" s="24">
        <f>A874+Age</f>
        <v>28.509999999999998</v>
      </c>
      <c r="C874" s="19">
        <f>B*c_gom^B874</f>
        <v>4.6675550372651297E-3</v>
      </c>
      <c r="D874" s="19">
        <f t="shared" si="13"/>
        <v>-4.5380541654243579E-3</v>
      </c>
      <c r="E874" s="26">
        <f>E873+Step_h*D873</f>
        <v>0.97225509483940653</v>
      </c>
      <c r="J874" s="24">
        <f>ROUND(J873-Step_h,2)</f>
        <v>1.49</v>
      </c>
      <c r="K874" s="24">
        <f>J874+Age</f>
        <v>21.49</v>
      </c>
      <c r="L874" s="19">
        <f>B*c_gom^K874</f>
        <v>2.5489154636946921E-3</v>
      </c>
      <c r="M874" s="19">
        <f>N874*delta +Prem-L874*(1-N874)</f>
        <v>6.8817355282393619E-4</v>
      </c>
      <c r="N874" s="26">
        <f>N873-Step_h*M873</f>
        <v>4.511777539584612E-3</v>
      </c>
      <c r="U874" s="2"/>
      <c r="X874" s="2"/>
    </row>
    <row r="875" spans="1:24" x14ac:dyDescent="0.45">
      <c r="A875" s="24">
        <v>8.52</v>
      </c>
      <c r="B875" s="24">
        <f>A875+Age</f>
        <v>28.52</v>
      </c>
      <c r="C875" s="19">
        <f>B*c_gom^B875</f>
        <v>4.6715791623671349E-3</v>
      </c>
      <c r="D875" s="19">
        <f t="shared" si="13"/>
        <v>-4.5417546427642848E-3</v>
      </c>
      <c r="E875" s="26">
        <f>E874+Step_h*D874</f>
        <v>0.97220971429775227</v>
      </c>
      <c r="J875" s="24">
        <f>ROUND(J874-Step_h,2)</f>
        <v>1.48</v>
      </c>
      <c r="K875" s="24">
        <f>J875+Age</f>
        <v>21.48</v>
      </c>
      <c r="L875" s="19">
        <f>B*c_gom^K875</f>
        <v>2.5467198132853035E-3</v>
      </c>
      <c r="M875" s="19">
        <f>N875*delta +Prem-L875*(1-N875)</f>
        <v>6.8999768431849112E-4</v>
      </c>
      <c r="N875" s="26">
        <f>N874-Step_h*M874</f>
        <v>4.5048958040563728E-3</v>
      </c>
      <c r="U875" s="2"/>
      <c r="X875" s="2"/>
    </row>
    <row r="876" spans="1:24" x14ac:dyDescent="0.45">
      <c r="A876" s="24">
        <v>8.5299999999999994</v>
      </c>
      <c r="B876" s="24">
        <f>A876+Age</f>
        <v>28.53</v>
      </c>
      <c r="C876" s="19">
        <f>B*c_gom^B876</f>
        <v>4.6756067568621551E-3</v>
      </c>
      <c r="D876" s="19">
        <f t="shared" si="13"/>
        <v>-4.5454579546706387E-3</v>
      </c>
      <c r="E876" s="26">
        <f>E875+Step_h*D875</f>
        <v>0.97216429675132465</v>
      </c>
      <c r="J876" s="24">
        <f>ROUND(J875-Step_h,2)</f>
        <v>1.47</v>
      </c>
      <c r="K876" s="24">
        <f>J876+Age</f>
        <v>21.47</v>
      </c>
      <c r="L876" s="19">
        <f>B*c_gom^K876</f>
        <v>2.5445260542217786E-3</v>
      </c>
      <c r="M876" s="19">
        <f>N876*delta +Prem-L876*(1-N876)</f>
        <v>6.9181900471300579E-4</v>
      </c>
      <c r="N876" s="26">
        <f>N875-Step_h*M875</f>
        <v>4.497995827213188E-3</v>
      </c>
      <c r="U876" s="2"/>
      <c r="X876" s="2"/>
    </row>
    <row r="877" spans="1:24" x14ac:dyDescent="0.45">
      <c r="A877" s="24">
        <v>8.5400000000000009</v>
      </c>
      <c r="B877" s="24">
        <f>A877+Age</f>
        <v>28.54</v>
      </c>
      <c r="C877" s="19">
        <f>B*c_gom^B877</f>
        <v>4.6796378237413186E-3</v>
      </c>
      <c r="D877" s="19">
        <f t="shared" si="13"/>
        <v>-4.5491641029986691E-3</v>
      </c>
      <c r="E877" s="26">
        <f>E876+Step_h*D876</f>
        <v>0.97211884217177791</v>
      </c>
      <c r="J877" s="24">
        <f>ROUND(J876-Step_h,2)</f>
        <v>1.46</v>
      </c>
      <c r="K877" s="24">
        <f>J877+Age</f>
        <v>21.46</v>
      </c>
      <c r="L877" s="19">
        <f>B*c_gom^K877</f>
        <v>2.5423341848749021E-3</v>
      </c>
      <c r="M877" s="19">
        <f>N877*delta +Prem-L877*(1-N877)</f>
        <v>6.9363751718729558E-4</v>
      </c>
      <c r="N877" s="26">
        <f>N876-Step_h*M876</f>
        <v>4.4910776371660582E-3</v>
      </c>
      <c r="U877" s="2"/>
      <c r="X877" s="2"/>
    </row>
    <row r="878" spans="1:24" x14ac:dyDescent="0.45">
      <c r="A878" s="24">
        <v>8.5500000000000007</v>
      </c>
      <c r="B878" s="24">
        <f>A878+Age</f>
        <v>28.55</v>
      </c>
      <c r="C878" s="19">
        <f>B*c_gom^B878</f>
        <v>4.6836723659983382E-3</v>
      </c>
      <c r="D878" s="19">
        <f t="shared" si="13"/>
        <v>-4.5528730896042804E-3</v>
      </c>
      <c r="E878" s="26">
        <f>E877+Step_h*D877</f>
        <v>0.97207335053074795</v>
      </c>
      <c r="J878" s="24">
        <f>ROUND(J877-Step_h,2)</f>
        <v>1.45</v>
      </c>
      <c r="K878" s="24">
        <f>J878+Age</f>
        <v>21.45</v>
      </c>
      <c r="L878" s="19">
        <f>B*c_gom^K878</f>
        <v>2.5401442036168606E-3</v>
      </c>
      <c r="M878" s="19">
        <f>N878*delta +Prem-L878*(1-N878)</f>
        <v>6.9545322491770247E-4</v>
      </c>
      <c r="N878" s="26">
        <f>N877-Step_h*M877</f>
        <v>4.4841412619941855E-3</v>
      </c>
      <c r="U878" s="2"/>
      <c r="X878" s="2"/>
    </row>
    <row r="879" spans="1:24" x14ac:dyDescent="0.45">
      <c r="A879" s="24">
        <v>8.56</v>
      </c>
      <c r="B879" s="24">
        <f>A879+Age</f>
        <v>28.560000000000002</v>
      </c>
      <c r="C879" s="19">
        <f>B*c_gom^B879</f>
        <v>4.6877103866295065E-3</v>
      </c>
      <c r="D879" s="19">
        <f t="shared" si="13"/>
        <v>-4.5565849163440213E-3</v>
      </c>
      <c r="E879" s="26">
        <f>E878+Step_h*D878</f>
        <v>0.97202782179985192</v>
      </c>
      <c r="J879" s="24">
        <f>ROUND(J878-Step_h,2)</f>
        <v>1.44</v>
      </c>
      <c r="K879" s="24">
        <f>J879+Age</f>
        <v>21.44</v>
      </c>
      <c r="L879" s="19">
        <f>B*c_gom^K879</f>
        <v>2.5379561088212437E-3</v>
      </c>
      <c r="M879" s="19">
        <f>N879*delta +Prem-L879*(1-N879)</f>
        <v>6.9726613107709643E-4</v>
      </c>
      <c r="N879" s="26">
        <f>N878-Step_h*M878</f>
        <v>4.4771867297450085E-3</v>
      </c>
      <c r="U879" s="2"/>
      <c r="X879" s="2"/>
    </row>
    <row r="880" spans="1:24" x14ac:dyDescent="0.45">
      <c r="A880" s="24">
        <v>8.57</v>
      </c>
      <c r="B880" s="24">
        <f>A880+Age</f>
        <v>28.57</v>
      </c>
      <c r="C880" s="19">
        <f>B*c_gom^B880</f>
        <v>4.6917518886336936E-3</v>
      </c>
      <c r="D880" s="19">
        <f t="shared" si="13"/>
        <v>-4.5602995850750807E-3</v>
      </c>
      <c r="E880" s="26">
        <f>E879+Step_h*D879</f>
        <v>0.97198225595068843</v>
      </c>
      <c r="J880" s="24">
        <f>ROUND(J879-Step_h,2)</f>
        <v>1.43</v>
      </c>
      <c r="K880" s="24">
        <f>J880+Age</f>
        <v>21.43</v>
      </c>
      <c r="L880" s="19">
        <f>B*c_gom^K880</f>
        <v>2.5357698988630415E-3</v>
      </c>
      <c r="M880" s="19">
        <f>N880*delta +Prem-L880*(1-N880)</f>
        <v>6.9907623883488056E-4</v>
      </c>
      <c r="N880" s="26">
        <f>N879-Step_h*M879</f>
        <v>4.4702140684342376E-3</v>
      </c>
      <c r="U880" s="2"/>
      <c r="X880" s="2"/>
    </row>
    <row r="881" spans="1:24" x14ac:dyDescent="0.45">
      <c r="A881" s="24">
        <v>8.58</v>
      </c>
      <c r="B881" s="24">
        <f>A881+Age</f>
        <v>28.58</v>
      </c>
      <c r="C881" s="19">
        <f>B*c_gom^B881</f>
        <v>4.6957968750123641E-3</v>
      </c>
      <c r="D881" s="19">
        <f t="shared" si="13"/>
        <v>-4.5640170976553032E-3</v>
      </c>
      <c r="E881" s="26">
        <f>E880+Step_h*D880</f>
        <v>0.97193665295483767</v>
      </c>
      <c r="J881" s="24">
        <f>ROUND(J880-Step_h,2)</f>
        <v>1.42</v>
      </c>
      <c r="K881" s="24">
        <f>J881+Age</f>
        <v>21.42</v>
      </c>
      <c r="L881" s="19">
        <f>B*c_gom^K881</f>
        <v>2.5335855721186451E-3</v>
      </c>
      <c r="M881" s="19">
        <f>N881*delta +Prem-L881*(1-N881)</f>
        <v>7.0088355135699068E-4</v>
      </c>
      <c r="N881" s="26">
        <f>N880-Step_h*M880</f>
        <v>4.4632233060458888E-3</v>
      </c>
      <c r="U881" s="2"/>
      <c r="X881" s="2"/>
    </row>
    <row r="882" spans="1:24" x14ac:dyDescent="0.45">
      <c r="A882" s="24">
        <v>8.59</v>
      </c>
      <c r="B882" s="24">
        <f>A882+Age</f>
        <v>28.59</v>
      </c>
      <c r="C882" s="19">
        <f>B*c_gom^B882</f>
        <v>4.6998453487695638E-3</v>
      </c>
      <c r="D882" s="19">
        <f t="shared" si="13"/>
        <v>-4.56773745594317E-3</v>
      </c>
      <c r="E882" s="26">
        <f>E881+Step_h*D881</f>
        <v>0.97189101278386114</v>
      </c>
      <c r="J882" s="24">
        <f>ROUND(J881-Step_h,2)</f>
        <v>1.41</v>
      </c>
      <c r="K882" s="24">
        <f>J882+Age</f>
        <v>21.41</v>
      </c>
      <c r="L882" s="19">
        <f>B*c_gom^K882</f>
        <v>2.5314031269658421E-3</v>
      </c>
      <c r="M882" s="19">
        <f>N882*delta +Prem-L882*(1-N882)</f>
        <v>7.0268807180590967E-4</v>
      </c>
      <c r="N882" s="26">
        <f>N881-Step_h*M881</f>
        <v>4.4562144705323188E-3</v>
      </c>
      <c r="U882" s="2"/>
      <c r="X882" s="2"/>
    </row>
    <row r="883" spans="1:24" x14ac:dyDescent="0.45">
      <c r="A883" s="24">
        <v>8.6</v>
      </c>
      <c r="B883" s="24">
        <f>A883+Age</f>
        <v>28.6</v>
      </c>
      <c r="C883" s="19">
        <f>B*c_gom^B883</f>
        <v>4.7038973129119328E-3</v>
      </c>
      <c r="D883" s="19">
        <f t="shared" si="13"/>
        <v>-4.5714606617978104E-3</v>
      </c>
      <c r="E883" s="26">
        <f>E882+Step_h*D882</f>
        <v>0.97184533540930174</v>
      </c>
      <c r="J883" s="24">
        <f>ROUND(J882-Step_h,2)</f>
        <v>1.4</v>
      </c>
      <c r="K883" s="24">
        <f>J883+Age</f>
        <v>21.4</v>
      </c>
      <c r="L883" s="19">
        <f>B*c_gom^K883</f>
        <v>2.5292225617838198E-3</v>
      </c>
      <c r="M883" s="19">
        <f>N883*delta +Prem-L883*(1-N883)</f>
        <v>7.0448980334066004E-4</v>
      </c>
      <c r="N883" s="26">
        <f>N882-Step_h*M882</f>
        <v>4.4491875898142593E-3</v>
      </c>
      <c r="U883" s="2"/>
      <c r="X883" s="2"/>
    </row>
    <row r="884" spans="1:24" x14ac:dyDescent="0.45">
      <c r="A884" s="24">
        <v>8.61</v>
      </c>
      <c r="B884" s="24">
        <f>A884+Age</f>
        <v>28.61</v>
      </c>
      <c r="C884" s="19">
        <f>B*c_gom^B884</f>
        <v>4.7079527704486984E-3</v>
      </c>
      <c r="D884" s="19">
        <f t="shared" si="13"/>
        <v>-4.5751867170789893E-3</v>
      </c>
      <c r="E884" s="26">
        <f>E883+Step_h*D883</f>
        <v>0.97179962080268378</v>
      </c>
      <c r="J884" s="24">
        <f>ROUND(J883-Step_h,2)</f>
        <v>1.39</v>
      </c>
      <c r="K884" s="24">
        <f>J884+Age</f>
        <v>21.39</v>
      </c>
      <c r="L884" s="19">
        <f>B*c_gom^K884</f>
        <v>2.5270438749531608E-3</v>
      </c>
      <c r="M884" s="19">
        <f>N884*delta +Prem-L884*(1-N884)</f>
        <v>7.0628874911681482E-4</v>
      </c>
      <c r="N884" s="26">
        <f>N883-Step_h*M883</f>
        <v>4.4421426917808527E-3</v>
      </c>
      <c r="U884" s="2"/>
      <c r="X884" s="2"/>
    </row>
    <row r="885" spans="1:24" x14ac:dyDescent="0.45">
      <c r="A885" s="24">
        <v>8.620000000000001</v>
      </c>
      <c r="B885" s="24">
        <f>A885+Age</f>
        <v>28.62</v>
      </c>
      <c r="C885" s="19">
        <f>B*c_gom^B885</f>
        <v>4.712011724391685E-3</v>
      </c>
      <c r="D885" s="19">
        <f t="shared" si="13"/>
        <v>-4.5789156236471177E-3</v>
      </c>
      <c r="E885" s="26">
        <f>E884+Step_h*D884</f>
        <v>0.97175386893551297</v>
      </c>
      <c r="J885" s="24">
        <f>ROUND(J884-Step_h,2)</f>
        <v>1.38</v>
      </c>
      <c r="K885" s="24">
        <f>J885+Age</f>
        <v>21.38</v>
      </c>
      <c r="L885" s="19">
        <f>B*c_gom^K885</f>
        <v>2.5248670648558413E-3</v>
      </c>
      <c r="M885" s="19">
        <f>N885*delta +Prem-L885*(1-N885)</f>
        <v>7.0808491228650143E-4</v>
      </c>
      <c r="N885" s="26">
        <f>N884-Step_h*M884</f>
        <v>4.435079804289685E-3</v>
      </c>
      <c r="U885" s="2"/>
      <c r="X885" s="2"/>
    </row>
    <row r="886" spans="1:24" x14ac:dyDescent="0.45">
      <c r="A886" s="24">
        <v>8.6300000000000008</v>
      </c>
      <c r="B886" s="24">
        <f>A886+Age</f>
        <v>28.630000000000003</v>
      </c>
      <c r="C886" s="19">
        <f>B*c_gom^B886</f>
        <v>4.7160741777553172E-3</v>
      </c>
      <c r="D886" s="19">
        <f t="shared" si="13"/>
        <v>-4.5826473833632496E-3</v>
      </c>
      <c r="E886" s="26">
        <f>E885+Step_h*D885</f>
        <v>0.97170807977927653</v>
      </c>
      <c r="J886" s="24">
        <f>ROUND(J885-Step_h,2)</f>
        <v>1.37</v>
      </c>
      <c r="K886" s="24">
        <f>J886+Age</f>
        <v>21.37</v>
      </c>
      <c r="L886" s="19">
        <f>B*c_gom^K886</f>
        <v>2.5226921298752334E-3</v>
      </c>
      <c r="M886" s="19">
        <f>N886*delta +Prem-L886*(1-N886)</f>
        <v>7.098782959984026E-4</v>
      </c>
      <c r="N886" s="26">
        <f>N885-Step_h*M885</f>
        <v>4.4279989551668196E-3</v>
      </c>
      <c r="U886" s="2"/>
      <c r="X886" s="2"/>
    </row>
    <row r="887" spans="1:24" x14ac:dyDescent="0.45">
      <c r="A887" s="24">
        <v>8.64</v>
      </c>
      <c r="B887" s="24">
        <f>A887+Age</f>
        <v>28.64</v>
      </c>
      <c r="C887" s="19">
        <f>B*c_gom^B887</f>
        <v>4.7201401335566105E-3</v>
      </c>
      <c r="D887" s="19">
        <f t="shared" si="13"/>
        <v>-4.5863819980890702E-3</v>
      </c>
      <c r="E887" s="26">
        <f>E886+Step_h*D886</f>
        <v>0.97166225330544287</v>
      </c>
      <c r="J887" s="24">
        <f>ROUND(J886-Step_h,2)</f>
        <v>1.36</v>
      </c>
      <c r="K887" s="24">
        <f>J887+Age</f>
        <v>21.36</v>
      </c>
      <c r="L887" s="19">
        <f>B*c_gom^K887</f>
        <v>2.5205190683960988E-3</v>
      </c>
      <c r="M887" s="19">
        <f>N887*delta +Prem-L887*(1-N887)</f>
        <v>7.1166890339776582E-4</v>
      </c>
      <c r="N887" s="26">
        <f>N886-Step_h*M886</f>
        <v>4.4209001722068358E-3</v>
      </c>
      <c r="U887" s="2"/>
      <c r="X887" s="2"/>
    </row>
    <row r="888" spans="1:24" x14ac:dyDescent="0.45">
      <c r="A888" s="24">
        <v>8.65</v>
      </c>
      <c r="B888" s="24">
        <f>A888+Age</f>
        <v>28.65</v>
      </c>
      <c r="C888" s="19">
        <f>B*c_gom^B888</f>
        <v>4.7242095948151876E-3</v>
      </c>
      <c r="D888" s="19">
        <f t="shared" si="13"/>
        <v>-4.5901194696869102E-3</v>
      </c>
      <c r="E888" s="26">
        <f>E887+Step_h*D887</f>
        <v>0.97161638948546203</v>
      </c>
      <c r="J888" s="24">
        <f>ROUND(J887-Step_h,2)</f>
        <v>1.35</v>
      </c>
      <c r="K888" s="24">
        <f>J888+Age</f>
        <v>21.35</v>
      </c>
      <c r="L888" s="19">
        <f>B*c_gom^K888</f>
        <v>2.5183478788045966E-3</v>
      </c>
      <c r="M888" s="19">
        <f>N888*delta +Prem-L888*(1-N888)</f>
        <v>7.1345673762639736E-4</v>
      </c>
      <c r="N888" s="26">
        <f>N887-Step_h*M887</f>
        <v>4.4137834831728577E-3</v>
      </c>
      <c r="U888" s="2"/>
      <c r="X888" s="2"/>
    </row>
    <row r="889" spans="1:24" x14ac:dyDescent="0.45">
      <c r="A889" s="24">
        <v>8.66</v>
      </c>
      <c r="B889" s="24">
        <f>A889+Age</f>
        <v>28.66</v>
      </c>
      <c r="C889" s="19">
        <f>B*c_gom^B889</f>
        <v>4.7282825645532725E-3</v>
      </c>
      <c r="D889" s="19">
        <f t="shared" si="13"/>
        <v>-4.5938598000197341E-3</v>
      </c>
      <c r="E889" s="26">
        <f>E888+Step_h*D888</f>
        <v>0.9715704882907652</v>
      </c>
      <c r="J889" s="24">
        <f>ROUND(J888-Step_h,2)</f>
        <v>1.34</v>
      </c>
      <c r="K889" s="24">
        <f>J889+Age</f>
        <v>21.34</v>
      </c>
      <c r="L889" s="19">
        <f>B*c_gom^K889</f>
        <v>2.5161785594882682E-3</v>
      </c>
      <c r="M889" s="19">
        <f>N889*delta +Prem-L889*(1-N889)</f>
        <v>7.1524180182268087E-4</v>
      </c>
      <c r="N889" s="26">
        <f>N888-Step_h*M888</f>
        <v>4.4066489157965939E-3</v>
      </c>
      <c r="U889" s="2"/>
      <c r="X889" s="2"/>
    </row>
    <row r="890" spans="1:24" x14ac:dyDescent="0.45">
      <c r="A890" s="24">
        <v>8.67</v>
      </c>
      <c r="B890" s="24">
        <f>A890+Age</f>
        <v>28.67</v>
      </c>
      <c r="C890" s="19">
        <f>B*c_gom^B890</f>
        <v>4.7323590457956982E-3</v>
      </c>
      <c r="D890" s="19">
        <f t="shared" si="13"/>
        <v>-4.5976029909511485E-3</v>
      </c>
      <c r="E890" s="26">
        <f>E889+Step_h*D889</f>
        <v>0.97152454969276503</v>
      </c>
      <c r="J890" s="24">
        <f>ROUND(J889-Step_h,2)</f>
        <v>1.33</v>
      </c>
      <c r="K890" s="24">
        <f>J890+Age</f>
        <v>21.33</v>
      </c>
      <c r="L890" s="19">
        <f>B*c_gom^K890</f>
        <v>2.5140111088360483E-3</v>
      </c>
      <c r="M890" s="19">
        <f>N890*delta +Prem-L890*(1-N890)</f>
        <v>7.1702409912157046E-4</v>
      </c>
      <c r="N890" s="26">
        <f>N889-Step_h*M889</f>
        <v>4.3994964977783673E-3</v>
      </c>
      <c r="U890" s="2"/>
      <c r="X890" s="2"/>
    </row>
    <row r="891" spans="1:24" x14ac:dyDescent="0.45">
      <c r="A891" s="24">
        <v>8.68</v>
      </c>
      <c r="B891" s="24">
        <f>A891+Age</f>
        <v>28.68</v>
      </c>
      <c r="C891" s="19">
        <f>B*c_gom^B891</f>
        <v>4.736439041569898E-3</v>
      </c>
      <c r="D891" s="19">
        <f t="shared" si="13"/>
        <v>-4.601349044345387E-3</v>
      </c>
      <c r="E891" s="26">
        <f>E890+Step_h*D890</f>
        <v>0.9714785736628555</v>
      </c>
      <c r="J891" s="24">
        <f>ROUND(J890-Step_h,2)</f>
        <v>1.32</v>
      </c>
      <c r="K891" s="24">
        <f>J891+Age</f>
        <v>21.32</v>
      </c>
      <c r="L891" s="19">
        <f>B*c_gom^K891</f>
        <v>2.5118455252382617E-3</v>
      </c>
      <c r="M891" s="19">
        <f>N891*delta +Prem-L891*(1-N891)</f>
        <v>7.1880363265459327E-4</v>
      </c>
      <c r="N891" s="26">
        <f>N890-Step_h*M890</f>
        <v>4.3923262567871517E-3</v>
      </c>
      <c r="U891" s="2"/>
      <c r="X891" s="2"/>
    </row>
    <row r="892" spans="1:24" x14ac:dyDescent="0.45">
      <c r="A892" s="24">
        <v>8.69</v>
      </c>
      <c r="B892" s="24">
        <f>A892+Age</f>
        <v>28.689999999999998</v>
      </c>
      <c r="C892" s="19">
        <f>B*c_gom^B892</f>
        <v>4.7405225549059194E-3</v>
      </c>
      <c r="D892" s="19">
        <f t="shared" si="13"/>
        <v>-4.6050979620673215E-3</v>
      </c>
      <c r="E892" s="26">
        <f>E891+Step_h*D891</f>
        <v>0.97143256017241209</v>
      </c>
      <c r="J892" s="24">
        <f>ROUND(J891-Step_h,2)</f>
        <v>1.31</v>
      </c>
      <c r="K892" s="24">
        <f>J892+Age</f>
        <v>21.31</v>
      </c>
      <c r="L892" s="19">
        <f>B*c_gom^K892</f>
        <v>2.5096818070866143E-3</v>
      </c>
      <c r="M892" s="19">
        <f>N892*delta +Prem-L892*(1-N892)</f>
        <v>7.20580405549866E-4</v>
      </c>
      <c r="N892" s="26">
        <f>N891-Step_h*M891</f>
        <v>4.3851382204606057E-3</v>
      </c>
      <c r="U892" s="2"/>
      <c r="X892" s="2"/>
    </row>
    <row r="893" spans="1:24" x14ac:dyDescent="0.45">
      <c r="A893" s="24">
        <v>8.7000000000000011</v>
      </c>
      <c r="B893" s="24">
        <f>A893+Age</f>
        <v>28.700000000000003</v>
      </c>
      <c r="C893" s="19">
        <f>B*c_gom^B893</f>
        <v>4.7446095888364322E-3</v>
      </c>
      <c r="D893" s="19">
        <f t="shared" si="13"/>
        <v>-4.6088497459824676E-3</v>
      </c>
      <c r="E893" s="26">
        <f>E892+Step_h*D892</f>
        <v>0.97138650919279146</v>
      </c>
      <c r="J893" s="24">
        <f>ROUND(J892-Step_h,2)</f>
        <v>1.3</v>
      </c>
      <c r="K893" s="24">
        <f>J893+Age</f>
        <v>21.3</v>
      </c>
      <c r="L893" s="19">
        <f>B*c_gom^K893</f>
        <v>2.5075199527742013E-3</v>
      </c>
      <c r="M893" s="19">
        <f>N893*delta +Prem-L893*(1-N893)</f>
        <v>7.2235442093208663E-4</v>
      </c>
      <c r="N893" s="26">
        <f>N892-Step_h*M892</f>
        <v>4.3779324164051068E-3</v>
      </c>
      <c r="U893" s="2"/>
      <c r="X893" s="2"/>
    </row>
    <row r="894" spans="1:24" x14ac:dyDescent="0.45">
      <c r="A894" s="24">
        <v>8.7100000000000009</v>
      </c>
      <c r="B894" s="24">
        <f>A894+Age</f>
        <v>28.71</v>
      </c>
      <c r="C894" s="19">
        <f>B*c_gom^B894</f>
        <v>4.7487001463966992E-3</v>
      </c>
      <c r="D894" s="19">
        <f t="shared" si="13"/>
        <v>-4.6126043979569532E-3</v>
      </c>
      <c r="E894" s="26">
        <f>E893+Step_h*D893</f>
        <v>0.97134042069533166</v>
      </c>
      <c r="J894" s="24">
        <f>ROUND(J893-Step_h,2)</f>
        <v>1.29</v>
      </c>
      <c r="K894" s="24">
        <f>J894+Age</f>
        <v>21.29</v>
      </c>
      <c r="L894" s="19">
        <f>B*c_gom^K894</f>
        <v>2.5053599606954997E-3</v>
      </c>
      <c r="M894" s="19">
        <f>N894*delta +Prem-L894*(1-N894)</f>
        <v>7.2412568192254572E-4</v>
      </c>
      <c r="N894" s="26">
        <f>N893-Step_h*M893</f>
        <v>4.3707088721957861E-3</v>
      </c>
      <c r="U894" s="2"/>
      <c r="X894" s="2"/>
    </row>
    <row r="895" spans="1:24" x14ac:dyDescent="0.45">
      <c r="A895" s="24">
        <v>8.7200000000000006</v>
      </c>
      <c r="B895" s="24">
        <f>A895+Age</f>
        <v>28.72</v>
      </c>
      <c r="C895" s="19">
        <f>B*c_gom^B895</f>
        <v>4.752794230624616E-3</v>
      </c>
      <c r="D895" s="19">
        <f t="shared" si="13"/>
        <v>-4.6163619198575524E-3</v>
      </c>
      <c r="E895" s="26">
        <f>E894+Step_h*D894</f>
        <v>0.97129429465135209</v>
      </c>
      <c r="J895" s="24">
        <f>ROUND(J894-Step_h,2)</f>
        <v>1.28</v>
      </c>
      <c r="K895" s="24">
        <f>J895+Age</f>
        <v>21.28</v>
      </c>
      <c r="L895" s="19">
        <f>B*c_gom^K895</f>
        <v>2.5032018292463721E-3</v>
      </c>
      <c r="M895" s="19">
        <f>N895*delta +Prem-L895*(1-N895)</f>
        <v>7.2589419163912421E-4</v>
      </c>
      <c r="N895" s="26">
        <f>N894-Step_h*M894</f>
        <v>4.3634676153765607E-3</v>
      </c>
      <c r="U895" s="2"/>
      <c r="X895" s="2"/>
    </row>
    <row r="896" spans="1:24" x14ac:dyDescent="0.45">
      <c r="A896" s="24">
        <v>8.73</v>
      </c>
      <c r="B896" s="24">
        <f>A896+Age</f>
        <v>28.73</v>
      </c>
      <c r="C896" s="19">
        <f>B*c_gom^B896</f>
        <v>4.7568918445606984E-3</v>
      </c>
      <c r="D896" s="19">
        <f t="shared" si="13"/>
        <v>-4.6201223135516716E-3</v>
      </c>
      <c r="E896" s="26">
        <f>E895+Step_h*D895</f>
        <v>0.97124813103215346</v>
      </c>
      <c r="J896" s="24">
        <f>ROUND(J895-Step_h,2)</f>
        <v>1.27</v>
      </c>
      <c r="K896" s="24">
        <f>J896+Age</f>
        <v>21.27</v>
      </c>
      <c r="L896" s="19">
        <f>B*c_gom^K896</f>
        <v>2.5010455568240612E-3</v>
      </c>
      <c r="M896" s="19">
        <f>N896*delta +Prem-L896*(1-N896)</f>
        <v>7.2765995319630343E-4</v>
      </c>
      <c r="N896" s="26">
        <f>N895-Step_h*M895</f>
        <v>4.3562086734601699E-3</v>
      </c>
      <c r="U896" s="2"/>
      <c r="X896" s="2"/>
    </row>
    <row r="897" spans="1:24" x14ac:dyDescent="0.45">
      <c r="A897" s="24">
        <v>8.74</v>
      </c>
      <c r="B897" s="24">
        <f>A897+Age</f>
        <v>28.740000000000002</v>
      </c>
      <c r="C897" s="19">
        <f>B*c_gom^B897</f>
        <v>4.7609929912480753E-3</v>
      </c>
      <c r="D897" s="19">
        <f t="shared" si="13"/>
        <v>-4.6238855809073399E-3</v>
      </c>
      <c r="E897" s="26">
        <f>E896+Step_h*D896</f>
        <v>0.97120192980901798</v>
      </c>
      <c r="J897" s="24">
        <f>ROUND(J896-Step_h,2)</f>
        <v>1.26</v>
      </c>
      <c r="K897" s="24">
        <f>J897+Age</f>
        <v>21.26</v>
      </c>
      <c r="L897" s="19">
        <f>B*c_gom^K897</f>
        <v>2.4988911418271898E-3</v>
      </c>
      <c r="M897" s="19">
        <f>N897*delta +Prem-L897*(1-N897)</f>
        <v>7.294229697051677E-4</v>
      </c>
      <c r="N897" s="26">
        <f>N896-Step_h*M896</f>
        <v>4.3489320739282071E-3</v>
      </c>
      <c r="U897" s="2"/>
      <c r="X897" s="2"/>
    </row>
    <row r="898" spans="1:24" x14ac:dyDescent="0.45">
      <c r="A898" s="24">
        <v>8.75</v>
      </c>
      <c r="B898" s="24">
        <f>A898+Age</f>
        <v>28.75</v>
      </c>
      <c r="C898" s="19">
        <f>B*c_gom^B898</f>
        <v>4.765097673732498E-3</v>
      </c>
      <c r="D898" s="19">
        <f t="shared" si="13"/>
        <v>-4.627651723793212E-3</v>
      </c>
      <c r="E898" s="26">
        <f>E897+Step_h*D897</f>
        <v>0.97115569095320886</v>
      </c>
      <c r="J898" s="24">
        <f>ROUND(J897-Step_h,2)</f>
        <v>1.25</v>
      </c>
      <c r="K898" s="24">
        <f>J898+Age</f>
        <v>21.25</v>
      </c>
      <c r="L898" s="19">
        <f>B*c_gom^K898</f>
        <v>2.4967385826557614E-3</v>
      </c>
      <c r="M898" s="19">
        <f>N898*delta +Prem-L898*(1-N898)</f>
        <v>7.3118324427340646E-4</v>
      </c>
      <c r="N898" s="26">
        <f>N897-Step_h*M897</f>
        <v>4.3416378442311552E-3</v>
      </c>
      <c r="U898" s="2"/>
      <c r="X898" s="2"/>
    </row>
    <row r="899" spans="1:24" x14ac:dyDescent="0.45">
      <c r="A899" s="24">
        <v>8.76</v>
      </c>
      <c r="B899" s="24">
        <f>A899+Age</f>
        <v>28.759999999999998</v>
      </c>
      <c r="C899" s="19">
        <f>B*c_gom^B899</f>
        <v>4.7692058950623553E-3</v>
      </c>
      <c r="D899" s="19">
        <f t="shared" si="13"/>
        <v>-4.6314207440785841E-3</v>
      </c>
      <c r="E899" s="26">
        <f>E898+Step_h*D898</f>
        <v>0.97110941443597087</v>
      </c>
      <c r="J899" s="24">
        <f>ROUND(J898-Step_h,2)</f>
        <v>1.24</v>
      </c>
      <c r="K899" s="24">
        <f>J899+Age</f>
        <v>21.24</v>
      </c>
      <c r="L899" s="19">
        <f>B*c_gom^K899</f>
        <v>2.4945878777111576E-3</v>
      </c>
      <c r="M899" s="19">
        <f>N899*delta +Prem-L899*(1-N899)</f>
        <v>7.3294078000531908E-4</v>
      </c>
      <c r="N899" s="26">
        <f>N898-Step_h*M898</f>
        <v>4.3343260117884213E-3</v>
      </c>
      <c r="U899" s="2"/>
      <c r="X899" s="2"/>
    </row>
    <row r="900" spans="1:24" x14ac:dyDescent="0.45">
      <c r="A900" s="24">
        <v>8.77</v>
      </c>
      <c r="B900" s="24">
        <f>A900+Age</f>
        <v>28.77</v>
      </c>
      <c r="C900" s="19">
        <f>B*c_gom^B900</f>
        <v>4.7733176582886554E-3</v>
      </c>
      <c r="D900" s="19">
        <f t="shared" si="13"/>
        <v>-4.6351926436333686E-3</v>
      </c>
      <c r="E900" s="26">
        <f>E899+Step_h*D899</f>
        <v>0.97106310022853004</v>
      </c>
      <c r="J900" s="24">
        <f>ROUND(J899-Step_h,2)</f>
        <v>1.23</v>
      </c>
      <c r="K900" s="24">
        <f>J900+Age</f>
        <v>21.23</v>
      </c>
      <c r="L900" s="19">
        <f>B*c_gom^K900</f>
        <v>2.492439025396137E-3</v>
      </c>
      <c r="M900" s="19">
        <f>N900*delta +Prem-L900*(1-N900)</f>
        <v>7.3469558000181876E-4</v>
      </c>
      <c r="N900" s="26">
        <f>N899-Step_h*M899</f>
        <v>4.3269966039883685E-3</v>
      </c>
      <c r="U900" s="2"/>
      <c r="X900" s="2"/>
    </row>
    <row r="901" spans="1:24" x14ac:dyDescent="0.45">
      <c r="A901" s="24">
        <v>8.7799999999999994</v>
      </c>
      <c r="B901" s="24">
        <f>A901+Age</f>
        <v>28.78</v>
      </c>
      <c r="C901" s="19">
        <f>B*c_gom^B901</f>
        <v>4.7774329664650355E-3</v>
      </c>
      <c r="D901" s="19">
        <f t="shared" si="13"/>
        <v>-4.6389674243281047E-3</v>
      </c>
      <c r="E901" s="26">
        <f>E900+Step_h*D900</f>
        <v>0.97101674830209372</v>
      </c>
      <c r="J901" s="24">
        <f>ROUND(J900-Step_h,2)</f>
        <v>1.22</v>
      </c>
      <c r="K901" s="24">
        <f>J901+Age</f>
        <v>21.22</v>
      </c>
      <c r="L901" s="19">
        <f>B*c_gom^K901</f>
        <v>2.4902920241148328E-3</v>
      </c>
      <c r="M901" s="19">
        <f>N901*delta +Prem-L901*(1-N901)</f>
        <v>7.3644764736043858E-4</v>
      </c>
      <c r="N901" s="26">
        <f>N900-Step_h*M900</f>
        <v>4.3196496481883503E-3</v>
      </c>
      <c r="U901" s="2"/>
      <c r="X901" s="2"/>
    </row>
    <row r="902" spans="1:24" x14ac:dyDescent="0.45">
      <c r="A902" s="24">
        <v>8.7900000000000009</v>
      </c>
      <c r="B902" s="24">
        <f>A902+Age</f>
        <v>28.79</v>
      </c>
      <c r="C902" s="19">
        <f>B*c_gom^B902</f>
        <v>4.7815518226477713E-3</v>
      </c>
      <c r="D902" s="19">
        <f t="shared" si="13"/>
        <v>-4.6427450880339579E-3</v>
      </c>
      <c r="E902" s="26">
        <f>E901+Step_h*D901</f>
        <v>0.97097035862785042</v>
      </c>
      <c r="J902" s="24">
        <f>ROUND(J901-Step_h,2)</f>
        <v>1.21</v>
      </c>
      <c r="K902" s="24">
        <f>J902+Age</f>
        <v>21.21</v>
      </c>
      <c r="L902" s="19">
        <f>B*c_gom^K902</f>
        <v>2.488146872272755E-3</v>
      </c>
      <c r="M902" s="19">
        <f>N902*delta +Prem-L902*(1-N902)</f>
        <v>7.381969851753328E-4</v>
      </c>
      <c r="N902" s="26">
        <f>N901-Step_h*M901</f>
        <v>4.3122851717147456E-3</v>
      </c>
      <c r="U902" s="2"/>
      <c r="X902" s="2"/>
    </row>
    <row r="903" spans="1:24" x14ac:dyDescent="0.45">
      <c r="A903" s="24">
        <v>8.8000000000000007</v>
      </c>
      <c r="B903" s="24">
        <f>A903+Age</f>
        <v>28.8</v>
      </c>
      <c r="C903" s="19">
        <f>B*c_gom^B903</f>
        <v>4.7856742298957719E-3</v>
      </c>
      <c r="D903" s="19">
        <f t="shared" si="13"/>
        <v>-4.6465256366227219E-3</v>
      </c>
      <c r="E903" s="26">
        <f>E902+Step_h*D902</f>
        <v>0.97092393117697007</v>
      </c>
      <c r="J903" s="24">
        <f>ROUND(J902-Step_h,2)</f>
        <v>1.2</v>
      </c>
      <c r="K903" s="24">
        <f>J903+Age</f>
        <v>21.2</v>
      </c>
      <c r="L903" s="19">
        <f>B*c_gom^K903</f>
        <v>2.4860035682767855E-3</v>
      </c>
      <c r="M903" s="19">
        <f>N903*delta +Prem-L903*(1-N903)</f>
        <v>7.3994359653728123E-4</v>
      </c>
      <c r="N903" s="26">
        <f>N902-Step_h*M902</f>
        <v>4.3049032018629921E-3</v>
      </c>
      <c r="U903" s="2"/>
      <c r="X903" s="2"/>
    </row>
    <row r="904" spans="1:24" x14ac:dyDescent="0.45">
      <c r="A904" s="24">
        <v>8.81</v>
      </c>
      <c r="B904" s="24">
        <f>A904+Age</f>
        <v>28.810000000000002</v>
      </c>
      <c r="C904" s="19">
        <f>B*c_gom^B904</f>
        <v>4.7898001912705787E-3</v>
      </c>
      <c r="D904" s="19">
        <f t="shared" si="13"/>
        <v>-4.6503090719668032E-3</v>
      </c>
      <c r="E904" s="26">
        <f>E903+Step_h*D903</f>
        <v>0.97087746592060387</v>
      </c>
      <c r="J904" s="24">
        <f>ROUND(J903-Step_h,2)</f>
        <v>1.19</v>
      </c>
      <c r="K904" s="24">
        <f>J904+Age</f>
        <v>21.19</v>
      </c>
      <c r="L904" s="19">
        <f>B*c_gom^K904</f>
        <v>2.4838621105351794E-3</v>
      </c>
      <c r="M904" s="19">
        <f>N904*delta +Prem-L904*(1-N904)</f>
        <v>7.4168748453369701E-4</v>
      </c>
      <c r="N904" s="26">
        <f>N903-Step_h*M903</f>
        <v>4.297503765897619E-3</v>
      </c>
      <c r="U904" s="2"/>
      <c r="X904" s="2"/>
    </row>
    <row r="905" spans="1:24" x14ac:dyDescent="0.45">
      <c r="A905" s="24">
        <v>8.82</v>
      </c>
      <c r="B905" s="24">
        <f>A905+Age</f>
        <v>28.82</v>
      </c>
      <c r="C905" s="19">
        <f>B*c_gom^B905</f>
        <v>4.7939297098363786E-3</v>
      </c>
      <c r="D905" s="19">
        <f t="shared" si="13"/>
        <v>-4.6540953959392393E-3</v>
      </c>
      <c r="E905" s="26">
        <f>E904+Step_h*D904</f>
        <v>0.97083096282988424</v>
      </c>
      <c r="J905" s="24">
        <f>ROUND(J904-Step_h,2)</f>
        <v>1.18</v>
      </c>
      <c r="K905" s="24">
        <f>J905+Age</f>
        <v>21.18</v>
      </c>
      <c r="L905" s="19">
        <f>B*c_gom^K905</f>
        <v>2.4817224974575621E-3</v>
      </c>
      <c r="M905" s="19">
        <f>N905*delta +Prem-L905*(1-N905)</f>
        <v>7.4342865224862444E-4</v>
      </c>
      <c r="N905" s="26">
        <f>N904-Step_h*M904</f>
        <v>4.2900868910522817E-3</v>
      </c>
      <c r="U905" s="2"/>
      <c r="X905" s="2"/>
    </row>
    <row r="906" spans="1:24" x14ac:dyDescent="0.45">
      <c r="A906" s="24">
        <v>8.83</v>
      </c>
      <c r="B906" s="24">
        <f>A906+Age</f>
        <v>28.83</v>
      </c>
      <c r="C906" s="19">
        <f>B*c_gom^B906</f>
        <v>4.7980627886599989E-3</v>
      </c>
      <c r="D906" s="19">
        <f t="shared" si="13"/>
        <v>-4.657884610413685E-3</v>
      </c>
      <c r="E906" s="26">
        <f>E905+Step_h*D905</f>
        <v>0.97078442187592484</v>
      </c>
      <c r="J906" s="24">
        <f>ROUND(J905-Step_h,2)</f>
        <v>1.17</v>
      </c>
      <c r="K906" s="24">
        <f>J906+Age</f>
        <v>21.17</v>
      </c>
      <c r="L906" s="19">
        <f>B*c_gom^K906</f>
        <v>2.4795847274549309E-3</v>
      </c>
      <c r="M906" s="19">
        <f>N906*delta +Prem-L906*(1-N906)</f>
        <v>7.4516710276274593E-4</v>
      </c>
      <c r="N906" s="26">
        <f>N905-Step_h*M905</f>
        <v>4.2826526045297957E-3</v>
      </c>
      <c r="U906" s="2"/>
      <c r="X906" s="2"/>
    </row>
    <row r="907" spans="1:24" x14ac:dyDescent="0.45">
      <c r="A907" s="24">
        <v>8.84</v>
      </c>
      <c r="B907" s="24">
        <f>A907+Age</f>
        <v>28.84</v>
      </c>
      <c r="C907" s="19">
        <f>B*c_gom^B907</f>
        <v>4.8021994308109104E-3</v>
      </c>
      <c r="D907" s="19">
        <f t="shared" si="13"/>
        <v>-4.6616767172644154E-3</v>
      </c>
      <c r="E907" s="26">
        <f>E906+Step_h*D906</f>
        <v>0.97073784302982069</v>
      </c>
      <c r="J907" s="24">
        <f>ROUND(J906-Step_h,2)</f>
        <v>1.1599999999999999</v>
      </c>
      <c r="K907" s="24">
        <f>J907+Age</f>
        <v>21.16</v>
      </c>
      <c r="L907" s="19">
        <f>B*c_gom^K907</f>
        <v>2.4774487989396472E-3</v>
      </c>
      <c r="M907" s="19">
        <f>N907*delta +Prem-L907*(1-N907)</f>
        <v>7.4690283915339198E-4</v>
      </c>
      <c r="N907" s="26">
        <f>N906-Step_h*M906</f>
        <v>4.2752009335021678E-3</v>
      </c>
      <c r="U907" s="2"/>
      <c r="X907" s="2"/>
    </row>
    <row r="908" spans="1:24" x14ac:dyDescent="0.45">
      <c r="A908" s="24">
        <v>8.85</v>
      </c>
      <c r="B908" s="24">
        <f>A908+Age</f>
        <v>28.85</v>
      </c>
      <c r="C908" s="19">
        <f>B*c_gom^B908</f>
        <v>4.8063396393612278E-3</v>
      </c>
      <c r="D908" s="19">
        <f t="shared" si="13"/>
        <v>-4.6654717183663239E-3</v>
      </c>
      <c r="E908" s="26">
        <f>E907+Step_h*D907</f>
        <v>0.97069122626264803</v>
      </c>
      <c r="J908" s="24">
        <f>ROUND(J907-Step_h,2)</f>
        <v>1.1499999999999999</v>
      </c>
      <c r="K908" s="24">
        <f>J908+Age</f>
        <v>21.15</v>
      </c>
      <c r="L908" s="19">
        <f>B*c_gom^K908</f>
        <v>2.4753147103254458E-3</v>
      </c>
      <c r="M908" s="19">
        <f>N908*delta +Prem-L908*(1-N908)</f>
        <v>7.4863586449453162E-4</v>
      </c>
      <c r="N908" s="26">
        <f>N907-Step_h*M907</f>
        <v>4.2677319051106334E-3</v>
      </c>
      <c r="U908" s="2"/>
      <c r="X908" s="2"/>
    </row>
    <row r="909" spans="1:24" x14ac:dyDescent="0.45">
      <c r="A909" s="24">
        <v>8.86</v>
      </c>
      <c r="B909" s="24">
        <f>A909+Age</f>
        <v>28.86</v>
      </c>
      <c r="C909" s="19">
        <f>B*c_gom^B909</f>
        <v>4.8104834173857162E-3</v>
      </c>
      <c r="D909" s="19">
        <f t="shared" si="13"/>
        <v>-4.6692696155949199E-3</v>
      </c>
      <c r="E909" s="26">
        <f>E908+Step_h*D908</f>
        <v>0.97064457154546435</v>
      </c>
      <c r="J909" s="24">
        <f>ROUND(J908-Step_h,2)</f>
        <v>1.1399999999999999</v>
      </c>
      <c r="K909" s="24">
        <f>J909+Age</f>
        <v>21.14</v>
      </c>
      <c r="L909" s="19">
        <f>B*c_gom^K909</f>
        <v>2.4731824600274259E-3</v>
      </c>
      <c r="M909" s="19">
        <f>N909*delta +Prem-L909*(1-N909)</f>
        <v>7.5036618185678758E-4</v>
      </c>
      <c r="N909" s="26">
        <f>N908-Step_h*M908</f>
        <v>4.260245546465688E-3</v>
      </c>
      <c r="U909" s="2"/>
      <c r="X909" s="2"/>
    </row>
    <row r="910" spans="1:24" x14ac:dyDescent="0.45">
      <c r="A910" s="24">
        <v>8.870000000000001</v>
      </c>
      <c r="B910" s="24">
        <f>A910+Age</f>
        <v>28.87</v>
      </c>
      <c r="C910" s="19">
        <f>B*c_gom^B910</f>
        <v>4.8146307679617978E-3</v>
      </c>
      <c r="D910" s="19">
        <f t="shared" si="13"/>
        <v>-4.6730704108263379E-3</v>
      </c>
      <c r="E910" s="26">
        <f>E909+Step_h*D909</f>
        <v>0.97059787884930837</v>
      </c>
      <c r="J910" s="24">
        <f>ROUND(J909-Step_h,2)</f>
        <v>1.1299999999999999</v>
      </c>
      <c r="K910" s="24">
        <f>J910+Age</f>
        <v>21.13</v>
      </c>
      <c r="L910" s="19">
        <f>B*c_gom^K910</f>
        <v>2.4710520464620491E-3</v>
      </c>
      <c r="M910" s="19">
        <f>N910*delta +Prem-L910*(1-N910)</f>
        <v>7.5209379430743939E-4</v>
      </c>
      <c r="N910" s="26">
        <f>N909-Step_h*M909</f>
        <v>4.2527418846471203E-3</v>
      </c>
      <c r="U910" s="2"/>
      <c r="X910" s="2"/>
    </row>
    <row r="911" spans="1:24" x14ac:dyDescent="0.45">
      <c r="A911" s="24">
        <v>8.8800000000000008</v>
      </c>
      <c r="B911" s="24">
        <f>A911+Age</f>
        <v>28.880000000000003</v>
      </c>
      <c r="C911" s="19">
        <f>B*c_gom^B911</f>
        <v>4.8187816941695346E-3</v>
      </c>
      <c r="D911" s="19">
        <f t="shared" si="13"/>
        <v>-4.6768741059373146E-3</v>
      </c>
      <c r="E911" s="26">
        <f>E910+Step_h*D910</f>
        <v>0.97055114814520016</v>
      </c>
      <c r="J911" s="24">
        <f>ROUND(J910-Step_h,2)</f>
        <v>1.1200000000000001</v>
      </c>
      <c r="K911" s="24">
        <f>J911+Age</f>
        <v>21.12</v>
      </c>
      <c r="L911" s="19">
        <f>B*c_gom^K911</f>
        <v>2.4689234680471458E-3</v>
      </c>
      <c r="M911" s="19">
        <f>N911*delta +Prem-L911*(1-N911)</f>
        <v>7.5381870491041938E-4</v>
      </c>
      <c r="N911" s="26">
        <f>N910-Step_h*M910</f>
        <v>4.245220946704046E-3</v>
      </c>
      <c r="U911" s="2"/>
      <c r="X911" s="2"/>
    </row>
    <row r="912" spans="1:24" x14ac:dyDescent="0.45">
      <c r="A912" s="24">
        <v>8.89</v>
      </c>
      <c r="B912" s="24">
        <f>A912+Age</f>
        <v>28.89</v>
      </c>
      <c r="C912" s="19">
        <f>B*c_gom^B912</f>
        <v>4.8229361990916562E-3</v>
      </c>
      <c r="D912" s="19">
        <f t="shared" si="13"/>
        <v>-4.6806807028052138E-3</v>
      </c>
      <c r="E912" s="26">
        <f>E911+Step_h*D911</f>
        <v>0.9705043794041408</v>
      </c>
      <c r="J912" s="24">
        <f>ROUND(J911-Step_h,2)</f>
        <v>1.1100000000000001</v>
      </c>
      <c r="K912" s="24">
        <f>J912+Age</f>
        <v>21.11</v>
      </c>
      <c r="L912" s="19">
        <f>B*c_gom^K912</f>
        <v>2.4667967232019049E-3</v>
      </c>
      <c r="M912" s="19">
        <f>N912*delta +Prem-L912*(1-N912)</f>
        <v>7.5554091672632839E-4</v>
      </c>
      <c r="N912" s="26">
        <f>N911-Step_h*M911</f>
        <v>4.2376827596549418E-3</v>
      </c>
      <c r="U912" s="2"/>
      <c r="X912" s="2"/>
    </row>
    <row r="913" spans="1:24" x14ac:dyDescent="0.45">
      <c r="A913" s="24">
        <v>8.9</v>
      </c>
      <c r="B913" s="24">
        <f>A913+Age</f>
        <v>28.9</v>
      </c>
      <c r="C913" s="19">
        <f>B*c_gom^B913</f>
        <v>4.8270942858135435E-3</v>
      </c>
      <c r="D913" s="19">
        <f t="shared" si="13"/>
        <v>-4.6844902033080053E-3</v>
      </c>
      <c r="E913" s="26">
        <f>E912+Step_h*D912</f>
        <v>0.97045757259711274</v>
      </c>
      <c r="J913" s="24">
        <f>ROUND(J912-Step_h,2)</f>
        <v>1.1000000000000001</v>
      </c>
      <c r="K913" s="24">
        <f>J913+Age</f>
        <v>21.1</v>
      </c>
      <c r="L913" s="19">
        <f>B*c_gom^K913</f>
        <v>2.4646718103468802E-3</v>
      </c>
      <c r="M913" s="19">
        <f>N913*delta +Prem-L913*(1-N913)</f>
        <v>7.5726043281242831E-4</v>
      </c>
      <c r="N913" s="26">
        <f>N912-Step_h*M912</f>
        <v>4.2301273504876781E-3</v>
      </c>
      <c r="U913" s="2"/>
      <c r="X913" s="2"/>
    </row>
    <row r="914" spans="1:24" x14ac:dyDescent="0.45">
      <c r="A914" s="24">
        <v>8.91</v>
      </c>
      <c r="B914" s="24">
        <f>A914+Age</f>
        <v>28.91</v>
      </c>
      <c r="C914" s="19">
        <f>B*c_gom^B914</f>
        <v>4.8312559574232436E-3</v>
      </c>
      <c r="D914" s="19">
        <f t="shared" si="13"/>
        <v>-4.6883026093242786E-3</v>
      </c>
      <c r="E914" s="26">
        <f>E913+Step_h*D913</f>
        <v>0.97041072769507963</v>
      </c>
      <c r="J914" s="24">
        <f>ROUND(J913-Step_h,2)</f>
        <v>1.0900000000000001</v>
      </c>
      <c r="K914" s="24">
        <f>J914+Age</f>
        <v>21.09</v>
      </c>
      <c r="L914" s="19">
        <f>B*c_gom^K914</f>
        <v>2.4625487279039833E-3</v>
      </c>
      <c r="M914" s="19">
        <f>N914*delta +Prem-L914*(1-N914)</f>
        <v>7.5897725622265473E-4</v>
      </c>
      <c r="N914" s="26">
        <f>N913-Step_h*M913</f>
        <v>4.2225547461595542E-3</v>
      </c>
      <c r="U914" s="2"/>
      <c r="X914" s="2"/>
    </row>
    <row r="915" spans="1:24" x14ac:dyDescent="0.45">
      <c r="A915" s="24">
        <v>8.92</v>
      </c>
      <c r="B915" s="24">
        <f>A915+Age</f>
        <v>28.92</v>
      </c>
      <c r="C915" s="19">
        <f>B*c_gom^B915</f>
        <v>4.835421217011456E-3</v>
      </c>
      <c r="D915" s="19">
        <f t="shared" si="13"/>
        <v>-4.6921179227332258E-3</v>
      </c>
      <c r="E915" s="26">
        <f>E914+Step_h*D914</f>
        <v>0.9703638446689864</v>
      </c>
      <c r="J915" s="24">
        <f>ROUND(J914-Step_h,2)</f>
        <v>1.08</v>
      </c>
      <c r="K915" s="24">
        <f>J915+Age</f>
        <v>21.08</v>
      </c>
      <c r="L915" s="19">
        <f>B*c_gom^K915</f>
        <v>2.4604274742964882E-3</v>
      </c>
      <c r="M915" s="19">
        <f>N915*delta +Prem-L915*(1-N915)</f>
        <v>7.6069139000761428E-4</v>
      </c>
      <c r="N915" s="26">
        <f>N914-Step_h*M914</f>
        <v>4.2149649735973276E-3</v>
      </c>
      <c r="U915" s="2"/>
      <c r="X915" s="2"/>
    </row>
    <row r="916" spans="1:24" x14ac:dyDescent="0.45">
      <c r="A916" s="24">
        <v>8.93</v>
      </c>
      <c r="B916" s="24">
        <f>A916+Age</f>
        <v>28.93</v>
      </c>
      <c r="C916" s="19">
        <f>B*c_gom^B916</f>
        <v>4.8395900676715528E-3</v>
      </c>
      <c r="D916" s="19">
        <f t="shared" si="13"/>
        <v>-4.6959361454146564E-3</v>
      </c>
      <c r="E916" s="26">
        <f>E915+Step_h*D915</f>
        <v>0.97031692348975906</v>
      </c>
      <c r="J916" s="24">
        <f>ROUND(J915-Step_h,2)</f>
        <v>1.07</v>
      </c>
      <c r="K916" s="24">
        <f>J916+Age</f>
        <v>21.07</v>
      </c>
      <c r="L916" s="19">
        <f>B*c_gom^K916</f>
        <v>2.4583080479490256E-3</v>
      </c>
      <c r="M916" s="19">
        <f>N916*delta +Prem-L916*(1-N916)</f>
        <v>7.6240283721459422E-4</v>
      </c>
      <c r="N916" s="26">
        <f>N915-Step_h*M915</f>
        <v>4.2073580596972511E-3</v>
      </c>
      <c r="U916" s="2"/>
      <c r="X916" s="2"/>
    </row>
    <row r="917" spans="1:24" x14ac:dyDescent="0.45">
      <c r="A917" s="24">
        <v>8.94</v>
      </c>
      <c r="B917" s="24">
        <f>A917+Age</f>
        <v>28.939999999999998</v>
      </c>
      <c r="C917" s="19">
        <f>B*c_gom^B917</f>
        <v>4.843762512499572E-3</v>
      </c>
      <c r="D917" s="19">
        <f t="shared" si="13"/>
        <v>-4.6997572792489874E-3</v>
      </c>
      <c r="E917" s="26">
        <f>E916+Step_h*D916</f>
        <v>0.97026996412830491</v>
      </c>
      <c r="J917" s="24">
        <f>ROUND(J916-Step_h,2)</f>
        <v>1.06</v>
      </c>
      <c r="K917" s="24">
        <f>J917+Age</f>
        <v>21.06</v>
      </c>
      <c r="L917" s="19">
        <f>B*c_gom^K917</f>
        <v>2.4561904472875816E-3</v>
      </c>
      <c r="M917" s="19">
        <f>N917*delta +Prem-L917*(1-N917)</f>
        <v>7.6411160088756327E-4</v>
      </c>
      <c r="N917" s="26">
        <f>N916-Step_h*M916</f>
        <v>4.1997340313251049E-3</v>
      </c>
      <c r="U917" s="2"/>
      <c r="X917" s="2"/>
    </row>
    <row r="918" spans="1:24" x14ac:dyDescent="0.45">
      <c r="A918" s="24">
        <v>8.9500000000000011</v>
      </c>
      <c r="B918" s="24">
        <f>A918+Age</f>
        <v>28.950000000000003</v>
      </c>
      <c r="C918" s="19">
        <f>B*c_gom^B918</f>
        <v>4.8479385545942208E-3</v>
      </c>
      <c r="D918" s="19">
        <f t="shared" si="13"/>
        <v>-4.7035813261172479E-3</v>
      </c>
      <c r="E918" s="26">
        <f>E917+Step_h*D917</f>
        <v>0.97022296655551243</v>
      </c>
      <c r="J918" s="24">
        <f>ROUND(J917-Step_h,2)</f>
        <v>1.05</v>
      </c>
      <c r="K918" s="24">
        <f>J918+Age</f>
        <v>21.05</v>
      </c>
      <c r="L918" s="19">
        <f>B*c_gom^K918</f>
        <v>2.4540746707395018E-3</v>
      </c>
      <c r="M918" s="19">
        <f>N918*delta +Prem-L918*(1-N918)</f>
        <v>7.658176840671738E-4</v>
      </c>
      <c r="N918" s="26">
        <f>N917-Step_h*M917</f>
        <v>4.1920929153162296E-3</v>
      </c>
      <c r="U918" s="2"/>
      <c r="X918" s="2"/>
    </row>
    <row r="919" spans="1:24" x14ac:dyDescent="0.45">
      <c r="A919" s="24">
        <v>8.9600000000000009</v>
      </c>
      <c r="B919" s="24">
        <f>A919+Age</f>
        <v>28.96</v>
      </c>
      <c r="C919" s="19">
        <f>B*c_gom^B919</f>
        <v>4.8521181970568733E-3</v>
      </c>
      <c r="D919" s="19">
        <f t="shared" si="13"/>
        <v>-4.7074082879010664E-3</v>
      </c>
      <c r="E919" s="26">
        <f>E918+Step_h*D918</f>
        <v>0.97017593074225128</v>
      </c>
      <c r="J919" s="24">
        <f>ROUND(J918-Step_h,2)</f>
        <v>1.04</v>
      </c>
      <c r="K919" s="24">
        <f>J919+Age</f>
        <v>21.04</v>
      </c>
      <c r="L919" s="19">
        <f>B*c_gom^K919</f>
        <v>2.4519607167334829E-3</v>
      </c>
      <c r="M919" s="19">
        <f>N919*delta +Prem-L919*(1-N919)</f>
        <v>7.6752108979077222E-4</v>
      </c>
      <c r="N919" s="26">
        <f>N918-Step_h*M918</f>
        <v>4.1844347384755575E-3</v>
      </c>
      <c r="U919" s="2"/>
      <c r="X919" s="2"/>
    </row>
    <row r="920" spans="1:24" x14ac:dyDescent="0.45">
      <c r="A920" s="24">
        <v>8.9700000000000006</v>
      </c>
      <c r="B920" s="24">
        <f>A920+Age</f>
        <v>28.97</v>
      </c>
      <c r="C920" s="19">
        <f>B*c_gom^B920</f>
        <v>4.856301442991583E-3</v>
      </c>
      <c r="D920" s="19">
        <f t="shared" ref="D920:D983" si="14">-E920*C920</f>
        <v>-4.7112381664826848E-3</v>
      </c>
      <c r="E920" s="26">
        <f>E919+Step_h*D919</f>
        <v>0.97012885665937232</v>
      </c>
      <c r="J920" s="24">
        <f>ROUND(J919-Step_h,2)</f>
        <v>1.03</v>
      </c>
      <c r="K920" s="24">
        <f>J920+Age</f>
        <v>21.03</v>
      </c>
      <c r="L920" s="19">
        <f>B*c_gom^K920</f>
        <v>2.449848583699578E-3</v>
      </c>
      <c r="M920" s="19">
        <f>N920*delta +Prem-L920*(1-N920)</f>
        <v>7.6922182109239465E-4</v>
      </c>
      <c r="N920" s="26">
        <f>N919-Step_h*M919</f>
        <v>4.1767595275776495E-3</v>
      </c>
      <c r="U920" s="2"/>
      <c r="X920" s="2"/>
    </row>
    <row r="921" spans="1:24" x14ac:dyDescent="0.45">
      <c r="A921" s="24">
        <v>8.98</v>
      </c>
      <c r="B921" s="24">
        <f>A921+Age</f>
        <v>28.98</v>
      </c>
      <c r="C921" s="19">
        <f>B*c_gom^B921</f>
        <v>4.8604882955050766E-3</v>
      </c>
      <c r="D921" s="19">
        <f t="shared" si="14"/>
        <v>-4.7150709637449459E-3</v>
      </c>
      <c r="E921" s="26">
        <f>E920+Step_h*D920</f>
        <v>0.97008174427770744</v>
      </c>
      <c r="J921" s="24">
        <f>ROUND(J920-Step_h,2)</f>
        <v>1.02</v>
      </c>
      <c r="K921" s="24">
        <f>J921+Age</f>
        <v>21.02</v>
      </c>
      <c r="L921" s="19">
        <f>B*c_gom^K921</f>
        <v>2.4477382700691902E-3</v>
      </c>
      <c r="M921" s="19">
        <f>N921*delta +Prem-L921*(1-N921)</f>
        <v>7.7091988100277736E-4</v>
      </c>
      <c r="N921" s="26">
        <f>N920-Step_h*M920</f>
        <v>4.1690673093667252E-3</v>
      </c>
      <c r="U921" s="2"/>
      <c r="X921" s="2"/>
    </row>
    <row r="922" spans="1:24" x14ac:dyDescent="0.45">
      <c r="A922" s="24">
        <v>8.99</v>
      </c>
      <c r="B922" s="24">
        <f>A922+Age</f>
        <v>28.990000000000002</v>
      </c>
      <c r="C922" s="19">
        <f>B*c_gom^B922</f>
        <v>4.8646787577067635E-3</v>
      </c>
      <c r="D922" s="19">
        <f t="shared" si="14"/>
        <v>-4.7189066815713039E-3</v>
      </c>
      <c r="E922" s="26">
        <f>E921+Step_h*D921</f>
        <v>0.97003459356806998</v>
      </c>
      <c r="J922" s="24">
        <f>ROUND(J921-Step_h,2)</f>
        <v>1.01</v>
      </c>
      <c r="K922" s="24">
        <f>J922+Age</f>
        <v>21.01</v>
      </c>
      <c r="L922" s="19">
        <f>B*c_gom^K922</f>
        <v>2.4456297742750763E-3</v>
      </c>
      <c r="M922" s="19">
        <f>N922*delta +Prem-L922*(1-N922)</f>
        <v>7.7261527254935715E-4</v>
      </c>
      <c r="N922" s="26">
        <f>N921-Step_h*M921</f>
        <v>4.161358110556697E-3</v>
      </c>
      <c r="U922" s="2"/>
      <c r="X922" s="2"/>
    </row>
    <row r="923" spans="1:24" x14ac:dyDescent="0.45">
      <c r="A923" s="24">
        <v>9</v>
      </c>
      <c r="B923" s="24">
        <f>A923+Age</f>
        <v>29</v>
      </c>
      <c r="C923" s="19">
        <f>B*c_gom^B923</f>
        <v>4.8688728327087221E-3</v>
      </c>
      <c r="D923" s="19">
        <f t="shared" si="14"/>
        <v>-4.722745321845803E-3</v>
      </c>
      <c r="E923" s="26">
        <f>E922+Step_h*D922</f>
        <v>0.96998740450125431</v>
      </c>
      <c r="J923" s="24">
        <f>ROUND(J922-Step_h,2)</f>
        <v>1</v>
      </c>
      <c r="K923" s="24">
        <f>J923+Age</f>
        <v>21</v>
      </c>
      <c r="L923" s="19">
        <f>B*c_gom^K923</f>
        <v>2.4435230947513382E-3</v>
      </c>
      <c r="M923" s="19">
        <f>N923*delta +Prem-L923*(1-N923)</f>
        <v>7.7430799875628006E-4</v>
      </c>
      <c r="N923" s="26">
        <f>N922-Step_h*M922</f>
        <v>4.1536319578312038E-3</v>
      </c>
      <c r="U923" s="2"/>
      <c r="X923" s="2"/>
    </row>
    <row r="924" spans="1:24" x14ac:dyDescent="0.45">
      <c r="A924" s="24">
        <v>9.01</v>
      </c>
      <c r="B924" s="24">
        <f>A924+Age</f>
        <v>29.009999999999998</v>
      </c>
      <c r="C924" s="19">
        <f>B*c_gom^B924</f>
        <v>4.8730705236257358E-3</v>
      </c>
      <c r="D924" s="19">
        <f t="shared" si="14"/>
        <v>-4.7265868864531111E-3</v>
      </c>
      <c r="E924" s="26">
        <f>E923+Step_h*D923</f>
        <v>0.96994017704803581</v>
      </c>
      <c r="J924" s="24">
        <f>ROUND(J923-Step_h,2)</f>
        <v>0.99</v>
      </c>
      <c r="K924" s="24">
        <f>J924+Age</f>
        <v>20.99</v>
      </c>
      <c r="L924" s="19">
        <f>B*c_gom^K924</f>
        <v>2.4414182299334355E-3</v>
      </c>
      <c r="M924" s="19">
        <f>N924*delta +Prem-L924*(1-N924)</f>
        <v>7.7599806264439224E-4</v>
      </c>
      <c r="N924" s="26">
        <f>N923-Step_h*M923</f>
        <v>4.145888877843641E-3</v>
      </c>
      <c r="U924" s="2"/>
      <c r="X924" s="2"/>
    </row>
    <row r="925" spans="1:24" x14ac:dyDescent="0.45">
      <c r="A925" s="24">
        <v>9.02</v>
      </c>
      <c r="B925" s="24">
        <f>A925+Age</f>
        <v>29.02</v>
      </c>
      <c r="C925" s="19">
        <f>B*c_gom^B925</f>
        <v>4.8772718335752495E-3</v>
      </c>
      <c r="D925" s="19">
        <f t="shared" si="14"/>
        <v>-4.7304313772784734E-3</v>
      </c>
      <c r="E925" s="26">
        <f>E924+Step_h*D924</f>
        <v>0.96989291117917131</v>
      </c>
      <c r="J925" s="24">
        <f>ROUND(J924-Step_h,2)</f>
        <v>0.98</v>
      </c>
      <c r="K925" s="24">
        <f>J925+Age</f>
        <v>20.98</v>
      </c>
      <c r="L925" s="19">
        <f>B*c_gom^K925</f>
        <v>2.4393151782581665E-3</v>
      </c>
      <c r="M925" s="19">
        <f>N925*delta +Prem-L925*(1-N925)</f>
        <v>7.7768546723126384E-4</v>
      </c>
      <c r="N925" s="26">
        <f>N924-Step_h*M924</f>
        <v>4.1381288972171968E-3</v>
      </c>
      <c r="U925" s="2"/>
      <c r="X925" s="2"/>
    </row>
    <row r="926" spans="1:24" x14ac:dyDescent="0.45">
      <c r="A926" s="24">
        <v>9.0299999999999994</v>
      </c>
      <c r="B926" s="24">
        <f>A926+Age</f>
        <v>29.03</v>
      </c>
      <c r="C926" s="19">
        <f>B*c_gom^B926</f>
        <v>4.8814767656774113E-3</v>
      </c>
      <c r="D926" s="19">
        <f t="shared" si="14"/>
        <v>-4.7342787962077523E-3</v>
      </c>
      <c r="E926" s="26">
        <f>E925+Step_h*D925</f>
        <v>0.96984560686539856</v>
      </c>
      <c r="J926" s="24">
        <f>ROUND(J925-Step_h,2)</f>
        <v>0.97</v>
      </c>
      <c r="K926" s="24">
        <f>J926+Age</f>
        <v>20.97</v>
      </c>
      <c r="L926" s="19">
        <f>B*c_gom^K926</f>
        <v>2.4372139381636801E-3</v>
      </c>
      <c r="M926" s="19">
        <f>N926*delta +Prem-L926*(1-N926)</f>
        <v>7.7937021553117726E-4</v>
      </c>
      <c r="N926" s="26">
        <f>N925-Step_h*M925</f>
        <v>4.1303520425448846E-3</v>
      </c>
      <c r="U926" s="2"/>
      <c r="X926" s="2"/>
    </row>
    <row r="927" spans="1:24" x14ac:dyDescent="0.45">
      <c r="A927" s="24">
        <v>9.0400000000000009</v>
      </c>
      <c r="B927" s="24">
        <f>A927+Age</f>
        <v>29.04</v>
      </c>
      <c r="C927" s="19">
        <f>B*c_gom^B927</f>
        <v>4.8856853230550496E-3</v>
      </c>
      <c r="D927" s="19">
        <f t="shared" si="14"/>
        <v>-4.7381291451273969E-3</v>
      </c>
      <c r="E927" s="26">
        <f>E926+Step_h*D926</f>
        <v>0.96979826407743652</v>
      </c>
      <c r="J927" s="24">
        <f>ROUND(J926-Step_h,2)</f>
        <v>0.96</v>
      </c>
      <c r="K927" s="24">
        <f>J927+Age</f>
        <v>20.96</v>
      </c>
      <c r="L927" s="19">
        <f>B*c_gom^K927</f>
        <v>2.4351145080894715E-3</v>
      </c>
      <c r="M927" s="19">
        <f>N927*delta +Prem-L927*(1-N927)</f>
        <v>7.8105231055513496E-4</v>
      </c>
      <c r="N927" s="26">
        <f>N926-Step_h*M926</f>
        <v>4.1225583403895726E-3</v>
      </c>
      <c r="U927" s="2"/>
      <c r="X927" s="2"/>
    </row>
    <row r="928" spans="1:24" x14ac:dyDescent="0.45">
      <c r="A928" s="24">
        <v>9.0500000000000007</v>
      </c>
      <c r="B928" s="24">
        <f>A928+Age</f>
        <v>29.05</v>
      </c>
      <c r="C928" s="19">
        <f>B*c_gom^B928</f>
        <v>4.8898975088336929E-3</v>
      </c>
      <c r="D928" s="19">
        <f t="shared" si="14"/>
        <v>-4.7419824259244637E-3</v>
      </c>
      <c r="E928" s="26">
        <f>E927+Step_h*D927</f>
        <v>0.9697508827859852</v>
      </c>
      <c r="J928" s="24">
        <f>ROUND(J927-Step_h,2)</f>
        <v>0.95</v>
      </c>
      <c r="K928" s="24">
        <f>J928+Age</f>
        <v>20.95</v>
      </c>
      <c r="L928" s="19">
        <f>B*c_gom^K928</f>
        <v>2.4330168864763772E-3</v>
      </c>
      <c r="M928" s="19">
        <f>N928*delta +Prem-L928*(1-N928)</f>
        <v>7.8273175531086772E-4</v>
      </c>
      <c r="N928" s="26">
        <f>N927-Step_h*M927</f>
        <v>4.114747817284021E-3</v>
      </c>
      <c r="U928" s="2"/>
      <c r="X928" s="2"/>
    </row>
    <row r="929" spans="1:24" x14ac:dyDescent="0.45">
      <c r="A929" s="24">
        <v>9.06</v>
      </c>
      <c r="B929" s="24">
        <f>A929+Age</f>
        <v>29.060000000000002</v>
      </c>
      <c r="C929" s="19">
        <f>B*c_gom^B929</f>
        <v>4.8941133261415628E-3</v>
      </c>
      <c r="D929" s="19">
        <f t="shared" si="14"/>
        <v>-4.7458386404866043E-3</v>
      </c>
      <c r="E929" s="26">
        <f>E928+Step_h*D928</f>
        <v>0.96970346296172594</v>
      </c>
      <c r="J929" s="24">
        <f>ROUND(J928-Step_h,2)</f>
        <v>0.94</v>
      </c>
      <c r="K929" s="24">
        <f>J929+Age</f>
        <v>20.94</v>
      </c>
      <c r="L929" s="19">
        <f>B*c_gom^K929</f>
        <v>2.4309210717665805E-3</v>
      </c>
      <c r="M929" s="19">
        <f>N929*delta +Prem-L929*(1-N929)</f>
        <v>7.8440855280283118E-4</v>
      </c>
      <c r="N929" s="26">
        <f>N928-Step_h*M928</f>
        <v>4.106920499730912E-3</v>
      </c>
      <c r="U929" s="2"/>
      <c r="X929" s="2"/>
    </row>
    <row r="930" spans="1:24" x14ac:dyDescent="0.45">
      <c r="A930" s="24">
        <v>9.07</v>
      </c>
      <c r="B930" s="24">
        <f>A930+Age</f>
        <v>29.07</v>
      </c>
      <c r="C930" s="19">
        <f>B*c_gom^B930</f>
        <v>4.8983327781095725E-3</v>
      </c>
      <c r="D930" s="19">
        <f t="shared" si="14"/>
        <v>-4.7496977907020609E-3</v>
      </c>
      <c r="E930" s="26">
        <f>E929+Step_h*D929</f>
        <v>0.96965600457532108</v>
      </c>
      <c r="J930" s="24">
        <f>ROUND(J929-Step_h,2)</f>
        <v>0.93</v>
      </c>
      <c r="K930" s="24">
        <f>J930+Age</f>
        <v>20.93</v>
      </c>
      <c r="L930" s="19">
        <f>B*c_gom^K930</f>
        <v>2.428827062403602E-3</v>
      </c>
      <c r="M930" s="19">
        <f>N930*delta +Prem-L930*(1-N930)</f>
        <v>7.8608270603221881E-4</v>
      </c>
      <c r="N930" s="26">
        <f>N929-Step_h*M929</f>
        <v>4.0990764142028839E-3</v>
      </c>
      <c r="U930" s="2"/>
      <c r="X930" s="2"/>
    </row>
    <row r="931" spans="1:24" x14ac:dyDescent="0.45">
      <c r="A931" s="24">
        <v>9.08</v>
      </c>
      <c r="B931" s="24">
        <f>A931+Age</f>
        <v>29.08</v>
      </c>
      <c r="C931" s="19">
        <f>B*c_gom^B931</f>
        <v>4.902555867871341E-3</v>
      </c>
      <c r="D931" s="19">
        <f t="shared" si="14"/>
        <v>-4.7535598784596757E-3</v>
      </c>
      <c r="E931" s="26">
        <f>E930+Step_h*D930</f>
        <v>0.96960850759741402</v>
      </c>
      <c r="J931" s="24">
        <f>ROUND(J930-Step_h,2)</f>
        <v>0.92</v>
      </c>
      <c r="K931" s="24">
        <f>J931+Age</f>
        <v>20.92</v>
      </c>
      <c r="L931" s="19">
        <f>B*c_gom^K931</f>
        <v>2.4267348568323076E-3</v>
      </c>
      <c r="M931" s="19">
        <f>N931*delta +Prem-L931*(1-N931)</f>
        <v>7.8775421799695501E-4</v>
      </c>
      <c r="N931" s="26">
        <f>N930-Step_h*M930</f>
        <v>4.0912155871425616E-3</v>
      </c>
      <c r="U931" s="2"/>
      <c r="X931" s="2"/>
    </row>
    <row r="932" spans="1:24" x14ac:dyDescent="0.45">
      <c r="A932" s="24">
        <v>9.09</v>
      </c>
      <c r="B932" s="24">
        <f>A932+Age</f>
        <v>29.09</v>
      </c>
      <c r="C932" s="19">
        <f>B*c_gom^B932</f>
        <v>4.9067825985631862E-3</v>
      </c>
      <c r="D932" s="19">
        <f t="shared" si="14"/>
        <v>-4.7574249056488837E-3</v>
      </c>
      <c r="E932" s="26">
        <f>E931+Step_h*D931</f>
        <v>0.96956097199862945</v>
      </c>
      <c r="J932" s="24">
        <f>ROUND(J931-Step_h,2)</f>
        <v>0.91</v>
      </c>
      <c r="K932" s="24">
        <f>J932+Age</f>
        <v>20.91</v>
      </c>
      <c r="L932" s="19">
        <f>B*c_gom^K932</f>
        <v>2.4246444534988996E-3</v>
      </c>
      <c r="M932" s="19">
        <f>N932*delta +Prem-L932*(1-N932)</f>
        <v>7.8942309169170981E-4</v>
      </c>
      <c r="N932" s="26">
        <f>N931-Step_h*M931</f>
        <v>4.0833380449625924E-3</v>
      </c>
      <c r="U932" s="2"/>
      <c r="X932" s="2"/>
    </row>
    <row r="933" spans="1:24" x14ac:dyDescent="0.45">
      <c r="A933" s="24">
        <v>9.1</v>
      </c>
      <c r="B933" s="24">
        <f>A933+Age</f>
        <v>29.1</v>
      </c>
      <c r="C933" s="19">
        <f>B*c_gom^B933</f>
        <v>4.9110129733241307E-3</v>
      </c>
      <c r="D933" s="19">
        <f t="shared" si="14"/>
        <v>-4.7612928741597111E-3</v>
      </c>
      <c r="E933" s="26">
        <f>E932+Step_h*D932</f>
        <v>0.96951339774957301</v>
      </c>
      <c r="J933" s="24">
        <f>ROUND(J932-Step_h,2)</f>
        <v>0.9</v>
      </c>
      <c r="K933" s="24">
        <f>J933+Age</f>
        <v>20.9</v>
      </c>
      <c r="L933" s="19">
        <f>B*c_gom^K933</f>
        <v>2.4225558508509199E-3</v>
      </c>
      <c r="M933" s="19">
        <f>N933*delta +Prem-L933*(1-N933)</f>
        <v>7.9108933010789461E-4</v>
      </c>
      <c r="N933" s="26">
        <f>N932-Step_h*M932</f>
        <v>4.0754438140456753E-3</v>
      </c>
      <c r="U933" s="2"/>
      <c r="X933" s="2"/>
    </row>
    <row r="934" spans="1:24" x14ac:dyDescent="0.45">
      <c r="A934" s="24">
        <v>9.11</v>
      </c>
      <c r="B934" s="24">
        <f>A934+Age</f>
        <v>29.11</v>
      </c>
      <c r="C934" s="19">
        <f>B*c_gom^B934</f>
        <v>4.9152469952959002E-3</v>
      </c>
      <c r="D934" s="19">
        <f t="shared" si="14"/>
        <v>-4.765163785882774E-3</v>
      </c>
      <c r="E934" s="26">
        <f>E933+Step_h*D933</f>
        <v>0.96946578482083146</v>
      </c>
      <c r="J934" s="24">
        <f>ROUND(J933-Step_h,2)</f>
        <v>0.89</v>
      </c>
      <c r="K934" s="24">
        <f>J934+Age</f>
        <v>20.89</v>
      </c>
      <c r="L934" s="19">
        <f>B*c_gom^K934</f>
        <v>2.4204690473372498E-3</v>
      </c>
      <c r="M934" s="19">
        <f>N934*delta +Prem-L934*(1-N934)</f>
        <v>7.9275293623366772E-4</v>
      </c>
      <c r="N934" s="26">
        <f>N933-Step_h*M933</f>
        <v>4.0675329207445965E-3</v>
      </c>
      <c r="U934" s="2"/>
      <c r="X934" s="2"/>
    </row>
    <row r="935" spans="1:24" x14ac:dyDescent="0.45">
      <c r="A935" s="24">
        <v>9.120000000000001</v>
      </c>
      <c r="B935" s="24">
        <f>A935+Age</f>
        <v>29.12</v>
      </c>
      <c r="C935" s="19">
        <f>B*c_gom^B935</f>
        <v>4.9194846676229344E-3</v>
      </c>
      <c r="D935" s="19">
        <f t="shared" si="14"/>
        <v>-4.7690376427092819E-3</v>
      </c>
      <c r="E935" s="26">
        <f>E934+Step_h*D934</f>
        <v>0.96941813318297265</v>
      </c>
      <c r="J935" s="24">
        <f>ROUND(J934-Step_h,2)</f>
        <v>0.88</v>
      </c>
      <c r="K935" s="24">
        <f>J935+Age</f>
        <v>20.88</v>
      </c>
      <c r="L935" s="19">
        <f>B*c_gom^K935</f>
        <v>2.4183840414081022E-3</v>
      </c>
      <c r="M935" s="19">
        <f>N935*delta +Prem-L935*(1-N935)</f>
        <v>7.9441391305394397E-4</v>
      </c>
      <c r="N935" s="26">
        <f>N934-Step_h*M934</f>
        <v>4.0596053913822599E-3</v>
      </c>
      <c r="U935" s="2"/>
      <c r="X935" s="2"/>
    </row>
    <row r="936" spans="1:24" x14ac:dyDescent="0.45">
      <c r="A936" s="24">
        <v>9.1300000000000008</v>
      </c>
      <c r="B936" s="24">
        <f>A936+Age</f>
        <v>29.130000000000003</v>
      </c>
      <c r="C936" s="19">
        <f>B*c_gom^B936</f>
        <v>4.9237259934523814E-3</v>
      </c>
      <c r="D936" s="19">
        <f t="shared" si="14"/>
        <v>-4.772914446531034E-3</v>
      </c>
      <c r="E936" s="26">
        <f>E935+Step_h*D935</f>
        <v>0.96937044280654561</v>
      </c>
      <c r="J936" s="24">
        <f>ROUND(J935-Step_h,2)</f>
        <v>0.87</v>
      </c>
      <c r="K936" s="24">
        <f>J936+Age</f>
        <v>20.87</v>
      </c>
      <c r="L936" s="19">
        <f>B*c_gom^K936</f>
        <v>2.4163008315150293E-3</v>
      </c>
      <c r="M936" s="19">
        <f>N936*delta +Prem-L936*(1-N936)</f>
        <v>7.9607226355039038E-4</v>
      </c>
      <c r="N936" s="26">
        <f>N935-Step_h*M935</f>
        <v>4.0516612522517202E-3</v>
      </c>
      <c r="U936" s="2"/>
      <c r="X936" s="2"/>
    </row>
    <row r="937" spans="1:24" x14ac:dyDescent="0.45">
      <c r="A937" s="24">
        <v>9.14</v>
      </c>
      <c r="B937" s="24">
        <f>A937+Age</f>
        <v>29.14</v>
      </c>
      <c r="C937" s="19">
        <f>B*c_gom^B937</f>
        <v>4.9279709759340994E-3</v>
      </c>
      <c r="D937" s="19">
        <f t="shared" si="14"/>
        <v>-4.7767941992404115E-3</v>
      </c>
      <c r="E937" s="26">
        <f>E936+Step_h*D936</f>
        <v>0.96932271366208034</v>
      </c>
      <c r="J937" s="24">
        <f>ROUND(J936-Step_h,2)</f>
        <v>0.86</v>
      </c>
      <c r="K937" s="24">
        <f>J937+Age</f>
        <v>20.86</v>
      </c>
      <c r="L937" s="19">
        <f>B*c_gom^K937</f>
        <v>2.4142194161109131E-3</v>
      </c>
      <c r="M937" s="19">
        <f>N937*delta +Prem-L937*(1-N937)</f>
        <v>7.977279907014352E-4</v>
      </c>
      <c r="N937" s="26">
        <f>N936-Step_h*M936</f>
        <v>4.0437005296162162E-3</v>
      </c>
      <c r="U937" s="2"/>
      <c r="X937" s="2"/>
    </row>
    <row r="938" spans="1:24" x14ac:dyDescent="0.45">
      <c r="A938" s="24">
        <v>9.15</v>
      </c>
      <c r="B938" s="24">
        <f>A938+Age</f>
        <v>29.15</v>
      </c>
      <c r="C938" s="19">
        <f>B*c_gom^B938</f>
        <v>4.9322196182206655E-3</v>
      </c>
      <c r="D938" s="19">
        <f t="shared" si="14"/>
        <v>-4.7806769027303889E-3</v>
      </c>
      <c r="E938" s="26">
        <f>E937+Step_h*D937</f>
        <v>0.96927494572008799</v>
      </c>
      <c r="J938" s="24">
        <f>ROUND(J937-Step_h,2)</f>
        <v>0.85</v>
      </c>
      <c r="K938" s="24">
        <f>J938+Age</f>
        <v>20.85</v>
      </c>
      <c r="L938" s="19">
        <f>B*c_gom^K938</f>
        <v>2.4121397936499728E-3</v>
      </c>
      <c r="M938" s="19">
        <f>N938*delta +Prem-L938*(1-N938)</f>
        <v>7.993810974822697E-4</v>
      </c>
      <c r="N938" s="26">
        <f>N937-Step_h*M937</f>
        <v>4.0357232497092018E-3</v>
      </c>
      <c r="U938" s="2"/>
      <c r="X938" s="2"/>
    </row>
    <row r="939" spans="1:24" x14ac:dyDescent="0.45">
      <c r="A939" s="24">
        <v>9.16</v>
      </c>
      <c r="B939" s="24">
        <f>A939+Age</f>
        <v>29.16</v>
      </c>
      <c r="C939" s="19">
        <f>B*c_gom^B939</f>
        <v>4.9364719234673803E-3</v>
      </c>
      <c r="D939" s="19">
        <f t="shared" si="14"/>
        <v>-4.7845625588945288E-3</v>
      </c>
      <c r="E939" s="26">
        <f>E938+Step_h*D938</f>
        <v>0.96922713895106072</v>
      </c>
      <c r="J939" s="24">
        <f>ROUND(J938-Step_h,2)</f>
        <v>0.84</v>
      </c>
      <c r="K939" s="24">
        <f>J939+Age</f>
        <v>20.84</v>
      </c>
      <c r="L939" s="19">
        <f>B*c_gom^K939</f>
        <v>2.4100619625877554E-3</v>
      </c>
      <c r="M939" s="19">
        <f>N939*delta +Prem-L939*(1-N939)</f>
        <v>8.0103158686485251E-4</v>
      </c>
      <c r="N939" s="26">
        <f>N938-Step_h*M938</f>
        <v>4.0277294387343794E-3</v>
      </c>
      <c r="U939" s="2"/>
      <c r="X939" s="2"/>
    </row>
    <row r="940" spans="1:24" x14ac:dyDescent="0.45">
      <c r="A940" s="24">
        <v>9.17</v>
      </c>
      <c r="B940" s="24">
        <f>A940+Age</f>
        <v>29.17</v>
      </c>
      <c r="C940" s="19">
        <f>B*c_gom^B940</f>
        <v>4.940727894832255E-3</v>
      </c>
      <c r="D940" s="19">
        <f t="shared" si="14"/>
        <v>-4.7884511696269713E-3</v>
      </c>
      <c r="E940" s="26">
        <f>E939+Step_h*D939</f>
        <v>0.96917929332547181</v>
      </c>
      <c r="J940" s="24">
        <f>ROUND(J939-Step_h,2)</f>
        <v>0.83</v>
      </c>
      <c r="K940" s="24">
        <f>J940+Age</f>
        <v>20.83</v>
      </c>
      <c r="L940" s="19">
        <f>B*c_gom^K940</f>
        <v>2.4079859213811399E-3</v>
      </c>
      <c r="M940" s="19">
        <f>N940*delta +Prem-L940*(1-N940)</f>
        <v>8.0267946181791392E-4</v>
      </c>
      <c r="N940" s="26">
        <f>N939-Step_h*M939</f>
        <v>4.0197191228657312E-3</v>
      </c>
      <c r="U940" s="2"/>
      <c r="X940" s="2"/>
    </row>
    <row r="941" spans="1:24" x14ac:dyDescent="0.45">
      <c r="A941" s="24">
        <v>9.18</v>
      </c>
      <c r="B941" s="24">
        <f>A941+Age</f>
        <v>29.18</v>
      </c>
      <c r="C941" s="19">
        <f>B*c_gom^B941</f>
        <v>4.9449875354760234E-3</v>
      </c>
      <c r="D941" s="19">
        <f t="shared" si="14"/>
        <v>-4.7923427368224388E-3</v>
      </c>
      <c r="E941" s="26">
        <f>E940+Step_h*D940</f>
        <v>0.96913140881377557</v>
      </c>
      <c r="J941" s="24">
        <f>ROUND(J940-Step_h,2)</f>
        <v>0.82</v>
      </c>
      <c r="K941" s="24">
        <f>J941+Age</f>
        <v>20.82</v>
      </c>
      <c r="L941" s="19">
        <f>B*c_gom^K941</f>
        <v>2.4059116684883356E-3</v>
      </c>
      <c r="M941" s="19">
        <f>N941*delta +Prem-L941*(1-N941)</f>
        <v>8.0432472530695808E-4</v>
      </c>
      <c r="N941" s="26">
        <f>N940-Step_h*M940</f>
        <v>4.0116923282475523E-3</v>
      </c>
      <c r="U941" s="2"/>
      <c r="X941" s="2"/>
    </row>
    <row r="942" spans="1:24" x14ac:dyDescent="0.45">
      <c r="A942" s="24">
        <v>9.19</v>
      </c>
      <c r="B942" s="24">
        <f>A942+Age</f>
        <v>29.189999999999998</v>
      </c>
      <c r="C942" s="19">
        <f>B*c_gom^B942</f>
        <v>4.9492508485621551E-3</v>
      </c>
      <c r="D942" s="19">
        <f t="shared" si="14"/>
        <v>-4.7962372623762475E-3</v>
      </c>
      <c r="E942" s="26">
        <f>E941+Step_h*D941</f>
        <v>0.96908348538640732</v>
      </c>
      <c r="J942" s="24">
        <f>ROUND(J941-Step_h,2)</f>
        <v>0.81</v>
      </c>
      <c r="K942" s="24">
        <f>J942+Age</f>
        <v>20.81</v>
      </c>
      <c r="L942" s="19">
        <f>B*c_gom^K942</f>
        <v>2.4038392023688778E-3</v>
      </c>
      <c r="M942" s="19">
        <f>N942*delta +Prem-L942*(1-N942)</f>
        <v>8.0596738029426905E-4</v>
      </c>
      <c r="N942" s="26">
        <f>N941-Step_h*M941</f>
        <v>4.0036490809944826E-3</v>
      </c>
      <c r="U942" s="2"/>
      <c r="X942" s="2"/>
    </row>
    <row r="943" spans="1:24" x14ac:dyDescent="0.45">
      <c r="A943" s="24">
        <v>9.2000000000000011</v>
      </c>
      <c r="B943" s="24">
        <f>A943+Age</f>
        <v>29.200000000000003</v>
      </c>
      <c r="C943" s="19">
        <f>B*c_gom^B943</f>
        <v>4.9535178372568413E-3</v>
      </c>
      <c r="D943" s="19">
        <f t="shared" si="14"/>
        <v>-4.800134748184289E-3</v>
      </c>
      <c r="E943" s="26">
        <f>E942+Step_h*D942</f>
        <v>0.9690355230137836</v>
      </c>
      <c r="J943" s="24">
        <f>ROUND(J942-Step_h,2)</f>
        <v>0.8</v>
      </c>
      <c r="K943" s="24">
        <f>J943+Age</f>
        <v>20.8</v>
      </c>
      <c r="L943" s="19">
        <f>B*c_gom^K943</f>
        <v>2.40176852148363E-3</v>
      </c>
      <c r="M943" s="19">
        <f>N943*delta +Prem-L943*(1-N943)</f>
        <v>8.0760742973891341E-4</v>
      </c>
      <c r="N943" s="26">
        <f>N942-Step_h*M942</f>
        <v>3.9955894071915399E-3</v>
      </c>
      <c r="U943" s="2"/>
      <c r="X943" s="2"/>
    </row>
    <row r="944" spans="1:24" x14ac:dyDescent="0.45">
      <c r="A944" s="24">
        <v>9.2100000000000009</v>
      </c>
      <c r="B944" s="24">
        <f>A944+Age</f>
        <v>29.21</v>
      </c>
      <c r="C944" s="19">
        <f>B*c_gom^B944</f>
        <v>4.9577885047289924E-3</v>
      </c>
      <c r="D944" s="19">
        <f t="shared" si="14"/>
        <v>-4.8040351961430262E-3</v>
      </c>
      <c r="E944" s="26">
        <f>E943+Step_h*D943</f>
        <v>0.96898752166630175</v>
      </c>
      <c r="J944" s="24">
        <f>ROUND(J943-Step_h,2)</f>
        <v>0.79</v>
      </c>
      <c r="K944" s="24">
        <f>J944+Age</f>
        <v>20.79</v>
      </c>
      <c r="L944" s="19">
        <f>B*c_gom^K944</f>
        <v>2.3996996242947803E-3</v>
      </c>
      <c r="M944" s="19">
        <f>N944*delta +Prem-L944*(1-N944)</f>
        <v>8.0924487659674374E-4</v>
      </c>
      <c r="N944" s="26">
        <f>N943-Step_h*M943</f>
        <v>3.9875133328941504E-3</v>
      </c>
      <c r="U944" s="2"/>
      <c r="X944" s="2"/>
    </row>
    <row r="945" spans="1:24" x14ac:dyDescent="0.45">
      <c r="A945" s="24">
        <v>9.2200000000000006</v>
      </c>
      <c r="B945" s="24">
        <f>A945+Age</f>
        <v>29.22</v>
      </c>
      <c r="C945" s="19">
        <f>B*c_gom^B945</f>
        <v>4.9620628541502693E-3</v>
      </c>
      <c r="D945" s="19">
        <f t="shared" si="14"/>
        <v>-4.8079386081495172E-3</v>
      </c>
      <c r="E945" s="26">
        <f>E944+Step_h*D944</f>
        <v>0.96893948131434038</v>
      </c>
      <c r="J945" s="24">
        <f>ROUND(J944-Step_h,2)</f>
        <v>0.78</v>
      </c>
      <c r="K945" s="24">
        <f>J945+Age</f>
        <v>20.78</v>
      </c>
      <c r="L945" s="19">
        <f>B*c_gom^K945</f>
        <v>2.3976325092658437E-3</v>
      </c>
      <c r="M945" s="19">
        <f>N945*delta +Prem-L945*(1-N945)</f>
        <v>8.1087972382040251E-4</v>
      </c>
      <c r="N945" s="26">
        <f>N944-Step_h*M944</f>
        <v>3.979420884128183E-3</v>
      </c>
      <c r="U945" s="2"/>
      <c r="X945" s="2"/>
    </row>
    <row r="946" spans="1:24" x14ac:dyDescent="0.45">
      <c r="A946" s="24">
        <v>9.23</v>
      </c>
      <c r="B946" s="24">
        <f>A946+Age</f>
        <v>29.23</v>
      </c>
      <c r="C946" s="19">
        <f>B*c_gom^B946</f>
        <v>4.9663408886950582E-3</v>
      </c>
      <c r="D946" s="19">
        <f t="shared" si="14"/>
        <v>-4.8118449861013898E-3</v>
      </c>
      <c r="E946" s="26">
        <f>E945+Step_h*D945</f>
        <v>0.96889140192825884</v>
      </c>
      <c r="J946" s="24">
        <f>ROUND(J945-Step_h,2)</f>
        <v>0.77</v>
      </c>
      <c r="K946" s="24">
        <f>J946+Age</f>
        <v>20.77</v>
      </c>
      <c r="L946" s="19">
        <f>B*c_gom^K946</f>
        <v>2.3955671748616559E-3</v>
      </c>
      <c r="M946" s="19">
        <f>N946*delta +Prem-L946*(1-N946)</f>
        <v>8.1251197435932773E-4</v>
      </c>
      <c r="N946" s="26">
        <f>N945-Step_h*M945</f>
        <v>3.971312086889979E-3</v>
      </c>
      <c r="U946" s="2"/>
      <c r="X946" s="2"/>
    </row>
    <row r="947" spans="1:24" x14ac:dyDescent="0.45">
      <c r="A947" s="24">
        <v>9.24</v>
      </c>
      <c r="B947" s="24">
        <f>A947+Age</f>
        <v>29.240000000000002</v>
      </c>
      <c r="C947" s="19">
        <f>B*c_gom^B947</f>
        <v>4.970622611540478E-3</v>
      </c>
      <c r="D947" s="19">
        <f t="shared" si="14"/>
        <v>-4.8157543318968462E-3</v>
      </c>
      <c r="E947" s="26">
        <f>E946+Step_h*D946</f>
        <v>0.96884328347839788</v>
      </c>
      <c r="J947" s="24">
        <f>ROUND(J946-Step_h,2)</f>
        <v>0.76</v>
      </c>
      <c r="K947" s="24">
        <f>J947+Age</f>
        <v>20.76</v>
      </c>
      <c r="L947" s="19">
        <f>B*c_gom^K947</f>
        <v>2.3935036195483783E-3</v>
      </c>
      <c r="M947" s="19">
        <f>N947*delta +Prem-L947*(1-N947)</f>
        <v>8.1414163115975293E-4</v>
      </c>
      <c r="N947" s="26">
        <f>N946-Step_h*M946</f>
        <v>3.963186967146386E-3</v>
      </c>
      <c r="U947" s="2"/>
      <c r="X947" s="2"/>
    </row>
    <row r="948" spans="1:24" x14ac:dyDescent="0.45">
      <c r="A948" s="24">
        <v>9.25</v>
      </c>
      <c r="B948" s="24">
        <f>A948+Age</f>
        <v>29.25</v>
      </c>
      <c r="C948" s="19">
        <f>B*c_gom^B948</f>
        <v>4.9749080258663925E-3</v>
      </c>
      <c r="D948" s="19">
        <f t="shared" si="14"/>
        <v>-4.819666647434666E-3</v>
      </c>
      <c r="E948" s="26">
        <f>E947+Step_h*D947</f>
        <v>0.96879512593507888</v>
      </c>
      <c r="J948" s="24">
        <f>ROUND(J947-Step_h,2)</f>
        <v>0.75</v>
      </c>
      <c r="K948" s="24">
        <f>J948+Age</f>
        <v>20.75</v>
      </c>
      <c r="L948" s="19">
        <f>B*c_gom^K948</f>
        <v>2.3914418417934906E-3</v>
      </c>
      <c r="M948" s="19">
        <f>N948*delta +Prem-L948*(1-N948)</f>
        <v>8.1576869716471455E-4</v>
      </c>
      <c r="N948" s="26">
        <f>N947-Step_h*M947</f>
        <v>3.9550455508347883E-3</v>
      </c>
      <c r="U948" s="2"/>
      <c r="X948" s="2"/>
    </row>
    <row r="949" spans="1:24" x14ac:dyDescent="0.45">
      <c r="A949" s="24">
        <v>9.26</v>
      </c>
      <c r="B949" s="24">
        <f>A949+Age</f>
        <v>29.259999999999998</v>
      </c>
      <c r="C949" s="19">
        <f>B*c_gom^B949</f>
        <v>4.9791971348554075E-3</v>
      </c>
      <c r="D949" s="19">
        <f t="shared" si="14"/>
        <v>-4.8235819346142093E-3</v>
      </c>
      <c r="E949" s="26">
        <f>E948+Step_h*D948</f>
        <v>0.96874692926860451</v>
      </c>
      <c r="J949" s="24">
        <f>ROUND(J948-Step_h,2)</f>
        <v>0.74</v>
      </c>
      <c r="K949" s="24">
        <f>J949+Age</f>
        <v>20.74</v>
      </c>
      <c r="L949" s="19">
        <f>B*c_gom^K949</f>
        <v>2.3893818400657937E-3</v>
      </c>
      <c r="M949" s="19">
        <f>N949*delta +Prem-L949*(1-N949)</f>
        <v>8.173931753140541E-4</v>
      </c>
      <c r="N949" s="26">
        <f>N948-Step_h*M948</f>
        <v>3.9468878638631412E-3</v>
      </c>
      <c r="U949" s="2"/>
      <c r="X949" s="2"/>
    </row>
    <row r="950" spans="1:24" x14ac:dyDescent="0.45">
      <c r="A950" s="24">
        <v>9.27</v>
      </c>
      <c r="B950" s="24">
        <f>A950+Age</f>
        <v>29.27</v>
      </c>
      <c r="C950" s="19">
        <f>B*c_gom^B950</f>
        <v>4.9834899416928719E-3</v>
      </c>
      <c r="D950" s="19">
        <f t="shared" si="14"/>
        <v>-4.827500195335406E-3</v>
      </c>
      <c r="E950" s="26">
        <f>E949+Step_h*D949</f>
        <v>0.96869869344925841</v>
      </c>
      <c r="J950" s="24">
        <f>ROUND(J949-Step_h,2)</f>
        <v>0.73</v>
      </c>
      <c r="K950" s="24">
        <f>J950+Age</f>
        <v>20.73</v>
      </c>
      <c r="L950" s="19">
        <f>B*c_gom^K950</f>
        <v>2.3873236128354089E-3</v>
      </c>
      <c r="M950" s="19">
        <f>N950*delta +Prem-L950*(1-N950)</f>
        <v>8.190150685444212E-4</v>
      </c>
      <c r="N950" s="26">
        <f>N949-Step_h*M949</f>
        <v>3.9387139321100011E-3</v>
      </c>
      <c r="U950" s="2"/>
      <c r="X950" s="2"/>
    </row>
    <row r="951" spans="1:24" x14ac:dyDescent="0.45">
      <c r="A951" s="24">
        <v>9.2799999999999994</v>
      </c>
      <c r="B951" s="24">
        <f>A951+Age</f>
        <v>29.28</v>
      </c>
      <c r="C951" s="19">
        <f>B*c_gom^B951</f>
        <v>4.9877864495668752E-3</v>
      </c>
      <c r="D951" s="19">
        <f t="shared" si="14"/>
        <v>-4.8314214314987515E-3</v>
      </c>
      <c r="E951" s="26">
        <f>E950+Step_h*D950</f>
        <v>0.96865041844730504</v>
      </c>
      <c r="J951" s="24">
        <f>ROUND(J950-Step_h,2)</f>
        <v>0.72</v>
      </c>
      <c r="K951" s="24">
        <f>J951+Age</f>
        <v>20.72</v>
      </c>
      <c r="L951" s="19">
        <f>B*c_gom^K951</f>
        <v>2.3852671585737721E-3</v>
      </c>
      <c r="M951" s="19">
        <f>N951*delta +Prem-L951*(1-N951)</f>
        <v>8.2063437978928096E-4</v>
      </c>
      <c r="N951" s="26">
        <f>N950-Step_h*M950</f>
        <v>3.930523781424557E-3</v>
      </c>
      <c r="U951" s="2"/>
      <c r="X951" s="2"/>
    </row>
    <row r="952" spans="1:24" x14ac:dyDescent="0.45">
      <c r="A952" s="24">
        <v>9.2900000000000009</v>
      </c>
      <c r="B952" s="24">
        <f>A952+Age</f>
        <v>29.29</v>
      </c>
      <c r="C952" s="19">
        <f>B*c_gom^B952</f>
        <v>4.9920866616682633E-3</v>
      </c>
      <c r="D952" s="19">
        <f t="shared" si="14"/>
        <v>-4.835345645005323E-3</v>
      </c>
      <c r="E952" s="26">
        <f>E951+Step_h*D951</f>
        <v>0.96860210423299009</v>
      </c>
      <c r="J952" s="24">
        <f>ROUND(J951-Step_h,2)</f>
        <v>0.71</v>
      </c>
      <c r="K952" s="24">
        <f>J952+Age</f>
        <v>20.71</v>
      </c>
      <c r="L952" s="19">
        <f>B*c_gom^K952</f>
        <v>2.38321247575364E-3</v>
      </c>
      <c r="M952" s="19">
        <f>N952*delta +Prem-L952*(1-N952)</f>
        <v>8.2225111197891136E-4</v>
      </c>
      <c r="N952" s="26">
        <f>N951-Step_h*M951</f>
        <v>3.9223174376266639E-3</v>
      </c>
      <c r="U952" s="2"/>
      <c r="X952" s="2"/>
    </row>
    <row r="953" spans="1:24" x14ac:dyDescent="0.45">
      <c r="A953" s="24">
        <v>9.3000000000000007</v>
      </c>
      <c r="B953" s="24">
        <f>A953+Age</f>
        <v>29.3</v>
      </c>
      <c r="C953" s="19">
        <f>B*c_gom^B953</f>
        <v>4.9963905811906319E-3</v>
      </c>
      <c r="D953" s="19">
        <f t="shared" si="14"/>
        <v>-4.8392728377567636E-3</v>
      </c>
      <c r="E953" s="26">
        <f>E952+Step_h*D952</f>
        <v>0.96855375077654005</v>
      </c>
      <c r="J953" s="24">
        <f>ROUND(J952-Step_h,2)</f>
        <v>0.7</v>
      </c>
      <c r="K953" s="24">
        <f>J953+Age</f>
        <v>20.7</v>
      </c>
      <c r="L953" s="19">
        <f>B*c_gom^K953</f>
        <v>2.3811595628490806E-3</v>
      </c>
      <c r="M953" s="19">
        <f>N953*delta +Prem-L953*(1-N953)</f>
        <v>8.238652680404141E-4</v>
      </c>
      <c r="N953" s="26">
        <f>N952-Step_h*M952</f>
        <v>3.9140949265068746E-3</v>
      </c>
      <c r="U953" s="2"/>
      <c r="X953" s="2"/>
    </row>
    <row r="954" spans="1:24" x14ac:dyDescent="0.45">
      <c r="A954" s="24">
        <v>9.31</v>
      </c>
      <c r="B954" s="24">
        <f>A954+Age</f>
        <v>29.310000000000002</v>
      </c>
      <c r="C954" s="19">
        <f>B*c_gom^B954</f>
        <v>5.0006982113303226E-3</v>
      </c>
      <c r="D954" s="19">
        <f t="shared" si="14"/>
        <v>-4.84320301165528E-3</v>
      </c>
      <c r="E954" s="26">
        <f>E953+Step_h*D953</f>
        <v>0.96850535804816251</v>
      </c>
      <c r="J954" s="24">
        <f>ROUND(J953-Step_h,2)</f>
        <v>0.69</v>
      </c>
      <c r="K954" s="24">
        <f>J954+Age</f>
        <v>20.69</v>
      </c>
      <c r="L954" s="19">
        <f>B*c_gom^K954</f>
        <v>2.3791084183354804E-3</v>
      </c>
      <c r="M954" s="19">
        <f>N954*delta +Prem-L954*(1-N954)</f>
        <v>8.2547685089771243E-4</v>
      </c>
      <c r="N954" s="26">
        <f>N953-Step_h*M953</f>
        <v>3.9058562738264703E-3</v>
      </c>
      <c r="U954" s="2"/>
      <c r="X954" s="2"/>
    </row>
    <row r="955" spans="1:24" x14ac:dyDescent="0.45">
      <c r="A955" s="24">
        <v>9.32</v>
      </c>
      <c r="B955" s="24">
        <f>A955+Age</f>
        <v>29.32</v>
      </c>
      <c r="C955" s="19">
        <f>B*c_gom^B955</f>
        <v>5.0050095552864413E-3</v>
      </c>
      <c r="D955" s="19">
        <f t="shared" si="14"/>
        <v>-4.8471361686036546E-3</v>
      </c>
      <c r="E955" s="26">
        <f>E954+Step_h*D954</f>
        <v>0.968456926018046</v>
      </c>
      <c r="J955" s="24">
        <f>ROUND(J954-Step_h,2)</f>
        <v>0.68</v>
      </c>
      <c r="K955" s="24">
        <f>J955+Age</f>
        <v>20.68</v>
      </c>
      <c r="L955" s="19">
        <f>B*c_gom^K955</f>
        <v>2.3770590406895355E-3</v>
      </c>
      <c r="M955" s="19">
        <f>N955*delta +Prem-L955*(1-N955)</f>
        <v>8.2708586347155942E-4</v>
      </c>
      <c r="N955" s="26">
        <f>N954-Step_h*M954</f>
        <v>3.8976015053174932E-3</v>
      </c>
      <c r="U955" s="2"/>
      <c r="X955" s="2"/>
    </row>
    <row r="956" spans="1:24" x14ac:dyDescent="0.45">
      <c r="A956" s="24">
        <v>9.33</v>
      </c>
      <c r="B956" s="24">
        <f>A956+Age</f>
        <v>29.33</v>
      </c>
      <c r="C956" s="19">
        <f>B*c_gom^B956</f>
        <v>5.0093246162608487E-3</v>
      </c>
      <c r="D956" s="19">
        <f t="shared" si="14"/>
        <v>-4.8510723105052314E-3</v>
      </c>
      <c r="E956" s="26">
        <f>E955+Step_h*D955</f>
        <v>0.96840845465635994</v>
      </c>
      <c r="J956" s="24">
        <f>ROUND(J955-Step_h,2)</f>
        <v>0.67</v>
      </c>
      <c r="K956" s="24">
        <f>J956+Age</f>
        <v>20.67</v>
      </c>
      <c r="L956" s="19">
        <f>B*c_gom^K956</f>
        <v>2.375011428389257E-3</v>
      </c>
      <c r="M956" s="19">
        <f>N956*delta +Prem-L956*(1-N956)</f>
        <v>8.2869230867953789E-4</v>
      </c>
      <c r="N956" s="26">
        <f>N955-Step_h*M955</f>
        <v>3.8893306466827775E-3</v>
      </c>
      <c r="U956" s="2"/>
      <c r="X956" s="2"/>
    </row>
    <row r="957" spans="1:24" x14ac:dyDescent="0.45">
      <c r="A957" s="24">
        <v>9.34</v>
      </c>
      <c r="B957" s="24">
        <f>A957+Age</f>
        <v>29.34</v>
      </c>
      <c r="C957" s="19">
        <f>B*c_gom^B957</f>
        <v>5.0136433974581696E-3</v>
      </c>
      <c r="D957" s="19">
        <f t="shared" si="14"/>
        <v>-4.8550114392639267E-3</v>
      </c>
      <c r="E957" s="26">
        <f>E956+Step_h*D956</f>
        <v>0.96835994393325486</v>
      </c>
      <c r="J957" s="24">
        <f>ROUND(J956-Step_h,2)</f>
        <v>0.66</v>
      </c>
      <c r="K957" s="24">
        <f>J957+Age</f>
        <v>20.66</v>
      </c>
      <c r="L957" s="19">
        <f>B*c_gom^K957</f>
        <v>2.3729655799139653E-3</v>
      </c>
      <c r="M957" s="19">
        <f>N957*delta +Prem-L957*(1-N957)</f>
        <v>8.3029618943606829E-4</v>
      </c>
      <c r="N957" s="26">
        <f>N956-Step_h*M956</f>
        <v>3.881043723595982E-3</v>
      </c>
      <c r="U957" s="2"/>
      <c r="X957" s="2"/>
    </row>
    <row r="958" spans="1:24" x14ac:dyDescent="0.45">
      <c r="A958" s="24">
        <v>9.35</v>
      </c>
      <c r="B958" s="24">
        <f>A958+Age</f>
        <v>29.35</v>
      </c>
      <c r="C958" s="19">
        <f>B*c_gom^B958</f>
        <v>5.0179659020857812E-3</v>
      </c>
      <c r="D958" s="19">
        <f t="shared" si="14"/>
        <v>-4.8589535567842073E-3</v>
      </c>
      <c r="E958" s="26">
        <f>E957+Step_h*D957</f>
        <v>0.96831139381886222</v>
      </c>
      <c r="J958" s="24">
        <f>ROUND(J957-Step_h,2)</f>
        <v>0.65</v>
      </c>
      <c r="K958" s="24">
        <f>J958+Age</f>
        <v>20.65</v>
      </c>
      <c r="L958" s="19">
        <f>B*c_gom^K958</f>
        <v>2.3709214937442922E-3</v>
      </c>
      <c r="M958" s="19">
        <f>N958*delta +Prem-L958*(1-N958)</f>
        <v>8.3189750865240693E-4</v>
      </c>
      <c r="N958" s="26">
        <f>N957-Step_h*M957</f>
        <v>3.8727407617016214E-3</v>
      </c>
      <c r="U958" s="2"/>
      <c r="X958" s="2"/>
    </row>
    <row r="959" spans="1:24" x14ac:dyDescent="0.45">
      <c r="A959" s="24">
        <v>9.36</v>
      </c>
      <c r="B959" s="24">
        <f>A959+Age</f>
        <v>29.36</v>
      </c>
      <c r="C959" s="19">
        <f>B*c_gom^B959</f>
        <v>5.0222921333538369E-3</v>
      </c>
      <c r="D959" s="19">
        <f t="shared" si="14"/>
        <v>-4.8628986649711147E-3</v>
      </c>
      <c r="E959" s="26">
        <f>E958+Step_h*D958</f>
        <v>0.96826280428329436</v>
      </c>
      <c r="J959" s="24">
        <f>ROUND(J958-Step_h,2)</f>
        <v>0.64</v>
      </c>
      <c r="K959" s="24">
        <f>J959+Age</f>
        <v>20.64</v>
      </c>
      <c r="L959" s="19">
        <f>B*c_gom^K959</f>
        <v>2.3688791683621779E-3</v>
      </c>
      <c r="M959" s="19">
        <f>N959*delta +Prem-L959*(1-N959)</f>
        <v>8.3349626923665465E-4</v>
      </c>
      <c r="N959" s="26">
        <f>N958-Step_h*M958</f>
        <v>3.8644217866150975E-3</v>
      </c>
      <c r="U959" s="2"/>
      <c r="X959" s="2"/>
    </row>
    <row r="960" spans="1:24" x14ac:dyDescent="0.45">
      <c r="A960" s="24">
        <v>9.370000000000001</v>
      </c>
      <c r="B960" s="24">
        <f>A960+Age</f>
        <v>29.37</v>
      </c>
      <c r="C960" s="19">
        <f>B*c_gom^B960</f>
        <v>5.0266220944752563E-3</v>
      </c>
      <c r="D960" s="19">
        <f t="shared" si="14"/>
        <v>-4.8668467657302528E-3</v>
      </c>
      <c r="E960" s="26">
        <f>E959+Step_h*D959</f>
        <v>0.96821417529664466</v>
      </c>
      <c r="J960" s="24">
        <f>ROUND(J959-Step_h,2)</f>
        <v>0.63</v>
      </c>
      <c r="K960" s="24">
        <f>J960+Age</f>
        <v>20.63</v>
      </c>
      <c r="L960" s="19">
        <f>B*c_gom^K960</f>
        <v>2.3668386022508685E-3</v>
      </c>
      <c r="M960" s="19">
        <f>N960*delta +Prem-L960*(1-N960)</f>
        <v>8.3509247409375899E-4</v>
      </c>
      <c r="N960" s="26">
        <f>N959-Step_h*M959</f>
        <v>3.8560868239227311E-3</v>
      </c>
      <c r="U960" s="2"/>
      <c r="X960" s="2"/>
    </row>
    <row r="961" spans="1:24" x14ac:dyDescent="0.45">
      <c r="A961" s="24">
        <v>9.3800000000000008</v>
      </c>
      <c r="B961" s="24">
        <f>A961+Age</f>
        <v>29.380000000000003</v>
      </c>
      <c r="C961" s="19">
        <f>B*c_gom^B961</f>
        <v>5.0309557886657214E-3</v>
      </c>
      <c r="D961" s="19">
        <f t="shared" si="14"/>
        <v>-4.8707978609677759E-3</v>
      </c>
      <c r="E961" s="26">
        <f>E960+Step_h*D960</f>
        <v>0.96816550682898739</v>
      </c>
      <c r="J961" s="24">
        <f>ROUND(J960-Step_h,2)</f>
        <v>0.62</v>
      </c>
      <c r="K961" s="24">
        <f>J961+Age</f>
        <v>20.62</v>
      </c>
      <c r="L961" s="19">
        <f>B*c_gom^K961</f>
        <v>2.3647997938949198E-3</v>
      </c>
      <c r="M961" s="19">
        <f>N961*delta +Prem-L961*(1-N961)</f>
        <v>8.3668612612551683E-4</v>
      </c>
      <c r="N961" s="26">
        <f>N960-Step_h*M960</f>
        <v>3.8477358991817934E-3</v>
      </c>
      <c r="U961" s="2"/>
      <c r="X961" s="2"/>
    </row>
    <row r="962" spans="1:24" x14ac:dyDescent="0.45">
      <c r="A962" s="24">
        <v>9.39</v>
      </c>
      <c r="B962" s="24">
        <f>A962+Age</f>
        <v>29.39</v>
      </c>
      <c r="C962" s="19">
        <f>B*c_gom^B962</f>
        <v>5.0352932191436934E-3</v>
      </c>
      <c r="D962" s="19">
        <f t="shared" si="14"/>
        <v>-4.8747519525904059E-3</v>
      </c>
      <c r="E962" s="26">
        <f>E961+Step_h*D961</f>
        <v>0.96811679885037771</v>
      </c>
      <c r="J962" s="24">
        <f>ROUND(J961-Step_h,2)</f>
        <v>0.61</v>
      </c>
      <c r="K962" s="24">
        <f>J962+Age</f>
        <v>20.61</v>
      </c>
      <c r="L962" s="19">
        <f>B*c_gom^K962</f>
        <v>2.3627627417801889E-3</v>
      </c>
      <c r="M962" s="19">
        <f>N962*delta +Prem-L962*(1-N962)</f>
        <v>8.3827722823058125E-4</v>
      </c>
      <c r="N962" s="26">
        <f>N961-Step_h*M961</f>
        <v>3.8393690379205383E-3</v>
      </c>
      <c r="U962" s="2"/>
      <c r="X962" s="2"/>
    </row>
    <row r="963" spans="1:24" x14ac:dyDescent="0.45">
      <c r="A963" s="24">
        <v>9.4</v>
      </c>
      <c r="B963" s="24">
        <f>A963+Age</f>
        <v>29.4</v>
      </c>
      <c r="C963" s="19">
        <f>B*c_gom^B963</f>
        <v>5.039634389130407E-3</v>
      </c>
      <c r="D963" s="19">
        <f t="shared" si="14"/>
        <v>-4.8787090425054212E-3</v>
      </c>
      <c r="E963" s="26">
        <f>E962+Step_h*D962</f>
        <v>0.96806805133085183</v>
      </c>
      <c r="J963" s="24">
        <f>ROUND(J962-Step_h,2)</f>
        <v>0.6</v>
      </c>
      <c r="K963" s="24">
        <f>J963+Age</f>
        <v>20.6</v>
      </c>
      <c r="L963" s="19">
        <f>B*c_gom^K963</f>
        <v>2.360727444393842E-3</v>
      </c>
      <c r="M963" s="19">
        <f>N963*delta +Prem-L963*(1-N963)</f>
        <v>8.3986578330445816E-4</v>
      </c>
      <c r="N963" s="26">
        <f>N962-Step_h*M962</f>
        <v>3.8309862656382325E-3</v>
      </c>
      <c r="U963" s="2"/>
      <c r="X963" s="2"/>
    </row>
    <row r="964" spans="1:24" x14ac:dyDescent="0.45">
      <c r="A964" s="24">
        <v>9.41</v>
      </c>
      <c r="B964" s="24">
        <f>A964+Age</f>
        <v>29.41</v>
      </c>
      <c r="C964" s="19">
        <f>B*c_gom^B964</f>
        <v>5.0439793018498746E-3</v>
      </c>
      <c r="D964" s="19">
        <f t="shared" si="14"/>
        <v>-4.8826691326206567E-3</v>
      </c>
      <c r="E964" s="26">
        <f>E963+Step_h*D963</f>
        <v>0.96801926424042672</v>
      </c>
      <c r="J964" s="24">
        <f>ROUND(J963-Step_h,2)</f>
        <v>0.59</v>
      </c>
      <c r="K964" s="24">
        <f>J964+Age</f>
        <v>20.59</v>
      </c>
      <c r="L964" s="19">
        <f>B*c_gom^K964</f>
        <v>2.3586939002243441E-3</v>
      </c>
      <c r="M964" s="19">
        <f>N964*delta +Prem-L964*(1-N964)</f>
        <v>8.4145179423951834E-4</v>
      </c>
      <c r="N964" s="26">
        <f>N963-Step_h*M963</f>
        <v>3.8225876078051878E-3</v>
      </c>
      <c r="U964" s="2"/>
      <c r="X964" s="2"/>
    </row>
    <row r="965" spans="1:24" x14ac:dyDescent="0.45">
      <c r="A965" s="24">
        <v>9.42</v>
      </c>
      <c r="B965" s="24">
        <f>A965+Age</f>
        <v>29.42</v>
      </c>
      <c r="C965" s="19">
        <f>B*c_gom^B965</f>
        <v>5.0483279605288882E-3</v>
      </c>
      <c r="D965" s="19">
        <f t="shared" si="14"/>
        <v>-4.886632224844506E-3</v>
      </c>
      <c r="E965" s="26">
        <f>E964+Step_h*D964</f>
        <v>0.9679704375491005</v>
      </c>
      <c r="J965" s="24">
        <f>ROUND(J964-Step_h,2)</f>
        <v>0.57999999999999996</v>
      </c>
      <c r="K965" s="24">
        <f>J965+Age</f>
        <v>20.58</v>
      </c>
      <c r="L965" s="19">
        <f>B*c_gom^K965</f>
        <v>2.3566621077614649E-3</v>
      </c>
      <c r="M965" s="19">
        <f>N965*delta +Prem-L965*(1-N965)</f>
        <v>8.4303526392499797E-4</v>
      </c>
      <c r="N965" s="26">
        <f>N964-Step_h*M964</f>
        <v>3.8141730898627927E-3</v>
      </c>
      <c r="U965" s="2"/>
      <c r="X965" s="2"/>
    </row>
    <row r="966" spans="1:24" x14ac:dyDescent="0.45">
      <c r="A966" s="24">
        <v>9.43</v>
      </c>
      <c r="B966" s="24">
        <f>A966+Age</f>
        <v>29.43</v>
      </c>
      <c r="C966" s="19">
        <f>B*c_gom^B966</f>
        <v>5.0526803683970173E-3</v>
      </c>
      <c r="D966" s="19">
        <f t="shared" si="14"/>
        <v>-4.8905983210859108E-3</v>
      </c>
      <c r="E966" s="26">
        <f>E965+Step_h*D965</f>
        <v>0.96792157122685207</v>
      </c>
      <c r="J966" s="24">
        <f>ROUND(J965-Step_h,2)</f>
        <v>0.56999999999999995</v>
      </c>
      <c r="K966" s="24">
        <f>J966+Age</f>
        <v>20.57</v>
      </c>
      <c r="L966" s="19">
        <f>B*c_gom^K966</f>
        <v>2.3546320654962748E-3</v>
      </c>
      <c r="M966" s="19">
        <f>N966*delta +Prem-L966*(1-N966)</f>
        <v>8.4461619524699855E-4</v>
      </c>
      <c r="N966" s="26">
        <f>N965-Step_h*M965</f>
        <v>3.8057427372235426E-3</v>
      </c>
      <c r="U966" s="2"/>
      <c r="X966" s="2"/>
    </row>
    <row r="967" spans="1:24" x14ac:dyDescent="0.45">
      <c r="A967" s="24">
        <v>9.44</v>
      </c>
      <c r="B967" s="24">
        <f>A967+Age</f>
        <v>29.439999999999998</v>
      </c>
      <c r="C967" s="19">
        <f>B*c_gom^B967</f>
        <v>5.0570365286866205E-3</v>
      </c>
      <c r="D967" s="19">
        <f t="shared" si="14"/>
        <v>-4.8945674232543706E-3</v>
      </c>
      <c r="E967" s="26">
        <f>E966+Step_h*D966</f>
        <v>0.96787266524364124</v>
      </c>
      <c r="J967" s="24">
        <f>ROUND(J966-Step_h,2)</f>
        <v>0.56000000000000005</v>
      </c>
      <c r="K967" s="24">
        <f>J967+Age</f>
        <v>20.56</v>
      </c>
      <c r="L967" s="19">
        <f>B*c_gom^K967</f>
        <v>2.3526037719211424E-3</v>
      </c>
      <c r="M967" s="19">
        <f>N967*delta +Prem-L967*(1-N967)</f>
        <v>8.4619459108849692E-4</v>
      </c>
      <c r="N967" s="26">
        <f>N966-Step_h*M966</f>
        <v>3.7972965752710724E-3</v>
      </c>
      <c r="U967" s="2"/>
      <c r="X967" s="2"/>
    </row>
    <row r="968" spans="1:24" x14ac:dyDescent="0.45">
      <c r="A968" s="24">
        <v>9.4500000000000011</v>
      </c>
      <c r="B968" s="24">
        <f>A968+Age</f>
        <v>29.450000000000003</v>
      </c>
      <c r="C968" s="19">
        <f>B*c_gom^B968</f>
        <v>5.0613964446328454E-3</v>
      </c>
      <c r="D968" s="19">
        <f t="shared" si="14"/>
        <v>-4.8985395332599409E-3</v>
      </c>
      <c r="E968" s="26">
        <f>E967+Step_h*D967</f>
        <v>0.96782371956940871</v>
      </c>
      <c r="J968" s="24">
        <f>ROUND(J967-Step_h,2)</f>
        <v>0.55000000000000004</v>
      </c>
      <c r="K968" s="24">
        <f>J968+Age</f>
        <v>20.55</v>
      </c>
      <c r="L968" s="19">
        <f>B*c_gom^K968</f>
        <v>2.3505772255297372E-3</v>
      </c>
      <c r="M968" s="19">
        <f>N968*delta +Prem-L968*(1-N968)</f>
        <v>8.4777045432934441E-4</v>
      </c>
      <c r="N968" s="26">
        <f>N967-Step_h*M967</f>
        <v>3.7888346293601873E-3</v>
      </c>
      <c r="U968" s="2"/>
      <c r="X968" s="2"/>
    </row>
    <row r="969" spans="1:24" x14ac:dyDescent="0.45">
      <c r="A969" s="24">
        <v>9.4600000000000009</v>
      </c>
      <c r="B969" s="24">
        <f>A969+Age</f>
        <v>29.46</v>
      </c>
      <c r="C969" s="19">
        <f>B*c_gom^B969</f>
        <v>5.0657601194736201E-3</v>
      </c>
      <c r="D969" s="19">
        <f t="shared" si="14"/>
        <v>-4.9025146530132183E-3</v>
      </c>
      <c r="E969" s="26">
        <f>E968+Step_h*D968</f>
        <v>0.96777473417407611</v>
      </c>
      <c r="J969" s="24">
        <f>ROUND(J968-Step_h,2)</f>
        <v>0.54</v>
      </c>
      <c r="K969" s="24">
        <f>J969+Age</f>
        <v>20.54</v>
      </c>
      <c r="L969" s="19">
        <f>B*c_gom^K969</f>
        <v>2.3485524248170239E-3</v>
      </c>
      <c r="M969" s="19">
        <f>N969*delta +Prem-L969*(1-N969)</f>
        <v>8.493437878462737E-4</v>
      </c>
      <c r="N969" s="26">
        <f>N968-Step_h*M968</f>
        <v>3.780356924816894E-3</v>
      </c>
      <c r="U969" s="2"/>
      <c r="X969" s="2"/>
    </row>
    <row r="970" spans="1:24" x14ac:dyDescent="0.45">
      <c r="A970" s="24">
        <v>9.4700000000000006</v>
      </c>
      <c r="B970" s="24">
        <f>A970+Age</f>
        <v>29.47</v>
      </c>
      <c r="C970" s="19">
        <f>B*c_gom^B970</f>
        <v>5.0701275564496717E-3</v>
      </c>
      <c r="D970" s="19">
        <f t="shared" si="14"/>
        <v>-4.9064927844253573E-3</v>
      </c>
      <c r="E970" s="26">
        <f>E969+Step_h*D969</f>
        <v>0.96772570902754596</v>
      </c>
      <c r="J970" s="24">
        <f>ROUND(J969-Step_h,2)</f>
        <v>0.53</v>
      </c>
      <c r="K970" s="24">
        <f>J970+Age</f>
        <v>20.53</v>
      </c>
      <c r="L970" s="19">
        <f>B*c_gom^K970</f>
        <v>2.3465293682792656E-3</v>
      </c>
      <c r="M970" s="19">
        <f>N970*delta +Prem-L970*(1-N970)</f>
        <v>8.5091459451289717E-4</v>
      </c>
      <c r="N970" s="26">
        <f>N969-Step_h*M969</f>
        <v>3.7718634869384313E-3</v>
      </c>
      <c r="U970" s="2"/>
      <c r="X970" s="2"/>
    </row>
    <row r="971" spans="1:24" x14ac:dyDescent="0.45">
      <c r="A971" s="24">
        <v>9.48</v>
      </c>
      <c r="B971" s="24">
        <f>A971+Age</f>
        <v>29.48</v>
      </c>
      <c r="C971" s="19">
        <f>B*c_gom^B971</f>
        <v>5.0744987588045203E-3</v>
      </c>
      <c r="D971" s="19">
        <f t="shared" si="14"/>
        <v>-4.9104739294080595E-3</v>
      </c>
      <c r="E971" s="26">
        <f>E970+Step_h*D970</f>
        <v>0.96767664409970167</v>
      </c>
      <c r="J971" s="24">
        <f>ROUND(J970-Step_h,2)</f>
        <v>0.52</v>
      </c>
      <c r="K971" s="24">
        <f>J971+Age</f>
        <v>20.52</v>
      </c>
      <c r="L971" s="19">
        <f>B*c_gom^K971</f>
        <v>2.3445080544140197E-3</v>
      </c>
      <c r="M971" s="19">
        <f>N971*delta +Prem-L971*(1-N971)</f>
        <v>8.5248287719971857E-4</v>
      </c>
      <c r="N971" s="26">
        <f>N970-Step_h*M970</f>
        <v>3.7633543409933022E-3</v>
      </c>
      <c r="U971" s="2"/>
      <c r="X971" s="2"/>
    </row>
    <row r="972" spans="1:24" x14ac:dyDescent="0.45">
      <c r="A972" s="24">
        <v>9.49</v>
      </c>
      <c r="B972" s="24">
        <f>A972+Age</f>
        <v>29.490000000000002</v>
      </c>
      <c r="C972" s="19">
        <f>B*c_gom^B972</f>
        <v>5.0788737297844822E-3</v>
      </c>
      <c r="D972" s="19">
        <f t="shared" si="14"/>
        <v>-4.9144580898735739E-3</v>
      </c>
      <c r="E972" s="26">
        <f>E971+Step_h*D971</f>
        <v>0.96762753936040757</v>
      </c>
      <c r="J972" s="24">
        <f>ROUND(J971-Step_h,2)</f>
        <v>0.51</v>
      </c>
      <c r="K972" s="24">
        <f>J972+Age</f>
        <v>20.51</v>
      </c>
      <c r="L972" s="19">
        <f>B*c_gom^K972</f>
        <v>2.3424884817201392E-3</v>
      </c>
      <c r="M972" s="19">
        <f>N972*delta +Prem-L972*(1-N972)</f>
        <v>8.5404863877412739E-4</v>
      </c>
      <c r="N972" s="26">
        <f>N971-Step_h*M971</f>
        <v>3.7548295122213052E-3</v>
      </c>
      <c r="U972" s="2"/>
      <c r="X972" s="2"/>
    </row>
    <row r="973" spans="1:24" x14ac:dyDescent="0.45">
      <c r="A973" s="24">
        <v>9.5</v>
      </c>
      <c r="B973" s="24">
        <f>A973+Age</f>
        <v>29.5</v>
      </c>
      <c r="C973" s="19">
        <f>B*c_gom^B973</f>
        <v>5.0832524726386668E-3</v>
      </c>
      <c r="D973" s="19">
        <f t="shared" si="14"/>
        <v>-4.9184452677346899E-3</v>
      </c>
      <c r="E973" s="26">
        <f>E972+Step_h*D972</f>
        <v>0.9675783947795088</v>
      </c>
      <c r="J973" s="24">
        <f>ROUND(J972-Step_h,2)</f>
        <v>0.5</v>
      </c>
      <c r="K973" s="24">
        <f>J973+Age</f>
        <v>20.5</v>
      </c>
      <c r="L973" s="19">
        <f>B*c_gom^K973</f>
        <v>2.3404706486977668E-3</v>
      </c>
      <c r="M973" s="19">
        <f>N973*delta +Prem-L973*(1-N973)</f>
        <v>8.5561188210041316E-4</v>
      </c>
      <c r="N973" s="26">
        <f>N972-Step_h*M972</f>
        <v>3.7462890258335639E-3</v>
      </c>
      <c r="U973" s="2"/>
      <c r="X973" s="2"/>
    </row>
    <row r="974" spans="1:24" x14ac:dyDescent="0.45">
      <c r="A974" s="24">
        <v>9.51</v>
      </c>
      <c r="B974" s="24">
        <f>A974+Age</f>
        <v>29.509999999999998</v>
      </c>
      <c r="C974" s="19">
        <f>B*c_gom^B974</f>
        <v>5.0876349906189928E-3</v>
      </c>
      <c r="D974" s="19">
        <f t="shared" si="14"/>
        <v>-4.9224354649047512E-3</v>
      </c>
      <c r="E974" s="26">
        <f>E973+Step_h*D973</f>
        <v>0.96752921032683148</v>
      </c>
      <c r="J974" s="24">
        <f>ROUND(J973-Step_h,2)</f>
        <v>0.49</v>
      </c>
      <c r="K974" s="24">
        <f>J974+Age</f>
        <v>20.49</v>
      </c>
      <c r="L974" s="19">
        <f>B*c_gom^K974</f>
        <v>2.3384545538483411E-3</v>
      </c>
      <c r="M974" s="19">
        <f>N974*delta +Prem-L974*(1-N974)</f>
        <v>8.5717261003975895E-4</v>
      </c>
      <c r="N974" s="26">
        <f>N973-Step_h*M973</f>
        <v>3.7377329070125598E-3</v>
      </c>
      <c r="U974" s="2"/>
      <c r="X974" s="2"/>
    </row>
    <row r="975" spans="1:24" x14ac:dyDescent="0.45">
      <c r="A975" s="24">
        <v>9.52</v>
      </c>
      <c r="B975" s="24">
        <f>A975+Age</f>
        <v>29.52</v>
      </c>
      <c r="C975" s="19">
        <f>B*c_gom^B975</f>
        <v>5.0920212869801779E-3</v>
      </c>
      <c r="D975" s="19">
        <f t="shared" si="14"/>
        <v>-4.9264286832976364E-3</v>
      </c>
      <c r="E975" s="26">
        <f>E974+Step_h*D974</f>
        <v>0.96747998597218243</v>
      </c>
      <c r="J975" s="24">
        <f>ROUND(J974-Step_h,2)</f>
        <v>0.48</v>
      </c>
      <c r="K975" s="24">
        <f>J975+Age</f>
        <v>20.48</v>
      </c>
      <c r="L975" s="19">
        <f>B*c_gom^K975</f>
        <v>2.3364401956745906E-3</v>
      </c>
      <c r="M975" s="19">
        <f>N975*delta +Prem-L975*(1-N975)</f>
        <v>8.5873082545025008E-4</v>
      </c>
      <c r="N975" s="26">
        <f>N974-Step_h*M974</f>
        <v>3.7291611809121624E-3</v>
      </c>
      <c r="U975" s="2"/>
      <c r="X975" s="2"/>
    </row>
    <row r="976" spans="1:24" x14ac:dyDescent="0.45">
      <c r="A976" s="24">
        <v>9.5299999999999994</v>
      </c>
      <c r="B976" s="24">
        <f>A976+Age</f>
        <v>29.53</v>
      </c>
      <c r="C976" s="19">
        <f>B*c_gom^B976</f>
        <v>5.0964113649797499E-3</v>
      </c>
      <c r="D976" s="19">
        <f t="shared" si="14"/>
        <v>-4.930424924827777E-3</v>
      </c>
      <c r="E976" s="26">
        <f>E975+Step_h*D975</f>
        <v>0.96743072168534949</v>
      </c>
      <c r="J976" s="24">
        <f>ROUND(J975-Step_h,2)</f>
        <v>0.47</v>
      </c>
      <c r="K976" s="24">
        <f>J976+Age</f>
        <v>20.47</v>
      </c>
      <c r="L976" s="19">
        <f>B*c_gom^K976</f>
        <v>2.3344275726805306E-3</v>
      </c>
      <c r="M976" s="19">
        <f>N976*delta +Prem-L976*(1-N976)</f>
        <v>8.6028653118687924E-4</v>
      </c>
      <c r="N976" s="26">
        <f>N975-Step_h*M975</f>
        <v>3.7205738726576597E-3</v>
      </c>
      <c r="U976" s="2"/>
      <c r="X976" s="2"/>
    </row>
    <row r="977" spans="1:24" x14ac:dyDescent="0.45">
      <c r="A977" s="24">
        <v>9.5400000000000009</v>
      </c>
      <c r="B977" s="24">
        <f>A977+Age</f>
        <v>29.54</v>
      </c>
      <c r="C977" s="19">
        <f>B*c_gom^B977</f>
        <v>5.1008052278780384E-3</v>
      </c>
      <c r="D977" s="19">
        <f t="shared" si="14"/>
        <v>-4.9344241914101323E-3</v>
      </c>
      <c r="E977" s="26">
        <f>E976+Step_h*D976</f>
        <v>0.96738141743610118</v>
      </c>
      <c r="J977" s="24">
        <f>ROUND(J976-Step_h,2)</f>
        <v>0.46</v>
      </c>
      <c r="K977" s="24">
        <f>J977+Age</f>
        <v>20.46</v>
      </c>
      <c r="L977" s="19">
        <f>B*c_gom^K977</f>
        <v>2.33241668337147E-3</v>
      </c>
      <c r="M977" s="19">
        <f>N977*delta +Prem-L977*(1-N977)</f>
        <v>8.6183973010154399E-4</v>
      </c>
      <c r="N977" s="26">
        <f>N976-Step_h*M976</f>
        <v>3.7119710073457907E-3</v>
      </c>
      <c r="U977" s="2"/>
      <c r="X977" s="2"/>
    </row>
    <row r="978" spans="1:24" x14ac:dyDescent="0.45">
      <c r="A978" s="24">
        <v>9.5500000000000007</v>
      </c>
      <c r="B978" s="24">
        <f>A978+Age</f>
        <v>29.55</v>
      </c>
      <c r="C978" s="19">
        <f>B*c_gom^B978</f>
        <v>5.1052028789381892E-3</v>
      </c>
      <c r="D978" s="19">
        <f t="shared" si="14"/>
        <v>-4.938426484960211E-3</v>
      </c>
      <c r="E978" s="26">
        <f>E977+Step_h*D977</f>
        <v>0.96733207319418713</v>
      </c>
      <c r="J978" s="24">
        <f>ROUND(J977-Step_h,2)</f>
        <v>0.45</v>
      </c>
      <c r="K978" s="24">
        <f>J978+Age</f>
        <v>20.45</v>
      </c>
      <c r="L978" s="19">
        <f>B*c_gom^K978</f>
        <v>2.3304075262540005E-3</v>
      </c>
      <c r="M978" s="19">
        <f>N978*delta +Prem-L978*(1-N978)</f>
        <v>8.6339042504305925E-4</v>
      </c>
      <c r="N978" s="26">
        <f>N977-Step_h*M977</f>
        <v>3.7033526100447751E-3</v>
      </c>
      <c r="U978" s="2"/>
      <c r="X978" s="2"/>
    </row>
    <row r="979" spans="1:24" x14ac:dyDescent="0.45">
      <c r="A979" s="24">
        <v>9.56</v>
      </c>
      <c r="B979" s="24">
        <f>A979+Age</f>
        <v>29.560000000000002</v>
      </c>
      <c r="C979" s="19">
        <f>B*c_gom^B979</f>
        <v>5.1096043214261628E-3</v>
      </c>
      <c r="D979" s="19">
        <f t="shared" si="14"/>
        <v>-4.9424318073940619E-3</v>
      </c>
      <c r="E979" s="26">
        <f>E978+Step_h*D978</f>
        <v>0.96728268892933755</v>
      </c>
      <c r="J979" s="24">
        <f>ROUND(J978-Step_h,2)</f>
        <v>0.44</v>
      </c>
      <c r="K979" s="24">
        <f>J979+Age</f>
        <v>20.440000000000001</v>
      </c>
      <c r="L979" s="19">
        <f>B*c_gom^K979</f>
        <v>2.3284000998360036E-3</v>
      </c>
      <c r="M979" s="19">
        <f>N979*delta +Prem-L979*(1-N979)</f>
        <v>8.6493861885715128E-4</v>
      </c>
      <c r="N979" s="26">
        <f>N978-Step_h*M978</f>
        <v>3.6947187057943445E-3</v>
      </c>
      <c r="U979" s="2"/>
      <c r="X979" s="2"/>
    </row>
    <row r="980" spans="1:24" x14ac:dyDescent="0.45">
      <c r="A980" s="24">
        <v>9.57</v>
      </c>
      <c r="B980" s="24">
        <f>A980+Age</f>
        <v>29.57</v>
      </c>
      <c r="C980" s="19">
        <f>B*c_gom^B980</f>
        <v>5.1140095586107272E-3</v>
      </c>
      <c r="D980" s="19">
        <f t="shared" si="14"/>
        <v>-4.9464401606282606E-3</v>
      </c>
      <c r="E980" s="26">
        <f>E979+Step_h*D979</f>
        <v>0.96723326461126358</v>
      </c>
      <c r="J980" s="24">
        <f>ROUND(J979-Step_h,2)</f>
        <v>0.43</v>
      </c>
      <c r="K980" s="24">
        <f>J980+Age</f>
        <v>20.43</v>
      </c>
      <c r="L980" s="19">
        <f>B*c_gom^K980</f>
        <v>2.3263944026266437E-3</v>
      </c>
      <c r="M980" s="19">
        <f>N980*delta +Prem-L980*(1-N980)</f>
        <v>8.6648431438646938E-4</v>
      </c>
      <c r="N980" s="26">
        <f>N979-Step_h*M979</f>
        <v>3.686069319605773E-3</v>
      </c>
      <c r="U980" s="2"/>
      <c r="X980" s="2"/>
    </row>
    <row r="981" spans="1:24" x14ac:dyDescent="0.45">
      <c r="A981" s="24">
        <v>9.58</v>
      </c>
      <c r="B981" s="24">
        <f>A981+Age</f>
        <v>29.58</v>
      </c>
      <c r="C981" s="19">
        <f>B*c_gom^B981</f>
        <v>5.1184185937634755E-3</v>
      </c>
      <c r="D981" s="19">
        <f t="shared" si="14"/>
        <v>-4.9504515465799287E-3</v>
      </c>
      <c r="E981" s="26">
        <f>E980+Step_h*D980</f>
        <v>0.96718380020965733</v>
      </c>
      <c r="J981" s="24">
        <f>ROUND(J980-Step_h,2)</f>
        <v>0.42</v>
      </c>
      <c r="K981" s="24">
        <f>J981+Age</f>
        <v>20.420000000000002</v>
      </c>
      <c r="L981" s="19">
        <f>B*c_gom^K981</f>
        <v>2.3243904331363718E-3</v>
      </c>
      <c r="M981" s="19">
        <f>N981*delta +Prem-L981*(1-N981)</f>
        <v>8.6802751447058457E-4</v>
      </c>
      <c r="N981" s="26">
        <f>N980-Step_h*M980</f>
        <v>3.6774044764619081E-3</v>
      </c>
      <c r="U981" s="2"/>
      <c r="X981" s="2"/>
    </row>
    <row r="982" spans="1:24" x14ac:dyDescent="0.45">
      <c r="A982" s="24">
        <v>9.59</v>
      </c>
      <c r="B982" s="24">
        <f>A982+Age</f>
        <v>29.59</v>
      </c>
      <c r="C982" s="19">
        <f>B*c_gom^B982</f>
        <v>5.1228314301588257E-3</v>
      </c>
      <c r="D982" s="19">
        <f t="shared" si="14"/>
        <v>-4.9544659671667234E-3</v>
      </c>
      <c r="E982" s="26">
        <f>E981+Step_h*D981</f>
        <v>0.96713429569419151</v>
      </c>
      <c r="J982" s="24">
        <f>ROUND(J981-Step_h,2)</f>
        <v>0.41</v>
      </c>
      <c r="K982" s="24">
        <f>J982+Age</f>
        <v>20.41</v>
      </c>
      <c r="L982" s="19">
        <f>B*c_gom^K982</f>
        <v>2.3223881898769196E-3</v>
      </c>
      <c r="M982" s="19">
        <f>N982*delta +Prem-L982*(1-N982)</f>
        <v>8.6956822194599525E-4</v>
      </c>
      <c r="N982" s="26">
        <f>N981-Step_h*M981</f>
        <v>3.6687242013172024E-3</v>
      </c>
      <c r="U982" s="2"/>
      <c r="X982" s="2"/>
    </row>
    <row r="983" spans="1:24" x14ac:dyDescent="0.45">
      <c r="A983" s="24">
        <v>9.6</v>
      </c>
      <c r="B983" s="24">
        <f>A983+Age</f>
        <v>29.6</v>
      </c>
      <c r="C983" s="19">
        <f>B*c_gom^B983</f>
        <v>5.1272480710740087E-3</v>
      </c>
      <c r="D983" s="19">
        <f t="shared" si="14"/>
        <v>-4.9584834243068298E-3</v>
      </c>
      <c r="E983" s="26">
        <f>E982+Step_h*D982</f>
        <v>0.96708475103451985</v>
      </c>
      <c r="J983" s="24">
        <f>ROUND(J982-Step_h,2)</f>
        <v>0.4</v>
      </c>
      <c r="K983" s="24">
        <f>J983+Age</f>
        <v>20.399999999999999</v>
      </c>
      <c r="L983" s="19">
        <f>B*c_gom^K983</f>
        <v>2.3203876713613031E-3</v>
      </c>
      <c r="M983" s="19">
        <f>N983*delta +Prem-L983*(1-N983)</f>
        <v>8.7110643964612936E-4</v>
      </c>
      <c r="N983" s="26">
        <f>N982-Step_h*M982</f>
        <v>3.6600285190977423E-3</v>
      </c>
      <c r="U983" s="2"/>
      <c r="X983" s="2"/>
    </row>
    <row r="984" spans="1:24" x14ac:dyDescent="0.45">
      <c r="A984" s="24">
        <v>9.61</v>
      </c>
      <c r="B984" s="24">
        <f>A984+Age</f>
        <v>29.61</v>
      </c>
      <c r="C984" s="19">
        <f>B*c_gom^B984</f>
        <v>5.1316685197890805E-3</v>
      </c>
      <c r="D984" s="19">
        <f t="shared" ref="D984:D1023" si="15">-E984*C984</f>
        <v>-4.9625039199189614E-3</v>
      </c>
      <c r="E984" s="26">
        <f>E983+Step_h*D983</f>
        <v>0.96703516620027674</v>
      </c>
      <c r="J984" s="24">
        <f>ROUND(J983-Step_h,2)</f>
        <v>0.39</v>
      </c>
      <c r="K984" s="24">
        <f>J984+Age</f>
        <v>20.39</v>
      </c>
      <c r="L984" s="19">
        <f>B*c_gom^K984</f>
        <v>2.3183888761038173E-3</v>
      </c>
      <c r="M984" s="19">
        <f>N984*delta +Prem-L984*(1-N984)</f>
        <v>8.7264217040134958E-4</v>
      </c>
      <c r="N984" s="26">
        <f>N983-Step_h*M983</f>
        <v>3.6513174547012808E-3</v>
      </c>
      <c r="U984" s="2"/>
      <c r="X984" s="2"/>
    </row>
    <row r="985" spans="1:24" x14ac:dyDescent="0.45">
      <c r="A985" s="24">
        <v>9.620000000000001</v>
      </c>
      <c r="B985" s="24">
        <f>A985+Age</f>
        <v>29.62</v>
      </c>
      <c r="C985" s="19">
        <f>B*c_gom^B985</f>
        <v>5.1360927795869385E-3</v>
      </c>
      <c r="D985" s="19">
        <f t="shared" si="15"/>
        <v>-4.9665274559223789E-3</v>
      </c>
      <c r="E985" s="26">
        <f>E984+Step_h*D984</f>
        <v>0.9669855411610776</v>
      </c>
      <c r="J985" s="24">
        <f>ROUND(J984-Step_h,2)</f>
        <v>0.38</v>
      </c>
      <c r="K985" s="24">
        <f>J985+Age</f>
        <v>20.38</v>
      </c>
      <c r="L985" s="19">
        <f>B*c_gom^K985</f>
        <v>2.3163918026200374E-3</v>
      </c>
      <c r="M985" s="19">
        <f>N985*delta +Prem-L985*(1-N985)</f>
        <v>8.7417541703895809E-4</v>
      </c>
      <c r="N985" s="26">
        <f>N984-Step_h*M984</f>
        <v>3.6425910329972674E-3</v>
      </c>
      <c r="U985" s="2"/>
      <c r="X985" s="2"/>
    </row>
    <row r="986" spans="1:24" x14ac:dyDescent="0.45">
      <c r="A986" s="24">
        <v>9.6300000000000008</v>
      </c>
      <c r="B986" s="24">
        <f>A986+Age</f>
        <v>29.630000000000003</v>
      </c>
      <c r="C986" s="19">
        <f>B*c_gom^B986</f>
        <v>5.1405208537532963E-3</v>
      </c>
      <c r="D986" s="19">
        <f t="shared" si="15"/>
        <v>-4.9705540342368567E-3</v>
      </c>
      <c r="E986" s="26">
        <f>E985+Step_h*D985</f>
        <v>0.96693587588651841</v>
      </c>
      <c r="J986" s="24">
        <f>ROUND(J985-Step_h,2)</f>
        <v>0.37</v>
      </c>
      <c r="K986" s="24">
        <f>J986+Age</f>
        <v>20.37</v>
      </c>
      <c r="L986" s="19">
        <f>B*c_gom^K986</f>
        <v>2.3143964494268189E-3</v>
      </c>
      <c r="M986" s="19">
        <f>N986*delta +Prem-L986*(1-N986)</f>
        <v>8.7570618238319445E-4</v>
      </c>
      <c r="N986" s="26">
        <f>N985-Step_h*M985</f>
        <v>3.633849278826878E-3</v>
      </c>
      <c r="U986" s="2"/>
      <c r="X986" s="2"/>
    </row>
    <row r="987" spans="1:24" x14ac:dyDescent="0.45">
      <c r="A987" s="24">
        <v>9.64</v>
      </c>
      <c r="B987" s="24">
        <f>A987+Age</f>
        <v>29.64</v>
      </c>
      <c r="C987" s="19">
        <f>B*c_gom^B987</f>
        <v>5.1449527455767041E-3</v>
      </c>
      <c r="D987" s="19">
        <f t="shared" si="15"/>
        <v>-4.9745836567827032E-3</v>
      </c>
      <c r="E987" s="26">
        <f>E986+Step_h*D986</f>
        <v>0.96688617034617608</v>
      </c>
      <c r="J987" s="24">
        <f>ROUND(J986-Step_h,2)</f>
        <v>0.36</v>
      </c>
      <c r="K987" s="24">
        <f>J987+Age</f>
        <v>20.36</v>
      </c>
      <c r="L987" s="19">
        <f>B*c_gom^K987</f>
        <v>2.3124028150422926E-3</v>
      </c>
      <c r="M987" s="19">
        <f>N987*delta +Prem-L987*(1-N987)</f>
        <v>8.7723446925524551E-4</v>
      </c>
      <c r="N987" s="26">
        <f>N986-Step_h*M986</f>
        <v>3.6250922170030461E-3</v>
      </c>
      <c r="U987" s="2"/>
      <c r="X987" s="2"/>
    </row>
    <row r="988" spans="1:24" x14ac:dyDescent="0.45">
      <c r="A988" s="24">
        <v>9.65</v>
      </c>
      <c r="B988" s="24">
        <f>A988+Age</f>
        <v>29.65</v>
      </c>
      <c r="C988" s="19">
        <f>B*c_gom^B988</f>
        <v>5.1493884583485531E-3</v>
      </c>
      <c r="D988" s="19">
        <f t="shared" si="15"/>
        <v>-4.9786163254807586E-3</v>
      </c>
      <c r="E988" s="26">
        <f>E987+Step_h*D987</f>
        <v>0.96683642450960827</v>
      </c>
      <c r="J988" s="24">
        <f>ROUND(J987-Step_h,2)</f>
        <v>0.35</v>
      </c>
      <c r="K988" s="24">
        <f>J988+Age</f>
        <v>20.350000000000001</v>
      </c>
      <c r="L988" s="19">
        <f>B*c_gom^K988</f>
        <v>2.3104108979858681E-3</v>
      </c>
      <c r="M988" s="19">
        <f>N988*delta +Prem-L988*(1-N988)</f>
        <v>8.7876028047324589E-4</v>
      </c>
      <c r="N988" s="26">
        <f>N987-Step_h*M987</f>
        <v>3.6163198723104936E-3</v>
      </c>
      <c r="U988" s="2"/>
      <c r="X988" s="2"/>
    </row>
    <row r="989" spans="1:24" x14ac:dyDescent="0.45">
      <c r="A989" s="24">
        <v>9.66</v>
      </c>
      <c r="B989" s="24">
        <f>A989+Age</f>
        <v>29.66</v>
      </c>
      <c r="C989" s="19">
        <f>B*c_gom^B989</f>
        <v>5.1538279953630677E-3</v>
      </c>
      <c r="D989" s="19">
        <f t="shared" si="15"/>
        <v>-4.9826520422523862E-3</v>
      </c>
      <c r="E989" s="26">
        <f>E988+Step_h*D988</f>
        <v>0.96678663834635348</v>
      </c>
      <c r="J989" s="24">
        <f>ROUND(J988-Step_h,2)</f>
        <v>0.34</v>
      </c>
      <c r="K989" s="24">
        <f>J989+Age</f>
        <v>20.34</v>
      </c>
      <c r="L989" s="19">
        <f>B*c_gom^K989</f>
        <v>2.308420696778227E-3</v>
      </c>
      <c r="M989" s="19">
        <f>N989*delta +Prem-L989*(1-N989)</f>
        <v>8.8028361885228359E-4</v>
      </c>
      <c r="N989" s="26">
        <f>N988-Step_h*M988</f>
        <v>3.6075322695057611E-3</v>
      </c>
      <c r="U989" s="2"/>
      <c r="X989" s="2"/>
    </row>
    <row r="990" spans="1:24" x14ac:dyDescent="0.45">
      <c r="A990" s="24">
        <v>9.67</v>
      </c>
      <c r="B990" s="24">
        <f>A990+Age</f>
        <v>29.67</v>
      </c>
      <c r="C990" s="19">
        <f>B*c_gom^B990</f>
        <v>5.1582713599173102E-3</v>
      </c>
      <c r="D990" s="19">
        <f t="shared" si="15"/>
        <v>-4.9866908090194697E-3</v>
      </c>
      <c r="E990" s="26">
        <f>E989+Step_h*D989</f>
        <v>0.96673681182593096</v>
      </c>
      <c r="J990" s="24">
        <f>ROUND(J989-Step_h,2)</f>
        <v>0.33</v>
      </c>
      <c r="K990" s="24">
        <f>J990+Age</f>
        <v>20.329999999999998</v>
      </c>
      <c r="L990" s="19">
        <f>B*c_gom^K990</f>
        <v>2.3064322099413288E-3</v>
      </c>
      <c r="M990" s="19">
        <f>N990*delta +Prem-L990*(1-N990)</f>
        <v>8.8180448720440001E-4</v>
      </c>
      <c r="N990" s="26">
        <f>N989-Step_h*M989</f>
        <v>3.5987294333172382E-3</v>
      </c>
      <c r="U990" s="2"/>
      <c r="X990" s="2"/>
    </row>
    <row r="991" spans="1:24" x14ac:dyDescent="0.45">
      <c r="A991" s="24">
        <v>9.68</v>
      </c>
      <c r="B991" s="24">
        <f>A991+Age</f>
        <v>29.68</v>
      </c>
      <c r="C991" s="19">
        <f>B*c_gom^B991</f>
        <v>5.1627185553111878E-3</v>
      </c>
      <c r="D991" s="19">
        <f t="shared" si="15"/>
        <v>-4.9907326277044209E-3</v>
      </c>
      <c r="E991" s="26">
        <f>E990+Step_h*D990</f>
        <v>0.9666869449178408</v>
      </c>
      <c r="J991" s="24">
        <f>ROUND(J990-Step_h,2)</f>
        <v>0.32</v>
      </c>
      <c r="K991" s="24">
        <f>J991+Age</f>
        <v>20.32</v>
      </c>
      <c r="L991" s="19">
        <f>B*c_gom^K991</f>
        <v>2.3044454359984049E-3</v>
      </c>
      <c r="M991" s="19">
        <f>N991*delta +Prem-L991*(1-N991)</f>
        <v>8.8332288833859601E-4</v>
      </c>
      <c r="N991" s="26">
        <f>N990-Step_h*M990</f>
        <v>3.5899113884451943E-3</v>
      </c>
      <c r="U991" s="2"/>
      <c r="X991" s="2"/>
    </row>
    <row r="992" spans="1:24" x14ac:dyDescent="0.45">
      <c r="A992" s="24">
        <v>9.69</v>
      </c>
      <c r="B992" s="24">
        <f>A992+Age</f>
        <v>29.689999999999998</v>
      </c>
      <c r="C992" s="19">
        <f>B*c_gom^B992</f>
        <v>5.1671695848474536E-3</v>
      </c>
      <c r="D992" s="19">
        <f t="shared" si="15"/>
        <v>-4.994777500230173E-3</v>
      </c>
      <c r="E992" s="26">
        <f>E991+Step_h*D991</f>
        <v>0.96663703759156372</v>
      </c>
      <c r="J992" s="24">
        <f>ROUND(J991-Step_h,2)</f>
        <v>0.31</v>
      </c>
      <c r="K992" s="24">
        <f>J992+Age</f>
        <v>20.309999999999999</v>
      </c>
      <c r="L992" s="19">
        <f>B*c_gom^K992</f>
        <v>2.3024603734739576E-3</v>
      </c>
      <c r="M992" s="19">
        <f>N992*delta +Prem-L992*(1-N992)</f>
        <v>8.8483882506083713E-4</v>
      </c>
      <c r="N992" s="26">
        <f>N991-Step_h*M991</f>
        <v>3.5810781595618083E-3</v>
      </c>
      <c r="U992" s="2"/>
      <c r="X992" s="2"/>
    </row>
    <row r="993" spans="1:24" x14ac:dyDescent="0.45">
      <c r="A993" s="24">
        <v>9.7000000000000011</v>
      </c>
      <c r="B993" s="24">
        <f>A993+Age</f>
        <v>29.700000000000003</v>
      </c>
      <c r="C993" s="19">
        <f>B*c_gom^B993</f>
        <v>5.1716244518317097E-3</v>
      </c>
      <c r="D993" s="19">
        <f t="shared" si="15"/>
        <v>-4.9988254285201822E-3</v>
      </c>
      <c r="E993" s="26">
        <f>E992+Step_h*D992</f>
        <v>0.96658708981656138</v>
      </c>
      <c r="J993" s="24">
        <f>ROUND(J992-Step_h,2)</f>
        <v>0.3</v>
      </c>
      <c r="K993" s="24">
        <f>J993+Age</f>
        <v>20.3</v>
      </c>
      <c r="L993" s="19">
        <f>B*c_gom^K993</f>
        <v>2.300477020893762E-3</v>
      </c>
      <c r="M993" s="19">
        <f>N993*delta +Prem-L993*(1-N993)</f>
        <v>8.8635230017405225E-4</v>
      </c>
      <c r="N993" s="26">
        <f>N992-Step_h*M992</f>
        <v>3.5722297713111999E-3</v>
      </c>
      <c r="U993" s="2"/>
      <c r="X993" s="2"/>
    </row>
    <row r="994" spans="1:24" x14ac:dyDescent="0.45">
      <c r="A994" s="24">
        <v>9.7100000000000009</v>
      </c>
      <c r="B994" s="24">
        <f>A994+Age</f>
        <v>29.71</v>
      </c>
      <c r="C994" s="19">
        <f>B*c_gom^B994</f>
        <v>5.1760831595724019E-3</v>
      </c>
      <c r="D994" s="19">
        <f t="shared" si="15"/>
        <v>-5.0028764144984181E-3</v>
      </c>
      <c r="E994" s="26">
        <f>E993+Step_h*D993</f>
        <v>0.96653710156227624</v>
      </c>
      <c r="J994" s="24">
        <f>ROUND(J993-Step_h,2)</f>
        <v>0.28999999999999998</v>
      </c>
      <c r="K994" s="24">
        <f>J994+Age</f>
        <v>20.29</v>
      </c>
      <c r="L994" s="19">
        <f>B*c_gom^K994</f>
        <v>2.2984953767848618E-3</v>
      </c>
      <c r="M994" s="19">
        <f>N994*delta +Prem-L994*(1-N994)</f>
        <v>8.8786331647814189E-4</v>
      </c>
      <c r="N994" s="26">
        <f>N993-Step_h*M993</f>
        <v>3.5633662483094595E-3</v>
      </c>
      <c r="U994" s="2"/>
      <c r="X994" s="2"/>
    </row>
    <row r="995" spans="1:24" x14ac:dyDescent="0.45">
      <c r="A995" s="24">
        <v>9.7200000000000006</v>
      </c>
      <c r="B995" s="24">
        <f>A995+Age</f>
        <v>29.72</v>
      </c>
      <c r="C995" s="19">
        <f>B*c_gom^B995</f>
        <v>5.1805457113808327E-3</v>
      </c>
      <c r="D995" s="19">
        <f t="shared" si="15"/>
        <v>-5.0069304600893734E-3</v>
      </c>
      <c r="E995" s="26">
        <f>E994+Step_h*D994</f>
        <v>0.96648707279813129</v>
      </c>
      <c r="J995" s="24">
        <f>ROUND(J994-Step_h,2)</f>
        <v>0.28000000000000003</v>
      </c>
      <c r="K995" s="24">
        <f>J995+Age</f>
        <v>20.28</v>
      </c>
      <c r="L995" s="19">
        <f>B*c_gom^K995</f>
        <v>2.296515439675571E-3</v>
      </c>
      <c r="M995" s="19">
        <f>N995*delta +Prem-L995*(1-N995)</f>
        <v>8.8937187676997858E-4</v>
      </c>
      <c r="N995" s="26">
        <f>N994-Step_h*M994</f>
        <v>3.5544876151446781E-3</v>
      </c>
      <c r="U995" s="2"/>
      <c r="X995" s="2"/>
    </row>
    <row r="996" spans="1:24" x14ac:dyDescent="0.45">
      <c r="A996" s="24">
        <v>9.73</v>
      </c>
      <c r="B996" s="24">
        <f>A996+Age</f>
        <v>29.73</v>
      </c>
      <c r="C996" s="19">
        <f>B*c_gom^B996</f>
        <v>5.1850121105711626E-3</v>
      </c>
      <c r="D996" s="19">
        <f t="shared" si="15"/>
        <v>-5.0109875672180596E-3</v>
      </c>
      <c r="E996" s="26">
        <f>E995+Step_h*D995</f>
        <v>0.96643700349353034</v>
      </c>
      <c r="J996" s="24">
        <f>ROUND(J995-Step_h,2)</f>
        <v>0.27</v>
      </c>
      <c r="K996" s="24">
        <f>J996+Age</f>
        <v>20.27</v>
      </c>
      <c r="L996" s="19">
        <f>B*c_gom^K996</f>
        <v>2.2945372080954681E-3</v>
      </c>
      <c r="M996" s="19">
        <f>N996*delta +Prem-L996*(1-N996)</f>
        <v>8.9087798384341428E-4</v>
      </c>
      <c r="N996" s="26">
        <f>N995-Step_h*M995</f>
        <v>3.5455938963769784E-3</v>
      </c>
      <c r="U996" s="2"/>
      <c r="X996" s="2"/>
    </row>
    <row r="997" spans="1:24" x14ac:dyDescent="0.45">
      <c r="A997" s="24">
        <v>9.74</v>
      </c>
      <c r="B997" s="24">
        <f>A997+Age</f>
        <v>29.740000000000002</v>
      </c>
      <c r="C997" s="19">
        <f>B*c_gom^B997</f>
        <v>5.1894823604604007E-3</v>
      </c>
      <c r="D997" s="19">
        <f t="shared" si="15"/>
        <v>-5.0150477378099962E-3</v>
      </c>
      <c r="E997" s="26">
        <f>E996+Step_h*D996</f>
        <v>0.96638689361785812</v>
      </c>
      <c r="J997" s="24">
        <f>ROUND(J996-Step_h,2)</f>
        <v>0.26</v>
      </c>
      <c r="K997" s="24">
        <f>J997+Age</f>
        <v>20.260000000000002</v>
      </c>
      <c r="L997" s="19">
        <f>B*c_gom^K997</f>
        <v>2.2925606805754037E-3</v>
      </c>
      <c r="M997" s="19">
        <f>N997*delta +Prem-L997*(1-N997)</f>
        <v>8.9238164048927602E-4</v>
      </c>
      <c r="N997" s="26">
        <f>N996-Step_h*M996</f>
        <v>3.5366851165385444E-3</v>
      </c>
      <c r="U997" s="2"/>
      <c r="X997" s="2"/>
    </row>
    <row r="998" spans="1:24" x14ac:dyDescent="0.45">
      <c r="A998" s="24">
        <v>9.75</v>
      </c>
      <c r="B998" s="24">
        <f>A998+Age</f>
        <v>29.75</v>
      </c>
      <c r="C998" s="19">
        <f>B*c_gom^B998</f>
        <v>5.1939564643684244E-3</v>
      </c>
      <c r="D998" s="19">
        <f t="shared" si="15"/>
        <v>-5.0191109737912258E-3</v>
      </c>
      <c r="E998" s="26">
        <f>E997+Step_h*D997</f>
        <v>0.96633674314048001</v>
      </c>
      <c r="J998" s="24">
        <f>ROUND(J997-Step_h,2)</f>
        <v>0.25</v>
      </c>
      <c r="K998" s="24">
        <f>J998+Age</f>
        <v>20.25</v>
      </c>
      <c r="L998" s="19">
        <f>B*c_gom^K998</f>
        <v>2.2905858556474877E-3</v>
      </c>
      <c r="M998" s="19">
        <f>N998*delta +Prem-L998*(1-N998)</f>
        <v>8.9388284949538195E-4</v>
      </c>
      <c r="N998" s="26">
        <f>N997-Step_h*M997</f>
        <v>3.5277613001336518E-3</v>
      </c>
      <c r="U998" s="2"/>
      <c r="X998" s="2"/>
    </row>
    <row r="999" spans="1:24" x14ac:dyDescent="0.45">
      <c r="A999" s="24">
        <v>9.76</v>
      </c>
      <c r="B999" s="24">
        <f>A999+Age</f>
        <v>29.759999999999998</v>
      </c>
      <c r="C999" s="19">
        <f>B*c_gom^B999</f>
        <v>5.198434425617968E-3</v>
      </c>
      <c r="D999" s="19">
        <f t="shared" si="15"/>
        <v>-5.0231772770882978E-3</v>
      </c>
      <c r="E999" s="26">
        <f>E998+Step_h*D998</f>
        <v>0.9662865520307421</v>
      </c>
      <c r="J999" s="24">
        <f>ROUND(J998-Step_h,2)</f>
        <v>0.24</v>
      </c>
      <c r="K999" s="24">
        <f>J999+Age</f>
        <v>20.239999999999998</v>
      </c>
      <c r="L999" s="19">
        <f>B*c_gom^K999</f>
        <v>2.2886127318450982E-3</v>
      </c>
      <c r="M999" s="19">
        <f>N999*delta +Prem-L999*(1-N999)</f>
        <v>8.9538161364653181E-4</v>
      </c>
      <c r="N999" s="26">
        <f>N998-Step_h*M998</f>
        <v>3.5188224716386982E-3</v>
      </c>
      <c r="U999" s="2"/>
      <c r="X999" s="2"/>
    </row>
    <row r="1000" spans="1:24" x14ac:dyDescent="0.45">
      <c r="A1000" s="24">
        <v>9.77</v>
      </c>
      <c r="B1000" s="24">
        <f>A1000+Age</f>
        <v>29.77</v>
      </c>
      <c r="C1000" s="19">
        <f>B*c_gom^B1000</f>
        <v>5.2029162475346353E-3</v>
      </c>
      <c r="D1000" s="19">
        <f t="shared" si="15"/>
        <v>-5.0272466496282782E-3</v>
      </c>
      <c r="E1000" s="26">
        <f>E999+Step_h*D999</f>
        <v>0.96623632025797124</v>
      </c>
      <c r="J1000" s="24">
        <f>ROUND(J999-Step_h,2)</f>
        <v>0.23</v>
      </c>
      <c r="K1000" s="24">
        <f>J1000+Age</f>
        <v>20.23</v>
      </c>
      <c r="L1000" s="19">
        <f>B*c_gom^K1000</f>
        <v>2.2866413077028778E-3</v>
      </c>
      <c r="M1000" s="19">
        <f>N1000*delta +Prem-L1000*(1-N1000)</f>
        <v>8.9687793572451689E-4</v>
      </c>
      <c r="N1000" s="26">
        <f>N999-Step_h*M999</f>
        <v>3.509868655502233E-3</v>
      </c>
      <c r="U1000" s="2"/>
      <c r="X1000" s="2"/>
    </row>
    <row r="1001" spans="1:24" x14ac:dyDescent="0.45">
      <c r="A1001" s="24">
        <v>9.7799999999999994</v>
      </c>
      <c r="B1001" s="24">
        <f>A1001+Age</f>
        <v>29.78</v>
      </c>
      <c r="C1001" s="19">
        <f>B*c_gom^B1001</f>
        <v>5.2074019334468896E-3</v>
      </c>
      <c r="D1001" s="19">
        <f t="shared" si="15"/>
        <v>-5.0313190933387354E-3</v>
      </c>
      <c r="E1001" s="26">
        <f>E1000+Step_h*D1000</f>
        <v>0.96618604779147499</v>
      </c>
      <c r="J1001" s="24">
        <f>ROUND(J1000-Step_h,2)</f>
        <v>0.22</v>
      </c>
      <c r="K1001" s="24">
        <f>J1001+Age</f>
        <v>20.22</v>
      </c>
      <c r="L1001" s="19">
        <f>B*c_gom^K1001</f>
        <v>2.2846715817567273E-3</v>
      </c>
      <c r="M1001" s="19">
        <f>N1001*delta +Prem-L1001*(1-N1001)</f>
        <v>8.983718185081261E-4</v>
      </c>
      <c r="N1001" s="26">
        <f>N1000-Step_h*M1000</f>
        <v>3.5008998761449877E-3</v>
      </c>
      <c r="U1001" s="2"/>
      <c r="X1001" s="2"/>
    </row>
    <row r="1002" spans="1:24" x14ac:dyDescent="0.45">
      <c r="A1002" s="24">
        <v>9.7900000000000009</v>
      </c>
      <c r="B1002" s="24">
        <f>A1002+Age</f>
        <v>29.79</v>
      </c>
      <c r="C1002" s="19">
        <f>B*c_gom^B1002</f>
        <v>5.2118914866860714E-3</v>
      </c>
      <c r="D1002" s="19">
        <f t="shared" si="15"/>
        <v>-5.0353946101477564E-3</v>
      </c>
      <c r="E1002" s="26">
        <f>E1001+Step_h*D1001</f>
        <v>0.96613573460054158</v>
      </c>
      <c r="J1002" s="24">
        <f>ROUND(J1001-Step_h,2)</f>
        <v>0.21</v>
      </c>
      <c r="K1002" s="24">
        <f>J1002+Age</f>
        <v>20.21</v>
      </c>
      <c r="L1002" s="19">
        <f>B*c_gom^K1002</f>
        <v>2.282703552543812E-3</v>
      </c>
      <c r="M1002" s="19">
        <f>N1002*delta +Prem-L1002*(1-N1002)</f>
        <v>8.9986326477314383E-4</v>
      </c>
      <c r="N1002" s="26">
        <f>N1001-Step_h*M1001</f>
        <v>3.4919161579599063E-3</v>
      </c>
      <c r="U1002" s="2"/>
      <c r="X1002" s="2"/>
    </row>
    <row r="1003" spans="1:24" x14ac:dyDescent="0.45">
      <c r="A1003" s="24">
        <v>9.8000000000000007</v>
      </c>
      <c r="B1003" s="24">
        <f>A1003+Age</f>
        <v>29.8</v>
      </c>
      <c r="C1003" s="19">
        <f>B*c_gom^B1003</f>
        <v>5.2163849105863929E-3</v>
      </c>
      <c r="D1003" s="19">
        <f t="shared" si="15"/>
        <v>-5.0394732019839331E-3</v>
      </c>
      <c r="E1003" s="26">
        <f>E1002+Step_h*D1002</f>
        <v>0.96608538065444016</v>
      </c>
      <c r="J1003" s="24">
        <f>ROUND(J1002-Step_h,2)</f>
        <v>0.2</v>
      </c>
      <c r="K1003" s="24">
        <f>J1003+Age</f>
        <v>20.2</v>
      </c>
      <c r="L1003" s="19">
        <f>B*c_gom^K1003</f>
        <v>2.2807372186025555E-3</v>
      </c>
      <c r="M1003" s="19">
        <f>N1003*delta +Prem-L1003*(1-N1003)</f>
        <v>9.0135227729235597E-4</v>
      </c>
      <c r="N1003" s="26">
        <f>N1002-Step_h*M1002</f>
        <v>3.4829175253121747E-3</v>
      </c>
      <c r="U1003" s="2"/>
      <c r="X1003" s="2"/>
    </row>
    <row r="1004" spans="1:24" x14ac:dyDescent="0.45">
      <c r="A1004" s="24">
        <v>9.81</v>
      </c>
      <c r="B1004" s="24">
        <f>A1004+Age</f>
        <v>29.810000000000002</v>
      </c>
      <c r="C1004" s="19">
        <f>B*c_gom^B1004</f>
        <v>5.220882208484932E-3</v>
      </c>
      <c r="D1004" s="19">
        <f t="shared" si="15"/>
        <v>-5.043554870776356E-3</v>
      </c>
      <c r="E1004" s="26">
        <f>E1003+Step_h*D1003</f>
        <v>0.96603498592242032</v>
      </c>
      <c r="J1004" s="24">
        <f>ROUND(J1003-Step_h,2)</f>
        <v>0.19</v>
      </c>
      <c r="K1004" s="24">
        <f>J1004+Age</f>
        <v>20.190000000000001</v>
      </c>
      <c r="L1004" s="19">
        <f>B*c_gom^K1004</f>
        <v>2.2787725784726418E-3</v>
      </c>
      <c r="M1004" s="19">
        <f>N1004*delta +Prem-L1004*(1-N1004)</f>
        <v>9.0283885883555345E-4</v>
      </c>
      <c r="N1004" s="26">
        <f>N1003-Step_h*M1003</f>
        <v>3.4739040025392512E-3</v>
      </c>
      <c r="U1004" s="2"/>
      <c r="X1004" s="2"/>
    </row>
    <row r="1005" spans="1:24" x14ac:dyDescent="0.45">
      <c r="A1005" s="24">
        <v>9.82</v>
      </c>
      <c r="B1005" s="24">
        <f>A1005+Age</f>
        <v>29.82</v>
      </c>
      <c r="C1005" s="19">
        <f>B*c_gom^B1005</f>
        <v>5.2253833837216544E-3</v>
      </c>
      <c r="D1005" s="19">
        <f t="shared" si="15"/>
        <v>-5.0476396184546309E-3</v>
      </c>
      <c r="E1005" s="26">
        <f>E1004+Step_h*D1004</f>
        <v>0.96598455037371256</v>
      </c>
      <c r="J1005" s="24">
        <f>ROUND(J1004-Step_h,2)</f>
        <v>0.18</v>
      </c>
      <c r="K1005" s="24">
        <f>J1005+Age</f>
        <v>20.18</v>
      </c>
      <c r="L1005" s="19">
        <f>B*c_gom^K1005</f>
        <v>2.2768096306950113E-3</v>
      </c>
      <c r="M1005" s="19">
        <f>N1005*delta +Prem-L1005*(1-N1005)</f>
        <v>9.0432301216953736E-4</v>
      </c>
      <c r="N1005" s="26">
        <f>N1004-Step_h*M1004</f>
        <v>3.4648756139508958E-3</v>
      </c>
      <c r="U1005" s="2"/>
      <c r="X1005" s="2"/>
    </row>
    <row r="1006" spans="1:24" x14ac:dyDescent="0.45">
      <c r="A1006" s="24">
        <v>9.83</v>
      </c>
      <c r="B1006" s="24">
        <f>A1006+Age</f>
        <v>29.83</v>
      </c>
      <c r="C1006" s="19">
        <f>B*c_gom^B1006</f>
        <v>5.2298884396393998E-3</v>
      </c>
      <c r="D1006" s="19">
        <f t="shared" si="15"/>
        <v>-5.0517274469488631E-3</v>
      </c>
      <c r="E1006" s="26">
        <f>E1005+Step_h*D1005</f>
        <v>0.96593407397752806</v>
      </c>
      <c r="J1006" s="24">
        <f>ROUND(J1005-Step_h,2)</f>
        <v>0.17</v>
      </c>
      <c r="K1006" s="24">
        <f>J1006+Age</f>
        <v>20.170000000000002</v>
      </c>
      <c r="L1006" s="19">
        <f>B*c_gom^K1006</f>
        <v>2.2748483738118624E-3</v>
      </c>
      <c r="M1006" s="19">
        <f>N1006*delta +Prem-L1006*(1-N1006)</f>
        <v>9.0580474005811772E-4</v>
      </c>
      <c r="N1006" s="26">
        <f>N1005-Step_h*M1005</f>
        <v>3.4558323838292005E-3</v>
      </c>
      <c r="U1006" s="2"/>
      <c r="X1006" s="2"/>
    </row>
    <row r="1007" spans="1:24" x14ac:dyDescent="0.45">
      <c r="A1007" s="24">
        <v>9.84</v>
      </c>
      <c r="B1007" s="24">
        <f>A1007+Age</f>
        <v>29.84</v>
      </c>
      <c r="C1007" s="19">
        <f>B*c_gom^B1007</f>
        <v>5.2343973795838912E-3</v>
      </c>
      <c r="D1007" s="19">
        <f t="shared" si="15"/>
        <v>-5.0558183581896586E-3</v>
      </c>
      <c r="E1007" s="26">
        <f>E1006+Step_h*D1006</f>
        <v>0.96588355670305859</v>
      </c>
      <c r="J1007" s="24">
        <f>ROUND(J1006-Step_h,2)</f>
        <v>0.16</v>
      </c>
      <c r="K1007" s="24">
        <f>J1007+Age</f>
        <v>20.16</v>
      </c>
      <c r="L1007" s="19">
        <f>B*c_gom^K1007</f>
        <v>2.2728888063666486E-3</v>
      </c>
      <c r="M1007" s="19">
        <f>N1007*delta +Prem-L1007*(1-N1007)</f>
        <v>9.0728404526212256E-4</v>
      </c>
      <c r="N1007" s="26">
        <f>N1006-Step_h*M1006</f>
        <v>3.4467743364286194E-3</v>
      </c>
      <c r="U1007" s="2"/>
      <c r="X1007" s="2"/>
    </row>
    <row r="1008" spans="1:24" x14ac:dyDescent="0.45">
      <c r="A1008" s="24">
        <v>9.85</v>
      </c>
      <c r="B1008" s="24">
        <f>A1008+Age</f>
        <v>29.85</v>
      </c>
      <c r="C1008" s="19">
        <f>B*c_gom^B1008</f>
        <v>5.2389102069037383E-3</v>
      </c>
      <c r="D1008" s="19">
        <f t="shared" si="15"/>
        <v>-5.0599123541081297E-3</v>
      </c>
      <c r="E1008" s="26">
        <f>E1007+Step_h*D1007</f>
        <v>0.96583299851947668</v>
      </c>
      <c r="J1008" s="24">
        <f>ROUND(J1007-Step_h,2)</f>
        <v>0.15</v>
      </c>
      <c r="K1008" s="24">
        <f>J1008+Age</f>
        <v>20.149999999999999</v>
      </c>
      <c r="L1008" s="19">
        <f>B*c_gom^K1008</f>
        <v>2.2709309269040787E-3</v>
      </c>
      <c r="M1008" s="19">
        <f>N1008*delta +Prem-L1008*(1-N1008)</f>
        <v>9.0876093053939792E-4</v>
      </c>
      <c r="N1008" s="26">
        <f>N1007-Step_h*M1007</f>
        <v>3.4377014959759982E-3</v>
      </c>
      <c r="U1008" s="2"/>
      <c r="X1008" s="2"/>
    </row>
    <row r="1009" spans="1:24" x14ac:dyDescent="0.45">
      <c r="A1009" s="24">
        <v>9.86</v>
      </c>
      <c r="B1009" s="24">
        <f>A1009+Age</f>
        <v>29.86</v>
      </c>
      <c r="C1009" s="19">
        <f>B*c_gom^B1009</f>
        <v>5.2434269249504329E-3</v>
      </c>
      <c r="D1009" s="19">
        <f t="shared" si="15"/>
        <v>-5.0640094366358815E-3</v>
      </c>
      <c r="E1009" s="26">
        <f>E1008+Step_h*D1008</f>
        <v>0.96578239939593558</v>
      </c>
      <c r="J1009" s="24">
        <f>ROUND(J1008-Step_h,2)</f>
        <v>0.14000000000000001</v>
      </c>
      <c r="K1009" s="24">
        <f>J1009+Age</f>
        <v>20.14</v>
      </c>
      <c r="L1009" s="19">
        <f>B*c_gom^K1009</f>
        <v>2.2689747339701151E-3</v>
      </c>
      <c r="M1009" s="19">
        <f>N1009*delta +Prem-L1009*(1-N1009)</f>
        <v>9.1023539864480956E-4</v>
      </c>
      <c r="N1009" s="26">
        <f>N1008-Step_h*M1008</f>
        <v>3.4286138866706042E-3</v>
      </c>
      <c r="U1009" s="2"/>
      <c r="X1009" s="2"/>
    </row>
    <row r="1010" spans="1:24" x14ac:dyDescent="0.45">
      <c r="A1010" s="24">
        <v>9.870000000000001</v>
      </c>
      <c r="B1010" s="24">
        <f>A1010+Age</f>
        <v>29.87</v>
      </c>
      <c r="C1010" s="19">
        <f>B*c_gom^B1010</f>
        <v>5.2479475370783586E-3</v>
      </c>
      <c r="D1010" s="19">
        <f t="shared" si="15"/>
        <v>-5.0681096077050203E-3</v>
      </c>
      <c r="E1010" s="26">
        <f>E1009+Step_h*D1009</f>
        <v>0.96573175930156918</v>
      </c>
      <c r="J1010" s="24">
        <f>ROUND(J1009-Step_h,2)</f>
        <v>0.13</v>
      </c>
      <c r="K1010" s="24">
        <f>J1010+Age</f>
        <v>20.13</v>
      </c>
      <c r="L1010" s="19">
        <f>B*c_gom^K1010</f>
        <v>2.2670202261119718E-3</v>
      </c>
      <c r="M1010" s="19">
        <f>N1010*delta +Prem-L1010*(1-N1010)</f>
        <v>9.1170745233025386E-4</v>
      </c>
      <c r="N1010" s="26">
        <f>N1009-Step_h*M1009</f>
        <v>3.419511532684156E-3</v>
      </c>
      <c r="Q1010" s="1"/>
      <c r="U1010" s="2"/>
      <c r="X1010" s="2"/>
    </row>
    <row r="1011" spans="1:24" x14ac:dyDescent="0.45">
      <c r="A1011" s="24">
        <v>9.8800000000000008</v>
      </c>
      <c r="B1011" s="24">
        <f>A1011+Age</f>
        <v>29.880000000000003</v>
      </c>
      <c r="C1011" s="19">
        <f>B*c_gom^B1011</f>
        <v>5.2524720466447941E-3</v>
      </c>
      <c r="D1011" s="19">
        <f t="shared" si="15"/>
        <v>-5.0722128692481522E-3</v>
      </c>
      <c r="E1011" s="26">
        <f>E1010+Step_h*D1010</f>
        <v>0.96568107820549209</v>
      </c>
      <c r="J1011" s="24">
        <f>ROUND(J1010-Step_h,2)</f>
        <v>0.12</v>
      </c>
      <c r="K1011" s="24">
        <f>J1011+Age</f>
        <v>20.12</v>
      </c>
      <c r="L1011" s="19">
        <f>B*c_gom^K1011</f>
        <v>2.2650674018781149E-3</v>
      </c>
      <c r="M1011" s="19">
        <f>N1011*delta +Prem-L1011*(1-N1011)</f>
        <v>9.1317709434465344E-4</v>
      </c>
      <c r="N1011" s="26">
        <f>N1010-Step_h*M1010</f>
        <v>3.4103944581608536E-3</v>
      </c>
    </row>
    <row r="1012" spans="1:24" x14ac:dyDescent="0.45">
      <c r="A1012" s="24">
        <v>9.89</v>
      </c>
      <c r="B1012" s="24">
        <f>A1012+Age</f>
        <v>29.89</v>
      </c>
      <c r="C1012" s="19">
        <f>B*c_gom^B1012</f>
        <v>5.257000457009906E-3</v>
      </c>
      <c r="D1012" s="19">
        <f t="shared" si="15"/>
        <v>-5.076319223198374E-3</v>
      </c>
      <c r="E1012" s="26">
        <f>E1011+Step_h*D1011</f>
        <v>0.96563035607679959</v>
      </c>
      <c r="J1012" s="24">
        <f>ROUND(J1011-Step_h,2)</f>
        <v>0.11</v>
      </c>
      <c r="K1012" s="24">
        <f>J1012+Age</f>
        <v>20.11</v>
      </c>
      <c r="L1012" s="19">
        <f>B*c_gom^K1012</f>
        <v>2.2631162598182606E-3</v>
      </c>
      <c r="M1012" s="19">
        <f>N1012*delta +Prem-L1012*(1-N1012)</f>
        <v>9.1464432743396454E-4</v>
      </c>
      <c r="N1012" s="26">
        <f>N1011-Step_h*M1011</f>
        <v>3.4012626872174071E-3</v>
      </c>
    </row>
    <row r="1013" spans="1:24" x14ac:dyDescent="0.45">
      <c r="A1013" s="24">
        <v>9.9</v>
      </c>
      <c r="B1013" s="24">
        <f>A1013+Age</f>
        <v>29.9</v>
      </c>
      <c r="C1013" s="19">
        <f>B*c_gom^B1013</f>
        <v>5.2615327715367635E-3</v>
      </c>
      <c r="D1013" s="19">
        <f t="shared" si="15"/>
        <v>-5.0804286714892788E-3</v>
      </c>
      <c r="E1013" s="26">
        <f>E1012+Step_h*D1012</f>
        <v>0.96557959288456763</v>
      </c>
      <c r="J1013" s="24">
        <f>ROUND(J1012-Step_h,2)</f>
        <v>0.1</v>
      </c>
      <c r="K1013" s="24">
        <f>J1013+Age</f>
        <v>20.100000000000001</v>
      </c>
      <c r="L1013" s="19">
        <f>B*c_gom^K1013</f>
        <v>2.2611667984833756E-3</v>
      </c>
      <c r="M1013" s="19">
        <f>N1013*delta +Prem-L1013*(1-N1013)</f>
        <v>9.1610915434117831E-4</v>
      </c>
      <c r="N1013" s="26">
        <f>N1012-Step_h*M1012</f>
        <v>3.3921162439430673E-3</v>
      </c>
    </row>
    <row r="1014" spans="1:24" x14ac:dyDescent="0.45">
      <c r="A1014" s="24">
        <v>9.91</v>
      </c>
      <c r="B1014" s="24">
        <f>A1014+Age</f>
        <v>29.91</v>
      </c>
      <c r="C1014" s="19">
        <f>B*c_gom^B1014</f>
        <v>5.2660689935913338E-3</v>
      </c>
      <c r="D1014" s="19">
        <f t="shared" si="15"/>
        <v>-5.084541216054954E-3</v>
      </c>
      <c r="E1014" s="26">
        <f>E1013+Step_h*D1013</f>
        <v>0.96552878859785274</v>
      </c>
      <c r="J1014" s="24">
        <f>ROUND(J1013-Step_h,2)</f>
        <v>0.09</v>
      </c>
      <c r="K1014" s="24">
        <f>J1014+Age</f>
        <v>20.09</v>
      </c>
      <c r="L1014" s="19">
        <f>B*c_gom^K1014</f>
        <v>2.2592190164256723E-3</v>
      </c>
      <c r="M1014" s="19">
        <f>N1014*delta +Prem-L1014*(1-N1014)</f>
        <v>9.1757157780632736E-4</v>
      </c>
      <c r="N1014" s="26">
        <f>N1013-Step_h*M1013</f>
        <v>3.3829551523996554E-3</v>
      </c>
    </row>
    <row r="1015" spans="1:24" x14ac:dyDescent="0.45">
      <c r="A1015" s="24">
        <v>9.92</v>
      </c>
      <c r="B1015" s="24">
        <f>A1015+Age</f>
        <v>29.92</v>
      </c>
      <c r="C1015" s="19">
        <f>B*c_gom^B1015</f>
        <v>5.2706091265424882E-3</v>
      </c>
      <c r="D1015" s="19">
        <f t="shared" si="15"/>
        <v>-5.0886568588299789E-3</v>
      </c>
      <c r="E1015" s="26">
        <f>E1014+Step_h*D1014</f>
        <v>0.96547794318569213</v>
      </c>
      <c r="J1015" s="24">
        <f>ROUND(J1014-Step_h,2)</f>
        <v>0.08</v>
      </c>
      <c r="K1015" s="24">
        <f>J1015+Age</f>
        <v>20.079999999999998</v>
      </c>
      <c r="L1015" s="19">
        <f>B*c_gom^K1015</f>
        <v>2.2572729121986121E-3</v>
      </c>
      <c r="M1015" s="19">
        <f>N1015*delta +Prem-L1015*(1-N1015)</f>
        <v>9.1903160056648614E-4</v>
      </c>
      <c r="N1015" s="26">
        <f>N1014-Step_h*M1014</f>
        <v>3.3737794366215921E-3</v>
      </c>
    </row>
    <row r="1016" spans="1:24" x14ac:dyDescent="0.45">
      <c r="A1016" s="24">
        <v>9.93</v>
      </c>
      <c r="B1016" s="24">
        <f>A1016+Age</f>
        <v>29.93</v>
      </c>
      <c r="C1016" s="19">
        <f>B*c_gom^B1016</f>
        <v>5.2751531737619938E-3</v>
      </c>
      <c r="D1016" s="19">
        <f t="shared" si="15"/>
        <v>-5.092775601749415E-3</v>
      </c>
      <c r="E1016" s="26">
        <f>E1015+Step_h*D1015</f>
        <v>0.96542705661710382</v>
      </c>
      <c r="J1016" s="24">
        <f>ROUND(J1015-Step_h,2)</f>
        <v>7.0000000000000007E-2</v>
      </c>
      <c r="K1016" s="24">
        <f>J1016+Age</f>
        <v>20.07</v>
      </c>
      <c r="L1016" s="19">
        <f>B*c_gom^K1016</f>
        <v>2.2553284843569036E-3</v>
      </c>
      <c r="M1016" s="19">
        <f>N1016*delta +Prem-L1016*(1-N1016)</f>
        <v>9.2048922535577487E-4</v>
      </c>
      <c r="N1016" s="26">
        <f>N1015-Step_h*M1015</f>
        <v>3.3645891206159273E-3</v>
      </c>
    </row>
    <row r="1017" spans="1:24" x14ac:dyDescent="0.45">
      <c r="A1017" s="24">
        <v>9.94</v>
      </c>
      <c r="B1017" s="24">
        <f>A1017+Age</f>
        <v>29.939999999999998</v>
      </c>
      <c r="C1017" s="19">
        <f>B*c_gom^B1017</f>
        <v>5.279701138624535E-3</v>
      </c>
      <c r="D1017" s="19">
        <f t="shared" si="15"/>
        <v>-5.0968974467488232E-3</v>
      </c>
      <c r="E1017" s="26">
        <f>E1016+Step_h*D1016</f>
        <v>0.96537612886108637</v>
      </c>
      <c r="J1017" s="24">
        <f>ROUND(J1016-Step_h,2)</f>
        <v>0.06</v>
      </c>
      <c r="K1017" s="24">
        <f>J1017+Age</f>
        <v>20.059999999999999</v>
      </c>
      <c r="L1017" s="19">
        <f>B*c_gom^K1017</f>
        <v>2.2533857314564962E-3</v>
      </c>
      <c r="M1017" s="19">
        <f>N1017*delta +Prem-L1017*(1-N1017)</f>
        <v>9.2194445490536821E-4</v>
      </c>
      <c r="N1017" s="26">
        <f>N1016-Step_h*M1016</f>
        <v>3.3553842283623697E-3</v>
      </c>
    </row>
    <row r="1018" spans="1:24" x14ac:dyDescent="0.45">
      <c r="A1018" s="24">
        <v>9.9500000000000011</v>
      </c>
      <c r="B1018" s="24">
        <f>A1018+Age</f>
        <v>29.950000000000003</v>
      </c>
      <c r="C1018" s="19">
        <f>B*c_gom^B1018</f>
        <v>5.2842530245077015E-3</v>
      </c>
      <c r="D1018" s="19">
        <f t="shared" si="15"/>
        <v>-5.1010223957642462E-3</v>
      </c>
      <c r="E1018" s="26">
        <f>E1017+Step_h*D1017</f>
        <v>0.96532515988661893</v>
      </c>
      <c r="J1018" s="24">
        <f>ROUND(J1017-Step_h,2)</f>
        <v>0.05</v>
      </c>
      <c r="K1018" s="24">
        <f>J1018+Age</f>
        <v>20.05</v>
      </c>
      <c r="L1018" s="19">
        <f>B*c_gom^K1018</f>
        <v>2.2514446520545892E-3</v>
      </c>
      <c r="M1018" s="19">
        <f>N1018*delta +Prem-L1018*(1-N1018)</f>
        <v>9.2339729194348659E-4</v>
      </c>
      <c r="N1018" s="26">
        <f>N1017-Step_h*M1017</f>
        <v>3.3461647838133159E-3</v>
      </c>
    </row>
    <row r="1019" spans="1:24" x14ac:dyDescent="0.45">
      <c r="A1019" s="24">
        <v>9.9600000000000009</v>
      </c>
      <c r="B1019" s="24">
        <f>A1019+Age</f>
        <v>29.96</v>
      </c>
      <c r="C1019" s="19">
        <f>B*c_gom^B1019</f>
        <v>5.2888088347919932E-3</v>
      </c>
      <c r="D1019" s="19">
        <f t="shared" si="15"/>
        <v>-5.1051504507322121E-3</v>
      </c>
      <c r="E1019" s="26">
        <f>E1018+Step_h*D1018</f>
        <v>0.96527414966266134</v>
      </c>
      <c r="J1019" s="24">
        <f>ROUND(J1018-Step_h,2)</f>
        <v>0.04</v>
      </c>
      <c r="K1019" s="24">
        <f>J1019+Age</f>
        <v>20.04</v>
      </c>
      <c r="L1019" s="19">
        <f>B*c_gom^K1019</f>
        <v>2.2495052447096169E-3</v>
      </c>
      <c r="M1019" s="19">
        <f>N1019*delta +Prem-L1019*(1-N1019)</f>
        <v>9.2484773919541616E-4</v>
      </c>
      <c r="N1019" s="26">
        <f>N1018-Step_h*M1018</f>
        <v>3.3369308108938812E-3</v>
      </c>
    </row>
    <row r="1020" spans="1:24" x14ac:dyDescent="0.45">
      <c r="A1020" s="24">
        <v>9.9700000000000006</v>
      </c>
      <c r="B1020" s="24">
        <f>A1020+Age</f>
        <v>29.97</v>
      </c>
      <c r="C1020" s="19">
        <f>B*c_gom^B1020</f>
        <v>5.2933685728608262E-3</v>
      </c>
      <c r="D1020" s="19">
        <f t="shared" si="15"/>
        <v>-5.1092816135897331E-3</v>
      </c>
      <c r="E1020" s="26">
        <f>E1019+Step_h*D1019</f>
        <v>0.96522309815815399</v>
      </c>
      <c r="J1020" s="24">
        <f>ROUND(J1019-Step_h,2)</f>
        <v>0.03</v>
      </c>
      <c r="K1020" s="24">
        <f>J1020+Age</f>
        <v>20.03</v>
      </c>
      <c r="L1020" s="19">
        <f>B*c_gom^K1020</f>
        <v>2.2475675079812645E-3</v>
      </c>
      <c r="M1020" s="19">
        <f>N1020*delta +Prem-L1020*(1-N1020)</f>
        <v>9.2629579938349445E-4</v>
      </c>
      <c r="N1020" s="26">
        <f>N1019-Step_h*M1019</f>
        <v>3.3276823335019272E-3</v>
      </c>
    </row>
    <row r="1021" spans="1:24" x14ac:dyDescent="0.45">
      <c r="A1021" s="24">
        <v>9.98</v>
      </c>
      <c r="B1021" s="24">
        <f>A1021+Age</f>
        <v>29.98</v>
      </c>
      <c r="C1021" s="19">
        <f>B*c_gom^B1021</f>
        <v>5.2979322421005349E-3</v>
      </c>
      <c r="D1021" s="19">
        <f t="shared" si="15"/>
        <v>-5.113415886274307E-3</v>
      </c>
      <c r="E1021" s="26">
        <f>E1020+Step_h*D1020</f>
        <v>0.96517200534201808</v>
      </c>
      <c r="J1021" s="24">
        <f>ROUND(J1020-Step_h,2)</f>
        <v>0.02</v>
      </c>
      <c r="K1021" s="24">
        <f>J1021+Age</f>
        <v>20.02</v>
      </c>
      <c r="L1021" s="19">
        <f>B*c_gom^K1021</f>
        <v>2.24563144043045E-3</v>
      </c>
      <c r="M1021" s="19">
        <f>N1021*delta +Prem-L1021*(1-N1021)</f>
        <v>9.2774147522712907E-4</v>
      </c>
      <c r="N1021" s="26">
        <f>N1020-Step_h*M1020</f>
        <v>3.3184193755080925E-3</v>
      </c>
    </row>
    <row r="1022" spans="1:24" x14ac:dyDescent="0.45">
      <c r="A1022" s="24">
        <v>9.99</v>
      </c>
      <c r="B1022" s="24">
        <f>A1022+Age</f>
        <v>29.990000000000002</v>
      </c>
      <c r="C1022" s="19">
        <f>B*c_gom^B1022</f>
        <v>5.3024998459003736E-3</v>
      </c>
      <c r="D1022" s="19">
        <f t="shared" si="15"/>
        <v>-5.1175532707239159E-3</v>
      </c>
      <c r="E1022" s="26">
        <f>E1021+Step_h*D1021</f>
        <v>0.96512087118315537</v>
      </c>
      <c r="J1022" s="24">
        <f>ROUND(J1021-Step_h,2)</f>
        <v>0.01</v>
      </c>
      <c r="K1022" s="24">
        <f>J1022+Age</f>
        <v>20.010000000000002</v>
      </c>
      <c r="L1022" s="19">
        <f>B*c_gom^K1022</f>
        <v>2.2436970406193358E-3</v>
      </c>
      <c r="M1022" s="19">
        <f>N1022*delta +Prem-L1022*(1-N1022)</f>
        <v>9.2918476944279247E-4</v>
      </c>
      <c r="N1022" s="26">
        <f>N1021-Step_h*M1021</f>
        <v>3.3091419607558211E-3</v>
      </c>
    </row>
    <row r="1023" spans="1:24" x14ac:dyDescent="0.45">
      <c r="A1023" s="25">
        <v>10</v>
      </c>
      <c r="B1023" s="25">
        <f>A1023+Age</f>
        <v>30</v>
      </c>
      <c r="C1023" s="20">
        <f>B*c_gom^B1023</f>
        <v>5.3070713876525082E-3</v>
      </c>
      <c r="D1023" s="20">
        <f t="shared" si="15"/>
        <v>-5.1216937688770073E-3</v>
      </c>
      <c r="E1023" s="27">
        <f>E1022+Step_h*D1022</f>
        <v>0.96506969565044809</v>
      </c>
      <c r="J1023" s="25">
        <f>ROUND(J1022-Step_h,2)</f>
        <v>0</v>
      </c>
      <c r="K1023" s="25">
        <f>J1023+Age</f>
        <v>20</v>
      </c>
      <c r="L1023" s="20">
        <f>B*c_gom^K1023</f>
        <v>2.2417643071113193E-3</v>
      </c>
      <c r="M1023" s="20">
        <f>N1023*delta +Prem-L1023*(1-N1023)</f>
        <v>9.3062568474402887E-4</v>
      </c>
      <c r="N1023" s="27">
        <f>N1022-Step_h*M1022</f>
        <v>3.2998501130613932E-3</v>
      </c>
    </row>
    <row r="1025" spans="4:5" x14ac:dyDescent="0.45">
      <c r="D1025" t="s">
        <v>15</v>
      </c>
      <c r="E1025" s="15">
        <f>E1023-L9</f>
        <v>1.4141662644240327E-5</v>
      </c>
    </row>
  </sheetData>
  <conditionalFormatting sqref="E1025">
    <cfRule type="cellIs" dxfId="1" priority="1" operator="notBetween">
      <formula>0</formula>
      <formula>0.00002</formula>
    </cfRule>
    <cfRule type="cellIs" dxfId="0" priority="2" operator="between">
      <formula>0</formula>
      <formula>0.00002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Sheet1</vt:lpstr>
      <vt:lpstr>Age</vt:lpstr>
      <vt:lpstr>B</vt:lpstr>
      <vt:lpstr>c_gom</vt:lpstr>
      <vt:lpstr>delta</vt:lpstr>
      <vt:lpstr>Prem</vt:lpstr>
      <vt:lpstr>Step_h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sharpe</dc:creator>
  <cp:keywords/>
  <dc:description/>
  <cp:lastModifiedBy>Marcus Gwee Wen Hong</cp:lastModifiedBy>
  <cp:revision/>
  <dcterms:created xsi:type="dcterms:W3CDTF">2021-02-04T10:14:44Z</dcterms:created>
  <dcterms:modified xsi:type="dcterms:W3CDTF">2026-01-29T12:06:21Z</dcterms:modified>
  <cp:category/>
  <cp:contentStatus/>
</cp:coreProperties>
</file>