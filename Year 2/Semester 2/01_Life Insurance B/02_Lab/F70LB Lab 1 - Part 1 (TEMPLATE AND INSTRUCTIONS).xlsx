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02_Lab/"/>
    </mc:Choice>
  </mc:AlternateContent>
  <xr:revisionPtr revIDLastSave="73" documentId="13_ncr:1_{27C44613-252C-437A-A82C-C4ED1F833BEF}" xr6:coauthVersionLast="47" xr6:coauthVersionMax="47" xr10:uidLastSave="{8F03B4B0-E460-428E-BDC8-73043E9E8CED}"/>
  <bookViews>
    <workbookView xWindow="-98" yWindow="-98" windowWidth="21795" windowHeight="12975" activeTab="3" xr2:uid="{29CBA4D8-53F9-48B3-8768-060ABC827BF8}"/>
  </bookViews>
  <sheets>
    <sheet name="Instructions" sheetId="5" r:id="rId1"/>
    <sheet name="Colour key" sheetId="4" r:id="rId2"/>
    <sheet name="Question 1" sheetId="8" r:id="rId3"/>
    <sheet name="Question 2" sheetId="7" r:id="rId4"/>
  </sheets>
  <definedNames>
    <definedName name="gompertz_B">Instructions!$L$7</definedName>
    <definedName name="gompertz_c">Instructions!$L$8</definedName>
    <definedName name="gompertz_g">#REF!</definedName>
    <definedName name="InitialAge">#REF!</definedName>
    <definedName name="InitialAgeQ2">#REF!</definedName>
    <definedName name="IntRate">#REF!</definedName>
    <definedName name="IntRateQ2">#REF!</definedName>
    <definedName name="lx_ELT15_female">Instructions!$C$10:$D$17</definedName>
    <definedName name="StepsEachYear">#REF!</definedName>
    <definedName name="StepsEachYearQ2">#REF!</definedName>
    <definedName name="StepSize">#REF!</definedName>
    <definedName name="StepSizeQ2">#REF!</definedName>
    <definedName name="Terminal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7" l="1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26" i="7"/>
  <c r="D27" i="7"/>
  <c r="D28" i="7" s="1"/>
  <c r="H19" i="8"/>
  <c r="H27" i="8"/>
  <c r="H28" i="8"/>
  <c r="H29" i="8"/>
  <c r="H30" i="8"/>
  <c r="H31" i="8"/>
  <c r="H32" i="8"/>
  <c r="H33" i="8"/>
  <c r="H34" i="8"/>
  <c r="H35" i="8"/>
  <c r="H26" i="8"/>
  <c r="E27" i="8"/>
  <c r="F27" i="8"/>
  <c r="G27" i="8"/>
  <c r="E28" i="8"/>
  <c r="F28" i="8"/>
  <c r="G28" i="8"/>
  <c r="E29" i="8"/>
  <c r="F29" i="8"/>
  <c r="G29" i="8"/>
  <c r="E30" i="8"/>
  <c r="F30" i="8"/>
  <c r="G30" i="8"/>
  <c r="E31" i="8"/>
  <c r="F31" i="8"/>
  <c r="G31" i="8"/>
  <c r="E32" i="8"/>
  <c r="F32" i="8"/>
  <c r="G32" i="8"/>
  <c r="E33" i="8"/>
  <c r="F33" i="8"/>
  <c r="G33" i="8"/>
  <c r="E34" i="8"/>
  <c r="F34" i="8"/>
  <c r="G34" i="8"/>
  <c r="E35" i="8"/>
  <c r="F35" i="8"/>
  <c r="G35" i="8"/>
  <c r="F26" i="8"/>
  <c r="G26" i="8"/>
  <c r="E26" i="8"/>
  <c r="D29" i="7" l="1"/>
  <c r="G22" i="8"/>
  <c r="F22" i="8"/>
  <c r="E22" i="8"/>
  <c r="C26" i="8"/>
  <c r="D26" i="8" s="1"/>
  <c r="B27" i="8"/>
  <c r="B28" i="8" s="1"/>
  <c r="B29" i="8" s="1"/>
  <c r="B30" i="8" s="1"/>
  <c r="B31" i="8" s="1"/>
  <c r="B32" i="8" s="1"/>
  <c r="B33" i="8" s="1"/>
  <c r="B34" i="8" s="1"/>
  <c r="B35" i="8" s="1"/>
  <c r="B26" i="7"/>
  <c r="A27" i="7"/>
  <c r="B27" i="7" s="1"/>
  <c r="D30" i="7" l="1"/>
  <c r="C28" i="8"/>
  <c r="C32" i="8"/>
  <c r="C30" i="8"/>
  <c r="C29" i="8"/>
  <c r="C35" i="8"/>
  <c r="C27" i="8"/>
  <c r="C31" i="8"/>
  <c r="C34" i="8"/>
  <c r="D28" i="8"/>
  <c r="C33" i="8"/>
  <c r="A28" i="7"/>
  <c r="D31" i="7" l="1"/>
  <c r="D35" i="8"/>
  <c r="D27" i="8"/>
  <c r="D30" i="8"/>
  <c r="D33" i="8"/>
  <c r="D34" i="8"/>
  <c r="D32" i="8"/>
  <c r="D29" i="8"/>
  <c r="D31" i="8"/>
  <c r="B28" i="7"/>
  <c r="A29" i="7"/>
  <c r="D32" i="7" l="1"/>
  <c r="B29" i="7"/>
  <c r="A30" i="7"/>
  <c r="D33" i="7" l="1"/>
  <c r="B30" i="7"/>
  <c r="A31" i="7"/>
  <c r="D34" i="7" l="1"/>
  <c r="B31" i="7"/>
  <c r="A32" i="7"/>
  <c r="D35" i="7" l="1"/>
  <c r="B32" i="7"/>
  <c r="A33" i="7"/>
  <c r="D36" i="7" l="1"/>
  <c r="B33" i="7"/>
  <c r="A34" i="7"/>
  <c r="D37" i="7" l="1"/>
  <c r="B34" i="7"/>
  <c r="A35" i="7"/>
  <c r="D38" i="7" l="1"/>
  <c r="B35" i="7"/>
  <c r="A36" i="7"/>
  <c r="D39" i="7" l="1"/>
  <c r="B36" i="7"/>
  <c r="A37" i="7"/>
  <c r="D40" i="7" l="1"/>
  <c r="B37" i="7"/>
  <c r="A38" i="7"/>
  <c r="D41" i="7" l="1"/>
  <c r="B38" i="7"/>
  <c r="A39" i="7"/>
  <c r="D42" i="7" l="1"/>
  <c r="B39" i="7"/>
  <c r="A40" i="7"/>
  <c r="D43" i="7" l="1"/>
  <c r="B40" i="7"/>
  <c r="A41" i="7"/>
  <c r="D44" i="7" l="1"/>
  <c r="B41" i="7"/>
  <c r="A42" i="7"/>
  <c r="D45" i="7" l="1"/>
  <c r="B42" i="7"/>
  <c r="A43" i="7"/>
  <c r="D46" i="7" l="1"/>
  <c r="B43" i="7"/>
  <c r="A44" i="7"/>
  <c r="D47" i="7" l="1"/>
  <c r="B44" i="7"/>
  <c r="A45" i="7"/>
  <c r="D48" i="7" l="1"/>
  <c r="B45" i="7"/>
  <c r="A46" i="7"/>
  <c r="D49" i="7" l="1"/>
  <c r="B46" i="7"/>
  <c r="A47" i="7"/>
  <c r="D50" i="7" l="1"/>
  <c r="B47" i="7"/>
  <c r="A48" i="7"/>
  <c r="D51" i="7" l="1"/>
  <c r="B48" i="7"/>
  <c r="A49" i="7"/>
  <c r="D52" i="7" l="1"/>
  <c r="B49" i="7"/>
  <c r="A50" i="7"/>
  <c r="D53" i="7" l="1"/>
  <c r="B50" i="7"/>
  <c r="A51" i="7"/>
  <c r="D54" i="7" l="1"/>
  <c r="B51" i="7"/>
  <c r="A52" i="7"/>
  <c r="D55" i="7" l="1"/>
  <c r="B52" i="7"/>
  <c r="A53" i="7"/>
  <c r="D56" i="7" l="1"/>
  <c r="B53" i="7"/>
  <c r="A54" i="7"/>
  <c r="D57" i="7" l="1"/>
  <c r="B54" i="7"/>
  <c r="A55" i="7"/>
  <c r="D58" i="7" l="1"/>
  <c r="B55" i="7"/>
  <c r="A56" i="7"/>
  <c r="D59" i="7" l="1"/>
  <c r="B56" i="7"/>
  <c r="A57" i="7"/>
  <c r="D60" i="7" l="1"/>
  <c r="B57" i="7"/>
  <c r="A58" i="7"/>
  <c r="D61" i="7" l="1"/>
  <c r="B58" i="7"/>
  <c r="A59" i="7"/>
  <c r="D62" i="7" l="1"/>
  <c r="B59" i="7"/>
  <c r="A60" i="7"/>
  <c r="D63" i="7" l="1"/>
  <c r="B60" i="7"/>
  <c r="A61" i="7"/>
  <c r="D64" i="7" l="1"/>
  <c r="B61" i="7"/>
  <c r="A62" i="7"/>
  <c r="D65" i="7" l="1"/>
  <c r="B62" i="7"/>
  <c r="A63" i="7"/>
  <c r="D66" i="7" l="1"/>
  <c r="B63" i="7"/>
  <c r="A64" i="7"/>
  <c r="D67" i="7" l="1"/>
  <c r="B64" i="7"/>
  <c r="A65" i="7"/>
  <c r="D68" i="7" l="1"/>
  <c r="B65" i="7"/>
  <c r="A66" i="7"/>
  <c r="D69" i="7" l="1"/>
  <c r="B66" i="7"/>
  <c r="A67" i="7"/>
  <c r="D70" i="7" l="1"/>
  <c r="B67" i="7"/>
  <c r="A68" i="7"/>
  <c r="D71" i="7" l="1"/>
  <c r="B68" i="7"/>
  <c r="A69" i="7"/>
  <c r="D72" i="7" l="1"/>
  <c r="B69" i="7"/>
  <c r="A70" i="7"/>
  <c r="D73" i="7" l="1"/>
  <c r="B70" i="7"/>
  <c r="A71" i="7"/>
  <c r="D74" i="7" l="1"/>
  <c r="B71" i="7"/>
  <c r="A72" i="7"/>
  <c r="D75" i="7" l="1"/>
  <c r="B72" i="7"/>
  <c r="A73" i="7"/>
  <c r="D76" i="7" l="1"/>
  <c r="B73" i="7"/>
  <c r="A74" i="7"/>
  <c r="D77" i="7" l="1"/>
  <c r="B74" i="7"/>
  <c r="A75" i="7"/>
  <c r="D78" i="7" l="1"/>
  <c r="B75" i="7"/>
  <c r="A76" i="7"/>
  <c r="D79" i="7" l="1"/>
  <c r="B76" i="7"/>
  <c r="A77" i="7"/>
  <c r="D80" i="7" l="1"/>
  <c r="B77" i="7"/>
  <c r="A78" i="7"/>
  <c r="D81" i="7" l="1"/>
  <c r="E80" i="7" a="1"/>
  <c r="E80" i="7" s="1"/>
  <c r="E78" i="7" a="1"/>
  <c r="E78" i="7" s="1"/>
  <c r="E76" i="7" a="1"/>
  <c r="E76" i="7" s="1"/>
  <c r="E74" i="7" a="1"/>
  <c r="E74" i="7" s="1"/>
  <c r="B78" i="7"/>
  <c r="A79" i="7"/>
  <c r="E81" i="7" l="1" a="1"/>
  <c r="E81" i="7" s="1"/>
  <c r="E30" i="7" a="1"/>
  <c r="E30" i="7" s="1"/>
  <c r="F16" i="7" s="1"/>
  <c r="E31" i="7" a="1"/>
  <c r="E31" i="7" s="1"/>
  <c r="E29" i="7" a="1"/>
  <c r="E29" i="7" s="1"/>
  <c r="E28" i="7" a="1"/>
  <c r="E28" i="7" s="1"/>
  <c r="E26" i="7" a="1"/>
  <c r="E26" i="7" s="1"/>
  <c r="E27" i="7" a="1"/>
  <c r="E27" i="7" s="1"/>
  <c r="E34" i="7" a="1"/>
  <c r="E34" i="7" s="1"/>
  <c r="E33" i="7" a="1"/>
  <c r="E33" i="7" s="1"/>
  <c r="E32" i="7" a="1"/>
  <c r="E32" i="7" s="1"/>
  <c r="E35" i="7" a="1"/>
  <c r="E35" i="7" s="1"/>
  <c r="E36" i="7" a="1"/>
  <c r="E36" i="7" s="1"/>
  <c r="E37" i="7" a="1"/>
  <c r="E37" i="7" s="1"/>
  <c r="E39" i="7" a="1"/>
  <c r="E39" i="7" s="1"/>
  <c r="E38" i="7" a="1"/>
  <c r="E38" i="7" s="1"/>
  <c r="E40" i="7" a="1"/>
  <c r="E40" i="7" s="1"/>
  <c r="E41" i="7" a="1"/>
  <c r="E41" i="7" s="1"/>
  <c r="E43" i="7" a="1"/>
  <c r="E43" i="7" s="1"/>
  <c r="E42" i="7" a="1"/>
  <c r="E42" i="7" s="1"/>
  <c r="E44" i="7" a="1"/>
  <c r="E44" i="7" s="1"/>
  <c r="E45" i="7" a="1"/>
  <c r="E45" i="7" s="1"/>
  <c r="E49" i="7" a="1"/>
  <c r="E49" i="7" s="1"/>
  <c r="E46" i="7" a="1"/>
  <c r="E46" i="7" s="1"/>
  <c r="E48" i="7" a="1"/>
  <c r="E48" i="7" s="1"/>
  <c r="E47" i="7" a="1"/>
  <c r="E47" i="7" s="1"/>
  <c r="E50" i="7" a="1"/>
  <c r="E50" i="7" s="1"/>
  <c r="E54" i="7" a="1"/>
  <c r="E54" i="7" s="1"/>
  <c r="E52" i="7" a="1"/>
  <c r="E52" i="7" s="1"/>
  <c r="E53" i="7" a="1"/>
  <c r="E53" i="7" s="1"/>
  <c r="E51" i="7" a="1"/>
  <c r="E51" i="7" s="1"/>
  <c r="E58" i="7" a="1"/>
  <c r="E58" i="7" s="1"/>
  <c r="E56" i="7" a="1"/>
  <c r="E56" i="7" s="1"/>
  <c r="E55" i="7" a="1"/>
  <c r="E55" i="7" s="1"/>
  <c r="E57" i="7" a="1"/>
  <c r="E57" i="7" s="1"/>
  <c r="E62" i="7" a="1"/>
  <c r="E62" i="7" s="1"/>
  <c r="E60" i="7" a="1"/>
  <c r="E60" i="7" s="1"/>
  <c r="E59" i="7" a="1"/>
  <c r="E59" i="7" s="1"/>
  <c r="E64" i="7" a="1"/>
  <c r="E64" i="7" s="1"/>
  <c r="E61" i="7" a="1"/>
  <c r="E61" i="7" s="1"/>
  <c r="E63" i="7" a="1"/>
  <c r="E63" i="7" s="1"/>
  <c r="E67" i="7" a="1"/>
  <c r="E67" i="7" s="1"/>
  <c r="E66" i="7" a="1"/>
  <c r="E66" i="7" s="1"/>
  <c r="E65" i="7" a="1"/>
  <c r="E65" i="7" s="1"/>
  <c r="E68" i="7" a="1"/>
  <c r="E68" i="7" s="1"/>
  <c r="E69" i="7" a="1"/>
  <c r="E69" i="7" s="1"/>
  <c r="E70" i="7" a="1"/>
  <c r="E70" i="7" s="1"/>
  <c r="E71" i="7" a="1"/>
  <c r="E71" i="7" s="1"/>
  <c r="E72" i="7" a="1"/>
  <c r="E72" i="7" s="1"/>
  <c r="E79" i="7" a="1"/>
  <c r="E79" i="7" s="1"/>
  <c r="E77" i="7" a="1"/>
  <c r="E77" i="7" s="1"/>
  <c r="E75" i="7" a="1"/>
  <c r="E75" i="7" s="1"/>
  <c r="E73" i="7" a="1"/>
  <c r="E73" i="7" s="1"/>
  <c r="B79" i="7"/>
  <c r="A80" i="7"/>
  <c r="F15" i="7" l="1"/>
  <c r="F17" i="7" s="1"/>
  <c r="B16" i="7"/>
  <c r="B80" i="7"/>
  <c r="A81" i="7"/>
  <c r="B8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6" authorId="0" shapeId="0" xr:uid="{98151C9A-1520-431A-BD6C-2047DF91D2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<sst xmlns="http://schemas.openxmlformats.org/spreadsheetml/2006/main" count="75" uniqueCount="68">
  <si>
    <t>Instructions</t>
  </si>
  <si>
    <t>(Note: If you would like to view these instructions at the same time as other sheets then you can use View&gt;New Window to create a second window.)</t>
  </si>
  <si>
    <t>Colour keys</t>
  </si>
  <si>
    <t xml:space="preserve">The colours below are used to make the worksheet more readable and easier to check. </t>
  </si>
  <si>
    <t>Using a colour key like this is considered good practice in the workplace.</t>
  </si>
  <si>
    <t xml:space="preserve">At the start of your career, it is especially important that you produce work that is easy to read, reuse and check. </t>
  </si>
  <si>
    <t xml:space="preserve">Your colleagues will appreciate it! And it is more efficient because it saves time for the more senior people. </t>
  </si>
  <si>
    <t>Not all of this key will be required in simple spreadsheets.</t>
  </si>
  <si>
    <t>Our colour key</t>
  </si>
  <si>
    <t>Parameters/inputs</t>
  </si>
  <si>
    <t>Data/values</t>
  </si>
  <si>
    <t>Calculations and text</t>
  </si>
  <si>
    <t>Discontinuous formulas are highlighted</t>
  </si>
  <si>
    <t>Value looked up from data</t>
  </si>
  <si>
    <t>Results</t>
  </si>
  <si>
    <t>Calculations</t>
  </si>
  <si>
    <t>Question 1</t>
  </si>
  <si>
    <t>Question 2</t>
  </si>
  <si>
    <t>Estimate the following using Repeated Simpson's Rule with 10 steps:</t>
  </si>
  <si>
    <t>How close is this estimate to the exact answer?</t>
  </si>
  <si>
    <r>
      <t xml:space="preserve">(a) 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>p</t>
    </r>
    <r>
      <rPr>
        <vertAlign val="subscript"/>
        <sz val="10"/>
        <rFont val="Arial"/>
        <family val="2"/>
      </rPr>
      <t>65</t>
    </r>
    <r>
      <rPr>
        <sz val="10"/>
        <rFont val="Arial"/>
        <family val="2"/>
      </rPr>
      <t xml:space="preserve"> for each t=0,1,2,...</t>
    </r>
  </si>
  <si>
    <t>(Optional: If you like, you can use "data validation" to ensure the user enters a valid integer.)</t>
  </si>
  <si>
    <r>
      <t xml:space="preserve">(b) Using XLOOKUP(), allow the user to enter one value for t (from t=0,1,2,…,55) and display the corresponding 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>p</t>
    </r>
    <r>
      <rPr>
        <vertAlign val="subscript"/>
        <sz val="10"/>
        <rFont val="Arial"/>
        <family val="2"/>
      </rPr>
      <t>65</t>
    </r>
  </si>
  <si>
    <t>Use the Uniform Distribution of Deaths assumption to calculate your answer.</t>
  </si>
  <si>
    <t>S1PMA</t>
  </si>
  <si>
    <r>
      <t>q</t>
    </r>
    <r>
      <rPr>
        <b/>
        <vertAlign val="subscript"/>
        <sz val="10"/>
        <rFont val="Arial"/>
        <family val="2"/>
      </rPr>
      <t>x</t>
    </r>
  </si>
  <si>
    <t>Age (x)</t>
  </si>
  <si>
    <t>q(x)</t>
  </si>
  <si>
    <t>Use the following mortality table (called S1PMA) to calculate:</t>
  </si>
  <si>
    <t>Lab 1 - Part 1 - Question 1</t>
  </si>
  <si>
    <t>Inputs and Results</t>
  </si>
  <si>
    <t>Lab 1 - Part 1 - Question 2</t>
  </si>
  <si>
    <t>Age x</t>
  </si>
  <si>
    <r>
      <t>p</t>
    </r>
    <r>
      <rPr>
        <b/>
        <vertAlign val="subscript"/>
        <sz val="10"/>
        <rFont val="Arial"/>
        <family val="2"/>
      </rPr>
      <t>x</t>
    </r>
  </si>
  <si>
    <r>
      <rPr>
        <b/>
        <vertAlign val="subscript"/>
        <sz val="10"/>
        <rFont val="Arial"/>
        <family val="2"/>
      </rPr>
      <t>t</t>
    </r>
    <r>
      <rPr>
        <b/>
        <sz val="10"/>
        <rFont val="Arial"/>
        <family val="2"/>
      </rPr>
      <t>p</t>
    </r>
    <r>
      <rPr>
        <b/>
        <vertAlign val="subscript"/>
        <sz val="10"/>
        <rFont val="Arial"/>
        <family val="2"/>
      </rPr>
      <t>65</t>
    </r>
  </si>
  <si>
    <t>Time t</t>
  </si>
  <si>
    <t>t (integer 0 to 55)</t>
  </si>
  <si>
    <t xml:space="preserve">Input </t>
  </si>
  <si>
    <t>Result</t>
  </si>
  <si>
    <t>(b) Integer lookup:</t>
  </si>
  <si>
    <t>(c) Non-integer lookup:</t>
  </si>
  <si>
    <t>HINT: You will find the function INT() useful to find the non-integer ages on either side.</t>
  </si>
  <si>
    <r>
      <t xml:space="preserve">(c) Repeat part (b), but instead allow the user to enter any </t>
    </r>
    <r>
      <rPr>
        <b/>
        <sz val="10"/>
        <rFont val="Arial"/>
        <family val="2"/>
      </rPr>
      <t>real</t>
    </r>
    <r>
      <rPr>
        <sz val="10"/>
        <rFont val="Arial"/>
        <family val="2"/>
      </rPr>
      <t xml:space="preserve"> value for t from 0 to 55.</t>
    </r>
  </si>
  <si>
    <t>(a) Table calculation</t>
  </si>
  <si>
    <t>See the calculations below.</t>
  </si>
  <si>
    <r>
      <rPr>
        <sz val="10"/>
        <rFont val="Arial"/>
        <family val="2"/>
      </rPr>
      <t>(Part a)</t>
    </r>
    <r>
      <rPr>
        <b/>
        <vertAlign val="subscript"/>
        <sz val="10"/>
        <rFont val="Arial"/>
        <family val="2"/>
      </rPr>
      <t xml:space="preserve"> t</t>
    </r>
    <r>
      <rPr>
        <b/>
        <sz val="10"/>
        <rFont val="Arial"/>
        <family val="2"/>
      </rPr>
      <t>p</t>
    </r>
    <r>
      <rPr>
        <b/>
        <vertAlign val="subscript"/>
        <sz val="10"/>
        <rFont val="Arial"/>
        <family val="2"/>
      </rPr>
      <t>65</t>
    </r>
  </si>
  <si>
    <r>
      <rPr>
        <b/>
        <vertAlign val="subscript"/>
        <sz val="10"/>
        <rFont val="Arial"/>
        <family val="2"/>
      </rPr>
      <t>int(t)</t>
    </r>
    <r>
      <rPr>
        <b/>
        <sz val="10"/>
        <rFont val="Arial"/>
        <family val="2"/>
      </rPr>
      <t>p</t>
    </r>
    <r>
      <rPr>
        <b/>
        <vertAlign val="subscript"/>
        <sz val="10"/>
        <rFont val="Arial"/>
        <family val="2"/>
      </rPr>
      <t>65</t>
    </r>
  </si>
  <si>
    <r>
      <rPr>
        <b/>
        <vertAlign val="subscript"/>
        <sz val="10"/>
        <rFont val="Arial"/>
        <family val="2"/>
      </rPr>
      <t>int(t)+1</t>
    </r>
    <r>
      <rPr>
        <b/>
        <sz val="10"/>
        <rFont val="Arial"/>
        <family val="2"/>
      </rPr>
      <t>p</t>
    </r>
    <r>
      <rPr>
        <b/>
        <vertAlign val="subscript"/>
        <sz val="10"/>
        <rFont val="Arial"/>
        <family val="2"/>
      </rPr>
      <t>65</t>
    </r>
  </si>
  <si>
    <t>t (any number 0 to 55)</t>
  </si>
  <si>
    <t>Start</t>
  </si>
  <si>
    <t>Mid</t>
  </si>
  <si>
    <t>End</t>
  </si>
  <si>
    <t>point</t>
  </si>
  <si>
    <t>Approx</t>
  </si>
  <si>
    <t>a</t>
  </si>
  <si>
    <t>(a+b)/2</t>
  </si>
  <si>
    <t>b</t>
  </si>
  <si>
    <t>f(a)</t>
  </si>
  <si>
    <t>f((a+b)/2)</t>
  </si>
  <si>
    <t>f(b)</t>
  </si>
  <si>
    <t>integral</t>
  </si>
  <si>
    <t>We calculate:</t>
  </si>
  <si>
    <t xml:space="preserve">Using: </t>
  </si>
  <si>
    <t>We split the original integral into 10 integrals between 0 and 1, 1 and 2,…, 9 and 10.</t>
  </si>
  <si>
    <t>Weights</t>
  </si>
  <si>
    <t>The layout below is one way to set this out, but there are other - possibly better! - ways.</t>
  </si>
  <si>
    <t>You can choose whether or not to use this approach. You might find the SUMPRODUCT() formula useful in the final column.</t>
  </si>
  <si>
    <t>This sheet shows one way to set out your results. You can choose a different way if you prefer! Start with the calculations at the bottom.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</si>
</sst>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000"/>
    <numFmt numFmtId="166" formatCode="#,##0.0000"/>
    <numFmt numFmtId="167" formatCode="0.00000"/>
    <numFmt numFmtId="168" formatCode="#,##0.000000"/>
  </numFmts>
  <fonts count="22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u/>
      <sz val="10"/>
      <name val="Arial"/>
      <family val="2"/>
    </font>
    <font>
      <sz val="11"/>
      <color rgb="FFFF00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B050"/>
      <name val="Arial"/>
      <family val="2"/>
    </font>
    <font>
      <b/>
      <u/>
      <sz val="14"/>
      <name val="Arial"/>
      <family val="2"/>
    </font>
    <font>
      <sz val="10"/>
      <color rgb="FFFF66FF"/>
      <name val="Arial"/>
      <family val="2"/>
    </font>
    <font>
      <b/>
      <i/>
      <sz val="10"/>
      <color rgb="FFFF0000"/>
      <name val="Arial"/>
      <family val="2"/>
    </font>
    <font>
      <sz val="10"/>
      <color rgb="FF00B0F0"/>
      <name val="Arial"/>
      <family val="2"/>
    </font>
    <font>
      <b/>
      <u/>
      <sz val="12"/>
      <name val="Arial"/>
      <family val="2"/>
    </font>
    <font>
      <b/>
      <u/>
      <sz val="11"/>
      <color theme="1"/>
      <name val="Aptos Narrow"/>
      <family val="2"/>
      <scheme val="minor"/>
    </font>
    <font>
      <sz val="10"/>
      <color theme="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0" xfId="0" applyFont="1"/>
    <xf numFmtId="0" fontId="6" fillId="0" borderId="0" xfId="0" applyFont="1"/>
    <xf numFmtId="0" fontId="7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2" borderId="5" xfId="0" applyFont="1" applyFill="1" applyBorder="1"/>
    <xf numFmtId="0" fontId="10" fillId="0" borderId="5" xfId="0" applyFont="1" applyBorder="1"/>
    <xf numFmtId="0" fontId="10" fillId="3" borderId="5" xfId="0" applyFont="1" applyFill="1" applyBorder="1"/>
    <xf numFmtId="0" fontId="11" fillId="0" borderId="5" xfId="0" applyFont="1" applyBorder="1"/>
    <xf numFmtId="0" fontId="0" fillId="0" borderId="7" xfId="0" applyBorder="1"/>
    <xf numFmtId="0" fontId="0" fillId="0" borderId="9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0" fillId="0" borderId="3" xfId="0" applyBorder="1"/>
    <xf numFmtId="0" fontId="6" fillId="0" borderId="5" xfId="0" applyFont="1" applyBorder="1"/>
    <xf numFmtId="0" fontId="3" fillId="0" borderId="2" xfId="0" applyFont="1" applyBorder="1"/>
    <xf numFmtId="0" fontId="8" fillId="0" borderId="2" xfId="0" applyFont="1" applyBorder="1"/>
    <xf numFmtId="0" fontId="0" fillId="4" borderId="5" xfId="0" applyFill="1" applyBorder="1"/>
    <xf numFmtId="0" fontId="3" fillId="0" borderId="10" xfId="0" applyFont="1" applyBorder="1" applyAlignment="1">
      <alignment horizontal="center"/>
    </xf>
    <xf numFmtId="0" fontId="17" fillId="0" borderId="0" xfId="0" applyFont="1"/>
    <xf numFmtId="0" fontId="3" fillId="0" borderId="1" xfId="0" applyFont="1" applyBorder="1"/>
    <xf numFmtId="0" fontId="3" fillId="0" borderId="12" xfId="0" applyFont="1" applyBorder="1"/>
    <xf numFmtId="0" fontId="18" fillId="0" borderId="13" xfId="0" applyFont="1" applyBorder="1"/>
    <xf numFmtId="0" fontId="18" fillId="0" borderId="6" xfId="0" applyFont="1" applyBorder="1"/>
    <xf numFmtId="0" fontId="18" fillId="0" borderId="14" xfId="0" applyFont="1" applyBorder="1"/>
    <xf numFmtId="0" fontId="18" fillId="0" borderId="9" xfId="0" applyFont="1" applyBorder="1"/>
    <xf numFmtId="0" fontId="18" fillId="0" borderId="5" xfId="0" applyFont="1" applyBorder="1"/>
    <xf numFmtId="0" fontId="3" fillId="0" borderId="5" xfId="0" applyFont="1" applyBorder="1"/>
    <xf numFmtId="0" fontId="3" fillId="0" borderId="0" xfId="0" applyFont="1" applyAlignment="1">
      <alignment horizontal="center"/>
    </xf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165" fontId="14" fillId="0" borderId="0" xfId="0" applyNumberFormat="1" applyFont="1" applyAlignment="1">
      <alignment horizontal="center"/>
    </xf>
    <xf numFmtId="165" fontId="14" fillId="0" borderId="8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5" xfId="0" applyFont="1" applyBorder="1" applyAlignment="1">
      <alignment horizontal="center"/>
    </xf>
    <xf numFmtId="167" fontId="0" fillId="4" borderId="12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9" fillId="0" borderId="0" xfId="0" applyFont="1"/>
    <xf numFmtId="0" fontId="3" fillId="0" borderId="6" xfId="0" applyFont="1" applyBorder="1" applyAlignment="1">
      <alignment horizontal="center"/>
    </xf>
    <xf numFmtId="0" fontId="6" fillId="0" borderId="7" xfId="0" applyFont="1" applyBorder="1"/>
    <xf numFmtId="0" fontId="2" fillId="0" borderId="0" xfId="1"/>
    <xf numFmtId="0" fontId="7" fillId="0" borderId="0" xfId="1" applyFont="1"/>
    <xf numFmtId="0" fontId="20" fillId="0" borderId="0" xfId="1" applyFont="1"/>
    <xf numFmtId="0" fontId="7" fillId="0" borderId="10" xfId="1" applyFont="1" applyBorder="1"/>
    <xf numFmtId="164" fontId="0" fillId="4" borderId="1" xfId="0" applyNumberForma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6" xfId="1" applyFont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0" xfId="1" applyAlignment="1">
      <alignment horizontal="center"/>
    </xf>
    <xf numFmtId="0" fontId="2" fillId="0" borderId="6" xfId="1" applyBorder="1"/>
    <xf numFmtId="0" fontId="2" fillId="0" borderId="7" xfId="1" applyBorder="1" applyAlignment="1">
      <alignment horizontal="center"/>
    </xf>
    <xf numFmtId="0" fontId="2" fillId="0" borderId="8" xfId="1" applyBorder="1" applyAlignment="1">
      <alignment horizontal="center"/>
    </xf>
    <xf numFmtId="0" fontId="2" fillId="0" borderId="8" xfId="1" applyBorder="1"/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4" fontId="2" fillId="0" borderId="8" xfId="1" applyNumberFormat="1" applyBorder="1"/>
    <xf numFmtId="0" fontId="16" fillId="2" borderId="5" xfId="0" applyFont="1" applyFill="1" applyBorder="1"/>
    <xf numFmtId="0" fontId="16" fillId="2" borderId="0" xfId="0" applyFont="1" applyFill="1"/>
    <xf numFmtId="0" fontId="16" fillId="2" borderId="6" xfId="0" applyFont="1" applyFill="1" applyBorder="1"/>
    <xf numFmtId="4" fontId="2" fillId="0" borderId="3" xfId="1" applyNumberFormat="1" applyBorder="1"/>
    <xf numFmtId="0" fontId="0" fillId="0" borderId="2" xfId="0" applyBorder="1"/>
    <xf numFmtId="0" fontId="8" fillId="0" borderId="5" xfId="0" applyFont="1" applyBorder="1"/>
    <xf numFmtId="0" fontId="7" fillId="0" borderId="0" xfId="1" quotePrefix="1" applyFont="1"/>
    <xf numFmtId="0" fontId="2" fillId="0" borderId="7" xfId="1" applyBorder="1"/>
    <xf numFmtId="0" fontId="7" fillId="0" borderId="8" xfId="1" applyFont="1" applyBorder="1" applyAlignment="1">
      <alignment horizontal="left"/>
    </xf>
    <xf numFmtId="0" fontId="1" fillId="0" borderId="0" xfId="1" applyFont="1"/>
    <xf numFmtId="4" fontId="2" fillId="0" borderId="0" xfId="1" applyNumberFormat="1"/>
    <xf numFmtId="4" fontId="2" fillId="0" borderId="2" xfId="1" applyNumberFormat="1" applyBorder="1"/>
    <xf numFmtId="4" fontId="2" fillId="0" borderId="5" xfId="1" applyNumberFormat="1" applyBorder="1"/>
    <xf numFmtId="4" fontId="2" fillId="0" borderId="7" xfId="1" applyNumberFormat="1" applyBorder="1"/>
    <xf numFmtId="0" fontId="2" fillId="0" borderId="15" xfId="1" applyBorder="1"/>
    <xf numFmtId="0" fontId="2" fillId="0" borderId="13" xfId="1" applyBorder="1"/>
    <xf numFmtId="0" fontId="2" fillId="0" borderId="14" xfId="1" applyBorder="1"/>
    <xf numFmtId="168" fontId="0" fillId="0" borderId="6" xfId="0" applyNumberFormat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2">
    <cellStyle name="Normal" xfId="0" builtinId="0"/>
    <cellStyle name="Normal 2" xfId="1" xr:uid="{7D8F7913-A9BF-43C6-877B-7CD3E0DCA89A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6</xdr:row>
      <xdr:rowOff>152400</xdr:rowOff>
    </xdr:from>
    <xdr:to>
      <xdr:col>3</xdr:col>
      <xdr:colOff>695335</xdr:colOff>
      <xdr:row>10</xdr:row>
      <xdr:rowOff>47629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80ACE-83E1-8651-5690-84881922A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825" y="1162050"/>
          <a:ext cx="1409710" cy="5429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152399</xdr:colOff>
      <xdr:row>1</xdr:row>
      <xdr:rowOff>119062</xdr:rowOff>
    </xdr:from>
    <xdr:to>
      <xdr:col>5</xdr:col>
      <xdr:colOff>209549</xdr:colOff>
      <xdr:row>6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2A80C-0CA4-4753-8D3B-E3DE37044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799" y="342900"/>
          <a:ext cx="1995488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595313</xdr:colOff>
      <xdr:row>6</xdr:row>
      <xdr:rowOff>52388</xdr:rowOff>
    </xdr:from>
    <xdr:to>
      <xdr:col>8</xdr:col>
      <xdr:colOff>571500</xdr:colOff>
      <xdr:row>10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5659B1-5464-48AE-A836-432089EE4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013" y="1104901"/>
          <a:ext cx="4562475" cy="6810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1943-2017-47AF-82AC-8473F632A451}">
  <dimension ref="B2:I156"/>
  <sheetViews>
    <sheetView workbookViewId="0"/>
  </sheetViews>
  <sheetFormatPr defaultRowHeight="12.75" x14ac:dyDescent="0.35"/>
  <cols>
    <col min="3" max="3" width="20.19921875" customWidth="1"/>
    <col min="4" max="4" width="22.1328125" customWidth="1"/>
  </cols>
  <sheetData>
    <row r="2" spans="2:9" ht="13.15" x14ac:dyDescent="0.4">
      <c r="B2" s="8" t="s">
        <v>0</v>
      </c>
    </row>
    <row r="3" spans="2:9" x14ac:dyDescent="0.35">
      <c r="B3" s="32" t="s">
        <v>1</v>
      </c>
    </row>
    <row r="4" spans="2:9" ht="13.15" thickBot="1" x14ac:dyDescent="0.4">
      <c r="B4" s="9"/>
    </row>
    <row r="5" spans="2:9" ht="13.15" x14ac:dyDescent="0.4">
      <c r="B5" s="28" t="s">
        <v>16</v>
      </c>
      <c r="C5" s="26"/>
      <c r="D5" s="26"/>
      <c r="E5" s="26"/>
      <c r="F5" s="26"/>
      <c r="G5" s="26"/>
      <c r="H5" s="26"/>
      <c r="I5" s="11"/>
    </row>
    <row r="6" spans="2:9" x14ac:dyDescent="0.35">
      <c r="B6" s="27"/>
      <c r="C6" s="9" t="s">
        <v>18</v>
      </c>
      <c r="I6" s="13"/>
    </row>
    <row r="7" spans="2:9" x14ac:dyDescent="0.35">
      <c r="B7" s="12"/>
      <c r="I7" s="13"/>
    </row>
    <row r="8" spans="2:9" x14ac:dyDescent="0.35">
      <c r="B8" s="12"/>
      <c r="I8" s="13"/>
    </row>
    <row r="9" spans="2:9" x14ac:dyDescent="0.35">
      <c r="B9" s="12"/>
      <c r="I9" s="13"/>
    </row>
    <row r="10" spans="2:9" x14ac:dyDescent="0.35">
      <c r="B10" s="12"/>
      <c r="I10" s="13"/>
    </row>
    <row r="11" spans="2:9" x14ac:dyDescent="0.35">
      <c r="B11" s="12"/>
      <c r="I11" s="13"/>
    </row>
    <row r="12" spans="2:9" x14ac:dyDescent="0.35">
      <c r="B12" s="12"/>
      <c r="C12" s="9" t="s">
        <v>19</v>
      </c>
      <c r="I12" s="13"/>
    </row>
    <row r="13" spans="2:9" x14ac:dyDescent="0.35">
      <c r="B13" s="12"/>
      <c r="I13" s="13"/>
    </row>
    <row r="14" spans="2:9" ht="13.15" x14ac:dyDescent="0.4">
      <c r="B14" s="40" t="s">
        <v>17</v>
      </c>
      <c r="I14" s="13"/>
    </row>
    <row r="15" spans="2:9" x14ac:dyDescent="0.35">
      <c r="B15" s="12"/>
      <c r="I15" s="13"/>
    </row>
    <row r="16" spans="2:9" x14ac:dyDescent="0.35">
      <c r="B16" s="12"/>
      <c r="C16" s="9" t="s">
        <v>28</v>
      </c>
      <c r="I16" s="13"/>
    </row>
    <row r="17" spans="2:9" x14ac:dyDescent="0.35">
      <c r="B17" s="12"/>
      <c r="I17" s="13"/>
    </row>
    <row r="18" spans="2:9" ht="15" x14ac:dyDescent="0.5">
      <c r="B18" s="12"/>
      <c r="C18" s="9" t="s">
        <v>20</v>
      </c>
      <c r="I18" s="13"/>
    </row>
    <row r="19" spans="2:9" x14ac:dyDescent="0.35">
      <c r="B19" s="12"/>
      <c r="I19" s="13"/>
    </row>
    <row r="20" spans="2:9" ht="15" x14ac:dyDescent="0.5">
      <c r="B20" s="12"/>
      <c r="C20" s="9" t="s">
        <v>22</v>
      </c>
      <c r="I20" s="13"/>
    </row>
    <row r="21" spans="2:9" x14ac:dyDescent="0.35">
      <c r="B21" s="12"/>
      <c r="C21" s="9" t="s">
        <v>21</v>
      </c>
      <c r="I21" s="13"/>
    </row>
    <row r="22" spans="2:9" x14ac:dyDescent="0.35">
      <c r="B22" s="12"/>
      <c r="I22" s="13"/>
    </row>
    <row r="23" spans="2:9" ht="13.15" x14ac:dyDescent="0.4">
      <c r="B23" s="12"/>
      <c r="C23" s="9" t="s">
        <v>42</v>
      </c>
      <c r="I23" s="13"/>
    </row>
    <row r="24" spans="2:9" x14ac:dyDescent="0.35">
      <c r="B24" s="12"/>
      <c r="C24" s="9" t="s">
        <v>23</v>
      </c>
      <c r="I24" s="13"/>
    </row>
    <row r="25" spans="2:9" x14ac:dyDescent="0.35">
      <c r="B25" s="12"/>
      <c r="C25" s="9" t="s">
        <v>41</v>
      </c>
      <c r="I25" s="13"/>
    </row>
    <row r="26" spans="2:9" x14ac:dyDescent="0.35">
      <c r="B26" s="12"/>
      <c r="I26" s="13"/>
    </row>
    <row r="27" spans="2:9" ht="13.15" x14ac:dyDescent="0.4">
      <c r="B27" s="12"/>
      <c r="C27" s="8" t="s">
        <v>24</v>
      </c>
      <c r="I27" s="13"/>
    </row>
    <row r="28" spans="2:9" ht="13.15" thickBot="1" x14ac:dyDescent="0.4">
      <c r="B28" s="12"/>
      <c r="I28" s="13"/>
    </row>
    <row r="29" spans="2:9" ht="13.5" thickBot="1" x14ac:dyDescent="0.45">
      <c r="B29" s="12"/>
      <c r="C29" s="33" t="s">
        <v>26</v>
      </c>
      <c r="D29" s="34" t="s">
        <v>27</v>
      </c>
      <c r="I29" s="13"/>
    </row>
    <row r="30" spans="2:9" x14ac:dyDescent="0.35">
      <c r="B30" s="12"/>
      <c r="C30" s="35">
        <v>16</v>
      </c>
      <c r="D30" s="36">
        <v>3.6099999999999999E-4</v>
      </c>
      <c r="I30" s="13"/>
    </row>
    <row r="31" spans="2:9" x14ac:dyDescent="0.35">
      <c r="B31" s="12"/>
      <c r="C31" s="35">
        <v>17</v>
      </c>
      <c r="D31" s="36">
        <v>3.6400000000000001E-4</v>
      </c>
      <c r="I31" s="13"/>
    </row>
    <row r="32" spans="2:9" x14ac:dyDescent="0.35">
      <c r="B32" s="12"/>
      <c r="C32" s="35">
        <v>18</v>
      </c>
      <c r="D32" s="36">
        <v>3.68E-4</v>
      </c>
      <c r="I32" s="13"/>
    </row>
    <row r="33" spans="2:9" x14ac:dyDescent="0.35">
      <c r="B33" s="12"/>
      <c r="C33" s="35">
        <v>19</v>
      </c>
      <c r="D33" s="36">
        <v>3.7300000000000001E-4</v>
      </c>
      <c r="I33" s="13"/>
    </row>
    <row r="34" spans="2:9" x14ac:dyDescent="0.35">
      <c r="B34" s="12"/>
      <c r="C34" s="35">
        <v>20</v>
      </c>
      <c r="D34" s="36">
        <v>3.79E-4</v>
      </c>
      <c r="I34" s="13"/>
    </row>
    <row r="35" spans="2:9" x14ac:dyDescent="0.35">
      <c r="B35" s="12"/>
      <c r="C35" s="35">
        <v>21</v>
      </c>
      <c r="D35" s="36">
        <v>3.86E-4</v>
      </c>
      <c r="I35" s="13"/>
    </row>
    <row r="36" spans="2:9" x14ac:dyDescent="0.35">
      <c r="B36" s="12"/>
      <c r="C36" s="35">
        <v>22</v>
      </c>
      <c r="D36" s="36">
        <v>3.9500000000000001E-4</v>
      </c>
      <c r="I36" s="13"/>
    </row>
    <row r="37" spans="2:9" x14ac:dyDescent="0.35">
      <c r="B37" s="12"/>
      <c r="C37" s="35">
        <v>23</v>
      </c>
      <c r="D37" s="36">
        <v>4.06E-4</v>
      </c>
      <c r="I37" s="13"/>
    </row>
    <row r="38" spans="2:9" x14ac:dyDescent="0.35">
      <c r="B38" s="12"/>
      <c r="C38" s="35">
        <v>24</v>
      </c>
      <c r="D38" s="36">
        <v>4.1899999999999999E-4</v>
      </c>
      <c r="I38" s="13"/>
    </row>
    <row r="39" spans="2:9" x14ac:dyDescent="0.35">
      <c r="B39" s="12"/>
      <c r="C39" s="35">
        <v>25</v>
      </c>
      <c r="D39" s="36">
        <v>4.3399999999999998E-4</v>
      </c>
      <c r="I39" s="13"/>
    </row>
    <row r="40" spans="2:9" x14ac:dyDescent="0.35">
      <c r="B40" s="12"/>
      <c r="C40" s="35">
        <v>26</v>
      </c>
      <c r="D40" s="36">
        <v>4.5300000000000001E-4</v>
      </c>
      <c r="I40" s="13"/>
    </row>
    <row r="41" spans="2:9" x14ac:dyDescent="0.35">
      <c r="B41" s="12"/>
      <c r="C41" s="35">
        <v>27</v>
      </c>
      <c r="D41" s="36">
        <v>4.75E-4</v>
      </c>
      <c r="I41" s="13"/>
    </row>
    <row r="42" spans="2:9" x14ac:dyDescent="0.35">
      <c r="B42" s="12"/>
      <c r="C42" s="35">
        <v>28</v>
      </c>
      <c r="D42" s="36">
        <v>5.0199999999999995E-4</v>
      </c>
      <c r="I42" s="13"/>
    </row>
    <row r="43" spans="2:9" x14ac:dyDescent="0.35">
      <c r="B43" s="12"/>
      <c r="C43" s="35">
        <v>29</v>
      </c>
      <c r="D43" s="36">
        <v>5.3300000000000005E-4</v>
      </c>
      <c r="I43" s="13"/>
    </row>
    <row r="44" spans="2:9" x14ac:dyDescent="0.35">
      <c r="B44" s="12"/>
      <c r="C44" s="35">
        <v>30</v>
      </c>
      <c r="D44" s="36">
        <v>5.6899999999999995E-4</v>
      </c>
      <c r="I44" s="13"/>
    </row>
    <row r="45" spans="2:9" x14ac:dyDescent="0.35">
      <c r="B45" s="12"/>
      <c r="C45" s="35">
        <v>31</v>
      </c>
      <c r="D45" s="36">
        <v>6.11E-4</v>
      </c>
      <c r="I45" s="13"/>
    </row>
    <row r="46" spans="2:9" x14ac:dyDescent="0.35">
      <c r="B46" s="12"/>
      <c r="C46" s="35">
        <v>32</v>
      </c>
      <c r="D46" s="36">
        <v>6.6E-4</v>
      </c>
      <c r="I46" s="13"/>
    </row>
    <row r="47" spans="2:9" x14ac:dyDescent="0.35">
      <c r="B47" s="12"/>
      <c r="C47" s="35">
        <v>33</v>
      </c>
      <c r="D47" s="36">
        <v>7.1599999999999995E-4</v>
      </c>
      <c r="I47" s="13"/>
    </row>
    <row r="48" spans="2:9" x14ac:dyDescent="0.35">
      <c r="B48" s="12"/>
      <c r="C48" s="35">
        <v>34</v>
      </c>
      <c r="D48" s="36">
        <v>7.8100000000000001E-4</v>
      </c>
      <c r="I48" s="13"/>
    </row>
    <row r="49" spans="2:9" x14ac:dyDescent="0.35">
      <c r="B49" s="12"/>
      <c r="C49" s="35">
        <v>35</v>
      </c>
      <c r="D49" s="36">
        <v>8.5400000000000005E-4</v>
      </c>
      <c r="I49" s="13"/>
    </row>
    <row r="50" spans="2:9" x14ac:dyDescent="0.35">
      <c r="B50" s="12"/>
      <c r="C50" s="35">
        <v>36</v>
      </c>
      <c r="D50" s="36">
        <v>9.3700000000000001E-4</v>
      </c>
      <c r="I50" s="13"/>
    </row>
    <row r="51" spans="2:9" x14ac:dyDescent="0.35">
      <c r="B51" s="12"/>
      <c r="C51" s="35">
        <v>37</v>
      </c>
      <c r="D51" s="36">
        <v>1.031E-3</v>
      </c>
      <c r="I51" s="13"/>
    </row>
    <row r="52" spans="2:9" x14ac:dyDescent="0.35">
      <c r="B52" s="12"/>
      <c r="C52" s="35">
        <v>38</v>
      </c>
      <c r="D52" s="36">
        <v>1.1360000000000001E-3</v>
      </c>
      <c r="I52" s="13"/>
    </row>
    <row r="53" spans="2:9" x14ac:dyDescent="0.35">
      <c r="B53" s="12"/>
      <c r="C53" s="35">
        <v>39</v>
      </c>
      <c r="D53" s="36">
        <v>1.2520000000000001E-3</v>
      </c>
      <c r="I53" s="13"/>
    </row>
    <row r="54" spans="2:9" x14ac:dyDescent="0.35">
      <c r="B54" s="12"/>
      <c r="C54" s="35">
        <v>40</v>
      </c>
      <c r="D54" s="36">
        <v>1.382E-3</v>
      </c>
      <c r="I54" s="13"/>
    </row>
    <row r="55" spans="2:9" x14ac:dyDescent="0.35">
      <c r="B55" s="12"/>
      <c r="C55" s="35">
        <v>41</v>
      </c>
      <c r="D55" s="36">
        <v>1.524E-3</v>
      </c>
      <c r="I55" s="13"/>
    </row>
    <row r="56" spans="2:9" x14ac:dyDescent="0.35">
      <c r="B56" s="12"/>
      <c r="C56" s="35">
        <v>42</v>
      </c>
      <c r="D56" s="36">
        <v>1.6789999999999999E-3</v>
      </c>
      <c r="I56" s="13"/>
    </row>
    <row r="57" spans="2:9" x14ac:dyDescent="0.35">
      <c r="B57" s="12"/>
      <c r="C57" s="35">
        <v>43</v>
      </c>
      <c r="D57" s="36">
        <v>1.848E-3</v>
      </c>
      <c r="I57" s="13"/>
    </row>
    <row r="58" spans="2:9" x14ac:dyDescent="0.35">
      <c r="B58" s="12"/>
      <c r="C58" s="35">
        <v>44</v>
      </c>
      <c r="D58" s="36">
        <v>2.0309999999999998E-3</v>
      </c>
      <c r="I58" s="13"/>
    </row>
    <row r="59" spans="2:9" x14ac:dyDescent="0.35">
      <c r="B59" s="12"/>
      <c r="C59" s="35">
        <v>45</v>
      </c>
      <c r="D59" s="36">
        <v>2.2269999999999998E-3</v>
      </c>
      <c r="I59" s="13"/>
    </row>
    <row r="60" spans="2:9" x14ac:dyDescent="0.35">
      <c r="B60" s="12"/>
      <c r="C60" s="35">
        <v>46</v>
      </c>
      <c r="D60" s="36">
        <v>2.4359999999999998E-3</v>
      </c>
      <c r="I60" s="13"/>
    </row>
    <row r="61" spans="2:9" x14ac:dyDescent="0.35">
      <c r="B61" s="12"/>
      <c r="C61" s="35">
        <v>47</v>
      </c>
      <c r="D61" s="36">
        <v>2.6570000000000001E-3</v>
      </c>
      <c r="I61" s="13"/>
    </row>
    <row r="62" spans="2:9" x14ac:dyDescent="0.35">
      <c r="B62" s="12"/>
      <c r="C62" s="35">
        <v>48</v>
      </c>
      <c r="D62" s="36">
        <v>2.8900000000000002E-3</v>
      </c>
      <c r="I62" s="13"/>
    </row>
    <row r="63" spans="2:9" x14ac:dyDescent="0.35">
      <c r="B63" s="12"/>
      <c r="C63" s="35">
        <v>49</v>
      </c>
      <c r="D63" s="36">
        <v>3.1329999999999999E-3</v>
      </c>
      <c r="I63" s="13"/>
    </row>
    <row r="64" spans="2:9" x14ac:dyDescent="0.35">
      <c r="B64" s="12"/>
      <c r="C64" s="35">
        <v>50</v>
      </c>
      <c r="D64" s="36">
        <v>3.385E-3</v>
      </c>
      <c r="I64" s="13"/>
    </row>
    <row r="65" spans="2:9" x14ac:dyDescent="0.35">
      <c r="B65" s="12"/>
      <c r="C65" s="35">
        <v>51</v>
      </c>
      <c r="D65" s="36">
        <v>3.6440000000000001E-3</v>
      </c>
      <c r="I65" s="13"/>
    </row>
    <row r="66" spans="2:9" x14ac:dyDescent="0.35">
      <c r="B66" s="12"/>
      <c r="C66" s="35">
        <v>52</v>
      </c>
      <c r="D66" s="36">
        <v>3.9090000000000001E-3</v>
      </c>
      <c r="I66" s="13"/>
    </row>
    <row r="67" spans="2:9" x14ac:dyDescent="0.35">
      <c r="B67" s="12"/>
      <c r="C67" s="35">
        <v>53</v>
      </c>
      <c r="D67" s="36">
        <v>4.176E-3</v>
      </c>
      <c r="I67" s="13"/>
    </row>
    <row r="68" spans="2:9" x14ac:dyDescent="0.35">
      <c r="B68" s="12"/>
      <c r="C68" s="35">
        <v>54</v>
      </c>
      <c r="D68" s="36">
        <v>4.4450000000000002E-3</v>
      </c>
      <c r="I68" s="13"/>
    </row>
    <row r="69" spans="2:9" x14ac:dyDescent="0.35">
      <c r="B69" s="12"/>
      <c r="C69" s="35">
        <v>55</v>
      </c>
      <c r="D69" s="36">
        <v>4.7200000000000002E-3</v>
      </c>
      <c r="I69" s="13"/>
    </row>
    <row r="70" spans="2:9" x14ac:dyDescent="0.35">
      <c r="B70" s="12"/>
      <c r="C70" s="35">
        <v>56</v>
      </c>
      <c r="D70" s="36">
        <v>5.032E-3</v>
      </c>
      <c r="I70" s="13"/>
    </row>
    <row r="71" spans="2:9" x14ac:dyDescent="0.35">
      <c r="B71" s="12"/>
      <c r="C71" s="35">
        <v>57</v>
      </c>
      <c r="D71" s="36">
        <v>5.3940000000000004E-3</v>
      </c>
      <c r="I71" s="13"/>
    </row>
    <row r="72" spans="2:9" x14ac:dyDescent="0.35">
      <c r="B72" s="12"/>
      <c r="C72" s="35">
        <v>58</v>
      </c>
      <c r="D72" s="36">
        <v>5.8149999999999999E-3</v>
      </c>
      <c r="I72" s="13"/>
    </row>
    <row r="73" spans="2:9" x14ac:dyDescent="0.35">
      <c r="B73" s="12"/>
      <c r="C73" s="35">
        <v>59</v>
      </c>
      <c r="D73" s="36">
        <v>6.3020000000000003E-3</v>
      </c>
      <c r="I73" s="13"/>
    </row>
    <row r="74" spans="2:9" x14ac:dyDescent="0.35">
      <c r="B74" s="12"/>
      <c r="C74" s="35">
        <v>60</v>
      </c>
      <c r="D74" s="36">
        <v>6.8649999999999996E-3</v>
      </c>
      <c r="I74" s="13"/>
    </row>
    <row r="75" spans="2:9" x14ac:dyDescent="0.35">
      <c r="B75" s="12"/>
      <c r="C75" s="35">
        <v>61</v>
      </c>
      <c r="D75" s="36">
        <v>7.515E-3</v>
      </c>
      <c r="I75" s="13"/>
    </row>
    <row r="76" spans="2:9" x14ac:dyDescent="0.35">
      <c r="B76" s="12"/>
      <c r="C76" s="35">
        <v>62</v>
      </c>
      <c r="D76" s="36">
        <v>8.2629999999999995E-3</v>
      </c>
      <c r="I76" s="13"/>
    </row>
    <row r="77" spans="2:9" x14ac:dyDescent="0.35">
      <c r="B77" s="12"/>
      <c r="C77" s="35">
        <v>63</v>
      </c>
      <c r="D77" s="36">
        <v>9.1229999999999992E-3</v>
      </c>
      <c r="I77" s="13"/>
    </row>
    <row r="78" spans="2:9" x14ac:dyDescent="0.35">
      <c r="B78" s="12"/>
      <c r="C78" s="35">
        <v>64</v>
      </c>
      <c r="D78" s="36">
        <v>1.0109E-2</v>
      </c>
      <c r="I78" s="13"/>
    </row>
    <row r="79" spans="2:9" x14ac:dyDescent="0.35">
      <c r="B79" s="12"/>
      <c r="C79" s="35">
        <v>65</v>
      </c>
      <c r="D79" s="36">
        <v>1.1239000000000001E-2</v>
      </c>
      <c r="I79" s="13"/>
    </row>
    <row r="80" spans="2:9" x14ac:dyDescent="0.35">
      <c r="B80" s="12"/>
      <c r="C80" s="35">
        <v>66</v>
      </c>
      <c r="D80" s="36">
        <v>1.2529E-2</v>
      </c>
      <c r="I80" s="13"/>
    </row>
    <row r="81" spans="2:9" x14ac:dyDescent="0.35">
      <c r="B81" s="12"/>
      <c r="C81" s="35">
        <v>67</v>
      </c>
      <c r="D81" s="36">
        <v>1.4E-2</v>
      </c>
      <c r="I81" s="13"/>
    </row>
    <row r="82" spans="2:9" x14ac:dyDescent="0.35">
      <c r="B82" s="12"/>
      <c r="C82" s="35">
        <v>68</v>
      </c>
      <c r="D82" s="36">
        <v>1.5674E-2</v>
      </c>
      <c r="I82" s="13"/>
    </row>
    <row r="83" spans="2:9" x14ac:dyDescent="0.35">
      <c r="B83" s="12"/>
      <c r="C83" s="35">
        <v>69</v>
      </c>
      <c r="D83" s="36">
        <v>1.7576000000000001E-2</v>
      </c>
      <c r="I83" s="13"/>
    </row>
    <row r="84" spans="2:9" x14ac:dyDescent="0.35">
      <c r="B84" s="12"/>
      <c r="C84" s="35">
        <v>70</v>
      </c>
      <c r="D84" s="36">
        <v>1.9730000000000001E-2</v>
      </c>
      <c r="I84" s="13"/>
    </row>
    <row r="85" spans="2:9" x14ac:dyDescent="0.35">
      <c r="B85" s="12"/>
      <c r="C85" s="35">
        <v>71</v>
      </c>
      <c r="D85" s="36">
        <v>2.2166000000000002E-2</v>
      </c>
      <c r="I85" s="13"/>
    </row>
    <row r="86" spans="2:9" x14ac:dyDescent="0.35">
      <c r="B86" s="12"/>
      <c r="C86" s="35">
        <v>72</v>
      </c>
      <c r="D86" s="36">
        <v>2.4913999999999999E-2</v>
      </c>
      <c r="I86" s="13"/>
    </row>
    <row r="87" spans="2:9" x14ac:dyDescent="0.35">
      <c r="B87" s="12"/>
      <c r="C87" s="35">
        <v>73</v>
      </c>
      <c r="D87" s="36">
        <v>2.8008000000000002E-2</v>
      </c>
      <c r="I87" s="13"/>
    </row>
    <row r="88" spans="2:9" x14ac:dyDescent="0.35">
      <c r="B88" s="12"/>
      <c r="C88" s="35">
        <v>74</v>
      </c>
      <c r="D88" s="36">
        <v>3.1482999999999997E-2</v>
      </c>
      <c r="I88" s="13"/>
    </row>
    <row r="89" spans="2:9" x14ac:dyDescent="0.35">
      <c r="B89" s="12"/>
      <c r="C89" s="35">
        <v>75</v>
      </c>
      <c r="D89" s="36">
        <v>3.5378E-2</v>
      </c>
      <c r="I89" s="13"/>
    </row>
    <row r="90" spans="2:9" x14ac:dyDescent="0.35">
      <c r="B90" s="12"/>
      <c r="C90" s="35">
        <v>76</v>
      </c>
      <c r="D90" s="36">
        <v>3.9732000000000003E-2</v>
      </c>
      <c r="I90" s="13"/>
    </row>
    <row r="91" spans="2:9" x14ac:dyDescent="0.35">
      <c r="B91" s="12"/>
      <c r="C91" s="35">
        <v>77</v>
      </c>
      <c r="D91" s="36">
        <v>4.4588999999999997E-2</v>
      </c>
      <c r="I91" s="13"/>
    </row>
    <row r="92" spans="2:9" x14ac:dyDescent="0.35">
      <c r="B92" s="12"/>
      <c r="C92" s="35">
        <v>78</v>
      </c>
      <c r="D92" s="36">
        <v>4.9992000000000002E-2</v>
      </c>
      <c r="I92" s="13"/>
    </row>
    <row r="93" spans="2:9" x14ac:dyDescent="0.35">
      <c r="B93" s="12"/>
      <c r="C93" s="35">
        <v>79</v>
      </c>
      <c r="D93" s="36">
        <v>5.5988999999999997E-2</v>
      </c>
      <c r="I93" s="13"/>
    </row>
    <row r="94" spans="2:9" x14ac:dyDescent="0.35">
      <c r="B94" s="12"/>
      <c r="C94" s="35">
        <v>80</v>
      </c>
      <c r="D94" s="36">
        <v>6.2626000000000001E-2</v>
      </c>
      <c r="I94" s="13"/>
    </row>
    <row r="95" spans="2:9" x14ac:dyDescent="0.35">
      <c r="B95" s="12"/>
      <c r="C95" s="35">
        <v>81</v>
      </c>
      <c r="D95" s="36">
        <v>6.9954000000000002E-2</v>
      </c>
      <c r="I95" s="13"/>
    </row>
    <row r="96" spans="2:9" x14ac:dyDescent="0.35">
      <c r="B96" s="12"/>
      <c r="C96" s="35">
        <v>82</v>
      </c>
      <c r="D96" s="36">
        <v>7.8020999999999993E-2</v>
      </c>
      <c r="I96" s="13"/>
    </row>
    <row r="97" spans="2:9" x14ac:dyDescent="0.35">
      <c r="B97" s="12"/>
      <c r="C97" s="35">
        <v>83</v>
      </c>
      <c r="D97" s="36">
        <v>8.6877999999999997E-2</v>
      </c>
      <c r="I97" s="13"/>
    </row>
    <row r="98" spans="2:9" x14ac:dyDescent="0.35">
      <c r="B98" s="12"/>
      <c r="C98" s="35">
        <v>84</v>
      </c>
      <c r="D98" s="36">
        <v>9.6573000000000006E-2</v>
      </c>
      <c r="I98" s="13"/>
    </row>
    <row r="99" spans="2:9" x14ac:dyDescent="0.35">
      <c r="B99" s="12"/>
      <c r="C99" s="35">
        <v>85</v>
      </c>
      <c r="D99" s="36">
        <v>0.107154</v>
      </c>
      <c r="I99" s="13"/>
    </row>
    <row r="100" spans="2:9" x14ac:dyDescent="0.35">
      <c r="B100" s="12"/>
      <c r="C100" s="35">
        <v>86</v>
      </c>
      <c r="D100" s="36">
        <v>0.11866599999999999</v>
      </c>
      <c r="I100" s="13"/>
    </row>
    <row r="101" spans="2:9" x14ac:dyDescent="0.35">
      <c r="B101" s="12"/>
      <c r="C101" s="35">
        <v>87</v>
      </c>
      <c r="D101" s="36">
        <v>0.13115099999999999</v>
      </c>
      <c r="I101" s="13"/>
    </row>
    <row r="102" spans="2:9" x14ac:dyDescent="0.35">
      <c r="B102" s="12"/>
      <c r="C102" s="35">
        <v>88</v>
      </c>
      <c r="D102" s="36">
        <v>0.144648</v>
      </c>
      <c r="I102" s="13"/>
    </row>
    <row r="103" spans="2:9" x14ac:dyDescent="0.35">
      <c r="B103" s="12"/>
      <c r="C103" s="35">
        <v>89</v>
      </c>
      <c r="D103" s="36">
        <v>0.159188</v>
      </c>
      <c r="I103" s="13"/>
    </row>
    <row r="104" spans="2:9" x14ac:dyDescent="0.35">
      <c r="B104" s="12"/>
      <c r="C104" s="35">
        <v>90</v>
      </c>
      <c r="D104" s="36">
        <v>0.17479700000000001</v>
      </c>
      <c r="I104" s="13"/>
    </row>
    <row r="105" spans="2:9" x14ac:dyDescent="0.35">
      <c r="B105" s="12"/>
      <c r="C105" s="35">
        <v>91</v>
      </c>
      <c r="D105" s="36">
        <v>0.191494</v>
      </c>
      <c r="I105" s="13"/>
    </row>
    <row r="106" spans="2:9" x14ac:dyDescent="0.35">
      <c r="B106" s="12"/>
      <c r="C106" s="35">
        <v>92</v>
      </c>
      <c r="D106" s="36">
        <v>0.209287</v>
      </c>
      <c r="I106" s="13"/>
    </row>
    <row r="107" spans="2:9" x14ac:dyDescent="0.35">
      <c r="B107" s="12"/>
      <c r="C107" s="35">
        <v>93</v>
      </c>
      <c r="D107" s="36">
        <v>0.22817499999999999</v>
      </c>
      <c r="I107" s="13"/>
    </row>
    <row r="108" spans="2:9" x14ac:dyDescent="0.35">
      <c r="B108" s="12"/>
      <c r="C108" s="35">
        <v>94</v>
      </c>
      <c r="D108" s="36">
        <v>0.24814600000000001</v>
      </c>
      <c r="I108" s="13"/>
    </row>
    <row r="109" spans="2:9" x14ac:dyDescent="0.35">
      <c r="B109" s="12"/>
      <c r="C109" s="35">
        <v>95</v>
      </c>
      <c r="D109" s="36">
        <v>0.26897199999999999</v>
      </c>
      <c r="I109" s="13"/>
    </row>
    <row r="110" spans="2:9" x14ac:dyDescent="0.35">
      <c r="B110" s="12"/>
      <c r="C110" s="35">
        <v>96</v>
      </c>
      <c r="D110" s="36">
        <v>0.289802</v>
      </c>
      <c r="I110" s="13"/>
    </row>
    <row r="111" spans="2:9" x14ac:dyDescent="0.35">
      <c r="B111" s="12"/>
      <c r="C111" s="35">
        <v>97</v>
      </c>
      <c r="D111" s="36">
        <v>0.31036999999999998</v>
      </c>
      <c r="I111" s="13"/>
    </row>
    <row r="112" spans="2:9" x14ac:dyDescent="0.35">
      <c r="B112" s="12"/>
      <c r="C112" s="35">
        <v>98</v>
      </c>
      <c r="D112" s="36">
        <v>0.33061400000000002</v>
      </c>
      <c r="I112" s="13"/>
    </row>
    <row r="113" spans="2:9" x14ac:dyDescent="0.35">
      <c r="B113" s="12"/>
      <c r="C113" s="35">
        <v>99</v>
      </c>
      <c r="D113" s="36">
        <v>0.35048000000000001</v>
      </c>
      <c r="I113" s="13"/>
    </row>
    <row r="114" spans="2:9" x14ac:dyDescent="0.35">
      <c r="B114" s="12"/>
      <c r="C114" s="35">
        <v>100</v>
      </c>
      <c r="D114" s="36">
        <v>0.36992000000000003</v>
      </c>
      <c r="I114" s="13"/>
    </row>
    <row r="115" spans="2:9" x14ac:dyDescent="0.35">
      <c r="B115" s="12"/>
      <c r="C115" s="35">
        <v>101</v>
      </c>
      <c r="D115" s="36">
        <v>0.38889000000000001</v>
      </c>
      <c r="I115" s="13"/>
    </row>
    <row r="116" spans="2:9" x14ac:dyDescent="0.35">
      <c r="B116" s="12"/>
      <c r="C116" s="35">
        <v>102</v>
      </c>
      <c r="D116" s="36">
        <v>0.40735399999999999</v>
      </c>
      <c r="I116" s="13"/>
    </row>
    <row r="117" spans="2:9" x14ac:dyDescent="0.35">
      <c r="B117" s="12"/>
      <c r="C117" s="35">
        <v>103</v>
      </c>
      <c r="D117" s="36">
        <v>0.42528199999999999</v>
      </c>
      <c r="I117" s="13"/>
    </row>
    <row r="118" spans="2:9" x14ac:dyDescent="0.35">
      <c r="B118" s="12"/>
      <c r="C118" s="35">
        <v>104</v>
      </c>
      <c r="D118" s="36">
        <v>0.44264599999999998</v>
      </c>
      <c r="I118" s="13"/>
    </row>
    <row r="119" spans="2:9" x14ac:dyDescent="0.35">
      <c r="B119" s="12"/>
      <c r="C119" s="35">
        <v>105</v>
      </c>
      <c r="D119" s="36">
        <v>0.459424</v>
      </c>
      <c r="I119" s="13"/>
    </row>
    <row r="120" spans="2:9" x14ac:dyDescent="0.35">
      <c r="B120" s="12"/>
      <c r="C120" s="35">
        <v>106</v>
      </c>
      <c r="D120" s="36">
        <v>0.47560000000000002</v>
      </c>
      <c r="I120" s="13"/>
    </row>
    <row r="121" spans="2:9" x14ac:dyDescent="0.35">
      <c r="B121" s="12"/>
      <c r="C121" s="35">
        <v>107</v>
      </c>
      <c r="D121" s="36">
        <v>0.49115999999999999</v>
      </c>
      <c r="I121" s="13"/>
    </row>
    <row r="122" spans="2:9" x14ac:dyDescent="0.35">
      <c r="B122" s="12"/>
      <c r="C122" s="35">
        <v>108</v>
      </c>
      <c r="D122" s="36">
        <v>0.50609300000000002</v>
      </c>
      <c r="I122" s="13"/>
    </row>
    <row r="123" spans="2:9" x14ac:dyDescent="0.35">
      <c r="B123" s="12"/>
      <c r="C123" s="35">
        <v>109</v>
      </c>
      <c r="D123" s="36">
        <v>0.52039199999999997</v>
      </c>
      <c r="I123" s="13"/>
    </row>
    <row r="124" spans="2:9" x14ac:dyDescent="0.35">
      <c r="B124" s="12"/>
      <c r="C124" s="35">
        <v>110</v>
      </c>
      <c r="D124" s="36">
        <v>0.53405100000000005</v>
      </c>
      <c r="I124" s="13"/>
    </row>
    <row r="125" spans="2:9" x14ac:dyDescent="0.35">
      <c r="B125" s="12"/>
      <c r="C125" s="35">
        <v>111</v>
      </c>
      <c r="D125" s="36">
        <v>0.54706999999999995</v>
      </c>
      <c r="I125" s="13"/>
    </row>
    <row r="126" spans="2:9" x14ac:dyDescent="0.35">
      <c r="B126" s="12"/>
      <c r="C126" s="35">
        <v>112</v>
      </c>
      <c r="D126" s="36">
        <v>0.55944799999999995</v>
      </c>
      <c r="I126" s="13"/>
    </row>
    <row r="127" spans="2:9" x14ac:dyDescent="0.35">
      <c r="B127" s="12"/>
      <c r="C127" s="35">
        <v>113</v>
      </c>
      <c r="D127" s="36">
        <v>0.57118500000000005</v>
      </c>
      <c r="I127" s="13"/>
    </row>
    <row r="128" spans="2:9" x14ac:dyDescent="0.35">
      <c r="B128" s="12"/>
      <c r="C128" s="35">
        <v>114</v>
      </c>
      <c r="D128" s="36">
        <v>0.58228400000000002</v>
      </c>
      <c r="I128" s="13"/>
    </row>
    <row r="129" spans="2:9" x14ac:dyDescent="0.35">
      <c r="B129" s="12"/>
      <c r="C129" s="35">
        <v>115</v>
      </c>
      <c r="D129" s="36">
        <v>0.59274800000000005</v>
      </c>
      <c r="I129" s="13"/>
    </row>
    <row r="130" spans="2:9" x14ac:dyDescent="0.35">
      <c r="B130" s="12"/>
      <c r="C130" s="35">
        <v>116</v>
      </c>
      <c r="D130" s="36">
        <v>0.60258199999999995</v>
      </c>
      <c r="I130" s="13"/>
    </row>
    <row r="131" spans="2:9" x14ac:dyDescent="0.35">
      <c r="B131" s="12"/>
      <c r="C131" s="35">
        <v>117</v>
      </c>
      <c r="D131" s="36">
        <v>0.61178999999999994</v>
      </c>
      <c r="I131" s="13"/>
    </row>
    <row r="132" spans="2:9" x14ac:dyDescent="0.35">
      <c r="B132" s="12"/>
      <c r="C132" s="35">
        <v>118</v>
      </c>
      <c r="D132" s="36">
        <v>0.62037699999999996</v>
      </c>
      <c r="I132" s="13"/>
    </row>
    <row r="133" spans="2:9" x14ac:dyDescent="0.35">
      <c r="B133" s="12"/>
      <c r="C133" s="35">
        <v>119</v>
      </c>
      <c r="D133" s="36">
        <v>0.62834599999999996</v>
      </c>
      <c r="I133" s="13"/>
    </row>
    <row r="134" spans="2:9" ht="13.15" thickBot="1" x14ac:dyDescent="0.4">
      <c r="B134" s="12"/>
      <c r="C134" s="37">
        <v>120</v>
      </c>
      <c r="D134" s="38">
        <v>1</v>
      </c>
      <c r="I134" s="13"/>
    </row>
    <row r="135" spans="2:9" x14ac:dyDescent="0.35">
      <c r="B135" s="12"/>
      <c r="I135" s="13"/>
    </row>
    <row r="136" spans="2:9" x14ac:dyDescent="0.35">
      <c r="B136" s="12"/>
      <c r="I136" s="13"/>
    </row>
    <row r="137" spans="2:9" x14ac:dyDescent="0.35">
      <c r="B137" s="12"/>
      <c r="I137" s="13"/>
    </row>
    <row r="138" spans="2:9" x14ac:dyDescent="0.35">
      <c r="B138" s="12"/>
      <c r="I138" s="13"/>
    </row>
    <row r="139" spans="2:9" x14ac:dyDescent="0.35">
      <c r="B139" s="12"/>
      <c r="I139" s="13"/>
    </row>
    <row r="140" spans="2:9" x14ac:dyDescent="0.35">
      <c r="B140" s="12"/>
      <c r="I140" s="13"/>
    </row>
    <row r="141" spans="2:9" x14ac:dyDescent="0.35">
      <c r="B141" s="12"/>
      <c r="I141" s="13"/>
    </row>
    <row r="142" spans="2:9" x14ac:dyDescent="0.35">
      <c r="B142" s="12"/>
      <c r="I142" s="13"/>
    </row>
    <row r="143" spans="2:9" x14ac:dyDescent="0.35">
      <c r="B143" s="12"/>
      <c r="I143" s="13"/>
    </row>
    <row r="144" spans="2:9" x14ac:dyDescent="0.35">
      <c r="B144" s="12"/>
      <c r="I144" s="13"/>
    </row>
    <row r="145" spans="2:9" x14ac:dyDescent="0.35">
      <c r="B145" s="12"/>
      <c r="I145" s="13"/>
    </row>
    <row r="146" spans="2:9" x14ac:dyDescent="0.35">
      <c r="B146" s="12"/>
      <c r="I146" s="13"/>
    </row>
    <row r="147" spans="2:9" x14ac:dyDescent="0.35">
      <c r="B147" s="12"/>
      <c r="I147" s="13"/>
    </row>
    <row r="148" spans="2:9" x14ac:dyDescent="0.35">
      <c r="B148" s="12"/>
      <c r="I148" s="13"/>
    </row>
    <row r="149" spans="2:9" x14ac:dyDescent="0.35">
      <c r="B149" s="12"/>
      <c r="I149" s="13"/>
    </row>
    <row r="150" spans="2:9" x14ac:dyDescent="0.35">
      <c r="B150" s="12"/>
      <c r="I150" s="13"/>
    </row>
    <row r="151" spans="2:9" x14ac:dyDescent="0.35">
      <c r="B151" s="12"/>
      <c r="I151" s="13"/>
    </row>
    <row r="152" spans="2:9" x14ac:dyDescent="0.35">
      <c r="B152" s="12"/>
      <c r="I152" s="13"/>
    </row>
    <row r="153" spans="2:9" x14ac:dyDescent="0.35">
      <c r="B153" s="12"/>
      <c r="I153" s="13"/>
    </row>
    <row r="154" spans="2:9" x14ac:dyDescent="0.35">
      <c r="B154" s="12"/>
      <c r="I154" s="13"/>
    </row>
    <row r="155" spans="2:9" x14ac:dyDescent="0.35">
      <c r="B155" s="12"/>
      <c r="I155" s="13"/>
    </row>
    <row r="156" spans="2:9" ht="13.15" thickBot="1" x14ac:dyDescent="0.4">
      <c r="B156" s="18"/>
      <c r="C156" s="22"/>
      <c r="D156" s="22"/>
      <c r="E156" s="22"/>
      <c r="F156" s="22"/>
      <c r="G156" s="22"/>
      <c r="H156" s="22"/>
      <c r="I156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2885-679B-46F1-A23D-133183013B23}">
  <dimension ref="A2:B19"/>
  <sheetViews>
    <sheetView workbookViewId="0"/>
  </sheetViews>
  <sheetFormatPr defaultRowHeight="12.75" x14ac:dyDescent="0.35"/>
  <cols>
    <col min="1" max="1" width="37.3984375" customWidth="1"/>
  </cols>
  <sheetData>
    <row r="2" spans="1:2" ht="13.15" x14ac:dyDescent="0.4">
      <c r="A2" s="8" t="s">
        <v>2</v>
      </c>
    </row>
    <row r="4" spans="1:2" x14ac:dyDescent="0.35">
      <c r="A4" s="9" t="s">
        <v>3</v>
      </c>
    </row>
    <row r="5" spans="1:2" x14ac:dyDescent="0.35">
      <c r="A5" s="9" t="s">
        <v>4</v>
      </c>
    </row>
    <row r="6" spans="1:2" x14ac:dyDescent="0.35">
      <c r="A6" s="9" t="s">
        <v>5</v>
      </c>
    </row>
    <row r="7" spans="1:2" x14ac:dyDescent="0.35">
      <c r="A7" s="9" t="s">
        <v>6</v>
      </c>
    </row>
    <row r="8" spans="1:2" x14ac:dyDescent="0.35">
      <c r="A8" s="9" t="s">
        <v>7</v>
      </c>
    </row>
    <row r="9" spans="1:2" x14ac:dyDescent="0.35">
      <c r="A9" s="9"/>
    </row>
    <row r="10" spans="1:2" ht="13.15" thickBot="1" x14ac:dyDescent="0.4"/>
    <row r="11" spans="1:2" ht="14.25" x14ac:dyDescent="0.45">
      <c r="A11" s="10" t="s">
        <v>8</v>
      </c>
      <c r="B11" s="11"/>
    </row>
    <row r="12" spans="1:2" x14ac:dyDescent="0.35">
      <c r="A12" s="12"/>
      <c r="B12" s="13"/>
    </row>
    <row r="13" spans="1:2" ht="14.25" x14ac:dyDescent="0.45">
      <c r="A13" s="14" t="s">
        <v>9</v>
      </c>
      <c r="B13" s="13"/>
    </row>
    <row r="14" spans="1:2" x14ac:dyDescent="0.35">
      <c r="A14" s="39" t="s">
        <v>10</v>
      </c>
      <c r="B14" s="13"/>
    </row>
    <row r="15" spans="1:2" ht="14.25" x14ac:dyDescent="0.45">
      <c r="A15" s="15" t="s">
        <v>11</v>
      </c>
      <c r="B15" s="13"/>
    </row>
    <row r="16" spans="1:2" ht="14.25" x14ac:dyDescent="0.45">
      <c r="A16" s="16" t="s">
        <v>12</v>
      </c>
      <c r="B16" s="13"/>
    </row>
    <row r="17" spans="1:2" ht="14.25" x14ac:dyDescent="0.45">
      <c r="A17" s="17" t="s">
        <v>13</v>
      </c>
      <c r="B17" s="13"/>
    </row>
    <row r="18" spans="1:2" x14ac:dyDescent="0.35">
      <c r="A18" s="30" t="s">
        <v>14</v>
      </c>
      <c r="B18" s="13"/>
    </row>
    <row r="19" spans="1:2" ht="13.15" thickBot="1" x14ac:dyDescent="0.4">
      <c r="A19" s="18"/>
      <c r="B19" s="19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7197-E18F-4BF1-9C7F-4F76F3283628}">
  <sheetPr>
    <tabColor rgb="FF92D050"/>
  </sheetPr>
  <dimension ref="A1:I39"/>
  <sheetViews>
    <sheetView topLeftCell="A13" workbookViewId="0">
      <selection activeCell="N24" sqref="N24"/>
    </sheetView>
  </sheetViews>
  <sheetFormatPr defaultRowHeight="12.75" x14ac:dyDescent="0.35"/>
  <cols>
    <col min="8" max="8" width="9.796875" bestFit="1" customWidth="1"/>
    <col min="14" max="14" width="9.796875" bestFit="1" customWidth="1"/>
  </cols>
  <sheetData>
    <row r="1" spans="1:8" ht="17.649999999999999" x14ac:dyDescent="0.5">
      <c r="B1" s="25" t="s">
        <v>29</v>
      </c>
    </row>
    <row r="3" spans="1:8" ht="14.25" x14ac:dyDescent="0.45">
      <c r="A3" s="56"/>
      <c r="B3" s="54" t="s">
        <v>61</v>
      </c>
      <c r="C3" s="54"/>
      <c r="D3" s="54"/>
      <c r="E3" s="54"/>
      <c r="F3" s="54"/>
      <c r="G3" s="54"/>
      <c r="H3" s="54"/>
    </row>
    <row r="8" spans="1:8" x14ac:dyDescent="0.35">
      <c r="B8" s="9" t="s">
        <v>62</v>
      </c>
    </row>
    <row r="10" spans="1:8" ht="14.25" x14ac:dyDescent="0.45">
      <c r="A10" s="55"/>
      <c r="B10" s="54"/>
      <c r="C10" s="54"/>
      <c r="D10" s="54"/>
      <c r="E10" s="54"/>
      <c r="F10" s="54"/>
      <c r="G10" s="54"/>
      <c r="H10" s="54"/>
    </row>
    <row r="12" spans="1:8" ht="14.25" x14ac:dyDescent="0.45">
      <c r="B12" s="54" t="s">
        <v>63</v>
      </c>
    </row>
    <row r="13" spans="1:8" ht="14.25" x14ac:dyDescent="0.45">
      <c r="B13" s="54"/>
    </row>
    <row r="14" spans="1:8" ht="14.25" x14ac:dyDescent="0.45">
      <c r="B14" s="83" t="s">
        <v>65</v>
      </c>
    </row>
    <row r="15" spans="1:8" ht="14.25" x14ac:dyDescent="0.45">
      <c r="B15" s="83" t="s">
        <v>66</v>
      </c>
    </row>
    <row r="16" spans="1:8" ht="14.65" thickBot="1" x14ac:dyDescent="0.5">
      <c r="A16" s="54"/>
      <c r="B16" s="54"/>
      <c r="C16" s="54"/>
      <c r="D16" s="54"/>
      <c r="E16" s="54"/>
      <c r="G16" s="54"/>
      <c r="H16" s="54"/>
    </row>
    <row r="17" spans="1:9" x14ac:dyDescent="0.35">
      <c r="B17" s="78"/>
      <c r="C17" s="26"/>
      <c r="D17" s="26"/>
      <c r="E17" s="26"/>
      <c r="F17" s="26"/>
      <c r="G17" s="26"/>
      <c r="H17" s="26"/>
      <c r="I17" s="11"/>
    </row>
    <row r="18" spans="1:9" ht="13.5" thickBot="1" x14ac:dyDescent="0.45">
      <c r="B18" s="79" t="s">
        <v>15</v>
      </c>
      <c r="I18" s="13"/>
    </row>
    <row r="19" spans="1:9" ht="14.65" thickBot="1" x14ac:dyDescent="0.5">
      <c r="B19" s="12"/>
      <c r="G19" s="57" t="s">
        <v>38</v>
      </c>
      <c r="H19" s="58">
        <f>SUM(H26:H35)</f>
        <v>15000.083333333332</v>
      </c>
      <c r="I19" s="13"/>
    </row>
    <row r="20" spans="1:9" ht="13.15" thickBot="1" x14ac:dyDescent="0.4">
      <c r="B20" s="12"/>
      <c r="I20" s="13"/>
    </row>
    <row r="21" spans="1:9" ht="13.15" thickBot="1" x14ac:dyDescent="0.4">
      <c r="B21" s="12"/>
      <c r="E21" s="95" t="s">
        <v>64</v>
      </c>
      <c r="F21" s="96"/>
      <c r="G21" s="97"/>
      <c r="I21" s="13"/>
    </row>
    <row r="22" spans="1:9" ht="14.65" thickBot="1" x14ac:dyDescent="0.5">
      <c r="A22" s="54"/>
      <c r="B22" s="12"/>
      <c r="E22" s="74">
        <f>1/6</f>
        <v>0.16666666666666666</v>
      </c>
      <c r="F22" s="75">
        <f>1/6</f>
        <v>0.16666666666666666</v>
      </c>
      <c r="G22" s="76">
        <f>4/6</f>
        <v>0.66666666666666663</v>
      </c>
      <c r="I22" s="13"/>
    </row>
    <row r="23" spans="1:9" ht="14.25" x14ac:dyDescent="0.45">
      <c r="A23" s="54"/>
      <c r="B23" s="59" t="s">
        <v>49</v>
      </c>
      <c r="C23" s="60" t="s">
        <v>51</v>
      </c>
      <c r="D23" s="60" t="s">
        <v>50</v>
      </c>
      <c r="E23" s="59"/>
      <c r="F23" s="60"/>
      <c r="G23" s="61"/>
      <c r="H23" s="61"/>
      <c r="I23" s="13"/>
    </row>
    <row r="24" spans="1:9" ht="14.25" x14ac:dyDescent="0.45">
      <c r="B24" s="62" t="s">
        <v>52</v>
      </c>
      <c r="C24" s="63" t="s">
        <v>52</v>
      </c>
      <c r="D24" s="63" t="s">
        <v>52</v>
      </c>
      <c r="E24" s="62"/>
      <c r="F24" s="63"/>
      <c r="G24" s="64"/>
      <c r="H24" s="64" t="s">
        <v>53</v>
      </c>
      <c r="I24" s="67"/>
    </row>
    <row r="25" spans="1:9" ht="14.65" thickBot="1" x14ac:dyDescent="0.5">
      <c r="B25" s="62" t="s">
        <v>54</v>
      </c>
      <c r="C25" s="63" t="s">
        <v>56</v>
      </c>
      <c r="D25" s="63" t="s">
        <v>55</v>
      </c>
      <c r="E25" s="62" t="s">
        <v>57</v>
      </c>
      <c r="F25" s="63" t="s">
        <v>59</v>
      </c>
      <c r="G25" s="64" t="s">
        <v>58</v>
      </c>
      <c r="H25" s="64" t="s">
        <v>60</v>
      </c>
      <c r="I25" s="67"/>
    </row>
    <row r="26" spans="1:9" ht="14.25" x14ac:dyDescent="0.45">
      <c r="B26" s="71">
        <v>0</v>
      </c>
      <c r="C26" s="72">
        <f>B26+1</f>
        <v>1</v>
      </c>
      <c r="D26" s="72">
        <f>(B26+C26)/2</f>
        <v>0.5</v>
      </c>
      <c r="E26" s="85">
        <f>B26^4 - 2*B26^3</f>
        <v>0</v>
      </c>
      <c r="F26" s="77">
        <f t="shared" ref="F26:G26" si="0">C26^4 - 2*C26^3</f>
        <v>-1</v>
      </c>
      <c r="G26" s="77">
        <f t="shared" si="0"/>
        <v>-0.1875</v>
      </c>
      <c r="H26" s="88">
        <f>SUMPRODUCT(E26:G26,$E$22:$G$22)</f>
        <v>-0.29166666666666663</v>
      </c>
      <c r="I26" s="67"/>
    </row>
    <row r="27" spans="1:9" ht="14.25" x14ac:dyDescent="0.45">
      <c r="B27" s="65">
        <f>B26+1</f>
        <v>1</v>
      </c>
      <c r="C27" s="66">
        <f t="shared" ref="C27:C35" si="1">B27+1</f>
        <v>2</v>
      </c>
      <c r="D27" s="66">
        <f t="shared" ref="D27:D35" si="2">(B27+C27)/2</f>
        <v>1.5</v>
      </c>
      <c r="E27" s="86">
        <f t="shared" ref="E27:E35" si="3">B27^4 - 2*B27^3</f>
        <v>-1</v>
      </c>
      <c r="F27" s="84">
        <f t="shared" ref="F27:F35" si="4">C27^4 - 2*C27^3</f>
        <v>0</v>
      </c>
      <c r="G27" s="84">
        <f t="shared" ref="G27:G35" si="5">D27^4 - 2*D27^3</f>
        <v>-1.6875</v>
      </c>
      <c r="H27" s="89">
        <f t="shared" ref="H27:H35" si="6">SUMPRODUCT(E27:G27,$E$22:$G$22)</f>
        <v>-1.2916666666666667</v>
      </c>
      <c r="I27" s="67"/>
    </row>
    <row r="28" spans="1:9" ht="14.25" x14ac:dyDescent="0.45">
      <c r="B28" s="65">
        <f t="shared" ref="B28:B35" si="7">B27+1</f>
        <v>2</v>
      </c>
      <c r="C28" s="66">
        <f t="shared" si="1"/>
        <v>3</v>
      </c>
      <c r="D28" s="66">
        <f t="shared" si="2"/>
        <v>2.5</v>
      </c>
      <c r="E28" s="86">
        <f t="shared" si="3"/>
        <v>0</v>
      </c>
      <c r="F28" s="84">
        <f t="shared" si="4"/>
        <v>27</v>
      </c>
      <c r="G28" s="84">
        <f t="shared" si="5"/>
        <v>7.8125</v>
      </c>
      <c r="H28" s="89">
        <f t="shared" si="6"/>
        <v>9.7083333333333321</v>
      </c>
      <c r="I28" s="67"/>
    </row>
    <row r="29" spans="1:9" ht="14.25" x14ac:dyDescent="0.45">
      <c r="B29" s="65">
        <f t="shared" si="7"/>
        <v>3</v>
      </c>
      <c r="C29" s="66">
        <f t="shared" si="1"/>
        <v>4</v>
      </c>
      <c r="D29" s="66">
        <f t="shared" si="2"/>
        <v>3.5</v>
      </c>
      <c r="E29" s="86">
        <f t="shared" si="3"/>
        <v>27</v>
      </c>
      <c r="F29" s="84">
        <f t="shared" si="4"/>
        <v>128</v>
      </c>
      <c r="G29" s="84">
        <f t="shared" si="5"/>
        <v>64.3125</v>
      </c>
      <c r="H29" s="89">
        <f t="shared" si="6"/>
        <v>68.708333333333329</v>
      </c>
      <c r="I29" s="67"/>
    </row>
    <row r="30" spans="1:9" ht="14.25" x14ac:dyDescent="0.45">
      <c r="B30" s="65">
        <f t="shared" si="7"/>
        <v>4</v>
      </c>
      <c r="C30" s="66">
        <f t="shared" si="1"/>
        <v>5</v>
      </c>
      <c r="D30" s="66">
        <f t="shared" si="2"/>
        <v>4.5</v>
      </c>
      <c r="E30" s="86">
        <f t="shared" si="3"/>
        <v>128</v>
      </c>
      <c r="F30" s="84">
        <f t="shared" si="4"/>
        <v>375</v>
      </c>
      <c r="G30" s="84">
        <f t="shared" si="5"/>
        <v>227.8125</v>
      </c>
      <c r="H30" s="89">
        <f t="shared" si="6"/>
        <v>235.70833333333331</v>
      </c>
      <c r="I30" s="67"/>
    </row>
    <row r="31" spans="1:9" ht="14.25" x14ac:dyDescent="0.45">
      <c r="B31" s="65">
        <f t="shared" si="7"/>
        <v>5</v>
      </c>
      <c r="C31" s="66">
        <f t="shared" si="1"/>
        <v>6</v>
      </c>
      <c r="D31" s="66">
        <f t="shared" si="2"/>
        <v>5.5</v>
      </c>
      <c r="E31" s="86">
        <f t="shared" si="3"/>
        <v>375</v>
      </c>
      <c r="F31" s="84">
        <f t="shared" si="4"/>
        <v>864</v>
      </c>
      <c r="G31" s="84">
        <f t="shared" si="5"/>
        <v>582.3125</v>
      </c>
      <c r="H31" s="89">
        <f t="shared" si="6"/>
        <v>594.70833333333326</v>
      </c>
      <c r="I31" s="67"/>
    </row>
    <row r="32" spans="1:9" ht="14.25" x14ac:dyDescent="0.45">
      <c r="B32" s="65">
        <f t="shared" si="7"/>
        <v>6</v>
      </c>
      <c r="C32" s="66">
        <f t="shared" si="1"/>
        <v>7</v>
      </c>
      <c r="D32" s="66">
        <f t="shared" si="2"/>
        <v>6.5</v>
      </c>
      <c r="E32" s="86">
        <f t="shared" si="3"/>
        <v>864</v>
      </c>
      <c r="F32" s="84">
        <f t="shared" si="4"/>
        <v>1715</v>
      </c>
      <c r="G32" s="84">
        <f t="shared" si="5"/>
        <v>1235.8125</v>
      </c>
      <c r="H32" s="89">
        <f t="shared" si="6"/>
        <v>1253.7083333333333</v>
      </c>
      <c r="I32" s="67"/>
    </row>
    <row r="33" spans="2:9" ht="14.25" x14ac:dyDescent="0.45">
      <c r="B33" s="65">
        <f t="shared" si="7"/>
        <v>7</v>
      </c>
      <c r="C33" s="66">
        <f t="shared" si="1"/>
        <v>8</v>
      </c>
      <c r="D33" s="66">
        <f t="shared" si="2"/>
        <v>7.5</v>
      </c>
      <c r="E33" s="86">
        <f t="shared" si="3"/>
        <v>1715</v>
      </c>
      <c r="F33" s="84">
        <f t="shared" si="4"/>
        <v>3072</v>
      </c>
      <c r="G33" s="84">
        <f t="shared" si="5"/>
        <v>2320.3125</v>
      </c>
      <c r="H33" s="89">
        <f t="shared" si="6"/>
        <v>2344.708333333333</v>
      </c>
      <c r="I33" s="67"/>
    </row>
    <row r="34" spans="2:9" ht="14.25" x14ac:dyDescent="0.45">
      <c r="B34" s="65">
        <f t="shared" si="7"/>
        <v>8</v>
      </c>
      <c r="C34" s="66">
        <f t="shared" si="1"/>
        <v>9</v>
      </c>
      <c r="D34" s="66">
        <f t="shared" si="2"/>
        <v>8.5</v>
      </c>
      <c r="E34" s="86">
        <f t="shared" si="3"/>
        <v>3072</v>
      </c>
      <c r="F34" s="84">
        <f t="shared" si="4"/>
        <v>5103</v>
      </c>
      <c r="G34" s="84">
        <f t="shared" si="5"/>
        <v>3991.8125</v>
      </c>
      <c r="H34" s="89">
        <f t="shared" si="6"/>
        <v>4023.708333333333</v>
      </c>
      <c r="I34" s="67"/>
    </row>
    <row r="35" spans="2:9" ht="14.65" thickBot="1" x14ac:dyDescent="0.5">
      <c r="B35" s="68">
        <f t="shared" si="7"/>
        <v>9</v>
      </c>
      <c r="C35" s="69">
        <f t="shared" si="1"/>
        <v>10</v>
      </c>
      <c r="D35" s="69">
        <f t="shared" si="2"/>
        <v>9.5</v>
      </c>
      <c r="E35" s="87">
        <f t="shared" si="3"/>
        <v>5103</v>
      </c>
      <c r="F35" s="73">
        <f t="shared" si="4"/>
        <v>8000</v>
      </c>
      <c r="G35" s="73">
        <f t="shared" si="5"/>
        <v>6430.3125</v>
      </c>
      <c r="H35" s="90">
        <f t="shared" si="6"/>
        <v>6470.708333333333</v>
      </c>
      <c r="I35" s="13"/>
    </row>
    <row r="36" spans="2:9" ht="14.25" x14ac:dyDescent="0.45">
      <c r="B36" s="12"/>
      <c r="H36" s="80"/>
      <c r="I36" s="13"/>
    </row>
    <row r="37" spans="2:9" x14ac:dyDescent="0.35">
      <c r="B37" s="12"/>
      <c r="I37" s="13"/>
    </row>
    <row r="38" spans="2:9" x14ac:dyDescent="0.35">
      <c r="B38" s="12"/>
      <c r="I38" s="13"/>
    </row>
    <row r="39" spans="2:9" ht="14.65" thickBot="1" x14ac:dyDescent="0.5">
      <c r="B39" s="81"/>
      <c r="C39" s="70"/>
      <c r="D39" s="70"/>
      <c r="E39" s="70"/>
      <c r="F39" s="82"/>
      <c r="G39" s="70"/>
      <c r="H39" s="70"/>
      <c r="I39" s="19"/>
    </row>
  </sheetData>
  <mergeCells count="1">
    <mergeCell ref="E21:G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E5BA-4061-4494-A793-B63767B42431}">
  <sheetPr>
    <tabColor rgb="FF92D050"/>
  </sheetPr>
  <dimension ref="A1:G81"/>
  <sheetViews>
    <sheetView tabSelected="1" topLeftCell="A6" zoomScale="108" workbookViewId="0">
      <selection activeCell="D27" sqref="D27"/>
    </sheetView>
  </sheetViews>
  <sheetFormatPr defaultRowHeight="12.75" x14ac:dyDescent="0.35"/>
  <cols>
    <col min="1" max="1" width="23.9296875" customWidth="1"/>
    <col min="2" max="2" width="24.796875" style="1" customWidth="1"/>
    <col min="3" max="4" width="9.06640625" style="1"/>
    <col min="5" max="5" width="21.265625" style="1" bestFit="1" customWidth="1"/>
    <col min="6" max="6" width="29.1328125" customWidth="1"/>
    <col min="7" max="7" width="16.59765625" customWidth="1"/>
  </cols>
  <sheetData>
    <row r="1" spans="1:7" ht="17.649999999999999" x14ac:dyDescent="0.5">
      <c r="A1" s="25" t="s">
        <v>31</v>
      </c>
    </row>
    <row r="3" spans="1:7" x14ac:dyDescent="0.35">
      <c r="A3" s="9" t="s">
        <v>67</v>
      </c>
    </row>
    <row r="5" spans="1:7" x14ac:dyDescent="0.35">
      <c r="A5" s="9"/>
    </row>
    <row r="6" spans="1:7" ht="15" x14ac:dyDescent="0.4">
      <c r="A6" s="51" t="s">
        <v>30</v>
      </c>
    </row>
    <row r="7" spans="1:7" ht="13.15" thickBot="1" x14ac:dyDescent="0.4"/>
    <row r="8" spans="1:7" ht="13.15" x14ac:dyDescent="0.4">
      <c r="A8" s="29" t="s">
        <v>43</v>
      </c>
      <c r="B8" s="2"/>
      <c r="C8" s="3"/>
      <c r="E8" s="29" t="s">
        <v>40</v>
      </c>
      <c r="F8" s="2"/>
      <c r="G8" s="3"/>
    </row>
    <row r="9" spans="1:7" ht="13.15" thickBot="1" x14ac:dyDescent="0.4">
      <c r="A9" s="53" t="s">
        <v>44</v>
      </c>
      <c r="B9" s="5"/>
      <c r="C9" s="7"/>
      <c r="E9" s="12"/>
      <c r="F9" s="1"/>
      <c r="G9" s="6"/>
    </row>
    <row r="10" spans="1:7" ht="13.5" thickBot="1" x14ac:dyDescent="0.45">
      <c r="A10" s="9"/>
      <c r="E10" s="98" t="s">
        <v>37</v>
      </c>
      <c r="F10" s="99"/>
      <c r="G10" s="6"/>
    </row>
    <row r="11" spans="1:7" ht="14.65" thickBot="1" x14ac:dyDescent="0.5">
      <c r="A11" s="9"/>
      <c r="E11" s="31" t="s">
        <v>48</v>
      </c>
      <c r="F11" s="50">
        <v>4.3</v>
      </c>
      <c r="G11" s="6"/>
    </row>
    <row r="12" spans="1:7" ht="13.15" x14ac:dyDescent="0.4">
      <c r="A12" s="29" t="s">
        <v>39</v>
      </c>
      <c r="B12" s="2"/>
      <c r="C12" s="3"/>
      <c r="E12" s="48"/>
      <c r="F12" s="41"/>
      <c r="G12" s="52"/>
    </row>
    <row r="13" spans="1:7" ht="13.15" thickBot="1" x14ac:dyDescent="0.4">
      <c r="A13" s="12"/>
      <c r="C13" s="6"/>
      <c r="E13" s="12"/>
      <c r="F13" s="1"/>
      <c r="G13" s="6"/>
    </row>
    <row r="14" spans="1:7" ht="13.5" thickBot="1" x14ac:dyDescent="0.45">
      <c r="A14" s="31" t="s">
        <v>37</v>
      </c>
      <c r="B14" s="24" t="s">
        <v>38</v>
      </c>
      <c r="C14" s="6"/>
      <c r="E14" s="98" t="s">
        <v>38</v>
      </c>
      <c r="F14" s="99"/>
      <c r="G14" s="6"/>
    </row>
    <row r="15" spans="1:7" ht="15" thickBot="1" x14ac:dyDescent="0.55000000000000004">
      <c r="A15" s="31" t="s">
        <v>36</v>
      </c>
      <c r="B15" s="24" t="s">
        <v>34</v>
      </c>
      <c r="C15" s="6"/>
      <c r="E15" s="48" t="s">
        <v>46</v>
      </c>
      <c r="F15" s="91">
        <f>VLOOKUP(INT(F11),D25:E81,2)</f>
        <v>0.94761417790993663</v>
      </c>
      <c r="G15" s="6"/>
    </row>
    <row r="16" spans="1:7" ht="15" thickBot="1" x14ac:dyDescent="0.55000000000000004">
      <c r="A16" s="44">
        <v>4</v>
      </c>
      <c r="B16" s="94">
        <f>VLOOKUP(A16,D25:E81,2)</f>
        <v>0.94761417790993663</v>
      </c>
      <c r="C16" s="6"/>
      <c r="E16" s="48" t="s">
        <v>47</v>
      </c>
      <c r="F16" s="91">
        <f>VLOOKUP(INT(F11)+1,D25:E81,2)</f>
        <v>0.93095891111899154</v>
      </c>
      <c r="G16" s="6"/>
    </row>
    <row r="17" spans="1:7" ht="15" thickBot="1" x14ac:dyDescent="0.55000000000000004">
      <c r="C17" s="6"/>
      <c r="E17" s="31" t="s">
        <v>34</v>
      </c>
      <c r="F17" s="49">
        <f>(TRUNC(F11)+1-F11)*F15+(F11-TRUNC(F11))*F16</f>
        <v>0.9426175978726532</v>
      </c>
      <c r="G17" s="6"/>
    </row>
    <row r="18" spans="1:7" ht="13.15" thickBot="1" x14ac:dyDescent="0.4">
      <c r="A18" s="18"/>
      <c r="B18" s="5"/>
      <c r="C18" s="7"/>
      <c r="E18" s="18"/>
      <c r="F18" s="5"/>
      <c r="G18" s="7"/>
    </row>
    <row r="20" spans="1:7" s="22" customFormat="1" ht="13.15" thickBot="1" x14ac:dyDescent="0.4">
      <c r="B20" s="5"/>
      <c r="C20" s="5"/>
      <c r="D20" s="5"/>
      <c r="E20" s="5"/>
    </row>
    <row r="22" spans="1:7" ht="15" x14ac:dyDescent="0.4">
      <c r="A22" s="51" t="s">
        <v>15</v>
      </c>
    </row>
    <row r="24" spans="1:7" ht="13.15" thickBot="1" x14ac:dyDescent="0.4">
      <c r="A24" s="92"/>
      <c r="B24" s="93"/>
      <c r="C24" s="92"/>
      <c r="D24" s="93"/>
      <c r="E24" s="92"/>
    </row>
    <row r="25" spans="1:7" ht="15" thickBot="1" x14ac:dyDescent="0.55000000000000004">
      <c r="A25" s="43" t="s">
        <v>32</v>
      </c>
      <c r="B25" s="23" t="s">
        <v>25</v>
      </c>
      <c r="C25" s="23" t="s">
        <v>33</v>
      </c>
      <c r="D25" s="31" t="s">
        <v>35</v>
      </c>
      <c r="E25" s="24" t="s">
        <v>45</v>
      </c>
    </row>
    <row r="26" spans="1:7" x14ac:dyDescent="0.35">
      <c r="A26" s="20">
        <v>65</v>
      </c>
      <c r="B26" s="45">
        <f>_xlfn.XLOOKUP(A26,Instructions!$C$30:$C$134,Instructions!$D$30:$D$134,"Error -No match")</f>
        <v>1.1239000000000001E-2</v>
      </c>
      <c r="C26" s="47">
        <f>1-B26</f>
        <v>0.988761</v>
      </c>
      <c r="D26" s="4">
        <f>1</f>
        <v>1</v>
      </c>
      <c r="E26" s="91" cm="1">
        <f t="array" ref="E26">PRODUCT(_xlfn._xlws.FILTER($C$26:$C$81, $D$26:$D$81&lt;=D26))</f>
        <v>0.988761</v>
      </c>
      <c r="F26" s="42"/>
    </row>
    <row r="27" spans="1:7" x14ac:dyDescent="0.35">
      <c r="A27" s="20">
        <f>A26+1</f>
        <v>66</v>
      </c>
      <c r="B27" s="45">
        <f>_xlfn.XLOOKUP(A27,Instructions!$C$30:$C$134,Instructions!$D$30:$D$134,"Error -No match")</f>
        <v>1.2529E-2</v>
      </c>
      <c r="C27" s="47">
        <f t="shared" ref="C27:C81" si="0">1-B27</f>
        <v>0.98747099999999999</v>
      </c>
      <c r="D27" s="4">
        <f>D26+1</f>
        <v>2</v>
      </c>
      <c r="E27" s="91" cm="1">
        <f t="array" ref="E27">PRODUCT(_xlfn._xlws.FILTER($C$26:$C$81, $D$26:$D$81&lt;=D27))</f>
        <v>0.97637281343100002</v>
      </c>
      <c r="F27" s="42"/>
    </row>
    <row r="28" spans="1:7" x14ac:dyDescent="0.35">
      <c r="A28" s="20">
        <f t="shared" ref="A28:A79" si="1">A27+1</f>
        <v>67</v>
      </c>
      <c r="B28" s="45">
        <f>_xlfn.XLOOKUP(A28,Instructions!$C$30:$C$134,Instructions!$D$30:$D$134,"Error -No match")</f>
        <v>1.4E-2</v>
      </c>
      <c r="C28" s="47">
        <f t="shared" si="0"/>
        <v>0.98599999999999999</v>
      </c>
      <c r="D28" s="4">
        <f t="shared" ref="D28:D81" si="2">D27+1</f>
        <v>3</v>
      </c>
      <c r="E28" s="91" cm="1">
        <f t="array" ref="E28">PRODUCT(_xlfn._xlws.FILTER($C$26:$C$81, $D$26:$D$81&lt;=D28))</f>
        <v>0.96270359404296602</v>
      </c>
      <c r="F28" s="42"/>
    </row>
    <row r="29" spans="1:7" x14ac:dyDescent="0.35">
      <c r="A29" s="20">
        <f t="shared" si="1"/>
        <v>68</v>
      </c>
      <c r="B29" s="45">
        <f>_xlfn.XLOOKUP(A29,Instructions!$C$30:$C$134,Instructions!$D$30:$D$134,"Error -No match")</f>
        <v>1.5674E-2</v>
      </c>
      <c r="C29" s="47">
        <f t="shared" si="0"/>
        <v>0.98432600000000003</v>
      </c>
      <c r="D29" s="4">
        <f t="shared" si="2"/>
        <v>4</v>
      </c>
      <c r="E29" s="91" cm="1">
        <f t="array" ref="E29">PRODUCT(_xlfn._xlws.FILTER($C$26:$C$81, $D$26:$D$81&lt;=D29))</f>
        <v>0.94761417790993663</v>
      </c>
      <c r="F29" s="42"/>
    </row>
    <row r="30" spans="1:7" x14ac:dyDescent="0.35">
      <c r="A30" s="20">
        <f t="shared" si="1"/>
        <v>69</v>
      </c>
      <c r="B30" s="45">
        <f>_xlfn.XLOOKUP(A30,Instructions!$C$30:$C$134,Instructions!$D$30:$D$134,"Error -No match")</f>
        <v>1.7576000000000001E-2</v>
      </c>
      <c r="C30" s="47">
        <f t="shared" si="0"/>
        <v>0.98242399999999996</v>
      </c>
      <c r="D30" s="4">
        <f t="shared" si="2"/>
        <v>5</v>
      </c>
      <c r="E30" s="91" cm="1">
        <f t="array" ref="E30">PRODUCT(_xlfn._xlws.FILTER($C$26:$C$81, $D$26:$D$81&lt;=D30))</f>
        <v>0.93095891111899154</v>
      </c>
      <c r="F30" s="42"/>
    </row>
    <row r="31" spans="1:7" x14ac:dyDescent="0.35">
      <c r="A31" s="20">
        <f t="shared" si="1"/>
        <v>70</v>
      </c>
      <c r="B31" s="45">
        <f>_xlfn.XLOOKUP(A31,Instructions!$C$30:$C$134,Instructions!$D$30:$D$134,"Error -No match")</f>
        <v>1.9730000000000001E-2</v>
      </c>
      <c r="C31" s="47">
        <f t="shared" si="0"/>
        <v>0.98026999999999997</v>
      </c>
      <c r="D31" s="4">
        <f t="shared" si="2"/>
        <v>6</v>
      </c>
      <c r="E31" s="91" cm="1">
        <f t="array" ref="E31">PRODUCT(_xlfn._xlws.FILTER($C$26:$C$81, $D$26:$D$81&lt;=D31))</f>
        <v>0.91259109180261377</v>
      </c>
      <c r="F31" s="42"/>
    </row>
    <row r="32" spans="1:7" x14ac:dyDescent="0.35">
      <c r="A32" s="20">
        <f t="shared" si="1"/>
        <v>71</v>
      </c>
      <c r="B32" s="45">
        <f>_xlfn.XLOOKUP(A32,Instructions!$C$30:$C$134,Instructions!$D$30:$D$134,"Error -No match")</f>
        <v>2.2166000000000002E-2</v>
      </c>
      <c r="C32" s="47">
        <f t="shared" si="0"/>
        <v>0.97783399999999998</v>
      </c>
      <c r="D32" s="4">
        <f t="shared" si="2"/>
        <v>7</v>
      </c>
      <c r="E32" s="91" cm="1">
        <f t="array" ref="E32">PRODUCT(_xlfn._xlws.FILTER($C$26:$C$81, $D$26:$D$81&lt;=D32))</f>
        <v>0.89236259766171699</v>
      </c>
      <c r="F32" s="42"/>
    </row>
    <row r="33" spans="1:6" x14ac:dyDescent="0.35">
      <c r="A33" s="20">
        <f t="shared" si="1"/>
        <v>72</v>
      </c>
      <c r="B33" s="45">
        <f>_xlfn.XLOOKUP(A33,Instructions!$C$30:$C$134,Instructions!$D$30:$D$134,"Error -No match")</f>
        <v>2.4913999999999999E-2</v>
      </c>
      <c r="C33" s="47">
        <f t="shared" si="0"/>
        <v>0.97508600000000001</v>
      </c>
      <c r="D33" s="4">
        <f t="shared" si="2"/>
        <v>8</v>
      </c>
      <c r="E33" s="91" cm="1">
        <f t="array" ref="E33">PRODUCT(_xlfn._xlws.FILTER($C$26:$C$81, $D$26:$D$81&lt;=D33))</f>
        <v>0.87013027590357295</v>
      </c>
      <c r="F33" s="42"/>
    </row>
    <row r="34" spans="1:6" x14ac:dyDescent="0.35">
      <c r="A34" s="20">
        <f t="shared" si="1"/>
        <v>73</v>
      </c>
      <c r="B34" s="45">
        <f>_xlfn.XLOOKUP(A34,Instructions!$C$30:$C$134,Instructions!$D$30:$D$134,"Error -No match")</f>
        <v>2.8008000000000002E-2</v>
      </c>
      <c r="C34" s="47">
        <f t="shared" si="0"/>
        <v>0.97199199999999997</v>
      </c>
      <c r="D34" s="4">
        <f t="shared" si="2"/>
        <v>9</v>
      </c>
      <c r="E34" s="91" cm="1">
        <f t="array" ref="E34">PRODUCT(_xlfn._xlws.FILTER($C$26:$C$81, $D$26:$D$81&lt;=D34))</f>
        <v>0.84575966713606565</v>
      </c>
      <c r="F34" s="42"/>
    </row>
    <row r="35" spans="1:6" x14ac:dyDescent="0.35">
      <c r="A35" s="20">
        <f t="shared" si="1"/>
        <v>74</v>
      </c>
      <c r="B35" s="45">
        <f>_xlfn.XLOOKUP(A35,Instructions!$C$30:$C$134,Instructions!$D$30:$D$134,"Error -No match")</f>
        <v>3.1482999999999997E-2</v>
      </c>
      <c r="C35" s="47">
        <f t="shared" si="0"/>
        <v>0.96851699999999996</v>
      </c>
      <c r="D35" s="4">
        <f t="shared" si="2"/>
        <v>10</v>
      </c>
      <c r="E35" s="91" cm="1">
        <f t="array" ref="E35">PRODUCT(_xlfn._xlws.FILTER($C$26:$C$81, $D$26:$D$81&lt;=D35))</f>
        <v>0.81913261553562089</v>
      </c>
      <c r="F35" s="42"/>
    </row>
    <row r="36" spans="1:6" x14ac:dyDescent="0.35">
      <c r="A36" s="20">
        <f t="shared" si="1"/>
        <v>75</v>
      </c>
      <c r="B36" s="45">
        <f>_xlfn.XLOOKUP(A36,Instructions!$C$30:$C$134,Instructions!$D$30:$D$134,"Error -No match")</f>
        <v>3.5378E-2</v>
      </c>
      <c r="C36" s="47">
        <f t="shared" si="0"/>
        <v>0.96462199999999998</v>
      </c>
      <c r="D36" s="4">
        <f t="shared" si="2"/>
        <v>11</v>
      </c>
      <c r="E36" s="91" cm="1">
        <f t="array" ref="E36">PRODUCT(_xlfn._xlws.FILTER($C$26:$C$81, $D$26:$D$81&lt;=D36))</f>
        <v>0.79015334186320163</v>
      </c>
      <c r="F36" s="42"/>
    </row>
    <row r="37" spans="1:6" x14ac:dyDescent="0.35">
      <c r="A37" s="20">
        <f t="shared" si="1"/>
        <v>76</v>
      </c>
      <c r="B37" s="45">
        <f>_xlfn.XLOOKUP(A37,Instructions!$C$30:$C$134,Instructions!$D$30:$D$134,"Error -No match")</f>
        <v>3.9732000000000003E-2</v>
      </c>
      <c r="C37" s="47">
        <f t="shared" si="0"/>
        <v>0.96026800000000001</v>
      </c>
      <c r="D37" s="4">
        <f t="shared" si="2"/>
        <v>12</v>
      </c>
      <c r="E37" s="91" cm="1">
        <f t="array" ref="E37">PRODUCT(_xlfn._xlws.FILTER($C$26:$C$81, $D$26:$D$81&lt;=D37))</f>
        <v>0.75875896928429287</v>
      </c>
      <c r="F37" s="42"/>
    </row>
    <row r="38" spans="1:6" x14ac:dyDescent="0.35">
      <c r="A38" s="20">
        <f t="shared" si="1"/>
        <v>77</v>
      </c>
      <c r="B38" s="45">
        <f>_xlfn.XLOOKUP(A38,Instructions!$C$30:$C$134,Instructions!$D$30:$D$134,"Error -No match")</f>
        <v>4.4588999999999997E-2</v>
      </c>
      <c r="C38" s="47">
        <f t="shared" si="0"/>
        <v>0.95541100000000001</v>
      </c>
      <c r="D38" s="4">
        <f t="shared" si="2"/>
        <v>13</v>
      </c>
      <c r="E38" s="91" cm="1">
        <f t="array" ref="E38">PRODUCT(_xlfn._xlws.FILTER($C$26:$C$81, $D$26:$D$81&lt;=D38))</f>
        <v>0.72492666560287555</v>
      </c>
      <c r="F38" s="42"/>
    </row>
    <row r="39" spans="1:6" x14ac:dyDescent="0.35">
      <c r="A39" s="20">
        <f t="shared" si="1"/>
        <v>78</v>
      </c>
      <c r="B39" s="45">
        <f>_xlfn.XLOOKUP(A39,Instructions!$C$30:$C$134,Instructions!$D$30:$D$134,"Error -No match")</f>
        <v>4.9992000000000002E-2</v>
      </c>
      <c r="C39" s="47">
        <f t="shared" si="0"/>
        <v>0.95000799999999996</v>
      </c>
      <c r="D39" s="4">
        <f t="shared" si="2"/>
        <v>14</v>
      </c>
      <c r="E39" s="91" cm="1">
        <f t="array" ref="E39">PRODUCT(_xlfn._xlws.FILTER($C$26:$C$81, $D$26:$D$81&lt;=D39))</f>
        <v>0.68868613173605653</v>
      </c>
      <c r="F39" s="42"/>
    </row>
    <row r="40" spans="1:6" x14ac:dyDescent="0.35">
      <c r="A40" s="20">
        <f t="shared" si="1"/>
        <v>79</v>
      </c>
      <c r="B40" s="45">
        <f>_xlfn.XLOOKUP(A40,Instructions!$C$30:$C$134,Instructions!$D$30:$D$134,"Error -No match")</f>
        <v>5.5988999999999997E-2</v>
      </c>
      <c r="C40" s="47">
        <f t="shared" si="0"/>
        <v>0.94401100000000004</v>
      </c>
      <c r="D40" s="4">
        <f t="shared" si="2"/>
        <v>15</v>
      </c>
      <c r="E40" s="91" cm="1">
        <f t="array" ref="E40">PRODUCT(_xlfn._xlws.FILTER($C$26:$C$81, $D$26:$D$81&lt;=D40))</f>
        <v>0.65012728390628649</v>
      </c>
      <c r="F40" s="42"/>
    </row>
    <row r="41" spans="1:6" x14ac:dyDescent="0.35">
      <c r="A41" s="20">
        <f t="shared" si="1"/>
        <v>80</v>
      </c>
      <c r="B41" s="45">
        <f>_xlfn.XLOOKUP(A41,Instructions!$C$30:$C$134,Instructions!$D$30:$D$134,"Error -No match")</f>
        <v>6.2626000000000001E-2</v>
      </c>
      <c r="C41" s="47">
        <f t="shared" si="0"/>
        <v>0.93737400000000004</v>
      </c>
      <c r="D41" s="4">
        <f t="shared" si="2"/>
        <v>16</v>
      </c>
      <c r="E41" s="91" cm="1">
        <f t="array" ref="E41">PRODUCT(_xlfn._xlws.FILTER($C$26:$C$81, $D$26:$D$81&lt;=D41))</f>
        <v>0.6094124126243714</v>
      </c>
      <c r="F41" s="42"/>
    </row>
    <row r="42" spans="1:6" x14ac:dyDescent="0.35">
      <c r="A42" s="20">
        <f t="shared" si="1"/>
        <v>81</v>
      </c>
      <c r="B42" s="45">
        <f>_xlfn.XLOOKUP(A42,Instructions!$C$30:$C$134,Instructions!$D$30:$D$134,"Error -No match")</f>
        <v>6.9954000000000002E-2</v>
      </c>
      <c r="C42" s="47">
        <f t="shared" si="0"/>
        <v>0.93004600000000004</v>
      </c>
      <c r="D42" s="4">
        <f t="shared" si="2"/>
        <v>17</v>
      </c>
      <c r="E42" s="91" cm="1">
        <f t="array" ref="E42">PRODUCT(_xlfn._xlws.FILTER($C$26:$C$81, $D$26:$D$81&lt;=D42))</f>
        <v>0.5667815767116462</v>
      </c>
      <c r="F42" s="42"/>
    </row>
    <row r="43" spans="1:6" x14ac:dyDescent="0.35">
      <c r="A43" s="20">
        <f t="shared" si="1"/>
        <v>82</v>
      </c>
      <c r="B43" s="45">
        <f>_xlfn.XLOOKUP(A43,Instructions!$C$30:$C$134,Instructions!$D$30:$D$134,"Error -No match")</f>
        <v>7.8020999999999993E-2</v>
      </c>
      <c r="C43" s="47">
        <f t="shared" si="0"/>
        <v>0.92197899999999999</v>
      </c>
      <c r="D43" s="4">
        <f t="shared" si="2"/>
        <v>18</v>
      </c>
      <c r="E43" s="91" cm="1">
        <f t="array" ref="E43">PRODUCT(_xlfn._xlws.FILTER($C$26:$C$81, $D$26:$D$81&lt;=D43))</f>
        <v>0.52256071131502679</v>
      </c>
      <c r="F43" s="42"/>
    </row>
    <row r="44" spans="1:6" x14ac:dyDescent="0.35">
      <c r="A44" s="20">
        <f t="shared" si="1"/>
        <v>83</v>
      </c>
      <c r="B44" s="45">
        <f>_xlfn.XLOOKUP(A44,Instructions!$C$30:$C$134,Instructions!$D$30:$D$134,"Error -No match")</f>
        <v>8.6877999999999997E-2</v>
      </c>
      <c r="C44" s="47">
        <f t="shared" si="0"/>
        <v>0.91312199999999999</v>
      </c>
      <c r="D44" s="4">
        <f t="shared" si="2"/>
        <v>19</v>
      </c>
      <c r="E44" s="91" cm="1">
        <f t="array" ref="E44">PRODUCT(_xlfn._xlws.FILTER($C$26:$C$81, $D$26:$D$81&lt;=D44))</f>
        <v>0.47716168183739988</v>
      </c>
      <c r="F44" s="42"/>
    </row>
    <row r="45" spans="1:6" x14ac:dyDescent="0.35">
      <c r="A45" s="20">
        <f t="shared" si="1"/>
        <v>84</v>
      </c>
      <c r="B45" s="45">
        <f>_xlfn.XLOOKUP(A45,Instructions!$C$30:$C$134,Instructions!$D$30:$D$134,"Error -No match")</f>
        <v>9.6573000000000006E-2</v>
      </c>
      <c r="C45" s="47">
        <f t="shared" si="0"/>
        <v>0.90342699999999998</v>
      </c>
      <c r="D45" s="4">
        <f t="shared" si="2"/>
        <v>20</v>
      </c>
      <c r="E45" s="91" cm="1">
        <f t="array" ref="E45">PRODUCT(_xlfn._xlws.FILTER($C$26:$C$81, $D$26:$D$81&lt;=D45))</f>
        <v>0.43108074673731667</v>
      </c>
      <c r="F45" s="42"/>
    </row>
    <row r="46" spans="1:6" x14ac:dyDescent="0.35">
      <c r="A46" s="20">
        <f t="shared" si="1"/>
        <v>85</v>
      </c>
      <c r="B46" s="45">
        <f>_xlfn.XLOOKUP(A46,Instructions!$C$30:$C$134,Instructions!$D$30:$D$134,"Error -No match")</f>
        <v>0.107154</v>
      </c>
      <c r="C46" s="47">
        <f t="shared" si="0"/>
        <v>0.89284600000000003</v>
      </c>
      <c r="D46" s="4">
        <f t="shared" si="2"/>
        <v>21</v>
      </c>
      <c r="E46" s="91" cm="1">
        <f t="array" ref="E46">PRODUCT(_xlfn._xlws.FILTER($C$26:$C$81, $D$26:$D$81&lt;=D46))</f>
        <v>0.38488872040142624</v>
      </c>
      <c r="F46" s="42"/>
    </row>
    <row r="47" spans="1:6" x14ac:dyDescent="0.35">
      <c r="A47" s="20">
        <f t="shared" si="1"/>
        <v>86</v>
      </c>
      <c r="B47" s="45">
        <f>_xlfn.XLOOKUP(A47,Instructions!$C$30:$C$134,Instructions!$D$30:$D$134,"Error -No match")</f>
        <v>0.11866599999999999</v>
      </c>
      <c r="C47" s="47">
        <f t="shared" si="0"/>
        <v>0.88133400000000006</v>
      </c>
      <c r="D47" s="4">
        <f t="shared" si="2"/>
        <v>22</v>
      </c>
      <c r="E47" s="91" cm="1">
        <f t="array" ref="E47">PRODUCT(_xlfn._xlws.FILTER($C$26:$C$81, $D$26:$D$81&lt;=D47))</f>
        <v>0.3392155155062706</v>
      </c>
      <c r="F47" s="42"/>
    </row>
    <row r="48" spans="1:6" x14ac:dyDescent="0.35">
      <c r="A48" s="20">
        <f t="shared" si="1"/>
        <v>87</v>
      </c>
      <c r="B48" s="45">
        <f>_xlfn.XLOOKUP(A48,Instructions!$C$30:$C$134,Instructions!$D$30:$D$134,"Error -No match")</f>
        <v>0.13115099999999999</v>
      </c>
      <c r="C48" s="47">
        <f t="shared" si="0"/>
        <v>0.86884899999999998</v>
      </c>
      <c r="D48" s="4">
        <f t="shared" si="2"/>
        <v>23</v>
      </c>
      <c r="E48" s="91" cm="1">
        <f t="array" ref="E48">PRODUCT(_xlfn._xlws.FILTER($C$26:$C$81, $D$26:$D$81&lt;=D48))</f>
        <v>0.2947270614321077</v>
      </c>
      <c r="F48" s="42"/>
    </row>
    <row r="49" spans="1:6" x14ac:dyDescent="0.35">
      <c r="A49" s="20">
        <f t="shared" si="1"/>
        <v>88</v>
      </c>
      <c r="B49" s="45">
        <f>_xlfn.XLOOKUP(A49,Instructions!$C$30:$C$134,Instructions!$D$30:$D$134,"Error -No match")</f>
        <v>0.144648</v>
      </c>
      <c r="C49" s="47">
        <f t="shared" si="0"/>
        <v>0.855352</v>
      </c>
      <c r="D49" s="4">
        <f t="shared" si="2"/>
        <v>24</v>
      </c>
      <c r="E49" s="91" cm="1">
        <f t="array" ref="E49">PRODUCT(_xlfn._xlws.FILTER($C$26:$C$81, $D$26:$D$81&lt;=D49))</f>
        <v>0.25209538145007621</v>
      </c>
      <c r="F49" s="42"/>
    </row>
    <row r="50" spans="1:6" x14ac:dyDescent="0.35">
      <c r="A50" s="20">
        <f t="shared" si="1"/>
        <v>89</v>
      </c>
      <c r="B50" s="45">
        <f>_xlfn.XLOOKUP(A50,Instructions!$C$30:$C$134,Instructions!$D$30:$D$134,"Error -No match")</f>
        <v>0.159188</v>
      </c>
      <c r="C50" s="47">
        <f t="shared" si="0"/>
        <v>0.840812</v>
      </c>
      <c r="D50" s="4">
        <f t="shared" si="2"/>
        <v>25</v>
      </c>
      <c r="E50" s="91" cm="1">
        <f t="array" ref="E50">PRODUCT(_xlfn._xlws.FILTER($C$26:$C$81, $D$26:$D$81&lt;=D50))</f>
        <v>0.21196482186780147</v>
      </c>
      <c r="F50" s="42"/>
    </row>
    <row r="51" spans="1:6" x14ac:dyDescent="0.35">
      <c r="A51" s="20">
        <f t="shared" si="1"/>
        <v>90</v>
      </c>
      <c r="B51" s="45">
        <f>_xlfn.XLOOKUP(A51,Instructions!$C$30:$C$134,Instructions!$D$30:$D$134,"Error -No match")</f>
        <v>0.17479700000000001</v>
      </c>
      <c r="C51" s="47">
        <f t="shared" si="0"/>
        <v>0.82520300000000002</v>
      </c>
      <c r="D51" s="4">
        <f t="shared" si="2"/>
        <v>26</v>
      </c>
      <c r="E51" s="91" cm="1">
        <f t="array" ref="E51">PRODUCT(_xlfn._xlws.FILTER($C$26:$C$81, $D$26:$D$81&lt;=D51))</f>
        <v>0.17491400689977538</v>
      </c>
      <c r="F51" s="42"/>
    </row>
    <row r="52" spans="1:6" x14ac:dyDescent="0.35">
      <c r="A52" s="20">
        <f t="shared" si="1"/>
        <v>91</v>
      </c>
      <c r="B52" s="45">
        <f>_xlfn.XLOOKUP(A52,Instructions!$C$30:$C$134,Instructions!$D$30:$D$134,"Error -No match")</f>
        <v>0.191494</v>
      </c>
      <c r="C52" s="47">
        <f t="shared" si="0"/>
        <v>0.80850599999999995</v>
      </c>
      <c r="D52" s="4">
        <f t="shared" si="2"/>
        <v>27</v>
      </c>
      <c r="E52" s="91" cm="1">
        <f t="array" ref="E52">PRODUCT(_xlfn._xlws.FILTER($C$26:$C$81, $D$26:$D$81&lt;=D52))</f>
        <v>0.14141902406250978</v>
      </c>
      <c r="F52" s="42"/>
    </row>
    <row r="53" spans="1:6" x14ac:dyDescent="0.35">
      <c r="A53" s="20">
        <f t="shared" si="1"/>
        <v>92</v>
      </c>
      <c r="B53" s="45">
        <f>_xlfn.XLOOKUP(A53,Instructions!$C$30:$C$134,Instructions!$D$30:$D$134,"Error -No match")</f>
        <v>0.209287</v>
      </c>
      <c r="C53" s="47">
        <f t="shared" si="0"/>
        <v>0.790713</v>
      </c>
      <c r="D53" s="4">
        <f t="shared" si="2"/>
        <v>28</v>
      </c>
      <c r="E53" s="91" cm="1">
        <f t="array" ref="E53">PRODUCT(_xlfn._xlws.FILTER($C$26:$C$81, $D$26:$D$81&lt;=D53))</f>
        <v>0.1118218607735393</v>
      </c>
      <c r="F53" s="42"/>
    </row>
    <row r="54" spans="1:6" x14ac:dyDescent="0.35">
      <c r="A54" s="20">
        <f>A53+1</f>
        <v>93</v>
      </c>
      <c r="B54" s="45">
        <f>_xlfn.XLOOKUP(A54,Instructions!$C$30:$C$134,Instructions!$D$30:$D$134,"Error -No match")</f>
        <v>0.22817499999999999</v>
      </c>
      <c r="C54" s="47">
        <f t="shared" si="0"/>
        <v>0.77182499999999998</v>
      </c>
      <c r="D54" s="4">
        <f t="shared" si="2"/>
        <v>29</v>
      </c>
      <c r="E54" s="91" cm="1">
        <f t="array" ref="E54">PRODUCT(_xlfn._xlws.FILTER($C$26:$C$81, $D$26:$D$81&lt;=D54))</f>
        <v>8.6306907691536969E-2</v>
      </c>
      <c r="F54" s="42"/>
    </row>
    <row r="55" spans="1:6" x14ac:dyDescent="0.35">
      <c r="A55" s="20">
        <f t="shared" si="1"/>
        <v>94</v>
      </c>
      <c r="B55" s="45">
        <f>_xlfn.XLOOKUP(A55,Instructions!$C$30:$C$134,Instructions!$D$30:$D$134,"Error -No match")</f>
        <v>0.24814600000000001</v>
      </c>
      <c r="C55" s="47">
        <f t="shared" si="0"/>
        <v>0.75185400000000002</v>
      </c>
      <c r="D55" s="4">
        <f t="shared" si="2"/>
        <v>30</v>
      </c>
      <c r="E55" s="91" cm="1">
        <f t="array" ref="E55">PRODUCT(_xlfn._xlws.FILTER($C$26:$C$81, $D$26:$D$81&lt;=D55))</f>
        <v>6.4890193775512833E-2</v>
      </c>
      <c r="F55" s="42"/>
    </row>
    <row r="56" spans="1:6" x14ac:dyDescent="0.35">
      <c r="A56" s="20">
        <f t="shared" si="1"/>
        <v>95</v>
      </c>
      <c r="B56" s="45">
        <f>_xlfn.XLOOKUP(A56,Instructions!$C$30:$C$134,Instructions!$D$30:$D$134,"Error -No match")</f>
        <v>0.26897199999999999</v>
      </c>
      <c r="C56" s="47">
        <f t="shared" si="0"/>
        <v>0.73102800000000001</v>
      </c>
      <c r="D56" s="4">
        <f t="shared" si="2"/>
        <v>31</v>
      </c>
      <c r="E56" s="91" cm="1">
        <f t="array" ref="E56">PRODUCT(_xlfn._xlws.FILTER($C$26:$C$81, $D$26:$D$81&lt;=D56))</f>
        <v>4.7436548575325595E-2</v>
      </c>
      <c r="F56" s="42"/>
    </row>
    <row r="57" spans="1:6" x14ac:dyDescent="0.35">
      <c r="A57" s="20">
        <f t="shared" si="1"/>
        <v>96</v>
      </c>
      <c r="B57" s="45">
        <f>_xlfn.XLOOKUP(A57,Instructions!$C$30:$C$134,Instructions!$D$30:$D$134,"Error -No match")</f>
        <v>0.289802</v>
      </c>
      <c r="C57" s="47">
        <f t="shared" si="0"/>
        <v>0.710198</v>
      </c>
      <c r="D57" s="4">
        <f t="shared" si="2"/>
        <v>32</v>
      </c>
      <c r="E57" s="91" cm="1">
        <f t="array" ref="E57">PRODUCT(_xlfn._xlws.FILTER($C$26:$C$81, $D$26:$D$81&lt;=D57))</f>
        <v>3.3689341925099085E-2</v>
      </c>
      <c r="F57" s="42"/>
    </row>
    <row r="58" spans="1:6" x14ac:dyDescent="0.35">
      <c r="A58" s="20">
        <f t="shared" si="1"/>
        <v>97</v>
      </c>
      <c r="B58" s="45">
        <f>_xlfn.XLOOKUP(A58,Instructions!$C$30:$C$134,Instructions!$D$30:$D$134,"Error -No match")</f>
        <v>0.31036999999999998</v>
      </c>
      <c r="C58" s="47">
        <f t="shared" si="0"/>
        <v>0.68962999999999997</v>
      </c>
      <c r="D58" s="4">
        <f t="shared" si="2"/>
        <v>33</v>
      </c>
      <c r="E58" s="91" cm="1">
        <f t="array" ref="E58">PRODUCT(_xlfn._xlws.FILTER($C$26:$C$81, $D$26:$D$81&lt;=D58))</f>
        <v>2.3233180871806081E-2</v>
      </c>
      <c r="F58" s="42"/>
    </row>
    <row r="59" spans="1:6" x14ac:dyDescent="0.35">
      <c r="A59" s="20">
        <f t="shared" si="1"/>
        <v>98</v>
      </c>
      <c r="B59" s="45">
        <f>_xlfn.XLOOKUP(A59,Instructions!$C$30:$C$134,Instructions!$D$30:$D$134,"Error -No match")</f>
        <v>0.33061400000000002</v>
      </c>
      <c r="C59" s="47">
        <f t="shared" si="0"/>
        <v>0.66938600000000004</v>
      </c>
      <c r="D59" s="4">
        <f t="shared" si="2"/>
        <v>34</v>
      </c>
      <c r="E59" s="91" cm="1">
        <f t="array" ref="E59">PRODUCT(_xlfn._xlws.FILTER($C$26:$C$81, $D$26:$D$81&lt;=D59))</f>
        <v>1.5551966011054786E-2</v>
      </c>
      <c r="F59" s="42"/>
    </row>
    <row r="60" spans="1:6" x14ac:dyDescent="0.35">
      <c r="A60" s="20">
        <f t="shared" si="1"/>
        <v>99</v>
      </c>
      <c r="B60" s="45">
        <f>_xlfn.XLOOKUP(A60,Instructions!$C$30:$C$134,Instructions!$D$30:$D$134,"Error -No match")</f>
        <v>0.35048000000000001</v>
      </c>
      <c r="C60" s="47">
        <f t="shared" si="0"/>
        <v>0.64951999999999999</v>
      </c>
      <c r="D60" s="4">
        <f t="shared" si="2"/>
        <v>35</v>
      </c>
      <c r="E60" s="91" cm="1">
        <f t="array" ref="E60">PRODUCT(_xlfn._xlws.FILTER($C$26:$C$81, $D$26:$D$81&lt;=D60))</f>
        <v>1.0101312963500305E-2</v>
      </c>
      <c r="F60" s="42"/>
    </row>
    <row r="61" spans="1:6" x14ac:dyDescent="0.35">
      <c r="A61" s="20">
        <f t="shared" si="1"/>
        <v>100</v>
      </c>
      <c r="B61" s="45">
        <f>_xlfn.XLOOKUP(A61,Instructions!$C$30:$C$134,Instructions!$D$30:$D$134,"Error -No match")</f>
        <v>0.36992000000000003</v>
      </c>
      <c r="C61" s="47">
        <f t="shared" si="0"/>
        <v>0.63007999999999997</v>
      </c>
      <c r="D61" s="4">
        <f t="shared" si="2"/>
        <v>36</v>
      </c>
      <c r="E61" s="91" cm="1">
        <f t="array" ref="E61">PRODUCT(_xlfn._xlws.FILTER($C$26:$C$81, $D$26:$D$81&lt;=D61))</f>
        <v>6.364635272042272E-3</v>
      </c>
      <c r="F61" s="42"/>
    </row>
    <row r="62" spans="1:6" x14ac:dyDescent="0.35">
      <c r="A62" s="20">
        <f t="shared" si="1"/>
        <v>101</v>
      </c>
      <c r="B62" s="45">
        <f>_xlfn.XLOOKUP(A62,Instructions!$C$30:$C$134,Instructions!$D$30:$D$134,"Error -No match")</f>
        <v>0.38889000000000001</v>
      </c>
      <c r="C62" s="47">
        <f t="shared" si="0"/>
        <v>0.61111000000000004</v>
      </c>
      <c r="D62" s="4">
        <f t="shared" si="2"/>
        <v>37</v>
      </c>
      <c r="E62" s="91" cm="1">
        <f t="array" ref="E62">PRODUCT(_xlfn._xlws.FILTER($C$26:$C$81, $D$26:$D$81&lt;=D62))</f>
        <v>3.8894922610977533E-3</v>
      </c>
      <c r="F62" s="42"/>
    </row>
    <row r="63" spans="1:6" x14ac:dyDescent="0.35">
      <c r="A63" s="20">
        <f t="shared" si="1"/>
        <v>102</v>
      </c>
      <c r="B63" s="45">
        <f>_xlfn.XLOOKUP(A63,Instructions!$C$30:$C$134,Instructions!$D$30:$D$134,"Error -No match")</f>
        <v>0.40735399999999999</v>
      </c>
      <c r="C63" s="47">
        <f t="shared" si="0"/>
        <v>0.59264600000000001</v>
      </c>
      <c r="D63" s="4">
        <f t="shared" si="2"/>
        <v>38</v>
      </c>
      <c r="E63" s="91" cm="1">
        <f t="array" ref="E63">PRODUCT(_xlfn._xlws.FILTER($C$26:$C$81, $D$26:$D$81&lt;=D63))</f>
        <v>2.3050920305705391E-3</v>
      </c>
      <c r="F63" s="42"/>
    </row>
    <row r="64" spans="1:6" x14ac:dyDescent="0.35">
      <c r="A64" s="20">
        <f t="shared" si="1"/>
        <v>103</v>
      </c>
      <c r="B64" s="45">
        <f>_xlfn.XLOOKUP(A64,Instructions!$C$30:$C$134,Instructions!$D$30:$D$134,"Error -No match")</f>
        <v>0.42528199999999999</v>
      </c>
      <c r="C64" s="47">
        <f t="shared" si="0"/>
        <v>0.57471800000000006</v>
      </c>
      <c r="D64" s="4">
        <f t="shared" si="2"/>
        <v>39</v>
      </c>
      <c r="E64" s="91" cm="1">
        <f t="array" ref="E64">PRODUCT(_xlfn._xlws.FILTER($C$26:$C$81, $D$26:$D$81&lt;=D64))</f>
        <v>1.3247778816254392E-3</v>
      </c>
      <c r="F64" s="42"/>
    </row>
    <row r="65" spans="1:6" x14ac:dyDescent="0.35">
      <c r="A65" s="20">
        <f>A64+1</f>
        <v>104</v>
      </c>
      <c r="B65" s="45">
        <f>_xlfn.XLOOKUP(A65,Instructions!$C$30:$C$134,Instructions!$D$30:$D$134,"Error -No match")</f>
        <v>0.44264599999999998</v>
      </c>
      <c r="C65" s="47">
        <f t="shared" si="0"/>
        <v>0.55735400000000002</v>
      </c>
      <c r="D65" s="4">
        <f t="shared" si="2"/>
        <v>40</v>
      </c>
      <c r="E65" s="91" cm="1">
        <f t="array" ref="E65">PRODUCT(_xlfn._xlws.FILTER($C$26:$C$81, $D$26:$D$81&lt;=D65))</f>
        <v>7.3837025143546503E-4</v>
      </c>
      <c r="F65" s="42"/>
    </row>
    <row r="66" spans="1:6" x14ac:dyDescent="0.35">
      <c r="A66" s="20">
        <f t="shared" si="1"/>
        <v>105</v>
      </c>
      <c r="B66" s="45">
        <f>_xlfn.XLOOKUP(A66,Instructions!$C$30:$C$134,Instructions!$D$30:$D$134,"Error -No match")</f>
        <v>0.459424</v>
      </c>
      <c r="C66" s="47">
        <f t="shared" si="0"/>
        <v>0.54057599999999995</v>
      </c>
      <c r="D66" s="4">
        <f t="shared" si="2"/>
        <v>41</v>
      </c>
      <c r="E66" s="91" cm="1">
        <f t="array" ref="E66">PRODUCT(_xlfn._xlws.FILTER($C$26:$C$81, $D$26:$D$81&lt;=D66))</f>
        <v>3.9914523703997792E-4</v>
      </c>
      <c r="F66" s="42"/>
    </row>
    <row r="67" spans="1:6" x14ac:dyDescent="0.35">
      <c r="A67" s="20">
        <f t="shared" si="1"/>
        <v>106</v>
      </c>
      <c r="B67" s="45">
        <f>_xlfn.XLOOKUP(A67,Instructions!$C$30:$C$134,Instructions!$D$30:$D$134,"Error -No match")</f>
        <v>0.47560000000000002</v>
      </c>
      <c r="C67" s="47">
        <f t="shared" si="0"/>
        <v>0.52439999999999998</v>
      </c>
      <c r="D67" s="4">
        <f t="shared" si="2"/>
        <v>42</v>
      </c>
      <c r="E67" s="91" cm="1">
        <f t="array" ref="E67">PRODUCT(_xlfn._xlws.FILTER($C$26:$C$81, $D$26:$D$81&lt;=D67))</f>
        <v>2.0931176230376441E-4</v>
      </c>
      <c r="F67" s="42"/>
    </row>
    <row r="68" spans="1:6" x14ac:dyDescent="0.35">
      <c r="A68" s="20">
        <f>A67+1</f>
        <v>107</v>
      </c>
      <c r="B68" s="45">
        <f>_xlfn.XLOOKUP(A68,Instructions!$C$30:$C$134,Instructions!$D$30:$D$134,"Error -No match")</f>
        <v>0.49115999999999999</v>
      </c>
      <c r="C68" s="47">
        <f t="shared" si="0"/>
        <v>0.50883999999999996</v>
      </c>
      <c r="D68" s="4">
        <f t="shared" si="2"/>
        <v>43</v>
      </c>
      <c r="E68" s="91" cm="1">
        <f t="array" ref="E68">PRODUCT(_xlfn._xlws.FILTER($C$26:$C$81, $D$26:$D$81&lt;=D68))</f>
        <v>1.0650619713064747E-4</v>
      </c>
      <c r="F68" s="42"/>
    </row>
    <row r="69" spans="1:6" x14ac:dyDescent="0.35">
      <c r="A69" s="20">
        <f t="shared" si="1"/>
        <v>108</v>
      </c>
      <c r="B69" s="45">
        <f>_xlfn.XLOOKUP(A69,Instructions!$C$30:$C$134,Instructions!$D$30:$D$134,"Error -No match")</f>
        <v>0.50609300000000002</v>
      </c>
      <c r="C69" s="47">
        <f t="shared" si="0"/>
        <v>0.49390699999999998</v>
      </c>
      <c r="D69" s="4">
        <f t="shared" si="2"/>
        <v>44</v>
      </c>
      <c r="E69" s="91" cm="1">
        <f t="array" ref="E69">PRODUCT(_xlfn._xlws.FILTER($C$26:$C$81, $D$26:$D$81&lt;=D69))</f>
        <v>5.26041563062067E-5</v>
      </c>
      <c r="F69" s="42"/>
    </row>
    <row r="70" spans="1:6" x14ac:dyDescent="0.35">
      <c r="A70" s="20">
        <f t="shared" si="1"/>
        <v>109</v>
      </c>
      <c r="B70" s="45">
        <f>_xlfn.XLOOKUP(A70,Instructions!$C$30:$C$134,Instructions!$D$30:$D$134,"Error -No match")</f>
        <v>0.52039199999999997</v>
      </c>
      <c r="C70" s="47">
        <f t="shared" si="0"/>
        <v>0.47960800000000003</v>
      </c>
      <c r="D70" s="4">
        <f t="shared" si="2"/>
        <v>45</v>
      </c>
      <c r="E70" s="91" cm="1">
        <f t="array" ref="E70">PRODUCT(_xlfn._xlws.FILTER($C$26:$C$81, $D$26:$D$81&lt;=D70))</f>
        <v>2.5229374197707185E-5</v>
      </c>
      <c r="F70" s="42"/>
    </row>
    <row r="71" spans="1:6" x14ac:dyDescent="0.35">
      <c r="A71" s="20">
        <f t="shared" si="1"/>
        <v>110</v>
      </c>
      <c r="B71" s="45">
        <f>_xlfn.XLOOKUP(A71,Instructions!$C$30:$C$134,Instructions!$D$30:$D$134,"Error -No match")</f>
        <v>0.53405100000000005</v>
      </c>
      <c r="C71" s="47">
        <f t="shared" si="0"/>
        <v>0.46594899999999995</v>
      </c>
      <c r="D71" s="4">
        <f t="shared" si="2"/>
        <v>46</v>
      </c>
      <c r="E71" s="91" cm="1">
        <f t="array" ref="E71">PRODUCT(_xlfn._xlws.FILTER($C$26:$C$81, $D$26:$D$81&lt;=D71))</f>
        <v>1.1755601678047464E-5</v>
      </c>
      <c r="F71" s="42"/>
    </row>
    <row r="72" spans="1:6" x14ac:dyDescent="0.35">
      <c r="A72" s="20">
        <f t="shared" si="1"/>
        <v>111</v>
      </c>
      <c r="B72" s="45">
        <f>_xlfn.XLOOKUP(A72,Instructions!$C$30:$C$134,Instructions!$D$30:$D$134,"Error -No match")</f>
        <v>0.54706999999999995</v>
      </c>
      <c r="C72" s="47">
        <f t="shared" si="0"/>
        <v>0.45293000000000005</v>
      </c>
      <c r="D72" s="4">
        <f t="shared" si="2"/>
        <v>47</v>
      </c>
      <c r="E72" s="91" cm="1">
        <f t="array" ref="E72">PRODUCT(_xlfn._xlws.FILTER($C$26:$C$81, $D$26:$D$81&lt;=D72))</f>
        <v>5.3244646680380383E-6</v>
      </c>
      <c r="F72" s="42"/>
    </row>
    <row r="73" spans="1:6" x14ac:dyDescent="0.35">
      <c r="A73" s="20">
        <f t="shared" si="1"/>
        <v>112</v>
      </c>
      <c r="B73" s="45">
        <f>_xlfn.XLOOKUP(A73,Instructions!$C$30:$C$134,Instructions!$D$30:$D$134,"Error -No match")</f>
        <v>0.55944799999999995</v>
      </c>
      <c r="C73" s="47">
        <f t="shared" si="0"/>
        <v>0.44055200000000005</v>
      </c>
      <c r="D73" s="4">
        <f t="shared" si="2"/>
        <v>48</v>
      </c>
      <c r="E73" s="91" cm="1">
        <f t="array" ref="E73">PRODUCT(_xlfn._xlws.FILTER($C$26:$C$81, $D$26:$D$81&lt;=D73))</f>
        <v>2.3457035584334943E-6</v>
      </c>
      <c r="F73" s="42"/>
    </row>
    <row r="74" spans="1:6" x14ac:dyDescent="0.35">
      <c r="A74" s="20">
        <f t="shared" si="1"/>
        <v>113</v>
      </c>
      <c r="B74" s="45">
        <f>_xlfn.XLOOKUP(A74,Instructions!$C$30:$C$134,Instructions!$D$30:$D$134,"Error -No match")</f>
        <v>0.57118500000000005</v>
      </c>
      <c r="C74" s="47">
        <f t="shared" si="0"/>
        <v>0.42881499999999995</v>
      </c>
      <c r="D74" s="4">
        <f t="shared" si="2"/>
        <v>49</v>
      </c>
      <c r="E74" s="91" cm="1">
        <f t="array" ref="E74">PRODUCT(_xlfn._xlws.FILTER($C$26:$C$81, $D$26:$D$81&lt;=D74))</f>
        <v>1.0058728714096587E-6</v>
      </c>
      <c r="F74" s="42"/>
    </row>
    <row r="75" spans="1:6" x14ac:dyDescent="0.35">
      <c r="A75" s="20">
        <f t="shared" si="1"/>
        <v>114</v>
      </c>
      <c r="B75" s="45">
        <f>_xlfn.XLOOKUP(A75,Instructions!$C$30:$C$134,Instructions!$D$30:$D$134,"Error -No match")</f>
        <v>0.58228400000000002</v>
      </c>
      <c r="C75" s="47">
        <f t="shared" si="0"/>
        <v>0.41771599999999998</v>
      </c>
      <c r="D75" s="4">
        <f t="shared" si="2"/>
        <v>50</v>
      </c>
      <c r="E75" s="91" cm="1">
        <f t="array" ref="E75">PRODUCT(_xlfn._xlws.FILTER($C$26:$C$81, $D$26:$D$81&lt;=D75))</f>
        <v>4.2016919235375697E-7</v>
      </c>
      <c r="F75" s="42"/>
    </row>
    <row r="76" spans="1:6" x14ac:dyDescent="0.35">
      <c r="A76" s="20">
        <f t="shared" si="1"/>
        <v>115</v>
      </c>
      <c r="B76" s="45">
        <f>_xlfn.XLOOKUP(A76,Instructions!$C$30:$C$134,Instructions!$D$30:$D$134,"Error -No match")</f>
        <v>0.59274800000000005</v>
      </c>
      <c r="C76" s="47">
        <f t="shared" si="0"/>
        <v>0.40725199999999995</v>
      </c>
      <c r="D76" s="4">
        <f t="shared" si="2"/>
        <v>51</v>
      </c>
      <c r="E76" s="91" cm="1">
        <f t="array" ref="E76">PRODUCT(_xlfn._xlws.FILTER($C$26:$C$81, $D$26:$D$81&lt;=D76))</f>
        <v>1.7111474392445221E-7</v>
      </c>
      <c r="F76" s="42"/>
    </row>
    <row r="77" spans="1:6" x14ac:dyDescent="0.35">
      <c r="A77" s="20">
        <f t="shared" si="1"/>
        <v>116</v>
      </c>
      <c r="B77" s="45">
        <f>_xlfn.XLOOKUP(A77,Instructions!$C$30:$C$134,Instructions!$D$30:$D$134,"Error -No match")</f>
        <v>0.60258199999999995</v>
      </c>
      <c r="C77" s="47">
        <f t="shared" si="0"/>
        <v>0.39741800000000005</v>
      </c>
      <c r="D77" s="4">
        <f t="shared" si="2"/>
        <v>52</v>
      </c>
      <c r="E77" s="91" cm="1">
        <f t="array" ref="E77">PRODUCT(_xlfn._xlws.FILTER($C$26:$C$81, $D$26:$D$81&lt;=D77))</f>
        <v>6.8004079300967959E-8</v>
      </c>
      <c r="F77" s="42"/>
    </row>
    <row r="78" spans="1:6" x14ac:dyDescent="0.35">
      <c r="A78" s="20">
        <f t="shared" si="1"/>
        <v>117</v>
      </c>
      <c r="B78" s="45">
        <f>_xlfn.XLOOKUP(A78,Instructions!$C$30:$C$134,Instructions!$D$30:$D$134,"Error -No match")</f>
        <v>0.61178999999999994</v>
      </c>
      <c r="C78" s="47">
        <f t="shared" si="0"/>
        <v>0.38821000000000006</v>
      </c>
      <c r="D78" s="4">
        <f t="shared" si="2"/>
        <v>53</v>
      </c>
      <c r="E78" s="91" cm="1">
        <f t="array" ref="E78">PRODUCT(_xlfn._xlws.FILTER($C$26:$C$81, $D$26:$D$81&lt;=D78))</f>
        <v>2.6399863625428774E-8</v>
      </c>
      <c r="F78" s="42"/>
    </row>
    <row r="79" spans="1:6" x14ac:dyDescent="0.35">
      <c r="A79" s="20">
        <f t="shared" si="1"/>
        <v>118</v>
      </c>
      <c r="B79" s="45">
        <f>_xlfn.XLOOKUP(A79,Instructions!$C$30:$C$134,Instructions!$D$30:$D$134,"Error -No match")</f>
        <v>0.62037699999999996</v>
      </c>
      <c r="C79" s="47">
        <f t="shared" si="0"/>
        <v>0.37962300000000004</v>
      </c>
      <c r="D79" s="4">
        <f t="shared" si="2"/>
        <v>54</v>
      </c>
      <c r="E79" s="91" cm="1">
        <f t="array" ref="E79">PRODUCT(_xlfn._xlws.FILTER($C$26:$C$81, $D$26:$D$81&lt;=D79))</f>
        <v>1.0021995429076148E-8</v>
      </c>
      <c r="F79" s="42"/>
    </row>
    <row r="80" spans="1:6" x14ac:dyDescent="0.35">
      <c r="A80" s="20">
        <f>A79+1</f>
        <v>119</v>
      </c>
      <c r="B80" s="45">
        <f>_xlfn.XLOOKUP(A80,Instructions!$C$30:$C$134,Instructions!$D$30:$D$134,"Error -No match")</f>
        <v>0.62834599999999996</v>
      </c>
      <c r="C80" s="47">
        <f t="shared" si="0"/>
        <v>0.37165400000000004</v>
      </c>
      <c r="D80" s="4">
        <f t="shared" si="2"/>
        <v>55</v>
      </c>
      <c r="E80" s="91" cm="1">
        <f t="array" ref="E80">PRODUCT(_xlfn._xlws.FILTER($C$26:$C$81, $D$26:$D$81&lt;=D80))</f>
        <v>3.7247146891978673E-9</v>
      </c>
      <c r="F80" s="42"/>
    </row>
    <row r="81" spans="1:6" ht="13.15" thickBot="1" x14ac:dyDescent="0.4">
      <c r="A81" s="21">
        <f>A80+1</f>
        <v>120</v>
      </c>
      <c r="B81" s="46">
        <f>_xlfn.XLOOKUP(A81,Instructions!$C$30:$C$134,Instructions!$D$30:$D$134,"Error -No match")</f>
        <v>1</v>
      </c>
      <c r="C81" s="47">
        <f t="shared" si="0"/>
        <v>0</v>
      </c>
      <c r="D81" s="4">
        <f t="shared" si="2"/>
        <v>56</v>
      </c>
      <c r="E81" s="91" cm="1">
        <f t="array" ref="E81">PRODUCT(_xlfn._xlws.FILTER($C$26:$C$81, $D$26:$D$81&lt;=D81))</f>
        <v>0</v>
      </c>
      <c r="F81" s="42"/>
    </row>
  </sheetData>
  <mergeCells count="2">
    <mergeCell ref="E10:F10"/>
    <mergeCell ref="E14:F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327CF3CEC9145AC6F5B07EBB94F60" ma:contentTypeVersion="18" ma:contentTypeDescription="Create a new document." ma:contentTypeScope="" ma:versionID="a9dcb6b4534a9103a83e0bfde106f38f">
  <xsd:schema xmlns:xsd="http://www.w3.org/2001/XMLSchema" xmlns:xs="http://www.w3.org/2001/XMLSchema" xmlns:p="http://schemas.microsoft.com/office/2006/metadata/properties" xmlns:ns3="ac3bcb35-9aa9-4dbf-a1c9-a4059b99366b" xmlns:ns4="3c0e9b9a-dc5c-494c-bbac-09f077bb5a57" targetNamespace="http://schemas.microsoft.com/office/2006/metadata/properties" ma:root="true" ma:fieldsID="47a5799ec9c8dff36114ba72e22d6d9b" ns3:_="" ns4:_="">
    <xsd:import namespace="ac3bcb35-9aa9-4dbf-a1c9-a4059b99366b"/>
    <xsd:import namespace="3c0e9b9a-dc5c-494c-bbac-09f077bb5a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bcb35-9aa9-4dbf-a1c9-a4059b993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e9b9a-dc5c-494c-bbac-09f077bb5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3bcb35-9aa9-4dbf-a1c9-a4059b99366b" xsi:nil="true"/>
  </documentManagement>
</p:properties>
</file>

<file path=customXml/itemProps1.xml><?xml version="1.0" encoding="utf-8"?>
<ds:datastoreItem xmlns:ds="http://schemas.openxmlformats.org/officeDocument/2006/customXml" ds:itemID="{B15A152E-C741-4F64-AD06-98C5B85C40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F5517E-3F01-4BA0-B1C1-05E5DFE14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bcb35-9aa9-4dbf-a1c9-a4059b99366b"/>
    <ds:schemaRef ds:uri="3c0e9b9a-dc5c-494c-bbac-09f077bb5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1E87E3-6D26-448E-8D8D-271C3A239934}">
  <ds:schemaRefs>
    <ds:schemaRef ds:uri="ac3bcb35-9aa9-4dbf-a1c9-a4059b99366b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c0e9b9a-dc5c-494c-bbac-09f077bb5a5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Instructions</vt:lpstr>
      <vt:lpstr>Colour key</vt:lpstr>
      <vt:lpstr>Question 1</vt:lpstr>
      <vt:lpstr>Question 2</vt:lpstr>
      <vt:lpstr>gompertz_B</vt:lpstr>
      <vt:lpstr>gompertz_c</vt:lpstr>
      <vt:lpstr>lx_ELT15_female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hrw</dc:creator>
  <cp:lastModifiedBy>Marcus Gwee Wen Hong</cp:lastModifiedBy>
  <cp:lastPrinted>2013-08-19T12:27:42Z</cp:lastPrinted>
  <dcterms:created xsi:type="dcterms:W3CDTF">2007-10-30T15:20:57Z</dcterms:created>
  <dcterms:modified xsi:type="dcterms:W3CDTF">2026-02-02T12:10:44Z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0x0101001D7327CF3CEC9145AC6F5B07EBB94F60</vt:lpwstr>
  </property>
</Properties>
</file>