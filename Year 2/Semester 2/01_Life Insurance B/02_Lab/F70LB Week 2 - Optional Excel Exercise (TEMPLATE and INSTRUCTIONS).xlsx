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cu\OneDrive\Desktop\02_Courses\01_Life Insurance B\02_Lab\"/>
    </mc:Choice>
  </mc:AlternateContent>
  <xr:revisionPtr revIDLastSave="0" documentId="13_ncr:1_{786C5B5C-6E70-4107-BD4F-239676F3B25C}" xr6:coauthVersionLast="47" xr6:coauthVersionMax="47" xr10:uidLastSave="{00000000-0000-0000-0000-000000000000}"/>
  <bookViews>
    <workbookView xWindow="-98" yWindow="-98" windowWidth="21795" windowHeight="12975" activeTab="2" xr2:uid="{1178EF42-7C42-44C4-B51B-05B1411B4F28}"/>
  </bookViews>
  <sheets>
    <sheet name="Instructions" sheetId="4" r:id="rId1"/>
    <sheet name="Colour key" sheetId="3" r:id="rId2"/>
    <sheet name="Question 1" sheetId="1" r:id="rId3"/>
  </sheets>
  <definedNames>
    <definedName name="CompoundBonus">'Question 1'!$F$15</definedName>
    <definedName name="expenses_assum">'Question 1'!$C$11</definedName>
    <definedName name="expenses_exp">'Question 1'!$F$11</definedName>
    <definedName name="gompertz_B_assum">'Question 1'!$C$7</definedName>
    <definedName name="gompertz_B_exp">'Question 1'!$F$7</definedName>
    <definedName name="gompertz_c_assum">'Question 1'!$C$8</definedName>
    <definedName name="gompertz_c_exp">'Question 1'!$F$8</definedName>
    <definedName name="gompertz_g_assum">'Question 1'!$C$12</definedName>
    <definedName name="gompertz_g_exp">'Question 1'!$F$12</definedName>
    <definedName name="InitialSA">'Question 1'!$F$14</definedName>
    <definedName name="interest_assum">'Question 1'!$C$10</definedName>
    <definedName name="interest_exp">'Question 1'!$F$10</definedName>
    <definedName name="intial_age">'Question 1'!$C$9</definedName>
    <definedName name="_xlnm.Print_Area" localSheetId="2">'Question 1'!$A$1:$J$74</definedName>
    <definedName name="StepSize">'Question 1'!$C$15</definedName>
    <definedName name="Term">'Question 1'!$F$16</definedName>
    <definedName name="YearlySteps">'Question 1'!$C$14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1" l="1"/>
  <c r="P10" i="1"/>
  <c r="L14" i="1"/>
  <c r="L16" i="1" s="1"/>
  <c r="L12" i="1"/>
  <c r="P8" i="1" l="1"/>
  <c r="P12" i="1" s="1"/>
  <c r="L18" i="1"/>
  <c r="L8" i="1"/>
  <c r="K42" i="1"/>
  <c r="C12" i="1" l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32" i="1"/>
  <c r="H32" i="1" l="1" a="1"/>
  <c r="D40" i="1"/>
  <c r="D41" i="1"/>
  <c r="D56" i="1"/>
  <c r="D57" i="1"/>
  <c r="D72" i="1"/>
  <c r="D73" i="1"/>
  <c r="D88" i="1"/>
  <c r="D89" i="1"/>
  <c r="D104" i="1"/>
  <c r="D105" i="1"/>
  <c r="D120" i="1"/>
  <c r="D121" i="1"/>
  <c r="D136" i="1"/>
  <c r="D137" i="1"/>
  <c r="D152" i="1"/>
  <c r="D32" i="1"/>
  <c r="D10" i="1"/>
  <c r="C15" i="1"/>
  <c r="L32" i="1"/>
  <c r="T34" i="1"/>
  <c r="N34" i="1"/>
  <c r="G32" i="1"/>
  <c r="A33" i="1"/>
  <c r="A34" i="1" s="1"/>
  <c r="H32" i="1" l="1"/>
  <c r="I33" i="1" s="1"/>
  <c r="I41" i="1"/>
  <c r="J41" i="1" s="1"/>
  <c r="L41" i="1" s="1"/>
  <c r="I42" i="1"/>
  <c r="J42" i="1" s="1"/>
  <c r="I34" i="1"/>
  <c r="I36" i="1"/>
  <c r="J36" i="1" s="1"/>
  <c r="L36" i="1" s="1"/>
  <c r="I37" i="1"/>
  <c r="J37" i="1" s="1"/>
  <c r="L37" i="1" s="1"/>
  <c r="I38" i="1"/>
  <c r="J38" i="1" s="1"/>
  <c r="L38" i="1" s="1"/>
  <c r="I39" i="1"/>
  <c r="J39" i="1" s="1"/>
  <c r="L39" i="1" s="1"/>
  <c r="I35" i="1"/>
  <c r="I40" i="1"/>
  <c r="J40" i="1" s="1"/>
  <c r="L40" i="1" s="1"/>
  <c r="D151" i="1"/>
  <c r="D135" i="1"/>
  <c r="D119" i="1"/>
  <c r="D103" i="1"/>
  <c r="D87" i="1"/>
  <c r="D71" i="1"/>
  <c r="D55" i="1"/>
  <c r="D39" i="1"/>
  <c r="D150" i="1"/>
  <c r="D134" i="1"/>
  <c r="D118" i="1"/>
  <c r="D102" i="1"/>
  <c r="D86" i="1"/>
  <c r="D70" i="1"/>
  <c r="D54" i="1"/>
  <c r="D38" i="1"/>
  <c r="D145" i="1"/>
  <c r="D129" i="1"/>
  <c r="D113" i="1"/>
  <c r="D97" i="1"/>
  <c r="D81" i="1"/>
  <c r="D65" i="1"/>
  <c r="D49" i="1"/>
  <c r="D33" i="1"/>
  <c r="D144" i="1"/>
  <c r="D128" i="1"/>
  <c r="D112" i="1"/>
  <c r="D96" i="1"/>
  <c r="D80" i="1"/>
  <c r="D64" i="1"/>
  <c r="D48" i="1"/>
  <c r="D143" i="1"/>
  <c r="D127" i="1"/>
  <c r="D111" i="1"/>
  <c r="D95" i="1"/>
  <c r="D79" i="1"/>
  <c r="D63" i="1"/>
  <c r="D47" i="1"/>
  <c r="D142" i="1"/>
  <c r="D126" i="1"/>
  <c r="D110" i="1"/>
  <c r="D94" i="1"/>
  <c r="D78" i="1"/>
  <c r="D62" i="1"/>
  <c r="D46" i="1"/>
  <c r="D141" i="1"/>
  <c r="D133" i="1"/>
  <c r="D125" i="1"/>
  <c r="D109" i="1"/>
  <c r="D101" i="1"/>
  <c r="D93" i="1"/>
  <c r="D85" i="1"/>
  <c r="D77" i="1"/>
  <c r="D61" i="1"/>
  <c r="D53" i="1"/>
  <c r="D45" i="1"/>
  <c r="D37" i="1"/>
  <c r="J33" i="1"/>
  <c r="L33" i="1" s="1"/>
  <c r="J34" i="1"/>
  <c r="L34" i="1" s="1"/>
  <c r="J35" i="1"/>
  <c r="L35" i="1" s="1"/>
  <c r="D147" i="1"/>
  <c r="D139" i="1"/>
  <c r="D131" i="1"/>
  <c r="D123" i="1"/>
  <c r="D115" i="1"/>
  <c r="D107" i="1"/>
  <c r="D99" i="1"/>
  <c r="D91" i="1"/>
  <c r="D83" i="1"/>
  <c r="D75" i="1"/>
  <c r="D67" i="1"/>
  <c r="D59" i="1"/>
  <c r="D51" i="1"/>
  <c r="D43" i="1"/>
  <c r="D35" i="1"/>
  <c r="D149" i="1"/>
  <c r="D117" i="1"/>
  <c r="D69" i="1"/>
  <c r="D148" i="1"/>
  <c r="D140" i="1"/>
  <c r="D132" i="1"/>
  <c r="D124" i="1"/>
  <c r="D116" i="1"/>
  <c r="D108" i="1"/>
  <c r="D100" i="1"/>
  <c r="D92" i="1"/>
  <c r="D84" i="1"/>
  <c r="D76" i="1"/>
  <c r="D68" i="1"/>
  <c r="D60" i="1"/>
  <c r="D52" i="1"/>
  <c r="D44" i="1"/>
  <c r="D36" i="1"/>
  <c r="D146" i="1"/>
  <c r="D138" i="1"/>
  <c r="D130" i="1"/>
  <c r="D122" i="1"/>
  <c r="D114" i="1"/>
  <c r="D106" i="1"/>
  <c r="D98" i="1"/>
  <c r="D90" i="1"/>
  <c r="D82" i="1"/>
  <c r="D74" i="1"/>
  <c r="D66" i="1"/>
  <c r="D58" i="1"/>
  <c r="D50" i="1"/>
  <c r="D42" i="1"/>
  <c r="D34" i="1"/>
  <c r="B32" i="1"/>
  <c r="T35" i="1"/>
  <c r="N35" i="1"/>
  <c r="A35" i="1"/>
  <c r="B34" i="1"/>
  <c r="B33" i="1"/>
  <c r="F33" i="1"/>
  <c r="L42" i="1" l="1"/>
  <c r="L6" i="1" s="1"/>
  <c r="L10" i="1" s="1"/>
  <c r="T36" i="1"/>
  <c r="N36" i="1"/>
  <c r="A36" i="1"/>
  <c r="B35" i="1"/>
  <c r="F34" i="1"/>
  <c r="G33" i="1"/>
  <c r="T37" i="1" l="1"/>
  <c r="N37" i="1"/>
  <c r="A37" i="1"/>
  <c r="B36" i="1"/>
  <c r="F35" i="1"/>
  <c r="G34" i="1"/>
  <c r="T38" i="1" l="1"/>
  <c r="N38" i="1"/>
  <c r="A38" i="1"/>
  <c r="B37" i="1"/>
  <c r="G35" i="1"/>
  <c r="F36" i="1"/>
  <c r="T39" i="1" l="1"/>
  <c r="N39" i="1"/>
  <c r="A39" i="1"/>
  <c r="B38" i="1"/>
  <c r="G36" i="1"/>
  <c r="F37" i="1"/>
  <c r="T40" i="1" l="1"/>
  <c r="N40" i="1"/>
  <c r="A40" i="1"/>
  <c r="B39" i="1"/>
  <c r="G37" i="1"/>
  <c r="F38" i="1"/>
  <c r="T41" i="1" l="1"/>
  <c r="N41" i="1"/>
  <c r="A41" i="1"/>
  <c r="B40" i="1"/>
  <c r="G38" i="1"/>
  <c r="F39" i="1"/>
  <c r="T42" i="1" l="1"/>
  <c r="N42" i="1"/>
  <c r="A42" i="1"/>
  <c r="B41" i="1"/>
  <c r="G39" i="1"/>
  <c r="F40" i="1"/>
  <c r="T43" i="1" l="1"/>
  <c r="N43" i="1"/>
  <c r="A43" i="1"/>
  <c r="B42" i="1"/>
  <c r="G40" i="1"/>
  <c r="F41" i="1"/>
  <c r="N44" i="1" l="1"/>
  <c r="A44" i="1"/>
  <c r="B43" i="1"/>
  <c r="G41" i="1"/>
  <c r="F42" i="1"/>
  <c r="N45" i="1" l="1"/>
  <c r="A45" i="1"/>
  <c r="B44" i="1"/>
  <c r="G42" i="1"/>
  <c r="N46" i="1" l="1"/>
  <c r="A46" i="1"/>
  <c r="B45" i="1"/>
  <c r="N47" i="1" l="1"/>
  <c r="A47" i="1"/>
  <c r="B46" i="1"/>
  <c r="N48" i="1" l="1"/>
  <c r="A48" i="1"/>
  <c r="B47" i="1"/>
  <c r="N49" i="1" l="1"/>
  <c r="A49" i="1"/>
  <c r="B48" i="1"/>
  <c r="N50" i="1" l="1"/>
  <c r="A50" i="1"/>
  <c r="B49" i="1"/>
  <c r="N51" i="1" l="1"/>
  <c r="A51" i="1"/>
  <c r="B50" i="1"/>
  <c r="N52" i="1" l="1"/>
  <c r="A52" i="1"/>
  <c r="B51" i="1"/>
  <c r="N53" i="1" l="1"/>
  <c r="A53" i="1"/>
  <c r="B52" i="1"/>
  <c r="N54" i="1" l="1"/>
  <c r="A54" i="1"/>
  <c r="B53" i="1"/>
  <c r="N55" i="1" l="1"/>
  <c r="A55" i="1"/>
  <c r="B54" i="1"/>
  <c r="N56" i="1" l="1"/>
  <c r="A56" i="1"/>
  <c r="B55" i="1"/>
  <c r="N57" i="1" l="1"/>
  <c r="A57" i="1"/>
  <c r="B56" i="1"/>
  <c r="N58" i="1" l="1"/>
  <c r="A58" i="1"/>
  <c r="B57" i="1"/>
  <c r="N59" i="1" l="1"/>
  <c r="A59" i="1"/>
  <c r="B58" i="1"/>
  <c r="N60" i="1" l="1"/>
  <c r="A60" i="1"/>
  <c r="B59" i="1"/>
  <c r="N61" i="1" l="1"/>
  <c r="A61" i="1"/>
  <c r="B60" i="1"/>
  <c r="N62" i="1" l="1"/>
  <c r="A62" i="1"/>
  <c r="B61" i="1"/>
  <c r="N63" i="1" l="1"/>
  <c r="A63" i="1"/>
  <c r="B62" i="1"/>
  <c r="N64" i="1" l="1"/>
  <c r="A64" i="1"/>
  <c r="B63" i="1"/>
  <c r="N65" i="1" l="1"/>
  <c r="A65" i="1"/>
  <c r="B64" i="1"/>
  <c r="N66" i="1" l="1"/>
  <c r="A66" i="1"/>
  <c r="B65" i="1"/>
  <c r="N67" i="1" l="1"/>
  <c r="A67" i="1"/>
  <c r="B66" i="1"/>
  <c r="N68" i="1" l="1"/>
  <c r="A68" i="1"/>
  <c r="B67" i="1"/>
  <c r="N69" i="1" l="1"/>
  <c r="A69" i="1"/>
  <c r="B68" i="1"/>
  <c r="N70" i="1" l="1"/>
  <c r="A70" i="1"/>
  <c r="B69" i="1"/>
  <c r="N71" i="1" l="1"/>
  <c r="A71" i="1"/>
  <c r="B70" i="1"/>
  <c r="N72" i="1" l="1"/>
  <c r="A72" i="1"/>
  <c r="B71" i="1"/>
  <c r="N73" i="1" l="1"/>
  <c r="A73" i="1"/>
  <c r="B72" i="1"/>
  <c r="N74" i="1" l="1"/>
  <c r="A74" i="1"/>
  <c r="B73" i="1"/>
  <c r="N75" i="1" l="1"/>
  <c r="A75" i="1"/>
  <c r="B74" i="1"/>
  <c r="N76" i="1" l="1"/>
  <c r="A76" i="1"/>
  <c r="B75" i="1"/>
  <c r="N77" i="1" l="1"/>
  <c r="A77" i="1"/>
  <c r="B76" i="1"/>
  <c r="N78" i="1" l="1"/>
  <c r="A78" i="1"/>
  <c r="B77" i="1"/>
  <c r="N79" i="1" l="1"/>
  <c r="A79" i="1"/>
  <c r="B78" i="1"/>
  <c r="N80" i="1" l="1"/>
  <c r="A80" i="1"/>
  <c r="B79" i="1"/>
  <c r="N81" i="1" l="1"/>
  <c r="A81" i="1"/>
  <c r="B80" i="1"/>
  <c r="N82" i="1" l="1"/>
  <c r="A82" i="1"/>
  <c r="B81" i="1"/>
  <c r="N83" i="1" l="1"/>
  <c r="A83" i="1"/>
  <c r="B82" i="1"/>
  <c r="N84" i="1" l="1"/>
  <c r="A84" i="1"/>
  <c r="B83" i="1"/>
  <c r="N85" i="1" l="1"/>
  <c r="A85" i="1"/>
  <c r="B84" i="1"/>
  <c r="N86" i="1" l="1"/>
  <c r="A86" i="1"/>
  <c r="B85" i="1"/>
  <c r="N87" i="1" l="1"/>
  <c r="A87" i="1"/>
  <c r="B86" i="1"/>
  <c r="N88" i="1" l="1"/>
  <c r="A88" i="1"/>
  <c r="B87" i="1"/>
  <c r="N89" i="1" l="1"/>
  <c r="A89" i="1"/>
  <c r="B88" i="1"/>
  <c r="N90" i="1" l="1"/>
  <c r="A90" i="1"/>
  <c r="B89" i="1"/>
  <c r="N91" i="1" l="1"/>
  <c r="A91" i="1"/>
  <c r="B90" i="1"/>
  <c r="N92" i="1" l="1"/>
  <c r="A92" i="1"/>
  <c r="B91" i="1"/>
  <c r="N93" i="1" l="1"/>
  <c r="A93" i="1"/>
  <c r="B92" i="1"/>
  <c r="N94" i="1" l="1"/>
  <c r="A94" i="1"/>
  <c r="B93" i="1"/>
  <c r="N95" i="1" l="1"/>
  <c r="A95" i="1"/>
  <c r="B94" i="1"/>
  <c r="N96" i="1" l="1"/>
  <c r="A96" i="1"/>
  <c r="B95" i="1"/>
  <c r="N97" i="1" l="1"/>
  <c r="A97" i="1"/>
  <c r="B96" i="1"/>
  <c r="N98" i="1" l="1"/>
  <c r="A98" i="1"/>
  <c r="B97" i="1"/>
  <c r="N99" i="1" l="1"/>
  <c r="A99" i="1"/>
  <c r="B98" i="1"/>
  <c r="N100" i="1" l="1"/>
  <c r="A100" i="1"/>
  <c r="B99" i="1"/>
  <c r="N101" i="1" l="1"/>
  <c r="A101" i="1"/>
  <c r="B100" i="1"/>
  <c r="N102" i="1" l="1"/>
  <c r="A102" i="1"/>
  <c r="B101" i="1"/>
  <c r="N103" i="1" l="1"/>
  <c r="A103" i="1"/>
  <c r="B102" i="1"/>
  <c r="N104" i="1" l="1"/>
  <c r="A104" i="1"/>
  <c r="B103" i="1"/>
  <c r="N105" i="1" l="1"/>
  <c r="A105" i="1"/>
  <c r="B104" i="1"/>
  <c r="N106" i="1" l="1"/>
  <c r="A106" i="1"/>
  <c r="B105" i="1"/>
  <c r="N107" i="1" l="1"/>
  <c r="A107" i="1"/>
  <c r="B106" i="1"/>
  <c r="N108" i="1" l="1"/>
  <c r="A108" i="1"/>
  <c r="B107" i="1"/>
  <c r="N109" i="1" l="1"/>
  <c r="A109" i="1"/>
  <c r="B108" i="1"/>
  <c r="N110" i="1" l="1"/>
  <c r="A110" i="1"/>
  <c r="B109" i="1"/>
  <c r="N111" i="1" l="1"/>
  <c r="A111" i="1"/>
  <c r="B110" i="1"/>
  <c r="N112" i="1" l="1"/>
  <c r="A112" i="1"/>
  <c r="B111" i="1"/>
  <c r="N113" i="1" l="1"/>
  <c r="A113" i="1"/>
  <c r="B112" i="1"/>
  <c r="N114" i="1" l="1"/>
  <c r="A114" i="1"/>
  <c r="B113" i="1"/>
  <c r="N115" i="1" l="1"/>
  <c r="A115" i="1"/>
  <c r="B114" i="1"/>
  <c r="N116" i="1" l="1"/>
  <c r="A116" i="1"/>
  <c r="B115" i="1"/>
  <c r="N117" i="1" l="1"/>
  <c r="A117" i="1"/>
  <c r="B116" i="1"/>
  <c r="N118" i="1" l="1"/>
  <c r="A118" i="1"/>
  <c r="B117" i="1"/>
  <c r="N119" i="1" l="1"/>
  <c r="A119" i="1"/>
  <c r="B118" i="1"/>
  <c r="N120" i="1" l="1"/>
  <c r="A120" i="1"/>
  <c r="B119" i="1"/>
  <c r="N121" i="1" l="1"/>
  <c r="A121" i="1"/>
  <c r="B120" i="1"/>
  <c r="N122" i="1" l="1"/>
  <c r="A122" i="1"/>
  <c r="B121" i="1"/>
  <c r="N123" i="1" l="1"/>
  <c r="A123" i="1"/>
  <c r="B122" i="1"/>
  <c r="N124" i="1" l="1"/>
  <c r="A124" i="1"/>
  <c r="B123" i="1"/>
  <c r="N125" i="1" l="1"/>
  <c r="A125" i="1"/>
  <c r="B124" i="1"/>
  <c r="N126" i="1" l="1"/>
  <c r="A126" i="1"/>
  <c r="B125" i="1"/>
  <c r="N127" i="1" l="1"/>
  <c r="A127" i="1"/>
  <c r="B126" i="1"/>
  <c r="N128" i="1" l="1"/>
  <c r="A128" i="1"/>
  <c r="B127" i="1"/>
  <c r="N129" i="1" l="1"/>
  <c r="A129" i="1"/>
  <c r="B128" i="1"/>
  <c r="N130" i="1" l="1"/>
  <c r="A130" i="1"/>
  <c r="B129" i="1"/>
  <c r="N131" i="1" l="1"/>
  <c r="A131" i="1"/>
  <c r="B130" i="1"/>
  <c r="N132" i="1" l="1"/>
  <c r="A132" i="1"/>
  <c r="B131" i="1"/>
  <c r="N133" i="1" l="1"/>
  <c r="A133" i="1"/>
  <c r="B132" i="1"/>
  <c r="N134" i="1" l="1"/>
  <c r="A134" i="1"/>
  <c r="B133" i="1"/>
  <c r="N135" i="1" l="1"/>
  <c r="A135" i="1"/>
  <c r="B134" i="1"/>
  <c r="N136" i="1" l="1"/>
  <c r="A136" i="1"/>
  <c r="B135" i="1"/>
  <c r="N137" i="1" l="1"/>
  <c r="A137" i="1"/>
  <c r="B136" i="1"/>
  <c r="N138" i="1" l="1"/>
  <c r="A138" i="1"/>
  <c r="B137" i="1"/>
  <c r="N139" i="1" l="1"/>
  <c r="A139" i="1"/>
  <c r="B138" i="1"/>
  <c r="N140" i="1" l="1"/>
  <c r="A140" i="1"/>
  <c r="B139" i="1"/>
  <c r="N141" i="1" l="1"/>
  <c r="A141" i="1"/>
  <c r="B140" i="1"/>
  <c r="N142" i="1" l="1"/>
  <c r="A142" i="1"/>
  <c r="B141" i="1"/>
  <c r="N143" i="1" l="1"/>
  <c r="A143" i="1"/>
  <c r="B142" i="1"/>
  <c r="N144" i="1" l="1"/>
  <c r="A144" i="1"/>
  <c r="B143" i="1"/>
  <c r="N145" i="1" l="1"/>
  <c r="A145" i="1"/>
  <c r="B144" i="1"/>
  <c r="N146" i="1" l="1"/>
  <c r="A146" i="1"/>
  <c r="B145" i="1"/>
  <c r="N147" i="1" l="1"/>
  <c r="A147" i="1"/>
  <c r="B146" i="1"/>
  <c r="N148" i="1" l="1"/>
  <c r="A148" i="1"/>
  <c r="B147" i="1"/>
  <c r="N149" i="1" l="1"/>
  <c r="A149" i="1"/>
  <c r="B148" i="1"/>
  <c r="N150" i="1" l="1"/>
  <c r="A150" i="1"/>
  <c r="B149" i="1"/>
  <c r="N151" i="1" l="1"/>
  <c r="A151" i="1"/>
  <c r="B150" i="1"/>
  <c r="N152" i="1" l="1"/>
  <c r="A152" i="1"/>
  <c r="B152" i="1" s="1"/>
  <c r="B151" i="1"/>
  <c r="N15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6" authorId="0" shapeId="0" xr:uid="{79BDD80D-A2FD-4B26-8039-649D5648A00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Discontinuous formula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<sst xmlns="http://schemas.openxmlformats.org/spreadsheetml/2006/main" count="124" uniqueCount="95">
  <si>
    <t>Survival model:</t>
  </si>
  <si>
    <t>EPV Ben =</t>
  </si>
  <si>
    <t>Premium =</t>
  </si>
  <si>
    <t>(a)</t>
  </si>
  <si>
    <t>(b)</t>
  </si>
  <si>
    <t>EPV Fut Ben =</t>
  </si>
  <si>
    <t>EPV Fut Prems =</t>
  </si>
  <si>
    <t>EPV Fut Exp =</t>
  </si>
  <si>
    <t>Accum Prems =</t>
  </si>
  <si>
    <t>Accum Exp =</t>
  </si>
  <si>
    <t>Accum Claims =</t>
  </si>
  <si>
    <t>Asset Share =</t>
  </si>
  <si>
    <t>Sum Ins</t>
  </si>
  <si>
    <r>
      <t>ä</t>
    </r>
    <r>
      <rPr>
        <b/>
        <vertAlign val="superscript"/>
        <sz val="10"/>
        <rFont val="Arial"/>
        <family val="2"/>
      </rPr>
      <t>(12)</t>
    </r>
    <r>
      <rPr>
        <b/>
        <vertAlign val="subscript"/>
        <sz val="10"/>
        <rFont val="Arial"/>
        <family val="2"/>
      </rPr>
      <t>x: 10</t>
    </r>
    <r>
      <rPr>
        <b/>
        <sz val="10"/>
        <rFont val="Arial"/>
        <family val="2"/>
      </rPr>
      <t xml:space="preserve"> =</t>
    </r>
  </si>
  <si>
    <r>
      <t xml:space="preserve">Pol Val 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>V =</t>
    </r>
  </si>
  <si>
    <t>Instructions</t>
  </si>
  <si>
    <t>(Note: If you would like to view these instructions at the same time as other sheets then you can use View&gt;New Window to create a second window.)</t>
  </si>
  <si>
    <t>Question 1</t>
  </si>
  <si>
    <t>Age</t>
  </si>
  <si>
    <t xml:space="preserve">(c) </t>
  </si>
  <si>
    <t>(d)</t>
  </si>
  <si>
    <t xml:space="preserve">(a) </t>
  </si>
  <si>
    <t>Interest</t>
  </si>
  <si>
    <t xml:space="preserve">(b) </t>
  </si>
  <si>
    <t>Colour keys</t>
  </si>
  <si>
    <t xml:space="preserve">The colours below are used to make the worksheet more readable and easier to check. </t>
  </si>
  <si>
    <t>Using a colour key like this is considered good practice in the workplace.</t>
  </si>
  <si>
    <t xml:space="preserve">At the start of your career, it is especially important that you produce work that is easy to read, reuse and check. </t>
  </si>
  <si>
    <t xml:space="preserve">Your colleagues will appreciate it! And it is more efficient because it saves time for the more senior people. </t>
  </si>
  <si>
    <t>Not all of this key will be required in simple spreadsheets.</t>
  </si>
  <si>
    <t>Our colour key</t>
  </si>
  <si>
    <t>Parameters/inputs</t>
  </si>
  <si>
    <t>Data/values</t>
  </si>
  <si>
    <t>Calculations and text</t>
  </si>
  <si>
    <t>Discontinuous formulas are highlighted</t>
  </si>
  <si>
    <t>Value looked up from data</t>
  </si>
  <si>
    <t>term and the sum insured is payable at the end of the year of death or on survival</t>
  </si>
  <si>
    <t>values is as follows:</t>
  </si>
  <si>
    <t>insurance from a life office. Level premiums are payable monthly throughout the</t>
  </si>
  <si>
    <t>for 10 years. The basic sum insured is £50,000 and bonuses are added at the start</t>
  </si>
  <si>
    <t>of each year, including the first.</t>
  </si>
  <si>
    <t>The basis used by the office for calculating premiums and gross premium policy</t>
  </si>
  <si>
    <t xml:space="preserve">Interest: </t>
  </si>
  <si>
    <t>5% a year effective</t>
  </si>
  <si>
    <t xml:space="preserve">Expenses: </t>
  </si>
  <si>
    <t>5% of each premium</t>
  </si>
  <si>
    <t xml:space="preserve">Bonuses: </t>
  </si>
  <si>
    <t>Compound reversionary bonuses at 2% per year</t>
  </si>
  <si>
    <t>Force of mortality is 0.00035 * 1.1^x (for age x)</t>
  </si>
  <si>
    <t>Actual bonuses declared in the first 5 years have been as assumed in the premium
 and policy value basis.</t>
  </si>
  <si>
    <t>Hint: The answer is £22,654</t>
  </si>
  <si>
    <t>(ii) the experience has been as follows:</t>
  </si>
  <si>
    <t>Calculate the asset share now assuming that in the first 5 years:</t>
  </si>
  <si>
    <t>(i) survival probabilities, interest and expenses have been as assumed in the premium and policy value basis.</t>
  </si>
  <si>
    <t>4% a year effective</t>
  </si>
  <si>
    <t>7% of each premium</t>
  </si>
  <si>
    <t>Force of mortality is 0.0004 * 1.1^x (for age x)</t>
  </si>
  <si>
    <t>Comment briefly on your answers to (c)(i) and (ii) above.</t>
  </si>
  <si>
    <t>Hint: The answer is £13036</t>
  </si>
  <si>
    <t>Expenses</t>
  </si>
  <si>
    <t>Parameters</t>
  </si>
  <si>
    <t>Assumptions</t>
  </si>
  <si>
    <t>Experience</t>
  </si>
  <si>
    <t>YearlySteps</t>
  </si>
  <si>
    <t>StepSize</t>
  </si>
  <si>
    <t>Step</t>
  </si>
  <si>
    <t>t</t>
  </si>
  <si>
    <r>
      <t>t</t>
    </r>
    <r>
      <rPr>
        <sz val="10"/>
        <rFont val="Arial"/>
      </rPr>
      <t>p</t>
    </r>
    <r>
      <rPr>
        <vertAlign val="subscript"/>
        <sz val="10"/>
        <rFont val="Arial"/>
        <family val="2"/>
      </rPr>
      <t>x</t>
    </r>
  </si>
  <si>
    <r>
      <t>v</t>
    </r>
    <r>
      <rPr>
        <vertAlign val="superscript"/>
        <sz val="10"/>
        <rFont val="Arial"/>
        <family val="2"/>
      </rPr>
      <t>t</t>
    </r>
    <r>
      <rPr>
        <vertAlign val="subscript"/>
        <sz val="10"/>
        <rFont val="Arial"/>
        <family val="2"/>
      </rPr>
      <t xml:space="preserve"> t</t>
    </r>
    <r>
      <rPr>
        <sz val="10"/>
        <rFont val="Arial"/>
      </rPr>
      <t>p</t>
    </r>
    <r>
      <rPr>
        <vertAlign val="subscript"/>
        <sz val="10"/>
        <rFont val="Arial"/>
        <family val="2"/>
      </rPr>
      <t>x</t>
    </r>
  </si>
  <si>
    <t xml:space="preserve">Calculate the monthly premium using the Principle of Equivalence. </t>
  </si>
  <si>
    <t>Calculate the gross premium policy value now before receipt of the premium 
due and payment of the premium related expenses.</t>
  </si>
  <si>
    <t>InitialSA</t>
  </si>
  <si>
    <t>CompoundBonus</t>
  </si>
  <si>
    <r>
      <t>t</t>
    </r>
    <r>
      <rPr>
        <sz val="10"/>
        <rFont val="Arial"/>
      </rPr>
      <t>p</t>
    </r>
    <r>
      <rPr>
        <vertAlign val="subscript"/>
        <sz val="10"/>
        <rFont val="Arial"/>
        <family val="2"/>
      </rPr>
      <t>x</t>
    </r>
    <r>
      <rPr>
        <sz val="10"/>
        <rFont val="Arial"/>
      </rPr>
      <t xml:space="preserve"> </t>
    </r>
  </si>
  <si>
    <r>
      <t>t-1</t>
    </r>
    <r>
      <rPr>
        <sz val="10"/>
        <rFont val="Arial"/>
      </rPr>
      <t>|q</t>
    </r>
    <r>
      <rPr>
        <vertAlign val="subscript"/>
        <sz val="10"/>
        <rFont val="Arial"/>
        <family val="2"/>
      </rPr>
      <t>x</t>
    </r>
    <r>
      <rPr>
        <sz val="10"/>
        <rFont val="Arial"/>
      </rPr>
      <t xml:space="preserve"> </t>
    </r>
  </si>
  <si>
    <t xml:space="preserve">EPV Ben </t>
  </si>
  <si>
    <t>EPV death benefit</t>
  </si>
  <si>
    <t>paid at time t</t>
  </si>
  <si>
    <t>Term</t>
  </si>
  <si>
    <t>Hint: The answer is £825</t>
  </si>
  <si>
    <t>(c)(i)</t>
  </si>
  <si>
    <t>(a) EPV premium payments on pricing assumptions</t>
  </si>
  <si>
    <t>(c)(ii) EPV premium payments on experience basis</t>
  </si>
  <si>
    <t>(c)(ii) EPV benefit payments on experience basis</t>
  </si>
  <si>
    <t>Results</t>
  </si>
  <si>
    <t>Calculations</t>
  </si>
  <si>
    <t>(c)(ii)</t>
  </si>
  <si>
    <t xml:space="preserve">(d) Comments on answers to part (c) </t>
  </si>
  <si>
    <t>EPV maturity benefit</t>
  </si>
  <si>
    <t>Five years ago a life then aged 60 purchased a 10-year with-profits endowment</t>
  </si>
  <si>
    <t>(HINT: See p32 of the orange tables for a formula for the survival probability)</t>
  </si>
  <si>
    <t>B (Gompertz)</t>
  </si>
  <si>
    <t>c (Gompertz)</t>
  </si>
  <si>
    <t>g (Gompertz)</t>
  </si>
  <si>
    <t>(a)+(b) EPV benefits on pricing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</si>
</sst>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£&quot;#,##0;[Red]\-&quot;£&quot;#,##0"/>
    <numFmt numFmtId="165" formatCode="0.0000"/>
    <numFmt numFmtId="166" formatCode="#,##0.0000"/>
    <numFmt numFmtId="167" formatCode="#,##0.00000"/>
    <numFmt numFmtId="168" formatCode="#,##0.0"/>
  </numFmts>
  <fonts count="24" x14ac:knownFonts="1">
    <font>
      <sz val="10"/>
      <name val="Arial"/>
    </font>
    <font>
      <b/>
      <sz val="14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b/>
      <u/>
      <sz val="10"/>
      <name val="Arial"/>
      <family val="2"/>
    </font>
    <font>
      <i/>
      <sz val="10"/>
      <name val="Arial"/>
      <family val="2"/>
    </font>
    <font>
      <sz val="10"/>
      <color rgb="FFFF66FF"/>
      <name val="Arial"/>
      <family val="2"/>
    </font>
    <font>
      <sz val="10"/>
      <color theme="3" tint="0.499984740745262"/>
      <name val="Arial"/>
      <family val="2"/>
    </font>
    <font>
      <sz val="11"/>
      <color rgb="FFFF00FF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0"/>
      <name val="Arial"/>
      <family val="2"/>
    </font>
    <font>
      <u/>
      <sz val="14"/>
      <name val="Arial"/>
      <family val="2"/>
    </font>
    <font>
      <b/>
      <u/>
      <sz val="14"/>
      <name val="Arial"/>
      <family val="2"/>
    </font>
    <font>
      <b/>
      <i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3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/>
    <xf numFmtId="0" fontId="0" fillId="0" borderId="5" xfId="0" applyBorder="1"/>
    <xf numFmtId="0" fontId="0" fillId="0" borderId="4" xfId="0" applyBorder="1"/>
    <xf numFmtId="0" fontId="8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9" xfId="0" applyBorder="1"/>
    <xf numFmtId="0" fontId="0" fillId="0" borderId="13" xfId="0" applyBorder="1"/>
    <xf numFmtId="0" fontId="8" fillId="0" borderId="12" xfId="0" applyFont="1" applyBorder="1"/>
    <xf numFmtId="0" fontId="9" fillId="0" borderId="1" xfId="0" applyFont="1" applyBorder="1"/>
    <xf numFmtId="0" fontId="14" fillId="2" borderId="4" xfId="0" applyFont="1" applyFill="1" applyBorder="1"/>
    <xf numFmtId="0" fontId="15" fillId="0" borderId="4" xfId="0" applyFont="1" applyBorder="1" applyProtection="1">
      <protection locked="0"/>
    </xf>
    <xf numFmtId="0" fontId="16" fillId="0" borderId="4" xfId="0" applyFont="1" applyBorder="1"/>
    <xf numFmtId="0" fontId="16" fillId="3" borderId="4" xfId="0" applyFont="1" applyFill="1" applyBorder="1"/>
    <xf numFmtId="0" fontId="17" fillId="0" borderId="4" xfId="0" applyFont="1" applyBorder="1"/>
    <xf numFmtId="0" fontId="3" fillId="0" borderId="0" xfId="0" applyFont="1" applyAlignment="1">
      <alignment horizontal="left" vertical="top"/>
    </xf>
    <xf numFmtId="0" fontId="12" fillId="0" borderId="0" xfId="0" applyFont="1"/>
    <xf numFmtId="0" fontId="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 vertical="top"/>
    </xf>
    <xf numFmtId="9" fontId="14" fillId="2" borderId="14" xfId="0" applyNumberFormat="1" applyFont="1" applyFill="1" applyBorder="1" applyAlignment="1">
      <alignment horizontal="center" vertical="center"/>
    </xf>
    <xf numFmtId="1" fontId="14" fillId="2" borderId="14" xfId="0" applyNumberFormat="1" applyFont="1" applyFill="1" applyBorder="1" applyAlignment="1">
      <alignment horizontal="center" vertical="center"/>
    </xf>
    <xf numFmtId="167" fontId="14" fillId="2" borderId="6" xfId="0" applyNumberFormat="1" applyFont="1" applyFill="1" applyBorder="1" applyAlignment="1">
      <alignment horizontal="center" vertical="center"/>
    </xf>
    <xf numFmtId="168" fontId="14" fillId="2" borderId="14" xfId="0" applyNumberFormat="1" applyFont="1" applyFill="1" applyBorder="1" applyAlignment="1">
      <alignment horizontal="center" vertical="center"/>
    </xf>
    <xf numFmtId="9" fontId="14" fillId="2" borderId="6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20" fillId="0" borderId="1" xfId="0" applyFont="1" applyBorder="1"/>
    <xf numFmtId="165" fontId="0" fillId="0" borderId="9" xfId="0" applyNumberFormat="1" applyBorder="1"/>
    <xf numFmtId="166" fontId="0" fillId="0" borderId="9" xfId="0" applyNumberFormat="1" applyBorder="1"/>
    <xf numFmtId="0" fontId="3" fillId="0" borderId="2" xfId="0" applyFont="1" applyBorder="1"/>
    <xf numFmtId="0" fontId="3" fillId="0" borderId="12" xfId="0" applyFont="1" applyBorder="1"/>
    <xf numFmtId="0" fontId="8" fillId="0" borderId="3" xfId="0" applyFont="1" applyBorder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0" borderId="14" xfId="0" applyFont="1" applyBorder="1"/>
    <xf numFmtId="0" fontId="4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0" xfId="0" applyNumberFormat="1"/>
    <xf numFmtId="0" fontId="0" fillId="0" borderId="13" xfId="0" applyBorder="1" applyAlignment="1">
      <alignment horizontal="center"/>
    </xf>
    <xf numFmtId="3" fontId="0" fillId="0" borderId="12" xfId="0" applyNumberFormat="1" applyBorder="1"/>
    <xf numFmtId="3" fontId="0" fillId="0" borderId="5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164" fontId="0" fillId="0" borderId="5" xfId="0" applyNumberFormat="1" applyBorder="1"/>
    <xf numFmtId="164" fontId="3" fillId="0" borderId="5" xfId="0" applyNumberFormat="1" applyFont="1" applyBorder="1"/>
    <xf numFmtId="0" fontId="3" fillId="0" borderId="4" xfId="0" applyFont="1" applyBorder="1"/>
    <xf numFmtId="0" fontId="3" fillId="0" borderId="13" xfId="0" applyFont="1" applyBorder="1"/>
    <xf numFmtId="0" fontId="2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64" fontId="0" fillId="0" borderId="0" xfId="0" applyNumberFormat="1"/>
    <xf numFmtId="0" fontId="3" fillId="0" borderId="9" xfId="0" applyFont="1" applyBorder="1"/>
    <xf numFmtId="165" fontId="0" fillId="0" borderId="0" xfId="0" applyNumberFormat="1" applyAlignment="1">
      <alignment horizontal="center"/>
    </xf>
    <xf numFmtId="2" fontId="0" fillId="0" borderId="0" xfId="0" applyNumberFormat="1"/>
    <xf numFmtId="0" fontId="22" fillId="0" borderId="0" xfId="0" applyFont="1"/>
    <xf numFmtId="0" fontId="0" fillId="4" borderId="4" xfId="0" applyFill="1" applyBorder="1"/>
    <xf numFmtId="0" fontId="0" fillId="4" borderId="14" xfId="0" applyFill="1" applyBorder="1"/>
    <xf numFmtId="0" fontId="8" fillId="0" borderId="13" xfId="0" applyFont="1" applyBorder="1"/>
    <xf numFmtId="0" fontId="23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/>
    <xf numFmtId="3" fontId="0" fillId="0" borderId="7" xfId="0" applyNumberFormat="1" applyBorder="1"/>
    <xf numFmtId="3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800100</xdr:colOff>
          <xdr:row>16</xdr:row>
          <xdr:rowOff>123825</xdr:rowOff>
        </xdr:from>
        <xdr:to>
          <xdr:col>8</xdr:col>
          <xdr:colOff>571500</xdr:colOff>
          <xdr:row>27</xdr:row>
          <xdr:rowOff>63980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EF4B36C2-F735-3787-894D-49C67BE4738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nstructions!$C$7:$L$19" spid="_x0000_s515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47800" y="3214688"/>
              <a:ext cx="5743575" cy="187373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2340F-9D4E-46D0-B60A-32B8D031A09F}">
  <dimension ref="B2:P50"/>
  <sheetViews>
    <sheetView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O20" sqref="O20"/>
    </sheetView>
  </sheetViews>
  <sheetFormatPr defaultRowHeight="12.75" x14ac:dyDescent="0.35"/>
  <sheetData>
    <row r="2" spans="2:16" ht="13.15" x14ac:dyDescent="0.4">
      <c r="B2" s="4" t="s">
        <v>15</v>
      </c>
    </row>
    <row r="3" spans="2:16" x14ac:dyDescent="0.35">
      <c r="B3" s="82" t="s">
        <v>16</v>
      </c>
    </row>
    <row r="4" spans="2:16" x14ac:dyDescent="0.35">
      <c r="B4" s="3"/>
    </row>
    <row r="5" spans="2:16" ht="13.15" x14ac:dyDescent="0.4">
      <c r="B5" s="2" t="s">
        <v>17</v>
      </c>
      <c r="K5" s="26"/>
    </row>
    <row r="6" spans="2:16" x14ac:dyDescent="0.35">
      <c r="B6" s="3"/>
      <c r="C6" s="3"/>
      <c r="K6" s="3"/>
    </row>
    <row r="7" spans="2:16" x14ac:dyDescent="0.35">
      <c r="B7" s="3"/>
      <c r="C7" s="32" t="s">
        <v>89</v>
      </c>
      <c r="K7" s="3"/>
      <c r="L7" s="27"/>
    </row>
    <row r="8" spans="2:16" x14ac:dyDescent="0.35">
      <c r="B8" s="3"/>
      <c r="C8" s="32" t="s">
        <v>38</v>
      </c>
      <c r="K8" s="3"/>
      <c r="L8" s="27"/>
    </row>
    <row r="9" spans="2:16" ht="13.15" x14ac:dyDescent="0.4">
      <c r="C9" s="32" t="s">
        <v>36</v>
      </c>
      <c r="D9" s="28"/>
    </row>
    <row r="10" spans="2:16" x14ac:dyDescent="0.35">
      <c r="C10" s="32" t="s">
        <v>39</v>
      </c>
      <c r="D10" s="29"/>
      <c r="K10" s="3"/>
    </row>
    <row r="11" spans="2:16" x14ac:dyDescent="0.35">
      <c r="B11" s="3"/>
      <c r="C11" s="32" t="s">
        <v>40</v>
      </c>
      <c r="D11" s="29"/>
      <c r="K11" s="3"/>
      <c r="L11" s="30"/>
      <c r="N11" s="31"/>
      <c r="P11" s="31"/>
    </row>
    <row r="12" spans="2:16" x14ac:dyDescent="0.35">
      <c r="C12" s="32" t="s">
        <v>41</v>
      </c>
      <c r="D12" s="29"/>
      <c r="K12" s="3"/>
      <c r="L12" s="30"/>
    </row>
    <row r="13" spans="2:16" x14ac:dyDescent="0.35">
      <c r="B13" s="3"/>
      <c r="C13" s="32" t="s">
        <v>37</v>
      </c>
      <c r="D13" s="29"/>
      <c r="K13" s="3"/>
      <c r="L13" s="31"/>
      <c r="M13" s="3"/>
    </row>
    <row r="14" spans="2:16" x14ac:dyDescent="0.35">
      <c r="B14" s="3"/>
      <c r="C14" s="29"/>
      <c r="D14" s="29"/>
      <c r="K14" s="3"/>
      <c r="L14" s="31"/>
    </row>
    <row r="15" spans="2:16" x14ac:dyDescent="0.35">
      <c r="B15" s="3"/>
      <c r="C15" s="29"/>
      <c r="D15" s="32" t="s">
        <v>0</v>
      </c>
      <c r="F15" s="3" t="s">
        <v>48</v>
      </c>
    </row>
    <row r="16" spans="2:16" x14ac:dyDescent="0.35">
      <c r="B16" s="3"/>
      <c r="C16" s="29"/>
      <c r="D16" s="32"/>
      <c r="F16" s="5" t="s">
        <v>90</v>
      </c>
      <c r="K16" s="5"/>
    </row>
    <row r="17" spans="2:16" x14ac:dyDescent="0.35">
      <c r="D17" s="32" t="s">
        <v>42</v>
      </c>
      <c r="F17" s="3" t="s">
        <v>43</v>
      </c>
    </row>
    <row r="18" spans="2:16" x14ac:dyDescent="0.35">
      <c r="C18" s="3"/>
      <c r="D18" s="32" t="s">
        <v>44</v>
      </c>
      <c r="F18" s="3" t="s">
        <v>45</v>
      </c>
    </row>
    <row r="19" spans="2:16" x14ac:dyDescent="0.35">
      <c r="D19" s="32" t="s">
        <v>46</v>
      </c>
      <c r="F19" s="3" t="s">
        <v>47</v>
      </c>
    </row>
    <row r="20" spans="2:16" ht="13.15" x14ac:dyDescent="0.4">
      <c r="B20" s="3"/>
      <c r="C20" s="2"/>
    </row>
    <row r="21" spans="2:16" x14ac:dyDescent="0.35">
      <c r="C21" s="3" t="s">
        <v>49</v>
      </c>
      <c r="P21" s="31"/>
    </row>
    <row r="22" spans="2:16" x14ac:dyDescent="0.35">
      <c r="C22" s="3"/>
    </row>
    <row r="23" spans="2:16" x14ac:dyDescent="0.35">
      <c r="B23" s="3" t="s">
        <v>21</v>
      </c>
      <c r="C23" s="3" t="s">
        <v>69</v>
      </c>
    </row>
    <row r="24" spans="2:16" x14ac:dyDescent="0.35">
      <c r="B24" s="3"/>
      <c r="C24" s="3"/>
    </row>
    <row r="25" spans="2:16" x14ac:dyDescent="0.35">
      <c r="C25" s="5" t="s">
        <v>79</v>
      </c>
    </row>
    <row r="26" spans="2:16" ht="13.15" x14ac:dyDescent="0.4">
      <c r="B26" s="3"/>
      <c r="C26" s="2"/>
    </row>
    <row r="27" spans="2:16" x14ac:dyDescent="0.35">
      <c r="B27" s="3" t="s">
        <v>23</v>
      </c>
      <c r="C27" s="3" t="s">
        <v>70</v>
      </c>
    </row>
    <row r="28" spans="2:16" x14ac:dyDescent="0.35">
      <c r="C28" s="3"/>
    </row>
    <row r="29" spans="2:16" x14ac:dyDescent="0.35">
      <c r="C29" s="5" t="s">
        <v>50</v>
      </c>
    </row>
    <row r="30" spans="2:16" x14ac:dyDescent="0.35">
      <c r="C30" s="3"/>
    </row>
    <row r="31" spans="2:16" x14ac:dyDescent="0.35">
      <c r="B31" s="3" t="s">
        <v>19</v>
      </c>
      <c r="C31" s="3" t="s">
        <v>52</v>
      </c>
    </row>
    <row r="33" spans="2:6" x14ac:dyDescent="0.35">
      <c r="C33" s="3" t="s">
        <v>53</v>
      </c>
    </row>
    <row r="34" spans="2:6" x14ac:dyDescent="0.35">
      <c r="C34" s="3"/>
    </row>
    <row r="35" spans="2:6" x14ac:dyDescent="0.35">
      <c r="C35" s="5" t="s">
        <v>50</v>
      </c>
    </row>
    <row r="37" spans="2:6" x14ac:dyDescent="0.35">
      <c r="C37" t="s">
        <v>51</v>
      </c>
    </row>
    <row r="38" spans="2:6" x14ac:dyDescent="0.35">
      <c r="C38" s="3"/>
    </row>
    <row r="39" spans="2:6" x14ac:dyDescent="0.35">
      <c r="D39" s="32" t="s">
        <v>0</v>
      </c>
      <c r="F39" s="3" t="s">
        <v>56</v>
      </c>
    </row>
    <row r="40" spans="2:6" ht="13.15" x14ac:dyDescent="0.4">
      <c r="C40" s="2"/>
      <c r="D40" s="32" t="s">
        <v>42</v>
      </c>
      <c r="F40" s="3" t="s">
        <v>54</v>
      </c>
    </row>
    <row r="41" spans="2:6" x14ac:dyDescent="0.35">
      <c r="C41" s="3"/>
      <c r="D41" s="32" t="s">
        <v>44</v>
      </c>
      <c r="F41" s="3" t="s">
        <v>55</v>
      </c>
    </row>
    <row r="43" spans="2:6" x14ac:dyDescent="0.35">
      <c r="C43" s="5" t="s">
        <v>58</v>
      </c>
    </row>
    <row r="44" spans="2:6" x14ac:dyDescent="0.35">
      <c r="C44" s="5"/>
    </row>
    <row r="45" spans="2:6" x14ac:dyDescent="0.35">
      <c r="B45" s="3" t="s">
        <v>20</v>
      </c>
      <c r="C45" s="3" t="s">
        <v>57</v>
      </c>
    </row>
    <row r="46" spans="2:6" x14ac:dyDescent="0.35">
      <c r="C46" s="3"/>
    </row>
    <row r="48" spans="2:6" x14ac:dyDescent="0.35">
      <c r="B48" s="3"/>
      <c r="C48" s="3"/>
    </row>
    <row r="49" spans="3:3" x14ac:dyDescent="0.35">
      <c r="C49" s="3"/>
    </row>
    <row r="50" spans="3:3" x14ac:dyDescent="0.35">
      <c r="C5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144C-03B8-48D7-9ECB-9C90D884D68B}">
  <dimension ref="A2:B19"/>
  <sheetViews>
    <sheetView workbookViewId="0">
      <selection activeCell="A18" sqref="A18"/>
    </sheetView>
  </sheetViews>
  <sheetFormatPr defaultRowHeight="12.75" x14ac:dyDescent="0.35"/>
  <cols>
    <col min="1" max="1" width="37.3984375" customWidth="1"/>
  </cols>
  <sheetData>
    <row r="2" spans="1:2" ht="13.15" x14ac:dyDescent="0.4">
      <c r="A2" s="4" t="s">
        <v>24</v>
      </c>
    </row>
    <row r="4" spans="1:2" x14ac:dyDescent="0.35">
      <c r="A4" s="3" t="s">
        <v>25</v>
      </c>
    </row>
    <row r="5" spans="1:2" x14ac:dyDescent="0.35">
      <c r="A5" s="3" t="s">
        <v>26</v>
      </c>
    </row>
    <row r="6" spans="1:2" x14ac:dyDescent="0.35">
      <c r="A6" s="3" t="s">
        <v>27</v>
      </c>
    </row>
    <row r="7" spans="1:2" x14ac:dyDescent="0.35">
      <c r="A7" s="3" t="s">
        <v>28</v>
      </c>
    </row>
    <row r="8" spans="1:2" x14ac:dyDescent="0.35">
      <c r="A8" s="3" t="s">
        <v>29</v>
      </c>
    </row>
    <row r="9" spans="1:2" x14ac:dyDescent="0.35">
      <c r="A9" s="3"/>
    </row>
    <row r="10" spans="1:2" ht="13.15" thickBot="1" x14ac:dyDescent="0.4"/>
    <row r="11" spans="1:2" ht="14.25" x14ac:dyDescent="0.45">
      <c r="A11" s="20" t="s">
        <v>30</v>
      </c>
      <c r="B11" s="8"/>
    </row>
    <row r="12" spans="1:2" x14ac:dyDescent="0.35">
      <c r="A12" s="11"/>
      <c r="B12" s="10"/>
    </row>
    <row r="13" spans="1:2" ht="14.25" x14ac:dyDescent="0.45">
      <c r="A13" s="21" t="s">
        <v>31</v>
      </c>
      <c r="B13" s="10"/>
    </row>
    <row r="14" spans="1:2" ht="14.25" x14ac:dyDescent="0.45">
      <c r="A14" s="22" t="s">
        <v>32</v>
      </c>
      <c r="B14" s="10"/>
    </row>
    <row r="15" spans="1:2" ht="14.25" x14ac:dyDescent="0.45">
      <c r="A15" s="23" t="s">
        <v>33</v>
      </c>
      <c r="B15" s="10"/>
    </row>
    <row r="16" spans="1:2" ht="14.25" x14ac:dyDescent="0.45">
      <c r="A16" s="24" t="s">
        <v>34</v>
      </c>
      <c r="B16" s="10"/>
    </row>
    <row r="17" spans="1:2" ht="14.25" x14ac:dyDescent="0.45">
      <c r="A17" s="25" t="s">
        <v>35</v>
      </c>
      <c r="B17" s="10"/>
    </row>
    <row r="18" spans="1:2" x14ac:dyDescent="0.35">
      <c r="A18" s="79" t="s">
        <v>84</v>
      </c>
      <c r="B18" s="10"/>
    </row>
    <row r="19" spans="1:2" ht="13.15" thickBot="1" x14ac:dyDescent="0.4">
      <c r="A19" s="18"/>
      <c r="B19" s="17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21E4-6C7A-4E72-9335-DE4A39286243}">
  <dimension ref="A1:Z153"/>
  <sheetViews>
    <sheetView tabSelected="1" topLeftCell="E2" workbookViewId="0">
      <selection activeCell="P6" sqref="P6"/>
    </sheetView>
  </sheetViews>
  <sheetFormatPr defaultRowHeight="12.75" x14ac:dyDescent="0.35"/>
  <cols>
    <col min="2" max="2" width="16.265625" customWidth="1"/>
    <col min="3" max="3" width="10" bestFit="1" customWidth="1"/>
    <col min="4" max="4" width="11.73046875" bestFit="1" customWidth="1"/>
    <col min="5" max="5" width="15.73046875" customWidth="1"/>
    <col min="6" max="6" width="11.73046875" bestFit="1" customWidth="1"/>
    <col min="9" max="9" width="14.59765625" customWidth="1"/>
    <col min="10" max="10" width="15.265625" bestFit="1" customWidth="1"/>
    <col min="11" max="11" width="17.265625" bestFit="1" customWidth="1"/>
    <col min="12" max="12" width="10" customWidth="1"/>
    <col min="13" max="13" width="9.86328125" customWidth="1"/>
    <col min="14" max="14" width="10.1328125" customWidth="1"/>
    <col min="15" max="15" width="15.19921875" bestFit="1" customWidth="1"/>
    <col min="16" max="16" width="9.796875" bestFit="1" customWidth="1"/>
    <col min="24" max="24" width="15.265625" bestFit="1" customWidth="1"/>
    <col min="25" max="25" width="17.265625" bestFit="1" customWidth="1"/>
  </cols>
  <sheetData>
    <row r="1" spans="1:26" ht="17.649999999999999" x14ac:dyDescent="0.5">
      <c r="A1" s="78"/>
    </row>
    <row r="2" spans="1:26" ht="17.649999999999999" x14ac:dyDescent="0.5">
      <c r="A2" s="1"/>
    </row>
    <row r="3" spans="1:26" ht="18" thickBot="1" x14ac:dyDescent="0.55000000000000004">
      <c r="A3" s="1"/>
    </row>
    <row r="4" spans="1:26" s="1" customFormat="1" ht="17.649999999999999" x14ac:dyDescent="0.5">
      <c r="B4" s="71" t="s">
        <v>60</v>
      </c>
      <c r="C4" s="7"/>
      <c r="D4" s="7"/>
      <c r="E4" s="7"/>
      <c r="F4" s="7"/>
      <c r="G4" s="8"/>
      <c r="J4" s="71" t="s">
        <v>84</v>
      </c>
      <c r="K4" s="72"/>
      <c r="L4" s="72"/>
      <c r="M4" s="72"/>
      <c r="N4" s="72"/>
      <c r="O4" s="72"/>
      <c r="P4" s="72"/>
      <c r="Q4" s="73"/>
      <c r="S4" s="71" t="s">
        <v>87</v>
      </c>
      <c r="T4" s="72"/>
      <c r="U4" s="72"/>
      <c r="V4" s="72"/>
      <c r="W4" s="72"/>
      <c r="X4" s="72"/>
      <c r="Y4" s="72"/>
      <c r="Z4" s="73"/>
    </row>
    <row r="5" spans="1:26" ht="13.5" thickBot="1" x14ac:dyDescent="0.45">
      <c r="B5" s="11"/>
      <c r="G5" s="10"/>
      <c r="J5" s="11"/>
      <c r="L5" s="2"/>
      <c r="Q5" s="10"/>
      <c r="S5" s="11"/>
      <c r="Z5" s="10"/>
    </row>
    <row r="6" spans="1:26" ht="13.5" thickBot="1" x14ac:dyDescent="0.45">
      <c r="B6" s="39" t="s">
        <v>61</v>
      </c>
      <c r="C6" s="8"/>
      <c r="E6" s="39" t="s">
        <v>62</v>
      </c>
      <c r="F6" s="8"/>
      <c r="G6" s="10"/>
      <c r="J6" s="6" t="s">
        <v>3</v>
      </c>
      <c r="K6" s="42" t="s">
        <v>1</v>
      </c>
      <c r="L6" s="80">
        <f>SUM(L32:L42)</f>
        <v>42511.552990488701</v>
      </c>
      <c r="N6" s="6" t="s">
        <v>80</v>
      </c>
      <c r="O6" s="42" t="s">
        <v>8</v>
      </c>
      <c r="P6" s="80">
        <f>SUM(D32:D91)/12*D92*L10*12</f>
        <v>13217.476525154269</v>
      </c>
      <c r="Q6" s="10"/>
      <c r="S6" s="11"/>
      <c r="Z6" s="10"/>
    </row>
    <row r="7" spans="1:26" ht="14.65" thickBot="1" x14ac:dyDescent="0.45">
      <c r="B7" s="9" t="s">
        <v>91</v>
      </c>
      <c r="C7" s="35">
        <v>3.5E-4</v>
      </c>
      <c r="E7" s="9" t="s">
        <v>91</v>
      </c>
      <c r="F7" s="35">
        <v>4.0000000000000002E-4</v>
      </c>
      <c r="G7" s="10"/>
      <c r="J7" s="11"/>
      <c r="L7" s="67"/>
      <c r="N7" s="69"/>
      <c r="O7" s="2"/>
      <c r="P7" s="68"/>
      <c r="Q7" s="10"/>
      <c r="S7" s="11"/>
      <c r="Z7" s="10"/>
    </row>
    <row r="8" spans="1:26" ht="16.149999999999999" thickBot="1" x14ac:dyDescent="0.55000000000000004">
      <c r="B8" s="9" t="s">
        <v>92</v>
      </c>
      <c r="C8" s="36">
        <v>1.1000000000000001</v>
      </c>
      <c r="E8" s="9" t="s">
        <v>92</v>
      </c>
      <c r="F8" s="36">
        <v>1.1000000000000001</v>
      </c>
      <c r="G8" s="10"/>
      <c r="J8" s="11"/>
      <c r="K8" s="2" t="s">
        <v>13</v>
      </c>
      <c r="L8" s="80">
        <f>SUM(D32:D151)/12</f>
        <v>4.520554791768066</v>
      </c>
      <c r="N8" s="69"/>
      <c r="O8" s="2" t="s">
        <v>9</v>
      </c>
      <c r="P8" s="80">
        <f>P6*expenses_assum</f>
        <v>660.87382625771352</v>
      </c>
      <c r="Q8" s="10"/>
      <c r="S8" s="11"/>
      <c r="Z8" s="10"/>
    </row>
    <row r="9" spans="1:26" ht="14.65" thickBot="1" x14ac:dyDescent="0.45">
      <c r="B9" s="11" t="s">
        <v>18</v>
      </c>
      <c r="C9" s="34">
        <v>60</v>
      </c>
      <c r="E9" s="11"/>
      <c r="F9" s="10"/>
      <c r="G9" s="10"/>
      <c r="J9" s="11"/>
      <c r="L9" s="67"/>
      <c r="N9" s="69"/>
      <c r="O9" s="2"/>
      <c r="P9" s="68"/>
      <c r="Q9" s="10"/>
      <c r="S9" s="11"/>
      <c r="Z9" s="10"/>
    </row>
    <row r="10" spans="1:26" ht="14.65" thickBot="1" x14ac:dyDescent="0.45">
      <c r="B10" s="11" t="s">
        <v>22</v>
      </c>
      <c r="C10" s="37">
        <v>0.05</v>
      </c>
      <c r="D10">
        <f>1/(1+interest_assum)</f>
        <v>0.95238095238095233</v>
      </c>
      <c r="E10" s="11" t="s">
        <v>22</v>
      </c>
      <c r="F10" s="37">
        <v>0.04</v>
      </c>
      <c r="G10" s="10"/>
      <c r="J10" s="18"/>
      <c r="K10" s="43" t="s">
        <v>2</v>
      </c>
      <c r="L10" s="80">
        <f>L6/(L8*0.95)/12</f>
        <v>824.91724300025464</v>
      </c>
      <c r="N10" s="69"/>
      <c r="O10" s="2" t="s">
        <v>10</v>
      </c>
      <c r="P10" s="80">
        <f>SUM(J33:J37)*D92</f>
        <v>9005.7756322972873</v>
      </c>
      <c r="Q10" s="10"/>
      <c r="S10" s="9"/>
      <c r="Z10" s="10"/>
    </row>
    <row r="11" spans="1:26" ht="14.65" thickBot="1" x14ac:dyDescent="0.45">
      <c r="B11" s="11" t="s">
        <v>59</v>
      </c>
      <c r="C11" s="33">
        <v>0.05</v>
      </c>
      <c r="E11" s="11" t="s">
        <v>59</v>
      </c>
      <c r="F11" s="33">
        <v>7.0000000000000007E-2</v>
      </c>
      <c r="G11" s="10"/>
      <c r="J11" s="11"/>
      <c r="L11" s="74"/>
      <c r="N11" s="69"/>
      <c r="O11" s="2"/>
      <c r="P11" s="68"/>
      <c r="Q11" s="10"/>
      <c r="S11" s="11"/>
      <c r="Z11" s="10"/>
    </row>
    <row r="12" spans="1:26" ht="13.5" thickBot="1" x14ac:dyDescent="0.45">
      <c r="B12" s="81" t="s">
        <v>93</v>
      </c>
      <c r="C12" s="40">
        <f>EXP(-gompertz_B_assum/LOG(gompertz_c_assum,EXP(1)))</f>
        <v>0.99633451381544047</v>
      </c>
      <c r="E12" s="81" t="s">
        <v>93</v>
      </c>
      <c r="F12" s="41"/>
      <c r="G12" s="10"/>
      <c r="J12" s="6" t="s">
        <v>4</v>
      </c>
      <c r="K12" s="42" t="s">
        <v>5</v>
      </c>
      <c r="L12" s="80">
        <f>SUM(L38:L42)/D92</f>
        <v>49921.702343955163</v>
      </c>
      <c r="N12" s="70"/>
      <c r="O12" s="43" t="s">
        <v>11</v>
      </c>
      <c r="P12" s="80">
        <f>P6-P8-P10</f>
        <v>3550.8270665992677</v>
      </c>
      <c r="Q12" s="10"/>
      <c r="S12" s="11"/>
      <c r="Z12" s="10"/>
    </row>
    <row r="13" spans="1:26" ht="13.5" thickBot="1" x14ac:dyDescent="0.45">
      <c r="B13" s="11"/>
      <c r="G13" s="10"/>
      <c r="J13" s="11"/>
      <c r="K13" s="2"/>
      <c r="L13" s="68"/>
      <c r="P13" s="74"/>
      <c r="Q13" s="10"/>
      <c r="S13" s="11"/>
      <c r="Z13" s="10"/>
    </row>
    <row r="14" spans="1:26" ht="14.65" thickBot="1" x14ac:dyDescent="0.45">
      <c r="B14" s="9" t="s">
        <v>63</v>
      </c>
      <c r="C14" s="34">
        <v>12</v>
      </c>
      <c r="E14" t="s">
        <v>71</v>
      </c>
      <c r="F14" s="34">
        <v>50000</v>
      </c>
      <c r="G14" s="10"/>
      <c r="J14" s="11"/>
      <c r="K14" s="2" t="s">
        <v>6</v>
      </c>
      <c r="L14" s="80">
        <f>(SUM(D92:D151)/12/D92)*L10*12</f>
        <v>28702.911444020949</v>
      </c>
      <c r="N14" s="6" t="s">
        <v>86</v>
      </c>
      <c r="O14" s="42" t="s">
        <v>8</v>
      </c>
      <c r="P14" s="80"/>
      <c r="Q14" s="10"/>
      <c r="S14" s="9"/>
      <c r="Z14" s="10"/>
    </row>
    <row r="15" spans="1:26" ht="14.65" thickBot="1" x14ac:dyDescent="0.45">
      <c r="B15" s="9" t="s">
        <v>64</v>
      </c>
      <c r="C15" s="38">
        <f>1/C14</f>
        <v>8.3333333333333329E-2</v>
      </c>
      <c r="E15" s="3" t="s">
        <v>72</v>
      </c>
      <c r="F15" s="33">
        <v>0.02</v>
      </c>
      <c r="G15" s="10"/>
      <c r="J15" s="11"/>
      <c r="K15" s="2"/>
      <c r="L15" s="68"/>
      <c r="N15" s="69"/>
      <c r="O15" s="2"/>
      <c r="P15" s="68"/>
      <c r="Q15" s="10"/>
      <c r="S15" s="11"/>
      <c r="Z15" s="10"/>
    </row>
    <row r="16" spans="1:26" ht="14.65" thickBot="1" x14ac:dyDescent="0.45">
      <c r="B16" s="18"/>
      <c r="C16" s="16"/>
      <c r="D16" s="16"/>
      <c r="E16" s="19" t="s">
        <v>78</v>
      </c>
      <c r="F16" s="34">
        <v>10</v>
      </c>
      <c r="G16" s="17"/>
      <c r="J16" s="11"/>
      <c r="K16" s="2" t="s">
        <v>7</v>
      </c>
      <c r="L16" s="80">
        <f>L14*expenses_assum</f>
        <v>1435.1455722010476</v>
      </c>
      <c r="N16" s="69"/>
      <c r="O16" s="2" t="s">
        <v>9</v>
      </c>
      <c r="P16" s="80"/>
      <c r="Q16" s="10"/>
      <c r="S16" s="11"/>
      <c r="Z16" s="10"/>
    </row>
    <row r="17" spans="1:26" ht="13.5" thickBot="1" x14ac:dyDescent="0.45">
      <c r="J17" s="11"/>
      <c r="K17" s="2"/>
      <c r="L17" s="68"/>
      <c r="N17" s="69"/>
      <c r="O17" s="2"/>
      <c r="P17" s="68"/>
      <c r="Q17" s="10"/>
      <c r="S17" s="11"/>
      <c r="Z17" s="10"/>
    </row>
    <row r="18" spans="1:26" ht="15" thickBot="1" x14ac:dyDescent="0.55000000000000004">
      <c r="J18" s="18"/>
      <c r="K18" s="43" t="s">
        <v>14</v>
      </c>
      <c r="L18" s="80">
        <f>L12-L14+L16</f>
        <v>22653.936472135261</v>
      </c>
      <c r="N18" s="69"/>
      <c r="O18" s="2" t="s">
        <v>10</v>
      </c>
      <c r="P18" s="80"/>
      <c r="Q18" s="10"/>
      <c r="S18" s="11"/>
      <c r="Z18" s="10"/>
    </row>
    <row r="19" spans="1:26" ht="13.5" thickBot="1" x14ac:dyDescent="0.45">
      <c r="J19" s="11"/>
      <c r="N19" s="69"/>
      <c r="O19" s="2"/>
      <c r="P19" s="68"/>
      <c r="Q19" s="10"/>
      <c r="S19" s="11"/>
      <c r="Z19" s="10"/>
    </row>
    <row r="20" spans="1:26" ht="13.5" thickBot="1" x14ac:dyDescent="0.45">
      <c r="J20" s="11"/>
      <c r="N20" s="70"/>
      <c r="O20" s="43" t="s">
        <v>11</v>
      </c>
      <c r="P20" s="80"/>
      <c r="Q20" s="10"/>
      <c r="S20" s="11"/>
      <c r="Z20" s="10"/>
    </row>
    <row r="21" spans="1:26" ht="13.5" thickBot="1" x14ac:dyDescent="0.45">
      <c r="J21" s="18"/>
      <c r="K21" s="16"/>
      <c r="L21" s="16"/>
      <c r="M21" s="16"/>
      <c r="N21" s="16"/>
      <c r="O21" s="16"/>
      <c r="P21" s="16"/>
      <c r="Q21" s="75"/>
      <c r="S21" s="18"/>
      <c r="T21" s="16"/>
      <c r="U21" s="16"/>
      <c r="V21" s="16"/>
      <c r="W21" s="16"/>
      <c r="X21" s="16"/>
      <c r="Y21" s="16"/>
      <c r="Z21" s="17"/>
    </row>
    <row r="22" spans="1:26" ht="13.15" x14ac:dyDescent="0.4">
      <c r="Q22" s="2"/>
    </row>
    <row r="23" spans="1:26" ht="13.15" x14ac:dyDescent="0.4">
      <c r="Q23" s="2"/>
    </row>
    <row r="24" spans="1:26" ht="13.5" thickBot="1" x14ac:dyDescent="0.45">
      <c r="Q24" s="2"/>
    </row>
    <row r="25" spans="1:26" ht="17.25" x14ac:dyDescent="0.45">
      <c r="A25" s="71" t="s">
        <v>85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42"/>
      <c r="R25" s="7"/>
      <c r="S25" s="7"/>
      <c r="T25" s="7"/>
      <c r="U25" s="7"/>
      <c r="V25" s="7"/>
      <c r="W25" s="7"/>
      <c r="X25" s="7"/>
      <c r="Y25" s="7"/>
      <c r="Z25" s="8"/>
    </row>
    <row r="26" spans="1:26" ht="13.15" x14ac:dyDescent="0.4">
      <c r="A26" s="11"/>
      <c r="Q26" s="2"/>
      <c r="Z26" s="10"/>
    </row>
    <row r="27" spans="1:26" ht="13.15" x14ac:dyDescent="0.4">
      <c r="A27" s="11"/>
      <c r="Q27" s="2"/>
      <c r="Z27" s="10"/>
    </row>
    <row r="28" spans="1:26" ht="13.15" x14ac:dyDescent="0.4">
      <c r="A28" s="11"/>
      <c r="Q28" s="2"/>
      <c r="Z28" s="10"/>
    </row>
    <row r="29" spans="1:26" ht="13.5" thickBot="1" x14ac:dyDescent="0.45">
      <c r="A29" s="9" t="s">
        <v>81</v>
      </c>
      <c r="F29" s="3" t="s">
        <v>94</v>
      </c>
      <c r="N29" s="3" t="s">
        <v>82</v>
      </c>
      <c r="Q29" s="2"/>
      <c r="S29" s="3" t="s">
        <v>83</v>
      </c>
      <c r="Z29" s="10"/>
    </row>
    <row r="30" spans="1:26" ht="13.5" thickBot="1" x14ac:dyDescent="0.45">
      <c r="A30" s="11"/>
      <c r="J30" s="53" t="s">
        <v>76</v>
      </c>
      <c r="K30" s="44" t="s">
        <v>88</v>
      </c>
      <c r="Q30" s="2"/>
      <c r="Z30" s="10"/>
    </row>
    <row r="31" spans="1:26" ht="15.75" thickBot="1" x14ac:dyDescent="0.55000000000000004">
      <c r="A31" s="50" t="s">
        <v>65</v>
      </c>
      <c r="B31" s="12" t="s">
        <v>66</v>
      </c>
      <c r="C31" s="51" t="s">
        <v>67</v>
      </c>
      <c r="D31" s="52" t="s">
        <v>68</v>
      </c>
      <c r="E31" s="31"/>
      <c r="F31" s="53" t="s">
        <v>66</v>
      </c>
      <c r="G31" s="59" t="s">
        <v>12</v>
      </c>
      <c r="H31" s="83" t="s">
        <v>73</v>
      </c>
      <c r="I31" s="84" t="s">
        <v>74</v>
      </c>
      <c r="J31" s="57" t="s">
        <v>77</v>
      </c>
      <c r="K31" s="46" t="s">
        <v>77</v>
      </c>
      <c r="L31" s="53" t="s">
        <v>75</v>
      </c>
      <c r="M31" s="30"/>
      <c r="X31" s="53" t="s">
        <v>76</v>
      </c>
      <c r="Y31" s="44" t="s">
        <v>88</v>
      </c>
      <c r="Z31" s="10"/>
    </row>
    <row r="32" spans="1:26" ht="15.75" thickBot="1" x14ac:dyDescent="0.55000000000000004">
      <c r="A32" s="14">
        <v>0</v>
      </c>
      <c r="B32" s="45">
        <f t="shared" ref="B32:B63" si="0">A32*StepSize</f>
        <v>0</v>
      </c>
      <c r="C32" s="31">
        <f t="shared" ref="C32:C63" si="1">gompertz_g_assum^(gompertz_c_assum^intial_age * (gompertz_c_assum^B32-1))</f>
        <v>1</v>
      </c>
      <c r="D32" s="46">
        <f>$D$10^B32*C32</f>
        <v>1</v>
      </c>
      <c r="E32" s="31"/>
      <c r="F32" s="58">
        <v>0</v>
      </c>
      <c r="G32" s="58">
        <f t="shared" ref="G32:G43" si="2">InitialSA*(1+CompoundBonus)^F32</f>
        <v>50000</v>
      </c>
      <c r="H32" s="59" cm="1">
        <f t="array" ref="H32:H42">VLOOKUP($F$32:$F$42,$B$32:$C$152,2)</f>
        <v>1</v>
      </c>
      <c r="I32" s="59">
        <v>0</v>
      </c>
      <c r="J32" s="86">
        <v>0</v>
      </c>
      <c r="K32" s="86">
        <v>0</v>
      </c>
      <c r="L32" s="60">
        <f>J32+K32</f>
        <v>0</v>
      </c>
      <c r="M32" s="31"/>
      <c r="N32" s="50" t="s">
        <v>65</v>
      </c>
      <c r="O32" s="12" t="s">
        <v>66</v>
      </c>
      <c r="P32" s="51" t="s">
        <v>67</v>
      </c>
      <c r="Q32" s="52" t="s">
        <v>68</v>
      </c>
      <c r="R32" s="31"/>
      <c r="S32" s="31"/>
      <c r="T32" s="55" t="s">
        <v>66</v>
      </c>
      <c r="U32" s="13" t="s">
        <v>12</v>
      </c>
      <c r="V32" s="51" t="s">
        <v>73</v>
      </c>
      <c r="W32" s="56" t="s">
        <v>74</v>
      </c>
      <c r="X32" s="54" t="s">
        <v>77</v>
      </c>
      <c r="Y32" s="49" t="s">
        <v>77</v>
      </c>
      <c r="Z32" s="55" t="s">
        <v>75</v>
      </c>
    </row>
    <row r="33" spans="1:26" x14ac:dyDescent="0.35">
      <c r="A33" s="14">
        <f>A32+1</f>
        <v>1</v>
      </c>
      <c r="B33" s="45">
        <f t="shared" si="0"/>
        <v>8.3333333333333329E-2</v>
      </c>
      <c r="C33" s="31">
        <f t="shared" si="1"/>
        <v>0.99112355468525071</v>
      </c>
      <c r="D33" s="46">
        <f t="shared" ref="D33:D96" si="3">$D$10^B33*C33</f>
        <v>0.98710197903557562</v>
      </c>
      <c r="E33" s="31"/>
      <c r="F33" s="61">
        <f>F32+1</f>
        <v>1</v>
      </c>
      <c r="G33" s="61">
        <f t="shared" si="2"/>
        <v>51000</v>
      </c>
      <c r="H33" s="85">
        <v>0.89421201999599198</v>
      </c>
      <c r="I33" s="85">
        <f>H32*(1-H33/H32)</f>
        <v>0.10578798000400802</v>
      </c>
      <c r="J33" s="87">
        <f>G33*I33*$D$10^F33</f>
        <v>5138.2733144803897</v>
      </c>
      <c r="K33" s="87"/>
      <c r="L33" s="65">
        <f>J33+K33</f>
        <v>5138.2733144803897</v>
      </c>
      <c r="M33" s="76"/>
      <c r="N33" s="14">
        <v>0</v>
      </c>
      <c r="O33" s="45"/>
      <c r="P33" s="31"/>
      <c r="Q33" s="46"/>
      <c r="R33" s="31"/>
      <c r="S33" s="31"/>
      <c r="T33" s="57">
        <v>0</v>
      </c>
      <c r="U33" s="58"/>
      <c r="V33" s="59"/>
      <c r="W33" s="59"/>
      <c r="X33" s="7"/>
      <c r="Y33" s="7"/>
      <c r="Z33" s="60"/>
    </row>
    <row r="34" spans="1:26" x14ac:dyDescent="0.35">
      <c r="A34" s="14">
        <f t="shared" ref="A34:A97" si="4">A33+1</f>
        <v>2</v>
      </c>
      <c r="B34" s="45">
        <f t="shared" si="0"/>
        <v>0.16666666666666666</v>
      </c>
      <c r="C34" s="31">
        <f t="shared" si="1"/>
        <v>0.98225606168918589</v>
      </c>
      <c r="D34" s="46">
        <f t="shared" si="3"/>
        <v>0.97430104365949954</v>
      </c>
      <c r="E34" s="31"/>
      <c r="F34" s="61">
        <f t="shared" ref="F34:F43" si="5">F33+1</f>
        <v>2</v>
      </c>
      <c r="G34" s="61">
        <f t="shared" si="2"/>
        <v>52020</v>
      </c>
      <c r="H34" s="85">
        <v>0.79072424830028198</v>
      </c>
      <c r="I34" s="85">
        <f>H33*(1-H34/H33)</f>
        <v>0.10348777169571001</v>
      </c>
      <c r="J34" s="87">
        <f t="shared" ref="J34:J42" si="6">G34*I34*$D$10^F34</f>
        <v>4882.9332277649291</v>
      </c>
      <c r="K34" s="87"/>
      <c r="L34" s="65">
        <f t="shared" ref="L34:L42" si="7">J34+K34</f>
        <v>4882.9332277649291</v>
      </c>
      <c r="M34" s="76"/>
      <c r="N34" s="14">
        <f>N33+1</f>
        <v>1</v>
      </c>
      <c r="O34" s="45"/>
      <c r="P34" s="31"/>
      <c r="Q34" s="46"/>
      <c r="R34" s="31"/>
      <c r="S34" s="31"/>
      <c r="T34" s="57">
        <f>T33+1</f>
        <v>1</v>
      </c>
      <c r="U34" s="61"/>
      <c r="V34" s="31"/>
      <c r="W34" s="31"/>
      <c r="X34" s="62"/>
      <c r="Y34" s="62"/>
      <c r="Z34" s="65"/>
    </row>
    <row r="35" spans="1:26" x14ac:dyDescent="0.35">
      <c r="A35" s="14">
        <f t="shared" si="4"/>
        <v>3</v>
      </c>
      <c r="B35" s="45">
        <f t="shared" si="0"/>
        <v>0.25</v>
      </c>
      <c r="C35" s="31">
        <f t="shared" si="1"/>
        <v>0.97339814428954818</v>
      </c>
      <c r="D35" s="46">
        <f t="shared" si="3"/>
        <v>0.96159719804878618</v>
      </c>
      <c r="E35" s="31"/>
      <c r="F35" s="61">
        <f t="shared" si="5"/>
        <v>3</v>
      </c>
      <c r="G35" s="61">
        <f t="shared" si="2"/>
        <v>53060.399999999994</v>
      </c>
      <c r="H35" s="85">
        <v>0.69066598244378297</v>
      </c>
      <c r="I35" s="85">
        <f t="shared" ref="I35:I42" si="8">H34*(1-H35/H34)</f>
        <v>0.10005826585649903</v>
      </c>
      <c r="J35" s="87">
        <f t="shared" si="6"/>
        <v>4586.2274999694891</v>
      </c>
      <c r="K35" s="87"/>
      <c r="L35" s="65">
        <f t="shared" si="7"/>
        <v>4586.2274999694891</v>
      </c>
      <c r="M35" s="76"/>
      <c r="N35" s="14">
        <f t="shared" ref="N35:N98" si="9">N34+1</f>
        <v>2</v>
      </c>
      <c r="O35" s="45"/>
      <c r="P35" s="31"/>
      <c r="Q35" s="46"/>
      <c r="R35" s="31"/>
      <c r="S35" s="31"/>
      <c r="T35" s="57">
        <f t="shared" ref="T35:T43" si="10">T34+1</f>
        <v>2</v>
      </c>
      <c r="U35" s="61"/>
      <c r="V35" s="31"/>
      <c r="W35" s="31"/>
      <c r="X35" s="62"/>
      <c r="Y35" s="62"/>
      <c r="Z35" s="65"/>
    </row>
    <row r="36" spans="1:26" x14ac:dyDescent="0.35">
      <c r="A36" s="14">
        <f t="shared" si="4"/>
        <v>4</v>
      </c>
      <c r="B36" s="45">
        <f t="shared" si="0"/>
        <v>0.33333333333333331</v>
      </c>
      <c r="C36" s="31">
        <f t="shared" si="1"/>
        <v>0.96455042876084884</v>
      </c>
      <c r="D36" s="46">
        <f t="shared" si="3"/>
        <v>0.94899044284605905</v>
      </c>
      <c r="E36" s="31"/>
      <c r="F36" s="61">
        <f>F35+1</f>
        <v>4</v>
      </c>
      <c r="G36" s="61">
        <f t="shared" si="2"/>
        <v>54121.608</v>
      </c>
      <c r="H36" s="85">
        <v>0.59516224881202029</v>
      </c>
      <c r="I36" s="85">
        <f t="shared" si="8"/>
        <v>9.5503733631762677E-2</v>
      </c>
      <c r="J36" s="87">
        <f t="shared" si="6"/>
        <v>4252.3974139620213</v>
      </c>
      <c r="K36" s="87"/>
      <c r="L36" s="65">
        <f t="shared" si="7"/>
        <v>4252.3974139620213</v>
      </c>
      <c r="M36" s="76"/>
      <c r="N36" s="14">
        <f t="shared" si="9"/>
        <v>3</v>
      </c>
      <c r="O36" s="45"/>
      <c r="P36" s="31"/>
      <c r="Q36" s="46"/>
      <c r="R36" s="31"/>
      <c r="S36" s="31"/>
      <c r="T36" s="57">
        <f t="shared" si="10"/>
        <v>3</v>
      </c>
      <c r="U36" s="61"/>
      <c r="V36" s="31"/>
      <c r="W36" s="31"/>
      <c r="X36" s="62"/>
      <c r="Y36" s="62"/>
      <c r="Z36" s="65"/>
    </row>
    <row r="37" spans="1:26" x14ac:dyDescent="0.35">
      <c r="A37" s="14">
        <f t="shared" si="4"/>
        <v>5</v>
      </c>
      <c r="B37" s="45">
        <f t="shared" si="0"/>
        <v>0.41666666666666663</v>
      </c>
      <c r="C37" s="31">
        <f t="shared" si="1"/>
        <v>0.95571354425915545</v>
      </c>
      <c r="D37" s="46">
        <f t="shared" si="3"/>
        <v>0.9364807750691988</v>
      </c>
      <c r="E37" s="31"/>
      <c r="F37" s="61">
        <f t="shared" si="5"/>
        <v>5</v>
      </c>
      <c r="G37" s="61">
        <f t="shared" si="2"/>
        <v>55204.040160000004</v>
      </c>
      <c r="H37" s="85">
        <v>0.50528850339729448</v>
      </c>
      <c r="I37" s="85">
        <f t="shared" si="8"/>
        <v>8.98737454147258E-2</v>
      </c>
      <c r="J37" s="87">
        <f t="shared" si="6"/>
        <v>3887.3819045741629</v>
      </c>
      <c r="K37" s="87"/>
      <c r="L37" s="65">
        <f t="shared" si="7"/>
        <v>3887.3819045741629</v>
      </c>
      <c r="M37" s="76"/>
      <c r="N37" s="14">
        <f t="shared" si="9"/>
        <v>4</v>
      </c>
      <c r="O37" s="45"/>
      <c r="P37" s="31"/>
      <c r="Q37" s="46"/>
      <c r="R37" s="31"/>
      <c r="S37" s="31"/>
      <c r="T37" s="57">
        <f>T36+1</f>
        <v>4</v>
      </c>
      <c r="U37" s="61"/>
      <c r="V37" s="31"/>
      <c r="W37" s="31"/>
      <c r="X37" s="62"/>
      <c r="Y37" s="62"/>
      <c r="Z37" s="65"/>
    </row>
    <row r="38" spans="1:26" x14ac:dyDescent="0.35">
      <c r="A38" s="14">
        <f t="shared" si="4"/>
        <v>6</v>
      </c>
      <c r="B38" s="45">
        <f t="shared" si="0"/>
        <v>0.5</v>
      </c>
      <c r="C38" s="31">
        <f t="shared" si="1"/>
        <v>0.94688812270415279</v>
      </c>
      <c r="D38" s="46">
        <f t="shared" si="3"/>
        <v>0.92406818802108237</v>
      </c>
      <c r="E38" s="31"/>
      <c r="F38" s="61">
        <f t="shared" si="5"/>
        <v>6</v>
      </c>
      <c r="G38" s="61">
        <f t="shared" si="2"/>
        <v>56308.120963200003</v>
      </c>
      <c r="H38" s="85">
        <v>0.42202080552530125</v>
      </c>
      <c r="I38" s="85">
        <f t="shared" si="8"/>
        <v>8.3267697871993229E-2</v>
      </c>
      <c r="J38" s="87">
        <f t="shared" si="6"/>
        <v>3498.7410315853817</v>
      </c>
      <c r="K38" s="87"/>
      <c r="L38" s="65">
        <f t="shared" si="7"/>
        <v>3498.7410315853817</v>
      </c>
      <c r="M38" s="76"/>
      <c r="N38" s="14">
        <f t="shared" si="9"/>
        <v>5</v>
      </c>
      <c r="O38" s="45"/>
      <c r="P38" s="31"/>
      <c r="Q38" s="46"/>
      <c r="R38" s="31"/>
      <c r="S38" s="31"/>
      <c r="T38" s="57">
        <f t="shared" si="10"/>
        <v>5</v>
      </c>
      <c r="U38" s="61"/>
      <c r="V38" s="31"/>
      <c r="W38" s="31"/>
      <c r="X38" s="62"/>
      <c r="Y38" s="62"/>
      <c r="Z38" s="65"/>
    </row>
    <row r="39" spans="1:26" x14ac:dyDescent="0.35">
      <c r="A39" s="14">
        <f t="shared" si="4"/>
        <v>7</v>
      </c>
      <c r="B39" s="45">
        <f t="shared" si="0"/>
        <v>0.58333333333333326</v>
      </c>
      <c r="C39" s="31">
        <f t="shared" si="1"/>
        <v>0.93807479865848431</v>
      </c>
      <c r="D39" s="46">
        <f t="shared" si="3"/>
        <v>0.9117526711994568</v>
      </c>
      <c r="E39" s="31"/>
      <c r="F39" s="61">
        <f t="shared" si="5"/>
        <v>7</v>
      </c>
      <c r="G39" s="61">
        <f t="shared" si="2"/>
        <v>57434.283382463989</v>
      </c>
      <c r="H39" s="85">
        <v>0.3461846057907908</v>
      </c>
      <c r="I39" s="85">
        <f t="shared" si="8"/>
        <v>7.5836199734510445E-2</v>
      </c>
      <c r="J39" s="87">
        <f t="shared" si="6"/>
        <v>3095.4420282091478</v>
      </c>
      <c r="K39" s="87"/>
      <c r="L39" s="65">
        <f t="shared" si="7"/>
        <v>3095.4420282091478</v>
      </c>
      <c r="M39" s="76"/>
      <c r="N39" s="14">
        <f t="shared" si="9"/>
        <v>6</v>
      </c>
      <c r="O39" s="45"/>
      <c r="P39" s="31"/>
      <c r="Q39" s="46"/>
      <c r="R39" s="31"/>
      <c r="S39" s="31"/>
      <c r="T39" s="57">
        <f t="shared" si="10"/>
        <v>6</v>
      </c>
      <c r="U39" s="61"/>
      <c r="V39" s="31"/>
      <c r="W39" s="31"/>
      <c r="X39" s="62"/>
      <c r="Y39" s="62"/>
      <c r="Z39" s="65"/>
    </row>
    <row r="40" spans="1:26" x14ac:dyDescent="0.35">
      <c r="A40" s="14">
        <f t="shared" si="4"/>
        <v>8</v>
      </c>
      <c r="B40" s="45">
        <f t="shared" si="0"/>
        <v>0.66666666666666663</v>
      </c>
      <c r="C40" s="31">
        <f t="shared" si="1"/>
        <v>0.92927420920436965</v>
      </c>
      <c r="D40" s="46">
        <f t="shared" si="3"/>
        <v>0.89953421020697633</v>
      </c>
      <c r="E40" s="31"/>
      <c r="F40" s="61">
        <f t="shared" si="5"/>
        <v>8</v>
      </c>
      <c r="G40" s="61">
        <f t="shared" si="2"/>
        <v>58582.969050113279</v>
      </c>
      <c r="H40" s="85">
        <v>0.27840628178322868</v>
      </c>
      <c r="I40" s="85">
        <f t="shared" si="8"/>
        <v>6.7778324007562119E-2</v>
      </c>
      <c r="J40" s="87">
        <f t="shared" si="6"/>
        <v>2687.4959067601189</v>
      </c>
      <c r="K40" s="87"/>
      <c r="L40" s="65">
        <f t="shared" si="7"/>
        <v>2687.4959067601189</v>
      </c>
      <c r="M40" s="76"/>
      <c r="N40" s="14">
        <f t="shared" si="9"/>
        <v>7</v>
      </c>
      <c r="O40" s="45"/>
      <c r="P40" s="31"/>
      <c r="Q40" s="46"/>
      <c r="R40" s="31"/>
      <c r="S40" s="31"/>
      <c r="T40" s="57">
        <f t="shared" si="10"/>
        <v>7</v>
      </c>
      <c r="U40" s="61"/>
      <c r="V40" s="31"/>
      <c r="W40" s="31"/>
      <c r="X40" s="62"/>
      <c r="Y40" s="62"/>
      <c r="Z40" s="65"/>
    </row>
    <row r="41" spans="1:26" x14ac:dyDescent="0.35">
      <c r="A41" s="14">
        <f t="shared" si="4"/>
        <v>9</v>
      </c>
      <c r="B41" s="45">
        <f t="shared" si="0"/>
        <v>0.75</v>
      </c>
      <c r="C41" s="31">
        <f t="shared" si="1"/>
        <v>0.92048699381751198</v>
      </c>
      <c r="D41" s="46">
        <f t="shared" si="3"/>
        <v>0.88741278666144952</v>
      </c>
      <c r="E41" s="31"/>
      <c r="F41" s="61">
        <f t="shared" si="5"/>
        <v>9</v>
      </c>
      <c r="G41" s="61">
        <f t="shared" si="2"/>
        <v>59754.62843111554</v>
      </c>
      <c r="H41" s="85">
        <v>0.21907228422209551</v>
      </c>
      <c r="I41" s="85">
        <f t="shared" si="8"/>
        <v>5.9333997561133181E-2</v>
      </c>
      <c r="J41" s="87">
        <f t="shared" si="6"/>
        <v>2285.4486504404103</v>
      </c>
      <c r="K41" s="87"/>
      <c r="L41" s="65">
        <f t="shared" si="7"/>
        <v>2285.4486504404103</v>
      </c>
      <c r="M41" s="76"/>
      <c r="N41" s="14">
        <f t="shared" si="9"/>
        <v>8</v>
      </c>
      <c r="O41" s="45"/>
      <c r="P41" s="31"/>
      <c r="Q41" s="46"/>
      <c r="R41" s="31"/>
      <c r="S41" s="31"/>
      <c r="T41" s="57">
        <f t="shared" si="10"/>
        <v>8</v>
      </c>
      <c r="U41" s="61"/>
      <c r="V41" s="31"/>
      <c r="W41" s="31"/>
      <c r="X41" s="62"/>
      <c r="Y41" s="62"/>
      <c r="Z41" s="65"/>
    </row>
    <row r="42" spans="1:26" ht="13.15" thickBot="1" x14ac:dyDescent="0.4">
      <c r="A42" s="14">
        <f t="shared" si="4"/>
        <v>10</v>
      </c>
      <c r="B42" s="45">
        <f t="shared" si="0"/>
        <v>0.83333333333333326</v>
      </c>
      <c r="C42" s="31">
        <f t="shared" si="1"/>
        <v>0.91171379423829324</v>
      </c>
      <c r="D42" s="46">
        <f t="shared" si="3"/>
        <v>0.87538837810632719</v>
      </c>
      <c r="E42" s="31"/>
      <c r="F42" s="63">
        <f t="shared" si="5"/>
        <v>10</v>
      </c>
      <c r="G42" s="63">
        <f t="shared" si="2"/>
        <v>60949.720999737852</v>
      </c>
      <c r="H42" s="48">
        <v>0.16830099501590773</v>
      </c>
      <c r="I42" s="48">
        <f t="shared" si="8"/>
        <v>5.0771289206187793E-2</v>
      </c>
      <c r="J42" s="88">
        <f t="shared" si="6"/>
        <v>1899.7520533517929</v>
      </c>
      <c r="K42" s="88">
        <f>D10^F42*G42*H42</f>
        <v>6297.4599593908515</v>
      </c>
      <c r="L42" s="66">
        <f t="shared" si="7"/>
        <v>8197.2120127426442</v>
      </c>
      <c r="M42" s="76"/>
      <c r="N42" s="14">
        <f t="shared" si="9"/>
        <v>9</v>
      </c>
      <c r="O42" s="45"/>
      <c r="P42" s="31"/>
      <c r="Q42" s="46"/>
      <c r="R42" s="31"/>
      <c r="S42" s="31"/>
      <c r="T42" s="57">
        <f t="shared" si="10"/>
        <v>9</v>
      </c>
      <c r="U42" s="61"/>
      <c r="V42" s="31"/>
      <c r="W42" s="31"/>
      <c r="X42" s="62"/>
      <c r="Y42" s="62"/>
      <c r="Z42" s="65"/>
    </row>
    <row r="43" spans="1:26" ht="13.15" thickBot="1" x14ac:dyDescent="0.4">
      <c r="A43" s="14">
        <f t="shared" si="4"/>
        <v>11</v>
      </c>
      <c r="B43" s="45">
        <f t="shared" si="0"/>
        <v>0.91666666666666663</v>
      </c>
      <c r="C43" s="31">
        <f t="shared" si="1"/>
        <v>0.90295525434027213</v>
      </c>
      <c r="D43" s="46">
        <f t="shared" si="3"/>
        <v>0.86346095792147615</v>
      </c>
      <c r="E43" s="31"/>
      <c r="F43" s="85"/>
      <c r="G43" s="85"/>
      <c r="H43" s="31"/>
      <c r="I43" s="31"/>
      <c r="J43" s="62"/>
      <c r="L43" s="76"/>
      <c r="M43" s="76"/>
      <c r="N43" s="14">
        <f t="shared" si="9"/>
        <v>10</v>
      </c>
      <c r="O43" s="45"/>
      <c r="P43" s="31"/>
      <c r="Q43" s="46"/>
      <c r="R43" s="31"/>
      <c r="S43" s="31"/>
      <c r="T43" s="54">
        <f t="shared" si="10"/>
        <v>10</v>
      </c>
      <c r="U43" s="63"/>
      <c r="V43" s="48"/>
      <c r="W43" s="48"/>
      <c r="X43" s="64"/>
      <c r="Y43" s="64"/>
      <c r="Z43" s="66"/>
    </row>
    <row r="44" spans="1:26" x14ac:dyDescent="0.35">
      <c r="A44" s="14">
        <f t="shared" si="4"/>
        <v>12</v>
      </c>
      <c r="B44" s="45">
        <f t="shared" si="0"/>
        <v>1</v>
      </c>
      <c r="C44" s="31">
        <f t="shared" si="1"/>
        <v>0.89421201999599198</v>
      </c>
      <c r="D44" s="46">
        <f t="shared" si="3"/>
        <v>0.85163049523427803</v>
      </c>
      <c r="E44" s="31"/>
      <c r="N44" s="14">
        <f t="shared" si="9"/>
        <v>11</v>
      </c>
      <c r="O44" s="45"/>
      <c r="P44" s="31"/>
      <c r="Q44" s="46"/>
      <c r="R44" s="31"/>
      <c r="S44" s="31"/>
      <c r="T44" s="31"/>
      <c r="U44" s="31"/>
      <c r="V44" s="31"/>
      <c r="W44" s="31"/>
      <c r="X44" s="31"/>
      <c r="Z44" s="10"/>
    </row>
    <row r="45" spans="1:26" x14ac:dyDescent="0.35">
      <c r="A45" s="14">
        <f t="shared" si="4"/>
        <v>13</v>
      </c>
      <c r="B45" s="45">
        <f t="shared" si="0"/>
        <v>1.0833333333333333</v>
      </c>
      <c r="C45" s="31">
        <f t="shared" si="1"/>
        <v>0.88548473894010893</v>
      </c>
      <c r="D45" s="46">
        <f t="shared" si="3"/>
        <v>0.83989695483108873</v>
      </c>
      <c r="E45" s="31"/>
      <c r="N45" s="14">
        <f t="shared" si="9"/>
        <v>12</v>
      </c>
      <c r="O45" s="45"/>
      <c r="P45" s="31"/>
      <c r="Q45" s="46"/>
      <c r="R45" s="31"/>
      <c r="S45" s="31"/>
      <c r="T45" s="31"/>
      <c r="U45" s="31"/>
      <c r="V45" s="31"/>
      <c r="W45" s="31"/>
      <c r="X45" s="31"/>
      <c r="Z45" s="10"/>
    </row>
    <row r="46" spans="1:26" x14ac:dyDescent="0.35">
      <c r="A46" s="14">
        <f t="shared" si="4"/>
        <v>14</v>
      </c>
      <c r="B46" s="45">
        <f t="shared" si="0"/>
        <v>1.1666666666666665</v>
      </c>
      <c r="C46" s="31">
        <f t="shared" si="1"/>
        <v>0.87677406062985996</v>
      </c>
      <c r="D46" s="46">
        <f t="shared" si="3"/>
        <v>0.82826029706910975</v>
      </c>
      <c r="E46" s="31"/>
      <c r="N46" s="14">
        <f t="shared" si="9"/>
        <v>13</v>
      </c>
      <c r="O46" s="45"/>
      <c r="P46" s="31"/>
      <c r="Q46" s="46"/>
      <c r="R46" s="31"/>
      <c r="S46" s="31"/>
      <c r="T46" s="31"/>
      <c r="U46" s="31"/>
      <c r="V46" s="31"/>
      <c r="W46" s="31"/>
      <c r="X46" s="31"/>
      <c r="Z46" s="10"/>
    </row>
    <row r="47" spans="1:26" x14ac:dyDescent="0.35">
      <c r="A47" s="14">
        <f t="shared" si="4"/>
        <v>15</v>
      </c>
      <c r="B47" s="45">
        <f t="shared" si="0"/>
        <v>1.25</v>
      </c>
      <c r="C47" s="31">
        <f t="shared" si="1"/>
        <v>0.86808063610287944</v>
      </c>
      <c r="D47" s="46">
        <f t="shared" si="3"/>
        <v>0.81672047778870327</v>
      </c>
      <c r="E47" s="31"/>
      <c r="N47" s="14">
        <f t="shared" si="9"/>
        <v>14</v>
      </c>
      <c r="O47" s="45"/>
      <c r="P47" s="31"/>
      <c r="Q47" s="46"/>
      <c r="R47" s="31"/>
      <c r="S47" s="31"/>
      <c r="T47" s="31"/>
      <c r="U47" s="31"/>
      <c r="V47" s="31"/>
      <c r="W47" s="31"/>
      <c r="X47" s="31"/>
      <c r="Z47" s="10"/>
    </row>
    <row r="48" spans="1:26" x14ac:dyDescent="0.35">
      <c r="A48" s="14">
        <f t="shared" si="4"/>
        <v>16</v>
      </c>
      <c r="B48" s="45">
        <f t="shared" si="0"/>
        <v>1.3333333333333333</v>
      </c>
      <c r="C48" s="31">
        <f t="shared" si="1"/>
        <v>0.8594051178323876</v>
      </c>
      <c r="D48" s="46">
        <f t="shared" si="3"/>
        <v>0.8052774482262024</v>
      </c>
      <c r="E48" s="31"/>
      <c r="N48" s="14">
        <f t="shared" si="9"/>
        <v>15</v>
      </c>
      <c r="O48" s="45"/>
      <c r="P48" s="31"/>
      <c r="Q48" s="46"/>
      <c r="R48" s="31"/>
      <c r="S48" s="31"/>
      <c r="T48" s="31"/>
      <c r="U48" s="31"/>
      <c r="V48" s="31"/>
      <c r="W48" s="31"/>
      <c r="X48" s="31"/>
      <c r="Z48" s="10"/>
    </row>
    <row r="49" spans="1:26" x14ac:dyDescent="0.35">
      <c r="A49" s="14">
        <f t="shared" si="4"/>
        <v>17</v>
      </c>
      <c r="B49" s="45">
        <f t="shared" si="0"/>
        <v>1.4166666666666665</v>
      </c>
      <c r="C49" s="31">
        <f t="shared" si="1"/>
        <v>0.85074815957976679</v>
      </c>
      <c r="D49" s="46">
        <f t="shared" si="3"/>
        <v>0.7939311549272533</v>
      </c>
      <c r="E49" s="31"/>
      <c r="N49" s="14">
        <f t="shared" si="9"/>
        <v>16</v>
      </c>
      <c r="O49" s="45"/>
      <c r="P49" s="31"/>
      <c r="Q49" s="46"/>
      <c r="R49" s="31"/>
      <c r="S49" s="31"/>
      <c r="T49" s="31"/>
      <c r="U49" s="31"/>
      <c r="V49" s="31"/>
      <c r="W49" s="31"/>
      <c r="X49" s="31"/>
      <c r="Z49" s="10"/>
    </row>
    <row r="50" spans="1:26" x14ac:dyDescent="0.35">
      <c r="A50" s="14">
        <f t="shared" si="4"/>
        <v>18</v>
      </c>
      <c r="B50" s="45">
        <f t="shared" si="0"/>
        <v>1.5</v>
      </c>
      <c r="C50" s="31">
        <f t="shared" si="1"/>
        <v>0.84211041624454963</v>
      </c>
      <c r="D50" s="46">
        <f t="shared" si="3"/>
        <v>0.78268153966073861</v>
      </c>
      <c r="E50" s="31"/>
      <c r="N50" s="14">
        <f t="shared" si="9"/>
        <v>17</v>
      </c>
      <c r="O50" s="45"/>
      <c r="P50" s="31"/>
      <c r="Q50" s="46"/>
      <c r="R50" s="31"/>
      <c r="S50" s="31"/>
      <c r="T50" s="31"/>
      <c r="U50" s="31"/>
      <c r="V50" s="31"/>
      <c r="W50" s="31"/>
      <c r="X50" s="31"/>
      <c r="Z50" s="10"/>
    </row>
    <row r="51" spans="1:26" x14ac:dyDescent="0.35">
      <c r="A51" s="14">
        <f t="shared" si="4"/>
        <v>19</v>
      </c>
      <c r="B51" s="45">
        <f t="shared" si="0"/>
        <v>1.5833333333333333</v>
      </c>
      <c r="C51" s="31">
        <f t="shared" si="1"/>
        <v>0.83349254371184256</v>
      </c>
      <c r="D51" s="46">
        <f t="shared" si="3"/>
        <v>0.77152853933332488</v>
      </c>
      <c r="E51" s="31"/>
      <c r="N51" s="14">
        <f t="shared" si="9"/>
        <v>18</v>
      </c>
      <c r="O51" s="45"/>
      <c r="P51" s="31"/>
      <c r="Q51" s="46"/>
      <c r="R51" s="31"/>
      <c r="S51" s="31"/>
      <c r="T51" s="31"/>
      <c r="U51" s="31"/>
      <c r="V51" s="31"/>
      <c r="W51" s="31"/>
      <c r="X51" s="31"/>
      <c r="Z51" s="10"/>
    </row>
    <row r="52" spans="1:26" x14ac:dyDescent="0.35">
      <c r="A52" s="14">
        <f t="shared" si="4"/>
        <v>20</v>
      </c>
      <c r="B52" s="45">
        <f t="shared" si="0"/>
        <v>1.6666666666666665</v>
      </c>
      <c r="C52" s="31">
        <f t="shared" si="1"/>
        <v>0.82489519869720829</v>
      </c>
      <c r="D52" s="46">
        <f t="shared" si="3"/>
        <v>0.76047208590467763</v>
      </c>
      <c r="E52" s="31"/>
      <c r="N52" s="14">
        <f t="shared" si="9"/>
        <v>19</v>
      </c>
      <c r="O52" s="45"/>
      <c r="P52" s="31"/>
      <c r="Q52" s="46"/>
      <c r="R52" s="31"/>
      <c r="S52" s="31"/>
      <c r="T52" s="31"/>
      <c r="U52" s="31"/>
      <c r="V52" s="31"/>
      <c r="W52" s="31"/>
      <c r="X52" s="31"/>
      <c r="Z52" s="10"/>
    </row>
    <row r="53" spans="1:26" x14ac:dyDescent="0.35">
      <c r="A53" s="14">
        <f t="shared" si="4"/>
        <v>21</v>
      </c>
      <c r="B53" s="45">
        <f t="shared" si="0"/>
        <v>1.75</v>
      </c>
      <c r="C53" s="31">
        <f t="shared" si="1"/>
        <v>0.81631903858903854</v>
      </c>
      <c r="D53" s="46">
        <f t="shared" si="3"/>
        <v>0.74951210630339327</v>
      </c>
      <c r="E53" s="31"/>
      <c r="N53" s="14">
        <f t="shared" si="9"/>
        <v>20</v>
      </c>
      <c r="O53" s="45"/>
      <c r="P53" s="31"/>
      <c r="Q53" s="46"/>
      <c r="R53" s="31"/>
      <c r="S53" s="31"/>
      <c r="T53" s="31"/>
      <c r="U53" s="31"/>
      <c r="V53" s="31"/>
      <c r="W53" s="31"/>
      <c r="X53" s="31"/>
      <c r="Z53" s="10"/>
    </row>
    <row r="54" spans="1:26" x14ac:dyDescent="0.35">
      <c r="A54" s="14">
        <f t="shared" si="4"/>
        <v>22</v>
      </c>
      <c r="B54" s="45">
        <f t="shared" si="0"/>
        <v>1.8333333333333333</v>
      </c>
      <c r="C54" s="31">
        <f t="shared" si="1"/>
        <v>0.80776472128844568</v>
      </c>
      <c r="D54" s="46">
        <f t="shared" si="3"/>
        <v>0.73864852234369394</v>
      </c>
      <c r="E54" s="31"/>
      <c r="N54" s="14">
        <f t="shared" si="9"/>
        <v>21</v>
      </c>
      <c r="O54" s="45"/>
      <c r="P54" s="31"/>
      <c r="Q54" s="46"/>
      <c r="R54" s="31"/>
      <c r="S54" s="31"/>
      <c r="T54" s="31"/>
      <c r="U54" s="31"/>
      <c r="V54" s="31"/>
      <c r="W54" s="31"/>
      <c r="X54" s="31"/>
      <c r="Z54" s="10"/>
    </row>
    <row r="55" spans="1:26" x14ac:dyDescent="0.35">
      <c r="A55" s="14">
        <f t="shared" si="4"/>
        <v>23</v>
      </c>
      <c r="B55" s="45">
        <f t="shared" si="0"/>
        <v>1.9166666666666665</v>
      </c>
      <c r="C55" s="31">
        <f t="shared" si="1"/>
        <v>0.79923290504670474</v>
      </c>
      <c r="D55" s="46">
        <f t="shared" si="3"/>
        <v>0.72788125064292952</v>
      </c>
      <c r="E55" s="31"/>
      <c r="N55" s="14">
        <f t="shared" si="9"/>
        <v>22</v>
      </c>
      <c r="O55" s="45"/>
      <c r="P55" s="31"/>
      <c r="Q55" s="46"/>
      <c r="R55" s="31"/>
      <c r="S55" s="31"/>
      <c r="T55" s="31"/>
      <c r="U55" s="31"/>
      <c r="V55" s="31"/>
      <c r="W55" s="31"/>
      <c r="X55" s="31"/>
      <c r="Z55" s="10"/>
    </row>
    <row r="56" spans="1:26" x14ac:dyDescent="0.35">
      <c r="A56" s="14">
        <f t="shared" si="4"/>
        <v>24</v>
      </c>
      <c r="B56" s="45">
        <f t="shared" si="0"/>
        <v>2</v>
      </c>
      <c r="C56" s="31">
        <f t="shared" si="1"/>
        <v>0.79072424830028198</v>
      </c>
      <c r="D56" s="46">
        <f t="shared" si="3"/>
        <v>0.71721020253993828</v>
      </c>
      <c r="E56" s="31"/>
      <c r="N56" s="14">
        <f t="shared" si="9"/>
        <v>23</v>
      </c>
      <c r="O56" s="45"/>
      <c r="P56" s="31"/>
      <c r="Q56" s="46"/>
      <c r="R56" s="31"/>
      <c r="S56" s="31"/>
      <c r="T56" s="31"/>
      <c r="U56" s="31"/>
      <c r="V56" s="31"/>
      <c r="W56" s="31"/>
      <c r="X56" s="31"/>
      <c r="Z56" s="10"/>
    </row>
    <row r="57" spans="1:26" x14ac:dyDescent="0.35">
      <c r="A57" s="14">
        <f t="shared" si="4"/>
        <v>25</v>
      </c>
      <c r="B57" s="45">
        <f t="shared" si="0"/>
        <v>2.083333333333333</v>
      </c>
      <c r="C57" s="31">
        <f t="shared" si="1"/>
        <v>0.78223940950348703</v>
      </c>
      <c r="D57" s="46">
        <f t="shared" si="3"/>
        <v>0.70663528401431286</v>
      </c>
      <c r="E57" s="31"/>
      <c r="N57" s="14">
        <f t="shared" si="9"/>
        <v>24</v>
      </c>
      <c r="O57" s="45"/>
      <c r="P57" s="31"/>
      <c r="Q57" s="46"/>
      <c r="R57" s="31"/>
      <c r="S57" s="31"/>
      <c r="T57" s="31"/>
      <c r="U57" s="31"/>
      <c r="V57" s="31"/>
      <c r="W57" s="31"/>
      <c r="X57" s="31"/>
      <c r="Z57" s="10"/>
    </row>
    <row r="58" spans="1:26" x14ac:dyDescent="0.35">
      <c r="A58" s="14">
        <f t="shared" si="4"/>
        <v>26</v>
      </c>
      <c r="B58" s="45">
        <f t="shared" si="0"/>
        <v>2.1666666666666665</v>
      </c>
      <c r="C58" s="31">
        <f t="shared" si="1"/>
        <v>0.77377904695878552</v>
      </c>
      <c r="D58" s="46">
        <f t="shared" si="3"/>
        <v>0.69615639560661968</v>
      </c>
      <c r="E58" s="31"/>
      <c r="K58" s="77"/>
      <c r="L58" s="77"/>
      <c r="M58" s="77"/>
      <c r="N58" s="14">
        <f t="shared" si="9"/>
        <v>25</v>
      </c>
      <c r="O58" s="45"/>
      <c r="P58" s="31"/>
      <c r="Q58" s="46"/>
      <c r="R58" s="31"/>
      <c r="S58" s="31"/>
      <c r="T58" s="31"/>
      <c r="U58" s="31"/>
      <c r="V58" s="31"/>
      <c r="W58" s="31"/>
      <c r="X58" s="31"/>
      <c r="Z58" s="10"/>
    </row>
    <row r="59" spans="1:26" x14ac:dyDescent="0.35">
      <c r="A59" s="14">
        <f t="shared" si="4"/>
        <v>27</v>
      </c>
      <c r="B59" s="45">
        <f t="shared" si="0"/>
        <v>2.25</v>
      </c>
      <c r="C59" s="31">
        <f t="shared" si="1"/>
        <v>0.76534381864481682</v>
      </c>
      <c r="D59" s="46">
        <f t="shared" si="3"/>
        <v>0.68577343233962174</v>
      </c>
      <c r="E59" s="31"/>
      <c r="K59" s="77"/>
      <c r="L59" s="77"/>
      <c r="M59" s="77"/>
      <c r="N59" s="14">
        <f t="shared" si="9"/>
        <v>26</v>
      </c>
      <c r="O59" s="45"/>
      <c r="P59" s="31"/>
      <c r="Q59" s="46"/>
      <c r="R59" s="31"/>
      <c r="S59" s="31"/>
      <c r="T59" s="31"/>
      <c r="U59" s="31"/>
      <c r="V59" s="31"/>
      <c r="W59" s="31"/>
      <c r="X59" s="31"/>
      <c r="Z59" s="10"/>
    </row>
    <row r="60" spans="1:26" x14ac:dyDescent="0.35">
      <c r="A60" s="14">
        <f t="shared" si="4"/>
        <v>28</v>
      </c>
      <c r="B60" s="45">
        <f t="shared" si="0"/>
        <v>2.333333333333333</v>
      </c>
      <c r="C60" s="31">
        <f t="shared" si="1"/>
        <v>0.75693438204215879</v>
      </c>
      <c r="D60" s="46">
        <f t="shared" si="3"/>
        <v>0.67548628364055563</v>
      </c>
      <c r="E60" s="31"/>
      <c r="N60" s="14">
        <f t="shared" si="9"/>
        <v>27</v>
      </c>
      <c r="O60" s="45"/>
      <c r="P60" s="31"/>
      <c r="Q60" s="46"/>
      <c r="R60" s="31"/>
      <c r="S60" s="31"/>
      <c r="T60" s="31"/>
      <c r="U60" s="31"/>
      <c r="V60" s="31"/>
      <c r="W60" s="31"/>
      <c r="X60" s="31"/>
      <c r="Z60" s="10"/>
    </row>
    <row r="61" spans="1:26" x14ac:dyDescent="0.35">
      <c r="A61" s="14">
        <f t="shared" si="4"/>
        <v>29</v>
      </c>
      <c r="B61" s="45">
        <f t="shared" si="0"/>
        <v>2.4166666666666665</v>
      </c>
      <c r="C61" s="31">
        <f t="shared" si="1"/>
        <v>0.74855139395688608</v>
      </c>
      <c r="D61" s="46">
        <f t="shared" si="3"/>
        <v>0.66529483326451078</v>
      </c>
      <c r="E61" s="31"/>
      <c r="N61" s="14">
        <f t="shared" si="9"/>
        <v>28</v>
      </c>
      <c r="O61" s="45"/>
      <c r="P61" s="31"/>
      <c r="Q61" s="46"/>
      <c r="R61" s="31"/>
      <c r="S61" s="31"/>
      <c r="T61" s="31"/>
      <c r="U61" s="31"/>
      <c r="V61" s="31"/>
      <c r="W61" s="31"/>
      <c r="X61" s="31"/>
      <c r="Z61" s="10"/>
    </row>
    <row r="62" spans="1:26" x14ac:dyDescent="0.35">
      <c r="A62" s="14">
        <f t="shared" si="4"/>
        <v>30</v>
      </c>
      <c r="B62" s="45">
        <f t="shared" si="0"/>
        <v>2.5</v>
      </c>
      <c r="C62" s="31">
        <f t="shared" si="1"/>
        <v>0.74019551034197195</v>
      </c>
      <c r="D62" s="46">
        <f t="shared" si="3"/>
        <v>0.65519895921896332</v>
      </c>
      <c r="E62" s="31"/>
      <c r="N62" s="14">
        <f t="shared" si="9"/>
        <v>29</v>
      </c>
      <c r="O62" s="45"/>
      <c r="P62" s="31"/>
      <c r="Q62" s="46"/>
      <c r="R62" s="31"/>
      <c r="S62" s="31"/>
      <c r="T62" s="31"/>
      <c r="U62" s="31"/>
      <c r="V62" s="31"/>
      <c r="W62" s="31"/>
      <c r="X62" s="31"/>
      <c r="Z62" s="10"/>
    </row>
    <row r="63" spans="1:26" x14ac:dyDescent="0.35">
      <c r="A63" s="14">
        <f t="shared" si="4"/>
        <v>31</v>
      </c>
      <c r="B63" s="45">
        <f t="shared" si="0"/>
        <v>2.583333333333333</v>
      </c>
      <c r="C63" s="31">
        <f t="shared" si="1"/>
        <v>0.7318673861165822</v>
      </c>
      <c r="D63" s="46">
        <f t="shared" si="3"/>
        <v>0.64519853368951396</v>
      </c>
      <c r="E63" s="31"/>
      <c r="N63" s="14">
        <f t="shared" si="9"/>
        <v>30</v>
      </c>
      <c r="O63" s="45"/>
      <c r="P63" s="31"/>
      <c r="Q63" s="46"/>
      <c r="R63" s="31"/>
      <c r="S63" s="31"/>
      <c r="T63" s="31"/>
      <c r="U63" s="31"/>
      <c r="V63" s="31"/>
      <c r="W63" s="31"/>
      <c r="X63" s="31"/>
      <c r="Z63" s="10"/>
    </row>
    <row r="64" spans="1:26" x14ac:dyDescent="0.35">
      <c r="A64" s="14">
        <f t="shared" si="4"/>
        <v>32</v>
      </c>
      <c r="B64" s="45">
        <f t="shared" ref="B64:B95" si="11">A64*StepSize</f>
        <v>2.6666666666666665</v>
      </c>
      <c r="C64" s="31">
        <f t="shared" ref="C64:C95" si="12">gompertz_g_assum^(gompertz_c_assum^intial_age * (gompertz_c_assum^B64-1))</f>
        <v>0.72356767498331853</v>
      </c>
      <c r="D64" s="46">
        <f t="shared" si="3"/>
        <v>0.63529342296688374</v>
      </c>
      <c r="E64" s="31"/>
      <c r="N64" s="14">
        <f t="shared" si="9"/>
        <v>31</v>
      </c>
      <c r="O64" s="45"/>
      <c r="P64" s="31"/>
      <c r="Q64" s="46"/>
      <c r="R64" s="31"/>
      <c r="S64" s="31"/>
      <c r="T64" s="31"/>
      <c r="U64" s="31"/>
      <c r="V64" s="31"/>
      <c r="W64" s="31"/>
      <c r="X64" s="31"/>
      <c r="Z64" s="10"/>
    </row>
    <row r="65" spans="1:26" x14ac:dyDescent="0.35">
      <c r="A65" s="14">
        <f t="shared" si="4"/>
        <v>33</v>
      </c>
      <c r="B65" s="45">
        <f t="shared" si="11"/>
        <v>2.75</v>
      </c>
      <c r="C65" s="31">
        <f t="shared" si="12"/>
        <v>0.71529702924346383</v>
      </c>
      <c r="D65" s="46">
        <f t="shared" si="3"/>
        <v>0.62548348737521642</v>
      </c>
      <c r="E65" s="31"/>
      <c r="N65" s="14">
        <f t="shared" si="9"/>
        <v>32</v>
      </c>
      <c r="O65" s="45"/>
      <c r="P65" s="31"/>
      <c r="Q65" s="46"/>
      <c r="R65" s="31"/>
      <c r="S65" s="31"/>
      <c r="T65" s="31"/>
      <c r="U65" s="31"/>
      <c r="V65" s="31"/>
      <c r="W65" s="31"/>
      <c r="X65" s="31"/>
      <c r="Z65" s="10"/>
    </row>
    <row r="66" spans="1:26" x14ac:dyDescent="0.35">
      <c r="A66" s="14">
        <f t="shared" si="4"/>
        <v>34</v>
      </c>
      <c r="B66" s="45">
        <f t="shared" si="11"/>
        <v>2.833333333333333</v>
      </c>
      <c r="C66" s="31">
        <f t="shared" si="12"/>
        <v>0.70705609961028915</v>
      </c>
      <c r="D66" s="46">
        <f t="shared" si="3"/>
        <v>0.61576858120174038</v>
      </c>
      <c r="E66" s="31"/>
      <c r="N66" s="14">
        <f t="shared" si="9"/>
        <v>33</v>
      </c>
      <c r="O66" s="45"/>
      <c r="P66" s="31"/>
      <c r="Q66" s="46"/>
      <c r="R66" s="31"/>
      <c r="S66" s="31"/>
      <c r="T66" s="31"/>
      <c r="U66" s="31"/>
      <c r="V66" s="31"/>
      <c r="W66" s="31"/>
      <c r="X66" s="31"/>
      <c r="Z66" s="10"/>
    </row>
    <row r="67" spans="1:26" x14ac:dyDescent="0.35">
      <c r="A67" s="14">
        <f t="shared" si="4"/>
        <v>35</v>
      </c>
      <c r="B67" s="45">
        <f t="shared" si="11"/>
        <v>2.9166666666666665</v>
      </c>
      <c r="C67" s="31">
        <f t="shared" si="12"/>
        <v>0.69884553502048596</v>
      </c>
      <c r="D67" s="46">
        <f t="shared" si="3"/>
        <v>0.60614855262784517</v>
      </c>
      <c r="E67" s="31"/>
      <c r="N67" s="14">
        <f t="shared" si="9"/>
        <v>34</v>
      </c>
      <c r="O67" s="45"/>
      <c r="P67" s="31"/>
      <c r="Q67" s="46"/>
      <c r="R67" s="31"/>
      <c r="S67" s="31"/>
      <c r="T67" s="31"/>
      <c r="U67" s="31"/>
      <c r="V67" s="31"/>
      <c r="W67" s="31"/>
      <c r="X67" s="31"/>
      <c r="Z67" s="10"/>
    </row>
    <row r="68" spans="1:26" x14ac:dyDescent="0.35">
      <c r="A68" s="14">
        <f t="shared" si="4"/>
        <v>36</v>
      </c>
      <c r="B68" s="45">
        <f t="shared" si="11"/>
        <v>3</v>
      </c>
      <c r="C68" s="31">
        <f t="shared" si="12"/>
        <v>0.69066598244378297</v>
      </c>
      <c r="D68" s="46">
        <f t="shared" si="3"/>
        <v>0.59662324366162001</v>
      </c>
      <c r="E68" s="31"/>
      <c r="N68" s="14">
        <f t="shared" si="9"/>
        <v>35</v>
      </c>
      <c r="O68" s="45"/>
      <c r="P68" s="31"/>
      <c r="Q68" s="46"/>
      <c r="R68" s="31"/>
      <c r="S68" s="31"/>
      <c r="T68" s="31"/>
      <c r="U68" s="31"/>
      <c r="V68" s="31"/>
      <c r="W68" s="31"/>
      <c r="X68" s="31"/>
      <c r="Z68" s="10"/>
    </row>
    <row r="69" spans="1:26" x14ac:dyDescent="0.35">
      <c r="A69" s="14">
        <f t="shared" si="4"/>
        <v>37</v>
      </c>
      <c r="B69" s="45">
        <f t="shared" si="11"/>
        <v>3.083333333333333</v>
      </c>
      <c r="C69" s="31">
        <f t="shared" si="12"/>
        <v>0.68251808669081726</v>
      </c>
      <c r="D69" s="46">
        <f t="shared" si="3"/>
        <v>0.58719249007191165</v>
      </c>
      <c r="E69" s="31"/>
      <c r="N69" s="14">
        <f t="shared" si="9"/>
        <v>36</v>
      </c>
      <c r="O69" s="45"/>
      <c r="P69" s="31"/>
      <c r="Q69" s="46"/>
      <c r="R69" s="31"/>
      <c r="S69" s="31"/>
      <c r="T69" s="31"/>
      <c r="U69" s="31"/>
      <c r="V69" s="31"/>
      <c r="W69" s="31"/>
      <c r="X69" s="31"/>
      <c r="Z69" s="10"/>
    </row>
    <row r="70" spans="1:26" x14ac:dyDescent="0.35">
      <c r="A70" s="14">
        <f t="shared" si="4"/>
        <v>38</v>
      </c>
      <c r="B70" s="45">
        <f t="shared" si="11"/>
        <v>3.1666666666666665</v>
      </c>
      <c r="C70" s="31">
        <f t="shared" si="12"/>
        <v>0.67440249021932608</v>
      </c>
      <c r="D70" s="46">
        <f t="shared" si="3"/>
        <v>0.57785612132395103</v>
      </c>
      <c r="E70" s="31"/>
      <c r="N70" s="14">
        <f t="shared" si="9"/>
        <v>37</v>
      </c>
      <c r="O70" s="45"/>
      <c r="P70" s="31"/>
      <c r="Q70" s="46"/>
      <c r="R70" s="31"/>
      <c r="S70" s="31"/>
      <c r="T70" s="31"/>
      <c r="U70" s="31"/>
      <c r="V70" s="31"/>
      <c r="W70" s="31"/>
      <c r="X70" s="31"/>
      <c r="Z70" s="10"/>
    </row>
    <row r="71" spans="1:26" x14ac:dyDescent="0.35">
      <c r="A71" s="14">
        <f t="shared" si="4"/>
        <v>39</v>
      </c>
      <c r="B71" s="45">
        <f t="shared" si="11"/>
        <v>3.25</v>
      </c>
      <c r="C71" s="31">
        <f t="shared" si="12"/>
        <v>0.66631983293873354</v>
      </c>
      <c r="D71" s="46">
        <f t="shared" si="3"/>
        <v>0.56861396051660551</v>
      </c>
      <c r="E71" s="31"/>
      <c r="N71" s="14">
        <f t="shared" si="9"/>
        <v>38</v>
      </c>
      <c r="O71" s="45"/>
      <c r="P71" s="31"/>
      <c r="Q71" s="46"/>
      <c r="R71" s="31"/>
      <c r="S71" s="31"/>
      <c r="T71" s="31"/>
      <c r="U71" s="31"/>
      <c r="V71" s="31"/>
      <c r="W71" s="31"/>
      <c r="X71" s="31"/>
      <c r="Z71" s="10"/>
    </row>
    <row r="72" spans="1:26" x14ac:dyDescent="0.35">
      <c r="A72" s="14">
        <f t="shared" si="4"/>
        <v>40</v>
      </c>
      <c r="B72" s="45">
        <f t="shared" si="11"/>
        <v>3.333333333333333</v>
      </c>
      <c r="C72" s="31">
        <f t="shared" si="12"/>
        <v>0.65827075201320251</v>
      </c>
      <c r="D72" s="46">
        <f t="shared" si="3"/>
        <v>0.55946582432130532</v>
      </c>
      <c r="E72" s="31"/>
      <c r="N72" s="14">
        <f t="shared" si="9"/>
        <v>39</v>
      </c>
      <c r="O72" s="45"/>
      <c r="P72" s="31"/>
      <c r="Q72" s="46"/>
      <c r="R72" s="31"/>
      <c r="S72" s="31"/>
      <c r="T72" s="31"/>
      <c r="U72" s="31"/>
      <c r="V72" s="31"/>
      <c r="W72" s="31"/>
      <c r="X72" s="31"/>
      <c r="Z72" s="10"/>
    </row>
    <row r="73" spans="1:26" x14ac:dyDescent="0.35">
      <c r="A73" s="14">
        <f t="shared" si="4"/>
        <v>41</v>
      </c>
      <c r="B73" s="45">
        <f t="shared" si="11"/>
        <v>3.4166666666666665</v>
      </c>
      <c r="C73" s="31">
        <f t="shared" si="12"/>
        <v>0.65025588166323101</v>
      </c>
      <c r="D73" s="46">
        <f t="shared" si="3"/>
        <v>0.55041152292270135</v>
      </c>
      <c r="E73" s="31"/>
      <c r="N73" s="14">
        <f t="shared" si="9"/>
        <v>40</v>
      </c>
      <c r="O73" s="45"/>
      <c r="P73" s="31"/>
      <c r="Q73" s="46"/>
      <c r="R73" s="31"/>
      <c r="S73" s="31"/>
      <c r="T73" s="31"/>
      <c r="U73" s="31"/>
      <c r="V73" s="31"/>
      <c r="W73" s="31"/>
      <c r="X73" s="31"/>
      <c r="Z73" s="10"/>
    </row>
    <row r="74" spans="1:26" x14ac:dyDescent="0.35">
      <c r="A74" s="14">
        <f t="shared" si="4"/>
        <v>42</v>
      </c>
      <c r="B74" s="45">
        <f t="shared" si="11"/>
        <v>3.5</v>
      </c>
      <c r="C74" s="31">
        <f t="shared" si="12"/>
        <v>0.6422758529658712</v>
      </c>
      <c r="D74" s="46">
        <f t="shared" si="3"/>
        <v>0.54145085996110565</v>
      </c>
      <c r="E74" s="31"/>
      <c r="N74" s="14">
        <f t="shared" si="9"/>
        <v>41</v>
      </c>
      <c r="O74" s="45"/>
      <c r="P74" s="31"/>
      <c r="Q74" s="46"/>
      <c r="R74" s="31"/>
      <c r="S74" s="31"/>
      <c r="T74" s="31"/>
      <c r="U74" s="31"/>
      <c r="V74" s="31"/>
      <c r="W74" s="31"/>
      <c r="X74" s="31"/>
      <c r="Z74" s="10"/>
    </row>
    <row r="75" spans="1:26" x14ac:dyDescent="0.35">
      <c r="A75" s="14">
        <f t="shared" si="4"/>
        <v>43</v>
      </c>
      <c r="B75" s="45">
        <f t="shared" si="11"/>
        <v>3.583333333333333</v>
      </c>
      <c r="C75" s="31">
        <f t="shared" si="12"/>
        <v>0.63433129365365204</v>
      </c>
      <c r="D75" s="46">
        <f t="shared" si="3"/>
        <v>0.53258363247676777</v>
      </c>
      <c r="E75" s="31"/>
      <c r="N75" s="14">
        <f t="shared" si="9"/>
        <v>42</v>
      </c>
      <c r="O75" s="45"/>
      <c r="P75" s="31"/>
      <c r="Q75" s="46"/>
      <c r="R75" s="31"/>
      <c r="S75" s="31"/>
      <c r="T75" s="31"/>
      <c r="U75" s="31"/>
      <c r="V75" s="31"/>
      <c r="W75" s="31"/>
      <c r="X75" s="31"/>
      <c r="Z75" s="10"/>
    </row>
    <row r="76" spans="1:26" x14ac:dyDescent="0.35">
      <c r="A76" s="14">
        <f t="shared" si="4"/>
        <v>44</v>
      </c>
      <c r="B76" s="45">
        <f t="shared" si="11"/>
        <v>3.6666666666666665</v>
      </c>
      <c r="C76" s="31">
        <f t="shared" si="12"/>
        <v>0.62642282791229154</v>
      </c>
      <c r="D76" s="46">
        <f t="shared" si="3"/>
        <v>0.52380963085604115</v>
      </c>
      <c r="E76" s="31"/>
      <c r="N76" s="14">
        <f t="shared" si="9"/>
        <v>43</v>
      </c>
      <c r="O76" s="45"/>
      <c r="P76" s="31"/>
      <c r="Q76" s="46"/>
      <c r="R76" s="31"/>
      <c r="S76" s="31"/>
      <c r="T76" s="31"/>
      <c r="U76" s="31"/>
      <c r="V76" s="31"/>
      <c r="W76" s="31"/>
      <c r="X76" s="31"/>
      <c r="Z76" s="10"/>
    </row>
    <row r="77" spans="1:26" x14ac:dyDescent="0.35">
      <c r="A77" s="14">
        <f t="shared" si="4"/>
        <v>45</v>
      </c>
      <c r="B77" s="45">
        <f t="shared" si="11"/>
        <v>3.75</v>
      </c>
      <c r="C77" s="31">
        <f t="shared" si="12"/>
        <v>0.61855107617728311</v>
      </c>
      <c r="D77" s="46">
        <f t="shared" si="3"/>
        <v>0.51512863877949222</v>
      </c>
      <c r="E77" s="31"/>
      <c r="N77" s="14">
        <f t="shared" si="9"/>
        <v>44</v>
      </c>
      <c r="O77" s="45"/>
      <c r="P77" s="31"/>
      <c r="Q77" s="46"/>
      <c r="R77" s="31"/>
      <c r="S77" s="31"/>
      <c r="T77" s="31"/>
      <c r="U77" s="31"/>
      <c r="V77" s="31"/>
      <c r="W77" s="31"/>
      <c r="X77" s="31"/>
      <c r="Z77" s="10"/>
    </row>
    <row r="78" spans="1:26" x14ac:dyDescent="0.35">
      <c r="A78" s="14">
        <f t="shared" si="4"/>
        <v>46</v>
      </c>
      <c r="B78" s="45">
        <f t="shared" si="11"/>
        <v>3.833333333333333</v>
      </c>
      <c r="C78" s="31">
        <f t="shared" si="12"/>
        <v>0.61071665492944804</v>
      </c>
      <c r="D78" s="46">
        <f t="shared" si="3"/>
        <v>0.50654043317200459</v>
      </c>
      <c r="E78" s="31"/>
      <c r="N78" s="14">
        <f t="shared" si="9"/>
        <v>45</v>
      </c>
      <c r="O78" s="45"/>
      <c r="P78" s="31"/>
      <c r="Q78" s="46"/>
      <c r="R78" s="31"/>
      <c r="S78" s="31"/>
      <c r="T78" s="31"/>
      <c r="U78" s="31"/>
      <c r="V78" s="31"/>
      <c r="W78" s="31"/>
      <c r="X78" s="31"/>
      <c r="Z78" s="10"/>
    </row>
    <row r="79" spans="1:26" x14ac:dyDescent="0.35">
      <c r="A79" s="14">
        <f t="shared" si="4"/>
        <v>47</v>
      </c>
      <c r="B79" s="45">
        <f t="shared" si="11"/>
        <v>3.9166666666666665</v>
      </c>
      <c r="C79" s="31">
        <f t="shared" si="12"/>
        <v>0.60292017648954277</v>
      </c>
      <c r="D79" s="46">
        <f t="shared" si="3"/>
        <v>0.49804478415493142</v>
      </c>
      <c r="E79" s="31"/>
      <c r="N79" s="14">
        <f t="shared" si="9"/>
        <v>46</v>
      </c>
      <c r="O79" s="45"/>
      <c r="P79" s="31"/>
      <c r="Q79" s="46"/>
      <c r="R79" s="31"/>
      <c r="S79" s="31"/>
      <c r="T79" s="31"/>
      <c r="U79" s="31"/>
      <c r="V79" s="31"/>
      <c r="W79" s="31"/>
      <c r="X79" s="31"/>
      <c r="Z79" s="10"/>
    </row>
    <row r="80" spans="1:26" x14ac:dyDescent="0.35">
      <c r="A80" s="14">
        <f t="shared" si="4"/>
        <v>48</v>
      </c>
      <c r="B80" s="45">
        <f t="shared" si="11"/>
        <v>4</v>
      </c>
      <c r="C80" s="31">
        <f t="shared" si="12"/>
        <v>0.59516224881202029</v>
      </c>
      <c r="D80" s="46">
        <f t="shared" si="3"/>
        <v>0.48964145500035083</v>
      </c>
      <c r="E80" s="31"/>
      <c r="N80" s="14">
        <f t="shared" si="9"/>
        <v>47</v>
      </c>
      <c r="O80" s="45"/>
      <c r="P80" s="31"/>
      <c r="Q80" s="46"/>
      <c r="R80" s="31"/>
      <c r="S80" s="31"/>
      <c r="T80" s="31"/>
      <c r="U80" s="31"/>
      <c r="V80" s="31"/>
      <c r="W80" s="31"/>
      <c r="X80" s="31"/>
      <c r="Z80" s="10"/>
    </row>
    <row r="81" spans="1:26" x14ac:dyDescent="0.35">
      <c r="A81" s="14">
        <f t="shared" si="4"/>
        <v>49</v>
      </c>
      <c r="B81" s="45">
        <f t="shared" si="11"/>
        <v>4.083333333333333</v>
      </c>
      <c r="C81" s="31">
        <f t="shared" si="12"/>
        <v>0.5874434752780362</v>
      </c>
      <c r="D81" s="46">
        <f t="shared" si="3"/>
        <v>0.48133020208747118</v>
      </c>
      <c r="E81" s="31"/>
      <c r="N81" s="14">
        <f t="shared" si="9"/>
        <v>48</v>
      </c>
      <c r="O81" s="45"/>
      <c r="P81" s="31"/>
      <c r="Q81" s="46"/>
      <c r="R81" s="31"/>
      <c r="S81" s="31"/>
      <c r="T81" s="31"/>
      <c r="U81" s="31"/>
      <c r="V81" s="31"/>
      <c r="W81" s="31"/>
      <c r="X81" s="31"/>
      <c r="Z81" s="10"/>
    </row>
    <row r="82" spans="1:26" x14ac:dyDescent="0.35">
      <c r="A82" s="14">
        <f t="shared" si="4"/>
        <v>50</v>
      </c>
      <c r="B82" s="45">
        <f t="shared" si="11"/>
        <v>4.1666666666666661</v>
      </c>
      <c r="C82" s="31">
        <f t="shared" si="12"/>
        <v>0.57976445448780634</v>
      </c>
      <c r="D82" s="46">
        <f t="shared" si="3"/>
        <v>0.47311077486124586</v>
      </c>
      <c r="E82" s="31"/>
      <c r="N82" s="14">
        <f t="shared" si="9"/>
        <v>49</v>
      </c>
      <c r="O82" s="45"/>
      <c r="P82" s="31"/>
      <c r="Q82" s="46"/>
      <c r="R82" s="31"/>
      <c r="S82" s="31"/>
      <c r="T82" s="31"/>
      <c r="U82" s="31"/>
      <c r="V82" s="31"/>
      <c r="W82" s="31"/>
      <c r="X82" s="31"/>
      <c r="Z82" s="10"/>
    </row>
    <row r="83" spans="1:26" x14ac:dyDescent="0.35">
      <c r="A83" s="14">
        <f t="shared" si="4"/>
        <v>51</v>
      </c>
      <c r="B83" s="45">
        <f t="shared" si="11"/>
        <v>4.25</v>
      </c>
      <c r="C83" s="31">
        <f t="shared" si="12"/>
        <v>0.57212578005241066</v>
      </c>
      <c r="D83" s="46">
        <f t="shared" si="3"/>
        <v>0.46498291579324119</v>
      </c>
      <c r="E83" s="31"/>
      <c r="N83" s="14">
        <f t="shared" si="9"/>
        <v>50</v>
      </c>
      <c r="O83" s="45"/>
      <c r="P83" s="31"/>
      <c r="Q83" s="46"/>
      <c r="R83" s="31"/>
      <c r="S83" s="31"/>
      <c r="T83" s="31"/>
      <c r="U83" s="31"/>
      <c r="V83" s="31"/>
      <c r="W83" s="31"/>
      <c r="X83" s="31"/>
      <c r="Z83" s="10"/>
    </row>
    <row r="84" spans="1:26" x14ac:dyDescent="0.35">
      <c r="A84" s="14">
        <f t="shared" si="4"/>
        <v>52</v>
      </c>
      <c r="B84" s="45">
        <f t="shared" si="11"/>
        <v>4.333333333333333</v>
      </c>
      <c r="C84" s="31">
        <f t="shared" si="12"/>
        <v>0.56452804038515458</v>
      </c>
      <c r="D84" s="46">
        <f t="shared" si="3"/>
        <v>0.45694636034481589</v>
      </c>
      <c r="E84" s="31"/>
      <c r="N84" s="14">
        <f t="shared" si="9"/>
        <v>51</v>
      </c>
      <c r="O84" s="45"/>
      <c r="P84" s="31"/>
      <c r="Q84" s="46"/>
      <c r="R84" s="31"/>
      <c r="S84" s="31"/>
      <c r="T84" s="31"/>
      <c r="U84" s="31"/>
      <c r="V84" s="31"/>
      <c r="W84" s="31"/>
      <c r="X84" s="31"/>
      <c r="Z84" s="10"/>
    </row>
    <row r="85" spans="1:26" x14ac:dyDescent="0.35">
      <c r="A85" s="14">
        <f t="shared" si="4"/>
        <v>53</v>
      </c>
      <c r="B85" s="45">
        <f t="shared" si="11"/>
        <v>4.4166666666666661</v>
      </c>
      <c r="C85" s="31">
        <f t="shared" si="12"/>
        <v>0.55697181849258892</v>
      </c>
      <c r="D85" s="46">
        <f t="shared" si="3"/>
        <v>0.44900083693265719</v>
      </c>
      <c r="E85" s="31"/>
      <c r="N85" s="14">
        <f t="shared" si="9"/>
        <v>52</v>
      </c>
      <c r="O85" s="45"/>
      <c r="P85" s="31"/>
      <c r="Q85" s="46"/>
      <c r="R85" s="31"/>
      <c r="S85" s="31"/>
      <c r="T85" s="31"/>
      <c r="U85" s="31"/>
      <c r="V85" s="31"/>
      <c r="W85" s="31"/>
      <c r="X85" s="31"/>
      <c r="Z85" s="10"/>
    </row>
    <row r="86" spans="1:26" x14ac:dyDescent="0.35">
      <c r="A86" s="14">
        <f t="shared" si="4"/>
        <v>54</v>
      </c>
      <c r="B86" s="45">
        <f t="shared" si="11"/>
        <v>4.5</v>
      </c>
      <c r="C86" s="31">
        <f t="shared" si="12"/>
        <v>0.54945769176530268</v>
      </c>
      <c r="D86" s="46">
        <f t="shared" si="3"/>
        <v>0.44114606689672836</v>
      </c>
      <c r="E86" s="31"/>
      <c r="N86" s="14">
        <f t="shared" si="9"/>
        <v>53</v>
      </c>
      <c r="O86" s="45"/>
      <c r="P86" s="31"/>
      <c r="Q86" s="46"/>
      <c r="R86" s="31"/>
      <c r="S86" s="31"/>
      <c r="T86" s="31"/>
      <c r="U86" s="31"/>
      <c r="V86" s="31"/>
      <c r="W86" s="31"/>
      <c r="X86" s="31"/>
      <c r="Z86" s="10"/>
    </row>
    <row r="87" spans="1:26" x14ac:dyDescent="0.35">
      <c r="A87" s="14">
        <f t="shared" si="4"/>
        <v>55</v>
      </c>
      <c r="B87" s="45">
        <f t="shared" si="11"/>
        <v>4.583333333333333</v>
      </c>
      <c r="C87" s="31">
        <f t="shared" si="12"/>
        <v>0.54198623176859628</v>
      </c>
      <c r="D87" s="46">
        <f t="shared" si="3"/>
        <v>0.43338176447067411</v>
      </c>
      <c r="E87" s="31"/>
      <c r="N87" s="14">
        <f t="shared" si="9"/>
        <v>54</v>
      </c>
      <c r="O87" s="45"/>
      <c r="P87" s="31"/>
      <c r="Q87" s="46"/>
      <c r="R87" s="31"/>
      <c r="S87" s="31"/>
      <c r="T87" s="31"/>
      <c r="U87" s="31"/>
      <c r="V87" s="31"/>
      <c r="W87" s="31"/>
      <c r="X87" s="31"/>
      <c r="Z87" s="10"/>
    </row>
    <row r="88" spans="1:26" x14ac:dyDescent="0.35">
      <c r="A88" s="14">
        <f t="shared" si="4"/>
        <v>56</v>
      </c>
      <c r="B88" s="45">
        <f t="shared" si="11"/>
        <v>4.6666666666666661</v>
      </c>
      <c r="C88" s="31">
        <f t="shared" si="12"/>
        <v>0.53455800403315246</v>
      </c>
      <c r="D88" s="46">
        <f t="shared" si="3"/>
        <v>0.42570763675473516</v>
      </c>
      <c r="E88" s="31"/>
      <c r="N88" s="14">
        <f t="shared" si="9"/>
        <v>55</v>
      </c>
      <c r="O88" s="45"/>
      <c r="P88" s="31"/>
      <c r="Q88" s="46"/>
      <c r="R88" s="31"/>
      <c r="S88" s="31"/>
      <c r="T88" s="31"/>
      <c r="U88" s="31"/>
      <c r="V88" s="31"/>
      <c r="W88" s="31"/>
      <c r="X88" s="31"/>
      <c r="Z88" s="10"/>
    </row>
    <row r="89" spans="1:26" x14ac:dyDescent="0.35">
      <c r="A89" s="14">
        <f t="shared" si="4"/>
        <v>57</v>
      </c>
      <c r="B89" s="45">
        <f t="shared" si="11"/>
        <v>4.75</v>
      </c>
      <c r="C89" s="31">
        <f t="shared" si="12"/>
        <v>0.52717356784581793</v>
      </c>
      <c r="D89" s="46">
        <f t="shared" si="3"/>
        <v>0.41812338369121799</v>
      </c>
      <c r="E89" s="31"/>
      <c r="N89" s="14">
        <f t="shared" si="9"/>
        <v>56</v>
      </c>
      <c r="O89" s="45"/>
      <c r="P89" s="31"/>
      <c r="Q89" s="46"/>
      <c r="R89" s="31"/>
      <c r="S89" s="31"/>
      <c r="T89" s="31"/>
      <c r="U89" s="31"/>
      <c r="V89" s="31"/>
      <c r="W89" s="31"/>
      <c r="X89" s="31"/>
      <c r="Z89" s="10"/>
    </row>
    <row r="90" spans="1:26" x14ac:dyDescent="0.35">
      <c r="A90" s="14">
        <f t="shared" si="4"/>
        <v>58</v>
      </c>
      <c r="B90" s="45">
        <f t="shared" si="11"/>
        <v>4.833333333333333</v>
      </c>
      <c r="C90" s="31">
        <f t="shared" si="12"/>
        <v>0.51983347604061914</v>
      </c>
      <c r="D90" s="46">
        <f t="shared" si="3"/>
        <v>0.41062869804257263</v>
      </c>
      <c r="E90" s="31"/>
      <c r="N90" s="14">
        <f t="shared" si="9"/>
        <v>57</v>
      </c>
      <c r="O90" s="45"/>
      <c r="P90" s="31"/>
      <c r="Q90" s="46"/>
      <c r="R90" s="31"/>
      <c r="S90" s="31"/>
      <c r="T90" s="31"/>
      <c r="U90" s="31"/>
      <c r="V90" s="31"/>
      <c r="W90" s="31"/>
      <c r="X90" s="31"/>
      <c r="Z90" s="10"/>
    </row>
    <row r="91" spans="1:26" x14ac:dyDescent="0.35">
      <c r="A91" s="14">
        <f t="shared" si="4"/>
        <v>59</v>
      </c>
      <c r="B91" s="45">
        <f t="shared" si="11"/>
        <v>4.9166666666666661</v>
      </c>
      <c r="C91" s="31">
        <f t="shared" si="12"/>
        <v>0.51253827479012615</v>
      </c>
      <c r="D91" s="46">
        <f t="shared" si="3"/>
        <v>0.40322326537211772</v>
      </c>
      <c r="E91" s="31"/>
      <c r="N91" s="14">
        <f t="shared" si="9"/>
        <v>58</v>
      </c>
      <c r="O91" s="45"/>
      <c r="P91" s="31"/>
      <c r="Q91" s="46"/>
      <c r="R91" s="31"/>
      <c r="S91" s="31"/>
      <c r="T91" s="31"/>
      <c r="U91" s="31"/>
      <c r="V91" s="31"/>
      <c r="W91" s="31"/>
      <c r="X91" s="31"/>
      <c r="Z91" s="10"/>
    </row>
    <row r="92" spans="1:26" x14ac:dyDescent="0.35">
      <c r="A92" s="14">
        <f t="shared" si="4"/>
        <v>60</v>
      </c>
      <c r="B92" s="45">
        <f t="shared" si="11"/>
        <v>5</v>
      </c>
      <c r="C92" s="31">
        <f t="shared" si="12"/>
        <v>0.50528850339729448</v>
      </c>
      <c r="D92" s="46">
        <f t="shared" si="3"/>
        <v>0.395906764027467</v>
      </c>
      <c r="E92" s="31"/>
      <c r="N92" s="14">
        <f t="shared" si="9"/>
        <v>59</v>
      </c>
      <c r="O92" s="45"/>
      <c r="P92" s="31"/>
      <c r="Q92" s="46"/>
      <c r="R92" s="31"/>
      <c r="S92" s="31"/>
      <c r="T92" s="31"/>
      <c r="U92" s="31"/>
      <c r="V92" s="31"/>
      <c r="W92" s="31"/>
      <c r="X92" s="31"/>
      <c r="Z92" s="10"/>
    </row>
    <row r="93" spans="1:26" x14ac:dyDescent="0.35">
      <c r="A93" s="14">
        <f t="shared" si="4"/>
        <v>61</v>
      </c>
      <c r="B93" s="45">
        <f t="shared" si="11"/>
        <v>5.083333333333333</v>
      </c>
      <c r="C93" s="31">
        <f t="shared" si="12"/>
        <v>0.49808469408790401</v>
      </c>
      <c r="D93" s="46">
        <f t="shared" si="3"/>
        <v>0.38867886512669636</v>
      </c>
      <c r="E93" s="31"/>
      <c r="N93" s="14">
        <f t="shared" si="9"/>
        <v>60</v>
      </c>
      <c r="O93" s="45"/>
      <c r="P93" s="31"/>
      <c r="Q93" s="46"/>
      <c r="R93" s="31"/>
      <c r="S93" s="31"/>
      <c r="T93" s="31"/>
      <c r="U93" s="31"/>
      <c r="V93" s="31"/>
      <c r="W93" s="31"/>
      <c r="X93" s="31"/>
      <c r="Z93" s="10"/>
    </row>
    <row r="94" spans="1:26" x14ac:dyDescent="0.35">
      <c r="A94" s="14">
        <f t="shared" si="4"/>
        <v>62</v>
      </c>
      <c r="B94" s="45">
        <f t="shared" si="11"/>
        <v>5.1666666666666661</v>
      </c>
      <c r="C94" s="31">
        <f t="shared" si="12"/>
        <v>0.49092737180372625</v>
      </c>
      <c r="D94" s="46">
        <f t="shared" si="3"/>
        <v>0.38153923254730021</v>
      </c>
      <c r="E94" s="31"/>
      <c r="N94" s="14">
        <f t="shared" si="9"/>
        <v>61</v>
      </c>
      <c r="O94" s="45"/>
      <c r="P94" s="31"/>
      <c r="Q94" s="46"/>
      <c r="R94" s="31"/>
      <c r="S94" s="31"/>
      <c r="T94" s="31"/>
      <c r="U94" s="31"/>
      <c r="V94" s="31"/>
      <c r="W94" s="31"/>
      <c r="X94" s="31"/>
      <c r="Z94" s="10"/>
    </row>
    <row r="95" spans="1:26" x14ac:dyDescent="0.35">
      <c r="A95" s="14">
        <f t="shared" si="4"/>
        <v>63</v>
      </c>
      <c r="B95" s="45">
        <f t="shared" si="11"/>
        <v>5.25</v>
      </c>
      <c r="C95" s="31">
        <f t="shared" si="12"/>
        <v>0.48381705399654568</v>
      </c>
      <c r="D95" s="46">
        <f t="shared" si="3"/>
        <v>0.37448752291797716</v>
      </c>
      <c r="E95" s="31"/>
      <c r="N95" s="14">
        <f t="shared" si="9"/>
        <v>62</v>
      </c>
      <c r="O95" s="45"/>
      <c r="P95" s="31"/>
      <c r="Q95" s="46"/>
      <c r="R95" s="31"/>
      <c r="S95" s="31"/>
      <c r="T95" s="31"/>
      <c r="U95" s="31"/>
      <c r="V95" s="31"/>
      <c r="W95" s="31"/>
      <c r="X95" s="31"/>
      <c r="Z95" s="10"/>
    </row>
    <row r="96" spans="1:26" x14ac:dyDescent="0.35">
      <c r="A96" s="14">
        <f t="shared" si="4"/>
        <v>64</v>
      </c>
      <c r="B96" s="45">
        <f t="shared" ref="B96:B127" si="13">A96*StepSize</f>
        <v>5.333333333333333</v>
      </c>
      <c r="C96" s="31">
        <f t="shared" ref="C96:C127" si="14">gompertz_g_assum^(gompertz_c_assum^intial_age * (gompertz_c_assum^B96-1))</f>
        <v>0.4767542504231681</v>
      </c>
      <c r="D96" s="46">
        <f t="shared" si="3"/>
        <v>0.36752338561329007</v>
      </c>
      <c r="E96" s="31"/>
      <c r="N96" s="14">
        <f t="shared" si="9"/>
        <v>63</v>
      </c>
      <c r="O96" s="45"/>
      <c r="P96" s="31"/>
      <c r="Q96" s="46"/>
      <c r="R96" s="31"/>
      <c r="S96" s="31"/>
      <c r="T96" s="31"/>
      <c r="U96" s="31"/>
      <c r="V96" s="31"/>
      <c r="W96" s="31"/>
      <c r="X96" s="31"/>
      <c r="Z96" s="10"/>
    </row>
    <row r="97" spans="1:26" x14ac:dyDescent="0.35">
      <c r="A97" s="14">
        <f t="shared" si="4"/>
        <v>65</v>
      </c>
      <c r="B97" s="45">
        <f t="shared" si="13"/>
        <v>5.4166666666666661</v>
      </c>
      <c r="C97" s="31">
        <f t="shared" si="14"/>
        <v>0.46973946294154711</v>
      </c>
      <c r="D97" s="46">
        <f t="shared" ref="D97:D152" si="15">$D$10^B97*C97</f>
        <v>0.36064646275123957</v>
      </c>
      <c r="E97" s="31"/>
      <c r="N97" s="14">
        <f t="shared" si="9"/>
        <v>64</v>
      </c>
      <c r="O97" s="45"/>
      <c r="P97" s="31"/>
      <c r="Q97" s="46"/>
      <c r="R97" s="31"/>
      <c r="S97" s="31"/>
      <c r="T97" s="31"/>
      <c r="U97" s="31"/>
      <c r="V97" s="31"/>
      <c r="W97" s="31"/>
      <c r="X97" s="31"/>
      <c r="Z97" s="10"/>
    </row>
    <row r="98" spans="1:26" x14ac:dyDescent="0.35">
      <c r="A98" s="14">
        <f t="shared" ref="A98:A152" si="16">A97+1</f>
        <v>66</v>
      </c>
      <c r="B98" s="45">
        <f t="shared" si="13"/>
        <v>5.5</v>
      </c>
      <c r="C98" s="31">
        <f t="shared" si="14"/>
        <v>0.46277318530816408</v>
      </c>
      <c r="D98" s="46">
        <f t="shared" si="15"/>
        <v>0.35385638919379303</v>
      </c>
      <c r="E98" s="31"/>
      <c r="N98" s="14">
        <f t="shared" si="9"/>
        <v>65</v>
      </c>
      <c r="O98" s="45"/>
      <c r="P98" s="31"/>
      <c r="Q98" s="46"/>
      <c r="R98" s="31"/>
      <c r="S98" s="31"/>
      <c r="T98" s="31"/>
      <c r="U98" s="31"/>
      <c r="V98" s="31"/>
      <c r="W98" s="31"/>
      <c r="X98" s="31"/>
      <c r="Z98" s="10"/>
    </row>
    <row r="99" spans="1:26" x14ac:dyDescent="0.35">
      <c r="A99" s="14">
        <f t="shared" si="16"/>
        <v>67</v>
      </c>
      <c r="B99" s="45">
        <f t="shared" si="13"/>
        <v>5.583333333333333</v>
      </c>
      <c r="C99" s="31">
        <f t="shared" si="14"/>
        <v>0.45585590297679673</v>
      </c>
      <c r="D99" s="46">
        <f t="shared" si="15"/>
        <v>0.34715279255040571</v>
      </c>
      <c r="E99" s="31"/>
      <c r="N99" s="14">
        <f t="shared" ref="N99:N153" si="17">N98+1</f>
        <v>66</v>
      </c>
      <c r="O99" s="45"/>
      <c r="P99" s="31"/>
      <c r="Q99" s="46"/>
      <c r="R99" s="31"/>
      <c r="S99" s="31"/>
      <c r="T99" s="31"/>
      <c r="U99" s="31"/>
      <c r="V99" s="31"/>
      <c r="W99" s="31"/>
      <c r="X99" s="31"/>
      <c r="Z99" s="10"/>
    </row>
    <row r="100" spans="1:26" x14ac:dyDescent="0.35">
      <c r="A100" s="14">
        <f t="shared" si="16"/>
        <v>68</v>
      </c>
      <c r="B100" s="45">
        <f t="shared" si="13"/>
        <v>5.6666666666666661</v>
      </c>
      <c r="C100" s="31">
        <f t="shared" si="14"/>
        <v>0.44898809289881403</v>
      </c>
      <c r="D100" s="46">
        <f t="shared" si="15"/>
        <v>0.3405352931845736</v>
      </c>
      <c r="E100" s="31"/>
      <c r="N100" s="14">
        <f t="shared" si="17"/>
        <v>67</v>
      </c>
      <c r="O100" s="45"/>
      <c r="P100" s="31"/>
      <c r="Q100" s="46"/>
      <c r="R100" s="31"/>
      <c r="S100" s="31"/>
      <c r="T100" s="31"/>
      <c r="U100" s="31"/>
      <c r="V100" s="31"/>
      <c r="W100" s="31"/>
      <c r="X100" s="31"/>
      <c r="Z100" s="10"/>
    </row>
    <row r="101" spans="1:26" x14ac:dyDescent="0.35">
      <c r="A101" s="14">
        <f t="shared" si="16"/>
        <v>69</v>
      </c>
      <c r="B101" s="45">
        <f t="shared" si="13"/>
        <v>5.75</v>
      </c>
      <c r="C101" s="31">
        <f t="shared" si="14"/>
        <v>0.44217022332513733</v>
      </c>
      <c r="D101" s="46">
        <f t="shared" si="15"/>
        <v>0.3340035042234536</v>
      </c>
      <c r="E101" s="31"/>
      <c r="N101" s="14">
        <f t="shared" si="17"/>
        <v>68</v>
      </c>
      <c r="O101" s="45"/>
      <c r="P101" s="31"/>
      <c r="Q101" s="46"/>
      <c r="R101" s="31"/>
      <c r="S101" s="31"/>
      <c r="T101" s="31"/>
      <c r="U101" s="31"/>
      <c r="V101" s="31"/>
      <c r="W101" s="31"/>
      <c r="X101" s="31"/>
      <c r="Z101" s="10"/>
    </row>
    <row r="102" spans="1:26" x14ac:dyDescent="0.35">
      <c r="A102" s="14">
        <f t="shared" si="16"/>
        <v>70</v>
      </c>
      <c r="B102" s="45">
        <f t="shared" si="13"/>
        <v>5.833333333333333</v>
      </c>
      <c r="C102" s="31">
        <f t="shared" si="14"/>
        <v>0.43540275361000619</v>
      </c>
      <c r="D102" s="46">
        <f t="shared" si="15"/>
        <v>0.32755703157058436</v>
      </c>
      <c r="E102" s="31"/>
      <c r="N102" s="14">
        <f t="shared" si="17"/>
        <v>69</v>
      </c>
      <c r="O102" s="45"/>
      <c r="P102" s="31"/>
      <c r="Q102" s="46"/>
      <c r="R102" s="31"/>
      <c r="S102" s="31"/>
      <c r="T102" s="31"/>
      <c r="U102" s="31"/>
      <c r="V102" s="31"/>
      <c r="W102" s="31"/>
      <c r="X102" s="31"/>
      <c r="Z102" s="10"/>
    </row>
    <row r="103" spans="1:26" x14ac:dyDescent="0.35">
      <c r="A103" s="14">
        <f t="shared" si="16"/>
        <v>71</v>
      </c>
      <c r="B103" s="45">
        <f t="shared" si="13"/>
        <v>5.9166666666666661</v>
      </c>
      <c r="C103" s="31">
        <f t="shared" si="14"/>
        <v>0.4286861340166917</v>
      </c>
      <c r="D103" s="46">
        <f t="shared" si="15"/>
        <v>0.32119547392174341</v>
      </c>
      <c r="E103" s="31"/>
      <c r="N103" s="14">
        <f t="shared" si="17"/>
        <v>70</v>
      </c>
      <c r="O103" s="45"/>
      <c r="P103" s="31"/>
      <c r="Q103" s="46"/>
      <c r="R103" s="31"/>
      <c r="S103" s="31"/>
      <c r="T103" s="31"/>
      <c r="U103" s="31"/>
      <c r="V103" s="31"/>
      <c r="W103" s="31"/>
      <c r="X103" s="31"/>
      <c r="Z103" s="10"/>
    </row>
    <row r="104" spans="1:26" x14ac:dyDescent="0.35">
      <c r="A104" s="14">
        <f t="shared" si="16"/>
        <v>72</v>
      </c>
      <c r="B104" s="45">
        <f t="shared" si="13"/>
        <v>6</v>
      </c>
      <c r="C104" s="31">
        <f t="shared" si="14"/>
        <v>0.42202080552530125</v>
      </c>
      <c r="D104" s="46">
        <f t="shared" si="15"/>
        <v>0.3149184227839717</v>
      </c>
      <c r="E104" s="31"/>
      <c r="N104" s="14">
        <f t="shared" si="17"/>
        <v>71</v>
      </c>
      <c r="O104" s="45"/>
      <c r="P104" s="31"/>
      <c r="Q104" s="46"/>
      <c r="R104" s="31"/>
      <c r="S104" s="31"/>
      <c r="T104" s="31"/>
      <c r="U104" s="31"/>
      <c r="V104" s="31"/>
      <c r="W104" s="31"/>
      <c r="X104" s="31"/>
      <c r="Z104" s="10"/>
    </row>
    <row r="105" spans="1:26" x14ac:dyDescent="0.35">
      <c r="A105" s="14">
        <f t="shared" si="16"/>
        <v>73</v>
      </c>
      <c r="B105" s="45">
        <f t="shared" si="13"/>
        <v>6.083333333333333</v>
      </c>
      <c r="C105" s="31">
        <f t="shared" si="14"/>
        <v>0.41540719964281636</v>
      </c>
      <c r="D105" s="46">
        <f t="shared" si="15"/>
        <v>0.30872546249779481</v>
      </c>
      <c r="E105" s="31"/>
      <c r="N105" s="14">
        <f t="shared" si="17"/>
        <v>72</v>
      </c>
      <c r="O105" s="45"/>
      <c r="P105" s="31"/>
      <c r="Q105" s="46"/>
      <c r="R105" s="31"/>
      <c r="S105" s="31"/>
      <c r="T105" s="31"/>
      <c r="U105" s="31"/>
      <c r="V105" s="31"/>
      <c r="W105" s="31"/>
      <c r="X105" s="31"/>
      <c r="Z105" s="10"/>
    </row>
    <row r="106" spans="1:26" x14ac:dyDescent="0.35">
      <c r="A106" s="14">
        <f t="shared" si="16"/>
        <v>74</v>
      </c>
      <c r="B106" s="45">
        <f t="shared" si="13"/>
        <v>6.1666666666666661</v>
      </c>
      <c r="C106" s="31">
        <f t="shared" si="14"/>
        <v>0.40884573821550929</v>
      </c>
      <c r="D106" s="46">
        <f t="shared" si="15"/>
        <v>0.3026161702626704</v>
      </c>
      <c r="E106" s="31"/>
      <c r="N106" s="14">
        <f t="shared" si="17"/>
        <v>73</v>
      </c>
      <c r="O106" s="45"/>
      <c r="P106" s="31"/>
      <c r="Q106" s="46"/>
      <c r="R106" s="31"/>
      <c r="S106" s="31"/>
      <c r="T106" s="31"/>
      <c r="U106" s="31"/>
      <c r="V106" s="31"/>
      <c r="W106" s="31"/>
      <c r="X106" s="31"/>
      <c r="Z106" s="10"/>
    </row>
    <row r="107" spans="1:26" x14ac:dyDescent="0.35">
      <c r="A107" s="14">
        <f t="shared" si="16"/>
        <v>75</v>
      </c>
      <c r="B107" s="45">
        <f t="shared" si="13"/>
        <v>6.25</v>
      </c>
      <c r="C107" s="31">
        <f t="shared" si="14"/>
        <v>0.40233683324388475</v>
      </c>
      <c r="D107" s="46">
        <f t="shared" si="15"/>
        <v>0.29659011616568876</v>
      </c>
      <c r="E107" s="31"/>
      <c r="N107" s="14">
        <f t="shared" si="17"/>
        <v>74</v>
      </c>
      <c r="O107" s="45"/>
      <c r="P107" s="31"/>
      <c r="Q107" s="46"/>
      <c r="R107" s="31"/>
      <c r="S107" s="31"/>
      <c r="T107" s="31"/>
      <c r="U107" s="31"/>
      <c r="V107" s="31"/>
      <c r="W107" s="31"/>
      <c r="X107" s="31"/>
      <c r="Z107" s="10"/>
    </row>
    <row r="108" spans="1:26" x14ac:dyDescent="0.35">
      <c r="A108" s="14">
        <f t="shared" si="16"/>
        <v>76</v>
      </c>
      <c r="B108" s="45">
        <f t="shared" si="13"/>
        <v>6.333333333333333</v>
      </c>
      <c r="C108" s="31">
        <f t="shared" si="14"/>
        <v>0.39588088670029331</v>
      </c>
      <c r="D108" s="46">
        <f t="shared" si="15"/>
        <v>0.29064686321355188</v>
      </c>
      <c r="E108" s="31"/>
      <c r="N108" s="14">
        <f t="shared" si="17"/>
        <v>75</v>
      </c>
      <c r="O108" s="45"/>
      <c r="P108" s="31"/>
      <c r="Q108" s="46"/>
      <c r="R108" s="31"/>
      <c r="S108" s="31"/>
      <c r="T108" s="31"/>
      <c r="U108" s="31"/>
      <c r="V108" s="31"/>
      <c r="W108" s="31"/>
      <c r="X108" s="31"/>
      <c r="Z108" s="10"/>
    </row>
    <row r="109" spans="1:26" x14ac:dyDescent="0.35">
      <c r="A109" s="14">
        <f t="shared" si="16"/>
        <v>77</v>
      </c>
      <c r="B109" s="45">
        <f t="shared" si="13"/>
        <v>6.4166666666666661</v>
      </c>
      <c r="C109" s="31">
        <f t="shared" si="14"/>
        <v>0.38947829034936204</v>
      </c>
      <c r="D109" s="46">
        <f t="shared" si="15"/>
        <v>0.28478596736785344</v>
      </c>
      <c r="E109" s="31"/>
      <c r="N109" s="14">
        <f t="shared" si="17"/>
        <v>76</v>
      </c>
      <c r="O109" s="45"/>
      <c r="P109" s="31"/>
      <c r="Q109" s="46"/>
      <c r="R109" s="31"/>
      <c r="S109" s="31"/>
      <c r="T109" s="31"/>
      <c r="U109" s="31"/>
      <c r="V109" s="31"/>
      <c r="W109" s="31"/>
      <c r="X109" s="31"/>
      <c r="Z109" s="10"/>
    </row>
    <row r="110" spans="1:26" x14ac:dyDescent="0.35">
      <c r="A110" s="14">
        <f t="shared" si="16"/>
        <v>78</v>
      </c>
      <c r="B110" s="45">
        <f t="shared" si="13"/>
        <v>6.5</v>
      </c>
      <c r="C110" s="31">
        <f t="shared" si="14"/>
        <v>0.38312942557139112</v>
      </c>
      <c r="D110" s="46">
        <f t="shared" si="15"/>
        <v>0.27900697758368254</v>
      </c>
      <c r="E110" s="31"/>
      <c r="N110" s="14">
        <f t="shared" si="17"/>
        <v>77</v>
      </c>
      <c r="O110" s="45"/>
      <c r="P110" s="31"/>
      <c r="Q110" s="46"/>
      <c r="R110" s="31"/>
      <c r="S110" s="31"/>
      <c r="T110" s="31"/>
      <c r="U110" s="31"/>
      <c r="V110" s="31"/>
      <c r="W110" s="31"/>
      <c r="X110" s="31"/>
      <c r="Z110" s="10"/>
    </row>
    <row r="111" spans="1:26" x14ac:dyDescent="0.35">
      <c r="A111" s="14">
        <f t="shared" si="16"/>
        <v>79</v>
      </c>
      <c r="B111" s="45">
        <f t="shared" si="13"/>
        <v>6.583333333333333</v>
      </c>
      <c r="C111" s="31">
        <f t="shared" si="14"/>
        <v>0.3768346631888646</v>
      </c>
      <c r="D111" s="46">
        <f t="shared" si="15"/>
        <v>0.27330943585156947</v>
      </c>
      <c r="E111" s="31"/>
      <c r="N111" s="14">
        <f t="shared" si="17"/>
        <v>78</v>
      </c>
      <c r="O111" s="45"/>
      <c r="P111" s="31"/>
      <c r="Q111" s="46"/>
      <c r="R111" s="31"/>
      <c r="S111" s="31"/>
      <c r="T111" s="31"/>
      <c r="U111" s="31"/>
      <c r="V111" s="31"/>
      <c r="W111" s="31"/>
      <c r="X111" s="31"/>
      <c r="Z111" s="10"/>
    </row>
    <row r="112" spans="1:26" x14ac:dyDescent="0.35">
      <c r="A112" s="14">
        <f t="shared" si="16"/>
        <v>80</v>
      </c>
      <c r="B112" s="45">
        <f t="shared" si="13"/>
        <v>6.6666666666666661</v>
      </c>
      <c r="C112" s="31">
        <f t="shared" si="14"/>
        <v>0.3705943632962227</v>
      </c>
      <c r="D112" s="46">
        <f t="shared" si="15"/>
        <v>0.26769287724279239</v>
      </c>
      <c r="E112" s="31"/>
      <c r="N112" s="14">
        <f t="shared" si="17"/>
        <v>79</v>
      </c>
      <c r="O112" s="45"/>
      <c r="P112" s="31"/>
      <c r="Q112" s="46"/>
      <c r="R112" s="31"/>
      <c r="S112" s="31"/>
      <c r="T112" s="31"/>
      <c r="U112" s="31"/>
      <c r="V112" s="31"/>
      <c r="W112" s="31"/>
      <c r="X112" s="31"/>
      <c r="Z112" s="10"/>
    </row>
    <row r="113" spans="1:26" x14ac:dyDescent="0.35">
      <c r="A113" s="14">
        <f t="shared" si="16"/>
        <v>81</v>
      </c>
      <c r="B113" s="45">
        <f t="shared" si="13"/>
        <v>6.75</v>
      </c>
      <c r="C113" s="31">
        <f t="shared" si="14"/>
        <v>0.36440887509304382</v>
      </c>
      <c r="D113" s="46">
        <f t="shared" si="15"/>
        <v>0.26215682995805939</v>
      </c>
      <c r="E113" s="31"/>
      <c r="N113" s="14">
        <f t="shared" si="17"/>
        <v>80</v>
      </c>
      <c r="O113" s="45"/>
      <c r="P113" s="31"/>
      <c r="Q113" s="46"/>
      <c r="R113" s="31"/>
      <c r="S113" s="31"/>
      <c r="T113" s="31"/>
      <c r="U113" s="31"/>
      <c r="V113" s="31"/>
      <c r="W113" s="31"/>
      <c r="X113" s="31"/>
      <c r="Z113" s="10"/>
    </row>
    <row r="114" spans="1:26" x14ac:dyDescent="0.35">
      <c r="A114" s="14">
        <f t="shared" si="16"/>
        <v>82</v>
      </c>
      <c r="B114" s="45">
        <f t="shared" si="13"/>
        <v>6.833333333333333</v>
      </c>
      <c r="C114" s="31">
        <f t="shared" si="14"/>
        <v>0.35827853672078563</v>
      </c>
      <c r="D114" s="46">
        <f t="shared" si="15"/>
        <v>0.25670081537958012</v>
      </c>
      <c r="E114" s="31"/>
      <c r="N114" s="14">
        <f t="shared" si="17"/>
        <v>81</v>
      </c>
      <c r="O114" s="45"/>
      <c r="P114" s="31"/>
      <c r="Q114" s="46"/>
      <c r="R114" s="31"/>
      <c r="S114" s="31"/>
      <c r="T114" s="31"/>
      <c r="U114" s="31"/>
      <c r="V114" s="31"/>
      <c r="W114" s="31"/>
      <c r="X114" s="31"/>
      <c r="Z114" s="10"/>
    </row>
    <row r="115" spans="1:26" x14ac:dyDescent="0.35">
      <c r="A115" s="14">
        <f t="shared" si="16"/>
        <v>83</v>
      </c>
      <c r="B115" s="45">
        <f t="shared" si="13"/>
        <v>6.9166666666666661</v>
      </c>
      <c r="C115" s="31">
        <f t="shared" si="14"/>
        <v>0.35220367510323125</v>
      </c>
      <c r="D115" s="46">
        <f t="shared" si="15"/>
        <v>0.25132434812653759</v>
      </c>
      <c r="E115" s="31"/>
      <c r="N115" s="14">
        <f t="shared" si="17"/>
        <v>82</v>
      </c>
      <c r="O115" s="45"/>
      <c r="P115" s="31"/>
      <c r="Q115" s="46"/>
      <c r="R115" s="31"/>
      <c r="S115" s="31"/>
      <c r="T115" s="31"/>
      <c r="U115" s="31"/>
      <c r="V115" s="31"/>
      <c r="W115" s="31"/>
      <c r="X115" s="31"/>
      <c r="Z115" s="10"/>
    </row>
    <row r="116" spans="1:26" x14ac:dyDescent="0.35">
      <c r="A116" s="14">
        <f t="shared" si="16"/>
        <v>84</v>
      </c>
      <c r="B116" s="45">
        <f t="shared" si="13"/>
        <v>7</v>
      </c>
      <c r="C116" s="31">
        <f t="shared" si="14"/>
        <v>0.3461846057907908</v>
      </c>
      <c r="D116" s="46">
        <f t="shared" si="15"/>
        <v>0.24602693611397092</v>
      </c>
      <c r="E116" s="31"/>
      <c r="N116" s="14">
        <f t="shared" si="17"/>
        <v>83</v>
      </c>
      <c r="O116" s="45"/>
      <c r="P116" s="31"/>
      <c r="Q116" s="46"/>
      <c r="R116" s="31"/>
      <c r="S116" s="31"/>
      <c r="T116" s="31"/>
      <c r="U116" s="31"/>
      <c r="V116" s="31"/>
      <c r="W116" s="31"/>
      <c r="X116" s="31"/>
      <c r="Z116" s="10"/>
    </row>
    <row r="117" spans="1:26" x14ac:dyDescent="0.35">
      <c r="A117" s="14">
        <f t="shared" si="16"/>
        <v>85</v>
      </c>
      <c r="B117" s="45">
        <f t="shared" si="13"/>
        <v>7.083333333333333</v>
      </c>
      <c r="C117" s="31">
        <f t="shared" si="14"/>
        <v>0.34022163280880219</v>
      </c>
      <c r="D117" s="46">
        <f t="shared" si="15"/>
        <v>0.24080808061507269</v>
      </c>
      <c r="E117" s="31"/>
      <c r="N117" s="14">
        <f t="shared" si="17"/>
        <v>84</v>
      </c>
      <c r="O117" s="45"/>
      <c r="P117" s="31"/>
      <c r="Q117" s="46"/>
      <c r="R117" s="31"/>
      <c r="S117" s="31"/>
      <c r="T117" s="31"/>
      <c r="U117" s="31"/>
      <c r="V117" s="31"/>
      <c r="W117" s="31"/>
      <c r="X117" s="31"/>
      <c r="Z117" s="10"/>
    </row>
    <row r="118" spans="1:26" x14ac:dyDescent="0.35">
      <c r="A118" s="14">
        <f t="shared" si="16"/>
        <v>86</v>
      </c>
      <c r="B118" s="45">
        <f t="shared" si="13"/>
        <v>7.1666666666666661</v>
      </c>
      <c r="C118" s="31">
        <f t="shared" si="14"/>
        <v>0.33431504850998073</v>
      </c>
      <c r="D118" s="46">
        <f t="shared" si="15"/>
        <v>0.23566727632690909</v>
      </c>
      <c r="E118" s="31"/>
      <c r="N118" s="14">
        <f t="shared" si="17"/>
        <v>85</v>
      </c>
      <c r="O118" s="45"/>
      <c r="P118" s="31"/>
      <c r="Q118" s="46"/>
      <c r="R118" s="31"/>
      <c r="S118" s="31"/>
      <c r="T118" s="31"/>
      <c r="U118" s="31"/>
      <c r="V118" s="31"/>
      <c r="W118" s="31"/>
      <c r="X118" s="31"/>
      <c r="Z118" s="10"/>
    </row>
    <row r="119" spans="1:26" x14ac:dyDescent="0.35">
      <c r="A119" s="14">
        <f t="shared" si="16"/>
        <v>87</v>
      </c>
      <c r="B119" s="45">
        <f t="shared" si="13"/>
        <v>7.25</v>
      </c>
      <c r="C119" s="31">
        <f t="shared" si="14"/>
        <v>0.3284651334311624</v>
      </c>
      <c r="D119" s="46">
        <f t="shared" si="15"/>
        <v>0.23060401143956311</v>
      </c>
      <c r="E119" s="31"/>
      <c r="N119" s="14">
        <f t="shared" si="17"/>
        <v>86</v>
      </c>
      <c r="O119" s="45"/>
      <c r="P119" s="31"/>
      <c r="Q119" s="46"/>
      <c r="R119" s="31"/>
      <c r="S119" s="31"/>
      <c r="T119" s="31"/>
      <c r="U119" s="31"/>
      <c r="V119" s="31"/>
      <c r="W119" s="31"/>
      <c r="X119" s="31"/>
      <c r="Z119" s="10"/>
    </row>
    <row r="120" spans="1:26" x14ac:dyDescent="0.35">
      <c r="A120" s="14">
        <f t="shared" si="16"/>
        <v>88</v>
      </c>
      <c r="B120" s="45">
        <f t="shared" si="13"/>
        <v>7.333333333333333</v>
      </c>
      <c r="C120" s="31">
        <f t="shared" si="14"/>
        <v>0.3226721561544838</v>
      </c>
      <c r="D120" s="46">
        <f t="shared" si="15"/>
        <v>0.22561776770870021</v>
      </c>
      <c r="E120" s="31"/>
      <c r="N120" s="14">
        <f t="shared" si="17"/>
        <v>87</v>
      </c>
      <c r="O120" s="45"/>
      <c r="P120" s="31"/>
      <c r="Q120" s="46"/>
      <c r="R120" s="31"/>
      <c r="S120" s="31"/>
      <c r="T120" s="31"/>
      <c r="U120" s="31"/>
      <c r="V120" s="31"/>
      <c r="W120" s="31"/>
      <c r="X120" s="31"/>
      <c r="Z120" s="10"/>
    </row>
    <row r="121" spans="1:26" x14ac:dyDescent="0.35">
      <c r="A121" s="14">
        <f t="shared" si="16"/>
        <v>89</v>
      </c>
      <c r="B121" s="45">
        <f t="shared" si="13"/>
        <v>7.4166666666666661</v>
      </c>
      <c r="C121" s="31">
        <f t="shared" si="14"/>
        <v>0.31693637317314449</v>
      </c>
      <c r="D121" s="46">
        <f t="shared" si="15"/>
        <v>0.2207080205315548</v>
      </c>
      <c r="E121" s="31"/>
      <c r="N121" s="14">
        <f t="shared" si="17"/>
        <v>88</v>
      </c>
      <c r="O121" s="45"/>
      <c r="P121" s="31"/>
      <c r="Q121" s="46"/>
      <c r="R121" s="31"/>
      <c r="S121" s="31"/>
      <c r="T121" s="31"/>
      <c r="U121" s="31"/>
      <c r="V121" s="31"/>
      <c r="W121" s="31"/>
      <c r="X121" s="31"/>
      <c r="Z121" s="10"/>
    </row>
    <row r="122" spans="1:26" x14ac:dyDescent="0.35">
      <c r="A122" s="14">
        <f t="shared" si="16"/>
        <v>90</v>
      </c>
      <c r="B122" s="45">
        <f t="shared" si="13"/>
        <v>7.5</v>
      </c>
      <c r="C122" s="31">
        <f t="shared" si="14"/>
        <v>0.31125802876189396</v>
      </c>
      <c r="D122" s="46">
        <f t="shared" si="15"/>
        <v>0.21587423902633252</v>
      </c>
      <c r="E122" s="31"/>
      <c r="N122" s="14">
        <f t="shared" si="17"/>
        <v>89</v>
      </c>
      <c r="O122" s="45"/>
      <c r="P122" s="31"/>
      <c r="Q122" s="46"/>
      <c r="R122" s="31"/>
      <c r="S122" s="31"/>
      <c r="T122" s="31"/>
      <c r="U122" s="31"/>
      <c r="V122" s="31"/>
      <c r="W122" s="31"/>
      <c r="X122" s="31"/>
      <c r="Z122" s="10"/>
    </row>
    <row r="123" spans="1:26" x14ac:dyDescent="0.35">
      <c r="A123" s="14">
        <f t="shared" si="16"/>
        <v>91</v>
      </c>
      <c r="B123" s="45">
        <f t="shared" si="13"/>
        <v>7.583333333333333</v>
      </c>
      <c r="C123" s="31">
        <f t="shared" si="14"/>
        <v>0.30563735485238219</v>
      </c>
      <c r="D123" s="46">
        <f t="shared" si="15"/>
        <v>0.21111588611501911</v>
      </c>
      <c r="E123" s="31"/>
      <c r="N123" s="14">
        <f t="shared" si="17"/>
        <v>90</v>
      </c>
      <c r="O123" s="45"/>
      <c r="P123" s="31"/>
      <c r="Q123" s="46"/>
      <c r="R123" s="31"/>
      <c r="S123" s="31"/>
      <c r="T123" s="31"/>
      <c r="U123" s="31"/>
      <c r="V123" s="31"/>
      <c r="W123" s="31"/>
      <c r="X123" s="31"/>
      <c r="Z123" s="10"/>
    </row>
    <row r="124" spans="1:26" x14ac:dyDescent="0.35">
      <c r="A124" s="14">
        <f t="shared" si="16"/>
        <v>92</v>
      </c>
      <c r="B124" s="45">
        <f t="shared" si="13"/>
        <v>7.6666666666666661</v>
      </c>
      <c r="C124" s="31">
        <f t="shared" si="14"/>
        <v>0.30007457091351492</v>
      </c>
      <c r="D124" s="46">
        <f t="shared" si="15"/>
        <v>0.20643241860958694</v>
      </c>
      <c r="E124" s="31"/>
      <c r="N124" s="14">
        <f t="shared" si="17"/>
        <v>91</v>
      </c>
      <c r="O124" s="45"/>
      <c r="P124" s="31"/>
      <c r="Q124" s="46"/>
      <c r="R124" s="31"/>
      <c r="S124" s="31"/>
      <c r="T124" s="31"/>
      <c r="U124" s="31"/>
      <c r="V124" s="31"/>
      <c r="W124" s="31"/>
      <c r="X124" s="31"/>
      <c r="Z124" s="10"/>
    </row>
    <row r="125" spans="1:26" x14ac:dyDescent="0.35">
      <c r="A125" s="14">
        <f t="shared" si="16"/>
        <v>93</v>
      </c>
      <c r="B125" s="45">
        <f t="shared" si="13"/>
        <v>7.75</v>
      </c>
      <c r="C125" s="31">
        <f t="shared" si="14"/>
        <v>0.2945698838369516</v>
      </c>
      <c r="D125" s="46">
        <f t="shared" si="15"/>
        <v>0.20182328730158683</v>
      </c>
      <c r="E125" s="31"/>
      <c r="N125" s="14">
        <f t="shared" si="17"/>
        <v>92</v>
      </c>
      <c r="O125" s="45"/>
      <c r="P125" s="31"/>
      <c r="Q125" s="46"/>
      <c r="R125" s="31"/>
      <c r="S125" s="31"/>
      <c r="T125" s="31"/>
      <c r="U125" s="31"/>
      <c r="V125" s="31"/>
      <c r="W125" s="31"/>
      <c r="X125" s="31"/>
      <c r="Z125" s="10"/>
    </row>
    <row r="126" spans="1:26" x14ac:dyDescent="0.35">
      <c r="A126" s="14">
        <f t="shared" si="16"/>
        <v>94</v>
      </c>
      <c r="B126" s="45">
        <f t="shared" si="13"/>
        <v>7.833333333333333</v>
      </c>
      <c r="C126" s="31">
        <f t="shared" si="14"/>
        <v>0.28912348782787828</v>
      </c>
      <c r="D126" s="46">
        <f t="shared" si="15"/>
        <v>0.19728793705510683</v>
      </c>
      <c r="E126" s="31"/>
      <c r="N126" s="14">
        <f t="shared" si="17"/>
        <v>93</v>
      </c>
      <c r="O126" s="45"/>
      <c r="P126" s="31"/>
      <c r="Q126" s="46"/>
      <c r="R126" s="31"/>
      <c r="S126" s="31"/>
      <c r="T126" s="31"/>
      <c r="U126" s="31"/>
      <c r="V126" s="31"/>
      <c r="W126" s="31"/>
      <c r="X126" s="31"/>
      <c r="Z126" s="10"/>
    </row>
    <row r="127" spans="1:26" x14ac:dyDescent="0.35">
      <c r="A127" s="14">
        <f t="shared" si="16"/>
        <v>95</v>
      </c>
      <c r="B127" s="45">
        <f t="shared" si="13"/>
        <v>7.9166666666666661</v>
      </c>
      <c r="C127" s="31">
        <f t="shared" si="14"/>
        <v>0.28373556430119257</v>
      </c>
      <c r="D127" s="46">
        <f t="shared" si="15"/>
        <v>0.19282580690308318</v>
      </c>
      <c r="E127" s="31"/>
      <c r="N127" s="14">
        <f t="shared" si="17"/>
        <v>94</v>
      </c>
      <c r="O127" s="45"/>
      <c r="P127" s="31"/>
      <c r="Q127" s="46"/>
      <c r="Z127" s="10"/>
    </row>
    <row r="128" spans="1:26" x14ac:dyDescent="0.35">
      <c r="A128" s="14">
        <f t="shared" si="16"/>
        <v>96</v>
      </c>
      <c r="B128" s="45">
        <f t="shared" ref="B128:B152" si="18">A128*StepSize</f>
        <v>8</v>
      </c>
      <c r="C128" s="31">
        <f t="shared" ref="C128:C159" si="19">gompertz_g_assum^(gompertz_c_assum^intial_age * (gompertz_c_assum^B128-1))</f>
        <v>0.27840628178322868</v>
      </c>
      <c r="D128" s="46">
        <f t="shared" si="15"/>
        <v>0.18843633014693936</v>
      </c>
      <c r="E128" s="31"/>
      <c r="N128" s="14">
        <f t="shared" si="17"/>
        <v>95</v>
      </c>
      <c r="O128" s="45"/>
      <c r="P128" s="31"/>
      <c r="Q128" s="46"/>
      <c r="Z128" s="10"/>
    </row>
    <row r="129" spans="1:26" x14ac:dyDescent="0.35">
      <c r="A129" s="14">
        <f t="shared" si="16"/>
        <v>97</v>
      </c>
      <c r="B129" s="45">
        <f t="shared" si="18"/>
        <v>8.0833333333333321</v>
      </c>
      <c r="C129" s="31">
        <f t="shared" si="19"/>
        <v>0.27313579581915332</v>
      </c>
      <c r="D129" s="46">
        <f t="shared" si="15"/>
        <v>0.1841189344595319</v>
      </c>
      <c r="E129" s="31"/>
      <c r="N129" s="14">
        <f t="shared" si="17"/>
        <v>96</v>
      </c>
      <c r="O129" s="45"/>
      <c r="P129" s="31"/>
      <c r="Q129" s="46"/>
      <c r="Z129" s="10"/>
    </row>
    <row r="130" spans="1:26" x14ac:dyDescent="0.35">
      <c r="A130" s="14">
        <f t="shared" si="16"/>
        <v>98</v>
      </c>
      <c r="B130" s="45">
        <f t="shared" si="18"/>
        <v>8.1666666666666661</v>
      </c>
      <c r="C130" s="31">
        <f t="shared" si="19"/>
        <v>0.26792424888615624</v>
      </c>
      <c r="D130" s="46">
        <f t="shared" si="15"/>
        <v>0.17987304199137441</v>
      </c>
      <c r="E130" s="31"/>
      <c r="N130" s="14">
        <f t="shared" si="17"/>
        <v>97</v>
      </c>
      <c r="O130" s="45"/>
      <c r="P130" s="31"/>
      <c r="Q130" s="46"/>
      <c r="Z130" s="10"/>
    </row>
    <row r="131" spans="1:26" x14ac:dyDescent="0.35">
      <c r="A131" s="14">
        <f t="shared" si="16"/>
        <v>99</v>
      </c>
      <c r="B131" s="45">
        <f t="shared" si="18"/>
        <v>8.25</v>
      </c>
      <c r="C131" s="31">
        <f t="shared" si="19"/>
        <v>0.2627717703125596</v>
      </c>
      <c r="D131" s="46">
        <f t="shared" si="15"/>
        <v>0.17569806948011193</v>
      </c>
      <c r="E131" s="31"/>
      <c r="N131" s="14">
        <f t="shared" si="17"/>
        <v>98</v>
      </c>
      <c r="O131" s="45"/>
      <c r="P131" s="31"/>
      <c r="Q131" s="46"/>
      <c r="Z131" s="10"/>
    </row>
    <row r="132" spans="1:26" x14ac:dyDescent="0.35">
      <c r="A132" s="14">
        <f t="shared" si="16"/>
        <v>100</v>
      </c>
      <c r="B132" s="45">
        <f t="shared" si="18"/>
        <v>8.3333333333333321</v>
      </c>
      <c r="C132" s="31">
        <f t="shared" si="19"/>
        <v>0.25767847620296513</v>
      </c>
      <c r="D132" s="46">
        <f t="shared" si="15"/>
        <v>0.1715934283632119</v>
      </c>
      <c r="E132" s="31"/>
      <c r="N132" s="14">
        <f t="shared" si="17"/>
        <v>99</v>
      </c>
      <c r="O132" s="45"/>
      <c r="P132" s="31"/>
      <c r="Q132" s="46"/>
      <c r="Z132" s="10"/>
    </row>
    <row r="133" spans="1:26" x14ac:dyDescent="0.35">
      <c r="A133" s="14">
        <f t="shared" si="16"/>
        <v>101</v>
      </c>
      <c r="B133" s="45">
        <f t="shared" si="18"/>
        <v>8.4166666666666661</v>
      </c>
      <c r="C133" s="31">
        <f t="shared" si="19"/>
        <v>0.25264446936955598</v>
      </c>
      <c r="D133" s="46">
        <f t="shared" si="15"/>
        <v>0.16755852489383771</v>
      </c>
      <c r="E133" s="31"/>
      <c r="N133" s="14">
        <f t="shared" si="17"/>
        <v>100</v>
      </c>
      <c r="O133" s="45"/>
      <c r="P133" s="31"/>
      <c r="Q133" s="46"/>
      <c r="Z133" s="10"/>
    </row>
    <row r="134" spans="1:26" x14ac:dyDescent="0.35">
      <c r="A134" s="14">
        <f t="shared" si="16"/>
        <v>102</v>
      </c>
      <c r="B134" s="45">
        <f t="shared" si="18"/>
        <v>8.5</v>
      </c>
      <c r="C134" s="31">
        <f t="shared" si="19"/>
        <v>0.24766983926966643</v>
      </c>
      <c r="D134" s="46">
        <f t="shared" si="15"/>
        <v>0.16359276025986655</v>
      </c>
      <c r="E134" s="31"/>
      <c r="N134" s="14">
        <f t="shared" si="17"/>
        <v>101</v>
      </c>
      <c r="O134" s="45"/>
      <c r="P134" s="31"/>
      <c r="Q134" s="46"/>
      <c r="Z134" s="10"/>
    </row>
    <row r="135" spans="1:26" x14ac:dyDescent="0.35">
      <c r="A135" s="14">
        <f t="shared" si="16"/>
        <v>103</v>
      </c>
      <c r="B135" s="45">
        <f t="shared" si="18"/>
        <v>8.5833333333333321</v>
      </c>
      <c r="C135" s="31">
        <f t="shared" si="19"/>
        <v>0.24275466194972969</v>
      </c>
      <c r="D135" s="46">
        <f t="shared" si="15"/>
        <v>0.15969553070601064</v>
      </c>
      <c r="E135" s="31"/>
      <c r="N135" s="14">
        <f t="shared" si="17"/>
        <v>102</v>
      </c>
      <c r="O135" s="45"/>
      <c r="P135" s="31"/>
      <c r="Q135" s="46"/>
      <c r="Z135" s="10"/>
    </row>
    <row r="136" spans="1:26" x14ac:dyDescent="0.35">
      <c r="A136" s="14">
        <f t="shared" si="16"/>
        <v>104</v>
      </c>
      <c r="B136" s="45">
        <f t="shared" si="18"/>
        <v>8.6666666666666661</v>
      </c>
      <c r="C136" s="31">
        <f t="shared" si="19"/>
        <v>0.23789899999570618</v>
      </c>
      <c r="D136" s="46">
        <f t="shared" si="15"/>
        <v>0.15586622765899669</v>
      </c>
      <c r="E136" s="31"/>
      <c r="N136" s="14">
        <f t="shared" si="17"/>
        <v>103</v>
      </c>
      <c r="O136" s="45"/>
      <c r="P136" s="31"/>
      <c r="Q136" s="46"/>
      <c r="Z136" s="10"/>
    </row>
    <row r="137" spans="1:26" x14ac:dyDescent="0.35">
      <c r="A137" s="14">
        <f t="shared" si="16"/>
        <v>105</v>
      </c>
      <c r="B137" s="45">
        <f t="shared" si="18"/>
        <v>8.75</v>
      </c>
      <c r="C137" s="31">
        <f t="shared" si="19"/>
        <v>0.23310290249009974</v>
      </c>
      <c r="D137" s="46">
        <f t="shared" si="15"/>
        <v>0.15210423785575977</v>
      </c>
      <c r="E137" s="31"/>
      <c r="N137" s="14">
        <f t="shared" si="17"/>
        <v>104</v>
      </c>
      <c r="O137" s="45"/>
      <c r="P137" s="31"/>
      <c r="Q137" s="46"/>
      <c r="Z137" s="10"/>
    </row>
    <row r="138" spans="1:26" x14ac:dyDescent="0.35">
      <c r="A138" s="14">
        <f t="shared" si="16"/>
        <v>106</v>
      </c>
      <c r="B138" s="45">
        <f t="shared" si="18"/>
        <v>8.8333333333333321</v>
      </c>
      <c r="C138" s="31">
        <f t="shared" si="19"/>
        <v>0.22836640497565269</v>
      </c>
      <c r="D138" s="46">
        <f t="shared" si="15"/>
        <v>0.14840894347459826</v>
      </c>
      <c r="E138" s="31"/>
      <c r="N138" s="14">
        <f t="shared" si="17"/>
        <v>105</v>
      </c>
      <c r="O138" s="45"/>
      <c r="P138" s="31"/>
      <c r="Q138" s="46"/>
      <c r="Z138" s="10"/>
    </row>
    <row r="139" spans="1:26" x14ac:dyDescent="0.35">
      <c r="A139" s="14">
        <f t="shared" si="16"/>
        <v>107</v>
      </c>
      <c r="B139" s="45">
        <f t="shared" si="18"/>
        <v>8.9166666666666661</v>
      </c>
      <c r="C139" s="31">
        <f t="shared" si="19"/>
        <v>0.22368952942581807</v>
      </c>
      <c r="D139" s="46">
        <f t="shared" si="15"/>
        <v>0.14477972226923982</v>
      </c>
      <c r="E139" s="31"/>
      <c r="N139" s="14">
        <f t="shared" si="17"/>
        <v>106</v>
      </c>
      <c r="O139" s="45"/>
      <c r="P139" s="31"/>
      <c r="Q139" s="46"/>
      <c r="Z139" s="10"/>
    </row>
    <row r="140" spans="1:26" x14ac:dyDescent="0.35">
      <c r="A140" s="14">
        <f t="shared" si="16"/>
        <v>108</v>
      </c>
      <c r="B140" s="45">
        <f t="shared" si="18"/>
        <v>9</v>
      </c>
      <c r="C140" s="31">
        <f t="shared" si="19"/>
        <v>0.21907228422209551</v>
      </c>
      <c r="D140" s="46">
        <f t="shared" si="15"/>
        <v>0.14121594770576221</v>
      </c>
      <c r="E140" s="31"/>
      <c r="N140" s="14">
        <f t="shared" si="17"/>
        <v>107</v>
      </c>
      <c r="O140" s="45"/>
      <c r="P140" s="31"/>
      <c r="Q140" s="46"/>
      <c r="Z140" s="10"/>
    </row>
    <row r="141" spans="1:26" x14ac:dyDescent="0.35">
      <c r="A141" s="14">
        <f t="shared" si="16"/>
        <v>109</v>
      </c>
      <c r="B141" s="45">
        <f t="shared" si="18"/>
        <v>9.0833333333333321</v>
      </c>
      <c r="C141" s="31">
        <f t="shared" si="19"/>
        <v>0.21451466413831347</v>
      </c>
      <c r="D141" s="46">
        <f t="shared" si="15"/>
        <v>0.13771698910230884</v>
      </c>
      <c r="E141" s="31"/>
      <c r="N141" s="14">
        <f t="shared" si="17"/>
        <v>108</v>
      </c>
      <c r="O141" s="45"/>
      <c r="P141" s="31"/>
      <c r="Q141" s="46"/>
      <c r="Z141" s="10"/>
    </row>
    <row r="142" spans="1:26" x14ac:dyDescent="0.35">
      <c r="A142" s="14">
        <f t="shared" si="16"/>
        <v>110</v>
      </c>
      <c r="B142" s="45">
        <f t="shared" si="18"/>
        <v>9.1666666666666661</v>
      </c>
      <c r="C142" s="31">
        <f t="shared" si="19"/>
        <v>0.21001665033193914</v>
      </c>
      <c r="D142" s="46">
        <f t="shared" si="15"/>
        <v>0.13428221177153993</v>
      </c>
      <c r="E142" s="31"/>
      <c r="N142" s="14">
        <f t="shared" si="17"/>
        <v>109</v>
      </c>
      <c r="O142" s="45"/>
      <c r="P142" s="31"/>
      <c r="Q142" s="46"/>
      <c r="Z142" s="10"/>
    </row>
    <row r="143" spans="1:26" x14ac:dyDescent="0.35">
      <c r="A143" s="14">
        <f t="shared" si="16"/>
        <v>111</v>
      </c>
      <c r="B143" s="45">
        <f t="shared" si="18"/>
        <v>9.25</v>
      </c>
      <c r="C143" s="31">
        <f t="shared" si="19"/>
        <v>0.20557821034248899</v>
      </c>
      <c r="D143" s="46">
        <f t="shared" si="15"/>
        <v>0.13091097716575339</v>
      </c>
      <c r="E143" s="31"/>
      <c r="N143" s="14">
        <f t="shared" si="17"/>
        <v>110</v>
      </c>
      <c r="O143" s="45"/>
      <c r="P143" s="31"/>
      <c r="Q143" s="46"/>
      <c r="Z143" s="10"/>
    </row>
    <row r="144" spans="1:26" x14ac:dyDescent="0.35">
      <c r="A144" s="14">
        <f t="shared" si="16"/>
        <v>112</v>
      </c>
      <c r="B144" s="45">
        <f t="shared" si="18"/>
        <v>9.3333333333333321</v>
      </c>
      <c r="C144" s="31">
        <f t="shared" si="19"/>
        <v>0.20119929809710763</v>
      </c>
      <c r="D144" s="46">
        <f t="shared" si="15"/>
        <v>0.12760264302460819</v>
      </c>
      <c r="E144" s="31"/>
      <c r="N144" s="14">
        <f t="shared" si="17"/>
        <v>111</v>
      </c>
      <c r="O144" s="45"/>
      <c r="P144" s="31"/>
      <c r="Q144" s="46"/>
      <c r="Z144" s="10"/>
    </row>
    <row r="145" spans="1:26" x14ac:dyDescent="0.35">
      <c r="A145" s="14">
        <f t="shared" si="16"/>
        <v>113</v>
      </c>
      <c r="B145" s="45">
        <f t="shared" si="18"/>
        <v>9.4166666666666661</v>
      </c>
      <c r="C145" s="31">
        <f t="shared" si="19"/>
        <v>0.19687985392337917</v>
      </c>
      <c r="D145" s="46">
        <f t="shared" si="15"/>
        <v>0.12435656352538001</v>
      </c>
      <c r="E145" s="31"/>
      <c r="N145" s="14">
        <f t="shared" si="17"/>
        <v>112</v>
      </c>
      <c r="O145" s="45"/>
      <c r="P145" s="31"/>
      <c r="Q145" s="46"/>
      <c r="Z145" s="10"/>
    </row>
    <row r="146" spans="1:26" x14ac:dyDescent="0.35">
      <c r="A146" s="14">
        <f t="shared" si="16"/>
        <v>114</v>
      </c>
      <c r="B146" s="45">
        <f t="shared" si="18"/>
        <v>9.5</v>
      </c>
      <c r="C146" s="31">
        <f t="shared" si="19"/>
        <v>0.19261980456942901</v>
      </c>
      <c r="D146" s="46">
        <f t="shared" si="15"/>
        <v>0.12117208943567696</v>
      </c>
      <c r="E146" s="31"/>
      <c r="N146" s="14">
        <f t="shared" si="17"/>
        <v>113</v>
      </c>
      <c r="O146" s="45"/>
      <c r="P146" s="31"/>
      <c r="Q146" s="46"/>
      <c r="Z146" s="10"/>
    </row>
    <row r="147" spans="1:26" x14ac:dyDescent="0.35">
      <c r="A147" s="14">
        <f t="shared" si="16"/>
        <v>115</v>
      </c>
      <c r="B147" s="45">
        <f t="shared" si="18"/>
        <v>9.5833333333333321</v>
      </c>
      <c r="C147" s="31">
        <f t="shared" si="19"/>
        <v>0.18841906323136681</v>
      </c>
      <c r="D147" s="46">
        <f t="shared" si="15"/>
        <v>0.11804856826853818</v>
      </c>
      <c r="E147" s="31"/>
      <c r="N147" s="14">
        <f t="shared" si="17"/>
        <v>114</v>
      </c>
      <c r="O147" s="45"/>
      <c r="P147" s="31"/>
      <c r="Q147" s="46"/>
      <c r="Z147" s="10"/>
    </row>
    <row r="148" spans="1:26" x14ac:dyDescent="0.35">
      <c r="A148" s="14">
        <f t="shared" si="16"/>
        <v>116</v>
      </c>
      <c r="B148" s="45">
        <f t="shared" si="18"/>
        <v>9.6666666666666661</v>
      </c>
      <c r="C148" s="31">
        <f t="shared" si="19"/>
        <v>0.18427752958811783</v>
      </c>
      <c r="D148" s="46">
        <f t="shared" si="15"/>
        <v>0.11498534443983724</v>
      </c>
      <c r="E148" s="31"/>
      <c r="N148" s="14">
        <f t="shared" si="17"/>
        <v>115</v>
      </c>
      <c r="O148" s="45"/>
      <c r="P148" s="31"/>
      <c r="Q148" s="46"/>
      <c r="Z148" s="10"/>
    </row>
    <row r="149" spans="1:26" x14ac:dyDescent="0.35">
      <c r="A149" s="14">
        <f t="shared" si="16"/>
        <v>117</v>
      </c>
      <c r="B149" s="45">
        <f t="shared" si="18"/>
        <v>9.75</v>
      </c>
      <c r="C149" s="31">
        <f t="shared" si="19"/>
        <v>0.18019508984368113</v>
      </c>
      <c r="D149" s="46">
        <f t="shared" si="15"/>
        <v>0.11198175942790864</v>
      </c>
      <c r="E149" s="31"/>
      <c r="N149" s="14">
        <f t="shared" si="17"/>
        <v>116</v>
      </c>
      <c r="O149" s="45"/>
      <c r="P149" s="31"/>
      <c r="Q149" s="46"/>
      <c r="Z149" s="10"/>
    </row>
    <row r="150" spans="1:26" x14ac:dyDescent="0.35">
      <c r="A150" s="14">
        <f t="shared" si="16"/>
        <v>118</v>
      </c>
      <c r="B150" s="45">
        <f t="shared" si="18"/>
        <v>9.8333333333333321</v>
      </c>
      <c r="C150" s="31">
        <f t="shared" si="19"/>
        <v>0.17617161677684995</v>
      </c>
      <c r="D150" s="46">
        <f t="shared" si="15"/>
        <v>0.10903715193531333</v>
      </c>
      <c r="E150" s="31"/>
      <c r="N150" s="14">
        <f t="shared" si="17"/>
        <v>117</v>
      </c>
      <c r="O150" s="45"/>
      <c r="P150" s="31"/>
      <c r="Q150" s="46"/>
      <c r="Z150" s="10"/>
    </row>
    <row r="151" spans="1:26" x14ac:dyDescent="0.35">
      <c r="A151" s="14">
        <f t="shared" si="16"/>
        <v>119</v>
      </c>
      <c r="B151" s="45">
        <f t="shared" si="18"/>
        <v>9.9166666666666661</v>
      </c>
      <c r="C151" s="31">
        <f t="shared" si="19"/>
        <v>0.17220696979842001</v>
      </c>
      <c r="D151" s="46">
        <f t="shared" si="15"/>
        <v>0.10615085805265563</v>
      </c>
      <c r="E151" s="31"/>
      <c r="N151" s="14">
        <f t="shared" si="17"/>
        <v>118</v>
      </c>
      <c r="O151" s="45"/>
      <c r="P151" s="31"/>
      <c r="Q151" s="46"/>
      <c r="Z151" s="10"/>
    </row>
    <row r="152" spans="1:26" ht="13.15" thickBot="1" x14ac:dyDescent="0.4">
      <c r="A152" s="15">
        <f t="shared" si="16"/>
        <v>120</v>
      </c>
      <c r="B152" s="47">
        <f t="shared" si="18"/>
        <v>10</v>
      </c>
      <c r="C152" s="31">
        <f t="shared" si="19"/>
        <v>0.16830099501590773</v>
      </c>
      <c r="D152" s="46">
        <f t="shared" si="15"/>
        <v>0.103322211424363</v>
      </c>
      <c r="E152" s="31"/>
      <c r="N152" s="14">
        <f t="shared" si="17"/>
        <v>119</v>
      </c>
      <c r="O152" s="45"/>
      <c r="P152" s="31"/>
      <c r="Q152" s="46"/>
      <c r="Z152" s="10"/>
    </row>
    <row r="153" spans="1:26" ht="13.15" thickBot="1" x14ac:dyDescent="0.4">
      <c r="A153" s="63"/>
      <c r="B153" s="48"/>
      <c r="C153" s="48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5">
        <f t="shared" si="17"/>
        <v>120</v>
      </c>
      <c r="O153" s="47"/>
      <c r="P153" s="48"/>
      <c r="Q153" s="49"/>
      <c r="R153" s="16"/>
      <c r="S153" s="16"/>
      <c r="T153" s="16"/>
      <c r="U153" s="16"/>
      <c r="V153" s="16"/>
      <c r="W153" s="16"/>
      <c r="X153" s="16"/>
      <c r="Y153" s="16"/>
      <c r="Z153" s="17"/>
    </row>
  </sheetData>
  <phoneticPr fontId="2" type="noConversion"/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3bcb35-9aa9-4dbf-a1c9-a4059b99366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7327CF3CEC9145AC6F5B07EBB94F60" ma:contentTypeVersion="18" ma:contentTypeDescription="Create a new document." ma:contentTypeScope="" ma:versionID="a9dcb6b4534a9103a83e0bfde106f38f">
  <xsd:schema xmlns:xsd="http://www.w3.org/2001/XMLSchema" xmlns:xs="http://www.w3.org/2001/XMLSchema" xmlns:p="http://schemas.microsoft.com/office/2006/metadata/properties" xmlns:ns3="ac3bcb35-9aa9-4dbf-a1c9-a4059b99366b" xmlns:ns4="3c0e9b9a-dc5c-494c-bbac-09f077bb5a57" targetNamespace="http://schemas.microsoft.com/office/2006/metadata/properties" ma:root="true" ma:fieldsID="47a5799ec9c8dff36114ba72e22d6d9b" ns3:_="" ns4:_="">
    <xsd:import namespace="ac3bcb35-9aa9-4dbf-a1c9-a4059b99366b"/>
    <xsd:import namespace="3c0e9b9a-dc5c-494c-bbac-09f077bb5a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3bcb35-9aa9-4dbf-a1c9-a4059b9936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e9b9a-dc5c-494c-bbac-09f077bb5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98C6D9-D026-42F3-8832-10C1082D8695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ac3bcb35-9aa9-4dbf-a1c9-a4059b99366b"/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3c0e9b9a-dc5c-494c-bbac-09f077bb5a57"/>
  </ds:schemaRefs>
</ds:datastoreItem>
</file>

<file path=customXml/itemProps2.xml><?xml version="1.0" encoding="utf-8"?>
<ds:datastoreItem xmlns:ds="http://schemas.openxmlformats.org/officeDocument/2006/customXml" ds:itemID="{8B81E391-A63C-4FDA-8CB7-1F9EECAC9A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3bcb35-9aa9-4dbf-a1c9-a4059b99366b"/>
    <ds:schemaRef ds:uri="3c0e9b9a-dc5c-494c-bbac-09f077bb5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00B05D-F75D-4486-9457-0E56C2D1F3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17</vt:i4>
      </vt:variant>
    </vt:vector>
  </HeadingPairs>
  <TitlesOfParts>
    <vt:vector size="20" baseType="lpstr">
      <vt:lpstr>Instructions</vt:lpstr>
      <vt:lpstr>Colour key</vt:lpstr>
      <vt:lpstr>Question 1</vt:lpstr>
      <vt:lpstr>CompoundBonus</vt:lpstr>
      <vt:lpstr>expenses_assum</vt:lpstr>
      <vt:lpstr>expenses_exp</vt:lpstr>
      <vt:lpstr>gompertz_B_assum</vt:lpstr>
      <vt:lpstr>gompertz_B_exp</vt:lpstr>
      <vt:lpstr>gompertz_c_assum</vt:lpstr>
      <vt:lpstr>gompertz_c_exp</vt:lpstr>
      <vt:lpstr>gompertz_g_assum</vt:lpstr>
      <vt:lpstr>gompertz_g_exp</vt:lpstr>
      <vt:lpstr>InitialSA</vt:lpstr>
      <vt:lpstr>interest_assum</vt:lpstr>
      <vt:lpstr>interest_exp</vt:lpstr>
      <vt:lpstr>intial_age</vt:lpstr>
      <vt:lpstr>'Question 1'!Print_Area</vt:lpstr>
      <vt:lpstr>StepSize</vt:lpstr>
      <vt:lpstr>Term</vt:lpstr>
      <vt:lpstr>YearlySteps</vt:lpstr>
    </vt:vector>
  </TitlesOfParts>
  <Company>Heriot-Watt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hrw</dc:creator>
  <cp:lastModifiedBy>Marcus Gwee Wen Hong</cp:lastModifiedBy>
  <cp:lastPrinted>2013-08-19T12:57:29Z</cp:lastPrinted>
  <dcterms:created xsi:type="dcterms:W3CDTF">2007-11-06T17:34:16Z</dcterms:created>
  <dcterms:modified xsi:type="dcterms:W3CDTF">2026-03-04T07:20:03Z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0x0101001D7327CF3CEC9145AC6F5B07EBB94F60</vt:lpwstr>
  </property>
</Properties>
</file>