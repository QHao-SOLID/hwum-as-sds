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55bcf56a11f402f5/Desktop/02_Courses/01_Life Insurance B/02_Lab/"/>
    </mc:Choice>
  </mc:AlternateContent>
  <xr:revisionPtr revIDLastSave="78" documentId="13_ncr:9_{E55FCB25-4C5C-4C46-AAD0-F421AE5D2633}" xr6:coauthVersionLast="47" xr6:coauthVersionMax="47" xr10:uidLastSave="{61EA9C77-7807-449A-86F3-FF3CACF8AE02}"/>
  <bookViews>
    <workbookView xWindow="-98" yWindow="-98" windowWidth="21795" windowHeight="12975" activeTab="5" xr2:uid="{EA3F17D4-576C-440B-94FF-07A937A0260F}"/>
  </bookViews>
  <sheets>
    <sheet name="Instructions" sheetId="11" r:id="rId1"/>
    <sheet name="Colour keys" sheetId="10" r:id="rId2"/>
    <sheet name="1. Rounding" sheetId="8" r:id="rId3"/>
    <sheet name="2. Names" sheetId="7" r:id="rId4"/>
    <sheet name="3. Loan" sheetId="1" r:id="rId5"/>
    <sheet name="4. Amendment" sheetId="9" r:id="rId6"/>
  </sheets>
  <definedNames>
    <definedName name="carloan">'2. Names'!$B$6</definedName>
    <definedName name="InitialRepayAmt">'4. Amendment'!$C$9</definedName>
    <definedName name="InterestRate" localSheetId="5">'4. Amendment'!$C$6</definedName>
    <definedName name="InterestRate">'3. Loan'!$C$6</definedName>
    <definedName name="InterestRateNew">'4. Amendment'!$C$11</definedName>
    <definedName name="LoanAmt" localSheetId="5">'4. Amendment'!$C$7</definedName>
    <definedName name="LoanAmt">'3. Loan'!$C$7</definedName>
    <definedName name="LoanTerm" localSheetId="5">'4. Amendment'!$C$8</definedName>
    <definedName name="LoanTerm">'3. Loan'!$C$8</definedName>
    <definedName name="NewRateTime">'4. Amendment'!$C$10</definedName>
    <definedName name="NewrRepayAmt">'4. Amendment'!$C$12</definedName>
    <definedName name="RegRepayAmt">'3. Loan'!$C$9</definedName>
    <definedName name="RepayAmt" localSheetId="5">'4. Amendment'!$C$9</definedName>
    <definedName name="RepayAmt">'3. Loan'!$C$9</definedName>
    <definedName name="RepayAmtNew">'4. Amendment'!$C$13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6" i="9" l="1"/>
  <c r="G23" i="9"/>
  <c r="G24" i="9"/>
  <c r="G25" i="9"/>
  <c r="G26" i="9"/>
  <c r="G27" i="9"/>
  <c r="G28" i="9"/>
  <c r="G29" i="9"/>
  <c r="G30" i="9"/>
  <c r="G31" i="9"/>
  <c r="G32" i="9"/>
  <c r="G33" i="9"/>
  <c r="G34" i="9"/>
  <c r="G35" i="9"/>
  <c r="G36" i="9"/>
  <c r="G37" i="9"/>
  <c r="G38" i="9"/>
  <c r="G39" i="9"/>
  <c r="G40" i="9"/>
  <c r="G41" i="9"/>
  <c r="G42" i="9"/>
  <c r="G43" i="9"/>
  <c r="G44" i="9"/>
  <c r="G45" i="9"/>
  <c r="G22" i="9"/>
  <c r="C23" i="9"/>
  <c r="C24" i="9"/>
  <c r="C25" i="9"/>
  <c r="C26" i="9"/>
  <c r="C27" i="9"/>
  <c r="C28" i="9"/>
  <c r="C29" i="9"/>
  <c r="C30" i="9"/>
  <c r="C31" i="9"/>
  <c r="C32" i="9"/>
  <c r="C33" i="9"/>
  <c r="C34" i="9"/>
  <c r="C35" i="9"/>
  <c r="C36" i="9"/>
  <c r="C37" i="9"/>
  <c r="C38" i="9"/>
  <c r="C39" i="9"/>
  <c r="C40" i="9"/>
  <c r="C41" i="9"/>
  <c r="C42" i="9"/>
  <c r="C43" i="9"/>
  <c r="C44" i="9"/>
  <c r="C45" i="9"/>
  <c r="C46" i="9"/>
  <c r="C22" i="9"/>
  <c r="D23" i="9"/>
  <c r="D24" i="9"/>
  <c r="D25" i="9"/>
  <c r="D26" i="9"/>
  <c r="D27" i="9"/>
  <c r="D28" i="9"/>
  <c r="D29" i="9"/>
  <c r="D30" i="9"/>
  <c r="D31" i="9"/>
  <c r="D32" i="9"/>
  <c r="D33" i="9"/>
  <c r="D34" i="9"/>
  <c r="D35" i="9"/>
  <c r="D36" i="9"/>
  <c r="D37" i="9"/>
  <c r="D38" i="9"/>
  <c r="D39" i="9"/>
  <c r="D40" i="9"/>
  <c r="D41" i="9"/>
  <c r="D42" i="9"/>
  <c r="D43" i="9"/>
  <c r="D44" i="9"/>
  <c r="D45" i="9"/>
  <c r="D46" i="9"/>
  <c r="H22" i="9"/>
  <c r="F22" i="9"/>
  <c r="E22" i="9"/>
  <c r="D22" i="9"/>
  <c r="E45" i="1"/>
  <c r="E22" i="1"/>
  <c r="E23" i="1"/>
  <c r="E24" i="1"/>
  <c r="E25" i="1"/>
  <c r="E26" i="1"/>
  <c r="E27" i="1"/>
  <c r="E28" i="1"/>
  <c r="E29" i="1"/>
  <c r="E30" i="1" s="1"/>
  <c r="E31" i="1" s="1"/>
  <c r="E32" i="1" s="1"/>
  <c r="E33" i="1" s="1"/>
  <c r="E34" i="1" s="1"/>
  <c r="E35" i="1" s="1"/>
  <c r="E36" i="1" s="1"/>
  <c r="E37" i="1" s="1"/>
  <c r="E38" i="1" s="1"/>
  <c r="E39" i="1" s="1"/>
  <c r="E40" i="1" s="1"/>
  <c r="E41" i="1" s="1"/>
  <c r="E42" i="1" s="1"/>
  <c r="E43" i="1" s="1"/>
  <c r="E44" i="1" s="1"/>
  <c r="E21" i="1"/>
  <c r="C21" i="1"/>
  <c r="C22" i="1"/>
  <c r="C23" i="1"/>
  <c r="C24" i="1"/>
  <c r="C25" i="1"/>
  <c r="C26" i="1"/>
  <c r="C27" i="1"/>
  <c r="C28" i="1"/>
  <c r="C29" i="1"/>
  <c r="C30" i="1"/>
  <c r="C31" i="1"/>
  <c r="C32" i="1"/>
  <c r="C33" i="1"/>
  <c r="C34" i="1"/>
  <c r="C35" i="1"/>
  <c r="C36" i="1"/>
  <c r="C37" i="1"/>
  <c r="C38" i="1"/>
  <c r="C39" i="1"/>
  <c r="C40" i="1"/>
  <c r="C41" i="1"/>
  <c r="C42" i="1"/>
  <c r="C43" i="1"/>
  <c r="C44" i="1"/>
  <c r="C45" i="1"/>
  <c r="C20" i="1"/>
  <c r="D21" i="1"/>
  <c r="D20" i="1"/>
  <c r="E20" i="1"/>
  <c r="D14" i="7"/>
  <c r="E14" i="7"/>
  <c r="C14" i="7"/>
  <c r="B22" i="9"/>
  <c r="B23" i="9" s="1"/>
  <c r="J21" i="9"/>
  <c r="G21" i="1" l="1"/>
  <c r="B24" i="9"/>
  <c r="B25" i="9" l="1"/>
  <c r="B26" i="9" l="1"/>
  <c r="H20" i="1"/>
  <c r="E13" i="7"/>
  <c r="D13" i="7"/>
  <c r="C13" i="7"/>
  <c r="E7" i="8"/>
  <c r="E8" i="8"/>
  <c r="E6" i="8"/>
  <c r="B8" i="8"/>
  <c r="B7" i="8"/>
  <c r="B6" i="8"/>
  <c r="B21" i="1"/>
  <c r="I22" i="9" l="1"/>
  <c r="B27" i="9"/>
  <c r="B22" i="1"/>
  <c r="J22" i="9" l="1"/>
  <c r="B28" i="9"/>
  <c r="B23" i="1"/>
  <c r="E23" i="9" l="1"/>
  <c r="H23" i="9" s="1"/>
  <c r="I23" i="9" s="1"/>
  <c r="J23" i="9" s="1"/>
  <c r="F23" i="9"/>
  <c r="B29" i="9"/>
  <c r="B24" i="1"/>
  <c r="E24" i="9" l="1"/>
  <c r="H24" i="9" s="1"/>
  <c r="I24" i="9" s="1"/>
  <c r="J24" i="9" s="1"/>
  <c r="F24" i="9"/>
  <c r="B30" i="9"/>
  <c r="B25" i="1"/>
  <c r="E25" i="9" l="1"/>
  <c r="H25" i="9" s="1"/>
  <c r="I25" i="9" s="1"/>
  <c r="J25" i="9" s="1"/>
  <c r="F25" i="9"/>
  <c r="B31" i="9"/>
  <c r="B26" i="1"/>
  <c r="F26" i="9" l="1"/>
  <c r="E26" i="9"/>
  <c r="H26" i="9" s="1"/>
  <c r="I26" i="9" s="1"/>
  <c r="J26" i="9" s="1"/>
  <c r="B32" i="9"/>
  <c r="B27" i="1"/>
  <c r="F27" i="9" l="1"/>
  <c r="E27" i="9"/>
  <c r="H27" i="9" s="1"/>
  <c r="I27" i="9" s="1"/>
  <c r="J27" i="9" s="1"/>
  <c r="B33" i="9"/>
  <c r="B28" i="1"/>
  <c r="E28" i="9" l="1"/>
  <c r="H28" i="9" s="1"/>
  <c r="I28" i="9" s="1"/>
  <c r="J28" i="9" s="1"/>
  <c r="F28" i="9"/>
  <c r="B34" i="9"/>
  <c r="B29" i="1"/>
  <c r="E29" i="9" l="1"/>
  <c r="H29" i="9" s="1"/>
  <c r="I29" i="9" s="1"/>
  <c r="J29" i="9" s="1"/>
  <c r="F29" i="9"/>
  <c r="B35" i="9"/>
  <c r="B30" i="1"/>
  <c r="E30" i="9" l="1"/>
  <c r="H30" i="9" s="1"/>
  <c r="I30" i="9" s="1"/>
  <c r="J30" i="9" s="1"/>
  <c r="F30" i="9"/>
  <c r="B36" i="9"/>
  <c r="B31" i="1"/>
  <c r="E31" i="9" l="1"/>
  <c r="H31" i="9" s="1"/>
  <c r="I31" i="9" s="1"/>
  <c r="F31" i="9"/>
  <c r="B37" i="9"/>
  <c r="B32" i="1"/>
  <c r="B38" i="9" l="1"/>
  <c r="B33" i="1"/>
  <c r="B39" i="9" l="1"/>
  <c r="B34" i="1"/>
  <c r="B40" i="9" l="1"/>
  <c r="B35" i="1"/>
  <c r="B41" i="9" l="1"/>
  <c r="B36" i="1"/>
  <c r="B42" i="9" l="1"/>
  <c r="B37" i="1"/>
  <c r="B43" i="9" l="1"/>
  <c r="B38" i="1"/>
  <c r="B44" i="9" l="1"/>
  <c r="B39" i="1"/>
  <c r="B45" i="9" l="1"/>
  <c r="B40" i="1"/>
  <c r="B46" i="9" l="1"/>
  <c r="B41" i="1"/>
  <c r="B42" i="1" l="1"/>
  <c r="B43" i="1" l="1"/>
  <c r="B44" i="1" l="1"/>
  <c r="B45" i="1" l="1"/>
  <c r="J31" i="9" l="1"/>
  <c r="E32" i="9" l="1"/>
  <c r="H32" i="9" s="1"/>
  <c r="I32" i="9" s="1"/>
  <c r="J32" i="9" s="1"/>
  <c r="F32" i="9"/>
  <c r="E33" i="9" l="1"/>
  <c r="H33" i="9" s="1"/>
  <c r="I33" i="9" s="1"/>
  <c r="J33" i="9" s="1"/>
  <c r="F33" i="9"/>
  <c r="F34" i="9" l="1"/>
  <c r="E34" i="9"/>
  <c r="H34" i="9" s="1"/>
  <c r="I34" i="9" s="1"/>
  <c r="J34" i="9" s="1"/>
  <c r="F35" i="9" l="1"/>
  <c r="E35" i="9"/>
  <c r="H35" i="9" s="1"/>
  <c r="I35" i="9" s="1"/>
  <c r="J35" i="9" s="1"/>
  <c r="E36" i="9" l="1"/>
  <c r="H36" i="9" s="1"/>
  <c r="I36" i="9" s="1"/>
  <c r="J36" i="9" s="1"/>
  <c r="F36" i="9"/>
  <c r="E37" i="9" l="1"/>
  <c r="H37" i="9" s="1"/>
  <c r="I37" i="9" s="1"/>
  <c r="J37" i="9" s="1"/>
  <c r="F37" i="9"/>
  <c r="E38" i="9" l="1"/>
  <c r="H38" i="9" s="1"/>
  <c r="I38" i="9" s="1"/>
  <c r="J38" i="9" s="1"/>
  <c r="F38" i="9"/>
  <c r="E39" i="9" l="1"/>
  <c r="H39" i="9" s="1"/>
  <c r="I39" i="9" s="1"/>
  <c r="J39" i="9" s="1"/>
  <c r="F39" i="9"/>
  <c r="E40" i="9" l="1"/>
  <c r="H40" i="9" s="1"/>
  <c r="I40" i="9" s="1"/>
  <c r="J40" i="9" s="1"/>
  <c r="F40" i="9"/>
  <c r="E41" i="9" l="1"/>
  <c r="H41" i="9" s="1"/>
  <c r="I41" i="9" s="1"/>
  <c r="J41" i="9" s="1"/>
  <c r="F41" i="9"/>
  <c r="F42" i="9" l="1"/>
  <c r="E42" i="9"/>
  <c r="H42" i="9" s="1"/>
  <c r="I42" i="9" s="1"/>
  <c r="J42" i="9" s="1"/>
  <c r="E43" i="9" l="1"/>
  <c r="H43" i="9" s="1"/>
  <c r="I43" i="9" s="1"/>
  <c r="J43" i="9" s="1"/>
  <c r="F43" i="9"/>
  <c r="E44" i="9" l="1"/>
  <c r="H44" i="9" s="1"/>
  <c r="I44" i="9" s="1"/>
  <c r="J44" i="9" s="1"/>
  <c r="F44" i="9"/>
  <c r="E45" i="9" l="1"/>
  <c r="H45" i="9" s="1"/>
  <c r="I45" i="9" s="1"/>
  <c r="J45" i="9" s="1"/>
  <c r="F45" i="9"/>
  <c r="E46" i="9" l="1"/>
  <c r="H46" i="9" s="1"/>
  <c r="I46" i="9" s="1"/>
  <c r="J46" i="9" s="1"/>
  <c r="F46" i="9"/>
  <c r="F21" i="1"/>
  <c r="H21" i="1"/>
  <c r="D22" i="1" s="1"/>
  <c r="F22" i="1" s="1"/>
  <c r="G22" i="1" s="1"/>
  <c r="H22" i="1" l="1"/>
  <c r="D23" i="1" l="1"/>
  <c r="F23" i="1" s="1"/>
  <c r="G23" i="1" s="1"/>
  <c r="H23" i="1" s="1"/>
  <c r="D24" i="1" l="1"/>
  <c r="F24" i="1" s="1"/>
  <c r="G24" i="1" s="1"/>
  <c r="H24" i="1" s="1"/>
  <c r="D25" i="1" l="1"/>
  <c r="F25" i="1" s="1"/>
  <c r="G25" i="1" s="1"/>
  <c r="H25" i="1" s="1"/>
  <c r="D26" i="1" l="1"/>
  <c r="F26" i="1" s="1"/>
  <c r="G26" i="1" s="1"/>
  <c r="H26" i="1" s="1"/>
  <c r="D27" i="1" s="1"/>
  <c r="F27" i="1" s="1"/>
  <c r="G27" i="1" s="1"/>
  <c r="H27" i="1" s="1"/>
  <c r="D28" i="1" s="1"/>
  <c r="F28" i="1" s="1"/>
  <c r="G28" i="1" s="1"/>
  <c r="H28" i="1" s="1"/>
  <c r="D29" i="1" s="1"/>
  <c r="F29" i="1" s="1"/>
  <c r="G29" i="1" s="1"/>
  <c r="H29" i="1" s="1"/>
  <c r="D30" i="1" s="1"/>
  <c r="F30" i="1" s="1"/>
  <c r="G30" i="1" s="1"/>
  <c r="H30" i="1" s="1"/>
  <c r="D31" i="1" s="1"/>
  <c r="F31" i="1" s="1"/>
  <c r="G31" i="1" s="1"/>
  <c r="H31" i="1" s="1"/>
  <c r="D32" i="1" l="1"/>
  <c r="F32" i="1" s="1"/>
  <c r="G32" i="1" s="1"/>
  <c r="H32" i="1" s="1"/>
  <c r="D33" i="1" l="1"/>
  <c r="F33" i="1" s="1"/>
  <c r="G33" i="1" s="1"/>
  <c r="H33" i="1" s="1"/>
  <c r="D34" i="1" l="1"/>
  <c r="F34" i="1" s="1"/>
  <c r="G34" i="1" s="1"/>
  <c r="H34" i="1" s="1"/>
  <c r="D35" i="1" l="1"/>
  <c r="F35" i="1" s="1"/>
  <c r="G35" i="1" s="1"/>
  <c r="H35" i="1" s="1"/>
  <c r="D36" i="1" l="1"/>
  <c r="F36" i="1" s="1"/>
  <c r="G36" i="1" s="1"/>
  <c r="H36" i="1" s="1"/>
  <c r="D37" i="1" l="1"/>
  <c r="F37" i="1" s="1"/>
  <c r="G37" i="1" s="1"/>
  <c r="H37" i="1" s="1"/>
  <c r="D38" i="1" l="1"/>
  <c r="F38" i="1" s="1"/>
  <c r="G38" i="1" s="1"/>
  <c r="H38" i="1" s="1"/>
  <c r="D39" i="1" l="1"/>
  <c r="F39" i="1" s="1"/>
  <c r="G39" i="1" s="1"/>
  <c r="H39" i="1" s="1"/>
  <c r="D40" i="1" l="1"/>
  <c r="F40" i="1" s="1"/>
  <c r="G40" i="1" s="1"/>
  <c r="H40" i="1" s="1"/>
  <c r="D41" i="1" l="1"/>
  <c r="F41" i="1" s="1"/>
  <c r="G41" i="1" s="1"/>
  <c r="H41" i="1" s="1"/>
  <c r="D42" i="1" l="1"/>
  <c r="F42" i="1" s="1"/>
  <c r="G42" i="1" s="1"/>
  <c r="H42" i="1" s="1"/>
  <c r="D43" i="1" l="1"/>
  <c r="F43" i="1" s="1"/>
  <c r="G43" i="1" s="1"/>
  <c r="H43" i="1" s="1"/>
  <c r="D44" i="1" l="1"/>
  <c r="F44" i="1" s="1"/>
  <c r="G44" i="1" s="1"/>
  <c r="H44" i="1" s="1"/>
  <c r="D45" i="1" l="1"/>
  <c r="F45" i="1" s="1"/>
  <c r="G45" i="1" s="1"/>
  <c r="H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6" authorId="0" shapeId="0" xr:uid="{FBDA5DC8-F8E5-47A8-BEA4-0405A282DF1F}">
      <text>
        <r>
          <rPr>
            <b/>
            <sz val="9"/>
            <color indexed="81"/>
            <rFont val="Tahoma"/>
            <family val="2"/>
          </rPr>
          <t>Author:</t>
        </r>
        <r>
          <rPr>
            <sz val="9"/>
            <color indexed="81"/>
            <rFont val="Tahoma"/>
            <family val="2"/>
          </rPr>
          <t xml:space="preserve">
Discontinuous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Catherine Donnelly</author>
  </authors>
  <commentList>
    <comment ref="C53" authorId="0" shapeId="0" xr:uid="{D653D32F-FB94-4D04-AC62-25A85C817FB2}">
      <text>
        <r>
          <rPr>
            <b/>
            <sz val="9"/>
            <color indexed="81"/>
            <rFont val="Tahoma"/>
            <family val="2"/>
          </rPr>
          <t>Catherine Donnelly:</t>
        </r>
        <r>
          <rPr>
            <sz val="9"/>
            <color indexed="81"/>
            <rFont val="Tahoma"/>
            <family val="2"/>
          </rPr>
          <t xml:space="preserve">
Subtracted £0.21 from last repayment so that capital outstanding is zero after the last repayment is made.</t>
        </r>
      </text>
    </comment>
    <comment ref="J88" authorId="0" shapeId="0" xr:uid="{EFC3F14B-C2D8-4642-B12C-B0E7213C24B9}">
      <text>
        <r>
          <rPr>
            <b/>
            <sz val="9"/>
            <color indexed="81"/>
            <rFont val="Tahoma"/>
            <family val="2"/>
          </rPr>
          <t>Catherine Donnelly:</t>
        </r>
        <r>
          <rPr>
            <sz val="9"/>
            <color indexed="81"/>
            <rFont val="Tahoma"/>
            <family val="2"/>
          </rPr>
          <t xml:space="preserve">
Subtracted £0.33 from last repayment so that capital outstanding is zero after the last repayment is made.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Ian Sharpe</author>
    <author>Author</author>
    <author>Marcus Gwee Wen Hong</author>
  </authors>
  <commentList>
    <comment ref="C9" authorId="0" shapeId="0" xr:uid="{7FFC58CD-4835-42EE-808F-1B36C36085C6}">
      <text>
        <r>
          <rPr>
            <sz val="9"/>
            <color indexed="81"/>
            <rFont val="Tahoma"/>
            <family val="2"/>
          </rPr>
          <t xml:space="preserve">Add a formula here!
</t>
        </r>
      </text>
    </comment>
    <comment ref="H20" authorId="1" shapeId="0" xr:uid="{3932CE40-8414-443F-BA7D-1C4339C3F9D2}">
      <text>
        <r>
          <rPr>
            <b/>
            <sz val="9"/>
            <color indexed="81"/>
            <rFont val="Tahoma"/>
            <family val="2"/>
          </rPr>
          <t>Author:</t>
        </r>
        <r>
          <rPr>
            <sz val="9"/>
            <color indexed="81"/>
            <rFont val="Tahoma"/>
            <family val="2"/>
          </rPr>
          <t xml:space="preserve">
Discontinuous formula</t>
        </r>
      </text>
    </comment>
    <comment ref="E45" authorId="2" shapeId="0" xr:uid="{BB444135-7E47-4519-A2B7-DEDC32280C50}">
      <text>
        <r>
          <rPr>
            <b/>
            <sz val="9"/>
            <color indexed="81"/>
            <rFont val="Tahoma"/>
            <charset val="1"/>
          </rPr>
          <t>Marcus Gwee Wen Hong:</t>
        </r>
        <r>
          <rPr>
            <sz val="9"/>
            <color indexed="81"/>
            <rFont val="Tahoma"/>
            <charset val="1"/>
          </rPr>
          <t xml:space="preserve">
Rounded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Ian Sharpe</author>
    <author>Author</author>
    <author>Marcus Gwee Wen Hong</author>
    <author>Catherine Donnelly</author>
  </authors>
  <commentList>
    <comment ref="C9" authorId="0" shapeId="0" xr:uid="{DAEA86D7-9C9A-452D-902D-B8B57DBBB280}">
      <text>
        <r>
          <rPr>
            <sz val="9"/>
            <color indexed="81"/>
            <rFont val="Tahoma"/>
            <family val="2"/>
          </rPr>
          <t xml:space="preserve">Add a formula here!
</t>
        </r>
      </text>
    </comment>
    <comment ref="J21" authorId="1" shapeId="0" xr:uid="{9177839E-D77E-49F7-A1DC-992750B39398}">
      <text>
        <r>
          <rPr>
            <b/>
            <sz val="9"/>
            <color indexed="81"/>
            <rFont val="Tahoma"/>
            <family val="2"/>
          </rPr>
          <t>Author:</t>
        </r>
        <r>
          <rPr>
            <sz val="9"/>
            <color indexed="81"/>
            <rFont val="Tahoma"/>
            <family val="2"/>
          </rPr>
          <t xml:space="preserve">
Discontinuous formula</t>
        </r>
      </text>
    </comment>
    <comment ref="C22" authorId="1" shapeId="0" xr:uid="{2A00791A-E49F-4A4D-B22E-0A1D77E0B7DE}">
      <text>
        <r>
          <rPr>
            <b/>
            <sz val="9"/>
            <color indexed="81"/>
            <rFont val="Tahoma"/>
            <family val="2"/>
          </rPr>
          <t>Author:</t>
        </r>
        <r>
          <rPr>
            <sz val="9"/>
            <color indexed="81"/>
            <rFont val="Tahoma"/>
            <family val="2"/>
          </rPr>
          <t xml:space="preserve">
Discontinuous formula</t>
        </r>
      </text>
    </comment>
    <comment ref="G46" authorId="2" shapeId="0" xr:uid="{4FB9445B-4DAF-4591-9F65-47C4D13888AA}">
      <text>
        <r>
          <rPr>
            <b/>
            <sz val="9"/>
            <color indexed="81"/>
            <rFont val="Tahoma"/>
            <charset val="1"/>
          </rPr>
          <t>Marcus Gwee Wen Hong:</t>
        </r>
        <r>
          <rPr>
            <sz val="9"/>
            <color indexed="81"/>
            <rFont val="Tahoma"/>
            <charset val="1"/>
          </rPr>
          <t xml:space="preserve">
0.11 balancing</t>
        </r>
      </text>
    </comment>
    <comment ref="M80" authorId="3" shapeId="0" xr:uid="{F6379B77-A362-48E4-9244-FA1D605CBE91}">
      <text>
        <r>
          <rPr>
            <b/>
            <sz val="9"/>
            <color indexed="81"/>
            <rFont val="Tahoma"/>
            <family val="2"/>
          </rPr>
          <t>Catherine Donnelly:</t>
        </r>
        <r>
          <rPr>
            <sz val="9"/>
            <color indexed="81"/>
            <rFont val="Tahoma"/>
            <family val="2"/>
          </rPr>
          <t xml:space="preserve">
Subtracted £0.33 from last repayment so that capital outstanding is zero after the last repayment is made.</t>
        </r>
      </text>
    </comment>
  </commentList>
</comments>
</file>

<file path=xl/sharedStrings.xml><?xml version="1.0" encoding="utf-8"?>
<sst xmlns="http://schemas.openxmlformats.org/spreadsheetml/2006/main" count="165" uniqueCount="111">
  <si>
    <t>Loan term in years</t>
  </si>
  <si>
    <t>Loan amount</t>
  </si>
  <si>
    <t>Repayment</t>
  </si>
  <si>
    <t>Content</t>
  </si>
  <si>
    <t>Outstanding</t>
  </si>
  <si>
    <t>Interest</t>
  </si>
  <si>
    <t>Capital</t>
  </si>
  <si>
    <t>Time</t>
  </si>
  <si>
    <t>Name</t>
  </si>
  <si>
    <t>Value</t>
  </si>
  <si>
    <t>Description</t>
  </si>
  <si>
    <t>Effective rate of interest per annum</t>
  </si>
  <si>
    <t>Annual level repayment</t>
  </si>
  <si>
    <t>(£)</t>
  </si>
  <si>
    <t>New effective rate of interest per annum</t>
  </si>
  <si>
    <t>(years)</t>
  </si>
  <si>
    <t>Excel name</t>
  </si>
  <si>
    <t>Comment</t>
  </si>
  <si>
    <t>Rounded 100/3 to two decimal places</t>
  </si>
  <si>
    <t>Displayed the value of 100/3 to two decimal places</t>
  </si>
  <si>
    <t>Result of the calculation 100/3</t>
  </si>
  <si>
    <t>Result of the calculation 3 times B6.</t>
  </si>
  <si>
    <t>Result of the calculation 3 times B7.</t>
  </si>
  <si>
    <t>Result of the calculation 3 times B8.</t>
  </si>
  <si>
    <t>LoanSchedule - Rounding</t>
  </si>
  <si>
    <t>LoanSchedule - (Excel) names</t>
  </si>
  <si>
    <t>carloan</t>
  </si>
  <si>
    <t>Referring to the value in cell C7: three different ways</t>
  </si>
  <si>
    <t>LoanTerm</t>
  </si>
  <si>
    <t>LoanAmt</t>
  </si>
  <si>
    <t>InterestRate</t>
  </si>
  <si>
    <t>LoanSchedule - Loan</t>
  </si>
  <si>
    <t>InterestRateNew</t>
  </si>
  <si>
    <t>LoanSchedule - Amendment</t>
  </si>
  <si>
    <t>Colour keys</t>
  </si>
  <si>
    <t xml:space="preserve">The colours below are used to make the worksheet more readable and easier to check. </t>
  </si>
  <si>
    <t>Using a colour key like this is considered good practice in the workplace.</t>
  </si>
  <si>
    <t xml:space="preserve">At the start of your career, it is especially important that you produce work that is easy to read, reuse and check. </t>
  </si>
  <si>
    <t xml:space="preserve">Your colleagues will appreciate it! And it is more efficient because it saves time for the more senior people. </t>
  </si>
  <si>
    <t>Not all of this key will be required in simple spreadsheets.</t>
  </si>
  <si>
    <t>Our colour key</t>
  </si>
  <si>
    <t>Parameters/inputs</t>
  </si>
  <si>
    <t>Data/values</t>
  </si>
  <si>
    <t>Calculations and text</t>
  </si>
  <si>
    <t>Discontinuous formulas are highlighted</t>
  </si>
  <si>
    <t>Value looked up from data</t>
  </si>
  <si>
    <t>Instructions</t>
  </si>
  <si>
    <t>(Note: If you would like to view these instructions at the same time as other sheets then you can use View&gt;New Window to create a second window.)</t>
  </si>
  <si>
    <t>https://support.microsoft.com/en-us/office/available-number-formats-   in-excel-0afe8f52-97db-41f1-b972-4b46e9f1e8d2</t>
  </si>
  <si>
    <t>Cells E6 -E8 calculate three times each of these three values. Notice the difference in values between cells E6 -E7 (which both contain value 100) and cell E8 (which contains value 99.99)</t>
  </si>
  <si>
    <t>1) Choose the worksheet Rounding. We often want to round numbers as we are dealing with monetary amounts.</t>
  </si>
  <si>
    <t>Cell B6 contains the result of the calculation 100/3. By default, Excel displays this number to five decimal places. This is also called formatting the cell to five decimal places.</t>
  </si>
  <si>
    <t>Cell B7 shows what happens when 100/3 is formatted to two decimal places. Excel displays 33.33. However, any calculation involving cell B7 will actually use the value 100/3.</t>
  </si>
  <si>
    <t xml:space="preserve">Cell B8 shows what happens when 100/3 is rounded to two decimal places. Excel displays 33.33 and any calculation involving cell B7 will use the value 33.33. </t>
  </si>
  <si>
    <t>More info:</t>
  </si>
  <si>
    <t>Now select Cell C13. It shows one way of referring to the value of cell B6 using the formula</t>
  </si>
  <si>
    <t>What happens when you copy cell C13 down, by clicking on the little square in the bottom right of cell C13 and dragging the 'cross' pointer downwards? You see when you look at cell C14, that it contains the formula</t>
  </si>
  <si>
    <t>i.e. Excel has added one row to the cell reference 'B6'.</t>
  </si>
  <si>
    <t>Now select cell D13. It shows another way of referring to the value of cell B6 using the formula</t>
  </si>
  <si>
    <t>2) Choose the worksheet Names. We often want to refer to cells using names rather than the cell reference. This is because (i) the formula are easier to read; and (ii) avoid cell references changing when formula are copied down and/or across.</t>
  </si>
  <si>
    <t xml:space="preserve">Select cell B6. Cell B6 contains the value 10 000, representing the value of a car loan in £. </t>
  </si>
  <si>
    <t>Notice that the box above the column header 'A' contains the word 'carloan'. You can type directly in this box to either 'name' a cell or change the name.</t>
  </si>
  <si>
    <t>Select cell A6. It contains the word 'carloan'. This is for the Excel user's benefit, so that they can easily see the location of the name on the worksheet.</t>
  </si>
  <si>
    <t>=B6</t>
  </si>
  <si>
    <t>=B7</t>
  </si>
  <si>
    <t>=$B$6</t>
  </si>
  <si>
    <t xml:space="preserve"> </t>
  </si>
  <si>
    <t>What happens when you copy cell D13 down? You see when you look at cell D14, that it contains the formula</t>
  </si>
  <si>
    <t xml:space="preserve">i.e. Excel has not changed the cell reference when copying down. The presence of the dollar signs 'freezes' what it is immediately preceding. </t>
  </si>
  <si>
    <t>Here, both the column reference 'B' and the row reference '6' are frozen - since they each have a dollar sign preceding them - so you can copy cell D13 in all directions and the copied cells all contain '=$B$6'.</t>
  </si>
  <si>
    <t>Using $ signs is called an absolute reference ("absolute" because it stays the same when copied). If you don't use $ signs, then it is a relative reference (because when you copied it, it is relative to cell, i.e. it changes).</t>
  </si>
  <si>
    <t>What happens when you copy cell E13 down? You see when you look at cell E14, that it contains the formula</t>
  </si>
  <si>
    <t>Finally select cell E13. It shows a third way of referring to the value of cell B6 using the formula</t>
  </si>
  <si>
    <t>(a)</t>
  </si>
  <si>
    <t>(b)</t>
  </si>
  <si>
    <t xml:space="preserve">(c) </t>
  </si>
  <si>
    <t>(d)</t>
  </si>
  <si>
    <t xml:space="preserve">(e) </t>
  </si>
  <si>
    <t>=carloan</t>
  </si>
  <si>
    <t xml:space="preserve">i.e. Excel has not changed the name when copying down. </t>
  </si>
  <si>
    <t>Again, you can copy cell E13 in all directions and the copied cells all contain ‘=carloan’.</t>
  </si>
  <si>
    <t xml:space="preserve">(d) </t>
  </si>
  <si>
    <t>3) Choose the worksheet Loan.</t>
  </si>
  <si>
    <t>Make sure that all monetary amounts are rounded to two decimal places and use Excel names for the interest rate, initial loan amount, term and the annual level repayment amount.</t>
  </si>
  <si>
    <t>If necessary, adjust the final repayment so that the loan is repaid exactly. In other words, the capital outstanding at the maturity date of the loan should be exactly zero.</t>
  </si>
  <si>
    <t>Set up an Excel spreadsheet to compute the complete loan schedule for a loan of £200 000 for a term of 25 years to buy an apartment.</t>
  </si>
  <si>
    <t>The rate of interest is 4% a year effective. Repayments are level and made annually in arrears.</t>
  </si>
  <si>
    <t>4) Choose the worksheet Amendment</t>
  </si>
  <si>
    <t>The term of the loan is unchanged and so the repayment must go up once the interest rate is increased.</t>
  </si>
  <si>
    <t>Calculate the revised complete loan schedule for the apartment.</t>
  </si>
  <si>
    <t xml:space="preserve">Suppose that just after the tenth repayment, the lender changes the rate of interest to 6% a year effective. </t>
  </si>
  <si>
    <t>After Repayment</t>
  </si>
  <si>
    <t>Before Repayment</t>
  </si>
  <si>
    <t>since time n-1</t>
  </si>
  <si>
    <t>RegRepayAmt</t>
  </si>
  <si>
    <t>of Repayment</t>
  </si>
  <si>
    <t>Annual level repayment.</t>
  </si>
  <si>
    <t xml:space="preserve">Note: The "regular repayment amount" is paid every year except the last. </t>
  </si>
  <si>
    <t>InitialRepayAmt</t>
  </si>
  <si>
    <t>Interest rate</t>
  </si>
  <si>
    <t>time n-1 to n</t>
  </si>
  <si>
    <t>NewRateTime</t>
  </si>
  <si>
    <t>Time at which new interest rate introduced (in years)</t>
  </si>
  <si>
    <t>Amount</t>
  </si>
  <si>
    <t>Regular</t>
  </si>
  <si>
    <t>Actual</t>
  </si>
  <si>
    <t>including</t>
  </si>
  <si>
    <t>Balancing Item</t>
  </si>
  <si>
    <t>Rounding to the nearest penny means that our final payment needs to be slightly different. (How can you handle this neatly in Excel?)</t>
  </si>
  <si>
    <t>NewRepayAmt</t>
  </si>
  <si>
    <t>New Annual level repayment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</si>
</sst>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0.0000000"/>
  </numFmts>
  <fonts count="19" x14ac:knownFonts="1">
    <font>
      <sz val="10"/>
      <name val="Arial"/>
    </font>
    <font>
      <b/>
      <sz val="10"/>
      <name val="Arial"/>
      <family val="2"/>
    </font>
    <font>
      <sz val="8"/>
      <name val="Arial"/>
      <family val="2"/>
    </font>
    <font>
      <b/>
      <sz val="10"/>
      <color indexed="10"/>
      <name val="Arial"/>
      <family val="2"/>
    </font>
    <font>
      <u/>
      <sz val="10"/>
      <color indexed="12"/>
      <name val="Arial"/>
      <family val="2"/>
    </font>
    <font>
      <sz val="10"/>
      <name val="Arial"/>
      <family val="2"/>
    </font>
    <font>
      <sz val="10"/>
      <name val="Arial"/>
      <family val="2"/>
    </font>
    <font>
      <b/>
      <u/>
      <sz val="10"/>
      <name val="Arial"/>
      <family val="2"/>
    </font>
    <font>
      <sz val="9"/>
      <color indexed="81"/>
      <name val="Tahoma"/>
      <family val="2"/>
    </font>
    <font>
      <b/>
      <sz val="9"/>
      <color indexed="81"/>
      <name val="Tahoma"/>
      <family val="2"/>
    </font>
    <font>
      <b/>
      <sz val="11"/>
      <color theme="1"/>
      <name val="Calibri"/>
      <family val="2"/>
      <scheme val="minor"/>
    </font>
    <font>
      <sz val="10"/>
      <color rgb="FFFF0000"/>
      <name val="Arial"/>
      <family val="2"/>
    </font>
    <font>
      <sz val="11"/>
      <color rgb="FFFF00FF"/>
      <name val="Calibri"/>
      <family val="2"/>
      <scheme val="minor"/>
    </font>
    <font>
      <sz val="11"/>
      <color rgb="FF0070C0"/>
      <name val="Calibri"/>
      <family val="2"/>
      <scheme val="minor"/>
    </font>
    <font>
      <sz val="11"/>
      <name val="Calibri"/>
      <family val="2"/>
      <scheme val="minor"/>
    </font>
    <font>
      <sz val="11"/>
      <color rgb="FF00B050"/>
      <name val="Calibri"/>
      <family val="2"/>
      <scheme val="minor"/>
    </font>
    <font>
      <i/>
      <sz val="10"/>
      <name val="Arial"/>
      <family val="2"/>
    </font>
    <font>
      <sz val="9"/>
      <color indexed="81"/>
      <name val="Tahoma"/>
      <charset val="1"/>
    </font>
    <font>
      <b/>
      <sz val="9"/>
      <color indexed="81"/>
      <name val="Tahoma"/>
      <charset val="1"/>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42">
    <xf numFmtId="0" fontId="0" fillId="0" borderId="0" xfId="0"/>
    <xf numFmtId="0" fontId="1" fillId="0" borderId="0" xfId="0" applyFont="1"/>
    <xf numFmtId="2" fontId="0" fillId="0" borderId="0" xfId="0" applyNumberFormat="1"/>
    <xf numFmtId="0" fontId="3" fillId="0" borderId="0" xfId="0" applyFont="1" applyAlignment="1">
      <alignment horizontal="right"/>
    </xf>
    <xf numFmtId="0" fontId="6" fillId="0" borderId="0" xfId="0" applyFont="1"/>
    <xf numFmtId="0" fontId="7" fillId="0" borderId="0" xfId="0" applyFont="1"/>
    <xf numFmtId="0" fontId="7" fillId="0" borderId="0" xfId="0" applyFont="1" applyAlignment="1">
      <alignment horizontal="center"/>
    </xf>
    <xf numFmtId="0" fontId="0" fillId="0" borderId="0" xfId="0" applyAlignment="1">
      <alignment horizontal="center"/>
    </xf>
    <xf numFmtId="0" fontId="6" fillId="0" borderId="0" xfId="0" applyFont="1" applyAlignment="1">
      <alignment horizontal="right"/>
    </xf>
    <xf numFmtId="0" fontId="1" fillId="0" borderId="0" xfId="0" applyFont="1" applyAlignment="1">
      <alignment horizontal="center"/>
    </xf>
    <xf numFmtId="4" fontId="0" fillId="0" borderId="0" xfId="0" applyNumberFormat="1"/>
    <xf numFmtId="4" fontId="11" fillId="0" borderId="0" xfId="0" applyNumberFormat="1" applyFont="1"/>
    <xf numFmtId="0" fontId="1" fillId="0" borderId="0" xfId="0" quotePrefix="1" applyFont="1" applyAlignment="1">
      <alignment horizontal="center"/>
    </xf>
    <xf numFmtId="0" fontId="11" fillId="0" borderId="0" xfId="0" applyFont="1" applyAlignment="1">
      <alignment horizontal="center"/>
    </xf>
    <xf numFmtId="4" fontId="11" fillId="0" borderId="0" xfId="0" applyNumberFormat="1" applyFont="1" applyAlignment="1">
      <alignment horizontal="center"/>
    </xf>
    <xf numFmtId="0" fontId="6" fillId="0" borderId="0" xfId="0" applyFont="1" applyAlignment="1">
      <alignment horizontal="center"/>
    </xf>
    <xf numFmtId="0" fontId="5" fillId="0" borderId="0" xfId="0" applyFont="1"/>
    <xf numFmtId="0" fontId="5" fillId="0" borderId="0" xfId="0" quotePrefix="1" applyFont="1"/>
    <xf numFmtId="165" fontId="0" fillId="0" borderId="0" xfId="0" applyNumberFormat="1"/>
    <xf numFmtId="0" fontId="10" fillId="0" borderId="1" xfId="0" applyFont="1" applyBorder="1"/>
    <xf numFmtId="0" fontId="0" fillId="0" borderId="2" xfId="0" applyBorder="1"/>
    <xf numFmtId="0" fontId="0" fillId="0" borderId="3" xfId="0" applyBorder="1"/>
    <xf numFmtId="0" fontId="0" fillId="0" borderId="4" xfId="0" applyBorder="1"/>
    <xf numFmtId="0" fontId="12" fillId="2" borderId="3" xfId="0" applyFont="1" applyFill="1" applyBorder="1"/>
    <xf numFmtId="0" fontId="13" fillId="0" borderId="3" xfId="0" applyFont="1" applyBorder="1" applyProtection="1">
      <protection locked="0"/>
    </xf>
    <xf numFmtId="0" fontId="14" fillId="0" borderId="3" xfId="0" applyFont="1" applyBorder="1"/>
    <xf numFmtId="0" fontId="14" fillId="3" borderId="3" xfId="0" applyFont="1" applyFill="1" applyBorder="1"/>
    <xf numFmtId="0" fontId="15" fillId="0" borderId="3" xfId="0" applyFont="1" applyBorder="1"/>
    <xf numFmtId="0" fontId="0" fillId="0" borderId="5" xfId="0" applyBorder="1"/>
    <xf numFmtId="0" fontId="0" fillId="0" borderId="6" xfId="0" applyBorder="1"/>
    <xf numFmtId="0" fontId="16" fillId="0" borderId="0" xfId="0" applyFont="1"/>
    <xf numFmtId="0" fontId="4" fillId="0" borderId="0" xfId="1" applyAlignment="1" applyProtection="1"/>
    <xf numFmtId="0" fontId="12" fillId="2" borderId="7" xfId="0" applyFont="1" applyFill="1" applyBorder="1" applyAlignment="1">
      <alignment horizontal="center" vertical="center"/>
    </xf>
    <xf numFmtId="164" fontId="1" fillId="0" borderId="0" xfId="0" applyNumberFormat="1" applyFont="1" applyAlignment="1">
      <alignment horizontal="center"/>
    </xf>
    <xf numFmtId="164" fontId="12" fillId="2" borderId="7" xfId="0" applyNumberFormat="1" applyFont="1" applyFill="1" applyBorder="1" applyAlignment="1">
      <alignment horizontal="center" vertical="center"/>
    </xf>
    <xf numFmtId="4" fontId="0" fillId="4" borderId="0" xfId="0" applyNumberFormat="1" applyFill="1"/>
    <xf numFmtId="4" fontId="14" fillId="3" borderId="3" xfId="0" applyNumberFormat="1" applyFont="1" applyFill="1" applyBorder="1"/>
    <xf numFmtId="0" fontId="12" fillId="2" borderId="9" xfId="0" applyFont="1" applyFill="1" applyBorder="1" applyAlignment="1">
      <alignment horizontal="center" vertical="center"/>
    </xf>
    <xf numFmtId="0" fontId="12" fillId="2" borderId="10" xfId="0" applyFont="1" applyFill="1" applyBorder="1" applyAlignment="1">
      <alignment horizontal="center" vertical="center"/>
    </xf>
    <xf numFmtId="164" fontId="1" fillId="0" borderId="8" xfId="0" applyNumberFormat="1" applyFont="1" applyBorder="1" applyAlignment="1">
      <alignment horizontal="center"/>
    </xf>
    <xf numFmtId="4" fontId="0" fillId="2" borderId="0" xfId="0" applyNumberFormat="1" applyFill="1"/>
    <xf numFmtId="0" fontId="5" fillId="0" borderId="0"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port.microsoft.com/en-us/office/available-number-formats-%20%20%20in-excel-0afe8f52-97db-41f1-b972-4b46e9f1e8d2"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60B8-2BF3-44FD-8754-6A35EB71A90D}">
  <dimension ref="B2:E53"/>
  <sheetViews>
    <sheetView workbookViewId="0">
      <pane xSplit="1" ySplit="2" topLeftCell="B30" activePane="bottomRight" state="frozen"/>
      <selection pane="topRight" activeCell="B1" sqref="B1"/>
      <selection pane="bottomLeft" activeCell="A3" sqref="A3"/>
      <selection pane="bottomRight" activeCell="C45" sqref="C45"/>
    </sheetView>
  </sheetViews>
  <sheetFormatPr defaultRowHeight="12.75" x14ac:dyDescent="0.35"/>
  <sheetData>
    <row r="2" spans="2:5" ht="13.15" x14ac:dyDescent="0.4">
      <c r="B2" s="5" t="s">
        <v>46</v>
      </c>
    </row>
    <row r="3" spans="2:5" x14ac:dyDescent="0.35">
      <c r="B3" s="30" t="s">
        <v>47</v>
      </c>
    </row>
    <row r="4" spans="2:5" x14ac:dyDescent="0.35">
      <c r="B4" s="16"/>
    </row>
    <row r="5" spans="2:5" x14ac:dyDescent="0.35">
      <c r="B5" s="16" t="s">
        <v>50</v>
      </c>
    </row>
    <row r="7" spans="2:5" x14ac:dyDescent="0.35">
      <c r="B7" s="16" t="s">
        <v>73</v>
      </c>
      <c r="C7" s="16" t="s">
        <v>51</v>
      </c>
    </row>
    <row r="8" spans="2:5" x14ac:dyDescent="0.35">
      <c r="B8" s="16" t="s">
        <v>74</v>
      </c>
      <c r="C8" s="16" t="s">
        <v>52</v>
      </c>
    </row>
    <row r="9" spans="2:5" x14ac:dyDescent="0.35">
      <c r="B9" s="16" t="s">
        <v>75</v>
      </c>
      <c r="C9" s="16" t="s">
        <v>53</v>
      </c>
    </row>
    <row r="10" spans="2:5" x14ac:dyDescent="0.35">
      <c r="D10" s="16" t="s">
        <v>54</v>
      </c>
      <c r="E10" s="31" t="s">
        <v>48</v>
      </c>
    </row>
    <row r="11" spans="2:5" x14ac:dyDescent="0.35">
      <c r="C11" s="16"/>
    </row>
    <row r="12" spans="2:5" x14ac:dyDescent="0.35">
      <c r="B12" s="16" t="s">
        <v>81</v>
      </c>
      <c r="C12" s="16" t="s">
        <v>49</v>
      </c>
    </row>
    <row r="14" spans="2:5" x14ac:dyDescent="0.35">
      <c r="B14" s="16" t="s">
        <v>59</v>
      </c>
    </row>
    <row r="15" spans="2:5" x14ac:dyDescent="0.35">
      <c r="B15" s="16"/>
    </row>
    <row r="16" spans="2:5" x14ac:dyDescent="0.35">
      <c r="B16" s="16" t="s">
        <v>73</v>
      </c>
      <c r="C16" s="16" t="s">
        <v>60</v>
      </c>
    </row>
    <row r="17" spans="2:3" x14ac:dyDescent="0.35">
      <c r="C17" s="16" t="s">
        <v>61</v>
      </c>
    </row>
    <row r="19" spans="2:3" x14ac:dyDescent="0.35">
      <c r="B19" s="16" t="s">
        <v>74</v>
      </c>
      <c r="C19" s="16" t="s">
        <v>62</v>
      </c>
    </row>
    <row r="21" spans="2:3" x14ac:dyDescent="0.35">
      <c r="B21" s="16" t="s">
        <v>75</v>
      </c>
      <c r="C21" s="16" t="s">
        <v>55</v>
      </c>
    </row>
    <row r="22" spans="2:3" x14ac:dyDescent="0.35">
      <c r="C22" s="17" t="s">
        <v>63</v>
      </c>
    </row>
    <row r="23" spans="2:3" x14ac:dyDescent="0.35">
      <c r="C23" t="s">
        <v>56</v>
      </c>
    </row>
    <row r="24" spans="2:3" x14ac:dyDescent="0.35">
      <c r="C24" s="17" t="s">
        <v>64</v>
      </c>
    </row>
    <row r="25" spans="2:3" x14ac:dyDescent="0.35">
      <c r="C25" t="s">
        <v>57</v>
      </c>
    </row>
    <row r="27" spans="2:3" x14ac:dyDescent="0.35">
      <c r="B27" s="16" t="s">
        <v>76</v>
      </c>
      <c r="C27" t="s">
        <v>58</v>
      </c>
    </row>
    <row r="28" spans="2:3" x14ac:dyDescent="0.35">
      <c r="C28" s="17" t="s">
        <v>65</v>
      </c>
    </row>
    <row r="29" spans="2:3" x14ac:dyDescent="0.35">
      <c r="B29" s="16" t="s">
        <v>66</v>
      </c>
      <c r="C29" t="s">
        <v>67</v>
      </c>
    </row>
    <row r="30" spans="2:3" x14ac:dyDescent="0.35">
      <c r="B30" s="16"/>
      <c r="C30" s="17" t="s">
        <v>65</v>
      </c>
    </row>
    <row r="31" spans="2:3" x14ac:dyDescent="0.35">
      <c r="C31" s="16" t="s">
        <v>68</v>
      </c>
    </row>
    <row r="32" spans="2:3" x14ac:dyDescent="0.35">
      <c r="C32" s="16" t="s">
        <v>69</v>
      </c>
    </row>
    <row r="33" spans="2:3" x14ac:dyDescent="0.35">
      <c r="C33" s="16" t="s">
        <v>70</v>
      </c>
    </row>
    <row r="34" spans="2:3" ht="13.15" x14ac:dyDescent="0.4">
      <c r="C34" s="1"/>
    </row>
    <row r="35" spans="2:3" x14ac:dyDescent="0.35">
      <c r="B35" s="16" t="s">
        <v>77</v>
      </c>
      <c r="C35" s="16" t="s">
        <v>72</v>
      </c>
    </row>
    <row r="36" spans="2:3" x14ac:dyDescent="0.35">
      <c r="B36" s="16"/>
      <c r="C36" s="17" t="s">
        <v>78</v>
      </c>
    </row>
    <row r="37" spans="2:3" x14ac:dyDescent="0.35">
      <c r="C37" t="s">
        <v>71</v>
      </c>
    </row>
    <row r="38" spans="2:3" x14ac:dyDescent="0.35">
      <c r="C38" s="17" t="s">
        <v>78</v>
      </c>
    </row>
    <row r="39" spans="2:3" x14ac:dyDescent="0.35">
      <c r="C39" s="16" t="s">
        <v>79</v>
      </c>
    </row>
    <row r="40" spans="2:3" x14ac:dyDescent="0.35">
      <c r="C40" s="16" t="s">
        <v>80</v>
      </c>
    </row>
    <row r="41" spans="2:3" x14ac:dyDescent="0.35">
      <c r="B41" s="16"/>
    </row>
    <row r="42" spans="2:3" x14ac:dyDescent="0.35">
      <c r="B42" s="16" t="s">
        <v>82</v>
      </c>
    </row>
    <row r="43" spans="2:3" x14ac:dyDescent="0.35">
      <c r="C43" s="16"/>
    </row>
    <row r="44" spans="2:3" x14ac:dyDescent="0.35">
      <c r="C44" s="16" t="s">
        <v>85</v>
      </c>
    </row>
    <row r="45" spans="2:3" x14ac:dyDescent="0.35">
      <c r="C45" s="16" t="s">
        <v>86</v>
      </c>
    </row>
    <row r="46" spans="2:3" x14ac:dyDescent="0.35">
      <c r="C46" t="s">
        <v>83</v>
      </c>
    </row>
    <row r="47" spans="2:3" x14ac:dyDescent="0.35">
      <c r="C47" s="16" t="s">
        <v>84</v>
      </c>
    </row>
    <row r="48" spans="2:3" x14ac:dyDescent="0.35">
      <c r="C48" s="16"/>
    </row>
    <row r="49" spans="2:3" x14ac:dyDescent="0.35">
      <c r="B49" s="16" t="s">
        <v>87</v>
      </c>
    </row>
    <row r="51" spans="2:3" x14ac:dyDescent="0.35">
      <c r="C51" s="16" t="s">
        <v>90</v>
      </c>
    </row>
    <row r="52" spans="2:3" x14ac:dyDescent="0.35">
      <c r="C52" s="16" t="s">
        <v>88</v>
      </c>
    </row>
    <row r="53" spans="2:3" x14ac:dyDescent="0.35">
      <c r="C53" s="16" t="s">
        <v>89</v>
      </c>
    </row>
  </sheetData>
  <hyperlinks>
    <hyperlink ref="E10" r:id="rId1" xr:uid="{B505FC6E-22D1-4D40-8179-A43A663CE7F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FFB3-E942-4526-84CC-357B5184A758}">
  <dimension ref="A2:B19"/>
  <sheetViews>
    <sheetView workbookViewId="0">
      <selection activeCell="A16" sqref="A16"/>
    </sheetView>
  </sheetViews>
  <sheetFormatPr defaultRowHeight="12.75" x14ac:dyDescent="0.35"/>
  <cols>
    <col min="1" max="1" width="37.1328125" customWidth="1"/>
  </cols>
  <sheetData>
    <row r="2" spans="1:2" ht="13.15" x14ac:dyDescent="0.4">
      <c r="A2" s="5" t="s">
        <v>34</v>
      </c>
    </row>
    <row r="4" spans="1:2" x14ac:dyDescent="0.35">
      <c r="A4" s="16" t="s">
        <v>35</v>
      </c>
    </row>
    <row r="5" spans="1:2" x14ac:dyDescent="0.35">
      <c r="A5" s="16" t="s">
        <v>36</v>
      </c>
    </row>
    <row r="6" spans="1:2" x14ac:dyDescent="0.35">
      <c r="A6" s="16" t="s">
        <v>37</v>
      </c>
    </row>
    <row r="7" spans="1:2" x14ac:dyDescent="0.35">
      <c r="A7" s="16" t="s">
        <v>38</v>
      </c>
    </row>
    <row r="8" spans="1:2" x14ac:dyDescent="0.35">
      <c r="A8" s="16" t="s">
        <v>39</v>
      </c>
    </row>
    <row r="9" spans="1:2" x14ac:dyDescent="0.35">
      <c r="A9" s="16"/>
    </row>
    <row r="10" spans="1:2" ht="13.15" thickBot="1" x14ac:dyDescent="0.4"/>
    <row r="11" spans="1:2" ht="14.25" x14ac:dyDescent="0.45">
      <c r="A11" s="19" t="s">
        <v>40</v>
      </c>
      <c r="B11" s="20"/>
    </row>
    <row r="12" spans="1:2" x14ac:dyDescent="0.35">
      <c r="A12" s="21"/>
      <c r="B12" s="22"/>
    </row>
    <row r="13" spans="1:2" ht="14.25" x14ac:dyDescent="0.45">
      <c r="A13" s="23" t="s">
        <v>41</v>
      </c>
      <c r="B13" s="22"/>
    </row>
    <row r="14" spans="1:2" ht="14.25" x14ac:dyDescent="0.45">
      <c r="A14" s="24" t="s">
        <v>42</v>
      </c>
      <c r="B14" s="22"/>
    </row>
    <row r="15" spans="1:2" ht="14.25" x14ac:dyDescent="0.45">
      <c r="A15" s="25" t="s">
        <v>43</v>
      </c>
      <c r="B15" s="22"/>
    </row>
    <row r="16" spans="1:2" ht="14.25" x14ac:dyDescent="0.45">
      <c r="A16" s="26" t="s">
        <v>44</v>
      </c>
      <c r="B16" s="22"/>
    </row>
    <row r="17" spans="1:2" ht="14.25" x14ac:dyDescent="0.45">
      <c r="A17" s="27" t="s">
        <v>45</v>
      </c>
      <c r="B17" s="22"/>
    </row>
    <row r="18" spans="1:2" x14ac:dyDescent="0.35">
      <c r="A18" s="21"/>
      <c r="B18" s="22"/>
    </row>
    <row r="19" spans="1:2" ht="13.15" thickBot="1" x14ac:dyDescent="0.4">
      <c r="A19" s="28"/>
      <c r="B19" s="29"/>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14BE-EAF5-4293-B2DA-A744E12E409E}">
  <dimension ref="B2:F8"/>
  <sheetViews>
    <sheetView workbookViewId="0">
      <selection activeCell="F8" sqref="F8"/>
    </sheetView>
  </sheetViews>
  <sheetFormatPr defaultRowHeight="12.75" x14ac:dyDescent="0.35"/>
  <cols>
    <col min="3" max="3" width="42.1328125" bestFit="1" customWidth="1"/>
    <col min="6" max="6" width="30.1328125" bestFit="1" customWidth="1"/>
  </cols>
  <sheetData>
    <row r="2" spans="2:6" ht="13.15" x14ac:dyDescent="0.4">
      <c r="B2" s="5" t="s">
        <v>24</v>
      </c>
    </row>
    <row r="5" spans="2:6" ht="13.15" x14ac:dyDescent="0.4">
      <c r="B5" s="9" t="s">
        <v>9</v>
      </c>
      <c r="C5" s="1" t="s">
        <v>17</v>
      </c>
      <c r="E5" s="9" t="s">
        <v>9</v>
      </c>
      <c r="F5" s="1" t="s">
        <v>17</v>
      </c>
    </row>
    <row r="6" spans="2:6" x14ac:dyDescent="0.35">
      <c r="B6">
        <f>100/3</f>
        <v>33.333333333333336</v>
      </c>
      <c r="C6" s="17" t="s">
        <v>20</v>
      </c>
      <c r="E6">
        <f>3*B6</f>
        <v>100</v>
      </c>
      <c r="F6" s="17" t="s">
        <v>21</v>
      </c>
    </row>
    <row r="7" spans="2:6" x14ac:dyDescent="0.35">
      <c r="B7" s="2">
        <f>100/3</f>
        <v>33.333333333333336</v>
      </c>
      <c r="C7" s="17" t="s">
        <v>19</v>
      </c>
      <c r="E7">
        <f>3*B7</f>
        <v>100</v>
      </c>
      <c r="F7" s="17" t="s">
        <v>22</v>
      </c>
    </row>
    <row r="8" spans="2:6" x14ac:dyDescent="0.35">
      <c r="B8">
        <f>ROUND(B6,2)</f>
        <v>33.33</v>
      </c>
      <c r="C8" s="17" t="s">
        <v>18</v>
      </c>
      <c r="E8">
        <f>3*B8</f>
        <v>99.99</v>
      </c>
      <c r="F8" s="17"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9FFD2-F69C-4F0B-9CB8-48AF250E8E1B}">
  <dimension ref="A1:M116"/>
  <sheetViews>
    <sheetView workbookViewId="0">
      <selection activeCell="E14" sqref="E14"/>
    </sheetView>
  </sheetViews>
  <sheetFormatPr defaultRowHeight="12.75" x14ac:dyDescent="0.35"/>
  <cols>
    <col min="2" max="2" width="9.19921875" customWidth="1"/>
    <col min="3" max="3" width="11.59765625" customWidth="1"/>
    <col min="6" max="6" width="11.86328125" bestFit="1" customWidth="1"/>
    <col min="9" max="9" width="14.59765625" customWidth="1"/>
    <col min="10" max="10" width="11.265625" customWidth="1"/>
    <col min="13" max="13" width="11.86328125" bestFit="1" customWidth="1"/>
  </cols>
  <sheetData>
    <row r="1" spans="1:11" ht="13.15" x14ac:dyDescent="0.4">
      <c r="A1" s="5"/>
    </row>
    <row r="2" spans="1:11" ht="13.15" x14ac:dyDescent="0.4">
      <c r="B2" s="5" t="s">
        <v>25</v>
      </c>
    </row>
    <row r="3" spans="1:11" x14ac:dyDescent="0.35">
      <c r="A3" s="4"/>
    </row>
    <row r="5" spans="1:11" ht="13.15" x14ac:dyDescent="0.4">
      <c r="A5" s="1" t="s">
        <v>8</v>
      </c>
      <c r="B5" s="9" t="s">
        <v>9</v>
      </c>
    </row>
    <row r="6" spans="1:11" x14ac:dyDescent="0.35">
      <c r="A6" s="16" t="s">
        <v>26</v>
      </c>
      <c r="B6" s="7">
        <v>10000</v>
      </c>
      <c r="D6" s="16"/>
    </row>
    <row r="8" spans="1:11" ht="13.15" x14ac:dyDescent="0.4">
      <c r="A8" s="5"/>
      <c r="B8" s="4"/>
    </row>
    <row r="9" spans="1:11" ht="13.15" x14ac:dyDescent="0.4">
      <c r="A9" s="5"/>
      <c r="C9" s="4"/>
    </row>
    <row r="10" spans="1:11" ht="13.15" x14ac:dyDescent="0.4">
      <c r="A10" s="5"/>
      <c r="C10" s="4"/>
    </row>
    <row r="11" spans="1:11" x14ac:dyDescent="0.35">
      <c r="B11" s="16" t="s">
        <v>27</v>
      </c>
    </row>
    <row r="12" spans="1:11" ht="13.15" x14ac:dyDescent="0.4">
      <c r="B12" s="1"/>
    </row>
    <row r="13" spans="1:11" ht="13.15" x14ac:dyDescent="0.4">
      <c r="B13" s="1"/>
      <c r="C13">
        <f>B6</f>
        <v>10000</v>
      </c>
      <c r="D13">
        <f>$B$6</f>
        <v>10000</v>
      </c>
      <c r="E13">
        <f>carloan</f>
        <v>10000</v>
      </c>
      <c r="I13" s="1"/>
    </row>
    <row r="14" spans="1:11" x14ac:dyDescent="0.35">
      <c r="C14">
        <f>B7</f>
        <v>0</v>
      </c>
      <c r="D14">
        <f>$B$6</f>
        <v>10000</v>
      </c>
      <c r="E14">
        <f>carloan</f>
        <v>10000</v>
      </c>
    </row>
    <row r="15" spans="1:11" ht="13.15" x14ac:dyDescent="0.4">
      <c r="B15" s="5"/>
      <c r="D15" s="5"/>
      <c r="I15" s="5"/>
      <c r="J15" s="6"/>
      <c r="K15" s="5"/>
    </row>
    <row r="16" spans="1:11" x14ac:dyDescent="0.35">
      <c r="B16" s="4"/>
      <c r="C16" s="13"/>
      <c r="D16" s="4"/>
      <c r="I16" s="4"/>
      <c r="J16" s="13"/>
      <c r="K16" s="4"/>
    </row>
    <row r="17" spans="2:13" x14ac:dyDescent="0.35">
      <c r="B17" s="4"/>
      <c r="C17" s="14"/>
      <c r="I17" s="4"/>
      <c r="J17" s="7"/>
      <c r="K17" s="4"/>
    </row>
    <row r="18" spans="2:13" x14ac:dyDescent="0.35">
      <c r="B18" s="4"/>
      <c r="C18" s="13"/>
      <c r="I18" s="4"/>
      <c r="J18" s="14"/>
    </row>
    <row r="19" spans="2:13" x14ac:dyDescent="0.35">
      <c r="B19" s="4"/>
      <c r="C19" s="15"/>
      <c r="D19" s="4"/>
      <c r="I19" s="4"/>
      <c r="J19" s="13"/>
      <c r="K19" s="4"/>
    </row>
    <row r="20" spans="2:13" x14ac:dyDescent="0.35">
      <c r="I20" s="4"/>
      <c r="J20" s="7"/>
      <c r="K20" s="4"/>
    </row>
    <row r="21" spans="2:13" x14ac:dyDescent="0.35">
      <c r="I21" s="4"/>
      <c r="J21" s="15"/>
      <c r="K21" s="4"/>
    </row>
    <row r="23" spans="2:13" ht="13.15" x14ac:dyDescent="0.4">
      <c r="B23" s="4"/>
      <c r="C23" s="4"/>
      <c r="D23" s="4"/>
      <c r="E23" s="4"/>
      <c r="F23" s="8"/>
      <c r="M23" s="3"/>
    </row>
    <row r="24" spans="2:13" ht="13.15" x14ac:dyDescent="0.4">
      <c r="B24" s="7"/>
      <c r="C24" s="9"/>
      <c r="D24" s="9"/>
      <c r="E24" s="9"/>
      <c r="F24" s="9"/>
      <c r="I24" s="7"/>
      <c r="J24" s="9"/>
      <c r="K24" s="9"/>
      <c r="L24" s="9"/>
      <c r="M24" s="9"/>
    </row>
    <row r="25" spans="2:13" ht="13.15" x14ac:dyDescent="0.4">
      <c r="B25" s="9"/>
      <c r="C25" s="9"/>
      <c r="D25" s="9"/>
      <c r="E25" s="9"/>
      <c r="F25" s="9"/>
      <c r="I25" s="9"/>
      <c r="J25" s="9"/>
      <c r="K25" s="9"/>
      <c r="L25" s="9"/>
      <c r="M25" s="9"/>
    </row>
    <row r="26" spans="2:13" ht="13.15" x14ac:dyDescent="0.4">
      <c r="B26" s="9"/>
      <c r="C26" s="12"/>
      <c r="D26" s="12"/>
      <c r="E26" s="12"/>
      <c r="F26" s="12"/>
      <c r="I26" s="9"/>
      <c r="J26" s="12"/>
      <c r="K26" s="12"/>
      <c r="L26" s="12"/>
      <c r="M26" s="12"/>
    </row>
    <row r="27" spans="2:13" ht="13.15" x14ac:dyDescent="0.4">
      <c r="B27" s="12"/>
      <c r="C27" s="12"/>
      <c r="D27" s="12"/>
      <c r="E27" s="12"/>
      <c r="F27" s="12"/>
      <c r="I27" s="12"/>
      <c r="J27" s="12"/>
      <c r="K27" s="12"/>
      <c r="L27" s="12"/>
      <c r="M27" s="12"/>
    </row>
    <row r="28" spans="2:13" x14ac:dyDescent="0.35">
      <c r="B28" s="7"/>
      <c r="C28" s="10"/>
      <c r="D28" s="10"/>
      <c r="E28" s="10"/>
      <c r="F28" s="10"/>
      <c r="I28" s="7"/>
      <c r="J28" s="10"/>
      <c r="K28" s="10"/>
      <c r="L28" s="10"/>
      <c r="M28" s="10"/>
    </row>
    <row r="29" spans="2:13" x14ac:dyDescent="0.35">
      <c r="B29" s="7"/>
      <c r="C29" s="10"/>
      <c r="D29" s="10"/>
      <c r="E29" s="10"/>
      <c r="F29" s="10"/>
      <c r="I29" s="7"/>
      <c r="J29" s="10"/>
      <c r="K29" s="10"/>
      <c r="L29" s="10"/>
      <c r="M29" s="10"/>
    </row>
    <row r="30" spans="2:13" x14ac:dyDescent="0.35">
      <c r="B30" s="7"/>
      <c r="C30" s="10"/>
      <c r="D30" s="10"/>
      <c r="E30" s="10"/>
      <c r="F30" s="10"/>
      <c r="I30" s="7"/>
      <c r="J30" s="10"/>
      <c r="K30" s="10"/>
      <c r="L30" s="10"/>
      <c r="M30" s="10"/>
    </row>
    <row r="31" spans="2:13" x14ac:dyDescent="0.35">
      <c r="B31" s="7"/>
      <c r="C31" s="10"/>
      <c r="D31" s="10"/>
      <c r="E31" s="10"/>
      <c r="F31" s="10"/>
      <c r="I31" s="7"/>
      <c r="J31" s="10"/>
      <c r="K31" s="10"/>
      <c r="L31" s="10"/>
      <c r="M31" s="10"/>
    </row>
    <row r="32" spans="2:13" x14ac:dyDescent="0.35">
      <c r="B32" s="7"/>
      <c r="C32" s="10"/>
      <c r="D32" s="10"/>
      <c r="E32" s="10"/>
      <c r="F32" s="10"/>
      <c r="I32" s="7"/>
      <c r="J32" s="10"/>
      <c r="K32" s="10"/>
      <c r="L32" s="10"/>
      <c r="M32" s="10"/>
    </row>
    <row r="33" spans="2:13" x14ac:dyDescent="0.35">
      <c r="B33" s="7"/>
      <c r="C33" s="10"/>
      <c r="D33" s="10"/>
      <c r="E33" s="10"/>
      <c r="F33" s="10"/>
      <c r="I33" s="7"/>
      <c r="J33" s="10"/>
      <c r="K33" s="10"/>
      <c r="L33" s="10"/>
      <c r="M33" s="10"/>
    </row>
    <row r="34" spans="2:13" x14ac:dyDescent="0.35">
      <c r="B34" s="7"/>
      <c r="C34" s="10"/>
      <c r="D34" s="10"/>
      <c r="E34" s="10"/>
      <c r="F34" s="10"/>
      <c r="I34" s="7"/>
      <c r="J34" s="10"/>
      <c r="K34" s="10"/>
      <c r="L34" s="10"/>
      <c r="M34" s="10"/>
    </row>
    <row r="35" spans="2:13" x14ac:dyDescent="0.35">
      <c r="B35" s="7"/>
      <c r="C35" s="10"/>
      <c r="D35" s="10"/>
      <c r="E35" s="10"/>
      <c r="F35" s="10"/>
      <c r="I35" s="7"/>
      <c r="J35" s="10"/>
      <c r="K35" s="10"/>
      <c r="L35" s="10"/>
      <c r="M35" s="10"/>
    </row>
    <row r="36" spans="2:13" x14ac:dyDescent="0.35">
      <c r="B36" s="7"/>
      <c r="C36" s="10"/>
      <c r="D36" s="10"/>
      <c r="E36" s="10"/>
      <c r="F36" s="10"/>
      <c r="I36" s="7"/>
      <c r="J36" s="10"/>
      <c r="K36" s="10"/>
      <c r="L36" s="10"/>
      <c r="M36" s="10"/>
    </row>
    <row r="37" spans="2:13" x14ac:dyDescent="0.35">
      <c r="B37" s="7"/>
      <c r="C37" s="10"/>
      <c r="D37" s="10"/>
      <c r="E37" s="10"/>
      <c r="F37" s="10"/>
      <c r="I37" s="7"/>
      <c r="J37" s="10"/>
      <c r="K37" s="10"/>
      <c r="L37" s="10"/>
      <c r="M37" s="10"/>
    </row>
    <row r="38" spans="2:13" x14ac:dyDescent="0.35">
      <c r="B38" s="7"/>
      <c r="C38" s="10"/>
      <c r="D38" s="10"/>
      <c r="E38" s="10"/>
      <c r="F38" s="10"/>
      <c r="I38" s="7"/>
      <c r="J38" s="10"/>
      <c r="K38" s="10"/>
      <c r="L38" s="10"/>
      <c r="M38" s="10"/>
    </row>
    <row r="39" spans="2:13" x14ac:dyDescent="0.35">
      <c r="B39" s="7"/>
      <c r="C39" s="10"/>
      <c r="D39" s="10"/>
      <c r="E39" s="10"/>
      <c r="F39" s="10"/>
      <c r="I39" s="7"/>
      <c r="J39" s="10"/>
      <c r="K39" s="10"/>
      <c r="L39" s="10"/>
      <c r="M39" s="10"/>
    </row>
    <row r="40" spans="2:13" x14ac:dyDescent="0.35">
      <c r="B40" s="7"/>
      <c r="C40" s="10"/>
      <c r="D40" s="10"/>
      <c r="E40" s="10"/>
      <c r="F40" s="10"/>
      <c r="I40" s="7"/>
      <c r="J40" s="10"/>
      <c r="K40" s="10"/>
      <c r="L40" s="10"/>
      <c r="M40" s="10"/>
    </row>
    <row r="41" spans="2:13" x14ac:dyDescent="0.35">
      <c r="B41" s="7"/>
      <c r="C41" s="10"/>
      <c r="D41" s="10"/>
      <c r="E41" s="10"/>
      <c r="F41" s="10"/>
      <c r="I41" s="7"/>
      <c r="J41" s="10"/>
      <c r="K41" s="10"/>
      <c r="L41" s="10"/>
      <c r="M41" s="10"/>
    </row>
    <row r="42" spans="2:13" x14ac:dyDescent="0.35">
      <c r="B42" s="7"/>
      <c r="C42" s="10"/>
      <c r="D42" s="10"/>
      <c r="E42" s="10"/>
      <c r="F42" s="10"/>
      <c r="I42" s="7"/>
      <c r="J42" s="10"/>
      <c r="K42" s="10"/>
      <c r="L42" s="10"/>
      <c r="M42" s="10"/>
    </row>
    <row r="43" spans="2:13" x14ac:dyDescent="0.35">
      <c r="B43" s="7"/>
      <c r="C43" s="10"/>
      <c r="D43" s="10"/>
      <c r="E43" s="10"/>
      <c r="F43" s="10"/>
      <c r="I43" s="7"/>
      <c r="J43" s="10"/>
      <c r="K43" s="10"/>
      <c r="L43" s="10"/>
      <c r="M43" s="10"/>
    </row>
    <row r="44" spans="2:13" x14ac:dyDescent="0.35">
      <c r="B44" s="7"/>
      <c r="C44" s="10"/>
      <c r="D44" s="10"/>
      <c r="E44" s="10"/>
      <c r="F44" s="10"/>
      <c r="I44" s="7"/>
      <c r="J44" s="10"/>
      <c r="K44" s="10"/>
      <c r="L44" s="10"/>
      <c r="M44" s="10"/>
    </row>
    <row r="45" spans="2:13" x14ac:dyDescent="0.35">
      <c r="B45" s="7"/>
      <c r="C45" s="10"/>
      <c r="D45" s="10"/>
      <c r="E45" s="10"/>
      <c r="F45" s="10"/>
      <c r="I45" s="7"/>
      <c r="J45" s="10"/>
      <c r="K45" s="10"/>
      <c r="L45" s="10"/>
      <c r="M45" s="10"/>
    </row>
    <row r="46" spans="2:13" x14ac:dyDescent="0.35">
      <c r="B46" s="7"/>
      <c r="C46" s="10"/>
      <c r="D46" s="10"/>
      <c r="E46" s="10"/>
      <c r="F46" s="10"/>
      <c r="I46" s="7"/>
      <c r="J46" s="10"/>
      <c r="K46" s="10"/>
      <c r="L46" s="10"/>
      <c r="M46" s="10"/>
    </row>
    <row r="47" spans="2:13" x14ac:dyDescent="0.35">
      <c r="B47" s="7"/>
      <c r="C47" s="10"/>
      <c r="D47" s="10"/>
      <c r="E47" s="10"/>
      <c r="F47" s="10"/>
      <c r="I47" s="7"/>
      <c r="J47" s="10"/>
      <c r="K47" s="10"/>
      <c r="L47" s="10"/>
      <c r="M47" s="10"/>
    </row>
    <row r="48" spans="2:13" x14ac:dyDescent="0.35">
      <c r="B48" s="7"/>
      <c r="C48" s="10"/>
      <c r="D48" s="10"/>
      <c r="E48" s="10"/>
      <c r="F48" s="10"/>
      <c r="I48" s="7"/>
      <c r="J48" s="10"/>
      <c r="K48" s="10"/>
      <c r="L48" s="10"/>
      <c r="M48" s="10"/>
    </row>
    <row r="49" spans="2:13" x14ac:dyDescent="0.35">
      <c r="B49" s="7"/>
      <c r="C49" s="10"/>
      <c r="D49" s="10"/>
      <c r="E49" s="10"/>
      <c r="F49" s="10"/>
      <c r="I49" s="7"/>
      <c r="J49" s="10"/>
      <c r="K49" s="10"/>
      <c r="L49" s="10"/>
      <c r="M49" s="10"/>
    </row>
    <row r="50" spans="2:13" x14ac:dyDescent="0.35">
      <c r="B50" s="7"/>
      <c r="C50" s="10"/>
      <c r="D50" s="10"/>
      <c r="E50" s="10"/>
      <c r="F50" s="10"/>
      <c r="I50" s="7"/>
      <c r="J50" s="10"/>
      <c r="K50" s="10"/>
      <c r="L50" s="10"/>
      <c r="M50" s="10"/>
    </row>
    <row r="51" spans="2:13" x14ac:dyDescent="0.35">
      <c r="B51" s="7"/>
      <c r="C51" s="10"/>
      <c r="D51" s="10"/>
      <c r="E51" s="10"/>
      <c r="F51" s="10"/>
      <c r="I51" s="7"/>
      <c r="J51" s="10"/>
      <c r="K51" s="10"/>
      <c r="L51" s="10"/>
      <c r="M51" s="10"/>
    </row>
    <row r="52" spans="2:13" x14ac:dyDescent="0.35">
      <c r="B52" s="7"/>
      <c r="C52" s="10"/>
      <c r="D52" s="10"/>
      <c r="E52" s="10"/>
      <c r="F52" s="10"/>
      <c r="I52" s="7"/>
      <c r="J52" s="10"/>
      <c r="K52" s="10"/>
      <c r="L52" s="10"/>
      <c r="M52" s="10"/>
    </row>
    <row r="53" spans="2:13" x14ac:dyDescent="0.35">
      <c r="B53" s="7"/>
      <c r="C53" s="11"/>
      <c r="D53" s="10"/>
      <c r="E53" s="10"/>
      <c r="F53" s="10"/>
      <c r="I53" s="7"/>
      <c r="J53" s="10"/>
      <c r="K53" s="10"/>
      <c r="L53" s="10"/>
      <c r="M53" s="10"/>
    </row>
    <row r="54" spans="2:13" x14ac:dyDescent="0.35">
      <c r="I54" s="7"/>
      <c r="J54" s="10"/>
      <c r="K54" s="10"/>
      <c r="L54" s="10"/>
      <c r="M54" s="10"/>
    </row>
    <row r="55" spans="2:13" x14ac:dyDescent="0.35">
      <c r="I55" s="7"/>
      <c r="J55" s="10"/>
      <c r="K55" s="10"/>
      <c r="L55" s="10"/>
      <c r="M55" s="10"/>
    </row>
    <row r="56" spans="2:13" x14ac:dyDescent="0.35">
      <c r="I56" s="7"/>
      <c r="J56" s="10"/>
      <c r="K56" s="10"/>
      <c r="L56" s="10"/>
      <c r="M56" s="10"/>
    </row>
    <row r="57" spans="2:13" x14ac:dyDescent="0.35">
      <c r="I57" s="7"/>
      <c r="J57" s="10"/>
      <c r="K57" s="10"/>
      <c r="L57" s="10"/>
      <c r="M57" s="10"/>
    </row>
    <row r="58" spans="2:13" x14ac:dyDescent="0.35">
      <c r="I58" s="7"/>
      <c r="J58" s="10"/>
      <c r="K58" s="10"/>
      <c r="L58" s="10"/>
      <c r="M58" s="10"/>
    </row>
    <row r="59" spans="2:13" x14ac:dyDescent="0.35">
      <c r="I59" s="7"/>
      <c r="J59" s="10"/>
      <c r="K59" s="10"/>
      <c r="L59" s="10"/>
      <c r="M59" s="10"/>
    </row>
    <row r="60" spans="2:13" x14ac:dyDescent="0.35">
      <c r="I60" s="7"/>
      <c r="J60" s="10"/>
      <c r="K60" s="10"/>
      <c r="L60" s="10"/>
      <c r="M60" s="10"/>
    </row>
    <row r="61" spans="2:13" x14ac:dyDescent="0.35">
      <c r="I61" s="7"/>
      <c r="J61" s="10"/>
      <c r="K61" s="10"/>
      <c r="L61" s="10"/>
      <c r="M61" s="10"/>
    </row>
    <row r="62" spans="2:13" x14ac:dyDescent="0.35">
      <c r="I62" s="7"/>
      <c r="J62" s="10"/>
      <c r="K62" s="10"/>
      <c r="L62" s="10"/>
      <c r="M62" s="10"/>
    </row>
    <row r="63" spans="2:13" x14ac:dyDescent="0.35">
      <c r="I63" s="7"/>
      <c r="J63" s="10"/>
      <c r="K63" s="10"/>
      <c r="L63" s="10"/>
      <c r="M63" s="10"/>
    </row>
    <row r="64" spans="2:13" x14ac:dyDescent="0.35">
      <c r="I64" s="7"/>
      <c r="J64" s="10"/>
      <c r="K64" s="10"/>
      <c r="L64" s="10"/>
      <c r="M64" s="10"/>
    </row>
    <row r="65" spans="9:13" x14ac:dyDescent="0.35">
      <c r="I65" s="7"/>
      <c r="J65" s="10"/>
      <c r="K65" s="10"/>
      <c r="L65" s="10"/>
      <c r="M65" s="10"/>
    </row>
    <row r="66" spans="9:13" x14ac:dyDescent="0.35">
      <c r="I66" s="7"/>
      <c r="J66" s="10"/>
      <c r="K66" s="10"/>
      <c r="L66" s="10"/>
      <c r="M66" s="10"/>
    </row>
    <row r="67" spans="9:13" x14ac:dyDescent="0.35">
      <c r="I67" s="7"/>
      <c r="J67" s="10"/>
      <c r="K67" s="10"/>
      <c r="L67" s="10"/>
      <c r="M67" s="10"/>
    </row>
    <row r="68" spans="9:13" x14ac:dyDescent="0.35">
      <c r="I68" s="7"/>
      <c r="J68" s="10"/>
      <c r="K68" s="10"/>
      <c r="L68" s="10"/>
      <c r="M68" s="10"/>
    </row>
    <row r="69" spans="9:13" x14ac:dyDescent="0.35">
      <c r="I69" s="7"/>
      <c r="J69" s="10"/>
      <c r="K69" s="10"/>
      <c r="L69" s="10"/>
      <c r="M69" s="10"/>
    </row>
    <row r="70" spans="9:13" x14ac:dyDescent="0.35">
      <c r="I70" s="7"/>
      <c r="J70" s="10"/>
      <c r="K70" s="10"/>
      <c r="L70" s="10"/>
      <c r="M70" s="10"/>
    </row>
    <row r="71" spans="9:13" x14ac:dyDescent="0.35">
      <c r="I71" s="7"/>
      <c r="J71" s="10"/>
      <c r="K71" s="10"/>
      <c r="L71" s="10"/>
      <c r="M71" s="10"/>
    </row>
    <row r="72" spans="9:13" x14ac:dyDescent="0.35">
      <c r="I72" s="7"/>
      <c r="J72" s="10"/>
      <c r="K72" s="10"/>
      <c r="L72" s="10"/>
      <c r="M72" s="10"/>
    </row>
    <row r="73" spans="9:13" x14ac:dyDescent="0.35">
      <c r="I73" s="7"/>
      <c r="J73" s="10"/>
      <c r="K73" s="10"/>
      <c r="L73" s="10"/>
      <c r="M73" s="10"/>
    </row>
    <row r="74" spans="9:13" x14ac:dyDescent="0.35">
      <c r="I74" s="7"/>
      <c r="J74" s="10"/>
      <c r="K74" s="10"/>
      <c r="L74" s="10"/>
      <c r="M74" s="10"/>
    </row>
    <row r="75" spans="9:13" x14ac:dyDescent="0.35">
      <c r="I75" s="7"/>
      <c r="J75" s="10"/>
      <c r="K75" s="10"/>
      <c r="L75" s="10"/>
      <c r="M75" s="10"/>
    </row>
    <row r="76" spans="9:13" x14ac:dyDescent="0.35">
      <c r="I76" s="7"/>
      <c r="J76" s="10"/>
      <c r="K76" s="10"/>
      <c r="L76" s="10"/>
      <c r="M76" s="10"/>
    </row>
    <row r="77" spans="9:13" x14ac:dyDescent="0.35">
      <c r="I77" s="7"/>
      <c r="J77" s="10"/>
      <c r="K77" s="10"/>
      <c r="L77" s="10"/>
      <c r="M77" s="10"/>
    </row>
    <row r="78" spans="9:13" x14ac:dyDescent="0.35">
      <c r="I78" s="7"/>
      <c r="J78" s="10"/>
      <c r="K78" s="10"/>
      <c r="L78" s="10"/>
      <c r="M78" s="10"/>
    </row>
    <row r="79" spans="9:13" x14ac:dyDescent="0.35">
      <c r="I79" s="7"/>
      <c r="J79" s="10"/>
      <c r="K79" s="10"/>
      <c r="L79" s="10"/>
      <c r="M79" s="10"/>
    </row>
    <row r="80" spans="9:13" x14ac:dyDescent="0.35">
      <c r="I80" s="7"/>
      <c r="J80" s="10"/>
      <c r="K80" s="10"/>
      <c r="L80" s="10"/>
      <c r="M80" s="10"/>
    </row>
    <row r="81" spans="9:13" x14ac:dyDescent="0.35">
      <c r="I81" s="7"/>
      <c r="J81" s="10"/>
      <c r="K81" s="10"/>
      <c r="L81" s="10"/>
      <c r="M81" s="10"/>
    </row>
    <row r="82" spans="9:13" x14ac:dyDescent="0.35">
      <c r="I82" s="7"/>
      <c r="J82" s="10"/>
      <c r="K82" s="10"/>
      <c r="L82" s="10"/>
      <c r="M82" s="10"/>
    </row>
    <row r="83" spans="9:13" x14ac:dyDescent="0.35">
      <c r="I83" s="7"/>
      <c r="J83" s="10"/>
      <c r="K83" s="10"/>
      <c r="L83" s="10"/>
      <c r="M83" s="10"/>
    </row>
    <row r="84" spans="9:13" x14ac:dyDescent="0.35">
      <c r="I84" s="7"/>
      <c r="J84" s="10"/>
      <c r="K84" s="10"/>
      <c r="L84" s="10"/>
      <c r="M84" s="10"/>
    </row>
    <row r="85" spans="9:13" x14ac:dyDescent="0.35">
      <c r="I85" s="7"/>
      <c r="J85" s="10"/>
      <c r="K85" s="10"/>
      <c r="L85" s="10"/>
      <c r="M85" s="10"/>
    </row>
    <row r="86" spans="9:13" x14ac:dyDescent="0.35">
      <c r="I86" s="7"/>
      <c r="J86" s="10"/>
      <c r="K86" s="10"/>
      <c r="L86" s="10"/>
      <c r="M86" s="10"/>
    </row>
    <row r="87" spans="9:13" x14ac:dyDescent="0.35">
      <c r="I87" s="7"/>
      <c r="J87" s="10"/>
      <c r="K87" s="10"/>
      <c r="L87" s="10"/>
      <c r="M87" s="10"/>
    </row>
    <row r="88" spans="9:13" x14ac:dyDescent="0.35">
      <c r="I88" s="7"/>
      <c r="J88" s="11"/>
      <c r="K88" s="10"/>
      <c r="L88" s="10"/>
      <c r="M88" s="10"/>
    </row>
    <row r="89" spans="9:13" x14ac:dyDescent="0.35">
      <c r="J89" s="2"/>
      <c r="K89" s="2"/>
      <c r="L89" s="2"/>
      <c r="M89" s="2"/>
    </row>
    <row r="90" spans="9:13" x14ac:dyDescent="0.35">
      <c r="J90" s="2"/>
      <c r="K90" s="2"/>
      <c r="L90" s="2"/>
      <c r="M90" s="2"/>
    </row>
    <row r="91" spans="9:13" x14ac:dyDescent="0.35">
      <c r="J91" s="2"/>
      <c r="K91" s="2"/>
      <c r="L91" s="2"/>
      <c r="M91" s="2"/>
    </row>
    <row r="92" spans="9:13" x14ac:dyDescent="0.35">
      <c r="J92" s="2"/>
      <c r="K92" s="2"/>
      <c r="L92" s="2"/>
      <c r="M92" s="2"/>
    </row>
    <row r="93" spans="9:13" x14ac:dyDescent="0.35">
      <c r="J93" s="2"/>
      <c r="K93" s="2"/>
      <c r="L93" s="2"/>
      <c r="M93" s="2"/>
    </row>
    <row r="94" spans="9:13" x14ac:dyDescent="0.35">
      <c r="J94" s="2"/>
      <c r="K94" s="2"/>
      <c r="L94" s="2"/>
      <c r="M94" s="2"/>
    </row>
    <row r="95" spans="9:13" x14ac:dyDescent="0.35">
      <c r="J95" s="2"/>
      <c r="K95" s="2"/>
      <c r="L95" s="2"/>
      <c r="M95" s="2"/>
    </row>
    <row r="96" spans="9:13" x14ac:dyDescent="0.35">
      <c r="J96" s="2"/>
      <c r="K96" s="2"/>
      <c r="L96" s="2"/>
      <c r="M96" s="2"/>
    </row>
    <row r="97" spans="10:13" x14ac:dyDescent="0.35">
      <c r="J97" s="2"/>
      <c r="K97" s="2"/>
      <c r="L97" s="2"/>
      <c r="M97" s="2"/>
    </row>
    <row r="98" spans="10:13" x14ac:dyDescent="0.35">
      <c r="J98" s="2"/>
      <c r="K98" s="2"/>
      <c r="L98" s="2"/>
      <c r="M98" s="2"/>
    </row>
    <row r="99" spans="10:13" x14ac:dyDescent="0.35">
      <c r="J99" s="2"/>
      <c r="K99" s="2"/>
      <c r="L99" s="2"/>
      <c r="M99" s="2"/>
    </row>
    <row r="100" spans="10:13" x14ac:dyDescent="0.35">
      <c r="J100" s="2"/>
      <c r="K100" s="2"/>
      <c r="L100" s="2"/>
      <c r="M100" s="2"/>
    </row>
    <row r="101" spans="10:13" x14ac:dyDescent="0.35">
      <c r="J101" s="2"/>
      <c r="K101" s="2"/>
      <c r="L101" s="2"/>
      <c r="M101" s="2"/>
    </row>
    <row r="102" spans="10:13" x14ac:dyDescent="0.35">
      <c r="J102" s="2"/>
      <c r="K102" s="2"/>
      <c r="L102" s="2"/>
      <c r="M102" s="2"/>
    </row>
    <row r="103" spans="10:13" x14ac:dyDescent="0.35">
      <c r="J103" s="2"/>
      <c r="K103" s="2"/>
      <c r="L103" s="2"/>
      <c r="M103" s="2"/>
    </row>
    <row r="104" spans="10:13" x14ac:dyDescent="0.35">
      <c r="J104" s="2"/>
      <c r="K104" s="2"/>
      <c r="L104" s="2"/>
      <c r="M104" s="2"/>
    </row>
    <row r="105" spans="10:13" x14ac:dyDescent="0.35">
      <c r="J105" s="2"/>
      <c r="K105" s="2"/>
      <c r="L105" s="2"/>
      <c r="M105" s="2"/>
    </row>
    <row r="106" spans="10:13" x14ac:dyDescent="0.35">
      <c r="J106" s="2"/>
      <c r="K106" s="2"/>
      <c r="L106" s="2"/>
      <c r="M106" s="2"/>
    </row>
    <row r="107" spans="10:13" x14ac:dyDescent="0.35">
      <c r="J107" s="2"/>
      <c r="K107" s="2"/>
      <c r="L107" s="2"/>
      <c r="M107" s="2"/>
    </row>
    <row r="108" spans="10:13" x14ac:dyDescent="0.35">
      <c r="J108" s="2"/>
      <c r="K108" s="2"/>
      <c r="L108" s="2"/>
      <c r="M108" s="2"/>
    </row>
    <row r="109" spans="10:13" x14ac:dyDescent="0.35">
      <c r="J109" s="2"/>
      <c r="K109" s="2"/>
      <c r="L109" s="2"/>
      <c r="M109" s="2"/>
    </row>
    <row r="110" spans="10:13" x14ac:dyDescent="0.35">
      <c r="J110" s="2"/>
      <c r="K110" s="2"/>
      <c r="L110" s="2"/>
      <c r="M110" s="2"/>
    </row>
    <row r="111" spans="10:13" x14ac:dyDescent="0.35">
      <c r="J111" s="2"/>
      <c r="K111" s="2"/>
      <c r="L111" s="2"/>
      <c r="M111" s="2"/>
    </row>
    <row r="112" spans="10:13" x14ac:dyDescent="0.35">
      <c r="J112" s="2"/>
      <c r="K112" s="2"/>
      <c r="L112" s="2"/>
      <c r="M112" s="2"/>
    </row>
    <row r="113" spans="10:13" x14ac:dyDescent="0.35">
      <c r="J113" s="2"/>
      <c r="K113" s="2"/>
      <c r="L113" s="2"/>
      <c r="M113" s="2"/>
    </row>
    <row r="114" spans="10:13" x14ac:dyDescent="0.35">
      <c r="J114" s="2"/>
      <c r="K114" s="2"/>
      <c r="L114" s="2"/>
      <c r="M114" s="2"/>
    </row>
    <row r="115" spans="10:13" x14ac:dyDescent="0.35">
      <c r="J115" s="2"/>
      <c r="K115" s="2"/>
      <c r="L115" s="2"/>
      <c r="M115" s="2"/>
    </row>
    <row r="116" spans="10:13" x14ac:dyDescent="0.35">
      <c r="J116" s="2"/>
      <c r="K116" s="2"/>
      <c r="L116" s="2"/>
      <c r="M116" s="2"/>
    </row>
  </sheetData>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6199-0222-46E6-86F4-8E8AED6D3C84}">
  <dimension ref="A1:N108"/>
  <sheetViews>
    <sheetView zoomScaleNormal="100" workbookViewId="0">
      <selection activeCell="C9" sqref="C9"/>
    </sheetView>
  </sheetViews>
  <sheetFormatPr defaultRowHeight="12.75" x14ac:dyDescent="0.35"/>
  <cols>
    <col min="2" max="2" width="16" customWidth="1"/>
    <col min="3" max="3" width="14.1328125" customWidth="1"/>
    <col min="4" max="4" width="19.265625" customWidth="1"/>
    <col min="5" max="5" width="10.796875" bestFit="1" customWidth="1"/>
    <col min="6" max="6" width="14.265625" customWidth="1"/>
    <col min="7" max="7" width="12.86328125" bestFit="1" customWidth="1"/>
    <col min="8" max="8" width="15.46484375" bestFit="1" customWidth="1"/>
    <col min="10" max="10" width="14.59765625" customWidth="1"/>
    <col min="11" max="11" width="11.265625" customWidth="1"/>
    <col min="14" max="14" width="11.86328125" bestFit="1" customWidth="1"/>
  </cols>
  <sheetData>
    <row r="1" spans="1:14" ht="13.15" x14ac:dyDescent="0.4">
      <c r="A1" s="5"/>
    </row>
    <row r="2" spans="1:14" ht="13.15" x14ac:dyDescent="0.4">
      <c r="B2" s="5" t="s">
        <v>31</v>
      </c>
    </row>
    <row r="3" spans="1:14" ht="13.15" x14ac:dyDescent="0.4">
      <c r="B3" s="1"/>
      <c r="J3" s="1"/>
    </row>
    <row r="5" spans="1:14" ht="13.15" x14ac:dyDescent="0.4">
      <c r="B5" s="5" t="s">
        <v>16</v>
      </c>
      <c r="C5" s="6" t="s">
        <v>9</v>
      </c>
      <c r="D5" s="5" t="s">
        <v>10</v>
      </c>
      <c r="J5" s="5"/>
      <c r="K5" s="6"/>
      <c r="L5" s="5"/>
    </row>
    <row r="6" spans="1:14" ht="14.25" x14ac:dyDescent="0.35">
      <c r="B6" s="16" t="s">
        <v>30</v>
      </c>
      <c r="C6" s="32">
        <v>0.04</v>
      </c>
      <c r="D6" s="4" t="s">
        <v>11</v>
      </c>
      <c r="J6" s="4"/>
      <c r="K6" s="13"/>
      <c r="L6" s="4"/>
    </row>
    <row r="7" spans="1:14" ht="14.25" x14ac:dyDescent="0.35">
      <c r="B7" s="16" t="s">
        <v>29</v>
      </c>
      <c r="C7" s="34">
        <v>200000</v>
      </c>
      <c r="D7" t="s">
        <v>1</v>
      </c>
      <c r="J7" s="4"/>
      <c r="K7" s="7"/>
      <c r="L7" s="4"/>
    </row>
    <row r="8" spans="1:14" ht="14.65" thickBot="1" x14ac:dyDescent="0.4">
      <c r="B8" s="16" t="s">
        <v>28</v>
      </c>
      <c r="C8" s="32">
        <v>25</v>
      </c>
      <c r="D8" t="s">
        <v>0</v>
      </c>
      <c r="J8" s="4"/>
      <c r="K8" s="14"/>
    </row>
    <row r="9" spans="1:14" ht="13.5" thickBot="1" x14ac:dyDescent="0.45">
      <c r="B9" s="16" t="s">
        <v>94</v>
      </c>
      <c r="C9" s="39">
        <v>12802.392557290925</v>
      </c>
      <c r="D9" s="16" t="s">
        <v>96</v>
      </c>
      <c r="J9" s="4"/>
      <c r="K9" s="13"/>
      <c r="L9" s="4"/>
    </row>
    <row r="10" spans="1:14" x14ac:dyDescent="0.35">
      <c r="H10" s="18"/>
      <c r="J10" s="4"/>
      <c r="K10" s="7"/>
      <c r="L10" s="4"/>
    </row>
    <row r="11" spans="1:14" x14ac:dyDescent="0.35">
      <c r="B11" s="30" t="s">
        <v>97</v>
      </c>
      <c r="H11" s="18"/>
      <c r="J11" s="4"/>
      <c r="K11" s="15"/>
      <c r="L11" s="4"/>
    </row>
    <row r="12" spans="1:14" x14ac:dyDescent="0.35">
      <c r="B12" s="30" t="s">
        <v>108</v>
      </c>
      <c r="H12" s="18"/>
      <c r="J12" s="4"/>
      <c r="K12" s="15"/>
      <c r="L12" s="4"/>
    </row>
    <row r="13" spans="1:14" x14ac:dyDescent="0.35">
      <c r="B13" s="30"/>
      <c r="H13" s="18"/>
      <c r="J13" s="4"/>
      <c r="K13" s="15"/>
      <c r="L13" s="4"/>
    </row>
    <row r="15" spans="1:14" ht="13.15" x14ac:dyDescent="0.4">
      <c r="B15" s="4"/>
      <c r="C15" s="4"/>
      <c r="D15" s="9" t="s">
        <v>6</v>
      </c>
      <c r="E15" s="4"/>
      <c r="F15" s="9" t="s">
        <v>5</v>
      </c>
      <c r="G15" s="9" t="s">
        <v>6</v>
      </c>
      <c r="H15" s="9" t="s">
        <v>6</v>
      </c>
      <c r="N15" s="3"/>
    </row>
    <row r="16" spans="1:14" ht="13.15" x14ac:dyDescent="0.4">
      <c r="B16" s="7"/>
      <c r="C16" s="9" t="s">
        <v>5</v>
      </c>
      <c r="D16" s="9" t="s">
        <v>4</v>
      </c>
      <c r="E16" s="9"/>
      <c r="F16" s="9" t="s">
        <v>3</v>
      </c>
      <c r="G16" s="9" t="s">
        <v>3</v>
      </c>
      <c r="H16" s="9" t="s">
        <v>4</v>
      </c>
      <c r="K16" s="7"/>
      <c r="L16" s="9"/>
      <c r="M16" s="9"/>
      <c r="N16" s="9"/>
    </row>
    <row r="17" spans="2:14" ht="13.15" x14ac:dyDescent="0.4">
      <c r="B17" s="9" t="s">
        <v>7</v>
      </c>
      <c r="C17" s="9" t="s">
        <v>93</v>
      </c>
      <c r="D17" s="9" t="s">
        <v>92</v>
      </c>
      <c r="E17" s="9" t="s">
        <v>2</v>
      </c>
      <c r="F17" s="9" t="s">
        <v>95</v>
      </c>
      <c r="G17" s="9" t="s">
        <v>95</v>
      </c>
      <c r="H17" s="9" t="s">
        <v>91</v>
      </c>
      <c r="K17" s="9"/>
      <c r="L17" s="9"/>
      <c r="M17" s="9"/>
      <c r="N17" s="9"/>
    </row>
    <row r="18" spans="2:14" ht="13.15" x14ac:dyDescent="0.4">
      <c r="B18" s="9" t="s">
        <v>15</v>
      </c>
      <c r="C18" s="12" t="s">
        <v>13</v>
      </c>
      <c r="D18" s="12" t="s">
        <v>13</v>
      </c>
      <c r="E18" s="12" t="s">
        <v>13</v>
      </c>
      <c r="F18" s="12" t="s">
        <v>13</v>
      </c>
      <c r="G18" s="12" t="s">
        <v>13</v>
      </c>
      <c r="H18" s="12" t="s">
        <v>13</v>
      </c>
      <c r="K18" s="9"/>
      <c r="L18" s="12"/>
      <c r="M18" s="12"/>
      <c r="N18" s="12"/>
    </row>
    <row r="19" spans="2:14" ht="13.15" x14ac:dyDescent="0.4">
      <c r="B19" s="12"/>
      <c r="C19" s="12"/>
      <c r="E19" s="12"/>
      <c r="F19" s="12"/>
      <c r="G19" s="12"/>
      <c r="H19" s="12"/>
      <c r="K19" s="12"/>
      <c r="L19" s="12"/>
      <c r="M19" s="12"/>
      <c r="N19" s="12"/>
    </row>
    <row r="20" spans="2:14" ht="14.25" x14ac:dyDescent="0.45">
      <c r="B20" s="7">
        <v>0</v>
      </c>
      <c r="C20" s="10">
        <f t="shared" ref="C20:C45" si="0">InterestRate</f>
        <v>0.04</v>
      </c>
      <c r="D20">
        <f>H20</f>
        <v>200000</v>
      </c>
      <c r="E20" s="10">
        <f>0</f>
        <v>0</v>
      </c>
      <c r="F20" s="10"/>
      <c r="G20" s="10"/>
      <c r="H20" s="26">
        <f>LoanAmt</f>
        <v>200000</v>
      </c>
      <c r="K20" s="7"/>
      <c r="L20" s="10"/>
      <c r="M20" s="10"/>
      <c r="N20" s="10"/>
    </row>
    <row r="21" spans="2:14" x14ac:dyDescent="0.35">
      <c r="B21" s="7">
        <f>B20+1</f>
        <v>1</v>
      </c>
      <c r="C21" s="10">
        <f t="shared" si="0"/>
        <v>0.04</v>
      </c>
      <c r="D21" s="10">
        <f>H20</f>
        <v>200000</v>
      </c>
      <c r="E21" s="10">
        <f>ROUND(RegRepayAmt,2)</f>
        <v>12802.39</v>
      </c>
      <c r="F21" s="10">
        <f>D21*C21</f>
        <v>8000</v>
      </c>
      <c r="G21" s="10">
        <f>E21-F21</f>
        <v>4802.3899999999994</v>
      </c>
      <c r="H21" s="35">
        <f t="shared" ref="H21:H45" si="1">H20-G21</f>
        <v>195197.61</v>
      </c>
      <c r="K21" s="7"/>
      <c r="L21" s="10"/>
      <c r="M21" s="10"/>
      <c r="N21" s="10"/>
    </row>
    <row r="22" spans="2:14" x14ac:dyDescent="0.35">
      <c r="B22" s="7">
        <f t="shared" ref="B22:B45" si="2">B21+1</f>
        <v>2</v>
      </c>
      <c r="C22" s="10">
        <f t="shared" si="0"/>
        <v>0.04</v>
      </c>
      <c r="D22" s="10">
        <f t="shared" ref="D22:D45" si="3">H21</f>
        <v>195197.61</v>
      </c>
      <c r="E22" s="10">
        <f>E21</f>
        <v>12802.39</v>
      </c>
      <c r="F22" s="10">
        <f t="shared" ref="F22:F45" si="4">D22*C22</f>
        <v>7807.9043999999994</v>
      </c>
      <c r="G22" s="10">
        <f t="shared" ref="G22:G45" si="5">E22-F22</f>
        <v>4994.4856</v>
      </c>
      <c r="H22" s="35">
        <f t="shared" si="1"/>
        <v>190203.12439999997</v>
      </c>
      <c r="K22" s="7"/>
      <c r="L22" s="10"/>
      <c r="M22" s="10"/>
      <c r="N22" s="10"/>
    </row>
    <row r="23" spans="2:14" x14ac:dyDescent="0.35">
      <c r="B23" s="7">
        <f t="shared" si="2"/>
        <v>3</v>
      </c>
      <c r="C23" s="10">
        <f t="shared" si="0"/>
        <v>0.04</v>
      </c>
      <c r="D23" s="10">
        <f t="shared" si="3"/>
        <v>190203.12439999997</v>
      </c>
      <c r="E23" s="10">
        <f t="shared" ref="E23:E44" si="6">E22</f>
        <v>12802.39</v>
      </c>
      <c r="F23" s="10">
        <f t="shared" si="4"/>
        <v>7608.1249759999992</v>
      </c>
      <c r="G23" s="10">
        <f t="shared" si="5"/>
        <v>5194.2650240000003</v>
      </c>
      <c r="H23" s="35">
        <f t="shared" si="1"/>
        <v>185008.85937599998</v>
      </c>
      <c r="K23" s="7"/>
      <c r="L23" s="10"/>
      <c r="M23" s="10"/>
      <c r="N23" s="10"/>
    </row>
    <row r="24" spans="2:14" x14ac:dyDescent="0.35">
      <c r="B24" s="7">
        <f t="shared" si="2"/>
        <v>4</v>
      </c>
      <c r="C24" s="10">
        <f t="shared" si="0"/>
        <v>0.04</v>
      </c>
      <c r="D24" s="10">
        <f t="shared" si="3"/>
        <v>185008.85937599998</v>
      </c>
      <c r="E24" s="10">
        <f t="shared" si="6"/>
        <v>12802.39</v>
      </c>
      <c r="F24" s="10">
        <f t="shared" si="4"/>
        <v>7400.3543750399995</v>
      </c>
      <c r="G24" s="10">
        <f t="shared" si="5"/>
        <v>5402.03562496</v>
      </c>
      <c r="H24" s="35">
        <f t="shared" si="1"/>
        <v>179606.82375103998</v>
      </c>
      <c r="K24" s="7"/>
      <c r="L24" s="10"/>
      <c r="M24" s="10"/>
      <c r="N24" s="10"/>
    </row>
    <row r="25" spans="2:14" x14ac:dyDescent="0.35">
      <c r="B25" s="7">
        <f t="shared" si="2"/>
        <v>5</v>
      </c>
      <c r="C25" s="10">
        <f t="shared" si="0"/>
        <v>0.04</v>
      </c>
      <c r="D25" s="10">
        <f t="shared" si="3"/>
        <v>179606.82375103998</v>
      </c>
      <c r="E25" s="10">
        <f t="shared" si="6"/>
        <v>12802.39</v>
      </c>
      <c r="F25" s="10">
        <f t="shared" si="4"/>
        <v>7184.272950041599</v>
      </c>
      <c r="G25" s="10">
        <f t="shared" si="5"/>
        <v>5618.1170499584005</v>
      </c>
      <c r="H25" s="35">
        <f t="shared" si="1"/>
        <v>173988.70670108157</v>
      </c>
      <c r="K25" s="7"/>
      <c r="L25" s="10"/>
      <c r="M25" s="10"/>
      <c r="N25" s="10"/>
    </row>
    <row r="26" spans="2:14" x14ac:dyDescent="0.35">
      <c r="B26" s="7">
        <f t="shared" si="2"/>
        <v>6</v>
      </c>
      <c r="C26" s="10">
        <f t="shared" si="0"/>
        <v>0.04</v>
      </c>
      <c r="D26" s="10">
        <f t="shared" si="3"/>
        <v>173988.70670108157</v>
      </c>
      <c r="E26" s="10">
        <f t="shared" si="6"/>
        <v>12802.39</v>
      </c>
      <c r="F26" s="10">
        <f t="shared" si="4"/>
        <v>6959.5482680432624</v>
      </c>
      <c r="G26" s="10">
        <f t="shared" si="5"/>
        <v>5842.841731956737</v>
      </c>
      <c r="H26" s="35">
        <f t="shared" si="1"/>
        <v>168145.86496912484</v>
      </c>
      <c r="K26" s="7"/>
      <c r="L26" s="10"/>
      <c r="M26" s="10"/>
      <c r="N26" s="10"/>
    </row>
    <row r="27" spans="2:14" x14ac:dyDescent="0.35">
      <c r="B27" s="7">
        <f t="shared" si="2"/>
        <v>7</v>
      </c>
      <c r="C27" s="10">
        <f t="shared" si="0"/>
        <v>0.04</v>
      </c>
      <c r="D27" s="10">
        <f t="shared" si="3"/>
        <v>168145.86496912484</v>
      </c>
      <c r="E27" s="10">
        <f t="shared" si="6"/>
        <v>12802.39</v>
      </c>
      <c r="F27" s="10">
        <f t="shared" si="4"/>
        <v>6725.8345987649936</v>
      </c>
      <c r="G27" s="10">
        <f t="shared" si="5"/>
        <v>6076.5554012350058</v>
      </c>
      <c r="H27" s="35">
        <f t="shared" si="1"/>
        <v>162069.30956788984</v>
      </c>
      <c r="K27" s="7"/>
      <c r="L27" s="10"/>
      <c r="M27" s="10"/>
      <c r="N27" s="10"/>
    </row>
    <row r="28" spans="2:14" x14ac:dyDescent="0.35">
      <c r="B28" s="7">
        <f t="shared" si="2"/>
        <v>8</v>
      </c>
      <c r="C28" s="10">
        <f t="shared" si="0"/>
        <v>0.04</v>
      </c>
      <c r="D28" s="10">
        <f t="shared" si="3"/>
        <v>162069.30956788984</v>
      </c>
      <c r="E28" s="10">
        <f t="shared" si="6"/>
        <v>12802.39</v>
      </c>
      <c r="F28" s="10">
        <f t="shared" si="4"/>
        <v>6482.7723827155933</v>
      </c>
      <c r="G28" s="10">
        <f t="shared" si="5"/>
        <v>6319.6176172844062</v>
      </c>
      <c r="H28" s="35">
        <f t="shared" si="1"/>
        <v>155749.69195060543</v>
      </c>
      <c r="K28" s="7"/>
      <c r="L28" s="10"/>
      <c r="M28" s="10"/>
      <c r="N28" s="10"/>
    </row>
    <row r="29" spans="2:14" x14ac:dyDescent="0.35">
      <c r="B29" s="7">
        <f t="shared" si="2"/>
        <v>9</v>
      </c>
      <c r="C29" s="10">
        <f t="shared" si="0"/>
        <v>0.04</v>
      </c>
      <c r="D29" s="10">
        <f t="shared" si="3"/>
        <v>155749.69195060543</v>
      </c>
      <c r="E29" s="10">
        <f t="shared" si="6"/>
        <v>12802.39</v>
      </c>
      <c r="F29" s="10">
        <f t="shared" si="4"/>
        <v>6229.9876780242175</v>
      </c>
      <c r="G29" s="10">
        <f t="shared" si="5"/>
        <v>6572.4023219757819</v>
      </c>
      <c r="H29" s="35">
        <f t="shared" si="1"/>
        <v>149177.28962862963</v>
      </c>
      <c r="K29" s="7"/>
      <c r="L29" s="10"/>
      <c r="M29" s="10"/>
      <c r="N29" s="10"/>
    </row>
    <row r="30" spans="2:14" x14ac:dyDescent="0.35">
      <c r="B30" s="7">
        <f t="shared" si="2"/>
        <v>10</v>
      </c>
      <c r="C30" s="10">
        <f t="shared" si="0"/>
        <v>0.04</v>
      </c>
      <c r="D30" s="10">
        <f t="shared" si="3"/>
        <v>149177.28962862963</v>
      </c>
      <c r="E30" s="10">
        <f t="shared" si="6"/>
        <v>12802.39</v>
      </c>
      <c r="F30" s="10">
        <f t="shared" si="4"/>
        <v>5967.0915851451855</v>
      </c>
      <c r="G30" s="10">
        <f t="shared" si="5"/>
        <v>6835.2984148548139</v>
      </c>
      <c r="H30" s="35">
        <f t="shared" si="1"/>
        <v>142341.9912137748</v>
      </c>
      <c r="K30" s="7"/>
      <c r="L30" s="10"/>
      <c r="M30" s="10"/>
      <c r="N30" s="10"/>
    </row>
    <row r="31" spans="2:14" x14ac:dyDescent="0.35">
      <c r="B31" s="7">
        <f t="shared" si="2"/>
        <v>11</v>
      </c>
      <c r="C31" s="10">
        <f t="shared" si="0"/>
        <v>0.04</v>
      </c>
      <c r="D31" s="10">
        <f t="shared" si="3"/>
        <v>142341.9912137748</v>
      </c>
      <c r="E31" s="10">
        <f t="shared" si="6"/>
        <v>12802.39</v>
      </c>
      <c r="F31" s="10">
        <f t="shared" si="4"/>
        <v>5693.6796485509922</v>
      </c>
      <c r="G31" s="10">
        <f t="shared" si="5"/>
        <v>7108.7103514490072</v>
      </c>
      <c r="H31" s="35">
        <f t="shared" si="1"/>
        <v>135233.2808623258</v>
      </c>
      <c r="K31" s="7"/>
      <c r="L31" s="10"/>
      <c r="M31" s="10"/>
      <c r="N31" s="10"/>
    </row>
    <row r="32" spans="2:14" x14ac:dyDescent="0.35">
      <c r="B32" s="7">
        <f t="shared" si="2"/>
        <v>12</v>
      </c>
      <c r="C32" s="10">
        <f t="shared" si="0"/>
        <v>0.04</v>
      </c>
      <c r="D32" s="10">
        <f t="shared" si="3"/>
        <v>135233.2808623258</v>
      </c>
      <c r="E32" s="10">
        <f t="shared" si="6"/>
        <v>12802.39</v>
      </c>
      <c r="F32" s="10">
        <f t="shared" si="4"/>
        <v>5409.3312344930318</v>
      </c>
      <c r="G32" s="10">
        <f t="shared" si="5"/>
        <v>7393.0587655069676</v>
      </c>
      <c r="H32" s="35">
        <f t="shared" si="1"/>
        <v>127840.22209681883</v>
      </c>
      <c r="K32" s="7"/>
      <c r="L32" s="10"/>
      <c r="M32" s="10"/>
      <c r="N32" s="10"/>
    </row>
    <row r="33" spans="2:14" x14ac:dyDescent="0.35">
      <c r="B33" s="7">
        <f t="shared" si="2"/>
        <v>13</v>
      </c>
      <c r="C33" s="10">
        <f t="shared" si="0"/>
        <v>0.04</v>
      </c>
      <c r="D33" s="10">
        <f t="shared" si="3"/>
        <v>127840.22209681883</v>
      </c>
      <c r="E33" s="10">
        <f t="shared" si="6"/>
        <v>12802.39</v>
      </c>
      <c r="F33" s="10">
        <f t="shared" si="4"/>
        <v>5113.6088838727537</v>
      </c>
      <c r="G33" s="10">
        <f t="shared" si="5"/>
        <v>7688.7811161272457</v>
      </c>
      <c r="H33" s="35">
        <f t="shared" si="1"/>
        <v>120151.44098069159</v>
      </c>
      <c r="K33" s="7"/>
      <c r="L33" s="10"/>
      <c r="M33" s="10"/>
      <c r="N33" s="10"/>
    </row>
    <row r="34" spans="2:14" x14ac:dyDescent="0.35">
      <c r="B34" s="7">
        <f t="shared" si="2"/>
        <v>14</v>
      </c>
      <c r="C34" s="10">
        <f t="shared" si="0"/>
        <v>0.04</v>
      </c>
      <c r="D34" s="10">
        <f t="shared" si="3"/>
        <v>120151.44098069159</v>
      </c>
      <c r="E34" s="10">
        <f t="shared" si="6"/>
        <v>12802.39</v>
      </c>
      <c r="F34" s="10">
        <f t="shared" si="4"/>
        <v>4806.0576392276635</v>
      </c>
      <c r="G34" s="10">
        <f t="shared" si="5"/>
        <v>7996.332360772336</v>
      </c>
      <c r="H34" s="35">
        <f t="shared" si="1"/>
        <v>112155.10861991925</v>
      </c>
      <c r="K34" s="7"/>
      <c r="L34" s="10"/>
      <c r="M34" s="10"/>
      <c r="N34" s="10"/>
    </row>
    <row r="35" spans="2:14" x14ac:dyDescent="0.35">
      <c r="B35" s="7">
        <f t="shared" si="2"/>
        <v>15</v>
      </c>
      <c r="C35" s="10">
        <f t="shared" si="0"/>
        <v>0.04</v>
      </c>
      <c r="D35" s="10">
        <f t="shared" si="3"/>
        <v>112155.10861991925</v>
      </c>
      <c r="E35" s="10">
        <f t="shared" si="6"/>
        <v>12802.39</v>
      </c>
      <c r="F35" s="10">
        <f t="shared" si="4"/>
        <v>4486.2043447967699</v>
      </c>
      <c r="G35" s="10">
        <f t="shared" si="5"/>
        <v>8316.1856552032295</v>
      </c>
      <c r="H35" s="35">
        <f t="shared" si="1"/>
        <v>103838.92296471602</v>
      </c>
      <c r="K35" s="7"/>
      <c r="L35" s="10"/>
      <c r="M35" s="10"/>
      <c r="N35" s="10"/>
    </row>
    <row r="36" spans="2:14" x14ac:dyDescent="0.35">
      <c r="B36" s="7">
        <f t="shared" si="2"/>
        <v>16</v>
      </c>
      <c r="C36" s="10">
        <f t="shared" si="0"/>
        <v>0.04</v>
      </c>
      <c r="D36" s="10">
        <f t="shared" si="3"/>
        <v>103838.92296471602</v>
      </c>
      <c r="E36" s="10">
        <f t="shared" si="6"/>
        <v>12802.39</v>
      </c>
      <c r="F36" s="10">
        <f t="shared" si="4"/>
        <v>4153.5569185886407</v>
      </c>
      <c r="G36" s="10">
        <f t="shared" si="5"/>
        <v>8648.8330814113579</v>
      </c>
      <c r="H36" s="35">
        <f t="shared" si="1"/>
        <v>95190.089883304667</v>
      </c>
      <c r="K36" s="7"/>
      <c r="L36" s="10"/>
      <c r="M36" s="10"/>
      <c r="N36" s="10"/>
    </row>
    <row r="37" spans="2:14" x14ac:dyDescent="0.35">
      <c r="B37" s="7">
        <f t="shared" si="2"/>
        <v>17</v>
      </c>
      <c r="C37" s="10">
        <f t="shared" si="0"/>
        <v>0.04</v>
      </c>
      <c r="D37" s="10">
        <f t="shared" si="3"/>
        <v>95190.089883304667</v>
      </c>
      <c r="E37" s="10">
        <f t="shared" si="6"/>
        <v>12802.39</v>
      </c>
      <c r="F37" s="10">
        <f t="shared" si="4"/>
        <v>3807.6035953321866</v>
      </c>
      <c r="G37" s="10">
        <f t="shared" si="5"/>
        <v>8994.7864046678133</v>
      </c>
      <c r="H37" s="35">
        <f t="shared" si="1"/>
        <v>86195.303478636852</v>
      </c>
      <c r="K37" s="7"/>
      <c r="L37" s="10"/>
      <c r="M37" s="10"/>
      <c r="N37" s="10"/>
    </row>
    <row r="38" spans="2:14" x14ac:dyDescent="0.35">
      <c r="B38" s="7">
        <f t="shared" si="2"/>
        <v>18</v>
      </c>
      <c r="C38" s="10">
        <f t="shared" si="0"/>
        <v>0.04</v>
      </c>
      <c r="D38" s="10">
        <f t="shared" si="3"/>
        <v>86195.303478636852</v>
      </c>
      <c r="E38" s="10">
        <f t="shared" si="6"/>
        <v>12802.39</v>
      </c>
      <c r="F38" s="10">
        <f t="shared" si="4"/>
        <v>3447.8121391454742</v>
      </c>
      <c r="G38" s="10">
        <f t="shared" si="5"/>
        <v>9354.5778608545261</v>
      </c>
      <c r="H38" s="35">
        <f t="shared" si="1"/>
        <v>76840.725617782329</v>
      </c>
      <c r="K38" s="7"/>
      <c r="L38" s="10"/>
      <c r="M38" s="10"/>
      <c r="N38" s="10"/>
    </row>
    <row r="39" spans="2:14" x14ac:dyDescent="0.35">
      <c r="B39" s="7">
        <f t="shared" si="2"/>
        <v>19</v>
      </c>
      <c r="C39" s="10">
        <f t="shared" si="0"/>
        <v>0.04</v>
      </c>
      <c r="D39" s="10">
        <f t="shared" si="3"/>
        <v>76840.725617782329</v>
      </c>
      <c r="E39" s="10">
        <f t="shared" si="6"/>
        <v>12802.39</v>
      </c>
      <c r="F39" s="10">
        <f t="shared" si="4"/>
        <v>3073.6290247112934</v>
      </c>
      <c r="G39" s="10">
        <f t="shared" si="5"/>
        <v>9728.7609752887056</v>
      </c>
      <c r="H39" s="35">
        <f t="shared" si="1"/>
        <v>67111.964642493622</v>
      </c>
      <c r="K39" s="7"/>
      <c r="L39" s="10"/>
      <c r="M39" s="10"/>
      <c r="N39" s="10"/>
    </row>
    <row r="40" spans="2:14" x14ac:dyDescent="0.35">
      <c r="B40" s="7">
        <f t="shared" si="2"/>
        <v>20</v>
      </c>
      <c r="C40" s="10">
        <f t="shared" si="0"/>
        <v>0.04</v>
      </c>
      <c r="D40" s="10">
        <f t="shared" si="3"/>
        <v>67111.964642493622</v>
      </c>
      <c r="E40" s="10">
        <f t="shared" si="6"/>
        <v>12802.39</v>
      </c>
      <c r="F40" s="10">
        <f t="shared" si="4"/>
        <v>2684.4785856997451</v>
      </c>
      <c r="G40" s="10">
        <f t="shared" si="5"/>
        <v>10117.911414300255</v>
      </c>
      <c r="H40" s="35">
        <f t="shared" si="1"/>
        <v>56994.05322819337</v>
      </c>
      <c r="K40" s="7"/>
      <c r="L40" s="10"/>
      <c r="M40" s="10"/>
      <c r="N40" s="10"/>
    </row>
    <row r="41" spans="2:14" x14ac:dyDescent="0.35">
      <c r="B41" s="7">
        <f t="shared" si="2"/>
        <v>21</v>
      </c>
      <c r="C41" s="10">
        <f t="shared" si="0"/>
        <v>0.04</v>
      </c>
      <c r="D41" s="10">
        <f t="shared" si="3"/>
        <v>56994.05322819337</v>
      </c>
      <c r="E41" s="10">
        <f t="shared" si="6"/>
        <v>12802.39</v>
      </c>
      <c r="F41" s="10">
        <f t="shared" si="4"/>
        <v>2279.7621291277351</v>
      </c>
      <c r="G41" s="10">
        <f t="shared" si="5"/>
        <v>10522.627870872264</v>
      </c>
      <c r="H41" s="35">
        <f t="shared" si="1"/>
        <v>46471.425357321103</v>
      </c>
    </row>
    <row r="42" spans="2:14" x14ac:dyDescent="0.35">
      <c r="B42" s="7">
        <f t="shared" si="2"/>
        <v>22</v>
      </c>
      <c r="C42" s="10">
        <f t="shared" si="0"/>
        <v>0.04</v>
      </c>
      <c r="D42" s="10">
        <f t="shared" si="3"/>
        <v>46471.425357321103</v>
      </c>
      <c r="E42" s="10">
        <f t="shared" si="6"/>
        <v>12802.39</v>
      </c>
      <c r="F42" s="10">
        <f t="shared" si="4"/>
        <v>1858.857014292844</v>
      </c>
      <c r="G42" s="10">
        <f t="shared" si="5"/>
        <v>10943.532985707156</v>
      </c>
      <c r="H42" s="35">
        <f t="shared" si="1"/>
        <v>35527.892371613947</v>
      </c>
    </row>
    <row r="43" spans="2:14" x14ac:dyDescent="0.35">
      <c r="B43" s="7">
        <f t="shared" si="2"/>
        <v>23</v>
      </c>
      <c r="C43" s="10">
        <f t="shared" si="0"/>
        <v>0.04</v>
      </c>
      <c r="D43" s="10">
        <f t="shared" si="3"/>
        <v>35527.892371613947</v>
      </c>
      <c r="E43" s="10">
        <f t="shared" si="6"/>
        <v>12802.39</v>
      </c>
      <c r="F43" s="10">
        <f t="shared" si="4"/>
        <v>1421.115694864558</v>
      </c>
      <c r="G43" s="10">
        <f t="shared" si="5"/>
        <v>11381.274305135441</v>
      </c>
      <c r="H43" s="35">
        <f t="shared" si="1"/>
        <v>24146.618066478506</v>
      </c>
    </row>
    <row r="44" spans="2:14" x14ac:dyDescent="0.35">
      <c r="B44" s="7">
        <f t="shared" si="2"/>
        <v>24</v>
      </c>
      <c r="C44" s="10">
        <f t="shared" si="0"/>
        <v>0.04</v>
      </c>
      <c r="D44" s="10">
        <f t="shared" si="3"/>
        <v>24146.618066478506</v>
      </c>
      <c r="E44" s="10">
        <f t="shared" si="6"/>
        <v>12802.39</v>
      </c>
      <c r="F44" s="10">
        <f t="shared" si="4"/>
        <v>965.86472265914028</v>
      </c>
      <c r="G44" s="10">
        <f t="shared" si="5"/>
        <v>11836.525277340859</v>
      </c>
      <c r="H44" s="35">
        <f t="shared" si="1"/>
        <v>12310.092789137647</v>
      </c>
    </row>
    <row r="45" spans="2:14" x14ac:dyDescent="0.35">
      <c r="B45" s="7">
        <f t="shared" si="2"/>
        <v>25</v>
      </c>
      <c r="C45" s="10">
        <f t="shared" si="0"/>
        <v>0.04</v>
      </c>
      <c r="D45" s="10">
        <f t="shared" si="3"/>
        <v>12310.092789137647</v>
      </c>
      <c r="E45" s="40">
        <f>E44+0.11</f>
        <v>12802.5</v>
      </c>
      <c r="F45" s="10">
        <f t="shared" si="4"/>
        <v>492.40371156550589</v>
      </c>
      <c r="G45" s="10">
        <f t="shared" si="5"/>
        <v>12310.096288434494</v>
      </c>
      <c r="H45" s="35">
        <f t="shared" si="1"/>
        <v>-3.4992968467122409E-3</v>
      </c>
    </row>
    <row r="86" spans="11:14" x14ac:dyDescent="0.35">
      <c r="K86" s="2"/>
      <c r="L86" s="2"/>
      <c r="M86" s="2"/>
      <c r="N86" s="2"/>
    </row>
    <row r="87" spans="11:14" x14ac:dyDescent="0.35">
      <c r="K87" s="2"/>
      <c r="L87" s="2"/>
      <c r="M87" s="2"/>
      <c r="N87" s="2"/>
    </row>
    <row r="88" spans="11:14" x14ac:dyDescent="0.35">
      <c r="K88" s="2"/>
      <c r="L88" s="2"/>
      <c r="M88" s="2"/>
      <c r="N88" s="2"/>
    </row>
    <row r="89" spans="11:14" x14ac:dyDescent="0.35">
      <c r="K89" s="2"/>
      <c r="L89" s="2"/>
      <c r="M89" s="2"/>
      <c r="N89" s="2"/>
    </row>
    <row r="90" spans="11:14" x14ac:dyDescent="0.35">
      <c r="K90" s="2"/>
      <c r="L90" s="2"/>
      <c r="M90" s="2"/>
      <c r="N90" s="2"/>
    </row>
    <row r="91" spans="11:14" x14ac:dyDescent="0.35">
      <c r="K91" s="2"/>
      <c r="L91" s="2"/>
      <c r="M91" s="2"/>
      <c r="N91" s="2"/>
    </row>
    <row r="92" spans="11:14" x14ac:dyDescent="0.35">
      <c r="K92" s="2"/>
      <c r="L92" s="2"/>
      <c r="M92" s="2"/>
      <c r="N92" s="2"/>
    </row>
    <row r="93" spans="11:14" x14ac:dyDescent="0.35">
      <c r="K93" s="2"/>
      <c r="L93" s="2"/>
      <c r="M93" s="2"/>
      <c r="N93" s="2"/>
    </row>
    <row r="94" spans="11:14" x14ac:dyDescent="0.35">
      <c r="K94" s="2"/>
      <c r="L94" s="2"/>
      <c r="M94" s="2"/>
      <c r="N94" s="2"/>
    </row>
    <row r="95" spans="11:14" x14ac:dyDescent="0.35">
      <c r="K95" s="2"/>
      <c r="L95" s="2"/>
      <c r="M95" s="2"/>
      <c r="N95" s="2"/>
    </row>
    <row r="96" spans="11:14" x14ac:dyDescent="0.35">
      <c r="K96" s="2"/>
      <c r="L96" s="2"/>
      <c r="M96" s="2"/>
      <c r="N96" s="2"/>
    </row>
    <row r="97" spans="11:14" x14ac:dyDescent="0.35">
      <c r="K97" s="2"/>
      <c r="L97" s="2"/>
      <c r="M97" s="2"/>
      <c r="N97" s="2"/>
    </row>
    <row r="98" spans="11:14" x14ac:dyDescent="0.35">
      <c r="K98" s="2"/>
      <c r="L98" s="2"/>
      <c r="M98" s="2"/>
      <c r="N98" s="2"/>
    </row>
    <row r="99" spans="11:14" x14ac:dyDescent="0.35">
      <c r="K99" s="2"/>
      <c r="L99" s="2"/>
      <c r="M99" s="2"/>
      <c r="N99" s="2"/>
    </row>
    <row r="100" spans="11:14" x14ac:dyDescent="0.35">
      <c r="K100" s="2"/>
      <c r="L100" s="2"/>
      <c r="M100" s="2"/>
      <c r="N100" s="2"/>
    </row>
    <row r="101" spans="11:14" x14ac:dyDescent="0.35">
      <c r="K101" s="2"/>
      <c r="L101" s="2"/>
      <c r="M101" s="2"/>
      <c r="N101" s="2"/>
    </row>
    <row r="102" spans="11:14" x14ac:dyDescent="0.35">
      <c r="K102" s="2"/>
      <c r="L102" s="2"/>
      <c r="M102" s="2"/>
      <c r="N102" s="2"/>
    </row>
    <row r="103" spans="11:14" x14ac:dyDescent="0.35">
      <c r="K103" s="2"/>
      <c r="L103" s="2"/>
      <c r="M103" s="2"/>
      <c r="N103" s="2"/>
    </row>
    <row r="104" spans="11:14" x14ac:dyDescent="0.35">
      <c r="K104" s="2"/>
      <c r="L104" s="2"/>
      <c r="M104" s="2"/>
      <c r="N104" s="2"/>
    </row>
    <row r="105" spans="11:14" x14ac:dyDescent="0.35">
      <c r="K105" s="2"/>
      <c r="L105" s="2"/>
      <c r="M105" s="2"/>
      <c r="N105" s="2"/>
    </row>
    <row r="106" spans="11:14" x14ac:dyDescent="0.35">
      <c r="K106" s="2"/>
      <c r="L106" s="2"/>
      <c r="M106" s="2"/>
      <c r="N106" s="2"/>
    </row>
    <row r="107" spans="11:14" x14ac:dyDescent="0.35">
      <c r="K107" s="2"/>
      <c r="L107" s="2"/>
      <c r="M107" s="2"/>
      <c r="N107" s="2"/>
    </row>
    <row r="108" spans="11:14" x14ac:dyDescent="0.35">
      <c r="K108" s="2"/>
      <c r="L108" s="2"/>
      <c r="M108" s="2"/>
      <c r="N108" s="2"/>
    </row>
  </sheetData>
  <phoneticPr fontId="2" type="noConversion"/>
  <pageMargins left="0.75" right="0.75" top="1" bottom="1" header="0.5" footer="0.5"/>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AE4D9-904A-440E-B829-2015D3BDE99A}">
  <dimension ref="A1:Q108"/>
  <sheetViews>
    <sheetView tabSelected="1" workbookViewId="0">
      <selection activeCell="G10" sqref="G10"/>
    </sheetView>
  </sheetViews>
  <sheetFormatPr defaultRowHeight="12.75" x14ac:dyDescent="0.35"/>
  <cols>
    <col min="2" max="3" width="16" customWidth="1"/>
    <col min="4" max="5" width="13.1328125" bestFit="1" customWidth="1"/>
    <col min="6" max="6" width="20.265625" customWidth="1"/>
    <col min="7" max="7" width="15.46484375" customWidth="1"/>
    <col min="8" max="8" width="13" bestFit="1" customWidth="1"/>
    <col min="9" max="9" width="15.46484375" bestFit="1" customWidth="1"/>
    <col min="10" max="11" width="15.46484375" customWidth="1"/>
    <col min="12" max="12" width="14.59765625" customWidth="1"/>
    <col min="13" max="13" width="11.265625" customWidth="1"/>
    <col min="16" max="16" width="11.86328125" bestFit="1" customWidth="1"/>
  </cols>
  <sheetData>
    <row r="1" spans="1:14" ht="13.15" x14ac:dyDescent="0.4">
      <c r="A1" s="5"/>
    </row>
    <row r="2" spans="1:14" ht="13.15" x14ac:dyDescent="0.4">
      <c r="B2" s="5" t="s">
        <v>33</v>
      </c>
      <c r="C2" s="5"/>
    </row>
    <row r="3" spans="1:14" ht="13.15" x14ac:dyDescent="0.4">
      <c r="B3" s="1"/>
      <c r="C3" s="1"/>
      <c r="L3" s="1"/>
    </row>
    <row r="5" spans="1:14" ht="13.15" x14ac:dyDescent="0.4">
      <c r="B5" s="5" t="s">
        <v>16</v>
      </c>
      <c r="C5" s="6" t="s">
        <v>9</v>
      </c>
      <c r="D5" s="5" t="s">
        <v>10</v>
      </c>
      <c r="L5" s="5"/>
      <c r="M5" s="6"/>
      <c r="N5" s="5"/>
    </row>
    <row r="6" spans="1:14" ht="14.25" x14ac:dyDescent="0.35">
      <c r="B6" s="16" t="s">
        <v>30</v>
      </c>
      <c r="C6" s="32">
        <v>0.04</v>
      </c>
      <c r="D6" s="4" t="s">
        <v>11</v>
      </c>
      <c r="L6" s="4"/>
      <c r="M6" s="13"/>
      <c r="N6" s="4"/>
    </row>
    <row r="7" spans="1:14" ht="14.25" x14ac:dyDescent="0.35">
      <c r="B7" s="16" t="s">
        <v>29</v>
      </c>
      <c r="C7" s="34">
        <v>200000</v>
      </c>
      <c r="D7" t="s">
        <v>1</v>
      </c>
      <c r="L7" s="4"/>
      <c r="M7" s="7"/>
      <c r="N7" s="4"/>
    </row>
    <row r="8" spans="1:14" ht="14.65" thickBot="1" x14ac:dyDescent="0.4">
      <c r="B8" s="16" t="s">
        <v>28</v>
      </c>
      <c r="C8" s="37">
        <v>25</v>
      </c>
      <c r="D8" t="s">
        <v>0</v>
      </c>
      <c r="L8" s="4"/>
      <c r="M8" s="14"/>
    </row>
    <row r="9" spans="1:14" ht="13.5" thickBot="1" x14ac:dyDescent="0.45">
      <c r="B9" s="16" t="s">
        <v>98</v>
      </c>
      <c r="C9" s="39">
        <v>12802.392557290899</v>
      </c>
      <c r="D9" s="4" t="s">
        <v>12</v>
      </c>
      <c r="L9" s="4"/>
      <c r="M9" s="13"/>
      <c r="N9" s="4"/>
    </row>
    <row r="10" spans="1:14" ht="14.25" x14ac:dyDescent="0.35">
      <c r="B10" s="16" t="s">
        <v>101</v>
      </c>
      <c r="C10" s="38">
        <v>10</v>
      </c>
      <c r="D10" s="16" t="s">
        <v>102</v>
      </c>
      <c r="L10" s="4"/>
      <c r="M10" s="13"/>
      <c r="N10" s="4"/>
    </row>
    <row r="11" spans="1:14" ht="14.25" x14ac:dyDescent="0.35">
      <c r="B11" s="16" t="s">
        <v>32</v>
      </c>
      <c r="C11" s="32">
        <v>0.06</v>
      </c>
      <c r="D11" s="16" t="s">
        <v>14</v>
      </c>
      <c r="L11" s="4"/>
      <c r="M11" s="13"/>
      <c r="N11" s="4"/>
    </row>
    <row r="12" spans="1:14" ht="13.15" x14ac:dyDescent="0.4">
      <c r="B12" s="41" t="s">
        <v>109</v>
      </c>
      <c r="C12" s="33">
        <v>14655.921680927277</v>
      </c>
      <c r="D12" s="41" t="s">
        <v>110</v>
      </c>
      <c r="L12" s="4"/>
      <c r="M12" s="13"/>
      <c r="N12" s="4"/>
    </row>
    <row r="13" spans="1:14" ht="13.15" x14ac:dyDescent="0.4">
      <c r="B13" s="16"/>
      <c r="C13" s="33"/>
      <c r="D13" s="16"/>
      <c r="G13" s="9"/>
      <c r="L13" s="4"/>
      <c r="M13" s="13"/>
      <c r="N13" s="4"/>
    </row>
    <row r="14" spans="1:14" ht="13.15" x14ac:dyDescent="0.4">
      <c r="G14" s="9"/>
      <c r="L14" s="4"/>
      <c r="M14" s="13"/>
      <c r="N14" s="4"/>
    </row>
    <row r="15" spans="1:14" ht="13.15" x14ac:dyDescent="0.4">
      <c r="B15" s="4"/>
      <c r="C15" s="4"/>
      <c r="D15" s="4"/>
      <c r="E15" s="4"/>
      <c r="F15" s="4"/>
      <c r="G15" s="9" t="s">
        <v>105</v>
      </c>
      <c r="L15" s="4"/>
      <c r="M15" s="13"/>
      <c r="N15" s="4"/>
    </row>
    <row r="16" spans="1:14" ht="13.15" x14ac:dyDescent="0.4">
      <c r="B16" s="4"/>
      <c r="C16" s="9" t="s">
        <v>104</v>
      </c>
      <c r="D16" s="4"/>
      <c r="E16" s="4"/>
      <c r="F16" s="9" t="s">
        <v>6</v>
      </c>
      <c r="G16" s="9" t="s">
        <v>2</v>
      </c>
      <c r="H16" s="9" t="s">
        <v>5</v>
      </c>
      <c r="I16" s="9" t="s">
        <v>6</v>
      </c>
      <c r="J16" s="9" t="s">
        <v>6</v>
      </c>
      <c r="L16" s="4"/>
      <c r="M16" s="13"/>
      <c r="N16" s="4"/>
    </row>
    <row r="17" spans="2:14" ht="13.15" x14ac:dyDescent="0.4">
      <c r="B17" s="7"/>
      <c r="C17" s="9" t="s">
        <v>2</v>
      </c>
      <c r="D17" s="9" t="s">
        <v>99</v>
      </c>
      <c r="E17" s="9" t="s">
        <v>5</v>
      </c>
      <c r="F17" s="9" t="s">
        <v>4</v>
      </c>
      <c r="G17" s="9" t="s">
        <v>106</v>
      </c>
      <c r="H17" s="9" t="s">
        <v>3</v>
      </c>
      <c r="I17" s="9" t="s">
        <v>3</v>
      </c>
      <c r="J17" s="9" t="s">
        <v>4</v>
      </c>
      <c r="L17" s="4"/>
      <c r="M17" s="13"/>
      <c r="N17" s="4"/>
    </row>
    <row r="18" spans="2:14" ht="13.15" x14ac:dyDescent="0.4">
      <c r="B18" s="9" t="s">
        <v>7</v>
      </c>
      <c r="C18" s="9" t="s">
        <v>103</v>
      </c>
      <c r="D18" s="9" t="s">
        <v>100</v>
      </c>
      <c r="E18" s="9" t="s">
        <v>93</v>
      </c>
      <c r="F18" s="9" t="s">
        <v>92</v>
      </c>
      <c r="G18" s="9" t="s">
        <v>107</v>
      </c>
      <c r="H18" s="9" t="s">
        <v>95</v>
      </c>
      <c r="I18" s="9" t="s">
        <v>95</v>
      </c>
      <c r="J18" s="9" t="s">
        <v>91</v>
      </c>
      <c r="L18" s="4"/>
      <c r="M18" s="13"/>
      <c r="N18" s="4"/>
    </row>
    <row r="19" spans="2:14" ht="13.15" x14ac:dyDescent="0.4">
      <c r="B19" s="9" t="s">
        <v>15</v>
      </c>
      <c r="C19" s="12" t="s">
        <v>13</v>
      </c>
      <c r="D19" s="9"/>
      <c r="E19" s="12" t="s">
        <v>13</v>
      </c>
      <c r="F19" s="12" t="s">
        <v>13</v>
      </c>
      <c r="G19" s="12" t="s">
        <v>13</v>
      </c>
      <c r="H19" s="12" t="s">
        <v>13</v>
      </c>
      <c r="I19" s="12" t="s">
        <v>13</v>
      </c>
      <c r="J19" s="12" t="s">
        <v>13</v>
      </c>
      <c r="L19" s="4"/>
      <c r="M19" s="13"/>
      <c r="N19" s="4"/>
    </row>
    <row r="20" spans="2:14" ht="13.15" x14ac:dyDescent="0.4">
      <c r="B20" s="12"/>
      <c r="D20" s="12"/>
      <c r="E20" s="12"/>
      <c r="G20" s="12"/>
      <c r="H20" s="12"/>
      <c r="I20" s="12"/>
      <c r="J20" s="12"/>
      <c r="L20" s="4"/>
      <c r="M20" s="13"/>
      <c r="N20" s="4"/>
    </row>
    <row r="21" spans="2:14" ht="14.25" x14ac:dyDescent="0.45">
      <c r="B21" s="7">
        <v>0</v>
      </c>
      <c r="D21" s="7"/>
      <c r="E21" s="10"/>
      <c r="G21" s="10"/>
      <c r="H21" s="10"/>
      <c r="I21" s="10"/>
      <c r="J21" s="26">
        <f>LoanAmt</f>
        <v>200000</v>
      </c>
      <c r="L21" s="4"/>
      <c r="M21" s="13"/>
      <c r="N21" s="4"/>
    </row>
    <row r="22" spans="2:14" ht="14.25" x14ac:dyDescent="0.45">
      <c r="B22" s="7">
        <f>B21+1</f>
        <v>1</v>
      </c>
      <c r="C22" s="36">
        <f>IF(B22&gt;NewRateTime, NewrRepayAmt,InitialRepayAmt)</f>
        <v>12802.392557290899</v>
      </c>
      <c r="D22" s="7">
        <f>IF(B22&gt;NewRateTime, InterestRateNew, InterestRate)</f>
        <v>0.04</v>
      </c>
      <c r="E22" s="10">
        <f>J21*D22</f>
        <v>8000</v>
      </c>
      <c r="F22" s="10">
        <f>J21</f>
        <v>200000</v>
      </c>
      <c r="G22" s="10">
        <f>ROUND(C22,2)</f>
        <v>12802.39</v>
      </c>
      <c r="H22" s="10">
        <f>E22</f>
        <v>8000</v>
      </c>
      <c r="I22" s="10">
        <f>G22-H22</f>
        <v>4802.3899999999994</v>
      </c>
      <c r="J22" s="35">
        <f t="shared" ref="J22:J46" si="0">J21-I22</f>
        <v>195197.61</v>
      </c>
      <c r="L22" s="4"/>
      <c r="M22" s="13"/>
      <c r="N22" s="4"/>
    </row>
    <row r="23" spans="2:14" ht="14.25" x14ac:dyDescent="0.45">
      <c r="B23" s="7">
        <f t="shared" ref="B23:B46" si="1">B22+1</f>
        <v>2</v>
      </c>
      <c r="C23" s="36">
        <f>IF(B23&gt;NewRateTime, NewrRepayAmt,InitialRepayAmt)</f>
        <v>12802.392557290899</v>
      </c>
      <c r="D23" s="7">
        <f>IF(B23&gt;NewRateTime, InterestRateNew, InterestRate)</f>
        <v>0.04</v>
      </c>
      <c r="E23" s="10">
        <f t="shared" ref="E23:E46" si="2">J22*D23</f>
        <v>7807.9043999999994</v>
      </c>
      <c r="F23" s="10">
        <f t="shared" ref="F23:F46" si="3">J22</f>
        <v>195197.61</v>
      </c>
      <c r="G23" s="10">
        <f t="shared" ref="G23:G46" si="4">ROUND(C23,2)</f>
        <v>12802.39</v>
      </c>
      <c r="H23" s="10">
        <f t="shared" ref="H23:H46" si="5">E23</f>
        <v>7807.9043999999994</v>
      </c>
      <c r="I23" s="10">
        <f t="shared" ref="I23:I46" si="6">G23-H23</f>
        <v>4994.4856</v>
      </c>
      <c r="J23" s="35">
        <f t="shared" si="0"/>
        <v>190203.12439999997</v>
      </c>
      <c r="L23" s="4"/>
      <c r="M23" s="13"/>
      <c r="N23" s="4"/>
    </row>
    <row r="24" spans="2:14" ht="14.25" x14ac:dyDescent="0.45">
      <c r="B24" s="7">
        <f t="shared" si="1"/>
        <v>3</v>
      </c>
      <c r="C24" s="36">
        <f>IF(B24&gt;NewRateTime, NewrRepayAmt,InitialRepayAmt)</f>
        <v>12802.392557290899</v>
      </c>
      <c r="D24" s="7">
        <f>IF(B24&gt;NewRateTime, InterestRateNew, InterestRate)</f>
        <v>0.04</v>
      </c>
      <c r="E24" s="10">
        <f t="shared" si="2"/>
        <v>7608.1249759999992</v>
      </c>
      <c r="F24" s="10">
        <f t="shared" si="3"/>
        <v>190203.12439999997</v>
      </c>
      <c r="G24" s="10">
        <f t="shared" si="4"/>
        <v>12802.39</v>
      </c>
      <c r="H24" s="10">
        <f t="shared" si="5"/>
        <v>7608.1249759999992</v>
      </c>
      <c r="I24" s="10">
        <f t="shared" si="6"/>
        <v>5194.2650240000003</v>
      </c>
      <c r="J24" s="35">
        <f t="shared" si="0"/>
        <v>185008.85937599998</v>
      </c>
      <c r="L24" s="4"/>
      <c r="M24" s="13"/>
      <c r="N24" s="4"/>
    </row>
    <row r="25" spans="2:14" ht="14.25" x14ac:dyDescent="0.45">
      <c r="B25" s="7">
        <f t="shared" si="1"/>
        <v>4</v>
      </c>
      <c r="C25" s="36">
        <f>IF(B25&gt;NewRateTime, NewrRepayAmt,InitialRepayAmt)</f>
        <v>12802.392557290899</v>
      </c>
      <c r="D25" s="7">
        <f>IF(B25&gt;NewRateTime, InterestRateNew, InterestRate)</f>
        <v>0.04</v>
      </c>
      <c r="E25" s="10">
        <f t="shared" si="2"/>
        <v>7400.3543750399995</v>
      </c>
      <c r="F25" s="10">
        <f t="shared" si="3"/>
        <v>185008.85937599998</v>
      </c>
      <c r="G25" s="10">
        <f t="shared" si="4"/>
        <v>12802.39</v>
      </c>
      <c r="H25" s="10">
        <f t="shared" si="5"/>
        <v>7400.3543750399995</v>
      </c>
      <c r="I25" s="10">
        <f t="shared" si="6"/>
        <v>5402.03562496</v>
      </c>
      <c r="J25" s="35">
        <f t="shared" si="0"/>
        <v>179606.82375103998</v>
      </c>
      <c r="L25" s="4"/>
      <c r="M25" s="13"/>
      <c r="N25" s="4"/>
    </row>
    <row r="26" spans="2:14" ht="14.25" x14ac:dyDescent="0.45">
      <c r="B26" s="7">
        <f t="shared" si="1"/>
        <v>5</v>
      </c>
      <c r="C26" s="36">
        <f>IF(B26&gt;NewRateTime, NewrRepayAmt,InitialRepayAmt)</f>
        <v>12802.392557290899</v>
      </c>
      <c r="D26" s="7">
        <f>IF(B26&gt;NewRateTime, InterestRateNew, InterestRate)</f>
        <v>0.04</v>
      </c>
      <c r="E26" s="10">
        <f t="shared" si="2"/>
        <v>7184.272950041599</v>
      </c>
      <c r="F26" s="10">
        <f t="shared" si="3"/>
        <v>179606.82375103998</v>
      </c>
      <c r="G26" s="10">
        <f t="shared" si="4"/>
        <v>12802.39</v>
      </c>
      <c r="H26" s="10">
        <f t="shared" si="5"/>
        <v>7184.272950041599</v>
      </c>
      <c r="I26" s="10">
        <f t="shared" si="6"/>
        <v>5618.1170499584005</v>
      </c>
      <c r="J26" s="35">
        <f t="shared" si="0"/>
        <v>173988.70670108157</v>
      </c>
      <c r="L26" s="4"/>
      <c r="M26" s="13"/>
      <c r="N26" s="4"/>
    </row>
    <row r="27" spans="2:14" ht="14.25" x14ac:dyDescent="0.45">
      <c r="B27" s="7">
        <f t="shared" si="1"/>
        <v>6</v>
      </c>
      <c r="C27" s="36">
        <f>IF(B27&gt;NewRateTime, NewrRepayAmt,InitialRepayAmt)</f>
        <v>12802.392557290899</v>
      </c>
      <c r="D27" s="7">
        <f>IF(B27&gt;NewRateTime, InterestRateNew, InterestRate)</f>
        <v>0.04</v>
      </c>
      <c r="E27" s="10">
        <f t="shared" si="2"/>
        <v>6959.5482680432624</v>
      </c>
      <c r="F27" s="10">
        <f t="shared" si="3"/>
        <v>173988.70670108157</v>
      </c>
      <c r="G27" s="10">
        <f t="shared" si="4"/>
        <v>12802.39</v>
      </c>
      <c r="H27" s="10">
        <f t="shared" si="5"/>
        <v>6959.5482680432624</v>
      </c>
      <c r="I27" s="10">
        <f t="shared" si="6"/>
        <v>5842.841731956737</v>
      </c>
      <c r="J27" s="35">
        <f t="shared" si="0"/>
        <v>168145.86496912484</v>
      </c>
      <c r="L27" s="4"/>
      <c r="M27" s="13"/>
      <c r="N27" s="4"/>
    </row>
    <row r="28" spans="2:14" ht="14.25" x14ac:dyDescent="0.45">
      <c r="B28" s="7">
        <f t="shared" si="1"/>
        <v>7</v>
      </c>
      <c r="C28" s="36">
        <f>IF(B28&gt;NewRateTime, NewrRepayAmt,InitialRepayAmt)</f>
        <v>12802.392557290899</v>
      </c>
      <c r="D28" s="7">
        <f>IF(B28&gt;NewRateTime, InterestRateNew, InterestRate)</f>
        <v>0.04</v>
      </c>
      <c r="E28" s="10">
        <f t="shared" si="2"/>
        <v>6725.8345987649936</v>
      </c>
      <c r="F28" s="10">
        <f t="shared" si="3"/>
        <v>168145.86496912484</v>
      </c>
      <c r="G28" s="10">
        <f t="shared" si="4"/>
        <v>12802.39</v>
      </c>
      <c r="H28" s="10">
        <f t="shared" si="5"/>
        <v>6725.8345987649936</v>
      </c>
      <c r="I28" s="10">
        <f t="shared" si="6"/>
        <v>6076.5554012350058</v>
      </c>
      <c r="J28" s="35">
        <f t="shared" si="0"/>
        <v>162069.30956788984</v>
      </c>
      <c r="L28" s="4"/>
      <c r="M28" s="13"/>
      <c r="N28" s="4"/>
    </row>
    <row r="29" spans="2:14" ht="14.25" x14ac:dyDescent="0.45">
      <c r="B29" s="7">
        <f t="shared" si="1"/>
        <v>8</v>
      </c>
      <c r="C29" s="36">
        <f>IF(B29&gt;NewRateTime, NewrRepayAmt,InitialRepayAmt)</f>
        <v>12802.392557290899</v>
      </c>
      <c r="D29" s="7">
        <f>IF(B29&gt;NewRateTime, InterestRateNew, InterestRate)</f>
        <v>0.04</v>
      </c>
      <c r="E29" s="10">
        <f t="shared" si="2"/>
        <v>6482.7723827155933</v>
      </c>
      <c r="F29" s="10">
        <f t="shared" si="3"/>
        <v>162069.30956788984</v>
      </c>
      <c r="G29" s="10">
        <f t="shared" si="4"/>
        <v>12802.39</v>
      </c>
      <c r="H29" s="10">
        <f t="shared" si="5"/>
        <v>6482.7723827155933</v>
      </c>
      <c r="I29" s="10">
        <f t="shared" si="6"/>
        <v>6319.6176172844062</v>
      </c>
      <c r="J29" s="35">
        <f t="shared" si="0"/>
        <v>155749.69195060543</v>
      </c>
      <c r="L29" s="4"/>
      <c r="M29" s="13"/>
      <c r="N29" s="4"/>
    </row>
    <row r="30" spans="2:14" ht="14.25" x14ac:dyDescent="0.45">
      <c r="B30" s="7">
        <f t="shared" si="1"/>
        <v>9</v>
      </c>
      <c r="C30" s="36">
        <f>IF(B30&gt;NewRateTime, NewrRepayAmt,InitialRepayAmt)</f>
        <v>12802.392557290899</v>
      </c>
      <c r="D30" s="7">
        <f>IF(B30&gt;NewRateTime, InterestRateNew, InterestRate)</f>
        <v>0.04</v>
      </c>
      <c r="E30" s="10">
        <f t="shared" si="2"/>
        <v>6229.9876780242175</v>
      </c>
      <c r="F30" s="10">
        <f t="shared" si="3"/>
        <v>155749.69195060543</v>
      </c>
      <c r="G30" s="10">
        <f t="shared" si="4"/>
        <v>12802.39</v>
      </c>
      <c r="H30" s="10">
        <f t="shared" si="5"/>
        <v>6229.9876780242175</v>
      </c>
      <c r="I30" s="10">
        <f t="shared" si="6"/>
        <v>6572.4023219757819</v>
      </c>
      <c r="J30" s="35">
        <f t="shared" si="0"/>
        <v>149177.28962862963</v>
      </c>
      <c r="L30" s="4"/>
      <c r="M30" s="13"/>
      <c r="N30" s="4"/>
    </row>
    <row r="31" spans="2:14" ht="14.25" x14ac:dyDescent="0.45">
      <c r="B31" s="7">
        <f t="shared" si="1"/>
        <v>10</v>
      </c>
      <c r="C31" s="36">
        <f>IF(B31&gt;NewRateTime, NewrRepayAmt,InitialRepayAmt)</f>
        <v>12802.392557290899</v>
      </c>
      <c r="D31" s="7">
        <f>IF(B31&gt;NewRateTime, InterestRateNew, InterestRate)</f>
        <v>0.04</v>
      </c>
      <c r="E31" s="10">
        <f t="shared" si="2"/>
        <v>5967.0915851451855</v>
      </c>
      <c r="F31" s="10">
        <f t="shared" si="3"/>
        <v>149177.28962862963</v>
      </c>
      <c r="G31" s="10">
        <f t="shared" si="4"/>
        <v>12802.39</v>
      </c>
      <c r="H31" s="10">
        <f t="shared" si="5"/>
        <v>5967.0915851451855</v>
      </c>
      <c r="I31" s="10">
        <f t="shared" si="6"/>
        <v>6835.2984148548139</v>
      </c>
      <c r="J31" s="35">
        <f t="shared" si="0"/>
        <v>142341.9912137748</v>
      </c>
      <c r="L31" s="4"/>
      <c r="M31" s="13"/>
      <c r="N31" s="4"/>
    </row>
    <row r="32" spans="2:14" ht="14.25" x14ac:dyDescent="0.45">
      <c r="B32" s="7">
        <f t="shared" si="1"/>
        <v>11</v>
      </c>
      <c r="C32" s="36">
        <f>IF(B32&gt;NewRateTime, NewrRepayAmt,InitialRepayAmt)</f>
        <v>14655.921680927277</v>
      </c>
      <c r="D32" s="7">
        <f>IF(B32&gt;NewRateTime, InterestRateNew, InterestRate)</f>
        <v>0.06</v>
      </c>
      <c r="E32" s="10">
        <f t="shared" si="2"/>
        <v>8540.5194728264887</v>
      </c>
      <c r="F32" s="10">
        <f t="shared" si="3"/>
        <v>142341.9912137748</v>
      </c>
      <c r="G32" s="10">
        <f t="shared" si="4"/>
        <v>14655.92</v>
      </c>
      <c r="H32" s="10">
        <f t="shared" si="5"/>
        <v>8540.5194728264887</v>
      </c>
      <c r="I32" s="10">
        <f t="shared" si="6"/>
        <v>6115.4005271735114</v>
      </c>
      <c r="J32" s="35">
        <f t="shared" si="0"/>
        <v>136226.5906866013</v>
      </c>
      <c r="L32" s="4"/>
      <c r="M32" s="13"/>
      <c r="N32" s="4"/>
    </row>
    <row r="33" spans="2:12" ht="14.25" x14ac:dyDescent="0.45">
      <c r="B33" s="7">
        <f t="shared" si="1"/>
        <v>12</v>
      </c>
      <c r="C33" s="36">
        <f>IF(B33&gt;NewRateTime, NewrRepayAmt,InitialRepayAmt)</f>
        <v>14655.921680927277</v>
      </c>
      <c r="D33" s="7">
        <f>IF(B33&gt;NewRateTime, InterestRateNew, InterestRate)</f>
        <v>0.06</v>
      </c>
      <c r="E33" s="10">
        <f t="shared" si="2"/>
        <v>8173.5954411960774</v>
      </c>
      <c r="F33" s="10">
        <f t="shared" si="3"/>
        <v>136226.5906866013</v>
      </c>
      <c r="G33" s="10">
        <f t="shared" si="4"/>
        <v>14655.92</v>
      </c>
      <c r="H33" s="10">
        <f t="shared" si="5"/>
        <v>8173.5954411960774</v>
      </c>
      <c r="I33" s="10">
        <f t="shared" si="6"/>
        <v>6482.3245588039226</v>
      </c>
      <c r="J33" s="35">
        <f t="shared" si="0"/>
        <v>129744.26612779737</v>
      </c>
      <c r="L33" s="4"/>
    </row>
    <row r="34" spans="2:12" ht="14.25" x14ac:dyDescent="0.45">
      <c r="B34" s="7">
        <f t="shared" si="1"/>
        <v>13</v>
      </c>
      <c r="C34" s="36">
        <f>IF(B34&gt;NewRateTime, NewrRepayAmt,InitialRepayAmt)</f>
        <v>14655.921680927277</v>
      </c>
      <c r="D34" s="7">
        <f>IF(B34&gt;NewRateTime, InterestRateNew, InterestRate)</f>
        <v>0.06</v>
      </c>
      <c r="E34" s="10">
        <f t="shared" si="2"/>
        <v>7784.6559676678417</v>
      </c>
      <c r="F34" s="10">
        <f t="shared" si="3"/>
        <v>129744.26612779737</v>
      </c>
      <c r="G34" s="10">
        <f t="shared" si="4"/>
        <v>14655.92</v>
      </c>
      <c r="H34" s="10">
        <f t="shared" si="5"/>
        <v>7784.6559676678417</v>
      </c>
      <c r="I34" s="10">
        <f t="shared" si="6"/>
        <v>6871.2640323321584</v>
      </c>
      <c r="J34" s="35">
        <f t="shared" si="0"/>
        <v>122873.00209546521</v>
      </c>
      <c r="L34" s="4"/>
    </row>
    <row r="35" spans="2:12" ht="14.25" x14ac:dyDescent="0.45">
      <c r="B35" s="7">
        <f t="shared" si="1"/>
        <v>14</v>
      </c>
      <c r="C35" s="36">
        <f>IF(B35&gt;NewRateTime, NewrRepayAmt,InitialRepayAmt)</f>
        <v>14655.921680927277</v>
      </c>
      <c r="D35" s="7">
        <f>IF(B35&gt;NewRateTime, InterestRateNew, InterestRate)</f>
        <v>0.06</v>
      </c>
      <c r="E35" s="10">
        <f t="shared" si="2"/>
        <v>7372.3801257279129</v>
      </c>
      <c r="F35" s="10">
        <f t="shared" si="3"/>
        <v>122873.00209546521</v>
      </c>
      <c r="G35" s="10">
        <f t="shared" si="4"/>
        <v>14655.92</v>
      </c>
      <c r="H35" s="10">
        <f t="shared" si="5"/>
        <v>7372.3801257279129</v>
      </c>
      <c r="I35" s="10">
        <f t="shared" si="6"/>
        <v>7283.5398742720872</v>
      </c>
      <c r="J35" s="35">
        <f t="shared" si="0"/>
        <v>115589.46222119313</v>
      </c>
      <c r="L35" s="4"/>
    </row>
    <row r="36" spans="2:12" ht="14.25" x14ac:dyDescent="0.45">
      <c r="B36" s="7">
        <f t="shared" si="1"/>
        <v>15</v>
      </c>
      <c r="C36" s="36">
        <f>IF(B36&gt;NewRateTime, NewrRepayAmt,InitialRepayAmt)</f>
        <v>14655.921680927277</v>
      </c>
      <c r="D36" s="7">
        <f>IF(B36&gt;NewRateTime, InterestRateNew, InterestRate)</f>
        <v>0.06</v>
      </c>
      <c r="E36" s="10">
        <f t="shared" si="2"/>
        <v>6935.367733271587</v>
      </c>
      <c r="F36" s="10">
        <f t="shared" si="3"/>
        <v>115589.46222119313</v>
      </c>
      <c r="G36" s="10">
        <f t="shared" si="4"/>
        <v>14655.92</v>
      </c>
      <c r="H36" s="10">
        <f t="shared" si="5"/>
        <v>6935.367733271587</v>
      </c>
      <c r="I36" s="10">
        <f t="shared" si="6"/>
        <v>7720.5522667284131</v>
      </c>
      <c r="J36" s="35">
        <f t="shared" si="0"/>
        <v>107868.90995446472</v>
      </c>
      <c r="L36" s="4"/>
    </row>
    <row r="37" spans="2:12" ht="14.25" x14ac:dyDescent="0.45">
      <c r="B37" s="7">
        <f t="shared" si="1"/>
        <v>16</v>
      </c>
      <c r="C37" s="36">
        <f>IF(B37&gt;NewRateTime, NewrRepayAmt,InitialRepayAmt)</f>
        <v>14655.921680927277</v>
      </c>
      <c r="D37" s="7">
        <f>IF(B37&gt;NewRateTime, InterestRateNew, InterestRate)</f>
        <v>0.06</v>
      </c>
      <c r="E37" s="10">
        <f t="shared" si="2"/>
        <v>6472.1345972678828</v>
      </c>
      <c r="F37" s="10">
        <f t="shared" si="3"/>
        <v>107868.90995446472</v>
      </c>
      <c r="G37" s="10">
        <f t="shared" si="4"/>
        <v>14655.92</v>
      </c>
      <c r="H37" s="10">
        <f t="shared" si="5"/>
        <v>6472.1345972678828</v>
      </c>
      <c r="I37" s="10">
        <f t="shared" si="6"/>
        <v>8183.7854027321173</v>
      </c>
      <c r="J37" s="35">
        <f t="shared" si="0"/>
        <v>99685.124551732602</v>
      </c>
      <c r="L37" s="4"/>
    </row>
    <row r="38" spans="2:12" ht="14.25" x14ac:dyDescent="0.45">
      <c r="B38" s="7">
        <f t="shared" si="1"/>
        <v>17</v>
      </c>
      <c r="C38" s="36">
        <f>IF(B38&gt;NewRateTime, NewrRepayAmt,InitialRepayAmt)</f>
        <v>14655.921680927277</v>
      </c>
      <c r="D38" s="7">
        <f>IF(B38&gt;NewRateTime, InterestRateNew, InterestRate)</f>
        <v>0.06</v>
      </c>
      <c r="E38" s="10">
        <f t="shared" si="2"/>
        <v>5981.1074731039562</v>
      </c>
      <c r="F38" s="10">
        <f t="shared" si="3"/>
        <v>99685.124551732602</v>
      </c>
      <c r="G38" s="10">
        <f t="shared" si="4"/>
        <v>14655.92</v>
      </c>
      <c r="H38" s="10">
        <f t="shared" si="5"/>
        <v>5981.1074731039562</v>
      </c>
      <c r="I38" s="10">
        <f t="shared" si="6"/>
        <v>8674.812526896043</v>
      </c>
      <c r="J38" s="35">
        <f t="shared" si="0"/>
        <v>91010.312024836559</v>
      </c>
      <c r="L38" s="4"/>
    </row>
    <row r="39" spans="2:12" ht="14.25" x14ac:dyDescent="0.45">
      <c r="B39" s="7">
        <f t="shared" si="1"/>
        <v>18</v>
      </c>
      <c r="C39" s="36">
        <f>IF(B39&gt;NewRateTime, NewrRepayAmt,InitialRepayAmt)</f>
        <v>14655.921680927277</v>
      </c>
      <c r="D39" s="7">
        <f>IF(B39&gt;NewRateTime, InterestRateNew, InterestRate)</f>
        <v>0.06</v>
      </c>
      <c r="E39" s="10">
        <f t="shared" si="2"/>
        <v>5460.6187214901929</v>
      </c>
      <c r="F39" s="10">
        <f t="shared" si="3"/>
        <v>91010.312024836559</v>
      </c>
      <c r="G39" s="10">
        <f t="shared" si="4"/>
        <v>14655.92</v>
      </c>
      <c r="H39" s="10">
        <f t="shared" si="5"/>
        <v>5460.6187214901929</v>
      </c>
      <c r="I39" s="10">
        <f t="shared" si="6"/>
        <v>9195.3012785098072</v>
      </c>
      <c r="J39" s="35">
        <f t="shared" si="0"/>
        <v>81815.010746326749</v>
      </c>
      <c r="L39" s="4"/>
    </row>
    <row r="40" spans="2:12" ht="14.25" x14ac:dyDescent="0.45">
      <c r="B40" s="7">
        <f t="shared" si="1"/>
        <v>19</v>
      </c>
      <c r="C40" s="36">
        <f>IF(B40&gt;NewRateTime, NewrRepayAmt,InitialRepayAmt)</f>
        <v>14655.921680927277</v>
      </c>
      <c r="D40" s="7">
        <f>IF(B40&gt;NewRateTime, InterestRateNew, InterestRate)</f>
        <v>0.06</v>
      </c>
      <c r="E40" s="10">
        <f t="shared" si="2"/>
        <v>4908.9006447796046</v>
      </c>
      <c r="F40" s="10">
        <f t="shared" si="3"/>
        <v>81815.010746326749</v>
      </c>
      <c r="G40" s="10">
        <f t="shared" si="4"/>
        <v>14655.92</v>
      </c>
      <c r="H40" s="10">
        <f t="shared" si="5"/>
        <v>4908.9006447796046</v>
      </c>
      <c r="I40" s="10">
        <f t="shared" si="6"/>
        <v>9747.0193552203964</v>
      </c>
      <c r="J40" s="35">
        <f t="shared" si="0"/>
        <v>72067.991391106349</v>
      </c>
      <c r="L40" s="4"/>
    </row>
    <row r="41" spans="2:12" ht="14.25" x14ac:dyDescent="0.45">
      <c r="B41" s="7">
        <f t="shared" si="1"/>
        <v>20</v>
      </c>
      <c r="C41" s="36">
        <f>IF(B41&gt;NewRateTime, NewrRepayAmt,InitialRepayAmt)</f>
        <v>14655.921680927277</v>
      </c>
      <c r="D41" s="7">
        <f>IF(B41&gt;NewRateTime, InterestRateNew, InterestRate)</f>
        <v>0.06</v>
      </c>
      <c r="E41" s="10">
        <f t="shared" si="2"/>
        <v>4324.0794834663811</v>
      </c>
      <c r="F41" s="10">
        <f t="shared" si="3"/>
        <v>72067.991391106349</v>
      </c>
      <c r="G41" s="10">
        <f t="shared" si="4"/>
        <v>14655.92</v>
      </c>
      <c r="H41" s="10">
        <f t="shared" si="5"/>
        <v>4324.0794834663811</v>
      </c>
      <c r="I41" s="10">
        <f t="shared" si="6"/>
        <v>10331.840516533619</v>
      </c>
      <c r="J41" s="35">
        <f t="shared" si="0"/>
        <v>61736.150874572733</v>
      </c>
      <c r="L41" s="4"/>
    </row>
    <row r="42" spans="2:12" ht="14.25" x14ac:dyDescent="0.45">
      <c r="B42" s="7">
        <f t="shared" si="1"/>
        <v>21</v>
      </c>
      <c r="C42" s="36">
        <f>IF(B42&gt;NewRateTime, NewrRepayAmt,InitialRepayAmt)</f>
        <v>14655.921680927277</v>
      </c>
      <c r="D42" s="7">
        <f>IF(B42&gt;NewRateTime, InterestRateNew, InterestRate)</f>
        <v>0.06</v>
      </c>
      <c r="E42" s="10">
        <f t="shared" si="2"/>
        <v>3704.169052474364</v>
      </c>
      <c r="F42" s="10">
        <f t="shared" si="3"/>
        <v>61736.150874572733</v>
      </c>
      <c r="G42" s="10">
        <f t="shared" si="4"/>
        <v>14655.92</v>
      </c>
      <c r="H42" s="10">
        <f t="shared" si="5"/>
        <v>3704.169052474364</v>
      </c>
      <c r="I42" s="10">
        <f t="shared" si="6"/>
        <v>10951.750947525636</v>
      </c>
      <c r="J42" s="35">
        <f t="shared" si="0"/>
        <v>50784.399927047096</v>
      </c>
      <c r="L42" s="4"/>
    </row>
    <row r="43" spans="2:12" ht="14.25" x14ac:dyDescent="0.45">
      <c r="B43" s="7">
        <f t="shared" si="1"/>
        <v>22</v>
      </c>
      <c r="C43" s="36">
        <f>IF(B43&gt;NewRateTime, NewrRepayAmt,InitialRepayAmt)</f>
        <v>14655.921680927277</v>
      </c>
      <c r="D43" s="7">
        <f>IF(B43&gt;NewRateTime, InterestRateNew, InterestRate)</f>
        <v>0.06</v>
      </c>
      <c r="E43" s="10">
        <f t="shared" si="2"/>
        <v>3047.0639956228256</v>
      </c>
      <c r="F43" s="10">
        <f t="shared" si="3"/>
        <v>50784.399927047096</v>
      </c>
      <c r="G43" s="10">
        <f t="shared" si="4"/>
        <v>14655.92</v>
      </c>
      <c r="H43" s="10">
        <f t="shared" si="5"/>
        <v>3047.0639956228256</v>
      </c>
      <c r="I43" s="10">
        <f t="shared" si="6"/>
        <v>11608.856004377174</v>
      </c>
      <c r="J43" s="35">
        <f t="shared" si="0"/>
        <v>39175.543922669924</v>
      </c>
      <c r="L43" s="4"/>
    </row>
    <row r="44" spans="2:12" ht="14.25" x14ac:dyDescent="0.45">
      <c r="B44" s="7">
        <f t="shared" si="1"/>
        <v>23</v>
      </c>
      <c r="C44" s="36">
        <f>IF(B44&gt;NewRateTime, NewrRepayAmt,InitialRepayAmt)</f>
        <v>14655.921680927277</v>
      </c>
      <c r="D44" s="7">
        <f>IF(B44&gt;NewRateTime, InterestRateNew, InterestRate)</f>
        <v>0.06</v>
      </c>
      <c r="E44" s="10">
        <f t="shared" si="2"/>
        <v>2350.5326353601954</v>
      </c>
      <c r="F44" s="10">
        <f t="shared" si="3"/>
        <v>39175.543922669924</v>
      </c>
      <c r="G44" s="10">
        <f t="shared" si="4"/>
        <v>14655.92</v>
      </c>
      <c r="H44" s="10">
        <f t="shared" si="5"/>
        <v>2350.5326353601954</v>
      </c>
      <c r="I44" s="10">
        <f t="shared" si="6"/>
        <v>12305.387364639804</v>
      </c>
      <c r="J44" s="35">
        <f t="shared" si="0"/>
        <v>26870.156558030118</v>
      </c>
      <c r="L44" s="4"/>
    </row>
    <row r="45" spans="2:12" ht="14.25" x14ac:dyDescent="0.45">
      <c r="B45" s="7">
        <f t="shared" si="1"/>
        <v>24</v>
      </c>
      <c r="C45" s="36">
        <f>IF(B45&gt;NewRateTime, NewrRepayAmt,InitialRepayAmt)</f>
        <v>14655.921680927277</v>
      </c>
      <c r="D45" s="7">
        <f>IF(B45&gt;NewRateTime, InterestRateNew, InterestRate)</f>
        <v>0.06</v>
      </c>
      <c r="E45" s="10">
        <f t="shared" si="2"/>
        <v>1612.209393481807</v>
      </c>
      <c r="F45" s="10">
        <f t="shared" si="3"/>
        <v>26870.156558030118</v>
      </c>
      <c r="G45" s="10">
        <f t="shared" si="4"/>
        <v>14655.92</v>
      </c>
      <c r="H45" s="10">
        <f t="shared" si="5"/>
        <v>1612.209393481807</v>
      </c>
      <c r="I45" s="10">
        <f t="shared" si="6"/>
        <v>13043.710606518192</v>
      </c>
      <c r="J45" s="35">
        <f t="shared" si="0"/>
        <v>13826.445951511925</v>
      </c>
      <c r="L45" s="4"/>
    </row>
    <row r="46" spans="2:12" ht="14.25" x14ac:dyDescent="0.45">
      <c r="B46" s="7">
        <f t="shared" si="1"/>
        <v>25</v>
      </c>
      <c r="C46" s="36">
        <f>IF(B46&gt;NewRateTime, NewrRepayAmt,InitialRepayAmt)</f>
        <v>14655.921680927277</v>
      </c>
      <c r="D46" s="7">
        <f>IF(B46&gt;NewRateTime, InterestRateNew, InterestRate)</f>
        <v>0.06</v>
      </c>
      <c r="E46" s="10">
        <f t="shared" si="2"/>
        <v>829.58675709071542</v>
      </c>
      <c r="F46" s="10">
        <f t="shared" si="3"/>
        <v>13826.445951511925</v>
      </c>
      <c r="G46" s="40">
        <f>ROUND(C46,2)+0.11</f>
        <v>14656.03</v>
      </c>
      <c r="H46" s="10">
        <f t="shared" si="5"/>
        <v>829.58675709071542</v>
      </c>
      <c r="I46" s="10">
        <f t="shared" si="6"/>
        <v>13826.443242909285</v>
      </c>
      <c r="J46" s="35">
        <f t="shared" si="0"/>
        <v>2.7086026402685093E-3</v>
      </c>
      <c r="L46" s="4"/>
    </row>
    <row r="47" spans="2:12" x14ac:dyDescent="0.35">
      <c r="L47" s="4"/>
    </row>
    <row r="48" spans="2:12" x14ac:dyDescent="0.35">
      <c r="L48" s="4"/>
    </row>
    <row r="49" spans="12:14" x14ac:dyDescent="0.35">
      <c r="L49" s="4"/>
    </row>
    <row r="50" spans="12:14" x14ac:dyDescent="0.35">
      <c r="L50" s="4"/>
    </row>
    <row r="51" spans="12:14" x14ac:dyDescent="0.35">
      <c r="L51" s="4"/>
    </row>
    <row r="52" spans="12:14" x14ac:dyDescent="0.35">
      <c r="L52" s="4"/>
      <c r="M52" s="13"/>
      <c r="N52" s="4"/>
    </row>
    <row r="53" spans="12:14" x14ac:dyDescent="0.35">
      <c r="L53" s="4"/>
      <c r="M53" s="13"/>
      <c r="N53" s="4"/>
    </row>
    <row r="54" spans="12:14" x14ac:dyDescent="0.35">
      <c r="L54" s="4"/>
      <c r="M54" s="13"/>
      <c r="N54" s="4"/>
    </row>
    <row r="55" spans="12:14" x14ac:dyDescent="0.35">
      <c r="L55" s="4"/>
      <c r="M55" s="13"/>
      <c r="N55" s="4"/>
    </row>
    <row r="56" spans="12:14" x14ac:dyDescent="0.35">
      <c r="L56" s="4"/>
      <c r="M56" s="13"/>
      <c r="N56" s="4"/>
    </row>
    <row r="57" spans="12:14" x14ac:dyDescent="0.35">
      <c r="L57" s="4"/>
      <c r="M57" s="13"/>
      <c r="N57" s="4"/>
    </row>
    <row r="58" spans="12:14" x14ac:dyDescent="0.35">
      <c r="L58" s="4"/>
      <c r="M58" s="13"/>
      <c r="N58" s="4"/>
    </row>
    <row r="59" spans="12:14" x14ac:dyDescent="0.35">
      <c r="L59" s="4"/>
      <c r="M59" s="13"/>
      <c r="N59" s="4"/>
    </row>
    <row r="60" spans="12:14" x14ac:dyDescent="0.35">
      <c r="L60" s="4"/>
      <c r="M60" s="13"/>
      <c r="N60" s="4"/>
    </row>
    <row r="61" spans="12:14" x14ac:dyDescent="0.35">
      <c r="L61" s="4"/>
      <c r="M61" s="13"/>
      <c r="N61" s="4"/>
    </row>
    <row r="62" spans="12:14" x14ac:dyDescent="0.35">
      <c r="L62" s="4"/>
      <c r="M62" s="13"/>
      <c r="N62" s="4"/>
    </row>
    <row r="63" spans="12:14" x14ac:dyDescent="0.35">
      <c r="L63" s="4"/>
      <c r="M63" s="13"/>
      <c r="N63" s="4"/>
    </row>
    <row r="64" spans="12:14" x14ac:dyDescent="0.35">
      <c r="L64" s="4"/>
      <c r="M64" s="13"/>
      <c r="N64" s="4"/>
    </row>
    <row r="65" spans="12:17" x14ac:dyDescent="0.35">
      <c r="L65" s="4"/>
      <c r="M65" s="13"/>
      <c r="N65" s="4"/>
    </row>
    <row r="66" spans="12:17" x14ac:dyDescent="0.35">
      <c r="L66" s="4"/>
      <c r="M66" s="13"/>
      <c r="N66" s="4"/>
    </row>
    <row r="67" spans="12:17" x14ac:dyDescent="0.35">
      <c r="L67" s="4"/>
      <c r="M67" s="13"/>
      <c r="N67" s="4"/>
    </row>
    <row r="68" spans="12:17" x14ac:dyDescent="0.35">
      <c r="L68" s="4"/>
      <c r="M68" s="13"/>
      <c r="N68" s="4"/>
    </row>
    <row r="69" spans="12:17" x14ac:dyDescent="0.35">
      <c r="L69" s="4"/>
      <c r="M69" s="13"/>
      <c r="N69" s="4"/>
    </row>
    <row r="70" spans="12:17" x14ac:dyDescent="0.35">
      <c r="L70" s="4"/>
      <c r="M70" s="13"/>
      <c r="N70" s="4"/>
    </row>
    <row r="71" spans="12:17" x14ac:dyDescent="0.35">
      <c r="L71" s="4"/>
      <c r="M71" s="13"/>
      <c r="N71" s="4"/>
    </row>
    <row r="72" spans="12:17" x14ac:dyDescent="0.35">
      <c r="L72" s="4"/>
      <c r="M72" s="13"/>
      <c r="N72" s="4"/>
    </row>
    <row r="73" spans="12:17" x14ac:dyDescent="0.35">
      <c r="L73" s="4"/>
      <c r="M73" s="13"/>
      <c r="N73" s="4"/>
    </row>
    <row r="74" spans="12:17" x14ac:dyDescent="0.35">
      <c r="L74" s="4"/>
      <c r="M74" s="13"/>
      <c r="N74" s="4"/>
    </row>
    <row r="75" spans="12:17" x14ac:dyDescent="0.35">
      <c r="M75" s="7"/>
      <c r="N75" s="10"/>
      <c r="O75" s="10"/>
      <c r="P75" s="10"/>
      <c r="Q75" s="10"/>
    </row>
    <row r="76" spans="12:17" x14ac:dyDescent="0.35">
      <c r="M76" s="7"/>
      <c r="N76" s="10"/>
      <c r="O76" s="10"/>
      <c r="P76" s="10"/>
      <c r="Q76" s="10"/>
    </row>
    <row r="77" spans="12:17" x14ac:dyDescent="0.35">
      <c r="M77" s="7"/>
      <c r="N77" s="10"/>
      <c r="O77" s="10"/>
      <c r="P77" s="10"/>
      <c r="Q77" s="10"/>
    </row>
    <row r="78" spans="12:17" x14ac:dyDescent="0.35">
      <c r="M78" s="7"/>
      <c r="N78" s="10"/>
      <c r="O78" s="10"/>
      <c r="P78" s="10"/>
      <c r="Q78" s="10"/>
    </row>
    <row r="79" spans="12:17" x14ac:dyDescent="0.35">
      <c r="L79" s="7"/>
      <c r="M79" s="10"/>
      <c r="N79" s="10"/>
      <c r="O79" s="10"/>
      <c r="P79" s="10"/>
    </row>
    <row r="80" spans="12:17" x14ac:dyDescent="0.35">
      <c r="L80" s="7"/>
      <c r="M80" s="11"/>
      <c r="N80" s="10"/>
      <c r="O80" s="10"/>
      <c r="P80" s="10"/>
    </row>
    <row r="81" spans="13:16" x14ac:dyDescent="0.35">
      <c r="M81" s="2"/>
      <c r="N81" s="2"/>
      <c r="O81" s="2"/>
      <c r="P81" s="2"/>
    </row>
    <row r="82" spans="13:16" x14ac:dyDescent="0.35">
      <c r="M82" s="2"/>
      <c r="N82" s="2"/>
      <c r="O82" s="2"/>
      <c r="P82" s="2"/>
    </row>
    <row r="83" spans="13:16" x14ac:dyDescent="0.35">
      <c r="M83" s="2"/>
      <c r="N83" s="2"/>
      <c r="O83" s="2"/>
      <c r="P83" s="2"/>
    </row>
    <row r="84" spans="13:16" x14ac:dyDescent="0.35">
      <c r="M84" s="2"/>
      <c r="N84" s="2"/>
      <c r="O84" s="2"/>
      <c r="P84" s="2"/>
    </row>
    <row r="85" spans="13:16" x14ac:dyDescent="0.35">
      <c r="M85" s="2"/>
      <c r="N85" s="2"/>
      <c r="O85" s="2"/>
      <c r="P85" s="2"/>
    </row>
    <row r="86" spans="13:16" x14ac:dyDescent="0.35">
      <c r="M86" s="2"/>
      <c r="N86" s="2"/>
      <c r="O86" s="2"/>
      <c r="P86" s="2"/>
    </row>
    <row r="87" spans="13:16" x14ac:dyDescent="0.35">
      <c r="M87" s="2"/>
      <c r="N87" s="2"/>
      <c r="O87" s="2"/>
      <c r="P87" s="2"/>
    </row>
    <row r="88" spans="13:16" x14ac:dyDescent="0.35">
      <c r="M88" s="2"/>
      <c r="N88" s="2"/>
      <c r="O88" s="2"/>
      <c r="P88" s="2"/>
    </row>
    <row r="89" spans="13:16" x14ac:dyDescent="0.35">
      <c r="M89" s="2"/>
      <c r="N89" s="2"/>
      <c r="O89" s="2"/>
      <c r="P89" s="2"/>
    </row>
    <row r="90" spans="13:16" x14ac:dyDescent="0.35">
      <c r="M90" s="2"/>
      <c r="N90" s="2"/>
      <c r="O90" s="2"/>
      <c r="P90" s="2"/>
    </row>
    <row r="91" spans="13:16" x14ac:dyDescent="0.35">
      <c r="M91" s="2"/>
      <c r="N91" s="2"/>
      <c r="O91" s="2"/>
      <c r="P91" s="2"/>
    </row>
    <row r="92" spans="13:16" x14ac:dyDescent="0.35">
      <c r="M92" s="2"/>
      <c r="N92" s="2"/>
      <c r="O92" s="2"/>
      <c r="P92" s="2"/>
    </row>
    <row r="93" spans="13:16" x14ac:dyDescent="0.35">
      <c r="M93" s="2"/>
      <c r="N93" s="2"/>
      <c r="O93" s="2"/>
      <c r="P93" s="2"/>
    </row>
    <row r="94" spans="13:16" x14ac:dyDescent="0.35">
      <c r="M94" s="2"/>
      <c r="N94" s="2"/>
      <c r="O94" s="2"/>
      <c r="P94" s="2"/>
    </row>
    <row r="95" spans="13:16" x14ac:dyDescent="0.35">
      <c r="M95" s="2"/>
      <c r="N95" s="2"/>
      <c r="O95" s="2"/>
      <c r="P95" s="2"/>
    </row>
    <row r="96" spans="13:16" x14ac:dyDescent="0.35">
      <c r="M96" s="2"/>
      <c r="N96" s="2"/>
      <c r="O96" s="2"/>
      <c r="P96" s="2"/>
    </row>
    <row r="97" spans="13:16" x14ac:dyDescent="0.35">
      <c r="M97" s="2"/>
      <c r="N97" s="2"/>
      <c r="O97" s="2"/>
      <c r="P97" s="2"/>
    </row>
    <row r="98" spans="13:16" x14ac:dyDescent="0.35">
      <c r="M98" s="2"/>
      <c r="N98" s="2"/>
      <c r="O98" s="2"/>
      <c r="P98" s="2"/>
    </row>
    <row r="99" spans="13:16" x14ac:dyDescent="0.35">
      <c r="M99" s="2"/>
      <c r="N99" s="2"/>
      <c r="O99" s="2"/>
      <c r="P99" s="2"/>
    </row>
    <row r="100" spans="13:16" x14ac:dyDescent="0.35">
      <c r="M100" s="2"/>
      <c r="N100" s="2"/>
      <c r="O100" s="2"/>
      <c r="P100" s="2"/>
    </row>
    <row r="101" spans="13:16" x14ac:dyDescent="0.35">
      <c r="M101" s="2"/>
      <c r="N101" s="2"/>
      <c r="O101" s="2"/>
      <c r="P101" s="2"/>
    </row>
    <row r="102" spans="13:16" x14ac:dyDescent="0.35">
      <c r="M102" s="2"/>
      <c r="N102" s="2"/>
      <c r="O102" s="2"/>
      <c r="P102" s="2"/>
    </row>
    <row r="103" spans="13:16" x14ac:dyDescent="0.35">
      <c r="M103" s="2"/>
      <c r="N103" s="2"/>
      <c r="O103" s="2"/>
      <c r="P103" s="2"/>
    </row>
    <row r="104" spans="13:16" x14ac:dyDescent="0.35">
      <c r="M104" s="2"/>
      <c r="N104" s="2"/>
      <c r="O104" s="2"/>
      <c r="P104" s="2"/>
    </row>
    <row r="105" spans="13:16" x14ac:dyDescent="0.35">
      <c r="M105" s="2"/>
      <c r="N105" s="2"/>
      <c r="O105" s="2"/>
      <c r="P105" s="2"/>
    </row>
    <row r="106" spans="13:16" x14ac:dyDescent="0.35">
      <c r="M106" s="2"/>
      <c r="N106" s="2"/>
      <c r="O106" s="2"/>
      <c r="P106" s="2"/>
    </row>
    <row r="107" spans="13:16" x14ac:dyDescent="0.35">
      <c r="M107" s="2"/>
      <c r="N107" s="2"/>
      <c r="O107" s="2"/>
      <c r="P107" s="2"/>
    </row>
    <row r="108" spans="13:16" x14ac:dyDescent="0.35">
      <c r="M108" s="2"/>
      <c r="N108" s="2"/>
      <c r="O108" s="2"/>
      <c r="P108" s="2"/>
    </row>
  </sheetData>
  <pageMargins left="0.75" right="0.75" top="1" bottom="1" header="0.5" footer="0.5"/>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Instructions</vt:lpstr>
      <vt:lpstr>Colour keys</vt:lpstr>
      <vt:lpstr>1. Rounding</vt:lpstr>
      <vt:lpstr>2. Names</vt:lpstr>
      <vt:lpstr>3. Loan</vt:lpstr>
      <vt:lpstr>4. Amendment</vt:lpstr>
      <vt:lpstr>carloan</vt:lpstr>
      <vt:lpstr>InitialRepayAmt</vt:lpstr>
      <vt:lpstr>'4. Amendment'!InterestRate</vt:lpstr>
      <vt:lpstr>InterestRate</vt:lpstr>
      <vt:lpstr>InterestRateNew</vt:lpstr>
      <vt:lpstr>'4. Amendment'!LoanAmt</vt:lpstr>
      <vt:lpstr>LoanAmt</vt:lpstr>
      <vt:lpstr>'4. Amendment'!LoanTerm</vt:lpstr>
      <vt:lpstr>LoanTerm</vt:lpstr>
      <vt:lpstr>NewRateTime</vt:lpstr>
      <vt:lpstr>NewrRepayAmt</vt:lpstr>
      <vt:lpstr>RegRepayAmt</vt:lpstr>
      <vt:lpstr>'4. Amendment'!RepayAmt</vt:lpstr>
      <vt:lpstr>RepayAmt</vt:lpstr>
      <vt:lpstr>RepayAmtNew</vt:lpstr>
    </vt:vector>
  </TitlesOfParts>
  <Company>Heriot-Watt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angus</dc:creator>
  <cp:lastModifiedBy>Marcus Gwee Wen Hong</cp:lastModifiedBy>
  <dcterms:created xsi:type="dcterms:W3CDTF">2008-08-18T12:12:27Z</dcterms:created>
  <dcterms:modified xsi:type="dcterms:W3CDTF">2026-01-15T04:56:58Z</dcterms:modified>
</cp:coreProperties>
</file>