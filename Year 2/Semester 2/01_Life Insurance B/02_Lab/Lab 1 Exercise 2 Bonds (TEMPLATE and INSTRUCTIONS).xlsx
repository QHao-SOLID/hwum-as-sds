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heckCompatibility="1" defaultThemeVersion="124226"/>
  <mc:AlternateContent xmlns:mc="http://schemas.openxmlformats.org/markup-compatibility/2006">
    <mc:Choice Requires="x15">
      <x15ac:absPath xmlns:x15ac="http://schemas.microsoft.com/office/spreadsheetml/2010/11/ac" url="https://d.docs.live.net/55bcf56a11f402f5/Desktop/02_Courses/01_Life Insurance B/02_Lab/"/>
    </mc:Choice>
  </mc:AlternateContent>
  <xr:revisionPtr revIDLastSave="7" documentId="13_ncr:1_{6EF995BA-F20B-45CA-91FE-FF2031548CBA}" xr6:coauthVersionLast="47" xr6:coauthVersionMax="47" xr10:uidLastSave="{AEFA0368-0A46-430A-8CDA-37ACE400EB75}"/>
  <bookViews>
    <workbookView xWindow="-98" yWindow="-98" windowWidth="21795" windowHeight="12975" activeTab="2" xr2:uid="{BDA6863B-537F-447D-B0AC-EAEFD4760DFE}"/>
  </bookViews>
  <sheets>
    <sheet name="Instructions" sheetId="12" r:id="rId1"/>
    <sheet name="Colour key" sheetId="13" r:id="rId2"/>
    <sheet name="1. Burford" sheetId="1" r:id="rId3"/>
    <sheet name="2. UK 1.5% Gilt" sheetId="14" r:id="rId4"/>
    <sheet name="3. Credit spreads" sheetId="11" r:id="rId5"/>
  </sheets>
  <definedNames>
    <definedName name="coupon" localSheetId="3">'2. UK 1.5% Gilt'!$C$7</definedName>
    <definedName name="coupon">'1. Burford'!$C$7</definedName>
    <definedName name="intRate" localSheetId="3">'2. UK 1.5% Gilt'!$C$8</definedName>
    <definedName name="intRate">'1. Burford'!$C$8</definedName>
    <definedName name="price" localSheetId="3">'2. UK 1.5% Gilt'!$C$6</definedName>
    <definedName name="price">'1. Burford'!$C$6</definedName>
    <definedName name="redemption" localSheetId="3">'2. UK 1.5% Gilt'!$C$9</definedName>
    <definedName name="redemption">'1. Burford'!$C$9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c r="C7" i="1"/>
  <c r="C88" i="11"/>
  <c r="C94" i="11"/>
  <c r="C168" i="11"/>
  <c r="C351" i="11"/>
  <c r="C357" i="11"/>
  <c r="C1218" i="11"/>
  <c r="C1151" i="11"/>
  <c r="C1146" i="11"/>
  <c r="C959" i="11"/>
  <c r="C886" i="11"/>
  <c r="C881" i="11"/>
  <c r="C861" i="11"/>
  <c r="C700" i="11"/>
  <c r="C621" i="11"/>
  <c r="C616" i="11"/>
  <c r="C421" i="11"/>
  <c r="B20" i="1"/>
  <c r="B21" i="1"/>
  <c r="B22" i="1"/>
  <c r="B23" i="1"/>
  <c r="B24" i="1"/>
  <c r="B25" i="1"/>
  <c r="B26" i="1"/>
  <c r="B27" i="1"/>
  <c r="B28" i="1"/>
  <c r="B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6" authorId="0" shapeId="0" xr:uid="{1D4A4D11-89B7-44FB-8968-BA05C9FD8D08}">
      <text>
        <r>
          <rPr>
            <b/>
            <sz val="9"/>
            <color indexed="81"/>
            <rFont val="Tahoma"/>
            <family val="2"/>
          </rPr>
          <t>Author:</t>
        </r>
        <r>
          <rPr>
            <sz val="9"/>
            <color indexed="81"/>
            <rFont val="Tahoma"/>
            <family val="2"/>
          </rPr>
          <t xml:space="preserve">
Discontinuous formula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Catherine Donnelly</author>
  </authors>
  <commentList>
    <comment ref="J79" authorId="0" shapeId="0" xr:uid="{E6D7E08A-AEBB-436A-94D1-94DE9C9CCA34}">
      <text>
        <r>
          <rPr>
            <b/>
            <sz val="9"/>
            <color indexed="81"/>
            <rFont val="Tahoma"/>
            <family val="2"/>
          </rPr>
          <t>Catherine Donnelly:</t>
        </r>
        <r>
          <rPr>
            <sz val="9"/>
            <color indexed="81"/>
            <rFont val="Tahoma"/>
            <family val="2"/>
          </rPr>
          <t xml:space="preserve">
Subtracted £0.33 from last repayment so that capital outstanding is zero after the last repayment is made.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Ian Sharpe</author>
  </authors>
  <commentList>
    <comment ref="B7" authorId="0" shapeId="0" xr:uid="{AA235FFC-B012-42E9-9D8D-F8920F164777}">
      <text>
        <r>
          <rPr>
            <sz val="9"/>
            <color indexed="81"/>
            <rFont val="Tahoma"/>
            <family val="2"/>
          </rPr>
          <t>It is normally also good practice to state the source of your data, eg provide a hyperlink</t>
        </r>
      </text>
    </comment>
  </commentList>
</comments>
</file>

<file path=xl/sharedStrings.xml><?xml version="1.0" encoding="utf-8"?>
<sst xmlns="http://schemas.openxmlformats.org/spreadsheetml/2006/main" count="119" uniqueCount="101">
  <si>
    <t>Time</t>
  </si>
  <si>
    <t>Value</t>
  </si>
  <si>
    <t>Description</t>
  </si>
  <si>
    <t>(£)</t>
  </si>
  <si>
    <t>Excel name</t>
  </si>
  <si>
    <t>Price at calculation date of £100 nominal</t>
  </si>
  <si>
    <t>price</t>
  </si>
  <si>
    <t>coupon</t>
  </si>
  <si>
    <t>Coupon amount per half-year per £100 nominal</t>
  </si>
  <si>
    <t>(half-years)</t>
  </si>
  <si>
    <t>Price</t>
  </si>
  <si>
    <t>Coupon</t>
  </si>
  <si>
    <t>Redemption</t>
  </si>
  <si>
    <t>payment</t>
  </si>
  <si>
    <t>redemption</t>
  </si>
  <si>
    <t>Redemption amount per £100 nominal</t>
  </si>
  <si>
    <t>Total</t>
  </si>
  <si>
    <t>cashflow</t>
  </si>
  <si>
    <t>Discount</t>
  </si>
  <si>
    <t>factor</t>
  </si>
  <si>
    <t>Discounted</t>
  </si>
  <si>
    <t>total</t>
  </si>
  <si>
    <t>Half-yearly effective interest rate</t>
  </si>
  <si>
    <t>Bonds - Burford Capital 5%</t>
  </si>
  <si>
    <t>ICE BofA US Corporate Index Option-Adjusted Spread, Percent, Daily, Not Seasonally Adjusted</t>
  </si>
  <si>
    <t>Date</t>
  </si>
  <si>
    <t>Credit spread (%)</t>
  </si>
  <si>
    <t>Data</t>
  </si>
  <si>
    <t>Credit spreads</t>
  </si>
  <si>
    <t>Colour keys</t>
  </si>
  <si>
    <t xml:space="preserve">The colours below are used to make the worksheet more readable and easier to check. </t>
  </si>
  <si>
    <t>Using a colour key like this is considered good practice in the workplace.</t>
  </si>
  <si>
    <t xml:space="preserve">At the start of your career, it is especially important that you produce work that is easy to read, reuse and check. </t>
  </si>
  <si>
    <t xml:space="preserve">Your colleagues will appreciate it! And it is more efficient because it saves time for the more senior people. </t>
  </si>
  <si>
    <t>Not all of this key will be required in simple spreadsheets.</t>
  </si>
  <si>
    <t>Our colour key</t>
  </si>
  <si>
    <t>Parameters/inputs</t>
  </si>
  <si>
    <t>Data/values</t>
  </si>
  <si>
    <t>Calculations and text</t>
  </si>
  <si>
    <t>Discontinuous formulas are highlighted</t>
  </si>
  <si>
    <t>Value looked up from data</t>
  </si>
  <si>
    <t>Instructions</t>
  </si>
  <si>
    <t>(Note: If you would like to view these instructions at the same time as other sheets then you can use View&gt;New Window to create a second window.)</t>
  </si>
  <si>
    <t>(a)</t>
  </si>
  <si>
    <t>(b)</t>
  </si>
  <si>
    <t>(d)</t>
  </si>
  <si>
    <t xml:space="preserve">(e) </t>
  </si>
  <si>
    <t>Bond name</t>
  </si>
  <si>
    <t>Coupon frequency</t>
  </si>
  <si>
    <t>Twice a year</t>
  </si>
  <si>
    <t>Next coupon payment</t>
  </si>
  <si>
    <t>Redemption date</t>
  </si>
  <si>
    <t>5 years from today</t>
  </si>
  <si>
    <t xml:space="preserve">(a)    </t>
  </si>
  <si>
    <t>–   Select cell H13.</t>
  </si>
  <si>
    <t>–   Go to ‘Data’ → ‘What-If Analysis’ → ‘Goal Seek...’.</t>
  </si>
  <si>
    <t>–   You want to ‘Set cell’ H13 ‘To value’ 0 ‘By changing cell’ C8.</t>
  </si>
  <si>
    <t>–   Press ’Ok’ and watch the interest rate in cell C8 change to the desired value.</t>
  </si>
  <si>
    <t>Price per £100 nominal</t>
  </si>
  <si>
    <t>Burford Capital 5%</t>
  </si>
  <si>
    <t xml:space="preserve"> Coupon rate</t>
  </si>
  <si>
    <t xml:space="preserve">In exactly 6 months’ time </t>
  </si>
  <si>
    <t>Redemption rate</t>
  </si>
  <si>
    <t xml:space="preserve">How to do this? </t>
  </si>
  <si>
    <t>The goal is to determine the interest rate for which the sum of the discounted cashflows equals the price of the bond.</t>
  </si>
  <si>
    <t>(i) To calculate the yield, first assume any interest rate to discount the bond cashflows. Suppose the interest rate is in cell C8.</t>
  </si>
  <si>
    <t>(ii) In an empty cell, e.g. H13, calculate the difference between the total discounted cashflows and the bond price.</t>
  </si>
  <si>
    <t>(iii) Then use the Excel function ‘Goal seek’ to determine the interest rate which makes the value of H13 equal to zero:</t>
  </si>
  <si>
    <t>Annual effective interest rate</t>
  </si>
  <si>
    <t>intRate</t>
  </si>
  <si>
    <t>TOTAL of column</t>
  </si>
  <si>
    <t>https://support.microsoft.com/en-us/office/use-goal-seek-to-find-the
-result-you-want-by-adjusting-an-input-value-320cb99e-f4a4-417f-b1c3
-4f369d6e66c7</t>
  </si>
  <si>
    <t>More about goalseek:</t>
  </si>
  <si>
    <t>2) Choose the worksheet UK 1.5% gilt.</t>
  </si>
  <si>
    <t>Coupon rate</t>
  </si>
  <si>
    <t>Treasury 1.5% 2026</t>
  </si>
  <si>
    <t>If you set up the previous worksheet using Excel names, you should be able to copy and simply change the value of the Excel names.</t>
  </si>
  <si>
    <t xml:space="preserve">(c)  </t>
  </si>
  <si>
    <t>To copy the previous worksheet, right-click its name ‘Burford’ at the bottom of that worksheet and then select ‘Move or copy...’.</t>
  </si>
  <si>
    <t>The difference in yields between two similar bonds is called the ‘credit spread’:</t>
  </si>
  <si>
    <t>In practice, we are unlikely to match all of these items.</t>
  </si>
  <si>
    <t xml:space="preserve">This is the difference in yield between a particular corporate bond or index, and a government bond with the same maturity date, coupons and redemption amounts. </t>
  </si>
  <si>
    <t xml:space="preserve">Larger credit spreads means that the corporate bond is more likely to default, i.e. the issuing company does not pay all the coupons and redemption payments in full. </t>
  </si>
  <si>
    <t>Lower expected future bond payments mean that the price of the corporate bond decreases and thus its yield increases.</t>
  </si>
  <si>
    <r>
      <rPr>
        <b/>
        <sz val="10"/>
        <rFont val="Arial"/>
        <family val="2"/>
      </rPr>
      <t xml:space="preserve">Exercise: </t>
    </r>
    <r>
      <rPr>
        <sz val="10"/>
        <rFont val="Arial"/>
      </rPr>
      <t>Set up the worksheet to calculate the yield on a bond issued by the UK Government with the following characteristics:</t>
    </r>
  </si>
  <si>
    <r>
      <rPr>
        <b/>
        <sz val="10"/>
        <rFont val="Arial"/>
        <family val="2"/>
      </rPr>
      <t xml:space="preserve">Exercise: </t>
    </r>
    <r>
      <rPr>
        <sz val="10"/>
        <rFont val="Arial"/>
        <family val="2"/>
      </rPr>
      <t>Set up the worksheet to calculate the yield on a bond issued by Burford Capital plc with the following characteristics</t>
    </r>
  </si>
  <si>
    <t>1) Choose the worksheet Burford.</t>
  </si>
  <si>
    <t>3) Choose the worksheet Credit spreads.</t>
  </si>
  <si>
    <t>Some values are missing (NA) but we won’t worry about that.</t>
  </si>
  <si>
    <t xml:space="preserve">On the worksheet are the credit spreads of a particular investment-grade U.S. corporate bond index over the U.S. Government (Treasury) bonds. </t>
  </si>
  <si>
    <r>
      <rPr>
        <b/>
        <sz val="10"/>
        <rFont val="Arial"/>
        <family val="2"/>
      </rPr>
      <t xml:space="preserve">Exercise: </t>
    </r>
    <r>
      <rPr>
        <sz val="10"/>
        <rFont val="Arial"/>
      </rPr>
      <t xml:space="preserve">Plot the credit spreads against the data in a line chart. To do this, go to the menu item ‘Insert’ and look at the chart options. </t>
    </r>
  </si>
  <si>
    <t>You can find more help online here:</t>
  </si>
  <si>
    <t>https://support.microsoft.com/en-us/topic/present-your-data-in-a-sca tter-chart-or-a-line-chart-4570a80f-599a-4d6b-a155-104a9018b86e.</t>
  </si>
  <si>
    <t>Don’t forget to add labels to the axes and a chart title (Always! Particularly for professional actuarial exams...).</t>
  </si>
  <si>
    <t>There was a recession in the U.S. from February 2020 to April 2020. What caused it? And what happens in your chart during this time period?</t>
  </si>
  <si>
    <t xml:space="preserve">(c)   </t>
  </si>
  <si>
    <t xml:space="preserve">Higher credit spreads means that the corporate bond is more likely to default, i.e. the issuing company does not pay all the coupons and redemption payments in full. </t>
  </si>
  <si>
    <t xml:space="preserve">This is more likely to happen in a recession. </t>
  </si>
  <si>
    <t xml:space="preserve">Lower anticipated future bond payments mean that the price of the corporate bond decreases (pay less today if you believe that you will get less in the future) and thus its yield increases </t>
  </si>
  <si>
    <t>(since the published redemption yield assumes that the coupon and redemption payments will be received in full - though you may believe otherwise).</t>
  </si>
  <si>
    <t>Bonds - Treasury 1.5%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</si>
</sst>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Red]\-&quot;£&quot;#,##0.00"/>
    <numFmt numFmtId="165" formatCode="_(* #,##0.00_);_(* \(#,##0.00\);_(* &quot;-&quot;??_);_(@_)"/>
    <numFmt numFmtId="166" formatCode="0.000%"/>
    <numFmt numFmtId="167" formatCode="dd\-mm\-yyyy"/>
    <numFmt numFmtId="168" formatCode="#,##0.000"/>
    <numFmt numFmtId="169" formatCode="_(* #,##0.0000_);_(* \(#,##0.0000\);_(* &quot;-&quot;??_);_(@_)"/>
  </numFmts>
  <fonts count="19" x14ac:knownFonts="1">
    <font>
      <sz val="10"/>
      <name val="Arial"/>
    </font>
    <font>
      <sz val="10"/>
      <name val="Arial"/>
    </font>
    <font>
      <b/>
      <sz val="10"/>
      <name val="Arial"/>
      <family val="2"/>
    </font>
    <font>
      <sz val="8"/>
      <name val="Arial"/>
      <family val="2"/>
    </font>
    <font>
      <b/>
      <sz val="10"/>
      <color indexed="10"/>
      <name val="Arial"/>
      <family val="2"/>
    </font>
    <font>
      <u/>
      <sz val="10"/>
      <color indexed="12"/>
      <name val="Arial"/>
      <family val="2"/>
    </font>
    <font>
      <sz val="10"/>
      <name val="Arial"/>
      <family val="2"/>
    </font>
    <font>
      <sz val="10"/>
      <name val="Arial"/>
      <family val="2"/>
    </font>
    <font>
      <b/>
      <u/>
      <sz val="10"/>
      <name val="Arial"/>
      <family val="2"/>
    </font>
    <font>
      <sz val="9"/>
      <color indexed="81"/>
      <name val="Tahoma"/>
      <family val="2"/>
    </font>
    <font>
      <b/>
      <sz val="9"/>
      <color indexed="81"/>
      <name val="Tahoma"/>
      <family val="2"/>
    </font>
    <font>
      <b/>
      <sz val="11"/>
      <color theme="1"/>
      <name val="Calibri"/>
      <family val="2"/>
      <scheme val="minor"/>
    </font>
    <font>
      <sz val="10"/>
      <color rgb="FFFF0000"/>
      <name val="Arial"/>
      <family val="2"/>
    </font>
    <font>
      <sz val="11"/>
      <color rgb="FF0070C0"/>
      <name val="Calibri"/>
      <family val="2"/>
      <scheme val="minor"/>
    </font>
    <font>
      <sz val="10"/>
      <color theme="3" tint="0.39997558519241921"/>
      <name val="Arial"/>
      <family val="2"/>
    </font>
    <font>
      <sz val="11"/>
      <color rgb="FFFF00FF"/>
      <name val="Calibri"/>
      <family val="2"/>
      <scheme val="minor"/>
    </font>
    <font>
      <sz val="11"/>
      <name val="Calibri"/>
      <family val="2"/>
      <scheme val="minor"/>
    </font>
    <font>
      <sz val="11"/>
      <color rgb="FF00B050"/>
      <name val="Calibri"/>
      <family val="2"/>
      <scheme val="minor"/>
    </font>
    <font>
      <i/>
      <sz val="10"/>
      <name val="Arial"/>
      <family val="2"/>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s>
  <cellStyleXfs count="3">
    <xf numFmtId="0" fontId="0" fillId="0" borderId="0"/>
    <xf numFmtId="165"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79">
    <xf numFmtId="0" fontId="0" fillId="0" borderId="0" xfId="0"/>
    <xf numFmtId="0" fontId="2" fillId="0" borderId="0" xfId="0" applyFont="1"/>
    <xf numFmtId="2" fontId="0" fillId="0" borderId="0" xfId="0" applyNumberFormat="1"/>
    <xf numFmtId="0" fontId="4" fillId="0" borderId="0" xfId="0" applyFont="1" applyAlignment="1">
      <alignment horizontal="right"/>
    </xf>
    <xf numFmtId="0" fontId="7" fillId="0" borderId="0" xfId="0" applyFont="1"/>
    <xf numFmtId="0" fontId="8" fillId="0" borderId="0" xfId="0" applyFont="1"/>
    <xf numFmtId="0" fontId="8"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4" fontId="0" fillId="0" borderId="0" xfId="0" applyNumberFormat="1"/>
    <xf numFmtId="4" fontId="12" fillId="0" borderId="0" xfId="0" applyNumberFormat="1" applyFont="1"/>
    <xf numFmtId="0" fontId="2" fillId="0" borderId="0" xfId="0" quotePrefix="1" applyFont="1" applyAlignment="1">
      <alignment horizontal="center"/>
    </xf>
    <xf numFmtId="0" fontId="12" fillId="0" borderId="0" xfId="0" applyFont="1" applyAlignment="1">
      <alignment horizontal="center"/>
    </xf>
    <xf numFmtId="4" fontId="12" fillId="0" borderId="0" xfId="0" applyNumberFormat="1" applyFont="1" applyAlignment="1">
      <alignment horizontal="center"/>
    </xf>
    <xf numFmtId="0" fontId="7" fillId="0" borderId="0" xfId="0" applyFont="1" applyAlignment="1">
      <alignment horizontal="center"/>
    </xf>
    <xf numFmtId="0" fontId="6" fillId="0" borderId="0" xfId="0" applyFont="1"/>
    <xf numFmtId="0" fontId="6" fillId="0" borderId="0" xfId="0" quotePrefix="1" applyFont="1"/>
    <xf numFmtId="166" fontId="0" fillId="0" borderId="0" xfId="0" applyNumberFormat="1"/>
    <xf numFmtId="0" fontId="0" fillId="0" borderId="3" xfId="0" applyBorder="1"/>
    <xf numFmtId="0" fontId="0" fillId="0" borderId="4" xfId="0" applyBorder="1"/>
    <xf numFmtId="0" fontId="0" fillId="0" borderId="5" xfId="0" applyBorder="1"/>
    <xf numFmtId="0" fontId="2" fillId="0" borderId="8" xfId="0" applyFont="1" applyBorder="1" applyAlignment="1">
      <alignment horizontal="right"/>
    </xf>
    <xf numFmtId="0" fontId="2" fillId="0" borderId="1" xfId="0" applyFont="1" applyBorder="1" applyAlignment="1">
      <alignment horizontal="center" vertical="center"/>
    </xf>
    <xf numFmtId="0" fontId="13" fillId="0" borderId="4" xfId="0" applyFont="1" applyBorder="1" applyProtection="1">
      <protection locked="0"/>
    </xf>
    <xf numFmtId="167" fontId="14" fillId="0" borderId="9" xfId="0" applyNumberFormat="1" applyFont="1" applyBorder="1"/>
    <xf numFmtId="2" fontId="14" fillId="0" borderId="5" xfId="0" applyNumberFormat="1" applyFont="1" applyBorder="1"/>
    <xf numFmtId="0" fontId="14" fillId="0" borderId="5" xfId="0" applyFont="1" applyBorder="1" applyAlignment="1">
      <alignment horizontal="right"/>
    </xf>
    <xf numFmtId="167" fontId="14" fillId="0" borderId="10" xfId="0" applyNumberFormat="1" applyFont="1" applyBorder="1"/>
    <xf numFmtId="2" fontId="14" fillId="0" borderId="7" xfId="0" applyNumberFormat="1" applyFont="1" applyBorder="1"/>
    <xf numFmtId="0" fontId="8" fillId="0" borderId="2" xfId="0" applyFont="1" applyBorder="1"/>
    <xf numFmtId="0" fontId="11" fillId="0" borderId="2" xfId="0" applyFont="1" applyBorder="1"/>
    <xf numFmtId="0" fontId="15" fillId="2" borderId="4" xfId="0" applyFont="1" applyFill="1" applyBorder="1"/>
    <xf numFmtId="0" fontId="16" fillId="0" borderId="4" xfId="0" applyFont="1" applyBorder="1"/>
    <xf numFmtId="0" fontId="16" fillId="3" borderId="4" xfId="0" applyFont="1" applyFill="1" applyBorder="1"/>
    <xf numFmtId="0" fontId="17" fillId="0" borderId="4" xfId="0" applyFont="1" applyBorder="1"/>
    <xf numFmtId="0" fontId="0" fillId="0" borderId="6" xfId="0" applyBorder="1"/>
    <xf numFmtId="0" fontId="0" fillId="0" borderId="7" xfId="0" applyBorder="1"/>
    <xf numFmtId="0" fontId="18" fillId="0" borderId="0" xfId="0" applyFont="1"/>
    <xf numFmtId="0" fontId="5" fillId="0" borderId="0" xfId="2" applyAlignment="1" applyProtection="1"/>
    <xf numFmtId="9" fontId="0" fillId="0" borderId="0" xfId="0" applyNumberFormat="1"/>
    <xf numFmtId="0" fontId="2" fillId="0" borderId="11" xfId="0" applyFont="1" applyBorder="1"/>
    <xf numFmtId="0" fontId="6" fillId="0" borderId="11" xfId="0" applyFont="1" applyBorder="1"/>
    <xf numFmtId="0" fontId="6" fillId="0" borderId="9" xfId="0" applyFont="1" applyBorder="1"/>
    <xf numFmtId="0" fontId="0" fillId="0" borderId="9" xfId="0" applyBorder="1"/>
    <xf numFmtId="0" fontId="0" fillId="0" borderId="10" xfId="0" applyBorder="1"/>
    <xf numFmtId="0" fontId="2" fillId="0" borderId="3" xfId="0" applyFont="1" applyBorder="1" applyAlignment="1">
      <alignment horizontal="center"/>
    </xf>
    <xf numFmtId="164" fontId="0" fillId="0" borderId="3" xfId="0" applyNumberFormat="1" applyBorder="1" applyAlignment="1">
      <alignment horizontal="center"/>
    </xf>
    <xf numFmtId="9" fontId="0" fillId="0" borderId="5" xfId="0" applyNumberFormat="1" applyBorder="1" applyAlignment="1">
      <alignment horizontal="center"/>
    </xf>
    <xf numFmtId="0" fontId="0" fillId="0" borderId="5" xfId="0" applyBorder="1" applyAlignment="1">
      <alignment horizontal="center"/>
    </xf>
    <xf numFmtId="0" fontId="6" fillId="0" borderId="5" xfId="0" applyFont="1" applyBorder="1" applyAlignment="1">
      <alignment horizontal="center"/>
    </xf>
    <xf numFmtId="0" fontId="0" fillId="0" borderId="7" xfId="0" applyBorder="1" applyAlignment="1">
      <alignment horizontal="center"/>
    </xf>
    <xf numFmtId="2" fontId="15" fillId="2" borderId="11" xfId="0" applyNumberFormat="1" applyFont="1" applyFill="1" applyBorder="1" applyAlignment="1">
      <alignment horizontal="center" vertical="center"/>
    </xf>
    <xf numFmtId="2" fontId="15" fillId="2" borderId="10" xfId="0" applyNumberFormat="1" applyFont="1" applyFill="1" applyBorder="1" applyAlignment="1">
      <alignment horizontal="center" vertical="center"/>
    </xf>
    <xf numFmtId="2" fontId="15" fillId="2" borderId="1" xfId="0" applyNumberFormat="1" applyFont="1" applyFill="1" applyBorder="1" applyAlignment="1">
      <alignment horizontal="center" vertical="center"/>
    </xf>
    <xf numFmtId="0" fontId="7" fillId="0" borderId="12" xfId="0" applyFont="1" applyBorder="1"/>
    <xf numFmtId="0" fontId="7" fillId="0" borderId="12" xfId="0" applyFont="1" applyBorder="1" applyAlignment="1">
      <alignment horizontal="right"/>
    </xf>
    <xf numFmtId="0" fontId="0" fillId="0" borderId="12" xfId="0" applyBorder="1"/>
    <xf numFmtId="0" fontId="2" fillId="0" borderId="5" xfId="0" applyFont="1" applyBorder="1" applyAlignment="1">
      <alignment horizontal="center"/>
    </xf>
    <xf numFmtId="4" fontId="6" fillId="0" borderId="0" xfId="0" applyNumberFormat="1" applyFont="1"/>
    <xf numFmtId="168" fontId="0" fillId="0" borderId="0" xfId="0" applyNumberFormat="1"/>
    <xf numFmtId="168" fontId="0" fillId="0" borderId="5" xfId="0" applyNumberFormat="1" applyBorder="1"/>
    <xf numFmtId="4" fontId="0" fillId="0" borderId="13" xfId="0" applyNumberFormat="1" applyBorder="1"/>
    <xf numFmtId="168" fontId="0" fillId="0" borderId="13" xfId="0" applyNumberFormat="1" applyBorder="1"/>
    <xf numFmtId="168" fontId="0" fillId="0" borderId="7" xfId="0" applyNumberFormat="1" applyBorder="1"/>
    <xf numFmtId="0" fontId="2" fillId="0" borderId="13" xfId="0" quotePrefix="1" applyFont="1" applyBorder="1" applyAlignment="1">
      <alignment horizontal="center"/>
    </xf>
    <xf numFmtId="0" fontId="2" fillId="0" borderId="13" xfId="0" applyFont="1" applyBorder="1" applyAlignment="1">
      <alignment horizontal="center"/>
    </xf>
    <xf numFmtId="0" fontId="2" fillId="0" borderId="7" xfId="0" quotePrefix="1" applyFont="1" applyBorder="1" applyAlignment="1">
      <alignment horizontal="center"/>
    </xf>
    <xf numFmtId="0" fontId="7" fillId="0" borderId="11" xfId="0" applyFont="1" applyBorder="1"/>
    <xf numFmtId="0" fontId="0" fillId="0" borderId="9" xfId="0"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0" fillId="0" borderId="10" xfId="0" applyBorder="1" applyAlignment="1">
      <alignment horizontal="center"/>
    </xf>
    <xf numFmtId="0" fontId="2" fillId="0" borderId="14" xfId="0" applyFont="1" applyBorder="1"/>
    <xf numFmtId="0" fontId="2" fillId="0" borderId="1" xfId="0" applyFont="1" applyBorder="1"/>
    <xf numFmtId="169" fontId="2" fillId="0" borderId="14" xfId="1" applyNumberFormat="1" applyFont="1" applyBorder="1"/>
    <xf numFmtId="165" fontId="2" fillId="0" borderId="8" xfId="1" applyFont="1" applyBorder="1"/>
    <xf numFmtId="10" fontId="15" fillId="2" borderId="1" xfId="0" applyNumberFormat="1" applyFont="1" applyFill="1" applyBorder="1" applyAlignment="1">
      <alignment horizontal="center" vertical="center"/>
    </xf>
    <xf numFmtId="0" fontId="6" fillId="0" borderId="4" xfId="0" applyFont="1" applyBorder="1" applyAlignment="1">
      <alignment horizontal="left" vertical="top" wrapText="1"/>
    </xf>
    <xf numFmtId="0" fontId="6" fillId="0" borderId="5" xfId="0" applyFont="1" applyBorder="1" applyAlignment="1">
      <alignment horizontal="left" vertical="top"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upport.microsoft.com/en-us/topic/present-your-data-in-a-sca%20tter-chart-or-a-line-chart-4570a80f-599a-4d6b-a155-104a9018b86e." TargetMode="External"/><Relationship Id="rId1" Type="http://schemas.openxmlformats.org/officeDocument/2006/relationships/hyperlink" Target="https://support.microsoft.com/en-us/office/use-goal-seek-to-find-the-result-you-want-by-adjusting-an-input-value-320cb99e-f4a4-417f-b1c3-4f369d6e66c7"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D72B7-C7A5-4507-A508-32C74EA43078}">
  <dimension ref="B2:G65"/>
  <sheetViews>
    <sheetView workbookViewId="0">
      <pane xSplit="1" ySplit="3" topLeftCell="B4" activePane="bottomRight" state="frozen"/>
      <selection pane="topRight" activeCell="B1" sqref="B1"/>
      <selection pane="bottomLeft" activeCell="A4" sqref="A4"/>
      <selection pane="bottomRight" activeCell="D10" sqref="D10"/>
    </sheetView>
  </sheetViews>
  <sheetFormatPr defaultRowHeight="12.75" x14ac:dyDescent="0.35"/>
  <cols>
    <col min="3" max="3" width="20.19921875" customWidth="1"/>
    <col min="4" max="4" width="22.1328125" customWidth="1"/>
  </cols>
  <sheetData>
    <row r="2" spans="2:4" ht="13.15" x14ac:dyDescent="0.4">
      <c r="B2" s="5" t="s">
        <v>41</v>
      </c>
    </row>
    <row r="3" spans="2:4" x14ac:dyDescent="0.35">
      <c r="B3" s="37" t="s">
        <v>42</v>
      </c>
    </row>
    <row r="4" spans="2:4" x14ac:dyDescent="0.35">
      <c r="B4" s="15"/>
    </row>
    <row r="5" spans="2:4" x14ac:dyDescent="0.35">
      <c r="B5" s="15" t="s">
        <v>86</v>
      </c>
    </row>
    <row r="6" spans="2:4" x14ac:dyDescent="0.35">
      <c r="B6" s="15"/>
      <c r="C6" s="15"/>
    </row>
    <row r="7" spans="2:4" ht="13.15" x14ac:dyDescent="0.4">
      <c r="B7" s="15" t="s">
        <v>43</v>
      </c>
      <c r="C7" s="15" t="s">
        <v>85</v>
      </c>
    </row>
    <row r="8" spans="2:4" ht="13.15" thickBot="1" x14ac:dyDescent="0.4">
      <c r="B8" s="15"/>
      <c r="C8" s="15"/>
    </row>
    <row r="9" spans="2:4" ht="13.5" thickBot="1" x14ac:dyDescent="0.45">
      <c r="C9" s="40" t="s">
        <v>47</v>
      </c>
      <c r="D9" s="45" t="s">
        <v>59</v>
      </c>
    </row>
    <row r="10" spans="2:4" x14ac:dyDescent="0.35">
      <c r="C10" s="41" t="s">
        <v>58</v>
      </c>
      <c r="D10" s="46">
        <v>104.48</v>
      </c>
    </row>
    <row r="11" spans="2:4" x14ac:dyDescent="0.35">
      <c r="B11" s="15"/>
      <c r="C11" s="42" t="s">
        <v>60</v>
      </c>
      <c r="D11" s="47">
        <v>0.05</v>
      </c>
    </row>
    <row r="12" spans="2:4" x14ac:dyDescent="0.35">
      <c r="C12" s="42" t="s">
        <v>48</v>
      </c>
      <c r="D12" s="48" t="s">
        <v>49</v>
      </c>
    </row>
    <row r="13" spans="2:4" x14ac:dyDescent="0.35">
      <c r="B13" s="15"/>
      <c r="C13" s="43" t="s">
        <v>50</v>
      </c>
      <c r="D13" s="49" t="s">
        <v>61</v>
      </c>
    </row>
    <row r="14" spans="2:4" x14ac:dyDescent="0.35">
      <c r="B14" s="15"/>
      <c r="C14" s="42" t="s">
        <v>62</v>
      </c>
      <c r="D14" s="47">
        <v>1</v>
      </c>
    </row>
    <row r="15" spans="2:4" ht="13.15" thickBot="1" x14ac:dyDescent="0.4">
      <c r="B15" s="15"/>
      <c r="C15" s="44" t="s">
        <v>51</v>
      </c>
      <c r="D15" s="50" t="s">
        <v>52</v>
      </c>
    </row>
    <row r="17" spans="2:4" x14ac:dyDescent="0.35">
      <c r="B17" s="15" t="s">
        <v>44</v>
      </c>
      <c r="C17" s="15" t="s">
        <v>63</v>
      </c>
    </row>
    <row r="18" spans="2:4" x14ac:dyDescent="0.35">
      <c r="B18" s="15"/>
      <c r="C18" s="15" t="s">
        <v>64</v>
      </c>
    </row>
    <row r="19" spans="2:4" x14ac:dyDescent="0.35">
      <c r="C19" s="15" t="s">
        <v>65</v>
      </c>
    </row>
    <row r="20" spans="2:4" x14ac:dyDescent="0.35">
      <c r="B20" s="15"/>
      <c r="C20" s="15" t="s">
        <v>66</v>
      </c>
    </row>
    <row r="21" spans="2:4" x14ac:dyDescent="0.35">
      <c r="C21" s="15" t="s">
        <v>67</v>
      </c>
    </row>
    <row r="22" spans="2:4" x14ac:dyDescent="0.35">
      <c r="D22" s="16" t="s">
        <v>54</v>
      </c>
    </row>
    <row r="23" spans="2:4" x14ac:dyDescent="0.35">
      <c r="D23" t="s">
        <v>55</v>
      </c>
    </row>
    <row r="24" spans="2:4" x14ac:dyDescent="0.35">
      <c r="D24" s="16" t="s">
        <v>56</v>
      </c>
    </row>
    <row r="25" spans="2:4" x14ac:dyDescent="0.35">
      <c r="D25" t="s">
        <v>57</v>
      </c>
    </row>
    <row r="26" spans="2:4" x14ac:dyDescent="0.35">
      <c r="B26" s="15"/>
      <c r="C26" s="15" t="s">
        <v>72</v>
      </c>
    </row>
    <row r="27" spans="2:4" x14ac:dyDescent="0.35">
      <c r="C27" s="38" t="s">
        <v>71</v>
      </c>
    </row>
    <row r="28" spans="2:4" x14ac:dyDescent="0.35">
      <c r="B28" s="15"/>
      <c r="C28" s="15"/>
    </row>
    <row r="29" spans="2:4" x14ac:dyDescent="0.35">
      <c r="B29" s="15" t="s">
        <v>73</v>
      </c>
    </row>
    <row r="31" spans="2:4" ht="13.15" x14ac:dyDescent="0.4">
      <c r="B31" t="s">
        <v>53</v>
      </c>
      <c r="C31" s="15" t="s">
        <v>84</v>
      </c>
    </row>
    <row r="32" spans="2:4" ht="13.15" thickBot="1" x14ac:dyDescent="0.4"/>
    <row r="33" spans="2:7" ht="13.5" thickBot="1" x14ac:dyDescent="0.45">
      <c r="C33" s="40" t="s">
        <v>47</v>
      </c>
      <c r="D33" s="45" t="s">
        <v>75</v>
      </c>
    </row>
    <row r="34" spans="2:7" x14ac:dyDescent="0.35">
      <c r="B34" s="15"/>
      <c r="C34" s="41" t="s">
        <v>58</v>
      </c>
      <c r="D34" s="46">
        <v>105.59</v>
      </c>
    </row>
    <row r="35" spans="2:7" x14ac:dyDescent="0.35">
      <c r="B35" s="15"/>
      <c r="C35" s="42" t="s">
        <v>74</v>
      </c>
      <c r="D35" s="47">
        <v>1.4999999999999999E-2</v>
      </c>
    </row>
    <row r="36" spans="2:7" x14ac:dyDescent="0.35">
      <c r="C36" s="42" t="s">
        <v>48</v>
      </c>
      <c r="D36" s="48" t="s">
        <v>49</v>
      </c>
    </row>
    <row r="37" spans="2:7" x14ac:dyDescent="0.35">
      <c r="C37" s="43" t="s">
        <v>50</v>
      </c>
      <c r="D37" s="49" t="s">
        <v>61</v>
      </c>
    </row>
    <row r="38" spans="2:7" x14ac:dyDescent="0.35">
      <c r="C38" s="42" t="s">
        <v>62</v>
      </c>
      <c r="D38" s="47">
        <v>1</v>
      </c>
      <c r="G38" s="39"/>
    </row>
    <row r="39" spans="2:7" ht="13.15" thickBot="1" x14ac:dyDescent="0.4">
      <c r="C39" s="44" t="s">
        <v>51</v>
      </c>
      <c r="D39" s="50" t="s">
        <v>52</v>
      </c>
    </row>
    <row r="40" spans="2:7" x14ac:dyDescent="0.35">
      <c r="B40" s="15"/>
    </row>
    <row r="41" spans="2:7" x14ac:dyDescent="0.35">
      <c r="B41" s="15" t="s">
        <v>44</v>
      </c>
      <c r="C41" s="15" t="s">
        <v>76</v>
      </c>
    </row>
    <row r="42" spans="2:7" x14ac:dyDescent="0.35">
      <c r="B42" s="15" t="s">
        <v>77</v>
      </c>
      <c r="C42" s="15" t="s">
        <v>78</v>
      </c>
    </row>
    <row r="43" spans="2:7" x14ac:dyDescent="0.35">
      <c r="B43" s="15" t="s">
        <v>45</v>
      </c>
      <c r="C43" s="15" t="s">
        <v>79</v>
      </c>
    </row>
    <row r="44" spans="2:7" x14ac:dyDescent="0.35">
      <c r="C44" s="15" t="s">
        <v>81</v>
      </c>
    </row>
    <row r="45" spans="2:7" x14ac:dyDescent="0.35">
      <c r="C45" s="15" t="s">
        <v>80</v>
      </c>
    </row>
    <row r="46" spans="2:7" x14ac:dyDescent="0.35">
      <c r="B46" s="15" t="s">
        <v>46</v>
      </c>
      <c r="C46" s="15" t="s">
        <v>82</v>
      </c>
    </row>
    <row r="47" spans="2:7" x14ac:dyDescent="0.35">
      <c r="B47" s="15"/>
      <c r="C47" s="15" t="s">
        <v>83</v>
      </c>
    </row>
    <row r="49" spans="2:3" x14ac:dyDescent="0.35">
      <c r="B49" s="15" t="s">
        <v>87</v>
      </c>
    </row>
    <row r="50" spans="2:3" x14ac:dyDescent="0.35">
      <c r="B50" s="15"/>
    </row>
    <row r="51" spans="2:3" x14ac:dyDescent="0.35">
      <c r="C51" s="15" t="s">
        <v>89</v>
      </c>
    </row>
    <row r="52" spans="2:3" x14ac:dyDescent="0.35">
      <c r="C52" s="15" t="s">
        <v>88</v>
      </c>
    </row>
    <row r="54" spans="2:3" ht="13.15" x14ac:dyDescent="0.4">
      <c r="B54" s="15" t="s">
        <v>43</v>
      </c>
      <c r="C54" s="15" t="s">
        <v>90</v>
      </c>
    </row>
    <row r="55" spans="2:3" x14ac:dyDescent="0.35">
      <c r="C55" s="15" t="s">
        <v>91</v>
      </c>
    </row>
    <row r="56" spans="2:3" x14ac:dyDescent="0.35">
      <c r="C56" s="38" t="s">
        <v>92</v>
      </c>
    </row>
    <row r="58" spans="2:3" x14ac:dyDescent="0.35">
      <c r="B58" s="15" t="s">
        <v>44</v>
      </c>
      <c r="C58" s="15" t="s">
        <v>93</v>
      </c>
    </row>
    <row r="60" spans="2:3" x14ac:dyDescent="0.35">
      <c r="B60" s="15" t="s">
        <v>95</v>
      </c>
      <c r="C60" s="15" t="s">
        <v>94</v>
      </c>
    </row>
    <row r="62" spans="2:3" x14ac:dyDescent="0.35">
      <c r="B62" s="15" t="s">
        <v>45</v>
      </c>
      <c r="C62" s="15" t="s">
        <v>96</v>
      </c>
    </row>
    <row r="63" spans="2:3" x14ac:dyDescent="0.35">
      <c r="C63" s="15" t="s">
        <v>97</v>
      </c>
    </row>
    <row r="64" spans="2:3" x14ac:dyDescent="0.35">
      <c r="C64" s="15" t="s">
        <v>98</v>
      </c>
    </row>
    <row r="65" spans="3:3" x14ac:dyDescent="0.35">
      <c r="C65" s="15" t="s">
        <v>99</v>
      </c>
    </row>
  </sheetData>
  <hyperlinks>
    <hyperlink ref="C27" r:id="rId1" xr:uid="{316A0546-BBEC-4B92-B0F0-C5D594928373}"/>
    <hyperlink ref="C56" r:id="rId2" xr:uid="{EBF25BC4-4C9E-4599-B8E7-D518E3AD7F6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E087D-6C80-46C7-8BCD-096926EF8304}">
  <dimension ref="A2:B19"/>
  <sheetViews>
    <sheetView workbookViewId="0">
      <selection activeCell="A10" sqref="A10"/>
    </sheetView>
  </sheetViews>
  <sheetFormatPr defaultRowHeight="12.75" x14ac:dyDescent="0.35"/>
  <cols>
    <col min="1" max="1" width="37.3984375" customWidth="1"/>
  </cols>
  <sheetData>
    <row r="2" spans="1:2" ht="13.15" x14ac:dyDescent="0.4">
      <c r="A2" s="5" t="s">
        <v>29</v>
      </c>
    </row>
    <row r="4" spans="1:2" x14ac:dyDescent="0.35">
      <c r="A4" s="15" t="s">
        <v>30</v>
      </c>
    </row>
    <row r="5" spans="1:2" x14ac:dyDescent="0.35">
      <c r="A5" s="15" t="s">
        <v>31</v>
      </c>
    </row>
    <row r="6" spans="1:2" x14ac:dyDescent="0.35">
      <c r="A6" s="15" t="s">
        <v>32</v>
      </c>
    </row>
    <row r="7" spans="1:2" x14ac:dyDescent="0.35">
      <c r="A7" s="15" t="s">
        <v>33</v>
      </c>
    </row>
    <row r="8" spans="1:2" x14ac:dyDescent="0.35">
      <c r="A8" s="15" t="s">
        <v>34</v>
      </c>
    </row>
    <row r="9" spans="1:2" x14ac:dyDescent="0.35">
      <c r="A9" s="15"/>
    </row>
    <row r="10" spans="1:2" ht="13.15" thickBot="1" x14ac:dyDescent="0.4"/>
    <row r="11" spans="1:2" ht="14.25" x14ac:dyDescent="0.45">
      <c r="A11" s="30" t="s">
        <v>35</v>
      </c>
      <c r="B11" s="18"/>
    </row>
    <row r="12" spans="1:2" x14ac:dyDescent="0.35">
      <c r="A12" s="19"/>
      <c r="B12" s="20"/>
    </row>
    <row r="13" spans="1:2" ht="14.25" x14ac:dyDescent="0.45">
      <c r="A13" s="31" t="s">
        <v>36</v>
      </c>
      <c r="B13" s="20"/>
    </row>
    <row r="14" spans="1:2" ht="14.25" x14ac:dyDescent="0.45">
      <c r="A14" s="23" t="s">
        <v>37</v>
      </c>
      <c r="B14" s="20"/>
    </row>
    <row r="15" spans="1:2" ht="14.25" x14ac:dyDescent="0.45">
      <c r="A15" s="32" t="s">
        <v>38</v>
      </c>
      <c r="B15" s="20"/>
    </row>
    <row r="16" spans="1:2" ht="14.25" x14ac:dyDescent="0.45">
      <c r="A16" s="33" t="s">
        <v>39</v>
      </c>
      <c r="B16" s="20"/>
    </row>
    <row r="17" spans="1:2" ht="14.25" x14ac:dyDescent="0.45">
      <c r="A17" s="34" t="s">
        <v>40</v>
      </c>
      <c r="B17" s="20"/>
    </row>
    <row r="18" spans="1:2" x14ac:dyDescent="0.35">
      <c r="A18" s="19"/>
      <c r="B18" s="20"/>
    </row>
    <row r="19" spans="1:2" ht="13.15" thickBot="1" x14ac:dyDescent="0.4">
      <c r="A19" s="35"/>
      <c r="B19" s="36"/>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4271D-B64B-4FB4-8CFF-F4916CA12B67}">
  <dimension ref="A1:M107"/>
  <sheetViews>
    <sheetView tabSelected="1" workbookViewId="0">
      <selection activeCell="D19" sqref="D19"/>
    </sheetView>
  </sheetViews>
  <sheetFormatPr defaultRowHeight="12.75" x14ac:dyDescent="0.35"/>
  <cols>
    <col min="2" max="2" width="17.6640625" customWidth="1"/>
    <col min="3" max="3" width="15.73046875" customWidth="1"/>
    <col min="5" max="5" width="11.46484375" bestFit="1" customWidth="1"/>
    <col min="6" max="6" width="11.86328125" bestFit="1" customWidth="1"/>
    <col min="8" max="8" width="10.73046875" bestFit="1" customWidth="1"/>
    <col min="9" max="9" width="14.59765625" customWidth="1"/>
    <col min="10" max="10" width="11.265625" customWidth="1"/>
    <col min="13" max="13" width="11.86328125" bestFit="1" customWidth="1"/>
  </cols>
  <sheetData>
    <row r="1" spans="1:13" ht="13.15" x14ac:dyDescent="0.4">
      <c r="A1" s="5"/>
    </row>
    <row r="2" spans="1:13" ht="13.15" x14ac:dyDescent="0.4">
      <c r="B2" s="5" t="s">
        <v>23</v>
      </c>
    </row>
    <row r="3" spans="1:13" ht="13.15" x14ac:dyDescent="0.4">
      <c r="B3" s="1"/>
      <c r="I3" s="1"/>
    </row>
    <row r="5" spans="1:13" ht="13.5" thickBot="1" x14ac:dyDescent="0.45">
      <c r="B5" s="5" t="s">
        <v>4</v>
      </c>
      <c r="C5" s="6" t="s">
        <v>1</v>
      </c>
      <c r="D5" s="5" t="s">
        <v>2</v>
      </c>
      <c r="I5" s="5"/>
      <c r="J5" s="6"/>
      <c r="K5" s="5"/>
    </row>
    <row r="6" spans="1:13" ht="14.65" thickBot="1" x14ac:dyDescent="0.4">
      <c r="B6" s="15" t="s">
        <v>6</v>
      </c>
      <c r="C6" s="51">
        <v>104.48</v>
      </c>
      <c r="D6" s="15" t="s">
        <v>5</v>
      </c>
      <c r="I6" s="4"/>
      <c r="J6" s="12"/>
      <c r="K6" s="4"/>
    </row>
    <row r="7" spans="1:13" ht="14.65" thickBot="1" x14ac:dyDescent="0.4">
      <c r="B7" s="15" t="s">
        <v>7</v>
      </c>
      <c r="C7" s="53">
        <f>100*5%</f>
        <v>5</v>
      </c>
      <c r="D7" s="15" t="s">
        <v>8</v>
      </c>
      <c r="I7" s="4"/>
      <c r="J7" s="7"/>
      <c r="K7" s="4"/>
    </row>
    <row r="8" spans="1:13" ht="14.65" thickBot="1" x14ac:dyDescent="0.4">
      <c r="B8" s="15" t="s">
        <v>69</v>
      </c>
      <c r="C8" s="76">
        <v>0.05</v>
      </c>
      <c r="D8" s="15" t="s">
        <v>22</v>
      </c>
      <c r="I8" s="16"/>
      <c r="J8" s="13"/>
    </row>
    <row r="9" spans="1:13" ht="14.65" thickBot="1" x14ac:dyDescent="0.4">
      <c r="B9" s="15" t="s">
        <v>14</v>
      </c>
      <c r="C9" s="52">
        <v>100</v>
      </c>
      <c r="D9" s="15" t="s">
        <v>15</v>
      </c>
      <c r="I9" s="4"/>
      <c r="J9" s="12"/>
      <c r="K9" s="4"/>
    </row>
    <row r="10" spans="1:13" x14ac:dyDescent="0.35">
      <c r="C10" s="17"/>
      <c r="D10" s="15" t="s">
        <v>68</v>
      </c>
      <c r="I10" s="4"/>
      <c r="J10" s="7"/>
      <c r="K10" s="4"/>
    </row>
    <row r="11" spans="1:13" x14ac:dyDescent="0.35">
      <c r="I11" s="4"/>
      <c r="J11" s="14"/>
      <c r="K11" s="4"/>
    </row>
    <row r="12" spans="1:13" ht="13.15" thickBot="1" x14ac:dyDescent="0.4">
      <c r="I12" s="4"/>
      <c r="J12" s="14"/>
      <c r="K12" s="4"/>
    </row>
    <row r="13" spans="1:13" s="1" customFormat="1" ht="13.5" thickBot="1" x14ac:dyDescent="0.45">
      <c r="B13" s="73" t="s">
        <v>70</v>
      </c>
      <c r="C13" s="72"/>
      <c r="D13" s="72"/>
      <c r="E13" s="72"/>
      <c r="F13" s="72"/>
      <c r="G13" s="74"/>
      <c r="H13" s="75"/>
      <c r="J13" s="8"/>
    </row>
    <row r="14" spans="1:13" ht="13.15" thickBot="1" x14ac:dyDescent="0.4"/>
    <row r="15" spans="1:13" ht="13.15" x14ac:dyDescent="0.4">
      <c r="B15" s="67"/>
      <c r="C15" s="54"/>
      <c r="D15" s="54"/>
      <c r="E15" s="54"/>
      <c r="F15" s="55"/>
      <c r="G15" s="56"/>
      <c r="H15" s="45" t="s">
        <v>20</v>
      </c>
      <c r="M15" s="3"/>
    </row>
    <row r="16" spans="1:13" ht="13.15" x14ac:dyDescent="0.4">
      <c r="B16" s="68"/>
      <c r="C16" s="8"/>
      <c r="D16" s="8"/>
      <c r="E16" s="8" t="s">
        <v>12</v>
      </c>
      <c r="F16" s="8" t="s">
        <v>16</v>
      </c>
      <c r="G16" s="8" t="s">
        <v>18</v>
      </c>
      <c r="H16" s="57" t="s">
        <v>21</v>
      </c>
      <c r="I16" s="7"/>
      <c r="J16" s="8"/>
      <c r="K16" s="8"/>
      <c r="L16" s="8"/>
      <c r="M16" s="8"/>
    </row>
    <row r="17" spans="2:13" ht="13.15" x14ac:dyDescent="0.4">
      <c r="B17" s="69" t="s">
        <v>0</v>
      </c>
      <c r="C17" s="8" t="s">
        <v>10</v>
      </c>
      <c r="D17" s="8" t="s">
        <v>11</v>
      </c>
      <c r="E17" s="8" t="s">
        <v>13</v>
      </c>
      <c r="F17" s="8" t="s">
        <v>17</v>
      </c>
      <c r="G17" s="8" t="s">
        <v>19</v>
      </c>
      <c r="H17" s="57" t="s">
        <v>17</v>
      </c>
      <c r="I17" s="8"/>
      <c r="J17" s="8"/>
      <c r="K17" s="8"/>
      <c r="L17" s="8"/>
      <c r="M17" s="8"/>
    </row>
    <row r="18" spans="2:13" ht="13.5" thickBot="1" x14ac:dyDescent="0.45">
      <c r="B18" s="70" t="s">
        <v>9</v>
      </c>
      <c r="C18" s="64" t="s">
        <v>3</v>
      </c>
      <c r="D18" s="64" t="s">
        <v>3</v>
      </c>
      <c r="E18" s="64" t="s">
        <v>3</v>
      </c>
      <c r="F18" s="64" t="s">
        <v>3</v>
      </c>
      <c r="G18" s="65"/>
      <c r="H18" s="66" t="s">
        <v>3</v>
      </c>
      <c r="I18" s="8"/>
      <c r="J18" s="11"/>
      <c r="K18" s="11"/>
      <c r="L18" s="11"/>
      <c r="M18" s="11"/>
    </row>
    <row r="19" spans="2:13" x14ac:dyDescent="0.35">
      <c r="B19" s="68">
        <v>0</v>
      </c>
      <c r="C19" s="9">
        <f>price</f>
        <v>104.48</v>
      </c>
      <c r="D19" s="58"/>
      <c r="E19" s="9"/>
      <c r="F19" s="9"/>
      <c r="G19" s="59"/>
      <c r="H19" s="20"/>
      <c r="I19" s="7"/>
      <c r="J19" s="9"/>
      <c r="K19" s="9"/>
      <c r="L19" s="9"/>
      <c r="M19" s="9"/>
    </row>
    <row r="20" spans="2:13" x14ac:dyDescent="0.35">
      <c r="B20" s="68">
        <f>B19+1</f>
        <v>1</v>
      </c>
      <c r="C20" s="9"/>
      <c r="D20" s="9"/>
      <c r="E20" s="9"/>
      <c r="F20" s="9"/>
      <c r="G20" s="59"/>
      <c r="H20" s="60"/>
      <c r="I20" s="7"/>
      <c r="J20" s="9"/>
      <c r="K20" s="9"/>
      <c r="L20" s="9"/>
      <c r="M20" s="9"/>
    </row>
    <row r="21" spans="2:13" x14ac:dyDescent="0.35">
      <c r="B21" s="68">
        <f t="shared" ref="B21:B29" si="0">B20+1</f>
        <v>2</v>
      </c>
      <c r="C21" s="9"/>
      <c r="D21" s="9"/>
      <c r="E21" s="9"/>
      <c r="F21" s="9"/>
      <c r="G21" s="59"/>
      <c r="H21" s="60"/>
      <c r="I21" s="7"/>
      <c r="J21" s="9"/>
      <c r="K21" s="9"/>
      <c r="L21" s="9"/>
      <c r="M21" s="9"/>
    </row>
    <row r="22" spans="2:13" x14ac:dyDescent="0.35">
      <c r="B22" s="68">
        <f t="shared" si="0"/>
        <v>3</v>
      </c>
      <c r="C22" s="9"/>
      <c r="D22" s="9"/>
      <c r="E22" s="9"/>
      <c r="F22" s="9"/>
      <c r="G22" s="59"/>
      <c r="H22" s="60"/>
      <c r="I22" s="7"/>
      <c r="J22" s="9"/>
      <c r="K22" s="9"/>
      <c r="L22" s="9"/>
      <c r="M22" s="9"/>
    </row>
    <row r="23" spans="2:13" x14ac:dyDescent="0.35">
      <c r="B23" s="68">
        <f t="shared" si="0"/>
        <v>4</v>
      </c>
      <c r="C23" s="9"/>
      <c r="D23" s="9"/>
      <c r="E23" s="9"/>
      <c r="F23" s="9"/>
      <c r="G23" s="59"/>
      <c r="H23" s="60"/>
      <c r="I23" s="7"/>
      <c r="J23" s="9"/>
      <c r="K23" s="9"/>
      <c r="L23" s="9"/>
      <c r="M23" s="9"/>
    </row>
    <row r="24" spans="2:13" x14ac:dyDescent="0.35">
      <c r="B24" s="68">
        <f t="shared" si="0"/>
        <v>5</v>
      </c>
      <c r="C24" s="9"/>
      <c r="D24" s="9"/>
      <c r="E24" s="9"/>
      <c r="F24" s="9"/>
      <c r="G24" s="59"/>
      <c r="H24" s="60"/>
      <c r="I24" s="7"/>
      <c r="J24" s="9"/>
      <c r="K24" s="9"/>
      <c r="L24" s="9"/>
      <c r="M24" s="9"/>
    </row>
    <row r="25" spans="2:13" x14ac:dyDescent="0.35">
      <c r="B25" s="68">
        <f t="shared" si="0"/>
        <v>6</v>
      </c>
      <c r="C25" s="9"/>
      <c r="D25" s="9"/>
      <c r="E25" s="9"/>
      <c r="F25" s="9"/>
      <c r="G25" s="59"/>
      <c r="H25" s="60"/>
      <c r="I25" s="7"/>
      <c r="J25" s="9"/>
      <c r="K25" s="9"/>
      <c r="L25" s="9"/>
      <c r="M25" s="9"/>
    </row>
    <row r="26" spans="2:13" x14ac:dyDescent="0.35">
      <c r="B26" s="68">
        <f t="shared" si="0"/>
        <v>7</v>
      </c>
      <c r="C26" s="9"/>
      <c r="D26" s="9"/>
      <c r="E26" s="9"/>
      <c r="F26" s="9"/>
      <c r="G26" s="59"/>
      <c r="H26" s="60"/>
      <c r="I26" s="7"/>
      <c r="J26" s="9"/>
      <c r="K26" s="9"/>
      <c r="L26" s="9"/>
      <c r="M26" s="9"/>
    </row>
    <row r="27" spans="2:13" x14ac:dyDescent="0.35">
      <c r="B27" s="68">
        <f t="shared" si="0"/>
        <v>8</v>
      </c>
      <c r="C27" s="9"/>
      <c r="D27" s="9"/>
      <c r="E27" s="9"/>
      <c r="F27" s="9"/>
      <c r="G27" s="59"/>
      <c r="H27" s="60"/>
      <c r="I27" s="7"/>
      <c r="J27" s="9"/>
      <c r="K27" s="9"/>
      <c r="L27" s="9"/>
      <c r="M27" s="9"/>
    </row>
    <row r="28" spans="2:13" x14ac:dyDescent="0.35">
      <c r="B28" s="68">
        <f t="shared" si="0"/>
        <v>9</v>
      </c>
      <c r="C28" s="9"/>
      <c r="D28" s="9"/>
      <c r="E28" s="9"/>
      <c r="F28" s="9"/>
      <c r="G28" s="59"/>
      <c r="H28" s="60"/>
      <c r="I28" s="7"/>
      <c r="J28" s="9"/>
      <c r="K28" s="9"/>
      <c r="L28" s="9"/>
      <c r="M28" s="9"/>
    </row>
    <row r="29" spans="2:13" ht="13.15" thickBot="1" x14ac:dyDescent="0.4">
      <c r="B29" s="71">
        <f t="shared" si="0"/>
        <v>10</v>
      </c>
      <c r="C29" s="61"/>
      <c r="D29" s="61"/>
      <c r="E29" s="61"/>
      <c r="F29" s="61"/>
      <c r="G29" s="62"/>
      <c r="H29" s="63"/>
      <c r="I29" s="7"/>
      <c r="J29" s="9"/>
      <c r="K29" s="9"/>
      <c r="L29" s="9"/>
      <c r="M29" s="9"/>
    </row>
    <row r="30" spans="2:13" x14ac:dyDescent="0.35">
      <c r="B30" s="7"/>
      <c r="C30" s="9"/>
      <c r="D30" s="9"/>
      <c r="E30" s="9"/>
      <c r="F30" s="9"/>
      <c r="I30" s="7"/>
      <c r="J30" s="9"/>
      <c r="K30" s="9"/>
      <c r="L30" s="9"/>
      <c r="M30" s="9"/>
    </row>
    <row r="31" spans="2:13" x14ac:dyDescent="0.35">
      <c r="B31" s="7"/>
      <c r="C31" s="9"/>
      <c r="D31" s="9"/>
      <c r="E31" s="9"/>
      <c r="F31" s="9"/>
      <c r="I31" s="7"/>
      <c r="J31" s="9"/>
      <c r="K31" s="9"/>
      <c r="L31" s="9"/>
      <c r="M31" s="9"/>
    </row>
    <row r="32" spans="2:13" x14ac:dyDescent="0.35">
      <c r="B32" s="7"/>
      <c r="C32" s="9"/>
      <c r="D32" s="9"/>
      <c r="E32" s="9"/>
      <c r="F32" s="9"/>
      <c r="I32" s="7"/>
      <c r="J32" s="9"/>
      <c r="K32" s="9"/>
      <c r="L32" s="9"/>
      <c r="M32" s="9"/>
    </row>
    <row r="33" spans="2:13" x14ac:dyDescent="0.35">
      <c r="B33" s="7"/>
      <c r="C33" s="9"/>
      <c r="D33" s="9"/>
      <c r="E33" s="9"/>
      <c r="F33" s="9"/>
      <c r="I33" s="7"/>
      <c r="J33" s="9"/>
      <c r="K33" s="9"/>
      <c r="L33" s="9"/>
      <c r="M33" s="9"/>
    </row>
    <row r="34" spans="2:13" x14ac:dyDescent="0.35">
      <c r="B34" s="7"/>
      <c r="C34" s="9"/>
      <c r="D34" s="9"/>
      <c r="E34" s="9"/>
      <c r="F34" s="9"/>
      <c r="I34" s="7"/>
      <c r="J34" s="9"/>
      <c r="K34" s="9"/>
      <c r="L34" s="9"/>
      <c r="M34" s="9"/>
    </row>
    <row r="35" spans="2:13" x14ac:dyDescent="0.35">
      <c r="B35" s="7"/>
      <c r="C35" s="9"/>
      <c r="D35" s="9"/>
      <c r="E35" s="9"/>
      <c r="F35" s="9"/>
      <c r="I35" s="7"/>
      <c r="J35" s="9"/>
      <c r="K35" s="9"/>
      <c r="L35" s="9"/>
      <c r="M35" s="9"/>
    </row>
    <row r="36" spans="2:13" x14ac:dyDescent="0.35">
      <c r="B36" s="7"/>
      <c r="C36" s="9"/>
      <c r="D36" s="9"/>
      <c r="E36" s="9"/>
      <c r="F36" s="9"/>
      <c r="I36" s="7"/>
      <c r="J36" s="9"/>
      <c r="K36" s="9"/>
      <c r="L36" s="9"/>
      <c r="M36" s="9"/>
    </row>
    <row r="37" spans="2:13" x14ac:dyDescent="0.35">
      <c r="B37" s="7"/>
      <c r="C37" s="9"/>
      <c r="D37" s="9"/>
      <c r="E37" s="9"/>
      <c r="F37" s="9"/>
      <c r="I37" s="7"/>
      <c r="J37" s="9"/>
      <c r="K37" s="9"/>
      <c r="L37" s="9"/>
      <c r="M37" s="9"/>
    </row>
    <row r="38" spans="2:13" x14ac:dyDescent="0.35">
      <c r="B38" s="7"/>
      <c r="C38" s="9"/>
      <c r="D38" s="9"/>
      <c r="E38" s="9"/>
      <c r="F38" s="9"/>
      <c r="I38" s="7"/>
      <c r="J38" s="9"/>
      <c r="K38" s="9"/>
      <c r="L38" s="9"/>
      <c r="M38" s="9"/>
    </row>
    <row r="39" spans="2:13" x14ac:dyDescent="0.35">
      <c r="B39" s="7"/>
      <c r="C39" s="9"/>
      <c r="D39" s="9"/>
      <c r="E39" s="9"/>
      <c r="F39" s="9"/>
      <c r="I39" s="7"/>
      <c r="J39" s="9"/>
      <c r="K39" s="9"/>
      <c r="L39" s="9"/>
      <c r="M39" s="9"/>
    </row>
    <row r="40" spans="2:13" x14ac:dyDescent="0.35">
      <c r="B40" s="7"/>
      <c r="C40" s="9"/>
      <c r="D40" s="9"/>
      <c r="E40" s="9"/>
      <c r="F40" s="9"/>
      <c r="I40" s="7"/>
      <c r="J40" s="9"/>
      <c r="K40" s="9"/>
      <c r="L40" s="9"/>
      <c r="M40" s="9"/>
    </row>
    <row r="41" spans="2:13" x14ac:dyDescent="0.35">
      <c r="B41" s="7"/>
      <c r="C41" s="9"/>
      <c r="D41" s="9"/>
      <c r="E41" s="9"/>
      <c r="F41" s="9"/>
      <c r="I41" s="7"/>
      <c r="J41" s="9"/>
      <c r="K41" s="9"/>
      <c r="L41" s="9"/>
      <c r="M41" s="9"/>
    </row>
    <row r="42" spans="2:13" x14ac:dyDescent="0.35">
      <c r="B42" s="7"/>
      <c r="C42" s="9"/>
      <c r="D42" s="9"/>
      <c r="E42" s="9"/>
      <c r="F42" s="9"/>
      <c r="I42" s="7"/>
      <c r="J42" s="9"/>
      <c r="K42" s="9"/>
      <c r="L42" s="9"/>
      <c r="M42" s="9"/>
    </row>
    <row r="43" spans="2:13" x14ac:dyDescent="0.35">
      <c r="B43" s="7"/>
      <c r="C43" s="9"/>
      <c r="D43" s="9"/>
      <c r="E43" s="9"/>
      <c r="F43" s="9"/>
      <c r="I43" s="7"/>
      <c r="J43" s="9"/>
      <c r="K43" s="9"/>
      <c r="L43" s="9"/>
      <c r="M43" s="9"/>
    </row>
    <row r="44" spans="2:13" x14ac:dyDescent="0.35">
      <c r="B44" s="7"/>
      <c r="C44" s="9"/>
      <c r="D44" s="9"/>
      <c r="E44" s="9"/>
      <c r="F44" s="9"/>
      <c r="I44" s="7"/>
      <c r="J44" s="9"/>
      <c r="K44" s="9"/>
      <c r="L44" s="9"/>
      <c r="M44" s="9"/>
    </row>
    <row r="45" spans="2:13" x14ac:dyDescent="0.35">
      <c r="I45" s="7"/>
      <c r="J45" s="9"/>
      <c r="K45" s="9"/>
      <c r="L45" s="9"/>
      <c r="M45" s="9"/>
    </row>
    <row r="46" spans="2:13" x14ac:dyDescent="0.35">
      <c r="I46" s="7"/>
      <c r="J46" s="9"/>
      <c r="K46" s="9"/>
      <c r="L46" s="9"/>
      <c r="M46" s="9"/>
    </row>
    <row r="47" spans="2:13" x14ac:dyDescent="0.35">
      <c r="I47" s="7"/>
      <c r="J47" s="9"/>
      <c r="K47" s="9"/>
      <c r="L47" s="9"/>
      <c r="M47" s="9"/>
    </row>
    <row r="48" spans="2:13" x14ac:dyDescent="0.35">
      <c r="I48" s="7"/>
      <c r="J48" s="9"/>
      <c r="K48" s="9"/>
      <c r="L48" s="9"/>
      <c r="M48" s="9"/>
    </row>
    <row r="49" spans="9:13" x14ac:dyDescent="0.35">
      <c r="I49" s="7"/>
      <c r="J49" s="9"/>
      <c r="K49" s="9"/>
      <c r="L49" s="9"/>
      <c r="M49" s="9"/>
    </row>
    <row r="50" spans="9:13" x14ac:dyDescent="0.35">
      <c r="I50" s="7"/>
      <c r="J50" s="9"/>
      <c r="K50" s="9"/>
      <c r="L50" s="9"/>
      <c r="M50" s="9"/>
    </row>
    <row r="51" spans="9:13" x14ac:dyDescent="0.35">
      <c r="I51" s="7"/>
      <c r="J51" s="9"/>
      <c r="K51" s="9"/>
      <c r="L51" s="9"/>
      <c r="M51" s="9"/>
    </row>
    <row r="52" spans="9:13" x14ac:dyDescent="0.35">
      <c r="I52" s="7"/>
      <c r="J52" s="9"/>
      <c r="K52" s="9"/>
      <c r="L52" s="9"/>
      <c r="M52" s="9"/>
    </row>
    <row r="53" spans="9:13" x14ac:dyDescent="0.35">
      <c r="I53" s="7"/>
      <c r="J53" s="9"/>
      <c r="K53" s="9"/>
      <c r="L53" s="9"/>
      <c r="M53" s="9"/>
    </row>
    <row r="54" spans="9:13" x14ac:dyDescent="0.35">
      <c r="I54" s="7"/>
      <c r="J54" s="9"/>
      <c r="K54" s="9"/>
      <c r="L54" s="9"/>
      <c r="M54" s="9"/>
    </row>
    <row r="55" spans="9:13" x14ac:dyDescent="0.35">
      <c r="I55" s="7"/>
      <c r="J55" s="9"/>
      <c r="K55" s="9"/>
      <c r="L55" s="9"/>
      <c r="M55" s="9"/>
    </row>
    <row r="56" spans="9:13" x14ac:dyDescent="0.35">
      <c r="I56" s="7"/>
      <c r="J56" s="9"/>
      <c r="K56" s="9"/>
      <c r="L56" s="9"/>
      <c r="M56" s="9"/>
    </row>
    <row r="57" spans="9:13" x14ac:dyDescent="0.35">
      <c r="I57" s="7"/>
      <c r="J57" s="9"/>
      <c r="K57" s="9"/>
      <c r="L57" s="9"/>
      <c r="M57" s="9"/>
    </row>
    <row r="58" spans="9:13" x14ac:dyDescent="0.35">
      <c r="I58" s="7"/>
      <c r="J58" s="9"/>
      <c r="K58" s="9"/>
      <c r="L58" s="9"/>
      <c r="M58" s="9"/>
    </row>
    <row r="59" spans="9:13" x14ac:dyDescent="0.35">
      <c r="I59" s="7"/>
      <c r="J59" s="9"/>
      <c r="K59" s="9"/>
      <c r="L59" s="9"/>
      <c r="M59" s="9"/>
    </row>
    <row r="60" spans="9:13" x14ac:dyDescent="0.35">
      <c r="I60" s="7"/>
      <c r="J60" s="9"/>
      <c r="K60" s="9"/>
      <c r="L60" s="9"/>
      <c r="M60" s="9"/>
    </row>
    <row r="61" spans="9:13" x14ac:dyDescent="0.35">
      <c r="I61" s="7"/>
      <c r="J61" s="9"/>
      <c r="K61" s="9"/>
      <c r="L61" s="9"/>
      <c r="M61" s="9"/>
    </row>
    <row r="62" spans="9:13" x14ac:dyDescent="0.35">
      <c r="I62" s="7"/>
      <c r="J62" s="9"/>
      <c r="K62" s="9"/>
      <c r="L62" s="9"/>
      <c r="M62" s="9"/>
    </row>
    <row r="63" spans="9:13" x14ac:dyDescent="0.35">
      <c r="I63" s="7"/>
      <c r="J63" s="9"/>
      <c r="K63" s="9"/>
      <c r="L63" s="9"/>
      <c r="M63" s="9"/>
    </row>
    <row r="64" spans="9:13" x14ac:dyDescent="0.35">
      <c r="I64" s="7"/>
      <c r="J64" s="9"/>
      <c r="K64" s="9"/>
      <c r="L64" s="9"/>
      <c r="M64" s="9"/>
    </row>
    <row r="65" spans="9:13" x14ac:dyDescent="0.35">
      <c r="I65" s="7"/>
      <c r="J65" s="9"/>
      <c r="K65" s="9"/>
      <c r="L65" s="9"/>
      <c r="M65" s="9"/>
    </row>
    <row r="66" spans="9:13" x14ac:dyDescent="0.35">
      <c r="I66" s="7"/>
      <c r="J66" s="9"/>
      <c r="K66" s="9"/>
      <c r="L66" s="9"/>
      <c r="M66" s="9"/>
    </row>
    <row r="67" spans="9:13" x14ac:dyDescent="0.35">
      <c r="I67" s="7"/>
      <c r="J67" s="9"/>
      <c r="K67" s="9"/>
      <c r="L67" s="9"/>
      <c r="M67" s="9"/>
    </row>
    <row r="68" spans="9:13" x14ac:dyDescent="0.35">
      <c r="I68" s="7"/>
      <c r="J68" s="9"/>
      <c r="K68" s="9"/>
      <c r="L68" s="9"/>
      <c r="M68" s="9"/>
    </row>
    <row r="69" spans="9:13" x14ac:dyDescent="0.35">
      <c r="I69" s="7"/>
      <c r="J69" s="9"/>
      <c r="K69" s="9"/>
      <c r="L69" s="9"/>
      <c r="M69" s="9"/>
    </row>
    <row r="70" spans="9:13" x14ac:dyDescent="0.35">
      <c r="I70" s="7"/>
      <c r="J70" s="9"/>
      <c r="K70" s="9"/>
      <c r="L70" s="9"/>
      <c r="M70" s="9"/>
    </row>
    <row r="71" spans="9:13" x14ac:dyDescent="0.35">
      <c r="I71" s="7"/>
      <c r="J71" s="9"/>
      <c r="K71" s="9"/>
      <c r="L71" s="9"/>
      <c r="M71" s="9"/>
    </row>
    <row r="72" spans="9:13" x14ac:dyDescent="0.35">
      <c r="I72" s="7"/>
      <c r="J72" s="9"/>
      <c r="K72" s="9"/>
      <c r="L72" s="9"/>
      <c r="M72" s="9"/>
    </row>
    <row r="73" spans="9:13" x14ac:dyDescent="0.35">
      <c r="I73" s="7"/>
      <c r="J73" s="9"/>
      <c r="K73" s="9"/>
      <c r="L73" s="9"/>
      <c r="M73" s="9"/>
    </row>
    <row r="74" spans="9:13" x14ac:dyDescent="0.35">
      <c r="I74" s="7"/>
      <c r="J74" s="9"/>
      <c r="K74" s="9"/>
      <c r="L74" s="9"/>
      <c r="M74" s="9"/>
    </row>
    <row r="75" spans="9:13" x14ac:dyDescent="0.35">
      <c r="I75" s="7"/>
      <c r="J75" s="9"/>
      <c r="K75" s="9"/>
      <c r="L75" s="9"/>
      <c r="M75" s="9"/>
    </row>
    <row r="76" spans="9:13" x14ac:dyDescent="0.35">
      <c r="I76" s="7"/>
      <c r="J76" s="9"/>
      <c r="K76" s="9"/>
      <c r="L76" s="9"/>
      <c r="M76" s="9"/>
    </row>
    <row r="77" spans="9:13" x14ac:dyDescent="0.35">
      <c r="I77" s="7"/>
      <c r="J77" s="9"/>
      <c r="K77" s="9"/>
      <c r="L77" s="9"/>
      <c r="M77" s="9"/>
    </row>
    <row r="78" spans="9:13" x14ac:dyDescent="0.35">
      <c r="I78" s="7"/>
      <c r="J78" s="9"/>
      <c r="K78" s="9"/>
      <c r="L78" s="9"/>
      <c r="M78" s="9"/>
    </row>
    <row r="79" spans="9:13" x14ac:dyDescent="0.35">
      <c r="I79" s="7"/>
      <c r="J79" s="10"/>
      <c r="K79" s="9"/>
      <c r="L79" s="9"/>
      <c r="M79" s="9"/>
    </row>
    <row r="80" spans="9:13" x14ac:dyDescent="0.35">
      <c r="J80" s="2"/>
      <c r="K80" s="2"/>
      <c r="L80" s="2"/>
      <c r="M80" s="2"/>
    </row>
    <row r="81" spans="10:13" x14ac:dyDescent="0.35">
      <c r="J81" s="2"/>
      <c r="K81" s="2"/>
      <c r="L81" s="2"/>
      <c r="M81" s="2"/>
    </row>
    <row r="82" spans="10:13" x14ac:dyDescent="0.35">
      <c r="J82" s="2"/>
      <c r="K82" s="2"/>
      <c r="L82" s="2"/>
      <c r="M82" s="2"/>
    </row>
    <row r="83" spans="10:13" x14ac:dyDescent="0.35">
      <c r="J83" s="2"/>
      <c r="K83" s="2"/>
      <c r="L83" s="2"/>
      <c r="M83" s="2"/>
    </row>
    <row r="84" spans="10:13" x14ac:dyDescent="0.35">
      <c r="J84" s="2"/>
      <c r="K84" s="2"/>
      <c r="L84" s="2"/>
      <c r="M84" s="2"/>
    </row>
    <row r="85" spans="10:13" x14ac:dyDescent="0.35">
      <c r="J85" s="2"/>
      <c r="K85" s="2"/>
      <c r="L85" s="2"/>
      <c r="M85" s="2"/>
    </row>
    <row r="86" spans="10:13" x14ac:dyDescent="0.35">
      <c r="J86" s="2"/>
      <c r="K86" s="2"/>
      <c r="L86" s="2"/>
      <c r="M86" s="2"/>
    </row>
    <row r="87" spans="10:13" x14ac:dyDescent="0.35">
      <c r="J87" s="2"/>
      <c r="K87" s="2"/>
      <c r="L87" s="2"/>
      <c r="M87" s="2"/>
    </row>
    <row r="88" spans="10:13" x14ac:dyDescent="0.35">
      <c r="J88" s="2"/>
      <c r="K88" s="2"/>
      <c r="L88" s="2"/>
      <c r="M88" s="2"/>
    </row>
    <row r="89" spans="10:13" x14ac:dyDescent="0.35">
      <c r="J89" s="2"/>
      <c r="K89" s="2"/>
      <c r="L89" s="2"/>
      <c r="M89" s="2"/>
    </row>
    <row r="90" spans="10:13" x14ac:dyDescent="0.35">
      <c r="J90" s="2"/>
      <c r="K90" s="2"/>
      <c r="L90" s="2"/>
      <c r="M90" s="2"/>
    </row>
    <row r="91" spans="10:13" x14ac:dyDescent="0.35">
      <c r="J91" s="2"/>
      <c r="K91" s="2"/>
      <c r="L91" s="2"/>
      <c r="M91" s="2"/>
    </row>
    <row r="92" spans="10:13" x14ac:dyDescent="0.35">
      <c r="J92" s="2"/>
      <c r="K92" s="2"/>
      <c r="L92" s="2"/>
      <c r="M92" s="2"/>
    </row>
    <row r="93" spans="10:13" x14ac:dyDescent="0.35">
      <c r="J93" s="2"/>
      <c r="K93" s="2"/>
      <c r="L93" s="2"/>
      <c r="M93" s="2"/>
    </row>
    <row r="94" spans="10:13" x14ac:dyDescent="0.35">
      <c r="J94" s="2"/>
      <c r="K94" s="2"/>
      <c r="L94" s="2"/>
      <c r="M94" s="2"/>
    </row>
    <row r="95" spans="10:13" x14ac:dyDescent="0.35">
      <c r="J95" s="2"/>
      <c r="K95" s="2"/>
      <c r="L95" s="2"/>
      <c r="M95" s="2"/>
    </row>
    <row r="96" spans="10:13" x14ac:dyDescent="0.35">
      <c r="J96" s="2"/>
      <c r="K96" s="2"/>
      <c r="L96" s="2"/>
      <c r="M96" s="2"/>
    </row>
    <row r="97" spans="10:13" x14ac:dyDescent="0.35">
      <c r="J97" s="2"/>
      <c r="K97" s="2"/>
      <c r="L97" s="2"/>
      <c r="M97" s="2"/>
    </row>
    <row r="98" spans="10:13" x14ac:dyDescent="0.35">
      <c r="J98" s="2"/>
      <c r="K98" s="2"/>
      <c r="L98" s="2"/>
      <c r="M98" s="2"/>
    </row>
    <row r="99" spans="10:13" x14ac:dyDescent="0.35">
      <c r="J99" s="2"/>
      <c r="K99" s="2"/>
      <c r="L99" s="2"/>
      <c r="M99" s="2"/>
    </row>
    <row r="100" spans="10:13" x14ac:dyDescent="0.35">
      <c r="J100" s="2"/>
      <c r="K100" s="2"/>
      <c r="L100" s="2"/>
      <c r="M100" s="2"/>
    </row>
    <row r="101" spans="10:13" x14ac:dyDescent="0.35">
      <c r="J101" s="2"/>
      <c r="K101" s="2"/>
      <c r="L101" s="2"/>
      <c r="M101" s="2"/>
    </row>
    <row r="102" spans="10:13" x14ac:dyDescent="0.35">
      <c r="J102" s="2"/>
      <c r="K102" s="2"/>
      <c r="L102" s="2"/>
      <c r="M102" s="2"/>
    </row>
    <row r="103" spans="10:13" x14ac:dyDescent="0.35">
      <c r="J103" s="2"/>
      <c r="K103" s="2"/>
      <c r="L103" s="2"/>
      <c r="M103" s="2"/>
    </row>
    <row r="104" spans="10:13" x14ac:dyDescent="0.35">
      <c r="J104" s="2"/>
      <c r="K104" s="2"/>
      <c r="L104" s="2"/>
      <c r="M104" s="2"/>
    </row>
    <row r="105" spans="10:13" x14ac:dyDescent="0.35">
      <c r="J105" s="2"/>
      <c r="K105" s="2"/>
      <c r="L105" s="2"/>
      <c r="M105" s="2"/>
    </row>
    <row r="106" spans="10:13" x14ac:dyDescent="0.35">
      <c r="J106" s="2"/>
      <c r="K106" s="2"/>
      <c r="L106" s="2"/>
      <c r="M106" s="2"/>
    </row>
    <row r="107" spans="10:13" x14ac:dyDescent="0.35">
      <c r="J107" s="2"/>
      <c r="K107" s="2"/>
      <c r="L107" s="2"/>
      <c r="M107" s="2"/>
    </row>
  </sheetData>
  <phoneticPr fontId="3"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D8039-2336-48ED-A7C0-A8755B110803}">
  <dimension ref="A1:M13"/>
  <sheetViews>
    <sheetView workbookViewId="0">
      <selection activeCell="D8" sqref="D8"/>
    </sheetView>
  </sheetViews>
  <sheetFormatPr defaultRowHeight="12.75" x14ac:dyDescent="0.35"/>
  <cols>
    <col min="2" max="2" width="17.6640625" customWidth="1"/>
    <col min="3" max="3" width="15.73046875" customWidth="1"/>
    <col min="5" max="5" width="11.46484375" bestFit="1" customWidth="1"/>
    <col min="6" max="6" width="11.86328125" bestFit="1" customWidth="1"/>
    <col min="8" max="8" width="10.73046875" bestFit="1" customWidth="1"/>
    <col min="9" max="9" width="14.59765625" customWidth="1"/>
    <col min="10" max="10" width="11.265625" customWidth="1"/>
    <col min="13" max="13" width="11.86328125" bestFit="1" customWidth="1"/>
  </cols>
  <sheetData>
    <row r="1" spans="1:13" ht="13.15" x14ac:dyDescent="0.4">
      <c r="A1" s="5"/>
    </row>
    <row r="2" spans="1:13" ht="13.15" x14ac:dyDescent="0.4">
      <c r="B2" s="5" t="s">
        <v>100</v>
      </c>
    </row>
    <row r="3" spans="1:13" ht="13.15" x14ac:dyDescent="0.4">
      <c r="B3" s="1"/>
      <c r="I3" s="1"/>
    </row>
    <row r="13" spans="1:13" s="1" customFormat="1" ht="13.15" x14ac:dyDescent="0.4">
      <c r="B13"/>
      <c r="C13"/>
      <c r="D13"/>
      <c r="E13"/>
      <c r="F13"/>
      <c r="G13"/>
      <c r="H13"/>
      <c r="I13"/>
      <c r="J13"/>
      <c r="K13"/>
      <c r="L13"/>
      <c r="M13"/>
    </row>
  </sheetData>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65F8-43A7-47B1-99D4-C5F062A8706D}">
  <dimension ref="B2:C1333"/>
  <sheetViews>
    <sheetView workbookViewId="0">
      <selection activeCell="C3" sqref="C3"/>
    </sheetView>
  </sheetViews>
  <sheetFormatPr defaultRowHeight="12.75" x14ac:dyDescent="0.35"/>
  <cols>
    <col min="2" max="2" width="15.53125" customWidth="1"/>
    <col min="3" max="3" width="16" bestFit="1" customWidth="1"/>
    <col min="4" max="5" width="20.73046875" customWidth="1"/>
  </cols>
  <sheetData>
    <row r="2" spans="2:3" ht="13.15" x14ac:dyDescent="0.4">
      <c r="B2" s="5" t="s">
        <v>28</v>
      </c>
    </row>
    <row r="4" spans="2:3" ht="13.15" thickBot="1" x14ac:dyDescent="0.4"/>
    <row r="5" spans="2:3" ht="13.15" x14ac:dyDescent="0.4">
      <c r="B5" s="29" t="s">
        <v>27</v>
      </c>
      <c r="C5" s="18"/>
    </row>
    <row r="6" spans="2:3" x14ac:dyDescent="0.35">
      <c r="B6" s="19"/>
      <c r="C6" s="20"/>
    </row>
    <row r="7" spans="2:3" x14ac:dyDescent="0.35">
      <c r="B7" s="77" t="s">
        <v>24</v>
      </c>
      <c r="C7" s="78"/>
    </row>
    <row r="8" spans="2:3" x14ac:dyDescent="0.35">
      <c r="B8" s="77"/>
      <c r="C8" s="78"/>
    </row>
    <row r="9" spans="2:3" x14ac:dyDescent="0.35">
      <c r="B9" s="77"/>
      <c r="C9" s="78"/>
    </row>
    <row r="10" spans="2:3" ht="13.15" thickBot="1" x14ac:dyDescent="0.4">
      <c r="B10" s="77"/>
      <c r="C10" s="78"/>
    </row>
    <row r="11" spans="2:3" ht="13.5" thickBot="1" x14ac:dyDescent="0.45">
      <c r="B11" s="22" t="s">
        <v>25</v>
      </c>
      <c r="C11" s="21" t="s">
        <v>26</v>
      </c>
    </row>
    <row r="12" spans="2:3" x14ac:dyDescent="0.35">
      <c r="B12" s="24">
        <v>42622</v>
      </c>
      <c r="C12" s="25">
        <v>1.4</v>
      </c>
    </row>
    <row r="13" spans="2:3" x14ac:dyDescent="0.35">
      <c r="B13" s="24">
        <v>42625</v>
      </c>
      <c r="C13" s="25">
        <v>1.42</v>
      </c>
    </row>
    <row r="14" spans="2:3" x14ac:dyDescent="0.35">
      <c r="B14" s="24">
        <v>42626</v>
      </c>
      <c r="C14" s="25">
        <v>1.42</v>
      </c>
    </row>
    <row r="15" spans="2:3" x14ac:dyDescent="0.35">
      <c r="B15" s="24">
        <v>42627</v>
      </c>
      <c r="C15" s="25">
        <v>1.43</v>
      </c>
    </row>
    <row r="16" spans="2:3" x14ac:dyDescent="0.35">
      <c r="B16" s="24">
        <v>42628</v>
      </c>
      <c r="C16" s="25">
        <v>1.43</v>
      </c>
    </row>
    <row r="17" spans="2:3" x14ac:dyDescent="0.35">
      <c r="B17" s="24">
        <v>42629</v>
      </c>
      <c r="C17" s="25">
        <v>1.43</v>
      </c>
    </row>
    <row r="18" spans="2:3" x14ac:dyDescent="0.35">
      <c r="B18" s="24">
        <v>42632</v>
      </c>
      <c r="C18" s="25">
        <v>1.42</v>
      </c>
    </row>
    <row r="19" spans="2:3" x14ac:dyDescent="0.35">
      <c r="B19" s="24">
        <v>42633</v>
      </c>
      <c r="C19" s="25">
        <v>1.42</v>
      </c>
    </row>
    <row r="20" spans="2:3" x14ac:dyDescent="0.35">
      <c r="B20" s="24">
        <v>42634</v>
      </c>
      <c r="C20" s="25">
        <v>1.42</v>
      </c>
    </row>
    <row r="21" spans="2:3" x14ac:dyDescent="0.35">
      <c r="B21" s="24">
        <v>42635</v>
      </c>
      <c r="C21" s="25">
        <v>1.41</v>
      </c>
    </row>
    <row r="22" spans="2:3" x14ac:dyDescent="0.35">
      <c r="B22" s="24">
        <v>42636</v>
      </c>
      <c r="C22" s="25">
        <v>1.41</v>
      </c>
    </row>
    <row r="23" spans="2:3" x14ac:dyDescent="0.35">
      <c r="B23" s="24">
        <v>42639</v>
      </c>
      <c r="C23" s="25">
        <v>1.42</v>
      </c>
    </row>
    <row r="24" spans="2:3" x14ac:dyDescent="0.35">
      <c r="B24" s="24">
        <v>42640</v>
      </c>
      <c r="C24" s="25">
        <v>1.43</v>
      </c>
    </row>
    <row r="25" spans="2:3" x14ac:dyDescent="0.35">
      <c r="B25" s="24">
        <v>42641</v>
      </c>
      <c r="C25" s="25">
        <v>1.43</v>
      </c>
    </row>
    <row r="26" spans="2:3" x14ac:dyDescent="0.35">
      <c r="B26" s="24">
        <v>42642</v>
      </c>
      <c r="C26" s="25">
        <v>1.43</v>
      </c>
    </row>
    <row r="27" spans="2:3" x14ac:dyDescent="0.35">
      <c r="B27" s="24">
        <v>42643</v>
      </c>
      <c r="C27" s="25">
        <v>1.43</v>
      </c>
    </row>
    <row r="28" spans="2:3" x14ac:dyDescent="0.35">
      <c r="B28" s="24">
        <v>42646</v>
      </c>
      <c r="C28" s="25">
        <v>1.42</v>
      </c>
    </row>
    <row r="29" spans="2:3" x14ac:dyDescent="0.35">
      <c r="B29" s="24">
        <v>42647</v>
      </c>
      <c r="C29" s="25">
        <v>1.41</v>
      </c>
    </row>
    <row r="30" spans="2:3" x14ac:dyDescent="0.35">
      <c r="B30" s="24">
        <v>42648</v>
      </c>
      <c r="C30" s="25">
        <v>1.4</v>
      </c>
    </row>
    <row r="31" spans="2:3" x14ac:dyDescent="0.35">
      <c r="B31" s="24">
        <v>42649</v>
      </c>
      <c r="C31" s="25">
        <v>1.39</v>
      </c>
    </row>
    <row r="32" spans="2:3" x14ac:dyDescent="0.35">
      <c r="B32" s="24">
        <v>42650</v>
      </c>
      <c r="C32" s="25">
        <v>1.38</v>
      </c>
    </row>
    <row r="33" spans="2:3" x14ac:dyDescent="0.35">
      <c r="B33" s="24">
        <v>42653</v>
      </c>
      <c r="C33" s="25">
        <v>1.38</v>
      </c>
    </row>
    <row r="34" spans="2:3" x14ac:dyDescent="0.35">
      <c r="B34" s="24">
        <v>42654</v>
      </c>
      <c r="C34" s="25">
        <v>1.37</v>
      </c>
    </row>
    <row r="35" spans="2:3" x14ac:dyDescent="0.35">
      <c r="B35" s="24">
        <v>42655</v>
      </c>
      <c r="C35" s="25">
        <v>1.37</v>
      </c>
    </row>
    <row r="36" spans="2:3" x14ac:dyDescent="0.35">
      <c r="B36" s="24">
        <v>42656</v>
      </c>
      <c r="C36" s="25">
        <v>1.37</v>
      </c>
    </row>
    <row r="37" spans="2:3" x14ac:dyDescent="0.35">
      <c r="B37" s="24">
        <v>42657</v>
      </c>
      <c r="C37" s="25">
        <v>1.36</v>
      </c>
    </row>
    <row r="38" spans="2:3" x14ac:dyDescent="0.35">
      <c r="B38" s="24">
        <v>42660</v>
      </c>
      <c r="C38" s="25">
        <v>1.37</v>
      </c>
    </row>
    <row r="39" spans="2:3" x14ac:dyDescent="0.35">
      <c r="B39" s="24">
        <v>42661</v>
      </c>
      <c r="C39" s="25">
        <v>1.36</v>
      </c>
    </row>
    <row r="40" spans="2:3" x14ac:dyDescent="0.35">
      <c r="B40" s="24">
        <v>42662</v>
      </c>
      <c r="C40" s="25">
        <v>1.35</v>
      </c>
    </row>
    <row r="41" spans="2:3" x14ac:dyDescent="0.35">
      <c r="B41" s="24">
        <v>42663</v>
      </c>
      <c r="C41" s="25">
        <v>1.35</v>
      </c>
    </row>
    <row r="42" spans="2:3" x14ac:dyDescent="0.35">
      <c r="B42" s="24">
        <v>42664</v>
      </c>
      <c r="C42" s="25">
        <v>1.35</v>
      </c>
    </row>
    <row r="43" spans="2:3" x14ac:dyDescent="0.35">
      <c r="B43" s="24">
        <v>42667</v>
      </c>
      <c r="C43" s="25">
        <v>1.35</v>
      </c>
    </row>
    <row r="44" spans="2:3" x14ac:dyDescent="0.35">
      <c r="B44" s="24">
        <v>42668</v>
      </c>
      <c r="C44" s="25">
        <v>1.35</v>
      </c>
    </row>
    <row r="45" spans="2:3" x14ac:dyDescent="0.35">
      <c r="B45" s="24">
        <v>42669</v>
      </c>
      <c r="C45" s="25">
        <v>1.36</v>
      </c>
    </row>
    <row r="46" spans="2:3" x14ac:dyDescent="0.35">
      <c r="B46" s="24">
        <v>42670</v>
      </c>
      <c r="C46" s="25">
        <v>1.36</v>
      </c>
    </row>
    <row r="47" spans="2:3" x14ac:dyDescent="0.35">
      <c r="B47" s="24">
        <v>42671</v>
      </c>
      <c r="C47" s="25">
        <v>1.37</v>
      </c>
    </row>
    <row r="48" spans="2:3" x14ac:dyDescent="0.35">
      <c r="B48" s="24">
        <v>42674</v>
      </c>
      <c r="C48" s="25">
        <v>1.38</v>
      </c>
    </row>
    <row r="49" spans="2:3" x14ac:dyDescent="0.35">
      <c r="B49" s="24">
        <v>42675</v>
      </c>
      <c r="C49" s="25">
        <v>1.39</v>
      </c>
    </row>
    <row r="50" spans="2:3" x14ac:dyDescent="0.35">
      <c r="B50" s="24">
        <v>42676</v>
      </c>
      <c r="C50" s="25">
        <v>1.4</v>
      </c>
    </row>
    <row r="51" spans="2:3" x14ac:dyDescent="0.35">
      <c r="B51" s="24">
        <v>42677</v>
      </c>
      <c r="C51" s="25">
        <v>1.41</v>
      </c>
    </row>
    <row r="52" spans="2:3" x14ac:dyDescent="0.35">
      <c r="B52" s="24">
        <v>42678</v>
      </c>
      <c r="C52" s="25">
        <v>1.41</v>
      </c>
    </row>
    <row r="53" spans="2:3" x14ac:dyDescent="0.35">
      <c r="B53" s="24">
        <v>42681</v>
      </c>
      <c r="C53" s="25">
        <v>1.4</v>
      </c>
    </row>
    <row r="54" spans="2:3" x14ac:dyDescent="0.35">
      <c r="B54" s="24">
        <v>42682</v>
      </c>
      <c r="C54" s="25">
        <v>1.39</v>
      </c>
    </row>
    <row r="55" spans="2:3" x14ac:dyDescent="0.35">
      <c r="B55" s="24">
        <v>42683</v>
      </c>
      <c r="C55" s="25">
        <v>1.37</v>
      </c>
    </row>
    <row r="56" spans="2:3" x14ac:dyDescent="0.35">
      <c r="B56" s="24">
        <v>42684</v>
      </c>
      <c r="C56" s="25">
        <v>1.36</v>
      </c>
    </row>
    <row r="57" spans="2:3" x14ac:dyDescent="0.35">
      <c r="B57" s="24">
        <v>42685</v>
      </c>
      <c r="C57" s="25">
        <v>1.36</v>
      </c>
    </row>
    <row r="58" spans="2:3" x14ac:dyDescent="0.35">
      <c r="B58" s="24">
        <v>42688</v>
      </c>
      <c r="C58" s="25">
        <v>1.36</v>
      </c>
    </row>
    <row r="59" spans="2:3" x14ac:dyDescent="0.35">
      <c r="B59" s="24">
        <v>42689</v>
      </c>
      <c r="C59" s="25">
        <v>1.35</v>
      </c>
    </row>
    <row r="60" spans="2:3" x14ac:dyDescent="0.35">
      <c r="B60" s="24">
        <v>42690</v>
      </c>
      <c r="C60" s="25">
        <v>1.35</v>
      </c>
    </row>
    <row r="61" spans="2:3" x14ac:dyDescent="0.35">
      <c r="B61" s="24">
        <v>42691</v>
      </c>
      <c r="C61" s="25">
        <v>1.35</v>
      </c>
    </row>
    <row r="62" spans="2:3" x14ac:dyDescent="0.35">
      <c r="B62" s="24">
        <v>42692</v>
      </c>
      <c r="C62" s="25">
        <v>1.36</v>
      </c>
    </row>
    <row r="63" spans="2:3" x14ac:dyDescent="0.35">
      <c r="B63" s="24">
        <v>42695</v>
      </c>
      <c r="C63" s="25">
        <v>1.36</v>
      </c>
    </row>
    <row r="64" spans="2:3" x14ac:dyDescent="0.35">
      <c r="B64" s="24">
        <v>42696</v>
      </c>
      <c r="C64" s="25">
        <v>1.37</v>
      </c>
    </row>
    <row r="65" spans="2:3" x14ac:dyDescent="0.35">
      <c r="B65" s="24">
        <v>42697</v>
      </c>
      <c r="C65" s="25">
        <v>1.36</v>
      </c>
    </row>
    <row r="66" spans="2:3" x14ac:dyDescent="0.35">
      <c r="B66" s="24">
        <v>42698</v>
      </c>
      <c r="C66" s="25">
        <v>1.36</v>
      </c>
    </row>
    <row r="67" spans="2:3" x14ac:dyDescent="0.35">
      <c r="B67" s="24">
        <v>42699</v>
      </c>
      <c r="C67" s="25">
        <v>1.36</v>
      </c>
    </row>
    <row r="68" spans="2:3" x14ac:dyDescent="0.35">
      <c r="B68" s="24">
        <v>42702</v>
      </c>
      <c r="C68" s="25">
        <v>1.36</v>
      </c>
    </row>
    <row r="69" spans="2:3" x14ac:dyDescent="0.35">
      <c r="B69" s="24">
        <v>42703</v>
      </c>
      <c r="C69" s="25">
        <v>1.36</v>
      </c>
    </row>
    <row r="70" spans="2:3" x14ac:dyDescent="0.35">
      <c r="B70" s="24">
        <v>42704</v>
      </c>
      <c r="C70" s="25">
        <v>1.36</v>
      </c>
    </row>
    <row r="71" spans="2:3" x14ac:dyDescent="0.35">
      <c r="B71" s="24">
        <v>42705</v>
      </c>
      <c r="C71" s="25">
        <v>1.35</v>
      </c>
    </row>
    <row r="72" spans="2:3" x14ac:dyDescent="0.35">
      <c r="B72" s="24">
        <v>42706</v>
      </c>
      <c r="C72" s="25">
        <v>1.35</v>
      </c>
    </row>
    <row r="73" spans="2:3" x14ac:dyDescent="0.35">
      <c r="B73" s="24">
        <v>42709</v>
      </c>
      <c r="C73" s="25">
        <v>1.35</v>
      </c>
    </row>
    <row r="74" spans="2:3" x14ac:dyDescent="0.35">
      <c r="B74" s="24">
        <v>42710</v>
      </c>
      <c r="C74" s="25">
        <v>1.34</v>
      </c>
    </row>
    <row r="75" spans="2:3" x14ac:dyDescent="0.35">
      <c r="B75" s="24">
        <v>42711</v>
      </c>
      <c r="C75" s="25">
        <v>1.34</v>
      </c>
    </row>
    <row r="76" spans="2:3" x14ac:dyDescent="0.35">
      <c r="B76" s="24">
        <v>42712</v>
      </c>
      <c r="C76" s="25">
        <v>1.33</v>
      </c>
    </row>
    <row r="77" spans="2:3" x14ac:dyDescent="0.35">
      <c r="B77" s="24">
        <v>42713</v>
      </c>
      <c r="C77" s="25">
        <v>1.33</v>
      </c>
    </row>
    <row r="78" spans="2:3" x14ac:dyDescent="0.35">
      <c r="B78" s="24">
        <v>42716</v>
      </c>
      <c r="C78" s="25">
        <v>1.32</v>
      </c>
    </row>
    <row r="79" spans="2:3" x14ac:dyDescent="0.35">
      <c r="B79" s="24">
        <v>42717</v>
      </c>
      <c r="C79" s="25">
        <v>1.31</v>
      </c>
    </row>
    <row r="80" spans="2:3" x14ac:dyDescent="0.35">
      <c r="B80" s="24">
        <v>42718</v>
      </c>
      <c r="C80" s="25">
        <v>1.3</v>
      </c>
    </row>
    <row r="81" spans="2:3" x14ac:dyDescent="0.35">
      <c r="B81" s="24">
        <v>42719</v>
      </c>
      <c r="C81" s="25">
        <v>1.3</v>
      </c>
    </row>
    <row r="82" spans="2:3" x14ac:dyDescent="0.35">
      <c r="B82" s="24">
        <v>42720</v>
      </c>
      <c r="C82" s="25">
        <v>1.3</v>
      </c>
    </row>
    <row r="83" spans="2:3" x14ac:dyDescent="0.35">
      <c r="B83" s="24">
        <v>42723</v>
      </c>
      <c r="C83" s="25">
        <v>1.3</v>
      </c>
    </row>
    <row r="84" spans="2:3" x14ac:dyDescent="0.35">
      <c r="B84" s="24">
        <v>42724</v>
      </c>
      <c r="C84" s="25">
        <v>1.29</v>
      </c>
    </row>
    <row r="85" spans="2:3" x14ac:dyDescent="0.35">
      <c r="B85" s="24">
        <v>42725</v>
      </c>
      <c r="C85" s="25">
        <v>1.29</v>
      </c>
    </row>
    <row r="86" spans="2:3" x14ac:dyDescent="0.35">
      <c r="B86" s="24">
        <v>42726</v>
      </c>
      <c r="C86" s="25">
        <v>1.29</v>
      </c>
    </row>
    <row r="87" spans="2:3" x14ac:dyDescent="0.35">
      <c r="B87" s="24">
        <v>42727</v>
      </c>
      <c r="C87" s="25">
        <v>1.29</v>
      </c>
    </row>
    <row r="88" spans="2:3" x14ac:dyDescent="0.35">
      <c r="B88" s="24">
        <v>42730</v>
      </c>
      <c r="C88" s="26" t="e">
        <f>NA()</f>
        <v>#N/A</v>
      </c>
    </row>
    <row r="89" spans="2:3" x14ac:dyDescent="0.35">
      <c r="B89" s="24">
        <v>42731</v>
      </c>
      <c r="C89" s="25">
        <v>1.28</v>
      </c>
    </row>
    <row r="90" spans="2:3" x14ac:dyDescent="0.35">
      <c r="B90" s="24">
        <v>42732</v>
      </c>
      <c r="C90" s="25">
        <v>1.28</v>
      </c>
    </row>
    <row r="91" spans="2:3" x14ac:dyDescent="0.35">
      <c r="B91" s="24">
        <v>42733</v>
      </c>
      <c r="C91" s="25">
        <v>1.28</v>
      </c>
    </row>
    <row r="92" spans="2:3" x14ac:dyDescent="0.35">
      <c r="B92" s="24">
        <v>42734</v>
      </c>
      <c r="C92" s="25">
        <v>1.29</v>
      </c>
    </row>
    <row r="93" spans="2:3" x14ac:dyDescent="0.35">
      <c r="B93" s="24">
        <v>42735</v>
      </c>
      <c r="C93" s="25">
        <v>1.3</v>
      </c>
    </row>
    <row r="94" spans="2:3" x14ac:dyDescent="0.35">
      <c r="B94" s="24">
        <v>42737</v>
      </c>
      <c r="C94" s="26" t="e">
        <f>NA()</f>
        <v>#N/A</v>
      </c>
    </row>
    <row r="95" spans="2:3" x14ac:dyDescent="0.35">
      <c r="B95" s="24">
        <v>42738</v>
      </c>
      <c r="C95" s="25">
        <v>1.28</v>
      </c>
    </row>
    <row r="96" spans="2:3" x14ac:dyDescent="0.35">
      <c r="B96" s="24">
        <v>42739</v>
      </c>
      <c r="C96" s="25">
        <v>1.28</v>
      </c>
    </row>
    <row r="97" spans="2:3" x14ac:dyDescent="0.35">
      <c r="B97" s="24">
        <v>42740</v>
      </c>
      <c r="C97" s="25">
        <v>1.29</v>
      </c>
    </row>
    <row r="98" spans="2:3" x14ac:dyDescent="0.35">
      <c r="B98" s="24">
        <v>42741</v>
      </c>
      <c r="C98" s="25">
        <v>1.28</v>
      </c>
    </row>
    <row r="99" spans="2:3" x14ac:dyDescent="0.35">
      <c r="B99" s="24">
        <v>42744</v>
      </c>
      <c r="C99" s="25">
        <v>1.29</v>
      </c>
    </row>
    <row r="100" spans="2:3" x14ac:dyDescent="0.35">
      <c r="B100" s="24">
        <v>42745</v>
      </c>
      <c r="C100" s="25">
        <v>1.29</v>
      </c>
    </row>
    <row r="101" spans="2:3" x14ac:dyDescent="0.35">
      <c r="B101" s="24">
        <v>42746</v>
      </c>
      <c r="C101" s="25">
        <v>1.29</v>
      </c>
    </row>
    <row r="102" spans="2:3" x14ac:dyDescent="0.35">
      <c r="B102" s="24">
        <v>42747</v>
      </c>
      <c r="C102" s="25">
        <v>1.29</v>
      </c>
    </row>
    <row r="103" spans="2:3" x14ac:dyDescent="0.35">
      <c r="B103" s="24">
        <v>42748</v>
      </c>
      <c r="C103" s="25">
        <v>1.28</v>
      </c>
    </row>
    <row r="104" spans="2:3" x14ac:dyDescent="0.35">
      <c r="B104" s="24">
        <v>42751</v>
      </c>
      <c r="C104" s="25">
        <v>1.28</v>
      </c>
    </row>
    <row r="105" spans="2:3" x14ac:dyDescent="0.35">
      <c r="B105" s="24">
        <v>42752</v>
      </c>
      <c r="C105" s="25">
        <v>1.28</v>
      </c>
    </row>
    <row r="106" spans="2:3" x14ac:dyDescent="0.35">
      <c r="B106" s="24">
        <v>42753</v>
      </c>
      <c r="C106" s="25">
        <v>1.29</v>
      </c>
    </row>
    <row r="107" spans="2:3" x14ac:dyDescent="0.35">
      <c r="B107" s="24">
        <v>42754</v>
      </c>
      <c r="C107" s="25">
        <v>1.28</v>
      </c>
    </row>
    <row r="108" spans="2:3" x14ac:dyDescent="0.35">
      <c r="B108" s="24">
        <v>42755</v>
      </c>
      <c r="C108" s="25">
        <v>1.28</v>
      </c>
    </row>
    <row r="109" spans="2:3" x14ac:dyDescent="0.35">
      <c r="B109" s="24">
        <v>42758</v>
      </c>
      <c r="C109" s="25">
        <v>1.28</v>
      </c>
    </row>
    <row r="110" spans="2:3" x14ac:dyDescent="0.35">
      <c r="B110" s="24">
        <v>42759</v>
      </c>
      <c r="C110" s="25">
        <v>1.27</v>
      </c>
    </row>
    <row r="111" spans="2:3" x14ac:dyDescent="0.35">
      <c r="B111" s="24">
        <v>42760</v>
      </c>
      <c r="C111" s="25">
        <v>1.27</v>
      </c>
    </row>
    <row r="112" spans="2:3" x14ac:dyDescent="0.35">
      <c r="B112" s="24">
        <v>42761</v>
      </c>
      <c r="C112" s="25">
        <v>1.26</v>
      </c>
    </row>
    <row r="113" spans="2:3" x14ac:dyDescent="0.35">
      <c r="B113" s="24">
        <v>42762</v>
      </c>
      <c r="C113" s="25">
        <v>1.26</v>
      </c>
    </row>
    <row r="114" spans="2:3" x14ac:dyDescent="0.35">
      <c r="B114" s="24">
        <v>42765</v>
      </c>
      <c r="C114" s="25">
        <v>1.26</v>
      </c>
    </row>
    <row r="115" spans="2:3" x14ac:dyDescent="0.35">
      <c r="B115" s="24">
        <v>42766</v>
      </c>
      <c r="C115" s="25">
        <v>1.28</v>
      </c>
    </row>
    <row r="116" spans="2:3" x14ac:dyDescent="0.35">
      <c r="B116" s="24">
        <v>42767</v>
      </c>
      <c r="C116" s="25">
        <v>1.28</v>
      </c>
    </row>
    <row r="117" spans="2:3" x14ac:dyDescent="0.35">
      <c r="B117" s="24">
        <v>42768</v>
      </c>
      <c r="C117" s="25">
        <v>1.28</v>
      </c>
    </row>
    <row r="118" spans="2:3" x14ac:dyDescent="0.35">
      <c r="B118" s="24">
        <v>42769</v>
      </c>
      <c r="C118" s="25">
        <v>1.27</v>
      </c>
    </row>
    <row r="119" spans="2:3" x14ac:dyDescent="0.35">
      <c r="B119" s="24">
        <v>42772</v>
      </c>
      <c r="C119" s="25">
        <v>1.27</v>
      </c>
    </row>
    <row r="120" spans="2:3" x14ac:dyDescent="0.35">
      <c r="B120" s="24">
        <v>42773</v>
      </c>
      <c r="C120" s="25">
        <v>1.28</v>
      </c>
    </row>
    <row r="121" spans="2:3" x14ac:dyDescent="0.35">
      <c r="B121" s="24">
        <v>42774</v>
      </c>
      <c r="C121" s="25">
        <v>1.28</v>
      </c>
    </row>
    <row r="122" spans="2:3" x14ac:dyDescent="0.35">
      <c r="B122" s="24">
        <v>42775</v>
      </c>
      <c r="C122" s="25">
        <v>1.28</v>
      </c>
    </row>
    <row r="123" spans="2:3" x14ac:dyDescent="0.35">
      <c r="B123" s="24">
        <v>42776</v>
      </c>
      <c r="C123" s="25">
        <v>1.27</v>
      </c>
    </row>
    <row r="124" spans="2:3" x14ac:dyDescent="0.35">
      <c r="B124" s="24">
        <v>42779</v>
      </c>
      <c r="C124" s="25">
        <v>1.26</v>
      </c>
    </row>
    <row r="125" spans="2:3" x14ac:dyDescent="0.35">
      <c r="B125" s="24">
        <v>42780</v>
      </c>
      <c r="C125" s="25">
        <v>1.24</v>
      </c>
    </row>
    <row r="126" spans="2:3" x14ac:dyDescent="0.35">
      <c r="B126" s="24">
        <v>42781</v>
      </c>
      <c r="C126" s="25">
        <v>1.23</v>
      </c>
    </row>
    <row r="127" spans="2:3" x14ac:dyDescent="0.35">
      <c r="B127" s="24">
        <v>42782</v>
      </c>
      <c r="C127" s="25">
        <v>1.24</v>
      </c>
    </row>
    <row r="128" spans="2:3" x14ac:dyDescent="0.35">
      <c r="B128" s="24">
        <v>42783</v>
      </c>
      <c r="C128" s="25">
        <v>1.24</v>
      </c>
    </row>
    <row r="129" spans="2:3" x14ac:dyDescent="0.35">
      <c r="B129" s="24">
        <v>42786</v>
      </c>
      <c r="C129" s="25">
        <v>1.24</v>
      </c>
    </row>
    <row r="130" spans="2:3" x14ac:dyDescent="0.35">
      <c r="B130" s="24">
        <v>42787</v>
      </c>
      <c r="C130" s="25">
        <v>1.24</v>
      </c>
    </row>
    <row r="131" spans="2:3" x14ac:dyDescent="0.35">
      <c r="B131" s="24">
        <v>42788</v>
      </c>
      <c r="C131" s="25">
        <v>1.23</v>
      </c>
    </row>
    <row r="132" spans="2:3" x14ac:dyDescent="0.35">
      <c r="B132" s="24">
        <v>42789</v>
      </c>
      <c r="C132" s="25">
        <v>1.23</v>
      </c>
    </row>
    <row r="133" spans="2:3" x14ac:dyDescent="0.35">
      <c r="B133" s="24">
        <v>42790</v>
      </c>
      <c r="C133" s="25">
        <v>1.23</v>
      </c>
    </row>
    <row r="134" spans="2:3" x14ac:dyDescent="0.35">
      <c r="B134" s="24">
        <v>42793</v>
      </c>
      <c r="C134" s="25">
        <v>1.22</v>
      </c>
    </row>
    <row r="135" spans="2:3" x14ac:dyDescent="0.35">
      <c r="B135" s="24">
        <v>42794</v>
      </c>
      <c r="C135" s="25">
        <v>1.21</v>
      </c>
    </row>
    <row r="136" spans="2:3" x14ac:dyDescent="0.35">
      <c r="B136" s="24">
        <v>42795</v>
      </c>
      <c r="C136" s="25">
        <v>1.19</v>
      </c>
    </row>
    <row r="137" spans="2:3" x14ac:dyDescent="0.35">
      <c r="B137" s="24">
        <v>42796</v>
      </c>
      <c r="C137" s="25">
        <v>1.18</v>
      </c>
    </row>
    <row r="138" spans="2:3" x14ac:dyDescent="0.35">
      <c r="B138" s="24">
        <v>42797</v>
      </c>
      <c r="C138" s="25">
        <v>1.18</v>
      </c>
    </row>
    <row r="139" spans="2:3" x14ac:dyDescent="0.35">
      <c r="B139" s="24">
        <v>42800</v>
      </c>
      <c r="C139" s="25">
        <v>1.18</v>
      </c>
    </row>
    <row r="140" spans="2:3" x14ac:dyDescent="0.35">
      <c r="B140" s="24">
        <v>42801</v>
      </c>
      <c r="C140" s="25">
        <v>1.19</v>
      </c>
    </row>
    <row r="141" spans="2:3" x14ac:dyDescent="0.35">
      <c r="B141" s="24">
        <v>42802</v>
      </c>
      <c r="C141" s="25">
        <v>1.19</v>
      </c>
    </row>
    <row r="142" spans="2:3" x14ac:dyDescent="0.35">
      <c r="B142" s="24">
        <v>42803</v>
      </c>
      <c r="C142" s="25">
        <v>1.21</v>
      </c>
    </row>
    <row r="143" spans="2:3" x14ac:dyDescent="0.35">
      <c r="B143" s="24">
        <v>42804</v>
      </c>
      <c r="C143" s="25">
        <v>1.21</v>
      </c>
    </row>
    <row r="144" spans="2:3" x14ac:dyDescent="0.35">
      <c r="B144" s="24">
        <v>42807</v>
      </c>
      <c r="C144" s="25">
        <v>1.21</v>
      </c>
    </row>
    <row r="145" spans="2:3" x14ac:dyDescent="0.35">
      <c r="B145" s="24">
        <v>42808</v>
      </c>
      <c r="C145" s="25">
        <v>1.22</v>
      </c>
    </row>
    <row r="146" spans="2:3" x14ac:dyDescent="0.35">
      <c r="B146" s="24">
        <v>42809</v>
      </c>
      <c r="C146" s="25">
        <v>1.23</v>
      </c>
    </row>
    <row r="147" spans="2:3" x14ac:dyDescent="0.35">
      <c r="B147" s="24">
        <v>42810</v>
      </c>
      <c r="C147" s="25">
        <v>1.22</v>
      </c>
    </row>
    <row r="148" spans="2:3" x14ac:dyDescent="0.35">
      <c r="B148" s="24">
        <v>42811</v>
      </c>
      <c r="C148" s="25">
        <v>1.22</v>
      </c>
    </row>
    <row r="149" spans="2:3" x14ac:dyDescent="0.35">
      <c r="B149" s="24">
        <v>42814</v>
      </c>
      <c r="C149" s="25">
        <v>1.22</v>
      </c>
    </row>
    <row r="150" spans="2:3" x14ac:dyDescent="0.35">
      <c r="B150" s="24">
        <v>42815</v>
      </c>
      <c r="C150" s="25">
        <v>1.22</v>
      </c>
    </row>
    <row r="151" spans="2:3" x14ac:dyDescent="0.35">
      <c r="B151" s="24">
        <v>42816</v>
      </c>
      <c r="C151" s="25">
        <v>1.23</v>
      </c>
    </row>
    <row r="152" spans="2:3" x14ac:dyDescent="0.35">
      <c r="B152" s="24">
        <v>42817</v>
      </c>
      <c r="C152" s="25">
        <v>1.23</v>
      </c>
    </row>
    <row r="153" spans="2:3" x14ac:dyDescent="0.35">
      <c r="B153" s="24">
        <v>42818</v>
      </c>
      <c r="C153" s="25">
        <v>1.23</v>
      </c>
    </row>
    <row r="154" spans="2:3" x14ac:dyDescent="0.35">
      <c r="B154" s="24">
        <v>42821</v>
      </c>
      <c r="C154" s="25">
        <v>1.23</v>
      </c>
    </row>
    <row r="155" spans="2:3" x14ac:dyDescent="0.35">
      <c r="B155" s="24">
        <v>42822</v>
      </c>
      <c r="C155" s="25">
        <v>1.22</v>
      </c>
    </row>
    <row r="156" spans="2:3" x14ac:dyDescent="0.35">
      <c r="B156" s="24">
        <v>42823</v>
      </c>
      <c r="C156" s="25">
        <v>1.22</v>
      </c>
    </row>
    <row r="157" spans="2:3" x14ac:dyDescent="0.35">
      <c r="B157" s="24">
        <v>42824</v>
      </c>
      <c r="C157" s="25">
        <v>1.22</v>
      </c>
    </row>
    <row r="158" spans="2:3" x14ac:dyDescent="0.35">
      <c r="B158" s="24">
        <v>42825</v>
      </c>
      <c r="C158" s="25">
        <v>1.24</v>
      </c>
    </row>
    <row r="159" spans="2:3" x14ac:dyDescent="0.35">
      <c r="B159" s="24">
        <v>42828</v>
      </c>
      <c r="C159" s="25">
        <v>1.24</v>
      </c>
    </row>
    <row r="160" spans="2:3" x14ac:dyDescent="0.35">
      <c r="B160" s="24">
        <v>42829</v>
      </c>
      <c r="C160" s="25">
        <v>1.24</v>
      </c>
    </row>
    <row r="161" spans="2:3" x14ac:dyDescent="0.35">
      <c r="B161" s="24">
        <v>42830</v>
      </c>
      <c r="C161" s="25">
        <v>1.24</v>
      </c>
    </row>
    <row r="162" spans="2:3" x14ac:dyDescent="0.35">
      <c r="B162" s="24">
        <v>42831</v>
      </c>
      <c r="C162" s="25">
        <v>1.24</v>
      </c>
    </row>
    <row r="163" spans="2:3" x14ac:dyDescent="0.35">
      <c r="B163" s="24">
        <v>42832</v>
      </c>
      <c r="C163" s="25">
        <v>1.23</v>
      </c>
    </row>
    <row r="164" spans="2:3" x14ac:dyDescent="0.35">
      <c r="B164" s="24">
        <v>42835</v>
      </c>
      <c r="C164" s="25">
        <v>1.23</v>
      </c>
    </row>
    <row r="165" spans="2:3" x14ac:dyDescent="0.35">
      <c r="B165" s="24">
        <v>42836</v>
      </c>
      <c r="C165" s="25">
        <v>1.24</v>
      </c>
    </row>
    <row r="166" spans="2:3" x14ac:dyDescent="0.35">
      <c r="B166" s="24">
        <v>42837</v>
      </c>
      <c r="C166" s="25">
        <v>1.24</v>
      </c>
    </row>
    <row r="167" spans="2:3" x14ac:dyDescent="0.35">
      <c r="B167" s="24">
        <v>42838</v>
      </c>
      <c r="C167" s="25">
        <v>1.25</v>
      </c>
    </row>
    <row r="168" spans="2:3" x14ac:dyDescent="0.35">
      <c r="B168" s="24">
        <v>42839</v>
      </c>
      <c r="C168" s="26" t="e">
        <f>NA()</f>
        <v>#N/A</v>
      </c>
    </row>
    <row r="169" spans="2:3" x14ac:dyDescent="0.35">
      <c r="B169" s="24">
        <v>42842</v>
      </c>
      <c r="C169" s="25">
        <v>1.24</v>
      </c>
    </row>
    <row r="170" spans="2:3" x14ac:dyDescent="0.35">
      <c r="B170" s="24">
        <v>42843</v>
      </c>
      <c r="C170" s="25">
        <v>1.25</v>
      </c>
    </row>
    <row r="171" spans="2:3" x14ac:dyDescent="0.35">
      <c r="B171" s="24">
        <v>42844</v>
      </c>
      <c r="C171" s="25">
        <v>1.25</v>
      </c>
    </row>
    <row r="172" spans="2:3" x14ac:dyDescent="0.35">
      <c r="B172" s="24">
        <v>42845</v>
      </c>
      <c r="C172" s="25">
        <v>1.25</v>
      </c>
    </row>
    <row r="173" spans="2:3" x14ac:dyDescent="0.35">
      <c r="B173" s="24">
        <v>42846</v>
      </c>
      <c r="C173" s="25">
        <v>1.25</v>
      </c>
    </row>
    <row r="174" spans="2:3" x14ac:dyDescent="0.35">
      <c r="B174" s="24">
        <v>42849</v>
      </c>
      <c r="C174" s="25">
        <v>1.24</v>
      </c>
    </row>
    <row r="175" spans="2:3" x14ac:dyDescent="0.35">
      <c r="B175" s="24">
        <v>42850</v>
      </c>
      <c r="C175" s="25">
        <v>1.23</v>
      </c>
    </row>
    <row r="176" spans="2:3" x14ac:dyDescent="0.35">
      <c r="B176" s="24">
        <v>42851</v>
      </c>
      <c r="C176" s="25">
        <v>1.23</v>
      </c>
    </row>
    <row r="177" spans="2:3" x14ac:dyDescent="0.35">
      <c r="B177" s="24">
        <v>42852</v>
      </c>
      <c r="C177" s="25">
        <v>1.22</v>
      </c>
    </row>
    <row r="178" spans="2:3" x14ac:dyDescent="0.35">
      <c r="B178" s="24">
        <v>42853</v>
      </c>
      <c r="C178" s="25">
        <v>1.22</v>
      </c>
    </row>
    <row r="179" spans="2:3" x14ac:dyDescent="0.35">
      <c r="B179" s="24">
        <v>42855</v>
      </c>
      <c r="C179" s="25">
        <v>1.23</v>
      </c>
    </row>
    <row r="180" spans="2:3" x14ac:dyDescent="0.35">
      <c r="B180" s="24">
        <v>42856</v>
      </c>
      <c r="C180" s="25">
        <v>1.23</v>
      </c>
    </row>
    <row r="181" spans="2:3" x14ac:dyDescent="0.35">
      <c r="B181" s="24">
        <v>42857</v>
      </c>
      <c r="C181" s="25">
        <v>1.22</v>
      </c>
    </row>
    <row r="182" spans="2:3" x14ac:dyDescent="0.35">
      <c r="B182" s="24">
        <v>42858</v>
      </c>
      <c r="C182" s="25">
        <v>1.22</v>
      </c>
    </row>
    <row r="183" spans="2:3" x14ac:dyDescent="0.35">
      <c r="B183" s="24">
        <v>42859</v>
      </c>
      <c r="C183" s="25">
        <v>1.21</v>
      </c>
    </row>
    <row r="184" spans="2:3" x14ac:dyDescent="0.35">
      <c r="B184" s="24">
        <v>42860</v>
      </c>
      <c r="C184" s="25">
        <v>1.21</v>
      </c>
    </row>
    <row r="185" spans="2:3" x14ac:dyDescent="0.35">
      <c r="B185" s="24">
        <v>42863</v>
      </c>
      <c r="C185" s="25">
        <v>1.2</v>
      </c>
    </row>
    <row r="186" spans="2:3" x14ac:dyDescent="0.35">
      <c r="B186" s="24">
        <v>42864</v>
      </c>
      <c r="C186" s="25">
        <v>1.19</v>
      </c>
    </row>
    <row r="187" spans="2:3" x14ac:dyDescent="0.35">
      <c r="B187" s="24">
        <v>42865</v>
      </c>
      <c r="C187" s="25">
        <v>1.19</v>
      </c>
    </row>
    <row r="188" spans="2:3" x14ac:dyDescent="0.35">
      <c r="B188" s="24">
        <v>42866</v>
      </c>
      <c r="C188" s="25">
        <v>1.18</v>
      </c>
    </row>
    <row r="189" spans="2:3" x14ac:dyDescent="0.35">
      <c r="B189" s="24">
        <v>42867</v>
      </c>
      <c r="C189" s="25">
        <v>1.18</v>
      </c>
    </row>
    <row r="190" spans="2:3" x14ac:dyDescent="0.35">
      <c r="B190" s="24">
        <v>42870</v>
      </c>
      <c r="C190" s="25">
        <v>1.17</v>
      </c>
    </row>
    <row r="191" spans="2:3" x14ac:dyDescent="0.35">
      <c r="B191" s="24">
        <v>42871</v>
      </c>
      <c r="C191" s="25">
        <v>1.17</v>
      </c>
    </row>
    <row r="192" spans="2:3" x14ac:dyDescent="0.35">
      <c r="B192" s="24">
        <v>42872</v>
      </c>
      <c r="C192" s="25">
        <v>1.18</v>
      </c>
    </row>
    <row r="193" spans="2:3" x14ac:dyDescent="0.35">
      <c r="B193" s="24">
        <v>42873</v>
      </c>
      <c r="C193" s="25">
        <v>1.19</v>
      </c>
    </row>
    <row r="194" spans="2:3" x14ac:dyDescent="0.35">
      <c r="B194" s="24">
        <v>42874</v>
      </c>
      <c r="C194" s="25">
        <v>1.18</v>
      </c>
    </row>
    <row r="195" spans="2:3" x14ac:dyDescent="0.35">
      <c r="B195" s="24">
        <v>42877</v>
      </c>
      <c r="C195" s="25">
        <v>1.18</v>
      </c>
    </row>
    <row r="196" spans="2:3" x14ac:dyDescent="0.35">
      <c r="B196" s="24">
        <v>42878</v>
      </c>
      <c r="C196" s="25">
        <v>1.17</v>
      </c>
    </row>
    <row r="197" spans="2:3" x14ac:dyDescent="0.35">
      <c r="B197" s="24">
        <v>42879</v>
      </c>
      <c r="C197" s="25">
        <v>1.18</v>
      </c>
    </row>
    <row r="198" spans="2:3" x14ac:dyDescent="0.35">
      <c r="B198" s="24">
        <v>42880</v>
      </c>
      <c r="C198" s="25">
        <v>1.18</v>
      </c>
    </row>
    <row r="199" spans="2:3" x14ac:dyDescent="0.35">
      <c r="B199" s="24">
        <v>42881</v>
      </c>
      <c r="C199" s="25">
        <v>1.18</v>
      </c>
    </row>
    <row r="200" spans="2:3" x14ac:dyDescent="0.35">
      <c r="B200" s="24">
        <v>42884</v>
      </c>
      <c r="C200" s="25">
        <v>1.17</v>
      </c>
    </row>
    <row r="201" spans="2:3" x14ac:dyDescent="0.35">
      <c r="B201" s="24">
        <v>42885</v>
      </c>
      <c r="C201" s="25">
        <v>1.18</v>
      </c>
    </row>
    <row r="202" spans="2:3" x14ac:dyDescent="0.35">
      <c r="B202" s="24">
        <v>42886</v>
      </c>
      <c r="C202" s="25">
        <v>1.19</v>
      </c>
    </row>
    <row r="203" spans="2:3" x14ac:dyDescent="0.35">
      <c r="B203" s="24">
        <v>42887</v>
      </c>
      <c r="C203" s="25">
        <v>1.19</v>
      </c>
    </row>
    <row r="204" spans="2:3" x14ac:dyDescent="0.35">
      <c r="B204" s="24">
        <v>42888</v>
      </c>
      <c r="C204" s="25">
        <v>1.19</v>
      </c>
    </row>
    <row r="205" spans="2:3" x14ac:dyDescent="0.35">
      <c r="B205" s="24">
        <v>42891</v>
      </c>
      <c r="C205" s="25">
        <v>1.19</v>
      </c>
    </row>
    <row r="206" spans="2:3" x14ac:dyDescent="0.35">
      <c r="B206" s="24">
        <v>42892</v>
      </c>
      <c r="C206" s="25">
        <v>1.19</v>
      </c>
    </row>
    <row r="207" spans="2:3" x14ac:dyDescent="0.35">
      <c r="B207" s="24">
        <v>42893</v>
      </c>
      <c r="C207" s="25">
        <v>1.19</v>
      </c>
    </row>
    <row r="208" spans="2:3" x14ac:dyDescent="0.35">
      <c r="B208" s="24">
        <v>42894</v>
      </c>
      <c r="C208" s="25">
        <v>1.19</v>
      </c>
    </row>
    <row r="209" spans="2:3" x14ac:dyDescent="0.35">
      <c r="B209" s="24">
        <v>42895</v>
      </c>
      <c r="C209" s="25">
        <v>1.19</v>
      </c>
    </row>
    <row r="210" spans="2:3" x14ac:dyDescent="0.35">
      <c r="B210" s="24">
        <v>42898</v>
      </c>
      <c r="C210" s="25">
        <v>1.18</v>
      </c>
    </row>
    <row r="211" spans="2:3" x14ac:dyDescent="0.35">
      <c r="B211" s="24">
        <v>42899</v>
      </c>
      <c r="C211" s="25">
        <v>1.18</v>
      </c>
    </row>
    <row r="212" spans="2:3" x14ac:dyDescent="0.35">
      <c r="B212" s="24">
        <v>42900</v>
      </c>
      <c r="C212" s="25">
        <v>1.18</v>
      </c>
    </row>
    <row r="213" spans="2:3" x14ac:dyDescent="0.35">
      <c r="B213" s="24">
        <v>42901</v>
      </c>
      <c r="C213" s="25">
        <v>1.18</v>
      </c>
    </row>
    <row r="214" spans="2:3" x14ac:dyDescent="0.35">
      <c r="B214" s="24">
        <v>42902</v>
      </c>
      <c r="C214" s="25">
        <v>1.18</v>
      </c>
    </row>
    <row r="215" spans="2:3" x14ac:dyDescent="0.35">
      <c r="B215" s="24">
        <v>42905</v>
      </c>
      <c r="C215" s="25">
        <v>1.17</v>
      </c>
    </row>
    <row r="216" spans="2:3" x14ac:dyDescent="0.35">
      <c r="B216" s="24">
        <v>42906</v>
      </c>
      <c r="C216" s="25">
        <v>1.17</v>
      </c>
    </row>
    <row r="217" spans="2:3" x14ac:dyDescent="0.35">
      <c r="B217" s="24">
        <v>42907</v>
      </c>
      <c r="C217" s="25">
        <v>1.17</v>
      </c>
    </row>
    <row r="218" spans="2:3" x14ac:dyDescent="0.35">
      <c r="B218" s="24">
        <v>42908</v>
      </c>
      <c r="C218" s="25">
        <v>1.18</v>
      </c>
    </row>
    <row r="219" spans="2:3" x14ac:dyDescent="0.35">
      <c r="B219" s="24">
        <v>42909</v>
      </c>
      <c r="C219" s="25">
        <v>1.18</v>
      </c>
    </row>
    <row r="220" spans="2:3" x14ac:dyDescent="0.35">
      <c r="B220" s="24">
        <v>42912</v>
      </c>
      <c r="C220" s="25">
        <v>1.17</v>
      </c>
    </row>
    <row r="221" spans="2:3" x14ac:dyDescent="0.35">
      <c r="B221" s="24">
        <v>42913</v>
      </c>
      <c r="C221" s="25">
        <v>1.1599999999999999</v>
      </c>
    </row>
    <row r="222" spans="2:3" x14ac:dyDescent="0.35">
      <c r="B222" s="24">
        <v>42914</v>
      </c>
      <c r="C222" s="25">
        <v>1.1599999999999999</v>
      </c>
    </row>
    <row r="223" spans="2:3" x14ac:dyDescent="0.35">
      <c r="B223" s="24">
        <v>42915</v>
      </c>
      <c r="C223" s="25">
        <v>1.1499999999999999</v>
      </c>
    </row>
    <row r="224" spans="2:3" x14ac:dyDescent="0.35">
      <c r="B224" s="24">
        <v>42916</v>
      </c>
      <c r="C224" s="25">
        <v>1.1499999999999999</v>
      </c>
    </row>
    <row r="225" spans="2:3" x14ac:dyDescent="0.35">
      <c r="B225" s="24">
        <v>42919</v>
      </c>
      <c r="C225" s="25">
        <v>1.1399999999999999</v>
      </c>
    </row>
    <row r="226" spans="2:3" x14ac:dyDescent="0.35">
      <c r="B226" s="24">
        <v>42920</v>
      </c>
      <c r="C226" s="25">
        <v>1.1399999999999999</v>
      </c>
    </row>
    <row r="227" spans="2:3" x14ac:dyDescent="0.35">
      <c r="B227" s="24">
        <v>42921</v>
      </c>
      <c r="C227" s="25">
        <v>1.1399999999999999</v>
      </c>
    </row>
    <row r="228" spans="2:3" x14ac:dyDescent="0.35">
      <c r="B228" s="24">
        <v>42922</v>
      </c>
      <c r="C228" s="25">
        <v>1.1299999999999999</v>
      </c>
    </row>
    <row r="229" spans="2:3" x14ac:dyDescent="0.35">
      <c r="B229" s="24">
        <v>42923</v>
      </c>
      <c r="C229" s="25">
        <v>1.1200000000000001</v>
      </c>
    </row>
    <row r="230" spans="2:3" x14ac:dyDescent="0.35">
      <c r="B230" s="24">
        <v>42926</v>
      </c>
      <c r="C230" s="25">
        <v>1.1200000000000001</v>
      </c>
    </row>
    <row r="231" spans="2:3" x14ac:dyDescent="0.35">
      <c r="B231" s="24">
        <v>42927</v>
      </c>
      <c r="C231" s="25">
        <v>1.1200000000000001</v>
      </c>
    </row>
    <row r="232" spans="2:3" x14ac:dyDescent="0.35">
      <c r="B232" s="24">
        <v>42928</v>
      </c>
      <c r="C232" s="25">
        <v>1.1200000000000001</v>
      </c>
    </row>
    <row r="233" spans="2:3" x14ac:dyDescent="0.35">
      <c r="B233" s="24">
        <v>42929</v>
      </c>
      <c r="C233" s="25">
        <v>1.1100000000000001</v>
      </c>
    </row>
    <row r="234" spans="2:3" x14ac:dyDescent="0.35">
      <c r="B234" s="24">
        <v>42930</v>
      </c>
      <c r="C234" s="25">
        <v>1.1100000000000001</v>
      </c>
    </row>
    <row r="235" spans="2:3" x14ac:dyDescent="0.35">
      <c r="B235" s="24">
        <v>42933</v>
      </c>
      <c r="C235" s="25">
        <v>1.1000000000000001</v>
      </c>
    </row>
    <row r="236" spans="2:3" x14ac:dyDescent="0.35">
      <c r="B236" s="24">
        <v>42934</v>
      </c>
      <c r="C236" s="25">
        <v>1.1000000000000001</v>
      </c>
    </row>
    <row r="237" spans="2:3" x14ac:dyDescent="0.35">
      <c r="B237" s="24">
        <v>42935</v>
      </c>
      <c r="C237" s="25">
        <v>1.1000000000000001</v>
      </c>
    </row>
    <row r="238" spans="2:3" x14ac:dyDescent="0.35">
      <c r="B238" s="24">
        <v>42936</v>
      </c>
      <c r="C238" s="25">
        <v>1.1000000000000001</v>
      </c>
    </row>
    <row r="239" spans="2:3" x14ac:dyDescent="0.35">
      <c r="B239" s="24">
        <v>42937</v>
      </c>
      <c r="C239" s="25">
        <v>1.1000000000000001</v>
      </c>
    </row>
    <row r="240" spans="2:3" x14ac:dyDescent="0.35">
      <c r="B240" s="24">
        <v>42940</v>
      </c>
      <c r="C240" s="25">
        <v>1.0900000000000001</v>
      </c>
    </row>
    <row r="241" spans="2:3" x14ac:dyDescent="0.35">
      <c r="B241" s="24">
        <v>42941</v>
      </c>
      <c r="C241" s="25">
        <v>1.08</v>
      </c>
    </row>
    <row r="242" spans="2:3" x14ac:dyDescent="0.35">
      <c r="B242" s="24">
        <v>42942</v>
      </c>
      <c r="C242" s="25">
        <v>1.08</v>
      </c>
    </row>
    <row r="243" spans="2:3" x14ac:dyDescent="0.35">
      <c r="B243" s="24">
        <v>42943</v>
      </c>
      <c r="C243" s="25">
        <v>1.08</v>
      </c>
    </row>
    <row r="244" spans="2:3" x14ac:dyDescent="0.35">
      <c r="B244" s="24">
        <v>42944</v>
      </c>
      <c r="C244" s="25">
        <v>1.08</v>
      </c>
    </row>
    <row r="245" spans="2:3" x14ac:dyDescent="0.35">
      <c r="B245" s="24">
        <v>42947</v>
      </c>
      <c r="C245" s="25">
        <v>1.0900000000000001</v>
      </c>
    </row>
    <row r="246" spans="2:3" x14ac:dyDescent="0.35">
      <c r="B246" s="24">
        <v>42948</v>
      </c>
      <c r="C246" s="25">
        <v>1.08</v>
      </c>
    </row>
    <row r="247" spans="2:3" x14ac:dyDescent="0.35">
      <c r="B247" s="24">
        <v>42949</v>
      </c>
      <c r="C247" s="25">
        <v>1.08</v>
      </c>
    </row>
    <row r="248" spans="2:3" x14ac:dyDescent="0.35">
      <c r="B248" s="24">
        <v>42950</v>
      </c>
      <c r="C248" s="25">
        <v>1.0900000000000001</v>
      </c>
    </row>
    <row r="249" spans="2:3" x14ac:dyDescent="0.35">
      <c r="B249" s="24">
        <v>42951</v>
      </c>
      <c r="C249" s="25">
        <v>1.0900000000000001</v>
      </c>
    </row>
    <row r="250" spans="2:3" x14ac:dyDescent="0.35">
      <c r="B250" s="24">
        <v>42954</v>
      </c>
      <c r="C250" s="25">
        <v>1.1000000000000001</v>
      </c>
    </row>
    <row r="251" spans="2:3" x14ac:dyDescent="0.35">
      <c r="B251" s="24">
        <v>42955</v>
      </c>
      <c r="C251" s="25">
        <v>1.1000000000000001</v>
      </c>
    </row>
    <row r="252" spans="2:3" x14ac:dyDescent="0.35">
      <c r="B252" s="24">
        <v>42956</v>
      </c>
      <c r="C252" s="25">
        <v>1.1200000000000001</v>
      </c>
    </row>
    <row r="253" spans="2:3" x14ac:dyDescent="0.35">
      <c r="B253" s="24">
        <v>42957</v>
      </c>
      <c r="C253" s="25">
        <v>1.1399999999999999</v>
      </c>
    </row>
    <row r="254" spans="2:3" x14ac:dyDescent="0.35">
      <c r="B254" s="24">
        <v>42958</v>
      </c>
      <c r="C254" s="25">
        <v>1.1599999999999999</v>
      </c>
    </row>
    <row r="255" spans="2:3" x14ac:dyDescent="0.35">
      <c r="B255" s="24">
        <v>42961</v>
      </c>
      <c r="C255" s="25">
        <v>1.1499999999999999</v>
      </c>
    </row>
    <row r="256" spans="2:3" x14ac:dyDescent="0.35">
      <c r="B256" s="24">
        <v>42962</v>
      </c>
      <c r="C256" s="25">
        <v>1.1399999999999999</v>
      </c>
    </row>
    <row r="257" spans="2:3" x14ac:dyDescent="0.35">
      <c r="B257" s="24">
        <v>42963</v>
      </c>
      <c r="C257" s="25">
        <v>1.1399999999999999</v>
      </c>
    </row>
    <row r="258" spans="2:3" x14ac:dyDescent="0.35">
      <c r="B258" s="24">
        <v>42964</v>
      </c>
      <c r="C258" s="25">
        <v>1.1399999999999999</v>
      </c>
    </row>
    <row r="259" spans="2:3" x14ac:dyDescent="0.35">
      <c r="B259" s="24">
        <v>42965</v>
      </c>
      <c r="C259" s="25">
        <v>1.1499999999999999</v>
      </c>
    </row>
    <row r="260" spans="2:3" x14ac:dyDescent="0.35">
      <c r="B260" s="24">
        <v>42968</v>
      </c>
      <c r="C260" s="25">
        <v>1.1499999999999999</v>
      </c>
    </row>
    <row r="261" spans="2:3" x14ac:dyDescent="0.35">
      <c r="B261" s="24">
        <v>42969</v>
      </c>
      <c r="C261" s="25">
        <v>1.1499999999999999</v>
      </c>
    </row>
    <row r="262" spans="2:3" x14ac:dyDescent="0.35">
      <c r="B262" s="24">
        <v>42970</v>
      </c>
      <c r="C262" s="25">
        <v>1.1499999999999999</v>
      </c>
    </row>
    <row r="263" spans="2:3" x14ac:dyDescent="0.35">
      <c r="B263" s="24">
        <v>42971</v>
      </c>
      <c r="C263" s="25">
        <v>1.1499999999999999</v>
      </c>
    </row>
    <row r="264" spans="2:3" x14ac:dyDescent="0.35">
      <c r="B264" s="24">
        <v>42972</v>
      </c>
      <c r="C264" s="25">
        <v>1.1399999999999999</v>
      </c>
    </row>
    <row r="265" spans="2:3" x14ac:dyDescent="0.35">
      <c r="B265" s="24">
        <v>42975</v>
      </c>
      <c r="C265" s="25">
        <v>1.1399999999999999</v>
      </c>
    </row>
    <row r="266" spans="2:3" x14ac:dyDescent="0.35">
      <c r="B266" s="24">
        <v>42976</v>
      </c>
      <c r="C266" s="25">
        <v>1.1499999999999999</v>
      </c>
    </row>
    <row r="267" spans="2:3" x14ac:dyDescent="0.35">
      <c r="B267" s="24">
        <v>42977</v>
      </c>
      <c r="C267" s="25">
        <v>1.1499999999999999</v>
      </c>
    </row>
    <row r="268" spans="2:3" x14ac:dyDescent="0.35">
      <c r="B268" s="24">
        <v>42978</v>
      </c>
      <c r="C268" s="25">
        <v>1.1599999999999999</v>
      </c>
    </row>
    <row r="269" spans="2:3" x14ac:dyDescent="0.35">
      <c r="B269" s="24">
        <v>42979</v>
      </c>
      <c r="C269" s="25">
        <v>1.1499999999999999</v>
      </c>
    </row>
    <row r="270" spans="2:3" x14ac:dyDescent="0.35">
      <c r="B270" s="24">
        <v>42982</v>
      </c>
      <c r="C270" s="25">
        <v>1.1499999999999999</v>
      </c>
    </row>
    <row r="271" spans="2:3" x14ac:dyDescent="0.35">
      <c r="B271" s="24">
        <v>42983</v>
      </c>
      <c r="C271" s="25">
        <v>1.1599999999999999</v>
      </c>
    </row>
    <row r="272" spans="2:3" x14ac:dyDescent="0.35">
      <c r="B272" s="24">
        <v>42984</v>
      </c>
      <c r="C272" s="25">
        <v>1.1599999999999999</v>
      </c>
    </row>
    <row r="273" spans="2:3" x14ac:dyDescent="0.35">
      <c r="B273" s="24">
        <v>42985</v>
      </c>
      <c r="C273" s="25">
        <v>1.17</v>
      </c>
    </row>
    <row r="274" spans="2:3" x14ac:dyDescent="0.35">
      <c r="B274" s="24">
        <v>42986</v>
      </c>
      <c r="C274" s="25">
        <v>1.17</v>
      </c>
    </row>
    <row r="275" spans="2:3" x14ac:dyDescent="0.35">
      <c r="B275" s="24">
        <v>42989</v>
      </c>
      <c r="C275" s="25">
        <v>1.17</v>
      </c>
    </row>
    <row r="276" spans="2:3" x14ac:dyDescent="0.35">
      <c r="B276" s="24">
        <v>42990</v>
      </c>
      <c r="C276" s="25">
        <v>1.1599999999999999</v>
      </c>
    </row>
    <row r="277" spans="2:3" x14ac:dyDescent="0.35">
      <c r="B277" s="24">
        <v>42991</v>
      </c>
      <c r="C277" s="25">
        <v>1.1499999999999999</v>
      </c>
    </row>
    <row r="278" spans="2:3" x14ac:dyDescent="0.35">
      <c r="B278" s="24">
        <v>42992</v>
      </c>
      <c r="C278" s="25">
        <v>1.1499999999999999</v>
      </c>
    </row>
    <row r="279" spans="2:3" x14ac:dyDescent="0.35">
      <c r="B279" s="24">
        <v>42993</v>
      </c>
      <c r="C279" s="25">
        <v>1.1399999999999999</v>
      </c>
    </row>
    <row r="280" spans="2:3" x14ac:dyDescent="0.35">
      <c r="B280" s="24">
        <v>42996</v>
      </c>
      <c r="C280" s="25">
        <v>1.1299999999999999</v>
      </c>
    </row>
    <row r="281" spans="2:3" x14ac:dyDescent="0.35">
      <c r="B281" s="24">
        <v>42997</v>
      </c>
      <c r="C281" s="25">
        <v>1.1200000000000001</v>
      </c>
    </row>
    <row r="282" spans="2:3" x14ac:dyDescent="0.35">
      <c r="B282" s="24">
        <v>42998</v>
      </c>
      <c r="C282" s="25">
        <v>1.1100000000000001</v>
      </c>
    </row>
    <row r="283" spans="2:3" x14ac:dyDescent="0.35">
      <c r="B283" s="24">
        <v>42999</v>
      </c>
      <c r="C283" s="25">
        <v>1.1100000000000001</v>
      </c>
    </row>
    <row r="284" spans="2:3" x14ac:dyDescent="0.35">
      <c r="B284" s="24">
        <v>43000</v>
      </c>
      <c r="C284" s="25">
        <v>1.1100000000000001</v>
      </c>
    </row>
    <row r="285" spans="2:3" x14ac:dyDescent="0.35">
      <c r="B285" s="24">
        <v>43003</v>
      </c>
      <c r="C285" s="25">
        <v>1.1100000000000001</v>
      </c>
    </row>
    <row r="286" spans="2:3" x14ac:dyDescent="0.35">
      <c r="B286" s="24">
        <v>43004</v>
      </c>
      <c r="C286" s="25">
        <v>1.1000000000000001</v>
      </c>
    </row>
    <row r="287" spans="2:3" x14ac:dyDescent="0.35">
      <c r="B287" s="24">
        <v>43005</v>
      </c>
      <c r="C287" s="25">
        <v>1.0900000000000001</v>
      </c>
    </row>
    <row r="288" spans="2:3" x14ac:dyDescent="0.35">
      <c r="B288" s="24">
        <v>43006</v>
      </c>
      <c r="C288" s="25">
        <v>1.08</v>
      </c>
    </row>
    <row r="289" spans="2:3" x14ac:dyDescent="0.35">
      <c r="B289" s="24">
        <v>43007</v>
      </c>
      <c r="C289" s="25">
        <v>1.06</v>
      </c>
    </row>
    <row r="290" spans="2:3" x14ac:dyDescent="0.35">
      <c r="B290" s="24">
        <v>43008</v>
      </c>
      <c r="C290" s="25">
        <v>1.07</v>
      </c>
    </row>
    <row r="291" spans="2:3" x14ac:dyDescent="0.35">
      <c r="B291" s="24">
        <v>43010</v>
      </c>
      <c r="C291" s="25">
        <v>1.06</v>
      </c>
    </row>
    <row r="292" spans="2:3" x14ac:dyDescent="0.35">
      <c r="B292" s="24">
        <v>43011</v>
      </c>
      <c r="C292" s="25">
        <v>1.05</v>
      </c>
    </row>
    <row r="293" spans="2:3" x14ac:dyDescent="0.35">
      <c r="B293" s="24">
        <v>43012</v>
      </c>
      <c r="C293" s="25">
        <v>1.04</v>
      </c>
    </row>
    <row r="294" spans="2:3" x14ac:dyDescent="0.35">
      <c r="B294" s="24">
        <v>43013</v>
      </c>
      <c r="C294" s="25">
        <v>1.04</v>
      </c>
    </row>
    <row r="295" spans="2:3" x14ac:dyDescent="0.35">
      <c r="B295" s="24">
        <v>43014</v>
      </c>
      <c r="C295" s="25">
        <v>1.04</v>
      </c>
    </row>
    <row r="296" spans="2:3" x14ac:dyDescent="0.35">
      <c r="B296" s="24">
        <v>43017</v>
      </c>
      <c r="C296" s="25">
        <v>1.03</v>
      </c>
    </row>
    <row r="297" spans="2:3" x14ac:dyDescent="0.35">
      <c r="B297" s="24">
        <v>43018</v>
      </c>
      <c r="C297" s="25">
        <v>1.03</v>
      </c>
    </row>
    <row r="298" spans="2:3" x14ac:dyDescent="0.35">
      <c r="B298" s="24">
        <v>43019</v>
      </c>
      <c r="C298" s="25">
        <v>1.03</v>
      </c>
    </row>
    <row r="299" spans="2:3" x14ac:dyDescent="0.35">
      <c r="B299" s="24">
        <v>43020</v>
      </c>
      <c r="C299" s="25">
        <v>1.03</v>
      </c>
    </row>
    <row r="300" spans="2:3" x14ac:dyDescent="0.35">
      <c r="B300" s="24">
        <v>43021</v>
      </c>
      <c r="C300" s="25">
        <v>1.04</v>
      </c>
    </row>
    <row r="301" spans="2:3" x14ac:dyDescent="0.35">
      <c r="B301" s="24">
        <v>43024</v>
      </c>
      <c r="C301" s="25">
        <v>1.03</v>
      </c>
    </row>
    <row r="302" spans="2:3" x14ac:dyDescent="0.35">
      <c r="B302" s="24">
        <v>43025</v>
      </c>
      <c r="C302" s="25">
        <v>1.03</v>
      </c>
    </row>
    <row r="303" spans="2:3" x14ac:dyDescent="0.35">
      <c r="B303" s="24">
        <v>43026</v>
      </c>
      <c r="C303" s="25">
        <v>1.02</v>
      </c>
    </row>
    <row r="304" spans="2:3" x14ac:dyDescent="0.35">
      <c r="B304" s="24">
        <v>43027</v>
      </c>
      <c r="C304" s="25">
        <v>1.02</v>
      </c>
    </row>
    <row r="305" spans="2:3" x14ac:dyDescent="0.35">
      <c r="B305" s="24">
        <v>43028</v>
      </c>
      <c r="C305" s="25">
        <v>1.01</v>
      </c>
    </row>
    <row r="306" spans="2:3" x14ac:dyDescent="0.35">
      <c r="B306" s="24">
        <v>43031</v>
      </c>
      <c r="C306" s="25">
        <v>1.01</v>
      </c>
    </row>
    <row r="307" spans="2:3" x14ac:dyDescent="0.35">
      <c r="B307" s="24">
        <v>43032</v>
      </c>
      <c r="C307" s="25">
        <v>1</v>
      </c>
    </row>
    <row r="308" spans="2:3" x14ac:dyDescent="0.35">
      <c r="B308" s="24">
        <v>43033</v>
      </c>
      <c r="C308" s="25">
        <v>1</v>
      </c>
    </row>
    <row r="309" spans="2:3" x14ac:dyDescent="0.35">
      <c r="B309" s="24">
        <v>43034</v>
      </c>
      <c r="C309" s="25">
        <v>1</v>
      </c>
    </row>
    <row r="310" spans="2:3" x14ac:dyDescent="0.35">
      <c r="B310" s="24">
        <v>43035</v>
      </c>
      <c r="C310" s="25">
        <v>1</v>
      </c>
    </row>
    <row r="311" spans="2:3" x14ac:dyDescent="0.35">
      <c r="B311" s="24">
        <v>43038</v>
      </c>
      <c r="C311" s="25">
        <v>1</v>
      </c>
    </row>
    <row r="312" spans="2:3" x14ac:dyDescent="0.35">
      <c r="B312" s="24">
        <v>43039</v>
      </c>
      <c r="C312" s="25">
        <v>1.01</v>
      </c>
    </row>
    <row r="313" spans="2:3" x14ac:dyDescent="0.35">
      <c r="B313" s="24">
        <v>43040</v>
      </c>
      <c r="C313" s="25">
        <v>1.01</v>
      </c>
    </row>
    <row r="314" spans="2:3" x14ac:dyDescent="0.35">
      <c r="B314" s="24">
        <v>43041</v>
      </c>
      <c r="C314" s="25">
        <v>1.02</v>
      </c>
    </row>
    <row r="315" spans="2:3" x14ac:dyDescent="0.35">
      <c r="B315" s="24">
        <v>43042</v>
      </c>
      <c r="C315" s="25">
        <v>1.02</v>
      </c>
    </row>
    <row r="316" spans="2:3" x14ac:dyDescent="0.35">
      <c r="B316" s="24">
        <v>43045</v>
      </c>
      <c r="C316" s="25">
        <v>1.03</v>
      </c>
    </row>
    <row r="317" spans="2:3" x14ac:dyDescent="0.35">
      <c r="B317" s="24">
        <v>43046</v>
      </c>
      <c r="C317" s="25">
        <v>1.04</v>
      </c>
    </row>
    <row r="318" spans="2:3" x14ac:dyDescent="0.35">
      <c r="B318" s="24">
        <v>43047</v>
      </c>
      <c r="C318" s="25">
        <v>1.04</v>
      </c>
    </row>
    <row r="319" spans="2:3" x14ac:dyDescent="0.35">
      <c r="B319" s="24">
        <v>43048</v>
      </c>
      <c r="C319" s="25">
        <v>1.05</v>
      </c>
    </row>
    <row r="320" spans="2:3" x14ac:dyDescent="0.35">
      <c r="B320" s="24">
        <v>43049</v>
      </c>
      <c r="C320" s="25">
        <v>1.06</v>
      </c>
    </row>
    <row r="321" spans="2:3" x14ac:dyDescent="0.35">
      <c r="B321" s="24">
        <v>43052</v>
      </c>
      <c r="C321" s="25">
        <v>1.05</v>
      </c>
    </row>
    <row r="322" spans="2:3" x14ac:dyDescent="0.35">
      <c r="B322" s="24">
        <v>43053</v>
      </c>
      <c r="C322" s="25">
        <v>1.06</v>
      </c>
    </row>
    <row r="323" spans="2:3" x14ac:dyDescent="0.35">
      <c r="B323" s="24">
        <v>43054</v>
      </c>
      <c r="C323" s="25">
        <v>1.08</v>
      </c>
    </row>
    <row r="324" spans="2:3" x14ac:dyDescent="0.35">
      <c r="B324" s="24">
        <v>43055</v>
      </c>
      <c r="C324" s="25">
        <v>1.07</v>
      </c>
    </row>
    <row r="325" spans="2:3" x14ac:dyDescent="0.35">
      <c r="B325" s="24">
        <v>43056</v>
      </c>
      <c r="C325" s="25">
        <v>1.06</v>
      </c>
    </row>
    <row r="326" spans="2:3" x14ac:dyDescent="0.35">
      <c r="B326" s="24">
        <v>43059</v>
      </c>
      <c r="C326" s="25">
        <v>1.06</v>
      </c>
    </row>
    <row r="327" spans="2:3" x14ac:dyDescent="0.35">
      <c r="B327" s="24">
        <v>43060</v>
      </c>
      <c r="C327" s="25">
        <v>1.05</v>
      </c>
    </row>
    <row r="328" spans="2:3" x14ac:dyDescent="0.35">
      <c r="B328" s="24">
        <v>43061</v>
      </c>
      <c r="C328" s="25">
        <v>1.05</v>
      </c>
    </row>
    <row r="329" spans="2:3" x14ac:dyDescent="0.35">
      <c r="B329" s="24">
        <v>43062</v>
      </c>
      <c r="C329" s="25">
        <v>1.05</v>
      </c>
    </row>
    <row r="330" spans="2:3" x14ac:dyDescent="0.35">
      <c r="B330" s="24">
        <v>43063</v>
      </c>
      <c r="C330" s="25">
        <v>1.04</v>
      </c>
    </row>
    <row r="331" spans="2:3" x14ac:dyDescent="0.35">
      <c r="B331" s="24">
        <v>43066</v>
      </c>
      <c r="C331" s="25">
        <v>1.04</v>
      </c>
    </row>
    <row r="332" spans="2:3" x14ac:dyDescent="0.35">
      <c r="B332" s="24">
        <v>43067</v>
      </c>
      <c r="C332" s="25">
        <v>1.04</v>
      </c>
    </row>
    <row r="333" spans="2:3" x14ac:dyDescent="0.35">
      <c r="B333" s="24">
        <v>43068</v>
      </c>
      <c r="C333" s="25">
        <v>1.03</v>
      </c>
    </row>
    <row r="334" spans="2:3" x14ac:dyDescent="0.35">
      <c r="B334" s="24">
        <v>43069</v>
      </c>
      <c r="C334" s="25">
        <v>1.03</v>
      </c>
    </row>
    <row r="335" spans="2:3" x14ac:dyDescent="0.35">
      <c r="B335" s="24">
        <v>43070</v>
      </c>
      <c r="C335" s="25">
        <v>1.03</v>
      </c>
    </row>
    <row r="336" spans="2:3" x14ac:dyDescent="0.35">
      <c r="B336" s="24">
        <v>43073</v>
      </c>
      <c r="C336" s="25">
        <v>1.02</v>
      </c>
    </row>
    <row r="337" spans="2:3" x14ac:dyDescent="0.35">
      <c r="B337" s="24">
        <v>43074</v>
      </c>
      <c r="C337" s="25">
        <v>1.02</v>
      </c>
    </row>
    <row r="338" spans="2:3" x14ac:dyDescent="0.35">
      <c r="B338" s="24">
        <v>43075</v>
      </c>
      <c r="C338" s="25">
        <v>1.02</v>
      </c>
    </row>
    <row r="339" spans="2:3" x14ac:dyDescent="0.35">
      <c r="B339" s="24">
        <v>43076</v>
      </c>
      <c r="C339" s="25">
        <v>1.02</v>
      </c>
    </row>
    <row r="340" spans="2:3" x14ac:dyDescent="0.35">
      <c r="B340" s="24">
        <v>43077</v>
      </c>
      <c r="C340" s="25">
        <v>1.02</v>
      </c>
    </row>
    <row r="341" spans="2:3" x14ac:dyDescent="0.35">
      <c r="B341" s="24">
        <v>43080</v>
      </c>
      <c r="C341" s="25">
        <v>1.02</v>
      </c>
    </row>
    <row r="342" spans="2:3" x14ac:dyDescent="0.35">
      <c r="B342" s="24">
        <v>43081</v>
      </c>
      <c r="C342" s="25">
        <v>1.01</v>
      </c>
    </row>
    <row r="343" spans="2:3" x14ac:dyDescent="0.35">
      <c r="B343" s="24">
        <v>43082</v>
      </c>
      <c r="C343" s="25">
        <v>1.01</v>
      </c>
    </row>
    <row r="344" spans="2:3" x14ac:dyDescent="0.35">
      <c r="B344" s="24">
        <v>43083</v>
      </c>
      <c r="C344" s="25">
        <v>1.01</v>
      </c>
    </row>
    <row r="345" spans="2:3" x14ac:dyDescent="0.35">
      <c r="B345" s="24">
        <v>43084</v>
      </c>
      <c r="C345" s="25">
        <v>1</v>
      </c>
    </row>
    <row r="346" spans="2:3" x14ac:dyDescent="0.35">
      <c r="B346" s="24">
        <v>43087</v>
      </c>
      <c r="C346" s="25">
        <v>1</v>
      </c>
    </row>
    <row r="347" spans="2:3" x14ac:dyDescent="0.35">
      <c r="B347" s="24">
        <v>43088</v>
      </c>
      <c r="C347" s="25">
        <v>0.99</v>
      </c>
    </row>
    <row r="348" spans="2:3" x14ac:dyDescent="0.35">
      <c r="B348" s="24">
        <v>43089</v>
      </c>
      <c r="C348" s="25">
        <v>0.99</v>
      </c>
    </row>
    <row r="349" spans="2:3" x14ac:dyDescent="0.35">
      <c r="B349" s="24">
        <v>43090</v>
      </c>
      <c r="C349" s="25">
        <v>0.99</v>
      </c>
    </row>
    <row r="350" spans="2:3" x14ac:dyDescent="0.35">
      <c r="B350" s="24">
        <v>43091</v>
      </c>
      <c r="C350" s="25">
        <v>0.99</v>
      </c>
    </row>
    <row r="351" spans="2:3" x14ac:dyDescent="0.35">
      <c r="B351" s="24">
        <v>43094</v>
      </c>
      <c r="C351" s="26" t="e">
        <f>NA()</f>
        <v>#N/A</v>
      </c>
    </row>
    <row r="352" spans="2:3" x14ac:dyDescent="0.35">
      <c r="B352" s="24">
        <v>43095</v>
      </c>
      <c r="C352" s="25">
        <v>0.99</v>
      </c>
    </row>
    <row r="353" spans="2:3" x14ac:dyDescent="0.35">
      <c r="B353" s="24">
        <v>43096</v>
      </c>
      <c r="C353" s="25">
        <v>0.99</v>
      </c>
    </row>
    <row r="354" spans="2:3" x14ac:dyDescent="0.35">
      <c r="B354" s="24">
        <v>43097</v>
      </c>
      <c r="C354" s="25">
        <v>0.98</v>
      </c>
    </row>
    <row r="355" spans="2:3" x14ac:dyDescent="0.35">
      <c r="B355" s="24">
        <v>43098</v>
      </c>
      <c r="C355" s="25">
        <v>0.98</v>
      </c>
    </row>
    <row r="356" spans="2:3" x14ac:dyDescent="0.35">
      <c r="B356" s="24">
        <v>43100</v>
      </c>
      <c r="C356" s="25">
        <v>0.99</v>
      </c>
    </row>
    <row r="357" spans="2:3" x14ac:dyDescent="0.35">
      <c r="B357" s="24">
        <v>43101</v>
      </c>
      <c r="C357" s="26" t="e">
        <f>NA()</f>
        <v>#N/A</v>
      </c>
    </row>
    <row r="358" spans="2:3" x14ac:dyDescent="0.35">
      <c r="B358" s="24">
        <v>43102</v>
      </c>
      <c r="C358" s="25">
        <v>0.98</v>
      </c>
    </row>
    <row r="359" spans="2:3" x14ac:dyDescent="0.35">
      <c r="B359" s="24">
        <v>43103</v>
      </c>
      <c r="C359" s="25">
        <v>0.99</v>
      </c>
    </row>
    <row r="360" spans="2:3" x14ac:dyDescent="0.35">
      <c r="B360" s="24">
        <v>43104</v>
      </c>
      <c r="C360" s="25">
        <v>0.98</v>
      </c>
    </row>
    <row r="361" spans="2:3" x14ac:dyDescent="0.35">
      <c r="B361" s="24">
        <v>43105</v>
      </c>
      <c r="C361" s="25">
        <v>0.98</v>
      </c>
    </row>
    <row r="362" spans="2:3" x14ac:dyDescent="0.35">
      <c r="B362" s="24">
        <v>43108</v>
      </c>
      <c r="C362" s="25">
        <v>0.97</v>
      </c>
    </row>
    <row r="363" spans="2:3" x14ac:dyDescent="0.35">
      <c r="B363" s="24">
        <v>43109</v>
      </c>
      <c r="C363" s="25">
        <v>0.96</v>
      </c>
    </row>
    <row r="364" spans="2:3" x14ac:dyDescent="0.35">
      <c r="B364" s="24">
        <v>43110</v>
      </c>
      <c r="C364" s="25">
        <v>0.95</v>
      </c>
    </row>
    <row r="365" spans="2:3" x14ac:dyDescent="0.35">
      <c r="B365" s="24">
        <v>43111</v>
      </c>
      <c r="C365" s="25">
        <v>0.95</v>
      </c>
    </row>
    <row r="366" spans="2:3" x14ac:dyDescent="0.35">
      <c r="B366" s="24">
        <v>43112</v>
      </c>
      <c r="C366" s="25">
        <v>0.95</v>
      </c>
    </row>
    <row r="367" spans="2:3" x14ac:dyDescent="0.35">
      <c r="B367" s="24">
        <v>43115</v>
      </c>
      <c r="C367" s="25">
        <v>0.94</v>
      </c>
    </row>
    <row r="368" spans="2:3" x14ac:dyDescent="0.35">
      <c r="B368" s="24">
        <v>43116</v>
      </c>
      <c r="C368" s="25">
        <v>0.94</v>
      </c>
    </row>
    <row r="369" spans="2:3" x14ac:dyDescent="0.35">
      <c r="B369" s="24">
        <v>43117</v>
      </c>
      <c r="C369" s="25">
        <v>0.94</v>
      </c>
    </row>
    <row r="370" spans="2:3" x14ac:dyDescent="0.35">
      <c r="B370" s="24">
        <v>43118</v>
      </c>
      <c r="C370" s="25">
        <v>0.94</v>
      </c>
    </row>
    <row r="371" spans="2:3" x14ac:dyDescent="0.35">
      <c r="B371" s="24">
        <v>43119</v>
      </c>
      <c r="C371" s="25">
        <v>0.95</v>
      </c>
    </row>
    <row r="372" spans="2:3" x14ac:dyDescent="0.35">
      <c r="B372" s="24">
        <v>43122</v>
      </c>
      <c r="C372" s="25">
        <v>0.94</v>
      </c>
    </row>
    <row r="373" spans="2:3" x14ac:dyDescent="0.35">
      <c r="B373" s="24">
        <v>43123</v>
      </c>
      <c r="C373" s="25">
        <v>0.94</v>
      </c>
    </row>
    <row r="374" spans="2:3" x14ac:dyDescent="0.35">
      <c r="B374" s="24">
        <v>43124</v>
      </c>
      <c r="C374" s="25">
        <v>0.94</v>
      </c>
    </row>
    <row r="375" spans="2:3" x14ac:dyDescent="0.35">
      <c r="B375" s="24">
        <v>43125</v>
      </c>
      <c r="C375" s="25">
        <v>0.93</v>
      </c>
    </row>
    <row r="376" spans="2:3" x14ac:dyDescent="0.35">
      <c r="B376" s="24">
        <v>43126</v>
      </c>
      <c r="C376" s="25">
        <v>0.92</v>
      </c>
    </row>
    <row r="377" spans="2:3" x14ac:dyDescent="0.35">
      <c r="B377" s="24">
        <v>43129</v>
      </c>
      <c r="C377" s="25">
        <v>0.92</v>
      </c>
    </row>
    <row r="378" spans="2:3" x14ac:dyDescent="0.35">
      <c r="B378" s="24">
        <v>43130</v>
      </c>
      <c r="C378" s="25">
        <v>0.91</v>
      </c>
    </row>
    <row r="379" spans="2:3" x14ac:dyDescent="0.35">
      <c r="B379" s="24">
        <v>43131</v>
      </c>
      <c r="C379" s="25">
        <v>0.91</v>
      </c>
    </row>
    <row r="380" spans="2:3" x14ac:dyDescent="0.35">
      <c r="B380" s="24">
        <v>43132</v>
      </c>
      <c r="C380" s="25">
        <v>0.9</v>
      </c>
    </row>
    <row r="381" spans="2:3" x14ac:dyDescent="0.35">
      <c r="B381" s="24">
        <v>43133</v>
      </c>
      <c r="C381" s="25">
        <v>0.9</v>
      </c>
    </row>
    <row r="382" spans="2:3" x14ac:dyDescent="0.35">
      <c r="B382" s="24">
        <v>43136</v>
      </c>
      <c r="C382" s="25">
        <v>0.91</v>
      </c>
    </row>
    <row r="383" spans="2:3" x14ac:dyDescent="0.35">
      <c r="B383" s="24">
        <v>43137</v>
      </c>
      <c r="C383" s="25">
        <v>0.93</v>
      </c>
    </row>
    <row r="384" spans="2:3" x14ac:dyDescent="0.35">
      <c r="B384" s="24">
        <v>43138</v>
      </c>
      <c r="C384" s="25">
        <v>0.92</v>
      </c>
    </row>
    <row r="385" spans="2:3" x14ac:dyDescent="0.35">
      <c r="B385" s="24">
        <v>43139</v>
      </c>
      <c r="C385" s="25">
        <v>0.93</v>
      </c>
    </row>
    <row r="386" spans="2:3" x14ac:dyDescent="0.35">
      <c r="B386" s="24">
        <v>43140</v>
      </c>
      <c r="C386" s="25">
        <v>0.97</v>
      </c>
    </row>
    <row r="387" spans="2:3" x14ac:dyDescent="0.35">
      <c r="B387" s="24">
        <v>43143</v>
      </c>
      <c r="C387" s="25">
        <v>0.97</v>
      </c>
    </row>
    <row r="388" spans="2:3" x14ac:dyDescent="0.35">
      <c r="B388" s="24">
        <v>43144</v>
      </c>
      <c r="C388" s="25">
        <v>1</v>
      </c>
    </row>
    <row r="389" spans="2:3" x14ac:dyDescent="0.35">
      <c r="B389" s="24">
        <v>43145</v>
      </c>
      <c r="C389" s="25">
        <v>0.99</v>
      </c>
    </row>
    <row r="390" spans="2:3" x14ac:dyDescent="0.35">
      <c r="B390" s="24">
        <v>43146</v>
      </c>
      <c r="C390" s="25">
        <v>0.98</v>
      </c>
    </row>
    <row r="391" spans="2:3" x14ac:dyDescent="0.35">
      <c r="B391" s="24">
        <v>43147</v>
      </c>
      <c r="C391" s="25">
        <v>0.98</v>
      </c>
    </row>
    <row r="392" spans="2:3" x14ac:dyDescent="0.35">
      <c r="B392" s="24">
        <v>43150</v>
      </c>
      <c r="C392" s="25">
        <v>0.98</v>
      </c>
    </row>
    <row r="393" spans="2:3" x14ac:dyDescent="0.35">
      <c r="B393" s="24">
        <v>43151</v>
      </c>
      <c r="C393" s="25">
        <v>0.98</v>
      </c>
    </row>
    <row r="394" spans="2:3" x14ac:dyDescent="0.35">
      <c r="B394" s="24">
        <v>43152</v>
      </c>
      <c r="C394" s="25">
        <v>0.98</v>
      </c>
    </row>
    <row r="395" spans="2:3" x14ac:dyDescent="0.35">
      <c r="B395" s="24">
        <v>43153</v>
      </c>
      <c r="C395" s="25">
        <v>0.99</v>
      </c>
    </row>
    <row r="396" spans="2:3" x14ac:dyDescent="0.35">
      <c r="B396" s="24">
        <v>43154</v>
      </c>
      <c r="C396" s="25">
        <v>1</v>
      </c>
    </row>
    <row r="397" spans="2:3" x14ac:dyDescent="0.35">
      <c r="B397" s="24">
        <v>43157</v>
      </c>
      <c r="C397" s="25">
        <v>1</v>
      </c>
    </row>
    <row r="398" spans="2:3" x14ac:dyDescent="0.35">
      <c r="B398" s="24">
        <v>43158</v>
      </c>
      <c r="C398" s="25">
        <v>1</v>
      </c>
    </row>
    <row r="399" spans="2:3" x14ac:dyDescent="0.35">
      <c r="B399" s="24">
        <v>43159</v>
      </c>
      <c r="C399" s="25">
        <v>1.01</v>
      </c>
    </row>
    <row r="400" spans="2:3" x14ac:dyDescent="0.35">
      <c r="B400" s="24">
        <v>43160</v>
      </c>
      <c r="C400" s="25">
        <v>1.04</v>
      </c>
    </row>
    <row r="401" spans="2:3" x14ac:dyDescent="0.35">
      <c r="B401" s="24">
        <v>43161</v>
      </c>
      <c r="C401" s="25">
        <v>1.05</v>
      </c>
    </row>
    <row r="402" spans="2:3" x14ac:dyDescent="0.35">
      <c r="B402" s="24">
        <v>43164</v>
      </c>
      <c r="C402" s="25">
        <v>1.05</v>
      </c>
    </row>
    <row r="403" spans="2:3" x14ac:dyDescent="0.35">
      <c r="B403" s="24">
        <v>43165</v>
      </c>
      <c r="C403" s="25">
        <v>1.04</v>
      </c>
    </row>
    <row r="404" spans="2:3" x14ac:dyDescent="0.35">
      <c r="B404" s="24">
        <v>43166</v>
      </c>
      <c r="C404" s="25">
        <v>1.05</v>
      </c>
    </row>
    <row r="405" spans="2:3" x14ac:dyDescent="0.35">
      <c r="B405" s="24">
        <v>43167</v>
      </c>
      <c r="C405" s="25">
        <v>1.05</v>
      </c>
    </row>
    <row r="406" spans="2:3" x14ac:dyDescent="0.35">
      <c r="B406" s="24">
        <v>43168</v>
      </c>
      <c r="C406" s="25">
        <v>1.06</v>
      </c>
    </row>
    <row r="407" spans="2:3" x14ac:dyDescent="0.35">
      <c r="B407" s="24">
        <v>43171</v>
      </c>
      <c r="C407" s="25">
        <v>1.07</v>
      </c>
    </row>
    <row r="408" spans="2:3" x14ac:dyDescent="0.35">
      <c r="B408" s="24">
        <v>43172</v>
      </c>
      <c r="C408" s="25">
        <v>1.08</v>
      </c>
    </row>
    <row r="409" spans="2:3" x14ac:dyDescent="0.35">
      <c r="B409" s="24">
        <v>43173</v>
      </c>
      <c r="C409" s="25">
        <v>1.0900000000000001</v>
      </c>
    </row>
    <row r="410" spans="2:3" x14ac:dyDescent="0.35">
      <c r="B410" s="24">
        <v>43174</v>
      </c>
      <c r="C410" s="25">
        <v>1.1000000000000001</v>
      </c>
    </row>
    <row r="411" spans="2:3" x14ac:dyDescent="0.35">
      <c r="B411" s="24">
        <v>43175</v>
      </c>
      <c r="C411" s="25">
        <v>1.1000000000000001</v>
      </c>
    </row>
    <row r="412" spans="2:3" x14ac:dyDescent="0.35">
      <c r="B412" s="24">
        <v>43178</v>
      </c>
      <c r="C412" s="25">
        <v>1.1000000000000001</v>
      </c>
    </row>
    <row r="413" spans="2:3" x14ac:dyDescent="0.35">
      <c r="B413" s="24">
        <v>43179</v>
      </c>
      <c r="C413" s="25">
        <v>1.1100000000000001</v>
      </c>
    </row>
    <row r="414" spans="2:3" x14ac:dyDescent="0.35">
      <c r="B414" s="24">
        <v>43180</v>
      </c>
      <c r="C414" s="25">
        <v>1.1100000000000001</v>
      </c>
    </row>
    <row r="415" spans="2:3" x14ac:dyDescent="0.35">
      <c r="B415" s="24">
        <v>43181</v>
      </c>
      <c r="C415" s="25">
        <v>1.1399999999999999</v>
      </c>
    </row>
    <row r="416" spans="2:3" x14ac:dyDescent="0.35">
      <c r="B416" s="24">
        <v>43182</v>
      </c>
      <c r="C416" s="25">
        <v>1.1499999999999999</v>
      </c>
    </row>
    <row r="417" spans="2:3" x14ac:dyDescent="0.35">
      <c r="B417" s="24">
        <v>43185</v>
      </c>
      <c r="C417" s="25">
        <v>1.1599999999999999</v>
      </c>
    </row>
    <row r="418" spans="2:3" x14ac:dyDescent="0.35">
      <c r="B418" s="24">
        <v>43186</v>
      </c>
      <c r="C418" s="25">
        <v>1.1599999999999999</v>
      </c>
    </row>
    <row r="419" spans="2:3" x14ac:dyDescent="0.35">
      <c r="B419" s="24">
        <v>43187</v>
      </c>
      <c r="C419" s="25">
        <v>1.1599999999999999</v>
      </c>
    </row>
    <row r="420" spans="2:3" x14ac:dyDescent="0.35">
      <c r="B420" s="24">
        <v>43188</v>
      </c>
      <c r="C420" s="25">
        <v>1.1599999999999999</v>
      </c>
    </row>
    <row r="421" spans="2:3" x14ac:dyDescent="0.35">
      <c r="B421" s="24">
        <v>43189</v>
      </c>
      <c r="C421" s="26" t="e">
        <f>NA()</f>
        <v>#N/A</v>
      </c>
    </row>
    <row r="422" spans="2:3" x14ac:dyDescent="0.35">
      <c r="B422" s="24">
        <v>43190</v>
      </c>
      <c r="C422" s="25">
        <v>1.17</v>
      </c>
    </row>
    <row r="423" spans="2:3" x14ac:dyDescent="0.35">
      <c r="B423" s="24">
        <v>43192</v>
      </c>
      <c r="C423" s="25">
        <v>1.17</v>
      </c>
    </row>
    <row r="424" spans="2:3" x14ac:dyDescent="0.35">
      <c r="B424" s="24">
        <v>43193</v>
      </c>
      <c r="C424" s="25">
        <v>1.1599999999999999</v>
      </c>
    </row>
    <row r="425" spans="2:3" x14ac:dyDescent="0.35">
      <c r="B425" s="24">
        <v>43194</v>
      </c>
      <c r="C425" s="25">
        <v>1.1599999999999999</v>
      </c>
    </row>
    <row r="426" spans="2:3" x14ac:dyDescent="0.35">
      <c r="B426" s="24">
        <v>43195</v>
      </c>
      <c r="C426" s="25">
        <v>1.1399999999999999</v>
      </c>
    </row>
    <row r="427" spans="2:3" x14ac:dyDescent="0.35">
      <c r="B427" s="24">
        <v>43196</v>
      </c>
      <c r="C427" s="25">
        <v>1.1399999999999999</v>
      </c>
    </row>
    <row r="428" spans="2:3" x14ac:dyDescent="0.35">
      <c r="B428" s="24">
        <v>43199</v>
      </c>
      <c r="C428" s="25">
        <v>1.1399999999999999</v>
      </c>
    </row>
    <row r="429" spans="2:3" x14ac:dyDescent="0.35">
      <c r="B429" s="24">
        <v>43200</v>
      </c>
      <c r="C429" s="25">
        <v>1.1299999999999999</v>
      </c>
    </row>
    <row r="430" spans="2:3" x14ac:dyDescent="0.35">
      <c r="B430" s="24">
        <v>43201</v>
      </c>
      <c r="C430" s="25">
        <v>1.1299999999999999</v>
      </c>
    </row>
    <row r="431" spans="2:3" x14ac:dyDescent="0.35">
      <c r="B431" s="24">
        <v>43202</v>
      </c>
      <c r="C431" s="25">
        <v>1.1200000000000001</v>
      </c>
    </row>
    <row r="432" spans="2:3" x14ac:dyDescent="0.35">
      <c r="B432" s="24">
        <v>43203</v>
      </c>
      <c r="C432" s="25">
        <v>1.1100000000000001</v>
      </c>
    </row>
    <row r="433" spans="2:3" x14ac:dyDescent="0.35">
      <c r="B433" s="24">
        <v>43206</v>
      </c>
      <c r="C433" s="25">
        <v>1.1100000000000001</v>
      </c>
    </row>
    <row r="434" spans="2:3" x14ac:dyDescent="0.35">
      <c r="B434" s="24">
        <v>43207</v>
      </c>
      <c r="C434" s="25">
        <v>1.1000000000000001</v>
      </c>
    </row>
    <row r="435" spans="2:3" x14ac:dyDescent="0.35">
      <c r="B435" s="24">
        <v>43208</v>
      </c>
      <c r="C435" s="25">
        <v>1.1000000000000001</v>
      </c>
    </row>
    <row r="436" spans="2:3" x14ac:dyDescent="0.35">
      <c r="B436" s="24">
        <v>43209</v>
      </c>
      <c r="C436" s="25">
        <v>1.1000000000000001</v>
      </c>
    </row>
    <row r="437" spans="2:3" x14ac:dyDescent="0.35">
      <c r="B437" s="24">
        <v>43210</v>
      </c>
      <c r="C437" s="25">
        <v>1.1000000000000001</v>
      </c>
    </row>
    <row r="438" spans="2:3" x14ac:dyDescent="0.35">
      <c r="B438" s="24">
        <v>43213</v>
      </c>
      <c r="C438" s="25">
        <v>1.1100000000000001</v>
      </c>
    </row>
    <row r="439" spans="2:3" x14ac:dyDescent="0.35">
      <c r="B439" s="24">
        <v>43214</v>
      </c>
      <c r="C439" s="25">
        <v>1.1100000000000001</v>
      </c>
    </row>
    <row r="440" spans="2:3" x14ac:dyDescent="0.35">
      <c r="B440" s="24">
        <v>43215</v>
      </c>
      <c r="C440" s="25">
        <v>1.1100000000000001</v>
      </c>
    </row>
    <row r="441" spans="2:3" x14ac:dyDescent="0.35">
      <c r="B441" s="24">
        <v>43216</v>
      </c>
      <c r="C441" s="25">
        <v>1.1200000000000001</v>
      </c>
    </row>
    <row r="442" spans="2:3" x14ac:dyDescent="0.35">
      <c r="B442" s="24">
        <v>43217</v>
      </c>
      <c r="C442" s="25">
        <v>1.1200000000000001</v>
      </c>
    </row>
    <row r="443" spans="2:3" x14ac:dyDescent="0.35">
      <c r="B443" s="24">
        <v>43220</v>
      </c>
      <c r="C443" s="25">
        <v>1.1399999999999999</v>
      </c>
    </row>
    <row r="444" spans="2:3" x14ac:dyDescent="0.35">
      <c r="B444" s="24">
        <v>43221</v>
      </c>
      <c r="C444" s="25">
        <v>1.1499999999999999</v>
      </c>
    </row>
    <row r="445" spans="2:3" x14ac:dyDescent="0.35">
      <c r="B445" s="24">
        <v>43222</v>
      </c>
      <c r="C445" s="25">
        <v>1.1499999999999999</v>
      </c>
    </row>
    <row r="446" spans="2:3" x14ac:dyDescent="0.35">
      <c r="B446" s="24">
        <v>43223</v>
      </c>
      <c r="C446" s="25">
        <v>1.1599999999999999</v>
      </c>
    </row>
    <row r="447" spans="2:3" x14ac:dyDescent="0.35">
      <c r="B447" s="24">
        <v>43224</v>
      </c>
      <c r="C447" s="25">
        <v>1.17</v>
      </c>
    </row>
    <row r="448" spans="2:3" x14ac:dyDescent="0.35">
      <c r="B448" s="24">
        <v>43227</v>
      </c>
      <c r="C448" s="25">
        <v>1.17</v>
      </c>
    </row>
    <row r="449" spans="2:3" x14ac:dyDescent="0.35">
      <c r="B449" s="24">
        <v>43228</v>
      </c>
      <c r="C449" s="25">
        <v>1.17</v>
      </c>
    </row>
    <row r="450" spans="2:3" x14ac:dyDescent="0.35">
      <c r="B450" s="24">
        <v>43229</v>
      </c>
      <c r="C450" s="25">
        <v>1.17</v>
      </c>
    </row>
    <row r="451" spans="2:3" x14ac:dyDescent="0.35">
      <c r="B451" s="24">
        <v>43230</v>
      </c>
      <c r="C451" s="25">
        <v>1.1599999999999999</v>
      </c>
    </row>
    <row r="452" spans="2:3" x14ac:dyDescent="0.35">
      <c r="B452" s="24">
        <v>43231</v>
      </c>
      <c r="C452" s="25">
        <v>1.1499999999999999</v>
      </c>
    </row>
    <row r="453" spans="2:3" x14ac:dyDescent="0.35">
      <c r="B453" s="24">
        <v>43234</v>
      </c>
      <c r="C453" s="25">
        <v>1.1399999999999999</v>
      </c>
    </row>
    <row r="454" spans="2:3" x14ac:dyDescent="0.35">
      <c r="B454" s="24">
        <v>43235</v>
      </c>
      <c r="C454" s="25">
        <v>1.1399999999999999</v>
      </c>
    </row>
    <row r="455" spans="2:3" x14ac:dyDescent="0.35">
      <c r="B455" s="24">
        <v>43236</v>
      </c>
      <c r="C455" s="25">
        <v>1.1399999999999999</v>
      </c>
    </row>
    <row r="456" spans="2:3" x14ac:dyDescent="0.35">
      <c r="B456" s="24">
        <v>43237</v>
      </c>
      <c r="C456" s="25">
        <v>1.1399999999999999</v>
      </c>
    </row>
    <row r="457" spans="2:3" x14ac:dyDescent="0.35">
      <c r="B457" s="24">
        <v>43238</v>
      </c>
      <c r="C457" s="25">
        <v>1.1399999999999999</v>
      </c>
    </row>
    <row r="458" spans="2:3" x14ac:dyDescent="0.35">
      <c r="B458" s="24">
        <v>43241</v>
      </c>
      <c r="C458" s="25">
        <v>1.1399999999999999</v>
      </c>
    </row>
    <row r="459" spans="2:3" x14ac:dyDescent="0.35">
      <c r="B459" s="24">
        <v>43242</v>
      </c>
      <c r="C459" s="25">
        <v>1.1399999999999999</v>
      </c>
    </row>
    <row r="460" spans="2:3" x14ac:dyDescent="0.35">
      <c r="B460" s="24">
        <v>43243</v>
      </c>
      <c r="C460" s="25">
        <v>1.1499999999999999</v>
      </c>
    </row>
    <row r="461" spans="2:3" x14ac:dyDescent="0.35">
      <c r="B461" s="24">
        <v>43244</v>
      </c>
      <c r="C461" s="25">
        <v>1.1499999999999999</v>
      </c>
    </row>
    <row r="462" spans="2:3" x14ac:dyDescent="0.35">
      <c r="B462" s="24">
        <v>43245</v>
      </c>
      <c r="C462" s="25">
        <v>1.1599999999999999</v>
      </c>
    </row>
    <row r="463" spans="2:3" x14ac:dyDescent="0.35">
      <c r="B463" s="24">
        <v>43248</v>
      </c>
      <c r="C463" s="25">
        <v>1.1599999999999999</v>
      </c>
    </row>
    <row r="464" spans="2:3" x14ac:dyDescent="0.35">
      <c r="B464" s="24">
        <v>43249</v>
      </c>
      <c r="C464" s="25">
        <v>1.2</v>
      </c>
    </row>
    <row r="465" spans="2:3" x14ac:dyDescent="0.35">
      <c r="B465" s="24">
        <v>43250</v>
      </c>
      <c r="C465" s="25">
        <v>1.2</v>
      </c>
    </row>
    <row r="466" spans="2:3" x14ac:dyDescent="0.35">
      <c r="B466" s="24">
        <v>43251</v>
      </c>
      <c r="C466" s="25">
        <v>1.22</v>
      </c>
    </row>
    <row r="467" spans="2:3" x14ac:dyDescent="0.35">
      <c r="B467" s="24">
        <v>43252</v>
      </c>
      <c r="C467" s="25">
        <v>1.21</v>
      </c>
    </row>
    <row r="468" spans="2:3" x14ac:dyDescent="0.35">
      <c r="B468" s="24">
        <v>43255</v>
      </c>
      <c r="C468" s="25">
        <v>1.2</v>
      </c>
    </row>
    <row r="469" spans="2:3" x14ac:dyDescent="0.35">
      <c r="B469" s="24">
        <v>43256</v>
      </c>
      <c r="C469" s="25">
        <v>1.21</v>
      </c>
    </row>
    <row r="470" spans="2:3" x14ac:dyDescent="0.35">
      <c r="B470" s="24">
        <v>43257</v>
      </c>
      <c r="C470" s="25">
        <v>1.21</v>
      </c>
    </row>
    <row r="471" spans="2:3" x14ac:dyDescent="0.35">
      <c r="B471" s="24">
        <v>43258</v>
      </c>
      <c r="C471" s="25">
        <v>1.21</v>
      </c>
    </row>
    <row r="472" spans="2:3" x14ac:dyDescent="0.35">
      <c r="B472" s="24">
        <v>43259</v>
      </c>
      <c r="C472" s="25">
        <v>1.22</v>
      </c>
    </row>
    <row r="473" spans="2:3" x14ac:dyDescent="0.35">
      <c r="B473" s="24">
        <v>43262</v>
      </c>
      <c r="C473" s="25">
        <v>1.22</v>
      </c>
    </row>
    <row r="474" spans="2:3" x14ac:dyDescent="0.35">
      <c r="B474" s="24">
        <v>43263</v>
      </c>
      <c r="C474" s="25">
        <v>1.22</v>
      </c>
    </row>
    <row r="475" spans="2:3" x14ac:dyDescent="0.35">
      <c r="B475" s="24">
        <v>43264</v>
      </c>
      <c r="C475" s="25">
        <v>1.21</v>
      </c>
    </row>
    <row r="476" spans="2:3" x14ac:dyDescent="0.35">
      <c r="B476" s="24">
        <v>43265</v>
      </c>
      <c r="C476" s="25">
        <v>1.21</v>
      </c>
    </row>
    <row r="477" spans="2:3" x14ac:dyDescent="0.35">
      <c r="B477" s="24">
        <v>43266</v>
      </c>
      <c r="C477" s="25">
        <v>1.21</v>
      </c>
    </row>
    <row r="478" spans="2:3" x14ac:dyDescent="0.35">
      <c r="B478" s="24">
        <v>43269</v>
      </c>
      <c r="C478" s="25">
        <v>1.22</v>
      </c>
    </row>
    <row r="479" spans="2:3" x14ac:dyDescent="0.35">
      <c r="B479" s="24">
        <v>43270</v>
      </c>
      <c r="C479" s="25">
        <v>1.24</v>
      </c>
    </row>
    <row r="480" spans="2:3" x14ac:dyDescent="0.35">
      <c r="B480" s="24">
        <v>43271</v>
      </c>
      <c r="C480" s="25">
        <v>1.24</v>
      </c>
    </row>
    <row r="481" spans="2:3" x14ac:dyDescent="0.35">
      <c r="B481" s="24">
        <v>43272</v>
      </c>
      <c r="C481" s="25">
        <v>1.27</v>
      </c>
    </row>
    <row r="482" spans="2:3" x14ac:dyDescent="0.35">
      <c r="B482" s="24">
        <v>43273</v>
      </c>
      <c r="C482" s="25">
        <v>1.27</v>
      </c>
    </row>
    <row r="483" spans="2:3" x14ac:dyDescent="0.35">
      <c r="B483" s="24">
        <v>43276</v>
      </c>
      <c r="C483" s="25">
        <v>1.29</v>
      </c>
    </row>
    <row r="484" spans="2:3" x14ac:dyDescent="0.35">
      <c r="B484" s="24">
        <v>43277</v>
      </c>
      <c r="C484" s="25">
        <v>1.29</v>
      </c>
    </row>
    <row r="485" spans="2:3" x14ac:dyDescent="0.35">
      <c r="B485" s="24">
        <v>43278</v>
      </c>
      <c r="C485" s="25">
        <v>1.29</v>
      </c>
    </row>
    <row r="486" spans="2:3" x14ac:dyDescent="0.35">
      <c r="B486" s="24">
        <v>43279</v>
      </c>
      <c r="C486" s="25">
        <v>1.3</v>
      </c>
    </row>
    <row r="487" spans="2:3" x14ac:dyDescent="0.35">
      <c r="B487" s="24">
        <v>43280</v>
      </c>
      <c r="C487" s="25">
        <v>1.29</v>
      </c>
    </row>
    <row r="488" spans="2:3" x14ac:dyDescent="0.35">
      <c r="B488" s="24">
        <v>43281</v>
      </c>
      <c r="C488" s="25">
        <v>1.3</v>
      </c>
    </row>
    <row r="489" spans="2:3" x14ac:dyDescent="0.35">
      <c r="B489" s="24">
        <v>43283</v>
      </c>
      <c r="C489" s="25">
        <v>1.3</v>
      </c>
    </row>
    <row r="490" spans="2:3" x14ac:dyDescent="0.35">
      <c r="B490" s="24">
        <v>43284</v>
      </c>
      <c r="C490" s="25">
        <v>1.3</v>
      </c>
    </row>
    <row r="491" spans="2:3" x14ac:dyDescent="0.35">
      <c r="B491" s="24">
        <v>43285</v>
      </c>
      <c r="C491" s="25">
        <v>1.3</v>
      </c>
    </row>
    <row r="492" spans="2:3" x14ac:dyDescent="0.35">
      <c r="B492" s="24">
        <v>43286</v>
      </c>
      <c r="C492" s="25">
        <v>1.29</v>
      </c>
    </row>
    <row r="493" spans="2:3" x14ac:dyDescent="0.35">
      <c r="B493" s="24">
        <v>43287</v>
      </c>
      <c r="C493" s="25">
        <v>1.28</v>
      </c>
    </row>
    <row r="494" spans="2:3" x14ac:dyDescent="0.35">
      <c r="B494" s="24">
        <v>43290</v>
      </c>
      <c r="C494" s="25">
        <v>1.27</v>
      </c>
    </row>
    <row r="495" spans="2:3" x14ac:dyDescent="0.35">
      <c r="B495" s="24">
        <v>43291</v>
      </c>
      <c r="C495" s="25">
        <v>1.25</v>
      </c>
    </row>
    <row r="496" spans="2:3" x14ac:dyDescent="0.35">
      <c r="B496" s="24">
        <v>43292</v>
      </c>
      <c r="C496" s="25">
        <v>1.25</v>
      </c>
    </row>
    <row r="497" spans="2:3" x14ac:dyDescent="0.35">
      <c r="B497" s="24">
        <v>43293</v>
      </c>
      <c r="C497" s="25">
        <v>1.25</v>
      </c>
    </row>
    <row r="498" spans="2:3" x14ac:dyDescent="0.35">
      <c r="B498" s="24">
        <v>43294</v>
      </c>
      <c r="C498" s="25">
        <v>1.24</v>
      </c>
    </row>
    <row r="499" spans="2:3" x14ac:dyDescent="0.35">
      <c r="B499" s="24">
        <v>43297</v>
      </c>
      <c r="C499" s="25">
        <v>1.23</v>
      </c>
    </row>
    <row r="500" spans="2:3" x14ac:dyDescent="0.35">
      <c r="B500" s="24">
        <v>43298</v>
      </c>
      <c r="C500" s="25">
        <v>1.23</v>
      </c>
    </row>
    <row r="501" spans="2:3" x14ac:dyDescent="0.35">
      <c r="B501" s="24">
        <v>43299</v>
      </c>
      <c r="C501" s="25">
        <v>1.23</v>
      </c>
    </row>
    <row r="502" spans="2:3" x14ac:dyDescent="0.35">
      <c r="B502" s="24">
        <v>43300</v>
      </c>
      <c r="C502" s="25">
        <v>1.23</v>
      </c>
    </row>
    <row r="503" spans="2:3" x14ac:dyDescent="0.35">
      <c r="B503" s="24">
        <v>43301</v>
      </c>
      <c r="C503" s="25">
        <v>1.22</v>
      </c>
    </row>
    <row r="504" spans="2:3" x14ac:dyDescent="0.35">
      <c r="B504" s="24">
        <v>43304</v>
      </c>
      <c r="C504" s="25">
        <v>1.21</v>
      </c>
    </row>
    <row r="505" spans="2:3" x14ac:dyDescent="0.35">
      <c r="B505" s="24">
        <v>43305</v>
      </c>
      <c r="C505" s="25">
        <v>1.2</v>
      </c>
    </row>
    <row r="506" spans="2:3" x14ac:dyDescent="0.35">
      <c r="B506" s="24">
        <v>43306</v>
      </c>
      <c r="C506" s="25">
        <v>1.19</v>
      </c>
    </row>
    <row r="507" spans="2:3" x14ac:dyDescent="0.35">
      <c r="B507" s="24">
        <v>43307</v>
      </c>
      <c r="C507" s="25">
        <v>1.17</v>
      </c>
    </row>
    <row r="508" spans="2:3" x14ac:dyDescent="0.35">
      <c r="B508" s="24">
        <v>43308</v>
      </c>
      <c r="C508" s="25">
        <v>1.1599999999999999</v>
      </c>
    </row>
    <row r="509" spans="2:3" x14ac:dyDescent="0.35">
      <c r="B509" s="24">
        <v>43311</v>
      </c>
      <c r="C509" s="25">
        <v>1.1599999999999999</v>
      </c>
    </row>
    <row r="510" spans="2:3" x14ac:dyDescent="0.35">
      <c r="B510" s="24">
        <v>43312</v>
      </c>
      <c r="C510" s="25">
        <v>1.1599999999999999</v>
      </c>
    </row>
    <row r="511" spans="2:3" x14ac:dyDescent="0.35">
      <c r="B511" s="24">
        <v>43313</v>
      </c>
      <c r="C511" s="25">
        <v>1.1599999999999999</v>
      </c>
    </row>
    <row r="512" spans="2:3" x14ac:dyDescent="0.35">
      <c r="B512" s="24">
        <v>43314</v>
      </c>
      <c r="C512" s="25">
        <v>1.1599999999999999</v>
      </c>
    </row>
    <row r="513" spans="2:3" x14ac:dyDescent="0.35">
      <c r="B513" s="24">
        <v>43315</v>
      </c>
      <c r="C513" s="25">
        <v>1.1499999999999999</v>
      </c>
    </row>
    <row r="514" spans="2:3" x14ac:dyDescent="0.35">
      <c r="B514" s="24">
        <v>43318</v>
      </c>
      <c r="C514" s="25">
        <v>1.1499999999999999</v>
      </c>
    </row>
    <row r="515" spans="2:3" x14ac:dyDescent="0.35">
      <c r="B515" s="24">
        <v>43319</v>
      </c>
      <c r="C515" s="25">
        <v>1.1399999999999999</v>
      </c>
    </row>
    <row r="516" spans="2:3" x14ac:dyDescent="0.35">
      <c r="B516" s="24">
        <v>43320</v>
      </c>
      <c r="C516" s="25">
        <v>1.1499999999999999</v>
      </c>
    </row>
    <row r="517" spans="2:3" x14ac:dyDescent="0.35">
      <c r="B517" s="24">
        <v>43321</v>
      </c>
      <c r="C517" s="25">
        <v>1.1599999999999999</v>
      </c>
    </row>
    <row r="518" spans="2:3" x14ac:dyDescent="0.35">
      <c r="B518" s="24">
        <v>43322</v>
      </c>
      <c r="C518" s="25">
        <v>1.18</v>
      </c>
    </row>
    <row r="519" spans="2:3" x14ac:dyDescent="0.35">
      <c r="B519" s="24">
        <v>43325</v>
      </c>
      <c r="C519" s="25">
        <v>1.19</v>
      </c>
    </row>
    <row r="520" spans="2:3" x14ac:dyDescent="0.35">
      <c r="B520" s="24">
        <v>43326</v>
      </c>
      <c r="C520" s="25">
        <v>1.19</v>
      </c>
    </row>
    <row r="521" spans="2:3" x14ac:dyDescent="0.35">
      <c r="B521" s="24">
        <v>43327</v>
      </c>
      <c r="C521" s="25">
        <v>1.2</v>
      </c>
    </row>
    <row r="522" spans="2:3" x14ac:dyDescent="0.35">
      <c r="B522" s="24">
        <v>43328</v>
      </c>
      <c r="C522" s="25">
        <v>1.19</v>
      </c>
    </row>
    <row r="523" spans="2:3" x14ac:dyDescent="0.35">
      <c r="B523" s="24">
        <v>43329</v>
      </c>
      <c r="C523" s="25">
        <v>1.18</v>
      </c>
    </row>
    <row r="524" spans="2:3" x14ac:dyDescent="0.35">
      <c r="B524" s="24">
        <v>43332</v>
      </c>
      <c r="C524" s="25">
        <v>1.19</v>
      </c>
    </row>
    <row r="525" spans="2:3" x14ac:dyDescent="0.35">
      <c r="B525" s="24">
        <v>43333</v>
      </c>
      <c r="C525" s="25">
        <v>1.18</v>
      </c>
    </row>
    <row r="526" spans="2:3" x14ac:dyDescent="0.35">
      <c r="B526" s="24">
        <v>43334</v>
      </c>
      <c r="C526" s="25">
        <v>1.19</v>
      </c>
    </row>
    <row r="527" spans="2:3" x14ac:dyDescent="0.35">
      <c r="B527" s="24">
        <v>43335</v>
      </c>
      <c r="C527" s="25">
        <v>1.19</v>
      </c>
    </row>
    <row r="528" spans="2:3" x14ac:dyDescent="0.35">
      <c r="B528" s="24">
        <v>43336</v>
      </c>
      <c r="C528" s="25">
        <v>1.19</v>
      </c>
    </row>
    <row r="529" spans="2:3" x14ac:dyDescent="0.35">
      <c r="B529" s="24">
        <v>43339</v>
      </c>
      <c r="C529" s="25">
        <v>1.19</v>
      </c>
    </row>
    <row r="530" spans="2:3" x14ac:dyDescent="0.35">
      <c r="B530" s="24">
        <v>43340</v>
      </c>
      <c r="C530" s="25">
        <v>1.18</v>
      </c>
    </row>
    <row r="531" spans="2:3" x14ac:dyDescent="0.35">
      <c r="B531" s="24">
        <v>43341</v>
      </c>
      <c r="C531" s="25">
        <v>1.18</v>
      </c>
    </row>
    <row r="532" spans="2:3" x14ac:dyDescent="0.35">
      <c r="B532" s="24">
        <v>43342</v>
      </c>
      <c r="C532" s="25">
        <v>1.19</v>
      </c>
    </row>
    <row r="533" spans="2:3" x14ac:dyDescent="0.35">
      <c r="B533" s="24">
        <v>43343</v>
      </c>
      <c r="C533" s="25">
        <v>1.21</v>
      </c>
    </row>
    <row r="534" spans="2:3" x14ac:dyDescent="0.35">
      <c r="B534" s="24">
        <v>43346</v>
      </c>
      <c r="C534" s="25">
        <v>1.21</v>
      </c>
    </row>
    <row r="535" spans="2:3" x14ac:dyDescent="0.35">
      <c r="B535" s="24">
        <v>43347</v>
      </c>
      <c r="C535" s="25">
        <v>1.21</v>
      </c>
    </row>
    <row r="536" spans="2:3" x14ac:dyDescent="0.35">
      <c r="B536" s="24">
        <v>43348</v>
      </c>
      <c r="C536" s="25">
        <v>1.21</v>
      </c>
    </row>
    <row r="537" spans="2:3" x14ac:dyDescent="0.35">
      <c r="B537" s="24">
        <v>43349</v>
      </c>
      <c r="C537" s="25">
        <v>1.21</v>
      </c>
    </row>
    <row r="538" spans="2:3" x14ac:dyDescent="0.35">
      <c r="B538" s="24">
        <v>43350</v>
      </c>
      <c r="C538" s="25">
        <v>1.2</v>
      </c>
    </row>
    <row r="539" spans="2:3" x14ac:dyDescent="0.35">
      <c r="B539" s="24">
        <v>43353</v>
      </c>
      <c r="C539" s="25">
        <v>1.2</v>
      </c>
    </row>
    <row r="540" spans="2:3" x14ac:dyDescent="0.35">
      <c r="B540" s="24">
        <v>43354</v>
      </c>
      <c r="C540" s="25">
        <v>1.19</v>
      </c>
    </row>
    <row r="541" spans="2:3" x14ac:dyDescent="0.35">
      <c r="B541" s="24">
        <v>43355</v>
      </c>
      <c r="C541" s="25">
        <v>1.18</v>
      </c>
    </row>
    <row r="542" spans="2:3" x14ac:dyDescent="0.35">
      <c r="B542" s="24">
        <v>43356</v>
      </c>
      <c r="C542" s="25">
        <v>1.17</v>
      </c>
    </row>
    <row r="543" spans="2:3" x14ac:dyDescent="0.35">
      <c r="B543" s="24">
        <v>43357</v>
      </c>
      <c r="C543" s="25">
        <v>1.1599999999999999</v>
      </c>
    </row>
    <row r="544" spans="2:3" x14ac:dyDescent="0.35">
      <c r="B544" s="24">
        <v>43360</v>
      </c>
      <c r="C544" s="25">
        <v>1.1499999999999999</v>
      </c>
    </row>
    <row r="545" spans="2:3" x14ac:dyDescent="0.35">
      <c r="B545" s="24">
        <v>43361</v>
      </c>
      <c r="C545" s="25">
        <v>1.1499999999999999</v>
      </c>
    </row>
    <row r="546" spans="2:3" x14ac:dyDescent="0.35">
      <c r="B546" s="24">
        <v>43362</v>
      </c>
      <c r="C546" s="25">
        <v>1.1399999999999999</v>
      </c>
    </row>
    <row r="547" spans="2:3" x14ac:dyDescent="0.35">
      <c r="B547" s="24">
        <v>43363</v>
      </c>
      <c r="C547" s="25">
        <v>1.1299999999999999</v>
      </c>
    </row>
    <row r="548" spans="2:3" x14ac:dyDescent="0.35">
      <c r="B548" s="24">
        <v>43364</v>
      </c>
      <c r="C548" s="25">
        <v>1.1299999999999999</v>
      </c>
    </row>
    <row r="549" spans="2:3" x14ac:dyDescent="0.35">
      <c r="B549" s="24">
        <v>43367</v>
      </c>
      <c r="C549" s="25">
        <v>1.1299999999999999</v>
      </c>
    </row>
    <row r="550" spans="2:3" x14ac:dyDescent="0.35">
      <c r="B550" s="24">
        <v>43368</v>
      </c>
      <c r="C550" s="25">
        <v>1.1200000000000001</v>
      </c>
    </row>
    <row r="551" spans="2:3" x14ac:dyDescent="0.35">
      <c r="B551" s="24">
        <v>43369</v>
      </c>
      <c r="C551" s="25">
        <v>1.1200000000000001</v>
      </c>
    </row>
    <row r="552" spans="2:3" x14ac:dyDescent="0.35">
      <c r="B552" s="24">
        <v>43370</v>
      </c>
      <c r="C552" s="25">
        <v>1.1200000000000001</v>
      </c>
    </row>
    <row r="553" spans="2:3" x14ac:dyDescent="0.35">
      <c r="B553" s="24">
        <v>43371</v>
      </c>
      <c r="C553" s="25">
        <v>1.1100000000000001</v>
      </c>
    </row>
    <row r="554" spans="2:3" x14ac:dyDescent="0.35">
      <c r="B554" s="24">
        <v>43373</v>
      </c>
      <c r="C554" s="25">
        <v>1.1299999999999999</v>
      </c>
    </row>
    <row r="555" spans="2:3" x14ac:dyDescent="0.35">
      <c r="B555" s="24">
        <v>43374</v>
      </c>
      <c r="C555" s="25">
        <v>1.1299999999999999</v>
      </c>
    </row>
    <row r="556" spans="2:3" x14ac:dyDescent="0.35">
      <c r="B556" s="24">
        <v>43375</v>
      </c>
      <c r="C556" s="25">
        <v>1.1299999999999999</v>
      </c>
    </row>
    <row r="557" spans="2:3" x14ac:dyDescent="0.35">
      <c r="B557" s="24">
        <v>43376</v>
      </c>
      <c r="C557" s="25">
        <v>1.1100000000000001</v>
      </c>
    </row>
    <row r="558" spans="2:3" x14ac:dyDescent="0.35">
      <c r="B558" s="24">
        <v>43377</v>
      </c>
      <c r="C558" s="25">
        <v>1.1200000000000001</v>
      </c>
    </row>
    <row r="559" spans="2:3" x14ac:dyDescent="0.35">
      <c r="B559" s="24">
        <v>43378</v>
      </c>
      <c r="C559" s="25">
        <v>1.1299999999999999</v>
      </c>
    </row>
    <row r="560" spans="2:3" x14ac:dyDescent="0.35">
      <c r="B560" s="24">
        <v>43381</v>
      </c>
      <c r="C560" s="25">
        <v>1.1299999999999999</v>
      </c>
    </row>
    <row r="561" spans="2:3" x14ac:dyDescent="0.35">
      <c r="B561" s="24">
        <v>43382</v>
      </c>
      <c r="C561" s="25">
        <v>1.1299999999999999</v>
      </c>
    </row>
    <row r="562" spans="2:3" x14ac:dyDescent="0.35">
      <c r="B562" s="24">
        <v>43383</v>
      </c>
      <c r="C562" s="25">
        <v>1.1299999999999999</v>
      </c>
    </row>
    <row r="563" spans="2:3" x14ac:dyDescent="0.35">
      <c r="B563" s="24">
        <v>43384</v>
      </c>
      <c r="C563" s="25">
        <v>1.1599999999999999</v>
      </c>
    </row>
    <row r="564" spans="2:3" x14ac:dyDescent="0.35">
      <c r="B564" s="24">
        <v>43385</v>
      </c>
      <c r="C564" s="25">
        <v>1.1599999999999999</v>
      </c>
    </row>
    <row r="565" spans="2:3" x14ac:dyDescent="0.35">
      <c r="B565" s="24">
        <v>43388</v>
      </c>
      <c r="C565" s="25">
        <v>1.1499999999999999</v>
      </c>
    </row>
    <row r="566" spans="2:3" x14ac:dyDescent="0.35">
      <c r="B566" s="24">
        <v>43389</v>
      </c>
      <c r="C566" s="25">
        <v>1.1599999999999999</v>
      </c>
    </row>
    <row r="567" spans="2:3" x14ac:dyDescent="0.35">
      <c r="B567" s="24">
        <v>43390</v>
      </c>
      <c r="C567" s="25">
        <v>1.1599999999999999</v>
      </c>
    </row>
    <row r="568" spans="2:3" x14ac:dyDescent="0.35">
      <c r="B568" s="24">
        <v>43391</v>
      </c>
      <c r="C568" s="25">
        <v>1.17</v>
      </c>
    </row>
    <row r="569" spans="2:3" x14ac:dyDescent="0.35">
      <c r="B569" s="24">
        <v>43392</v>
      </c>
      <c r="C569" s="25">
        <v>1.17</v>
      </c>
    </row>
    <row r="570" spans="2:3" x14ac:dyDescent="0.35">
      <c r="B570" s="24">
        <v>43395</v>
      </c>
      <c r="C570" s="25">
        <v>1.18</v>
      </c>
    </row>
    <row r="571" spans="2:3" x14ac:dyDescent="0.35">
      <c r="B571" s="24">
        <v>43396</v>
      </c>
      <c r="C571" s="25">
        <v>1.2</v>
      </c>
    </row>
    <row r="572" spans="2:3" x14ac:dyDescent="0.35">
      <c r="B572" s="24">
        <v>43397</v>
      </c>
      <c r="C572" s="25">
        <v>1.19</v>
      </c>
    </row>
    <row r="573" spans="2:3" x14ac:dyDescent="0.35">
      <c r="B573" s="24">
        <v>43398</v>
      </c>
      <c r="C573" s="25">
        <v>1.22</v>
      </c>
    </row>
    <row r="574" spans="2:3" x14ac:dyDescent="0.35">
      <c r="B574" s="24">
        <v>43399</v>
      </c>
      <c r="C574" s="25">
        <v>1.23</v>
      </c>
    </row>
    <row r="575" spans="2:3" x14ac:dyDescent="0.35">
      <c r="B575" s="24">
        <v>43402</v>
      </c>
      <c r="C575" s="25">
        <v>1.23</v>
      </c>
    </row>
    <row r="576" spans="2:3" x14ac:dyDescent="0.35">
      <c r="B576" s="24">
        <v>43403</v>
      </c>
      <c r="C576" s="25">
        <v>1.25</v>
      </c>
    </row>
    <row r="577" spans="2:3" x14ac:dyDescent="0.35">
      <c r="B577" s="24">
        <v>43404</v>
      </c>
      <c r="C577" s="25">
        <v>1.25</v>
      </c>
    </row>
    <row r="578" spans="2:3" x14ac:dyDescent="0.35">
      <c r="B578" s="24">
        <v>43405</v>
      </c>
      <c r="C578" s="25">
        <v>1.26</v>
      </c>
    </row>
    <row r="579" spans="2:3" x14ac:dyDescent="0.35">
      <c r="B579" s="24">
        <v>43406</v>
      </c>
      <c r="C579" s="25">
        <v>1.24</v>
      </c>
    </row>
    <row r="580" spans="2:3" x14ac:dyDescent="0.35">
      <c r="B580" s="24">
        <v>43409</v>
      </c>
      <c r="C580" s="25">
        <v>1.25</v>
      </c>
    </row>
    <row r="581" spans="2:3" x14ac:dyDescent="0.35">
      <c r="B581" s="24">
        <v>43410</v>
      </c>
      <c r="C581" s="25">
        <v>1.23</v>
      </c>
    </row>
    <row r="582" spans="2:3" x14ac:dyDescent="0.35">
      <c r="B582" s="24">
        <v>43411</v>
      </c>
      <c r="C582" s="25">
        <v>1.22</v>
      </c>
    </row>
    <row r="583" spans="2:3" x14ac:dyDescent="0.35">
      <c r="B583" s="24">
        <v>43412</v>
      </c>
      <c r="C583" s="25">
        <v>1.22</v>
      </c>
    </row>
    <row r="584" spans="2:3" x14ac:dyDescent="0.35">
      <c r="B584" s="24">
        <v>43413</v>
      </c>
      <c r="C584" s="25">
        <v>1.23</v>
      </c>
    </row>
    <row r="585" spans="2:3" x14ac:dyDescent="0.35">
      <c r="B585" s="24">
        <v>43416</v>
      </c>
      <c r="C585" s="25">
        <v>1.23</v>
      </c>
    </row>
    <row r="586" spans="2:3" x14ac:dyDescent="0.35">
      <c r="B586" s="24">
        <v>43417</v>
      </c>
      <c r="C586" s="25">
        <v>1.26</v>
      </c>
    </row>
    <row r="587" spans="2:3" x14ac:dyDescent="0.35">
      <c r="B587" s="24">
        <v>43418</v>
      </c>
      <c r="C587" s="25">
        <v>1.29</v>
      </c>
    </row>
    <row r="588" spans="2:3" x14ac:dyDescent="0.35">
      <c r="B588" s="24">
        <v>43419</v>
      </c>
      <c r="C588" s="25">
        <v>1.33</v>
      </c>
    </row>
    <row r="589" spans="2:3" x14ac:dyDescent="0.35">
      <c r="B589" s="24">
        <v>43420</v>
      </c>
      <c r="C589" s="25">
        <v>1.34</v>
      </c>
    </row>
    <row r="590" spans="2:3" x14ac:dyDescent="0.35">
      <c r="B590" s="24">
        <v>43423</v>
      </c>
      <c r="C590" s="25">
        <v>1.36</v>
      </c>
    </row>
    <row r="591" spans="2:3" x14ac:dyDescent="0.35">
      <c r="B591" s="24">
        <v>43424</v>
      </c>
      <c r="C591" s="25">
        <v>1.39</v>
      </c>
    </row>
    <row r="592" spans="2:3" x14ac:dyDescent="0.35">
      <c r="B592" s="24">
        <v>43425</v>
      </c>
      <c r="C592" s="25">
        <v>1.38</v>
      </c>
    </row>
    <row r="593" spans="2:3" x14ac:dyDescent="0.35">
      <c r="B593" s="24">
        <v>43426</v>
      </c>
      <c r="C593" s="25">
        <v>1.38</v>
      </c>
    </row>
    <row r="594" spans="2:3" x14ac:dyDescent="0.35">
      <c r="B594" s="24">
        <v>43427</v>
      </c>
      <c r="C594" s="25">
        <v>1.38</v>
      </c>
    </row>
    <row r="595" spans="2:3" x14ac:dyDescent="0.35">
      <c r="B595" s="24">
        <v>43430</v>
      </c>
      <c r="C595" s="25">
        <v>1.38</v>
      </c>
    </row>
    <row r="596" spans="2:3" x14ac:dyDescent="0.35">
      <c r="B596" s="24">
        <v>43431</v>
      </c>
      <c r="C596" s="25">
        <v>1.4</v>
      </c>
    </row>
    <row r="597" spans="2:3" x14ac:dyDescent="0.35">
      <c r="B597" s="24">
        <v>43432</v>
      </c>
      <c r="C597" s="25">
        <v>1.41</v>
      </c>
    </row>
    <row r="598" spans="2:3" x14ac:dyDescent="0.35">
      <c r="B598" s="24">
        <v>43433</v>
      </c>
      <c r="C598" s="25">
        <v>1.42</v>
      </c>
    </row>
    <row r="599" spans="2:3" x14ac:dyDescent="0.35">
      <c r="B599" s="24">
        <v>43434</v>
      </c>
      <c r="C599" s="25">
        <v>1.45</v>
      </c>
    </row>
    <row r="600" spans="2:3" x14ac:dyDescent="0.35">
      <c r="B600" s="24">
        <v>43437</v>
      </c>
      <c r="C600" s="25">
        <v>1.44</v>
      </c>
    </row>
    <row r="601" spans="2:3" x14ac:dyDescent="0.35">
      <c r="B601" s="24">
        <v>43438</v>
      </c>
      <c r="C601" s="25">
        <v>1.46</v>
      </c>
    </row>
    <row r="602" spans="2:3" x14ac:dyDescent="0.35">
      <c r="B602" s="24">
        <v>43439</v>
      </c>
      <c r="C602" s="25">
        <v>1.46</v>
      </c>
    </row>
    <row r="603" spans="2:3" x14ac:dyDescent="0.35">
      <c r="B603" s="24">
        <v>43440</v>
      </c>
      <c r="C603" s="25">
        <v>1.51</v>
      </c>
    </row>
    <row r="604" spans="2:3" x14ac:dyDescent="0.35">
      <c r="B604" s="24">
        <v>43441</v>
      </c>
      <c r="C604" s="25">
        <v>1.51</v>
      </c>
    </row>
    <row r="605" spans="2:3" x14ac:dyDescent="0.35">
      <c r="B605" s="24">
        <v>43444</v>
      </c>
      <c r="C605" s="25">
        <v>1.52</v>
      </c>
    </row>
    <row r="606" spans="2:3" x14ac:dyDescent="0.35">
      <c r="B606" s="24">
        <v>43445</v>
      </c>
      <c r="C606" s="25">
        <v>1.51</v>
      </c>
    </row>
    <row r="607" spans="2:3" x14ac:dyDescent="0.35">
      <c r="B607" s="24">
        <v>43446</v>
      </c>
      <c r="C607" s="25">
        <v>1.5</v>
      </c>
    </row>
    <row r="608" spans="2:3" x14ac:dyDescent="0.35">
      <c r="B608" s="24">
        <v>43447</v>
      </c>
      <c r="C608" s="25">
        <v>1.48</v>
      </c>
    </row>
    <row r="609" spans="2:3" x14ac:dyDescent="0.35">
      <c r="B609" s="24">
        <v>43448</v>
      </c>
      <c r="C609" s="25">
        <v>1.48</v>
      </c>
    </row>
    <row r="610" spans="2:3" x14ac:dyDescent="0.35">
      <c r="B610" s="24">
        <v>43451</v>
      </c>
      <c r="C610" s="25">
        <v>1.48</v>
      </c>
    </row>
    <row r="611" spans="2:3" x14ac:dyDescent="0.35">
      <c r="B611" s="24">
        <v>43452</v>
      </c>
      <c r="C611" s="25">
        <v>1.49</v>
      </c>
    </row>
    <row r="612" spans="2:3" x14ac:dyDescent="0.35">
      <c r="B612" s="24">
        <v>43453</v>
      </c>
      <c r="C612" s="25">
        <v>1.49</v>
      </c>
    </row>
    <row r="613" spans="2:3" x14ac:dyDescent="0.35">
      <c r="B613" s="24">
        <v>43454</v>
      </c>
      <c r="C613" s="25">
        <v>1.52</v>
      </c>
    </row>
    <row r="614" spans="2:3" x14ac:dyDescent="0.35">
      <c r="B614" s="24">
        <v>43455</v>
      </c>
      <c r="C614" s="25">
        <v>1.54</v>
      </c>
    </row>
    <row r="615" spans="2:3" x14ac:dyDescent="0.35">
      <c r="B615" s="24">
        <v>43458</v>
      </c>
      <c r="C615" s="25">
        <v>1.55</v>
      </c>
    </row>
    <row r="616" spans="2:3" x14ac:dyDescent="0.35">
      <c r="B616" s="24">
        <v>43459</v>
      </c>
      <c r="C616" s="26" t="e">
        <f>NA()</f>
        <v>#N/A</v>
      </c>
    </row>
    <row r="617" spans="2:3" x14ac:dyDescent="0.35">
      <c r="B617" s="24">
        <v>43460</v>
      </c>
      <c r="C617" s="25">
        <v>1.56</v>
      </c>
    </row>
    <row r="618" spans="2:3" x14ac:dyDescent="0.35">
      <c r="B618" s="24">
        <v>43461</v>
      </c>
      <c r="C618" s="25">
        <v>1.57</v>
      </c>
    </row>
    <row r="619" spans="2:3" x14ac:dyDescent="0.35">
      <c r="B619" s="24">
        <v>43462</v>
      </c>
      <c r="C619" s="25">
        <v>1.58</v>
      </c>
    </row>
    <row r="620" spans="2:3" x14ac:dyDescent="0.35">
      <c r="B620" s="24">
        <v>43465</v>
      </c>
      <c r="C620" s="25">
        <v>1.59</v>
      </c>
    </row>
    <row r="621" spans="2:3" x14ac:dyDescent="0.35">
      <c r="B621" s="24">
        <v>43466</v>
      </c>
      <c r="C621" s="26" t="e">
        <f>NA()</f>
        <v>#N/A</v>
      </c>
    </row>
    <row r="622" spans="2:3" x14ac:dyDescent="0.35">
      <c r="B622" s="24">
        <v>43467</v>
      </c>
      <c r="C622" s="25">
        <v>1.6</v>
      </c>
    </row>
    <row r="623" spans="2:3" x14ac:dyDescent="0.35">
      <c r="B623" s="24">
        <v>43468</v>
      </c>
      <c r="C623" s="25">
        <v>1.63</v>
      </c>
    </row>
    <row r="624" spans="2:3" x14ac:dyDescent="0.35">
      <c r="B624" s="24">
        <v>43469</v>
      </c>
      <c r="C624" s="25">
        <v>1.62</v>
      </c>
    </row>
    <row r="625" spans="2:3" x14ac:dyDescent="0.35">
      <c r="B625" s="24">
        <v>43472</v>
      </c>
      <c r="C625" s="25">
        <v>1.6</v>
      </c>
    </row>
    <row r="626" spans="2:3" x14ac:dyDescent="0.35">
      <c r="B626" s="24">
        <v>43473</v>
      </c>
      <c r="C626" s="25">
        <v>1.58</v>
      </c>
    </row>
    <row r="627" spans="2:3" x14ac:dyDescent="0.35">
      <c r="B627" s="24">
        <v>43474</v>
      </c>
      <c r="C627" s="25">
        <v>1.56</v>
      </c>
    </row>
    <row r="628" spans="2:3" x14ac:dyDescent="0.35">
      <c r="B628" s="24">
        <v>43475</v>
      </c>
      <c r="C628" s="25">
        <v>1.55</v>
      </c>
    </row>
    <row r="629" spans="2:3" x14ac:dyDescent="0.35">
      <c r="B629" s="24">
        <v>43476</v>
      </c>
      <c r="C629" s="25">
        <v>1.54</v>
      </c>
    </row>
    <row r="630" spans="2:3" x14ac:dyDescent="0.35">
      <c r="B630" s="24">
        <v>43479</v>
      </c>
      <c r="C630" s="25">
        <v>1.54</v>
      </c>
    </row>
    <row r="631" spans="2:3" x14ac:dyDescent="0.35">
      <c r="B631" s="24">
        <v>43480</v>
      </c>
      <c r="C631" s="25">
        <v>1.54</v>
      </c>
    </row>
    <row r="632" spans="2:3" x14ac:dyDescent="0.35">
      <c r="B632" s="24">
        <v>43481</v>
      </c>
      <c r="C632" s="25">
        <v>1.52</v>
      </c>
    </row>
    <row r="633" spans="2:3" x14ac:dyDescent="0.35">
      <c r="B633" s="24">
        <v>43482</v>
      </c>
      <c r="C633" s="25">
        <v>1.5</v>
      </c>
    </row>
    <row r="634" spans="2:3" x14ac:dyDescent="0.35">
      <c r="B634" s="24">
        <v>43483</v>
      </c>
      <c r="C634" s="25">
        <v>1.46</v>
      </c>
    </row>
    <row r="635" spans="2:3" x14ac:dyDescent="0.35">
      <c r="B635" s="24">
        <v>43486</v>
      </c>
      <c r="C635" s="25">
        <v>1.46</v>
      </c>
    </row>
    <row r="636" spans="2:3" x14ac:dyDescent="0.35">
      <c r="B636" s="24">
        <v>43487</v>
      </c>
      <c r="C636" s="25">
        <v>1.46</v>
      </c>
    </row>
    <row r="637" spans="2:3" x14ac:dyDescent="0.35">
      <c r="B637" s="24">
        <v>43488</v>
      </c>
      <c r="C637" s="25">
        <v>1.44</v>
      </c>
    </row>
    <row r="638" spans="2:3" x14ac:dyDescent="0.35">
      <c r="B638" s="24">
        <v>43489</v>
      </c>
      <c r="C638" s="25">
        <v>1.43</v>
      </c>
    </row>
    <row r="639" spans="2:3" x14ac:dyDescent="0.35">
      <c r="B639" s="24">
        <v>43490</v>
      </c>
      <c r="C639" s="25">
        <v>1.4</v>
      </c>
    </row>
    <row r="640" spans="2:3" x14ac:dyDescent="0.35">
      <c r="B640" s="24">
        <v>43493</v>
      </c>
      <c r="C640" s="25">
        <v>1.4</v>
      </c>
    </row>
    <row r="641" spans="2:3" x14ac:dyDescent="0.35">
      <c r="B641" s="24">
        <v>43494</v>
      </c>
      <c r="C641" s="25">
        <v>1.39</v>
      </c>
    </row>
    <row r="642" spans="2:3" x14ac:dyDescent="0.35">
      <c r="B642" s="24">
        <v>43495</v>
      </c>
      <c r="C642" s="25">
        <v>1.39</v>
      </c>
    </row>
    <row r="643" spans="2:3" x14ac:dyDescent="0.35">
      <c r="B643" s="24">
        <v>43496</v>
      </c>
      <c r="C643" s="25">
        <v>1.38</v>
      </c>
    </row>
    <row r="644" spans="2:3" x14ac:dyDescent="0.35">
      <c r="B644" s="24">
        <v>43497</v>
      </c>
      <c r="C644" s="25">
        <v>1.36</v>
      </c>
    </row>
    <row r="645" spans="2:3" x14ac:dyDescent="0.35">
      <c r="B645" s="24">
        <v>43500</v>
      </c>
      <c r="C645" s="25">
        <v>1.34</v>
      </c>
    </row>
    <row r="646" spans="2:3" x14ac:dyDescent="0.35">
      <c r="B646" s="24">
        <v>43501</v>
      </c>
      <c r="C646" s="25">
        <v>1.33</v>
      </c>
    </row>
    <row r="647" spans="2:3" x14ac:dyDescent="0.35">
      <c r="B647" s="24">
        <v>43502</v>
      </c>
      <c r="C647" s="25">
        <v>1.32</v>
      </c>
    </row>
    <row r="648" spans="2:3" x14ac:dyDescent="0.35">
      <c r="B648" s="24">
        <v>43503</v>
      </c>
      <c r="C648" s="25">
        <v>1.34</v>
      </c>
    </row>
    <row r="649" spans="2:3" x14ac:dyDescent="0.35">
      <c r="B649" s="24">
        <v>43504</v>
      </c>
      <c r="C649" s="25">
        <v>1.34</v>
      </c>
    </row>
    <row r="650" spans="2:3" x14ac:dyDescent="0.35">
      <c r="B650" s="24">
        <v>43507</v>
      </c>
      <c r="C650" s="25">
        <v>1.34</v>
      </c>
    </row>
    <row r="651" spans="2:3" x14ac:dyDescent="0.35">
      <c r="B651" s="24">
        <v>43508</v>
      </c>
      <c r="C651" s="25">
        <v>1.33</v>
      </c>
    </row>
    <row r="652" spans="2:3" x14ac:dyDescent="0.35">
      <c r="B652" s="24">
        <v>43509</v>
      </c>
      <c r="C652" s="25">
        <v>1.32</v>
      </c>
    </row>
    <row r="653" spans="2:3" x14ac:dyDescent="0.35">
      <c r="B653" s="24">
        <v>43510</v>
      </c>
      <c r="C653" s="25">
        <v>1.33</v>
      </c>
    </row>
    <row r="654" spans="2:3" x14ac:dyDescent="0.35">
      <c r="B654" s="24">
        <v>43511</v>
      </c>
      <c r="C654" s="25">
        <v>1.32</v>
      </c>
    </row>
    <row r="655" spans="2:3" x14ac:dyDescent="0.35">
      <c r="B655" s="24">
        <v>43514</v>
      </c>
      <c r="C655" s="25">
        <v>1.32</v>
      </c>
    </row>
    <row r="656" spans="2:3" x14ac:dyDescent="0.35">
      <c r="B656" s="24">
        <v>43515</v>
      </c>
      <c r="C656" s="25">
        <v>1.32</v>
      </c>
    </row>
    <row r="657" spans="2:3" x14ac:dyDescent="0.35">
      <c r="B657" s="24">
        <v>43516</v>
      </c>
      <c r="C657" s="25">
        <v>1.32</v>
      </c>
    </row>
    <row r="658" spans="2:3" x14ac:dyDescent="0.35">
      <c r="B658" s="24">
        <v>43517</v>
      </c>
      <c r="C658" s="25">
        <v>1.32</v>
      </c>
    </row>
    <row r="659" spans="2:3" x14ac:dyDescent="0.35">
      <c r="B659" s="24">
        <v>43518</v>
      </c>
      <c r="C659" s="25">
        <v>1.32</v>
      </c>
    </row>
    <row r="660" spans="2:3" x14ac:dyDescent="0.35">
      <c r="B660" s="24">
        <v>43521</v>
      </c>
      <c r="C660" s="25">
        <v>1.31</v>
      </c>
    </row>
    <row r="661" spans="2:3" x14ac:dyDescent="0.35">
      <c r="B661" s="24">
        <v>43522</v>
      </c>
      <c r="C661" s="25">
        <v>1.31</v>
      </c>
    </row>
    <row r="662" spans="2:3" x14ac:dyDescent="0.35">
      <c r="B662" s="24">
        <v>43523</v>
      </c>
      <c r="C662" s="25">
        <v>1.3</v>
      </c>
    </row>
    <row r="663" spans="2:3" x14ac:dyDescent="0.35">
      <c r="B663" s="24">
        <v>43524</v>
      </c>
      <c r="C663" s="25">
        <v>1.29</v>
      </c>
    </row>
    <row r="664" spans="2:3" x14ac:dyDescent="0.35">
      <c r="B664" s="24">
        <v>43525</v>
      </c>
      <c r="C664" s="25">
        <v>1.28</v>
      </c>
    </row>
    <row r="665" spans="2:3" x14ac:dyDescent="0.35">
      <c r="B665" s="24">
        <v>43528</v>
      </c>
      <c r="C665" s="25">
        <v>1.27</v>
      </c>
    </row>
    <row r="666" spans="2:3" x14ac:dyDescent="0.35">
      <c r="B666" s="24">
        <v>43529</v>
      </c>
      <c r="C666" s="25">
        <v>1.27</v>
      </c>
    </row>
    <row r="667" spans="2:3" x14ac:dyDescent="0.35">
      <c r="B667" s="24">
        <v>43530</v>
      </c>
      <c r="C667" s="25">
        <v>1.28</v>
      </c>
    </row>
    <row r="668" spans="2:3" x14ac:dyDescent="0.35">
      <c r="B668" s="24">
        <v>43531</v>
      </c>
      <c r="C668" s="25">
        <v>1.29</v>
      </c>
    </row>
    <row r="669" spans="2:3" x14ac:dyDescent="0.35">
      <c r="B669" s="24">
        <v>43532</v>
      </c>
      <c r="C669" s="25">
        <v>1.29</v>
      </c>
    </row>
    <row r="670" spans="2:3" x14ac:dyDescent="0.35">
      <c r="B670" s="24">
        <v>43535</v>
      </c>
      <c r="C670" s="25">
        <v>1.29</v>
      </c>
    </row>
    <row r="671" spans="2:3" x14ac:dyDescent="0.35">
      <c r="B671" s="24">
        <v>43536</v>
      </c>
      <c r="C671" s="25">
        <v>1.28</v>
      </c>
    </row>
    <row r="672" spans="2:3" x14ac:dyDescent="0.35">
      <c r="B672" s="24">
        <v>43537</v>
      </c>
      <c r="C672" s="25">
        <v>1.28</v>
      </c>
    </row>
    <row r="673" spans="2:3" x14ac:dyDescent="0.35">
      <c r="B673" s="24">
        <v>43538</v>
      </c>
      <c r="C673" s="25">
        <v>1.27</v>
      </c>
    </row>
    <row r="674" spans="2:3" x14ac:dyDescent="0.35">
      <c r="B674" s="24">
        <v>43539</v>
      </c>
      <c r="C674" s="25">
        <v>1.26</v>
      </c>
    </row>
    <row r="675" spans="2:3" x14ac:dyDescent="0.35">
      <c r="B675" s="24">
        <v>43542</v>
      </c>
      <c r="C675" s="25">
        <v>1.26</v>
      </c>
    </row>
    <row r="676" spans="2:3" x14ac:dyDescent="0.35">
      <c r="B676" s="24">
        <v>43543</v>
      </c>
      <c r="C676" s="25">
        <v>1.25</v>
      </c>
    </row>
    <row r="677" spans="2:3" x14ac:dyDescent="0.35">
      <c r="B677" s="24">
        <v>43544</v>
      </c>
      <c r="C677" s="25">
        <v>1.26</v>
      </c>
    </row>
    <row r="678" spans="2:3" x14ac:dyDescent="0.35">
      <c r="B678" s="24">
        <v>43545</v>
      </c>
      <c r="C678" s="25">
        <v>1.25</v>
      </c>
    </row>
    <row r="679" spans="2:3" x14ac:dyDescent="0.35">
      <c r="B679" s="24">
        <v>43546</v>
      </c>
      <c r="C679" s="25">
        <v>1.25</v>
      </c>
    </row>
    <row r="680" spans="2:3" x14ac:dyDescent="0.35">
      <c r="B680" s="24">
        <v>43549</v>
      </c>
      <c r="C680" s="25">
        <v>1.25</v>
      </c>
    </row>
    <row r="681" spans="2:3" x14ac:dyDescent="0.35">
      <c r="B681" s="24">
        <v>43550</v>
      </c>
      <c r="C681" s="25">
        <v>1.25</v>
      </c>
    </row>
    <row r="682" spans="2:3" x14ac:dyDescent="0.35">
      <c r="B682" s="24">
        <v>43551</v>
      </c>
      <c r="C682" s="25">
        <v>1.25</v>
      </c>
    </row>
    <row r="683" spans="2:3" x14ac:dyDescent="0.35">
      <c r="B683" s="24">
        <v>43552</v>
      </c>
      <c r="C683" s="25">
        <v>1.25</v>
      </c>
    </row>
    <row r="684" spans="2:3" x14ac:dyDescent="0.35">
      <c r="B684" s="24">
        <v>43553</v>
      </c>
      <c r="C684" s="25">
        <v>1.25</v>
      </c>
    </row>
    <row r="685" spans="2:3" x14ac:dyDescent="0.35">
      <c r="B685" s="24">
        <v>43555</v>
      </c>
      <c r="C685" s="25">
        <v>1.27</v>
      </c>
    </row>
    <row r="686" spans="2:3" x14ac:dyDescent="0.35">
      <c r="B686" s="24">
        <v>43556</v>
      </c>
      <c r="C686" s="25">
        <v>1.25</v>
      </c>
    </row>
    <row r="687" spans="2:3" x14ac:dyDescent="0.35">
      <c r="B687" s="24">
        <v>43557</v>
      </c>
      <c r="C687" s="25">
        <v>1.25</v>
      </c>
    </row>
    <row r="688" spans="2:3" x14ac:dyDescent="0.35">
      <c r="B688" s="24">
        <v>43558</v>
      </c>
      <c r="C688" s="25">
        <v>1.24</v>
      </c>
    </row>
    <row r="689" spans="2:3" x14ac:dyDescent="0.35">
      <c r="B689" s="24">
        <v>43559</v>
      </c>
      <c r="C689" s="25">
        <v>1.24</v>
      </c>
    </row>
    <row r="690" spans="2:3" x14ac:dyDescent="0.35">
      <c r="B690" s="24">
        <v>43560</v>
      </c>
      <c r="C690" s="25">
        <v>1.23</v>
      </c>
    </row>
    <row r="691" spans="2:3" x14ac:dyDescent="0.35">
      <c r="B691" s="24">
        <v>43563</v>
      </c>
      <c r="C691" s="25">
        <v>1.22</v>
      </c>
    </row>
    <row r="692" spans="2:3" x14ac:dyDescent="0.35">
      <c r="B692" s="24">
        <v>43564</v>
      </c>
      <c r="C692" s="25">
        <v>1.22</v>
      </c>
    </row>
    <row r="693" spans="2:3" x14ac:dyDescent="0.35">
      <c r="B693" s="24">
        <v>43565</v>
      </c>
      <c r="C693" s="25">
        <v>1.21</v>
      </c>
    </row>
    <row r="694" spans="2:3" x14ac:dyDescent="0.35">
      <c r="B694" s="24">
        <v>43566</v>
      </c>
      <c r="C694" s="25">
        <v>1.2</v>
      </c>
    </row>
    <row r="695" spans="2:3" x14ac:dyDescent="0.35">
      <c r="B695" s="24">
        <v>43567</v>
      </c>
      <c r="C695" s="25">
        <v>1.18</v>
      </c>
    </row>
    <row r="696" spans="2:3" x14ac:dyDescent="0.35">
      <c r="B696" s="24">
        <v>43570</v>
      </c>
      <c r="C696" s="25">
        <v>1.17</v>
      </c>
    </row>
    <row r="697" spans="2:3" x14ac:dyDescent="0.35">
      <c r="B697" s="24">
        <v>43571</v>
      </c>
      <c r="C697" s="25">
        <v>1.1599999999999999</v>
      </c>
    </row>
    <row r="698" spans="2:3" x14ac:dyDescent="0.35">
      <c r="B698" s="24">
        <v>43572</v>
      </c>
      <c r="C698" s="25">
        <v>1.1599999999999999</v>
      </c>
    </row>
    <row r="699" spans="2:3" x14ac:dyDescent="0.35">
      <c r="B699" s="24">
        <v>43573</v>
      </c>
      <c r="C699" s="25">
        <v>1.17</v>
      </c>
    </row>
    <row r="700" spans="2:3" x14ac:dyDescent="0.35">
      <c r="B700" s="24">
        <v>43574</v>
      </c>
      <c r="C700" s="26" t="e">
        <f>NA()</f>
        <v>#N/A</v>
      </c>
    </row>
    <row r="701" spans="2:3" x14ac:dyDescent="0.35">
      <c r="B701" s="24">
        <v>43577</v>
      </c>
      <c r="C701" s="25">
        <v>1.17</v>
      </c>
    </row>
    <row r="702" spans="2:3" x14ac:dyDescent="0.35">
      <c r="B702" s="24">
        <v>43578</v>
      </c>
      <c r="C702" s="25">
        <v>1.17</v>
      </c>
    </row>
    <row r="703" spans="2:3" x14ac:dyDescent="0.35">
      <c r="B703" s="24">
        <v>43579</v>
      </c>
      <c r="C703" s="25">
        <v>1.17</v>
      </c>
    </row>
    <row r="704" spans="2:3" x14ac:dyDescent="0.35">
      <c r="B704" s="24">
        <v>43580</v>
      </c>
      <c r="C704" s="25">
        <v>1.17</v>
      </c>
    </row>
    <row r="705" spans="2:3" x14ac:dyDescent="0.35">
      <c r="B705" s="24">
        <v>43581</v>
      </c>
      <c r="C705" s="25">
        <v>1.17</v>
      </c>
    </row>
    <row r="706" spans="2:3" x14ac:dyDescent="0.35">
      <c r="B706" s="24">
        <v>43584</v>
      </c>
      <c r="C706" s="25">
        <v>1.1599999999999999</v>
      </c>
    </row>
    <row r="707" spans="2:3" x14ac:dyDescent="0.35">
      <c r="B707" s="24">
        <v>43585</v>
      </c>
      <c r="C707" s="25">
        <v>1.17</v>
      </c>
    </row>
    <row r="708" spans="2:3" x14ac:dyDescent="0.35">
      <c r="B708" s="24">
        <v>43586</v>
      </c>
      <c r="C708" s="25">
        <v>1.17</v>
      </c>
    </row>
    <row r="709" spans="2:3" x14ac:dyDescent="0.35">
      <c r="B709" s="24">
        <v>43587</v>
      </c>
      <c r="C709" s="25">
        <v>1.18</v>
      </c>
    </row>
    <row r="710" spans="2:3" x14ac:dyDescent="0.35">
      <c r="B710" s="24">
        <v>43588</v>
      </c>
      <c r="C710" s="25">
        <v>1.18</v>
      </c>
    </row>
    <row r="711" spans="2:3" x14ac:dyDescent="0.35">
      <c r="B711" s="24">
        <v>43591</v>
      </c>
      <c r="C711" s="25">
        <v>1.18</v>
      </c>
    </row>
    <row r="712" spans="2:3" x14ac:dyDescent="0.35">
      <c r="B712" s="24">
        <v>43592</v>
      </c>
      <c r="C712" s="25">
        <v>1.19</v>
      </c>
    </row>
    <row r="713" spans="2:3" x14ac:dyDescent="0.35">
      <c r="B713" s="24">
        <v>43593</v>
      </c>
      <c r="C713" s="25">
        <v>1.2</v>
      </c>
    </row>
    <row r="714" spans="2:3" x14ac:dyDescent="0.35">
      <c r="B714" s="24">
        <v>43594</v>
      </c>
      <c r="C714" s="25">
        <v>1.22</v>
      </c>
    </row>
    <row r="715" spans="2:3" x14ac:dyDescent="0.35">
      <c r="B715" s="24">
        <v>43595</v>
      </c>
      <c r="C715" s="25">
        <v>1.22</v>
      </c>
    </row>
    <row r="716" spans="2:3" x14ac:dyDescent="0.35">
      <c r="B716" s="24">
        <v>43598</v>
      </c>
      <c r="C716" s="25">
        <v>1.24</v>
      </c>
    </row>
    <row r="717" spans="2:3" x14ac:dyDescent="0.35">
      <c r="B717" s="24">
        <v>43599</v>
      </c>
      <c r="C717" s="25">
        <v>1.24</v>
      </c>
    </row>
    <row r="718" spans="2:3" x14ac:dyDescent="0.35">
      <c r="B718" s="24">
        <v>43600</v>
      </c>
      <c r="C718" s="25">
        <v>1.24</v>
      </c>
    </row>
    <row r="719" spans="2:3" x14ac:dyDescent="0.35">
      <c r="B719" s="24">
        <v>43601</v>
      </c>
      <c r="C719" s="25">
        <v>1.24</v>
      </c>
    </row>
    <row r="720" spans="2:3" x14ac:dyDescent="0.35">
      <c r="B720" s="24">
        <v>43602</v>
      </c>
      <c r="C720" s="25">
        <v>1.24</v>
      </c>
    </row>
    <row r="721" spans="2:3" x14ac:dyDescent="0.35">
      <c r="B721" s="24">
        <v>43605</v>
      </c>
      <c r="C721" s="25">
        <v>1.24</v>
      </c>
    </row>
    <row r="722" spans="2:3" x14ac:dyDescent="0.35">
      <c r="B722" s="24">
        <v>43606</v>
      </c>
      <c r="C722" s="25">
        <v>1.24</v>
      </c>
    </row>
    <row r="723" spans="2:3" x14ac:dyDescent="0.35">
      <c r="B723" s="24">
        <v>43607</v>
      </c>
      <c r="C723" s="25">
        <v>1.25</v>
      </c>
    </row>
    <row r="724" spans="2:3" x14ac:dyDescent="0.35">
      <c r="B724" s="24">
        <v>43608</v>
      </c>
      <c r="C724" s="25">
        <v>1.28</v>
      </c>
    </row>
    <row r="725" spans="2:3" x14ac:dyDescent="0.35">
      <c r="B725" s="24">
        <v>43609</v>
      </c>
      <c r="C725" s="25">
        <v>1.27</v>
      </c>
    </row>
    <row r="726" spans="2:3" x14ac:dyDescent="0.35">
      <c r="B726" s="24">
        <v>43612</v>
      </c>
      <c r="C726" s="25">
        <v>1.27</v>
      </c>
    </row>
    <row r="727" spans="2:3" x14ac:dyDescent="0.35">
      <c r="B727" s="24">
        <v>43613</v>
      </c>
      <c r="C727" s="25">
        <v>1.29</v>
      </c>
    </row>
    <row r="728" spans="2:3" x14ac:dyDescent="0.35">
      <c r="B728" s="24">
        <v>43614</v>
      </c>
      <c r="C728" s="25">
        <v>1.32</v>
      </c>
    </row>
    <row r="729" spans="2:3" x14ac:dyDescent="0.35">
      <c r="B729" s="24">
        <v>43615</v>
      </c>
      <c r="C729" s="25">
        <v>1.31</v>
      </c>
    </row>
    <row r="730" spans="2:3" x14ac:dyDescent="0.35">
      <c r="B730" s="24">
        <v>43616</v>
      </c>
      <c r="C730" s="25">
        <v>1.35</v>
      </c>
    </row>
    <row r="731" spans="2:3" x14ac:dyDescent="0.35">
      <c r="B731" s="24">
        <v>43619</v>
      </c>
      <c r="C731" s="25">
        <v>1.36</v>
      </c>
    </row>
    <row r="732" spans="2:3" x14ac:dyDescent="0.35">
      <c r="B732" s="24">
        <v>43620</v>
      </c>
      <c r="C732" s="25">
        <v>1.35</v>
      </c>
    </row>
    <row r="733" spans="2:3" x14ac:dyDescent="0.35">
      <c r="B733" s="24">
        <v>43621</v>
      </c>
      <c r="C733" s="25">
        <v>1.34</v>
      </c>
    </row>
    <row r="734" spans="2:3" x14ac:dyDescent="0.35">
      <c r="B734" s="24">
        <v>43622</v>
      </c>
      <c r="C734" s="25">
        <v>1.34</v>
      </c>
    </row>
    <row r="735" spans="2:3" x14ac:dyDescent="0.35">
      <c r="B735" s="24">
        <v>43623</v>
      </c>
      <c r="C735" s="25">
        <v>1.34</v>
      </c>
    </row>
    <row r="736" spans="2:3" x14ac:dyDescent="0.35">
      <c r="B736" s="24">
        <v>43626</v>
      </c>
      <c r="C736" s="25">
        <v>1.32</v>
      </c>
    </row>
    <row r="737" spans="2:3" x14ac:dyDescent="0.35">
      <c r="B737" s="24">
        <v>43627</v>
      </c>
      <c r="C737" s="25">
        <v>1.32</v>
      </c>
    </row>
    <row r="738" spans="2:3" x14ac:dyDescent="0.35">
      <c r="B738" s="24">
        <v>43628</v>
      </c>
      <c r="C738" s="25">
        <v>1.32</v>
      </c>
    </row>
    <row r="739" spans="2:3" x14ac:dyDescent="0.35">
      <c r="B739" s="24">
        <v>43629</v>
      </c>
      <c r="C739" s="25">
        <v>1.32</v>
      </c>
    </row>
    <row r="740" spans="2:3" x14ac:dyDescent="0.35">
      <c r="B740" s="24">
        <v>43630</v>
      </c>
      <c r="C740" s="25">
        <v>1.32</v>
      </c>
    </row>
    <row r="741" spans="2:3" x14ac:dyDescent="0.35">
      <c r="B741" s="24">
        <v>43633</v>
      </c>
      <c r="C741" s="25">
        <v>1.32</v>
      </c>
    </row>
    <row r="742" spans="2:3" x14ac:dyDescent="0.35">
      <c r="B742" s="24">
        <v>43634</v>
      </c>
      <c r="C742" s="25">
        <v>1.3</v>
      </c>
    </row>
    <row r="743" spans="2:3" x14ac:dyDescent="0.35">
      <c r="B743" s="24">
        <v>43635</v>
      </c>
      <c r="C743" s="25">
        <v>1.3</v>
      </c>
    </row>
    <row r="744" spans="2:3" x14ac:dyDescent="0.35">
      <c r="B744" s="24">
        <v>43636</v>
      </c>
      <c r="C744" s="25">
        <v>1.28</v>
      </c>
    </row>
    <row r="745" spans="2:3" x14ac:dyDescent="0.35">
      <c r="B745" s="24">
        <v>43637</v>
      </c>
      <c r="C745" s="25">
        <v>1.25</v>
      </c>
    </row>
    <row r="746" spans="2:3" x14ac:dyDescent="0.35">
      <c r="B746" s="24">
        <v>43640</v>
      </c>
      <c r="C746" s="25">
        <v>1.23</v>
      </c>
    </row>
    <row r="747" spans="2:3" x14ac:dyDescent="0.35">
      <c r="B747" s="24">
        <v>43641</v>
      </c>
      <c r="C747" s="25">
        <v>1.24</v>
      </c>
    </row>
    <row r="748" spans="2:3" x14ac:dyDescent="0.35">
      <c r="B748" s="24">
        <v>43642</v>
      </c>
      <c r="C748" s="25">
        <v>1.23</v>
      </c>
    </row>
    <row r="749" spans="2:3" x14ac:dyDescent="0.35">
      <c r="B749" s="24">
        <v>43643</v>
      </c>
      <c r="C749" s="25">
        <v>1.23</v>
      </c>
    </row>
    <row r="750" spans="2:3" x14ac:dyDescent="0.35">
      <c r="B750" s="24">
        <v>43644</v>
      </c>
      <c r="C750" s="25">
        <v>1.22</v>
      </c>
    </row>
    <row r="751" spans="2:3" x14ac:dyDescent="0.35">
      <c r="B751" s="24">
        <v>43646</v>
      </c>
      <c r="C751" s="25">
        <v>1.22</v>
      </c>
    </row>
    <row r="752" spans="2:3" x14ac:dyDescent="0.35">
      <c r="B752" s="24">
        <v>43647</v>
      </c>
      <c r="C752" s="25">
        <v>1.21</v>
      </c>
    </row>
    <row r="753" spans="2:3" x14ac:dyDescent="0.35">
      <c r="B753" s="24">
        <v>43648</v>
      </c>
      <c r="C753" s="25">
        <v>1.2</v>
      </c>
    </row>
    <row r="754" spans="2:3" x14ac:dyDescent="0.35">
      <c r="B754" s="24">
        <v>43649</v>
      </c>
      <c r="C754" s="25">
        <v>1.2</v>
      </c>
    </row>
    <row r="755" spans="2:3" x14ac:dyDescent="0.35">
      <c r="B755" s="24">
        <v>43650</v>
      </c>
      <c r="C755" s="25">
        <v>1.2</v>
      </c>
    </row>
    <row r="756" spans="2:3" x14ac:dyDescent="0.35">
      <c r="B756" s="24">
        <v>43651</v>
      </c>
      <c r="C756" s="25">
        <v>1.19</v>
      </c>
    </row>
    <row r="757" spans="2:3" x14ac:dyDescent="0.35">
      <c r="B757" s="24">
        <v>43654</v>
      </c>
      <c r="C757" s="25">
        <v>1.19</v>
      </c>
    </row>
    <row r="758" spans="2:3" x14ac:dyDescent="0.35">
      <c r="B758" s="24">
        <v>43655</v>
      </c>
      <c r="C758" s="25">
        <v>1.2</v>
      </c>
    </row>
    <row r="759" spans="2:3" x14ac:dyDescent="0.35">
      <c r="B759" s="24">
        <v>43656</v>
      </c>
      <c r="C759" s="25">
        <v>1.2</v>
      </c>
    </row>
    <row r="760" spans="2:3" x14ac:dyDescent="0.35">
      <c r="B760" s="24">
        <v>43657</v>
      </c>
      <c r="C760" s="25">
        <v>1.19</v>
      </c>
    </row>
    <row r="761" spans="2:3" x14ac:dyDescent="0.35">
      <c r="B761" s="24">
        <v>43658</v>
      </c>
      <c r="C761" s="25">
        <v>1.18</v>
      </c>
    </row>
    <row r="762" spans="2:3" x14ac:dyDescent="0.35">
      <c r="B762" s="24">
        <v>43661</v>
      </c>
      <c r="C762" s="25">
        <v>1.18</v>
      </c>
    </row>
    <row r="763" spans="2:3" x14ac:dyDescent="0.35">
      <c r="B763" s="24">
        <v>43662</v>
      </c>
      <c r="C763" s="25">
        <v>1.18</v>
      </c>
    </row>
    <row r="764" spans="2:3" x14ac:dyDescent="0.35">
      <c r="B764" s="24">
        <v>43663</v>
      </c>
      <c r="C764" s="25">
        <v>1.18</v>
      </c>
    </row>
    <row r="765" spans="2:3" x14ac:dyDescent="0.35">
      <c r="B765" s="24">
        <v>43664</v>
      </c>
      <c r="C765" s="25">
        <v>1.19</v>
      </c>
    </row>
    <row r="766" spans="2:3" x14ac:dyDescent="0.35">
      <c r="B766" s="24">
        <v>43665</v>
      </c>
      <c r="C766" s="25">
        <v>1.18</v>
      </c>
    </row>
    <row r="767" spans="2:3" x14ac:dyDescent="0.35">
      <c r="B767" s="24">
        <v>43668</v>
      </c>
      <c r="C767" s="25">
        <v>1.17</v>
      </c>
    </row>
    <row r="768" spans="2:3" x14ac:dyDescent="0.35">
      <c r="B768" s="24">
        <v>43669</v>
      </c>
      <c r="C768" s="25">
        <v>1.1599999999999999</v>
      </c>
    </row>
    <row r="769" spans="2:3" x14ac:dyDescent="0.35">
      <c r="B769" s="24">
        <v>43670</v>
      </c>
      <c r="C769" s="25">
        <v>1.1599999999999999</v>
      </c>
    </row>
    <row r="770" spans="2:3" x14ac:dyDescent="0.35">
      <c r="B770" s="24">
        <v>43671</v>
      </c>
      <c r="C770" s="25">
        <v>1.1499999999999999</v>
      </c>
    </row>
    <row r="771" spans="2:3" x14ac:dyDescent="0.35">
      <c r="B771" s="24">
        <v>43672</v>
      </c>
      <c r="C771" s="25">
        <v>1.1399999999999999</v>
      </c>
    </row>
    <row r="772" spans="2:3" x14ac:dyDescent="0.35">
      <c r="B772" s="24">
        <v>43675</v>
      </c>
      <c r="C772" s="25">
        <v>1.1299999999999999</v>
      </c>
    </row>
    <row r="773" spans="2:3" x14ac:dyDescent="0.35">
      <c r="B773" s="24">
        <v>43676</v>
      </c>
      <c r="C773" s="25">
        <v>1.1399999999999999</v>
      </c>
    </row>
    <row r="774" spans="2:3" x14ac:dyDescent="0.35">
      <c r="B774" s="24">
        <v>43677</v>
      </c>
      <c r="C774" s="25">
        <v>1.1399999999999999</v>
      </c>
    </row>
    <row r="775" spans="2:3" x14ac:dyDescent="0.35">
      <c r="B775" s="24">
        <v>43678</v>
      </c>
      <c r="C775" s="25">
        <v>1.17</v>
      </c>
    </row>
    <row r="776" spans="2:3" x14ac:dyDescent="0.35">
      <c r="B776" s="24">
        <v>43679</v>
      </c>
      <c r="C776" s="25">
        <v>1.19</v>
      </c>
    </row>
    <row r="777" spans="2:3" x14ac:dyDescent="0.35">
      <c r="B777" s="24">
        <v>43682</v>
      </c>
      <c r="C777" s="25">
        <v>1.24</v>
      </c>
    </row>
    <row r="778" spans="2:3" x14ac:dyDescent="0.35">
      <c r="B778" s="24">
        <v>43683</v>
      </c>
      <c r="C778" s="25">
        <v>1.25</v>
      </c>
    </row>
    <row r="779" spans="2:3" x14ac:dyDescent="0.35">
      <c r="B779" s="24">
        <v>43684</v>
      </c>
      <c r="C779" s="25">
        <v>1.27</v>
      </c>
    </row>
    <row r="780" spans="2:3" x14ac:dyDescent="0.35">
      <c r="B780" s="24">
        <v>43685</v>
      </c>
      <c r="C780" s="25">
        <v>1.26</v>
      </c>
    </row>
    <row r="781" spans="2:3" x14ac:dyDescent="0.35">
      <c r="B781" s="24">
        <v>43686</v>
      </c>
      <c r="C781" s="25">
        <v>1.26</v>
      </c>
    </row>
    <row r="782" spans="2:3" x14ac:dyDescent="0.35">
      <c r="B782" s="24">
        <v>43689</v>
      </c>
      <c r="C782" s="25">
        <v>1.27</v>
      </c>
    </row>
    <row r="783" spans="2:3" x14ac:dyDescent="0.35">
      <c r="B783" s="24">
        <v>43690</v>
      </c>
      <c r="C783" s="25">
        <v>1.26</v>
      </c>
    </row>
    <row r="784" spans="2:3" x14ac:dyDescent="0.35">
      <c r="B784" s="24">
        <v>43691</v>
      </c>
      <c r="C784" s="25">
        <v>1.29</v>
      </c>
    </row>
    <row r="785" spans="2:3" x14ac:dyDescent="0.35">
      <c r="B785" s="24">
        <v>43692</v>
      </c>
      <c r="C785" s="25">
        <v>1.31</v>
      </c>
    </row>
    <row r="786" spans="2:3" x14ac:dyDescent="0.35">
      <c r="B786" s="24">
        <v>43693</v>
      </c>
      <c r="C786" s="25">
        <v>1.31</v>
      </c>
    </row>
    <row r="787" spans="2:3" x14ac:dyDescent="0.35">
      <c r="B787" s="24">
        <v>43696</v>
      </c>
      <c r="C787" s="25">
        <v>1.29</v>
      </c>
    </row>
    <row r="788" spans="2:3" x14ac:dyDescent="0.35">
      <c r="B788" s="24">
        <v>43697</v>
      </c>
      <c r="C788" s="25">
        <v>1.28</v>
      </c>
    </row>
    <row r="789" spans="2:3" x14ac:dyDescent="0.35">
      <c r="B789" s="24">
        <v>43698</v>
      </c>
      <c r="C789" s="25">
        <v>1.26</v>
      </c>
    </row>
    <row r="790" spans="2:3" x14ac:dyDescent="0.35">
      <c r="B790" s="24">
        <v>43699</v>
      </c>
      <c r="C790" s="25">
        <v>1.25</v>
      </c>
    </row>
    <row r="791" spans="2:3" x14ac:dyDescent="0.35">
      <c r="B791" s="24">
        <v>43700</v>
      </c>
      <c r="C791" s="25">
        <v>1.25</v>
      </c>
    </row>
    <row r="792" spans="2:3" x14ac:dyDescent="0.35">
      <c r="B792" s="24">
        <v>43703</v>
      </c>
      <c r="C792" s="25">
        <v>1.25</v>
      </c>
    </row>
    <row r="793" spans="2:3" x14ac:dyDescent="0.35">
      <c r="B793" s="24">
        <v>43704</v>
      </c>
      <c r="C793" s="25">
        <v>1.25</v>
      </c>
    </row>
    <row r="794" spans="2:3" x14ac:dyDescent="0.35">
      <c r="B794" s="24">
        <v>43705</v>
      </c>
      <c r="C794" s="25">
        <v>1.26</v>
      </c>
    </row>
    <row r="795" spans="2:3" x14ac:dyDescent="0.35">
      <c r="B795" s="24">
        <v>43706</v>
      </c>
      <c r="C795" s="25">
        <v>1.26</v>
      </c>
    </row>
    <row r="796" spans="2:3" x14ac:dyDescent="0.35">
      <c r="B796" s="24">
        <v>43707</v>
      </c>
      <c r="C796" s="25">
        <v>1.25</v>
      </c>
    </row>
    <row r="797" spans="2:3" x14ac:dyDescent="0.35">
      <c r="B797" s="24">
        <v>43708</v>
      </c>
      <c r="C797" s="25">
        <v>1.26</v>
      </c>
    </row>
    <row r="798" spans="2:3" x14ac:dyDescent="0.35">
      <c r="B798" s="24">
        <v>43710</v>
      </c>
      <c r="C798" s="25">
        <v>1.26</v>
      </c>
    </row>
    <row r="799" spans="2:3" x14ac:dyDescent="0.35">
      <c r="B799" s="24">
        <v>43711</v>
      </c>
      <c r="C799" s="25">
        <v>1.27</v>
      </c>
    </row>
    <row r="800" spans="2:3" x14ac:dyDescent="0.35">
      <c r="B800" s="24">
        <v>43712</v>
      </c>
      <c r="C800" s="25">
        <v>1.27</v>
      </c>
    </row>
    <row r="801" spans="2:3" x14ac:dyDescent="0.35">
      <c r="B801" s="24">
        <v>43713</v>
      </c>
      <c r="C801" s="25">
        <v>1.26</v>
      </c>
    </row>
    <row r="802" spans="2:3" x14ac:dyDescent="0.35">
      <c r="B802" s="24">
        <v>43714</v>
      </c>
      <c r="C802" s="25">
        <v>1.26</v>
      </c>
    </row>
    <row r="803" spans="2:3" x14ac:dyDescent="0.35">
      <c r="B803" s="24">
        <v>43717</v>
      </c>
      <c r="C803" s="25">
        <v>1.25</v>
      </c>
    </row>
    <row r="804" spans="2:3" x14ac:dyDescent="0.35">
      <c r="B804" s="24">
        <v>43718</v>
      </c>
      <c r="C804" s="25">
        <v>1.25</v>
      </c>
    </row>
    <row r="805" spans="2:3" x14ac:dyDescent="0.35">
      <c r="B805" s="24">
        <v>43719</v>
      </c>
      <c r="C805" s="25">
        <v>1.24</v>
      </c>
    </row>
    <row r="806" spans="2:3" x14ac:dyDescent="0.35">
      <c r="B806" s="24">
        <v>43720</v>
      </c>
      <c r="C806" s="25">
        <v>1.22</v>
      </c>
    </row>
    <row r="807" spans="2:3" x14ac:dyDescent="0.35">
      <c r="B807" s="24">
        <v>43721</v>
      </c>
      <c r="C807" s="25">
        <v>1.21</v>
      </c>
    </row>
    <row r="808" spans="2:3" x14ac:dyDescent="0.35">
      <c r="B808" s="24">
        <v>43724</v>
      </c>
      <c r="C808" s="25">
        <v>1.21</v>
      </c>
    </row>
    <row r="809" spans="2:3" x14ac:dyDescent="0.35">
      <c r="B809" s="24">
        <v>43725</v>
      </c>
      <c r="C809" s="25">
        <v>1.21</v>
      </c>
    </row>
    <row r="810" spans="2:3" x14ac:dyDescent="0.35">
      <c r="B810" s="24">
        <v>43726</v>
      </c>
      <c r="C810" s="25">
        <v>1.2</v>
      </c>
    </row>
    <row r="811" spans="2:3" x14ac:dyDescent="0.35">
      <c r="B811" s="24">
        <v>43727</v>
      </c>
      <c r="C811" s="25">
        <v>1.19</v>
      </c>
    </row>
    <row r="812" spans="2:3" x14ac:dyDescent="0.35">
      <c r="B812" s="24">
        <v>43728</v>
      </c>
      <c r="C812" s="25">
        <v>1.19</v>
      </c>
    </row>
    <row r="813" spans="2:3" x14ac:dyDescent="0.35">
      <c r="B813" s="24">
        <v>43731</v>
      </c>
      <c r="C813" s="25">
        <v>1.19</v>
      </c>
    </row>
    <row r="814" spans="2:3" x14ac:dyDescent="0.35">
      <c r="B814" s="24">
        <v>43732</v>
      </c>
      <c r="C814" s="25">
        <v>1.2</v>
      </c>
    </row>
    <row r="815" spans="2:3" x14ac:dyDescent="0.35">
      <c r="B815" s="24">
        <v>43733</v>
      </c>
      <c r="C815" s="25">
        <v>1.2</v>
      </c>
    </row>
    <row r="816" spans="2:3" x14ac:dyDescent="0.35">
      <c r="B816" s="24">
        <v>43734</v>
      </c>
      <c r="C816" s="25">
        <v>1.2</v>
      </c>
    </row>
    <row r="817" spans="2:3" x14ac:dyDescent="0.35">
      <c r="B817" s="24">
        <v>43735</v>
      </c>
      <c r="C817" s="25">
        <v>1.21</v>
      </c>
    </row>
    <row r="818" spans="2:3" x14ac:dyDescent="0.35">
      <c r="B818" s="24">
        <v>43738</v>
      </c>
      <c r="C818" s="25">
        <v>1.22</v>
      </c>
    </row>
    <row r="819" spans="2:3" x14ac:dyDescent="0.35">
      <c r="B819" s="24">
        <v>43739</v>
      </c>
      <c r="C819" s="25">
        <v>1.22</v>
      </c>
    </row>
    <row r="820" spans="2:3" x14ac:dyDescent="0.35">
      <c r="B820" s="24">
        <v>43740</v>
      </c>
      <c r="C820" s="25">
        <v>1.25</v>
      </c>
    </row>
    <row r="821" spans="2:3" x14ac:dyDescent="0.35">
      <c r="B821" s="24">
        <v>43741</v>
      </c>
      <c r="C821" s="25">
        <v>1.26</v>
      </c>
    </row>
    <row r="822" spans="2:3" x14ac:dyDescent="0.35">
      <c r="B822" s="24">
        <v>43742</v>
      </c>
      <c r="C822" s="25">
        <v>1.26</v>
      </c>
    </row>
    <row r="823" spans="2:3" x14ac:dyDescent="0.35">
      <c r="B823" s="24">
        <v>43745</v>
      </c>
      <c r="C823" s="25">
        <v>1.25</v>
      </c>
    </row>
    <row r="824" spans="2:3" x14ac:dyDescent="0.35">
      <c r="B824" s="24">
        <v>43746</v>
      </c>
      <c r="C824" s="25">
        <v>1.26</v>
      </c>
    </row>
    <row r="825" spans="2:3" x14ac:dyDescent="0.35">
      <c r="B825" s="24">
        <v>43747</v>
      </c>
      <c r="C825" s="25">
        <v>1.25</v>
      </c>
    </row>
    <row r="826" spans="2:3" x14ac:dyDescent="0.35">
      <c r="B826" s="24">
        <v>43748</v>
      </c>
      <c r="C826" s="25">
        <v>1.25</v>
      </c>
    </row>
    <row r="827" spans="2:3" x14ac:dyDescent="0.35">
      <c r="B827" s="24">
        <v>43749</v>
      </c>
      <c r="C827" s="25">
        <v>1.22</v>
      </c>
    </row>
    <row r="828" spans="2:3" x14ac:dyDescent="0.35">
      <c r="B828" s="24">
        <v>43752</v>
      </c>
      <c r="C828" s="25">
        <v>1.22</v>
      </c>
    </row>
    <row r="829" spans="2:3" x14ac:dyDescent="0.35">
      <c r="B829" s="24">
        <v>43753</v>
      </c>
      <c r="C829" s="25">
        <v>1.2</v>
      </c>
    </row>
    <row r="830" spans="2:3" x14ac:dyDescent="0.35">
      <c r="B830" s="24">
        <v>43754</v>
      </c>
      <c r="C830" s="25">
        <v>1.2</v>
      </c>
    </row>
    <row r="831" spans="2:3" x14ac:dyDescent="0.35">
      <c r="B831" s="24">
        <v>43755</v>
      </c>
      <c r="C831" s="25">
        <v>1.19</v>
      </c>
    </row>
    <row r="832" spans="2:3" x14ac:dyDescent="0.35">
      <c r="B832" s="24">
        <v>43756</v>
      </c>
      <c r="C832" s="25">
        <v>1.18</v>
      </c>
    </row>
    <row r="833" spans="2:3" x14ac:dyDescent="0.35">
      <c r="B833" s="24">
        <v>43759</v>
      </c>
      <c r="C833" s="25">
        <v>1.17</v>
      </c>
    </row>
    <row r="834" spans="2:3" x14ac:dyDescent="0.35">
      <c r="B834" s="24">
        <v>43760</v>
      </c>
      <c r="C834" s="25">
        <v>1.1599999999999999</v>
      </c>
    </row>
    <row r="835" spans="2:3" x14ac:dyDescent="0.35">
      <c r="B835" s="24">
        <v>43761</v>
      </c>
      <c r="C835" s="25">
        <v>1.17</v>
      </c>
    </row>
    <row r="836" spans="2:3" x14ac:dyDescent="0.35">
      <c r="B836" s="24">
        <v>43762</v>
      </c>
      <c r="C836" s="25">
        <v>1.1599999999999999</v>
      </c>
    </row>
    <row r="837" spans="2:3" x14ac:dyDescent="0.35">
      <c r="B837" s="24">
        <v>43763</v>
      </c>
      <c r="C837" s="25">
        <v>1.1399999999999999</v>
      </c>
    </row>
    <row r="838" spans="2:3" x14ac:dyDescent="0.35">
      <c r="B838" s="24">
        <v>43766</v>
      </c>
      <c r="C838" s="25">
        <v>1.1299999999999999</v>
      </c>
    </row>
    <row r="839" spans="2:3" x14ac:dyDescent="0.35">
      <c r="B839" s="24">
        <v>43767</v>
      </c>
      <c r="C839" s="25">
        <v>1.1299999999999999</v>
      </c>
    </row>
    <row r="840" spans="2:3" x14ac:dyDescent="0.35">
      <c r="B840" s="24">
        <v>43768</v>
      </c>
      <c r="C840" s="25">
        <v>1.1399999999999999</v>
      </c>
    </row>
    <row r="841" spans="2:3" x14ac:dyDescent="0.35">
      <c r="B841" s="24">
        <v>43769</v>
      </c>
      <c r="C841" s="25">
        <v>1.17</v>
      </c>
    </row>
    <row r="842" spans="2:3" x14ac:dyDescent="0.35">
      <c r="B842" s="24">
        <v>43770</v>
      </c>
      <c r="C842" s="25">
        <v>1.1599999999999999</v>
      </c>
    </row>
    <row r="843" spans="2:3" x14ac:dyDescent="0.35">
      <c r="B843" s="24">
        <v>43773</v>
      </c>
      <c r="C843" s="25">
        <v>1.1499999999999999</v>
      </c>
    </row>
    <row r="844" spans="2:3" x14ac:dyDescent="0.35">
      <c r="B844" s="24">
        <v>43774</v>
      </c>
      <c r="C844" s="25">
        <v>1.1299999999999999</v>
      </c>
    </row>
    <row r="845" spans="2:3" x14ac:dyDescent="0.35">
      <c r="B845" s="24">
        <v>43775</v>
      </c>
      <c r="C845" s="25">
        <v>1.1299999999999999</v>
      </c>
    </row>
    <row r="846" spans="2:3" x14ac:dyDescent="0.35">
      <c r="B846" s="24">
        <v>43776</v>
      </c>
      <c r="C846" s="25">
        <v>1.1100000000000001</v>
      </c>
    </row>
    <row r="847" spans="2:3" x14ac:dyDescent="0.35">
      <c r="B847" s="24">
        <v>43777</v>
      </c>
      <c r="C847" s="25">
        <v>1.1100000000000001</v>
      </c>
    </row>
    <row r="848" spans="2:3" x14ac:dyDescent="0.35">
      <c r="B848" s="24">
        <v>43780</v>
      </c>
      <c r="C848" s="25">
        <v>1.1100000000000001</v>
      </c>
    </row>
    <row r="849" spans="2:3" x14ac:dyDescent="0.35">
      <c r="B849" s="24">
        <v>43781</v>
      </c>
      <c r="C849" s="25">
        <v>1.1100000000000001</v>
      </c>
    </row>
    <row r="850" spans="2:3" x14ac:dyDescent="0.35">
      <c r="B850" s="24">
        <v>43782</v>
      </c>
      <c r="C850" s="25">
        <v>1.1200000000000001</v>
      </c>
    </row>
    <row r="851" spans="2:3" x14ac:dyDescent="0.35">
      <c r="B851" s="24">
        <v>43783</v>
      </c>
      <c r="C851" s="25">
        <v>1.1299999999999999</v>
      </c>
    </row>
    <row r="852" spans="2:3" x14ac:dyDescent="0.35">
      <c r="B852" s="24">
        <v>43784</v>
      </c>
      <c r="C852" s="25">
        <v>1.1200000000000001</v>
      </c>
    </row>
    <row r="853" spans="2:3" x14ac:dyDescent="0.35">
      <c r="B853" s="24">
        <v>43787</v>
      </c>
      <c r="C853" s="25">
        <v>1.1200000000000001</v>
      </c>
    </row>
    <row r="854" spans="2:3" x14ac:dyDescent="0.35">
      <c r="B854" s="24">
        <v>43788</v>
      </c>
      <c r="C854" s="25">
        <v>1.1200000000000001</v>
      </c>
    </row>
    <row r="855" spans="2:3" x14ac:dyDescent="0.35">
      <c r="B855" s="24">
        <v>43789</v>
      </c>
      <c r="C855" s="25">
        <v>1.1299999999999999</v>
      </c>
    </row>
    <row r="856" spans="2:3" x14ac:dyDescent="0.35">
      <c r="B856" s="24">
        <v>43790</v>
      </c>
      <c r="C856" s="25">
        <v>1.1399999999999999</v>
      </c>
    </row>
    <row r="857" spans="2:3" x14ac:dyDescent="0.35">
      <c r="B857" s="24">
        <v>43791</v>
      </c>
      <c r="C857" s="25">
        <v>1.1299999999999999</v>
      </c>
    </row>
    <row r="858" spans="2:3" x14ac:dyDescent="0.35">
      <c r="B858" s="24">
        <v>43794</v>
      </c>
      <c r="C858" s="25">
        <v>1.1200000000000001</v>
      </c>
    </row>
    <row r="859" spans="2:3" x14ac:dyDescent="0.35">
      <c r="B859" s="24">
        <v>43795</v>
      </c>
      <c r="C859" s="25">
        <v>1.1200000000000001</v>
      </c>
    </row>
    <row r="860" spans="2:3" x14ac:dyDescent="0.35">
      <c r="B860" s="24">
        <v>43796</v>
      </c>
      <c r="C860" s="25">
        <v>1.1100000000000001</v>
      </c>
    </row>
    <row r="861" spans="2:3" x14ac:dyDescent="0.35">
      <c r="B861" s="24">
        <v>43797</v>
      </c>
      <c r="C861" s="26" t="e">
        <f>NA()</f>
        <v>#N/A</v>
      </c>
    </row>
    <row r="862" spans="2:3" x14ac:dyDescent="0.35">
      <c r="B862" s="24">
        <v>43798</v>
      </c>
      <c r="C862" s="25">
        <v>1.1100000000000001</v>
      </c>
    </row>
    <row r="863" spans="2:3" x14ac:dyDescent="0.35">
      <c r="B863" s="24">
        <v>43799</v>
      </c>
      <c r="C863" s="25">
        <v>1.1100000000000001</v>
      </c>
    </row>
    <row r="864" spans="2:3" x14ac:dyDescent="0.35">
      <c r="B864" s="24">
        <v>43801</v>
      </c>
      <c r="C864" s="25">
        <v>1.1100000000000001</v>
      </c>
    </row>
    <row r="865" spans="2:3" x14ac:dyDescent="0.35">
      <c r="B865" s="24">
        <v>43802</v>
      </c>
      <c r="C865" s="25">
        <v>1.1299999999999999</v>
      </c>
    </row>
    <row r="866" spans="2:3" x14ac:dyDescent="0.35">
      <c r="B866" s="24">
        <v>43803</v>
      </c>
      <c r="C866" s="25">
        <v>1.1100000000000001</v>
      </c>
    </row>
    <row r="867" spans="2:3" x14ac:dyDescent="0.35">
      <c r="B867" s="24">
        <v>43804</v>
      </c>
      <c r="C867" s="25">
        <v>1.1000000000000001</v>
      </c>
    </row>
    <row r="868" spans="2:3" x14ac:dyDescent="0.35">
      <c r="B868" s="24">
        <v>43805</v>
      </c>
      <c r="C868" s="25">
        <v>1.0900000000000001</v>
      </c>
    </row>
    <row r="869" spans="2:3" x14ac:dyDescent="0.35">
      <c r="B869" s="24">
        <v>43808</v>
      </c>
      <c r="C869" s="25">
        <v>1.08</v>
      </c>
    </row>
    <row r="870" spans="2:3" x14ac:dyDescent="0.35">
      <c r="B870" s="24">
        <v>43809</v>
      </c>
      <c r="C870" s="25">
        <v>1.07</v>
      </c>
    </row>
    <row r="871" spans="2:3" x14ac:dyDescent="0.35">
      <c r="B871" s="24">
        <v>43810</v>
      </c>
      <c r="C871" s="25">
        <v>1.07</v>
      </c>
    </row>
    <row r="872" spans="2:3" x14ac:dyDescent="0.35">
      <c r="B872" s="24">
        <v>43811</v>
      </c>
      <c r="C872" s="25">
        <v>1.06</v>
      </c>
    </row>
    <row r="873" spans="2:3" x14ac:dyDescent="0.35">
      <c r="B873" s="24">
        <v>43812</v>
      </c>
      <c r="C873" s="25">
        <v>1.05</v>
      </c>
    </row>
    <row r="874" spans="2:3" x14ac:dyDescent="0.35">
      <c r="B874" s="24">
        <v>43815</v>
      </c>
      <c r="C874" s="25">
        <v>1.04</v>
      </c>
    </row>
    <row r="875" spans="2:3" x14ac:dyDescent="0.35">
      <c r="B875" s="24">
        <v>43816</v>
      </c>
      <c r="C875" s="25">
        <v>1.03</v>
      </c>
    </row>
    <row r="876" spans="2:3" x14ac:dyDescent="0.35">
      <c r="B876" s="24">
        <v>43817</v>
      </c>
      <c r="C876" s="25">
        <v>1.02</v>
      </c>
    </row>
    <row r="877" spans="2:3" x14ac:dyDescent="0.35">
      <c r="B877" s="24">
        <v>43818</v>
      </c>
      <c r="C877" s="25">
        <v>1.01</v>
      </c>
    </row>
    <row r="878" spans="2:3" x14ac:dyDescent="0.35">
      <c r="B878" s="24">
        <v>43819</v>
      </c>
      <c r="C878" s="25">
        <v>1.01</v>
      </c>
    </row>
    <row r="879" spans="2:3" x14ac:dyDescent="0.35">
      <c r="B879" s="24">
        <v>43822</v>
      </c>
      <c r="C879" s="25">
        <v>1.01</v>
      </c>
    </row>
    <row r="880" spans="2:3" x14ac:dyDescent="0.35">
      <c r="B880" s="24">
        <v>43823</v>
      </c>
      <c r="C880" s="25">
        <v>1</v>
      </c>
    </row>
    <row r="881" spans="2:3" x14ac:dyDescent="0.35">
      <c r="B881" s="24">
        <v>43824</v>
      </c>
      <c r="C881" s="26" t="e">
        <f>NA()</f>
        <v>#N/A</v>
      </c>
    </row>
    <row r="882" spans="2:3" x14ac:dyDescent="0.35">
      <c r="B882" s="24">
        <v>43825</v>
      </c>
      <c r="C882" s="25">
        <v>1</v>
      </c>
    </row>
    <row r="883" spans="2:3" x14ac:dyDescent="0.35">
      <c r="B883" s="24">
        <v>43826</v>
      </c>
      <c r="C883" s="25">
        <v>1</v>
      </c>
    </row>
    <row r="884" spans="2:3" x14ac:dyDescent="0.35">
      <c r="B884" s="24">
        <v>43829</v>
      </c>
      <c r="C884" s="25">
        <v>1</v>
      </c>
    </row>
    <row r="885" spans="2:3" x14ac:dyDescent="0.35">
      <c r="B885" s="24">
        <v>43830</v>
      </c>
      <c r="C885" s="25">
        <v>1.01</v>
      </c>
    </row>
    <row r="886" spans="2:3" x14ac:dyDescent="0.35">
      <c r="B886" s="24">
        <v>43831</v>
      </c>
      <c r="C886" s="26" t="e">
        <f>NA()</f>
        <v>#N/A</v>
      </c>
    </row>
    <row r="887" spans="2:3" x14ac:dyDescent="0.35">
      <c r="B887" s="24">
        <v>43832</v>
      </c>
      <c r="C887" s="25">
        <v>1.01</v>
      </c>
    </row>
    <row r="888" spans="2:3" x14ac:dyDescent="0.35">
      <c r="B888" s="24">
        <v>43833</v>
      </c>
      <c r="C888" s="25">
        <v>1.03</v>
      </c>
    </row>
    <row r="889" spans="2:3" x14ac:dyDescent="0.35">
      <c r="B889" s="24">
        <v>43836</v>
      </c>
      <c r="C889" s="25">
        <v>1.03</v>
      </c>
    </row>
    <row r="890" spans="2:3" x14ac:dyDescent="0.35">
      <c r="B890" s="24">
        <v>43837</v>
      </c>
      <c r="C890" s="25">
        <v>1.04</v>
      </c>
    </row>
    <row r="891" spans="2:3" x14ac:dyDescent="0.35">
      <c r="B891" s="24">
        <v>43838</v>
      </c>
      <c r="C891" s="25">
        <v>1.03</v>
      </c>
    </row>
    <row r="892" spans="2:3" x14ac:dyDescent="0.35">
      <c r="B892" s="24">
        <v>43839</v>
      </c>
      <c r="C892" s="25">
        <v>1.02</v>
      </c>
    </row>
    <row r="893" spans="2:3" x14ac:dyDescent="0.35">
      <c r="B893" s="24">
        <v>43840</v>
      </c>
      <c r="C893" s="25">
        <v>1.01</v>
      </c>
    </row>
    <row r="894" spans="2:3" x14ac:dyDescent="0.35">
      <c r="B894" s="24">
        <v>43843</v>
      </c>
      <c r="C894" s="25">
        <v>1.01</v>
      </c>
    </row>
    <row r="895" spans="2:3" x14ac:dyDescent="0.35">
      <c r="B895" s="24">
        <v>43844</v>
      </c>
      <c r="C895" s="25">
        <v>1.02</v>
      </c>
    </row>
    <row r="896" spans="2:3" x14ac:dyDescent="0.35">
      <c r="B896" s="24">
        <v>43845</v>
      </c>
      <c r="C896" s="25">
        <v>1.02</v>
      </c>
    </row>
    <row r="897" spans="2:3" x14ac:dyDescent="0.35">
      <c r="B897" s="24">
        <v>43846</v>
      </c>
      <c r="C897" s="25">
        <v>1.01</v>
      </c>
    </row>
    <row r="898" spans="2:3" x14ac:dyDescent="0.35">
      <c r="B898" s="24">
        <v>43847</v>
      </c>
      <c r="C898" s="25">
        <v>0.99</v>
      </c>
    </row>
    <row r="899" spans="2:3" x14ac:dyDescent="0.35">
      <c r="B899" s="24">
        <v>43850</v>
      </c>
      <c r="C899" s="25">
        <v>0.99</v>
      </c>
    </row>
    <row r="900" spans="2:3" x14ac:dyDescent="0.35">
      <c r="B900" s="24">
        <v>43851</v>
      </c>
      <c r="C900" s="25">
        <v>0.99</v>
      </c>
    </row>
    <row r="901" spans="2:3" x14ac:dyDescent="0.35">
      <c r="B901" s="24">
        <v>43852</v>
      </c>
      <c r="C901" s="25">
        <v>0.99</v>
      </c>
    </row>
    <row r="902" spans="2:3" x14ac:dyDescent="0.35">
      <c r="B902" s="24">
        <v>43853</v>
      </c>
      <c r="C902" s="25">
        <v>1</v>
      </c>
    </row>
    <row r="903" spans="2:3" x14ac:dyDescent="0.35">
      <c r="B903" s="24">
        <v>43854</v>
      </c>
      <c r="C903" s="25">
        <v>1.01</v>
      </c>
    </row>
    <row r="904" spans="2:3" x14ac:dyDescent="0.35">
      <c r="B904" s="24">
        <v>43857</v>
      </c>
      <c r="C904" s="25">
        <v>1.04</v>
      </c>
    </row>
    <row r="905" spans="2:3" x14ac:dyDescent="0.35">
      <c r="B905" s="24">
        <v>43858</v>
      </c>
      <c r="C905" s="25">
        <v>1.04</v>
      </c>
    </row>
    <row r="906" spans="2:3" x14ac:dyDescent="0.35">
      <c r="B906" s="24">
        <v>43859</v>
      </c>
      <c r="C906" s="25">
        <v>1.04</v>
      </c>
    </row>
    <row r="907" spans="2:3" x14ac:dyDescent="0.35">
      <c r="B907" s="24">
        <v>43860</v>
      </c>
      <c r="C907" s="25">
        <v>1.06</v>
      </c>
    </row>
    <row r="908" spans="2:3" x14ac:dyDescent="0.35">
      <c r="B908" s="24">
        <v>43861</v>
      </c>
      <c r="C908" s="25">
        <v>1.0900000000000001</v>
      </c>
    </row>
    <row r="909" spans="2:3" x14ac:dyDescent="0.35">
      <c r="B909" s="24">
        <v>43864</v>
      </c>
      <c r="C909" s="25">
        <v>1.08</v>
      </c>
    </row>
    <row r="910" spans="2:3" x14ac:dyDescent="0.35">
      <c r="B910" s="24">
        <v>43865</v>
      </c>
      <c r="C910" s="25">
        <v>1.06</v>
      </c>
    </row>
    <row r="911" spans="2:3" x14ac:dyDescent="0.35">
      <c r="B911" s="24">
        <v>43866</v>
      </c>
      <c r="C911" s="25">
        <v>1.05</v>
      </c>
    </row>
    <row r="912" spans="2:3" x14ac:dyDescent="0.35">
      <c r="B912" s="24">
        <v>43867</v>
      </c>
      <c r="C912" s="25">
        <v>1.03</v>
      </c>
    </row>
    <row r="913" spans="2:3" x14ac:dyDescent="0.35">
      <c r="B913" s="24">
        <v>43868</v>
      </c>
      <c r="C913" s="25">
        <v>1.04</v>
      </c>
    </row>
    <row r="914" spans="2:3" x14ac:dyDescent="0.35">
      <c r="B914" s="24">
        <v>43871</v>
      </c>
      <c r="C914" s="25">
        <v>1.04</v>
      </c>
    </row>
    <row r="915" spans="2:3" x14ac:dyDescent="0.35">
      <c r="B915" s="24">
        <v>43872</v>
      </c>
      <c r="C915" s="25">
        <v>1.04</v>
      </c>
    </row>
    <row r="916" spans="2:3" x14ac:dyDescent="0.35">
      <c r="B916" s="24">
        <v>43873</v>
      </c>
      <c r="C916" s="25">
        <v>1.02</v>
      </c>
    </row>
    <row r="917" spans="2:3" x14ac:dyDescent="0.35">
      <c r="B917" s="24">
        <v>43874</v>
      </c>
      <c r="C917" s="25">
        <v>1.02</v>
      </c>
    </row>
    <row r="918" spans="2:3" x14ac:dyDescent="0.35">
      <c r="B918" s="24">
        <v>43875</v>
      </c>
      <c r="C918" s="25">
        <v>1.02</v>
      </c>
    </row>
    <row r="919" spans="2:3" x14ac:dyDescent="0.35">
      <c r="B919" s="24">
        <v>43878</v>
      </c>
      <c r="C919" s="25">
        <v>1.02</v>
      </c>
    </row>
    <row r="920" spans="2:3" x14ac:dyDescent="0.35">
      <c r="B920" s="24">
        <v>43879</v>
      </c>
      <c r="C920" s="25">
        <v>1.02</v>
      </c>
    </row>
    <row r="921" spans="2:3" x14ac:dyDescent="0.35">
      <c r="B921" s="24">
        <v>43880</v>
      </c>
      <c r="C921" s="25">
        <v>1.02</v>
      </c>
    </row>
    <row r="922" spans="2:3" x14ac:dyDescent="0.35">
      <c r="B922" s="24">
        <v>43881</v>
      </c>
      <c r="C922" s="25">
        <v>1.04</v>
      </c>
    </row>
    <row r="923" spans="2:3" x14ac:dyDescent="0.35">
      <c r="B923" s="24">
        <v>43882</v>
      </c>
      <c r="C923" s="25">
        <v>1.05</v>
      </c>
    </row>
    <row r="924" spans="2:3" x14ac:dyDescent="0.35">
      <c r="B924" s="24">
        <v>43885</v>
      </c>
      <c r="C924" s="25">
        <v>1.1000000000000001</v>
      </c>
    </row>
    <row r="925" spans="2:3" x14ac:dyDescent="0.35">
      <c r="B925" s="24">
        <v>43886</v>
      </c>
      <c r="C925" s="25">
        <v>1.1299999999999999</v>
      </c>
    </row>
    <row r="926" spans="2:3" x14ac:dyDescent="0.35">
      <c r="B926" s="24">
        <v>43887</v>
      </c>
      <c r="C926" s="25">
        <v>1.1499999999999999</v>
      </c>
    </row>
    <row r="927" spans="2:3" x14ac:dyDescent="0.35">
      <c r="B927" s="24">
        <v>43888</v>
      </c>
      <c r="C927" s="25">
        <v>1.21</v>
      </c>
    </row>
    <row r="928" spans="2:3" x14ac:dyDescent="0.35">
      <c r="B928" s="24">
        <v>43889</v>
      </c>
      <c r="C928" s="25">
        <v>1.31</v>
      </c>
    </row>
    <row r="929" spans="2:3" x14ac:dyDescent="0.35">
      <c r="B929" s="24">
        <v>43890</v>
      </c>
      <c r="C929" s="25">
        <v>1.3</v>
      </c>
    </row>
    <row r="930" spans="2:3" x14ac:dyDescent="0.35">
      <c r="B930" s="24">
        <v>43892</v>
      </c>
      <c r="C930" s="25">
        <v>1.33</v>
      </c>
    </row>
    <row r="931" spans="2:3" x14ac:dyDescent="0.35">
      <c r="B931" s="24">
        <v>43893</v>
      </c>
      <c r="C931" s="25">
        <v>1.32</v>
      </c>
    </row>
    <row r="932" spans="2:3" x14ac:dyDescent="0.35">
      <c r="B932" s="24">
        <v>43894</v>
      </c>
      <c r="C932" s="25">
        <v>1.32</v>
      </c>
    </row>
    <row r="933" spans="2:3" x14ac:dyDescent="0.35">
      <c r="B933" s="24">
        <v>43895</v>
      </c>
      <c r="C933" s="25">
        <v>1.35</v>
      </c>
    </row>
    <row r="934" spans="2:3" x14ac:dyDescent="0.35">
      <c r="B934" s="24">
        <v>43896</v>
      </c>
      <c r="C934" s="25">
        <v>1.49</v>
      </c>
    </row>
    <row r="935" spans="2:3" x14ac:dyDescent="0.35">
      <c r="B935" s="24">
        <v>43899</v>
      </c>
      <c r="C935" s="25">
        <v>1.88</v>
      </c>
    </row>
    <row r="936" spans="2:3" x14ac:dyDescent="0.35">
      <c r="B936" s="24">
        <v>43900</v>
      </c>
      <c r="C936" s="25">
        <v>1.87</v>
      </c>
    </row>
    <row r="937" spans="2:3" x14ac:dyDescent="0.35">
      <c r="B937" s="24">
        <v>43901</v>
      </c>
      <c r="C937" s="25">
        <v>1.96</v>
      </c>
    </row>
    <row r="938" spans="2:3" x14ac:dyDescent="0.35">
      <c r="B938" s="24">
        <v>43902</v>
      </c>
      <c r="C938" s="25">
        <v>2.2200000000000002</v>
      </c>
    </row>
    <row r="939" spans="2:3" x14ac:dyDescent="0.35">
      <c r="B939" s="24">
        <v>43903</v>
      </c>
      <c r="C939" s="25">
        <v>2.29</v>
      </c>
    </row>
    <row r="940" spans="2:3" x14ac:dyDescent="0.35">
      <c r="B940" s="24">
        <v>43906</v>
      </c>
      <c r="C940" s="25">
        <v>2.5499999999999998</v>
      </c>
    </row>
    <row r="941" spans="2:3" x14ac:dyDescent="0.35">
      <c r="B941" s="24">
        <v>43907</v>
      </c>
      <c r="C941" s="25">
        <v>2.72</v>
      </c>
    </row>
    <row r="942" spans="2:3" x14ac:dyDescent="0.35">
      <c r="B942" s="24">
        <v>43908</v>
      </c>
      <c r="C942" s="25">
        <v>3.03</v>
      </c>
    </row>
    <row r="943" spans="2:3" x14ac:dyDescent="0.35">
      <c r="B943" s="24">
        <v>43909</v>
      </c>
      <c r="C943" s="25">
        <v>3.51</v>
      </c>
    </row>
    <row r="944" spans="2:3" x14ac:dyDescent="0.35">
      <c r="B944" s="24">
        <v>43910</v>
      </c>
      <c r="C944" s="25">
        <v>3.87</v>
      </c>
    </row>
    <row r="945" spans="2:3" x14ac:dyDescent="0.35">
      <c r="B945" s="24">
        <v>43913</v>
      </c>
      <c r="C945" s="25">
        <v>4.01</v>
      </c>
    </row>
    <row r="946" spans="2:3" x14ac:dyDescent="0.35">
      <c r="B946" s="24">
        <v>43914</v>
      </c>
      <c r="C946" s="25">
        <v>3.82</v>
      </c>
    </row>
    <row r="947" spans="2:3" x14ac:dyDescent="0.35">
      <c r="B947" s="24">
        <v>43915</v>
      </c>
      <c r="C947" s="25">
        <v>3.54</v>
      </c>
    </row>
    <row r="948" spans="2:3" x14ac:dyDescent="0.35">
      <c r="B948" s="24">
        <v>43916</v>
      </c>
      <c r="C948" s="25">
        <v>3.33</v>
      </c>
    </row>
    <row r="949" spans="2:3" x14ac:dyDescent="0.35">
      <c r="B949" s="24">
        <v>43917</v>
      </c>
      <c r="C949" s="25">
        <v>3.24</v>
      </c>
    </row>
    <row r="950" spans="2:3" x14ac:dyDescent="0.35">
      <c r="B950" s="24">
        <v>43920</v>
      </c>
      <c r="C950" s="25">
        <v>3.15</v>
      </c>
    </row>
    <row r="951" spans="2:3" x14ac:dyDescent="0.35">
      <c r="B951" s="24">
        <v>43921</v>
      </c>
      <c r="C951" s="25">
        <v>3.05</v>
      </c>
    </row>
    <row r="952" spans="2:3" x14ac:dyDescent="0.35">
      <c r="B952" s="24">
        <v>43922</v>
      </c>
      <c r="C952" s="25">
        <v>3.05</v>
      </c>
    </row>
    <row r="953" spans="2:3" x14ac:dyDescent="0.35">
      <c r="B953" s="24">
        <v>43923</v>
      </c>
      <c r="C953" s="25">
        <v>3.06</v>
      </c>
    </row>
    <row r="954" spans="2:3" x14ac:dyDescent="0.35">
      <c r="B954" s="24">
        <v>43924</v>
      </c>
      <c r="C954" s="25">
        <v>3.08</v>
      </c>
    </row>
    <row r="955" spans="2:3" x14ac:dyDescent="0.35">
      <c r="B955" s="24">
        <v>43927</v>
      </c>
      <c r="C955" s="25">
        <v>3.03</v>
      </c>
    </row>
    <row r="956" spans="2:3" x14ac:dyDescent="0.35">
      <c r="B956" s="24">
        <v>43928</v>
      </c>
      <c r="C956" s="25">
        <v>2.92</v>
      </c>
    </row>
    <row r="957" spans="2:3" x14ac:dyDescent="0.35">
      <c r="B957" s="24">
        <v>43929</v>
      </c>
      <c r="C957" s="25">
        <v>2.83</v>
      </c>
    </row>
    <row r="958" spans="2:3" x14ac:dyDescent="0.35">
      <c r="B958" s="24">
        <v>43930</v>
      </c>
      <c r="C958" s="25">
        <v>2.61</v>
      </c>
    </row>
    <row r="959" spans="2:3" x14ac:dyDescent="0.35">
      <c r="B959" s="24">
        <v>43931</v>
      </c>
      <c r="C959" s="26" t="e">
        <f>NA()</f>
        <v>#N/A</v>
      </c>
    </row>
    <row r="960" spans="2:3" x14ac:dyDescent="0.35">
      <c r="B960" s="24">
        <v>43934</v>
      </c>
      <c r="C960" s="25">
        <v>2.46</v>
      </c>
    </row>
    <row r="961" spans="2:3" x14ac:dyDescent="0.35">
      <c r="B961" s="24">
        <v>43935</v>
      </c>
      <c r="C961" s="25">
        <v>2.35</v>
      </c>
    </row>
    <row r="962" spans="2:3" x14ac:dyDescent="0.35">
      <c r="B962" s="24">
        <v>43936</v>
      </c>
      <c r="C962" s="25">
        <v>2.38</v>
      </c>
    </row>
    <row r="963" spans="2:3" x14ac:dyDescent="0.35">
      <c r="B963" s="24">
        <v>43937</v>
      </c>
      <c r="C963" s="25">
        <v>2.36</v>
      </c>
    </row>
    <row r="964" spans="2:3" x14ac:dyDescent="0.35">
      <c r="B964" s="24">
        <v>43938</v>
      </c>
      <c r="C964" s="25">
        <v>2.34</v>
      </c>
    </row>
    <row r="965" spans="2:3" x14ac:dyDescent="0.35">
      <c r="B965" s="24">
        <v>43941</v>
      </c>
      <c r="C965" s="25">
        <v>2.36</v>
      </c>
    </row>
    <row r="966" spans="2:3" x14ac:dyDescent="0.35">
      <c r="B966" s="24">
        <v>43942</v>
      </c>
      <c r="C966" s="25">
        <v>2.41</v>
      </c>
    </row>
    <row r="967" spans="2:3" x14ac:dyDescent="0.35">
      <c r="B967" s="24">
        <v>43943</v>
      </c>
      <c r="C967" s="25">
        <v>2.39</v>
      </c>
    </row>
    <row r="968" spans="2:3" x14ac:dyDescent="0.35">
      <c r="B968" s="24">
        <v>43944</v>
      </c>
      <c r="C968" s="25">
        <v>2.36</v>
      </c>
    </row>
    <row r="969" spans="2:3" x14ac:dyDescent="0.35">
      <c r="B969" s="24">
        <v>43945</v>
      </c>
      <c r="C969" s="25">
        <v>2.36</v>
      </c>
    </row>
    <row r="970" spans="2:3" x14ac:dyDescent="0.35">
      <c r="B970" s="24">
        <v>43948</v>
      </c>
      <c r="C970" s="25">
        <v>2.34</v>
      </c>
    </row>
    <row r="971" spans="2:3" x14ac:dyDescent="0.35">
      <c r="B971" s="24">
        <v>43949</v>
      </c>
      <c r="C971" s="25">
        <v>2.34</v>
      </c>
    </row>
    <row r="972" spans="2:3" x14ac:dyDescent="0.35">
      <c r="B972" s="24">
        <v>43950</v>
      </c>
      <c r="C972" s="25">
        <v>2.31</v>
      </c>
    </row>
    <row r="973" spans="2:3" x14ac:dyDescent="0.35">
      <c r="B973" s="24">
        <v>43951</v>
      </c>
      <c r="C973" s="25">
        <v>2.17</v>
      </c>
    </row>
    <row r="974" spans="2:3" x14ac:dyDescent="0.35">
      <c r="B974" s="24">
        <v>43952</v>
      </c>
      <c r="C974" s="25">
        <v>2.1800000000000002</v>
      </c>
    </row>
    <row r="975" spans="2:3" x14ac:dyDescent="0.35">
      <c r="B975" s="24">
        <v>43955</v>
      </c>
      <c r="C975" s="25">
        <v>2.2000000000000002</v>
      </c>
    </row>
    <row r="976" spans="2:3" x14ac:dyDescent="0.35">
      <c r="B976" s="24">
        <v>43956</v>
      </c>
      <c r="C976" s="25">
        <v>2.1800000000000002</v>
      </c>
    </row>
    <row r="977" spans="2:3" x14ac:dyDescent="0.35">
      <c r="B977" s="24">
        <v>43957</v>
      </c>
      <c r="C977" s="25">
        <v>2.1800000000000002</v>
      </c>
    </row>
    <row r="978" spans="2:3" x14ac:dyDescent="0.35">
      <c r="B978" s="24">
        <v>43958</v>
      </c>
      <c r="C978" s="25">
        <v>2.21</v>
      </c>
    </row>
    <row r="979" spans="2:3" x14ac:dyDescent="0.35">
      <c r="B979" s="24">
        <v>43959</v>
      </c>
      <c r="C979" s="25">
        <v>2.2200000000000002</v>
      </c>
    </row>
    <row r="980" spans="2:3" x14ac:dyDescent="0.35">
      <c r="B980" s="24">
        <v>43962</v>
      </c>
      <c r="C980" s="25">
        <v>2.23</v>
      </c>
    </row>
    <row r="981" spans="2:3" x14ac:dyDescent="0.35">
      <c r="B981" s="24">
        <v>43963</v>
      </c>
      <c r="C981" s="25">
        <v>2.2200000000000002</v>
      </c>
    </row>
    <row r="982" spans="2:3" x14ac:dyDescent="0.35">
      <c r="B982" s="24">
        <v>43964</v>
      </c>
      <c r="C982" s="25">
        <v>2.21</v>
      </c>
    </row>
    <row r="983" spans="2:3" x14ac:dyDescent="0.35">
      <c r="B983" s="24">
        <v>43965</v>
      </c>
      <c r="C983" s="25">
        <v>2.21</v>
      </c>
    </row>
    <row r="984" spans="2:3" x14ac:dyDescent="0.35">
      <c r="B984" s="24">
        <v>43966</v>
      </c>
      <c r="C984" s="25">
        <v>2.2000000000000002</v>
      </c>
    </row>
    <row r="985" spans="2:3" x14ac:dyDescent="0.35">
      <c r="B985" s="24">
        <v>43969</v>
      </c>
      <c r="C985" s="25">
        <v>2.12</v>
      </c>
    </row>
    <row r="986" spans="2:3" x14ac:dyDescent="0.35">
      <c r="B986" s="24">
        <v>43970</v>
      </c>
      <c r="C986" s="25">
        <v>2.06</v>
      </c>
    </row>
    <row r="987" spans="2:3" x14ac:dyDescent="0.35">
      <c r="B987" s="24">
        <v>43971</v>
      </c>
      <c r="C987" s="25">
        <v>2.0099999999999998</v>
      </c>
    </row>
    <row r="988" spans="2:3" x14ac:dyDescent="0.35">
      <c r="B988" s="24">
        <v>43972</v>
      </c>
      <c r="C988" s="25">
        <v>1.98</v>
      </c>
    </row>
    <row r="989" spans="2:3" x14ac:dyDescent="0.35">
      <c r="B989" s="24">
        <v>43973</v>
      </c>
      <c r="C989" s="25">
        <v>1.97</v>
      </c>
    </row>
    <row r="990" spans="2:3" x14ac:dyDescent="0.35">
      <c r="B990" s="24">
        <v>43976</v>
      </c>
      <c r="C990" s="25">
        <v>1.96</v>
      </c>
    </row>
    <row r="991" spans="2:3" x14ac:dyDescent="0.35">
      <c r="B991" s="24">
        <v>43977</v>
      </c>
      <c r="C991" s="25">
        <v>1.92</v>
      </c>
    </row>
    <row r="992" spans="2:3" x14ac:dyDescent="0.35">
      <c r="B992" s="24">
        <v>43978</v>
      </c>
      <c r="C992" s="25">
        <v>1.9</v>
      </c>
    </row>
    <row r="993" spans="2:3" x14ac:dyDescent="0.35">
      <c r="B993" s="24">
        <v>43979</v>
      </c>
      <c r="C993" s="25">
        <v>1.87</v>
      </c>
    </row>
    <row r="994" spans="2:3" x14ac:dyDescent="0.35">
      <c r="B994" s="24">
        <v>43980</v>
      </c>
      <c r="C994" s="25">
        <v>1.85</v>
      </c>
    </row>
    <row r="995" spans="2:3" x14ac:dyDescent="0.35">
      <c r="B995" s="24">
        <v>43982</v>
      </c>
      <c r="C995" s="25">
        <v>1.87</v>
      </c>
    </row>
    <row r="996" spans="2:3" x14ac:dyDescent="0.35">
      <c r="B996" s="24">
        <v>43983</v>
      </c>
      <c r="C996" s="25">
        <v>1.85</v>
      </c>
    </row>
    <row r="997" spans="2:3" x14ac:dyDescent="0.35">
      <c r="B997" s="24">
        <v>43984</v>
      </c>
      <c r="C997" s="25">
        <v>1.81</v>
      </c>
    </row>
    <row r="998" spans="2:3" x14ac:dyDescent="0.35">
      <c r="B998" s="24">
        <v>43985</v>
      </c>
      <c r="C998" s="25">
        <v>1.74</v>
      </c>
    </row>
    <row r="999" spans="2:3" x14ac:dyDescent="0.35">
      <c r="B999" s="24">
        <v>43986</v>
      </c>
      <c r="C999" s="25">
        <v>1.7</v>
      </c>
    </row>
    <row r="1000" spans="2:3" x14ac:dyDescent="0.35">
      <c r="B1000" s="24">
        <v>43987</v>
      </c>
      <c r="C1000" s="25">
        <v>1.6</v>
      </c>
    </row>
    <row r="1001" spans="2:3" x14ac:dyDescent="0.35">
      <c r="B1001" s="24">
        <v>43990</v>
      </c>
      <c r="C1001" s="25">
        <v>1.56</v>
      </c>
    </row>
    <row r="1002" spans="2:3" x14ac:dyDescent="0.35">
      <c r="B1002" s="24">
        <v>43991</v>
      </c>
      <c r="C1002" s="25">
        <v>1.59</v>
      </c>
    </row>
    <row r="1003" spans="2:3" x14ac:dyDescent="0.35">
      <c r="B1003" s="24">
        <v>43992</v>
      </c>
      <c r="C1003" s="25">
        <v>1.61</v>
      </c>
    </row>
    <row r="1004" spans="2:3" x14ac:dyDescent="0.35">
      <c r="B1004" s="24">
        <v>43993</v>
      </c>
      <c r="C1004" s="25">
        <v>1.7</v>
      </c>
    </row>
    <row r="1005" spans="2:3" x14ac:dyDescent="0.35">
      <c r="B1005" s="24">
        <v>43994</v>
      </c>
      <c r="C1005" s="25">
        <v>1.69</v>
      </c>
    </row>
    <row r="1006" spans="2:3" x14ac:dyDescent="0.35">
      <c r="B1006" s="24">
        <v>43997</v>
      </c>
      <c r="C1006" s="25">
        <v>1.7</v>
      </c>
    </row>
    <row r="1007" spans="2:3" x14ac:dyDescent="0.35">
      <c r="B1007" s="24">
        <v>43998</v>
      </c>
      <c r="C1007" s="25">
        <v>1.58</v>
      </c>
    </row>
    <row r="1008" spans="2:3" x14ac:dyDescent="0.35">
      <c r="B1008" s="24">
        <v>43999</v>
      </c>
      <c r="C1008" s="25">
        <v>1.57</v>
      </c>
    </row>
    <row r="1009" spans="2:3" x14ac:dyDescent="0.35">
      <c r="B1009" s="24">
        <v>44000</v>
      </c>
      <c r="C1009" s="25">
        <v>1.58</v>
      </c>
    </row>
    <row r="1010" spans="2:3" x14ac:dyDescent="0.35">
      <c r="B1010" s="24">
        <v>44001</v>
      </c>
      <c r="C1010" s="25">
        <v>1.57</v>
      </c>
    </row>
    <row r="1011" spans="2:3" x14ac:dyDescent="0.35">
      <c r="B1011" s="24">
        <v>44004</v>
      </c>
      <c r="C1011" s="25">
        <v>1.57</v>
      </c>
    </row>
    <row r="1012" spans="2:3" x14ac:dyDescent="0.35">
      <c r="B1012" s="24">
        <v>44005</v>
      </c>
      <c r="C1012" s="25">
        <v>1.56</v>
      </c>
    </row>
    <row r="1013" spans="2:3" x14ac:dyDescent="0.35">
      <c r="B1013" s="24">
        <v>44006</v>
      </c>
      <c r="C1013" s="25">
        <v>1.6</v>
      </c>
    </row>
    <row r="1014" spans="2:3" x14ac:dyDescent="0.35">
      <c r="B1014" s="24">
        <v>44007</v>
      </c>
      <c r="C1014" s="25">
        <v>1.61</v>
      </c>
    </row>
    <row r="1015" spans="2:3" x14ac:dyDescent="0.35">
      <c r="B1015" s="24">
        <v>44008</v>
      </c>
      <c r="C1015" s="25">
        <v>1.62</v>
      </c>
    </row>
    <row r="1016" spans="2:3" x14ac:dyDescent="0.35">
      <c r="B1016" s="24">
        <v>44011</v>
      </c>
      <c r="C1016" s="25">
        <v>1.62</v>
      </c>
    </row>
    <row r="1017" spans="2:3" x14ac:dyDescent="0.35">
      <c r="B1017" s="24">
        <v>44012</v>
      </c>
      <c r="C1017" s="25">
        <v>1.6</v>
      </c>
    </row>
    <row r="1018" spans="2:3" x14ac:dyDescent="0.35">
      <c r="B1018" s="24">
        <v>44013</v>
      </c>
      <c r="C1018" s="25">
        <v>1.58</v>
      </c>
    </row>
    <row r="1019" spans="2:3" x14ac:dyDescent="0.35">
      <c r="B1019" s="24">
        <v>44014</v>
      </c>
      <c r="C1019" s="25">
        <v>1.54</v>
      </c>
    </row>
    <row r="1020" spans="2:3" x14ac:dyDescent="0.35">
      <c r="B1020" s="24">
        <v>44015</v>
      </c>
      <c r="C1020" s="25">
        <v>1.54</v>
      </c>
    </row>
    <row r="1021" spans="2:3" x14ac:dyDescent="0.35">
      <c r="B1021" s="24">
        <v>44018</v>
      </c>
      <c r="C1021" s="25">
        <v>1.51</v>
      </c>
    </row>
    <row r="1022" spans="2:3" x14ac:dyDescent="0.35">
      <c r="B1022" s="24">
        <v>44019</v>
      </c>
      <c r="C1022" s="25">
        <v>1.51</v>
      </c>
    </row>
    <row r="1023" spans="2:3" x14ac:dyDescent="0.35">
      <c r="B1023" s="24">
        <v>44020</v>
      </c>
      <c r="C1023" s="25">
        <v>1.51</v>
      </c>
    </row>
    <row r="1024" spans="2:3" x14ac:dyDescent="0.35">
      <c r="B1024" s="24">
        <v>44021</v>
      </c>
      <c r="C1024" s="25">
        <v>1.52</v>
      </c>
    </row>
    <row r="1025" spans="2:3" x14ac:dyDescent="0.35">
      <c r="B1025" s="24">
        <v>44022</v>
      </c>
      <c r="C1025" s="25">
        <v>1.52</v>
      </c>
    </row>
    <row r="1026" spans="2:3" x14ac:dyDescent="0.35">
      <c r="B1026" s="24">
        <v>44025</v>
      </c>
      <c r="C1026" s="25">
        <v>1.5</v>
      </c>
    </row>
    <row r="1027" spans="2:3" x14ac:dyDescent="0.35">
      <c r="B1027" s="24">
        <v>44026</v>
      </c>
      <c r="C1027" s="25">
        <v>1.5</v>
      </c>
    </row>
    <row r="1028" spans="2:3" x14ac:dyDescent="0.35">
      <c r="B1028" s="24">
        <v>44027</v>
      </c>
      <c r="C1028" s="25">
        <v>1.48</v>
      </c>
    </row>
    <row r="1029" spans="2:3" x14ac:dyDescent="0.35">
      <c r="B1029" s="24">
        <v>44028</v>
      </c>
      <c r="C1029" s="25">
        <v>1.47</v>
      </c>
    </row>
    <row r="1030" spans="2:3" x14ac:dyDescent="0.35">
      <c r="B1030" s="24">
        <v>44029</v>
      </c>
      <c r="C1030" s="25">
        <v>1.46</v>
      </c>
    </row>
    <row r="1031" spans="2:3" x14ac:dyDescent="0.35">
      <c r="B1031" s="24">
        <v>44032</v>
      </c>
      <c r="C1031" s="25">
        <v>1.44</v>
      </c>
    </row>
    <row r="1032" spans="2:3" x14ac:dyDescent="0.35">
      <c r="B1032" s="24">
        <v>44033</v>
      </c>
      <c r="C1032" s="25">
        <v>1.41</v>
      </c>
    </row>
    <row r="1033" spans="2:3" x14ac:dyDescent="0.35">
      <c r="B1033" s="24">
        <v>44034</v>
      </c>
      <c r="C1033" s="25">
        <v>1.39</v>
      </c>
    </row>
    <row r="1034" spans="2:3" x14ac:dyDescent="0.35">
      <c r="B1034" s="24">
        <v>44035</v>
      </c>
      <c r="C1034" s="25">
        <v>1.39</v>
      </c>
    </row>
    <row r="1035" spans="2:3" x14ac:dyDescent="0.35">
      <c r="B1035" s="24">
        <v>44036</v>
      </c>
      <c r="C1035" s="25">
        <v>1.39</v>
      </c>
    </row>
    <row r="1036" spans="2:3" x14ac:dyDescent="0.35">
      <c r="B1036" s="24">
        <v>44039</v>
      </c>
      <c r="C1036" s="25">
        <v>1.39</v>
      </c>
    </row>
    <row r="1037" spans="2:3" x14ac:dyDescent="0.35">
      <c r="B1037" s="24">
        <v>44040</v>
      </c>
      <c r="C1037" s="25">
        <v>1.4</v>
      </c>
    </row>
    <row r="1038" spans="2:3" x14ac:dyDescent="0.35">
      <c r="B1038" s="24">
        <v>44041</v>
      </c>
      <c r="C1038" s="25">
        <v>1.4</v>
      </c>
    </row>
    <row r="1039" spans="2:3" x14ac:dyDescent="0.35">
      <c r="B1039" s="24">
        <v>44042</v>
      </c>
      <c r="C1039" s="25">
        <v>1.41</v>
      </c>
    </row>
    <row r="1040" spans="2:3" x14ac:dyDescent="0.35">
      <c r="B1040" s="24">
        <v>44043</v>
      </c>
      <c r="C1040" s="25">
        <v>1.41</v>
      </c>
    </row>
    <row r="1041" spans="2:3" x14ac:dyDescent="0.35">
      <c r="B1041" s="24">
        <v>44046</v>
      </c>
      <c r="C1041" s="25">
        <v>1.4</v>
      </c>
    </row>
    <row r="1042" spans="2:3" x14ac:dyDescent="0.35">
      <c r="B1042" s="24">
        <v>44047</v>
      </c>
      <c r="C1042" s="25">
        <v>1.4</v>
      </c>
    </row>
    <row r="1043" spans="2:3" x14ac:dyDescent="0.35">
      <c r="B1043" s="24">
        <v>44048</v>
      </c>
      <c r="C1043" s="25">
        <v>1.37</v>
      </c>
    </row>
    <row r="1044" spans="2:3" x14ac:dyDescent="0.35">
      <c r="B1044" s="24">
        <v>44049</v>
      </c>
      <c r="C1044" s="25">
        <v>1.36</v>
      </c>
    </row>
    <row r="1045" spans="2:3" x14ac:dyDescent="0.35">
      <c r="B1045" s="24">
        <v>44050</v>
      </c>
      <c r="C1045" s="25">
        <v>1.35</v>
      </c>
    </row>
    <row r="1046" spans="2:3" x14ac:dyDescent="0.35">
      <c r="B1046" s="24">
        <v>44053</v>
      </c>
      <c r="C1046" s="25">
        <v>1.34</v>
      </c>
    </row>
    <row r="1047" spans="2:3" x14ac:dyDescent="0.35">
      <c r="B1047" s="24">
        <v>44054</v>
      </c>
      <c r="C1047" s="25">
        <v>1.33</v>
      </c>
    </row>
    <row r="1048" spans="2:3" x14ac:dyDescent="0.35">
      <c r="B1048" s="24">
        <v>44055</v>
      </c>
      <c r="C1048" s="25">
        <v>1.33</v>
      </c>
    </row>
    <row r="1049" spans="2:3" x14ac:dyDescent="0.35">
      <c r="B1049" s="24">
        <v>44056</v>
      </c>
      <c r="C1049" s="25">
        <v>1.34</v>
      </c>
    </row>
    <row r="1050" spans="2:3" x14ac:dyDescent="0.35">
      <c r="B1050" s="24">
        <v>44057</v>
      </c>
      <c r="C1050" s="25">
        <v>1.35</v>
      </c>
    </row>
    <row r="1051" spans="2:3" x14ac:dyDescent="0.35">
      <c r="B1051" s="24">
        <v>44060</v>
      </c>
      <c r="C1051" s="25">
        <v>1.36</v>
      </c>
    </row>
    <row r="1052" spans="2:3" x14ac:dyDescent="0.35">
      <c r="B1052" s="24">
        <v>44061</v>
      </c>
      <c r="C1052" s="25">
        <v>1.37</v>
      </c>
    </row>
    <row r="1053" spans="2:3" x14ac:dyDescent="0.35">
      <c r="B1053" s="24">
        <v>44062</v>
      </c>
      <c r="C1053" s="25">
        <v>1.37</v>
      </c>
    </row>
    <row r="1054" spans="2:3" x14ac:dyDescent="0.35">
      <c r="B1054" s="24">
        <v>44063</v>
      </c>
      <c r="C1054" s="25">
        <v>1.38</v>
      </c>
    </row>
    <row r="1055" spans="2:3" x14ac:dyDescent="0.35">
      <c r="B1055" s="24">
        <v>44064</v>
      </c>
      <c r="C1055" s="25">
        <v>1.38</v>
      </c>
    </row>
    <row r="1056" spans="2:3" x14ac:dyDescent="0.35">
      <c r="B1056" s="24">
        <v>44067</v>
      </c>
      <c r="C1056" s="25">
        <v>1.37</v>
      </c>
    </row>
    <row r="1057" spans="2:3" x14ac:dyDescent="0.35">
      <c r="B1057" s="24">
        <v>44068</v>
      </c>
      <c r="C1057" s="25">
        <v>1.37</v>
      </c>
    </row>
    <row r="1058" spans="2:3" x14ac:dyDescent="0.35">
      <c r="B1058" s="24">
        <v>44069</v>
      </c>
      <c r="C1058" s="25">
        <v>1.37</v>
      </c>
    </row>
    <row r="1059" spans="2:3" x14ac:dyDescent="0.35">
      <c r="B1059" s="24">
        <v>44070</v>
      </c>
      <c r="C1059" s="25">
        <v>1.38</v>
      </c>
    </row>
    <row r="1060" spans="2:3" x14ac:dyDescent="0.35">
      <c r="B1060" s="24">
        <v>44071</v>
      </c>
      <c r="C1060" s="25">
        <v>1.37</v>
      </c>
    </row>
    <row r="1061" spans="2:3" x14ac:dyDescent="0.35">
      <c r="B1061" s="24">
        <v>44074</v>
      </c>
      <c r="C1061" s="25">
        <v>1.36</v>
      </c>
    </row>
    <row r="1062" spans="2:3" x14ac:dyDescent="0.35">
      <c r="B1062" s="24">
        <v>44075</v>
      </c>
      <c r="C1062" s="25">
        <v>1.35</v>
      </c>
    </row>
    <row r="1063" spans="2:3" x14ac:dyDescent="0.35">
      <c r="B1063" s="24">
        <v>44076</v>
      </c>
      <c r="C1063" s="25">
        <v>1.34</v>
      </c>
    </row>
    <row r="1064" spans="2:3" x14ac:dyDescent="0.35">
      <c r="B1064" s="24">
        <v>44077</v>
      </c>
      <c r="C1064" s="25">
        <v>1.35</v>
      </c>
    </row>
    <row r="1065" spans="2:3" x14ac:dyDescent="0.35">
      <c r="B1065" s="24">
        <v>44078</v>
      </c>
      <c r="C1065" s="25">
        <v>1.35</v>
      </c>
    </row>
    <row r="1066" spans="2:3" x14ac:dyDescent="0.35">
      <c r="B1066" s="24">
        <v>44081</v>
      </c>
      <c r="C1066" s="25">
        <v>1.35</v>
      </c>
    </row>
    <row r="1067" spans="2:3" x14ac:dyDescent="0.35">
      <c r="B1067" s="24">
        <v>44082</v>
      </c>
      <c r="C1067" s="25">
        <v>1.37</v>
      </c>
    </row>
    <row r="1068" spans="2:3" x14ac:dyDescent="0.35">
      <c r="B1068" s="24">
        <v>44083</v>
      </c>
      <c r="C1068" s="25">
        <v>1.37</v>
      </c>
    </row>
    <row r="1069" spans="2:3" x14ac:dyDescent="0.35">
      <c r="B1069" s="24">
        <v>44084</v>
      </c>
      <c r="C1069" s="25">
        <v>1.37</v>
      </c>
    </row>
    <row r="1070" spans="2:3" x14ac:dyDescent="0.35">
      <c r="B1070" s="24">
        <v>44085</v>
      </c>
      <c r="C1070" s="25">
        <v>1.37</v>
      </c>
    </row>
    <row r="1071" spans="2:3" x14ac:dyDescent="0.35">
      <c r="B1071" s="24">
        <v>44088</v>
      </c>
      <c r="C1071" s="25">
        <v>1.36</v>
      </c>
    </row>
    <row r="1072" spans="2:3" x14ac:dyDescent="0.35">
      <c r="B1072" s="24">
        <v>44089</v>
      </c>
      <c r="C1072" s="25">
        <v>1.36</v>
      </c>
    </row>
    <row r="1073" spans="2:3" x14ac:dyDescent="0.35">
      <c r="B1073" s="24">
        <v>44090</v>
      </c>
      <c r="C1073" s="25">
        <v>1.35</v>
      </c>
    </row>
    <row r="1074" spans="2:3" x14ac:dyDescent="0.35">
      <c r="B1074" s="24">
        <v>44091</v>
      </c>
      <c r="C1074" s="25">
        <v>1.35</v>
      </c>
    </row>
    <row r="1075" spans="2:3" x14ac:dyDescent="0.35">
      <c r="B1075" s="24">
        <v>44092</v>
      </c>
      <c r="C1075" s="25">
        <v>1.35</v>
      </c>
    </row>
    <row r="1076" spans="2:3" x14ac:dyDescent="0.35">
      <c r="B1076" s="24">
        <v>44095</v>
      </c>
      <c r="C1076" s="25">
        <v>1.37</v>
      </c>
    </row>
    <row r="1077" spans="2:3" x14ac:dyDescent="0.35">
      <c r="B1077" s="24">
        <v>44096</v>
      </c>
      <c r="C1077" s="25">
        <v>1.37</v>
      </c>
    </row>
    <row r="1078" spans="2:3" x14ac:dyDescent="0.35">
      <c r="B1078" s="24">
        <v>44097</v>
      </c>
      <c r="C1078" s="25">
        <v>1.39</v>
      </c>
    </row>
    <row r="1079" spans="2:3" x14ac:dyDescent="0.35">
      <c r="B1079" s="24">
        <v>44098</v>
      </c>
      <c r="C1079" s="25">
        <v>1.43</v>
      </c>
    </row>
    <row r="1080" spans="2:3" x14ac:dyDescent="0.35">
      <c r="B1080" s="24">
        <v>44099</v>
      </c>
      <c r="C1080" s="25">
        <v>1.46</v>
      </c>
    </row>
    <row r="1081" spans="2:3" x14ac:dyDescent="0.35">
      <c r="B1081" s="24">
        <v>44102</v>
      </c>
      <c r="C1081" s="25">
        <v>1.45</v>
      </c>
    </row>
    <row r="1082" spans="2:3" x14ac:dyDescent="0.35">
      <c r="B1082" s="24">
        <v>44103</v>
      </c>
      <c r="C1082" s="25">
        <v>1.44</v>
      </c>
    </row>
    <row r="1083" spans="2:3" x14ac:dyDescent="0.35">
      <c r="B1083" s="24">
        <v>44104</v>
      </c>
      <c r="C1083" s="25">
        <v>1.44</v>
      </c>
    </row>
    <row r="1084" spans="2:3" x14ac:dyDescent="0.35">
      <c r="B1084" s="24">
        <v>44105</v>
      </c>
      <c r="C1084" s="25">
        <v>1.43</v>
      </c>
    </row>
    <row r="1085" spans="2:3" x14ac:dyDescent="0.35">
      <c r="B1085" s="24">
        <v>44106</v>
      </c>
      <c r="C1085" s="25">
        <v>1.43</v>
      </c>
    </row>
    <row r="1086" spans="2:3" x14ac:dyDescent="0.35">
      <c r="B1086" s="24">
        <v>44109</v>
      </c>
      <c r="C1086" s="25">
        <v>1.4</v>
      </c>
    </row>
    <row r="1087" spans="2:3" x14ac:dyDescent="0.35">
      <c r="B1087" s="24">
        <v>44110</v>
      </c>
      <c r="C1087" s="25">
        <v>1.38</v>
      </c>
    </row>
    <row r="1088" spans="2:3" x14ac:dyDescent="0.35">
      <c r="B1088" s="24">
        <v>44111</v>
      </c>
      <c r="C1088" s="25">
        <v>1.36</v>
      </c>
    </row>
    <row r="1089" spans="2:3" x14ac:dyDescent="0.35">
      <c r="B1089" s="24">
        <v>44112</v>
      </c>
      <c r="C1089" s="25">
        <v>1.36</v>
      </c>
    </row>
    <row r="1090" spans="2:3" x14ac:dyDescent="0.35">
      <c r="B1090" s="24">
        <v>44113</v>
      </c>
      <c r="C1090" s="25">
        <v>1.35</v>
      </c>
    </row>
    <row r="1091" spans="2:3" x14ac:dyDescent="0.35">
      <c r="B1091" s="24">
        <v>44116</v>
      </c>
      <c r="C1091" s="25">
        <v>1.34</v>
      </c>
    </row>
    <row r="1092" spans="2:3" x14ac:dyDescent="0.35">
      <c r="B1092" s="24">
        <v>44117</v>
      </c>
      <c r="C1092" s="25">
        <v>1.33</v>
      </c>
    </row>
    <row r="1093" spans="2:3" x14ac:dyDescent="0.35">
      <c r="B1093" s="24">
        <v>44118</v>
      </c>
      <c r="C1093" s="25">
        <v>1.33</v>
      </c>
    </row>
    <row r="1094" spans="2:3" x14ac:dyDescent="0.35">
      <c r="B1094" s="24">
        <v>44119</v>
      </c>
      <c r="C1094" s="25">
        <v>1.34</v>
      </c>
    </row>
    <row r="1095" spans="2:3" x14ac:dyDescent="0.35">
      <c r="B1095" s="24">
        <v>44120</v>
      </c>
      <c r="C1095" s="25">
        <v>1.33</v>
      </c>
    </row>
    <row r="1096" spans="2:3" x14ac:dyDescent="0.35">
      <c r="B1096" s="24">
        <v>44123</v>
      </c>
      <c r="C1096" s="25">
        <v>1.32</v>
      </c>
    </row>
    <row r="1097" spans="2:3" x14ac:dyDescent="0.35">
      <c r="B1097" s="24">
        <v>44124</v>
      </c>
      <c r="C1097" s="25">
        <v>1.32</v>
      </c>
    </row>
    <row r="1098" spans="2:3" x14ac:dyDescent="0.35">
      <c r="B1098" s="24">
        <v>44125</v>
      </c>
      <c r="C1098" s="25">
        <v>1.31</v>
      </c>
    </row>
    <row r="1099" spans="2:3" x14ac:dyDescent="0.35">
      <c r="B1099" s="24">
        <v>44126</v>
      </c>
      <c r="C1099" s="25">
        <v>1.31</v>
      </c>
    </row>
    <row r="1100" spans="2:3" x14ac:dyDescent="0.35">
      <c r="B1100" s="24">
        <v>44127</v>
      </c>
      <c r="C1100" s="25">
        <v>1.3</v>
      </c>
    </row>
    <row r="1101" spans="2:3" x14ac:dyDescent="0.35">
      <c r="B1101" s="24">
        <v>44130</v>
      </c>
      <c r="C1101" s="25">
        <v>1.3</v>
      </c>
    </row>
    <row r="1102" spans="2:3" x14ac:dyDescent="0.35">
      <c r="B1102" s="24">
        <v>44131</v>
      </c>
      <c r="C1102" s="25">
        <v>1.3</v>
      </c>
    </row>
    <row r="1103" spans="2:3" x14ac:dyDescent="0.35">
      <c r="B1103" s="24">
        <v>44132</v>
      </c>
      <c r="C1103" s="25">
        <v>1.32</v>
      </c>
    </row>
    <row r="1104" spans="2:3" x14ac:dyDescent="0.35">
      <c r="B1104" s="24">
        <v>44133</v>
      </c>
      <c r="C1104" s="25">
        <v>1.33</v>
      </c>
    </row>
    <row r="1105" spans="2:3" x14ac:dyDescent="0.35">
      <c r="B1105" s="24">
        <v>44134</v>
      </c>
      <c r="C1105" s="25">
        <v>1.33</v>
      </c>
    </row>
    <row r="1106" spans="2:3" x14ac:dyDescent="0.35">
      <c r="B1106" s="24">
        <v>44135</v>
      </c>
      <c r="C1106" s="25">
        <v>1.34</v>
      </c>
    </row>
    <row r="1107" spans="2:3" x14ac:dyDescent="0.35">
      <c r="B1107" s="24">
        <v>44137</v>
      </c>
      <c r="C1107" s="25">
        <v>1.33</v>
      </c>
    </row>
    <row r="1108" spans="2:3" x14ac:dyDescent="0.35">
      <c r="B1108" s="24">
        <v>44138</v>
      </c>
      <c r="C1108" s="25">
        <v>1.32</v>
      </c>
    </row>
    <row r="1109" spans="2:3" x14ac:dyDescent="0.35">
      <c r="B1109" s="24">
        <v>44139</v>
      </c>
      <c r="C1109" s="25">
        <v>1.3</v>
      </c>
    </row>
    <row r="1110" spans="2:3" x14ac:dyDescent="0.35">
      <c r="B1110" s="24">
        <v>44140</v>
      </c>
      <c r="C1110" s="25">
        <v>1.27</v>
      </c>
    </row>
    <row r="1111" spans="2:3" x14ac:dyDescent="0.35">
      <c r="B1111" s="24">
        <v>44141</v>
      </c>
      <c r="C1111" s="25">
        <v>1.25</v>
      </c>
    </row>
    <row r="1112" spans="2:3" x14ac:dyDescent="0.35">
      <c r="B1112" s="24">
        <v>44144</v>
      </c>
      <c r="C1112" s="25">
        <v>1.19</v>
      </c>
    </row>
    <row r="1113" spans="2:3" x14ac:dyDescent="0.35">
      <c r="B1113" s="24">
        <v>44145</v>
      </c>
      <c r="C1113" s="25">
        <v>1.19</v>
      </c>
    </row>
    <row r="1114" spans="2:3" x14ac:dyDescent="0.35">
      <c r="B1114" s="24">
        <v>44146</v>
      </c>
      <c r="C1114" s="25">
        <v>1.18</v>
      </c>
    </row>
    <row r="1115" spans="2:3" x14ac:dyDescent="0.35">
      <c r="B1115" s="24">
        <v>44147</v>
      </c>
      <c r="C1115" s="25">
        <v>1.21</v>
      </c>
    </row>
    <row r="1116" spans="2:3" x14ac:dyDescent="0.35">
      <c r="B1116" s="24">
        <v>44148</v>
      </c>
      <c r="C1116" s="25">
        <v>1.21</v>
      </c>
    </row>
    <row r="1117" spans="2:3" x14ac:dyDescent="0.35">
      <c r="B1117" s="24">
        <v>44151</v>
      </c>
      <c r="C1117" s="25">
        <v>1.19</v>
      </c>
    </row>
    <row r="1118" spans="2:3" x14ac:dyDescent="0.35">
      <c r="B1118" s="24">
        <v>44152</v>
      </c>
      <c r="C1118" s="25">
        <v>1.19</v>
      </c>
    </row>
    <row r="1119" spans="2:3" x14ac:dyDescent="0.35">
      <c r="B1119" s="24">
        <v>44153</v>
      </c>
      <c r="C1119" s="25">
        <v>1.17</v>
      </c>
    </row>
    <row r="1120" spans="2:3" x14ac:dyDescent="0.35">
      <c r="B1120" s="24">
        <v>44154</v>
      </c>
      <c r="C1120" s="25">
        <v>1.1599999999999999</v>
      </c>
    </row>
    <row r="1121" spans="2:3" x14ac:dyDescent="0.35">
      <c r="B1121" s="24">
        <v>44155</v>
      </c>
      <c r="C1121" s="25">
        <v>1.1599999999999999</v>
      </c>
    </row>
    <row r="1122" spans="2:3" x14ac:dyDescent="0.35">
      <c r="B1122" s="24">
        <v>44158</v>
      </c>
      <c r="C1122" s="25">
        <v>1.1599999999999999</v>
      </c>
    </row>
    <row r="1123" spans="2:3" x14ac:dyDescent="0.35">
      <c r="B1123" s="24">
        <v>44159</v>
      </c>
      <c r="C1123" s="25">
        <v>1.1499999999999999</v>
      </c>
    </row>
    <row r="1124" spans="2:3" x14ac:dyDescent="0.35">
      <c r="B1124" s="24">
        <v>44160</v>
      </c>
      <c r="C1124" s="25">
        <v>1.1399999999999999</v>
      </c>
    </row>
    <row r="1125" spans="2:3" x14ac:dyDescent="0.35">
      <c r="B1125" s="24">
        <v>44161</v>
      </c>
      <c r="C1125" s="25">
        <v>1.1399999999999999</v>
      </c>
    </row>
    <row r="1126" spans="2:3" x14ac:dyDescent="0.35">
      <c r="B1126" s="24">
        <v>44162</v>
      </c>
      <c r="C1126" s="25">
        <v>1.1299999999999999</v>
      </c>
    </row>
    <row r="1127" spans="2:3" x14ac:dyDescent="0.35">
      <c r="B1127" s="24">
        <v>44165</v>
      </c>
      <c r="C1127" s="25">
        <v>1.1200000000000001</v>
      </c>
    </row>
    <row r="1128" spans="2:3" x14ac:dyDescent="0.35">
      <c r="B1128" s="24">
        <v>44166</v>
      </c>
      <c r="C1128" s="25">
        <v>1.0900000000000001</v>
      </c>
    </row>
    <row r="1129" spans="2:3" x14ac:dyDescent="0.35">
      <c r="B1129" s="24">
        <v>44167</v>
      </c>
      <c r="C1129" s="25">
        <v>1.08</v>
      </c>
    </row>
    <row r="1130" spans="2:3" x14ac:dyDescent="0.35">
      <c r="B1130" s="24">
        <v>44168</v>
      </c>
      <c r="C1130" s="25">
        <v>1.07</v>
      </c>
    </row>
    <row r="1131" spans="2:3" x14ac:dyDescent="0.35">
      <c r="B1131" s="24">
        <v>44169</v>
      </c>
      <c r="C1131" s="25">
        <v>1.07</v>
      </c>
    </row>
    <row r="1132" spans="2:3" x14ac:dyDescent="0.35">
      <c r="B1132" s="24">
        <v>44172</v>
      </c>
      <c r="C1132" s="25">
        <v>1.07</v>
      </c>
    </row>
    <row r="1133" spans="2:3" x14ac:dyDescent="0.35">
      <c r="B1133" s="24">
        <v>44173</v>
      </c>
      <c r="C1133" s="25">
        <v>1.08</v>
      </c>
    </row>
    <row r="1134" spans="2:3" x14ac:dyDescent="0.35">
      <c r="B1134" s="24">
        <v>44174</v>
      </c>
      <c r="C1134" s="25">
        <v>1.1000000000000001</v>
      </c>
    </row>
    <row r="1135" spans="2:3" x14ac:dyDescent="0.35">
      <c r="B1135" s="24">
        <v>44175</v>
      </c>
      <c r="C1135" s="25">
        <v>1.1100000000000001</v>
      </c>
    </row>
    <row r="1136" spans="2:3" x14ac:dyDescent="0.35">
      <c r="B1136" s="24">
        <v>44176</v>
      </c>
      <c r="C1136" s="25">
        <v>1.1100000000000001</v>
      </c>
    </row>
    <row r="1137" spans="2:3" x14ac:dyDescent="0.35">
      <c r="B1137" s="24">
        <v>44179</v>
      </c>
      <c r="C1137" s="25">
        <v>1.1100000000000001</v>
      </c>
    </row>
    <row r="1138" spans="2:3" x14ac:dyDescent="0.35">
      <c r="B1138" s="24">
        <v>44180</v>
      </c>
      <c r="C1138" s="25">
        <v>1.1000000000000001</v>
      </c>
    </row>
    <row r="1139" spans="2:3" x14ac:dyDescent="0.35">
      <c r="B1139" s="24">
        <v>44181</v>
      </c>
      <c r="C1139" s="25">
        <v>1.08</v>
      </c>
    </row>
    <row r="1140" spans="2:3" x14ac:dyDescent="0.35">
      <c r="B1140" s="24">
        <v>44182</v>
      </c>
      <c r="C1140" s="25">
        <v>1.07</v>
      </c>
    </row>
    <row r="1141" spans="2:3" x14ac:dyDescent="0.35">
      <c r="B1141" s="24">
        <v>44183</v>
      </c>
      <c r="C1141" s="25">
        <v>1.07</v>
      </c>
    </row>
    <row r="1142" spans="2:3" x14ac:dyDescent="0.35">
      <c r="B1142" s="24">
        <v>44186</v>
      </c>
      <c r="C1142" s="25">
        <v>1.07</v>
      </c>
    </row>
    <row r="1143" spans="2:3" x14ac:dyDescent="0.35">
      <c r="B1143" s="24">
        <v>44187</v>
      </c>
      <c r="C1143" s="25">
        <v>1.07</v>
      </c>
    </row>
    <row r="1144" spans="2:3" x14ac:dyDescent="0.35">
      <c r="B1144" s="24">
        <v>44188</v>
      </c>
      <c r="C1144" s="25">
        <v>1.07</v>
      </c>
    </row>
    <row r="1145" spans="2:3" x14ac:dyDescent="0.35">
      <c r="B1145" s="24">
        <v>44189</v>
      </c>
      <c r="C1145" s="25">
        <v>1.06</v>
      </c>
    </row>
    <row r="1146" spans="2:3" x14ac:dyDescent="0.35">
      <c r="B1146" s="24">
        <v>44190</v>
      </c>
      <c r="C1146" s="26" t="e">
        <f>NA()</f>
        <v>#N/A</v>
      </c>
    </row>
    <row r="1147" spans="2:3" x14ac:dyDescent="0.35">
      <c r="B1147" s="24">
        <v>44193</v>
      </c>
      <c r="C1147" s="25">
        <v>1.05</v>
      </c>
    </row>
    <row r="1148" spans="2:3" x14ac:dyDescent="0.35">
      <c r="B1148" s="24">
        <v>44194</v>
      </c>
      <c r="C1148" s="25">
        <v>1.05</v>
      </c>
    </row>
    <row r="1149" spans="2:3" x14ac:dyDescent="0.35">
      <c r="B1149" s="24">
        <v>44195</v>
      </c>
      <c r="C1149" s="25">
        <v>1.03</v>
      </c>
    </row>
    <row r="1150" spans="2:3" x14ac:dyDescent="0.35">
      <c r="B1150" s="24">
        <v>44196</v>
      </c>
      <c r="C1150" s="25">
        <v>1.03</v>
      </c>
    </row>
    <row r="1151" spans="2:3" x14ac:dyDescent="0.35">
      <c r="B1151" s="24">
        <v>44197</v>
      </c>
      <c r="C1151" s="26" t="e">
        <f>NA()</f>
        <v>#N/A</v>
      </c>
    </row>
    <row r="1152" spans="2:3" x14ac:dyDescent="0.35">
      <c r="B1152" s="24">
        <v>44200</v>
      </c>
      <c r="C1152" s="25">
        <v>1.04</v>
      </c>
    </row>
    <row r="1153" spans="2:3" x14ac:dyDescent="0.35">
      <c r="B1153" s="24">
        <v>44201</v>
      </c>
      <c r="C1153" s="25">
        <v>1.05</v>
      </c>
    </row>
    <row r="1154" spans="2:3" x14ac:dyDescent="0.35">
      <c r="B1154" s="24">
        <v>44202</v>
      </c>
      <c r="C1154" s="25">
        <v>1.04</v>
      </c>
    </row>
    <row r="1155" spans="2:3" x14ac:dyDescent="0.35">
      <c r="B1155" s="24">
        <v>44203</v>
      </c>
      <c r="C1155" s="25">
        <v>1.03</v>
      </c>
    </row>
    <row r="1156" spans="2:3" x14ac:dyDescent="0.35">
      <c r="B1156" s="24">
        <v>44204</v>
      </c>
      <c r="C1156" s="25">
        <v>1.02</v>
      </c>
    </row>
    <row r="1157" spans="2:3" x14ac:dyDescent="0.35">
      <c r="B1157" s="24">
        <v>44207</v>
      </c>
      <c r="C1157" s="25">
        <v>1.01</v>
      </c>
    </row>
    <row r="1158" spans="2:3" x14ac:dyDescent="0.35">
      <c r="B1158" s="24">
        <v>44208</v>
      </c>
      <c r="C1158" s="25">
        <v>1.01</v>
      </c>
    </row>
    <row r="1159" spans="2:3" x14ac:dyDescent="0.35">
      <c r="B1159" s="24">
        <v>44209</v>
      </c>
      <c r="C1159" s="25">
        <v>1</v>
      </c>
    </row>
    <row r="1160" spans="2:3" x14ac:dyDescent="0.35">
      <c r="B1160" s="24">
        <v>44210</v>
      </c>
      <c r="C1160" s="25">
        <v>0.99</v>
      </c>
    </row>
    <row r="1161" spans="2:3" x14ac:dyDescent="0.35">
      <c r="B1161" s="24">
        <v>44211</v>
      </c>
      <c r="C1161" s="25">
        <v>1</v>
      </c>
    </row>
    <row r="1162" spans="2:3" x14ac:dyDescent="0.35">
      <c r="B1162" s="24">
        <v>44214</v>
      </c>
      <c r="C1162" s="25">
        <v>0.99</v>
      </c>
    </row>
    <row r="1163" spans="2:3" x14ac:dyDescent="0.35">
      <c r="B1163" s="24">
        <v>44215</v>
      </c>
      <c r="C1163" s="25">
        <v>0.99</v>
      </c>
    </row>
    <row r="1164" spans="2:3" x14ac:dyDescent="0.35">
      <c r="B1164" s="24">
        <v>44216</v>
      </c>
      <c r="C1164" s="25">
        <v>0.99</v>
      </c>
    </row>
    <row r="1165" spans="2:3" x14ac:dyDescent="0.35">
      <c r="B1165" s="24">
        <v>44217</v>
      </c>
      <c r="C1165" s="25">
        <v>1</v>
      </c>
    </row>
    <row r="1166" spans="2:3" x14ac:dyDescent="0.35">
      <c r="B1166" s="24">
        <v>44218</v>
      </c>
      <c r="C1166" s="25">
        <v>1.01</v>
      </c>
    </row>
    <row r="1167" spans="2:3" x14ac:dyDescent="0.35">
      <c r="B1167" s="24">
        <v>44221</v>
      </c>
      <c r="C1167" s="25">
        <v>1.02</v>
      </c>
    </row>
    <row r="1168" spans="2:3" x14ac:dyDescent="0.35">
      <c r="B1168" s="24">
        <v>44222</v>
      </c>
      <c r="C1168" s="25">
        <v>1.02</v>
      </c>
    </row>
    <row r="1169" spans="2:3" x14ac:dyDescent="0.35">
      <c r="B1169" s="24">
        <v>44223</v>
      </c>
      <c r="C1169" s="25">
        <v>1.03</v>
      </c>
    </row>
    <row r="1170" spans="2:3" x14ac:dyDescent="0.35">
      <c r="B1170" s="24">
        <v>44224</v>
      </c>
      <c r="C1170" s="25">
        <v>1.02</v>
      </c>
    </row>
    <row r="1171" spans="2:3" x14ac:dyDescent="0.35">
      <c r="B1171" s="24">
        <v>44225</v>
      </c>
      <c r="C1171" s="25">
        <v>1.02</v>
      </c>
    </row>
    <row r="1172" spans="2:3" x14ac:dyDescent="0.35">
      <c r="B1172" s="24">
        <v>44227</v>
      </c>
      <c r="C1172" s="25">
        <v>1.03</v>
      </c>
    </row>
    <row r="1173" spans="2:3" x14ac:dyDescent="0.35">
      <c r="B1173" s="24">
        <v>44228</v>
      </c>
      <c r="C1173" s="25">
        <v>1.03</v>
      </c>
    </row>
    <row r="1174" spans="2:3" x14ac:dyDescent="0.35">
      <c r="B1174" s="24">
        <v>44229</v>
      </c>
      <c r="C1174" s="25">
        <v>1.02</v>
      </c>
    </row>
    <row r="1175" spans="2:3" x14ac:dyDescent="0.35">
      <c r="B1175" s="24">
        <v>44230</v>
      </c>
      <c r="C1175" s="25">
        <v>1.01</v>
      </c>
    </row>
    <row r="1176" spans="2:3" x14ac:dyDescent="0.35">
      <c r="B1176" s="24">
        <v>44231</v>
      </c>
      <c r="C1176" s="25">
        <v>1</v>
      </c>
    </row>
    <row r="1177" spans="2:3" x14ac:dyDescent="0.35">
      <c r="B1177" s="24">
        <v>44232</v>
      </c>
      <c r="C1177" s="25">
        <v>0.99</v>
      </c>
    </row>
    <row r="1178" spans="2:3" x14ac:dyDescent="0.35">
      <c r="B1178" s="24">
        <v>44235</v>
      </c>
      <c r="C1178" s="25">
        <v>0.98</v>
      </c>
    </row>
    <row r="1179" spans="2:3" x14ac:dyDescent="0.35">
      <c r="B1179" s="24">
        <v>44236</v>
      </c>
      <c r="C1179" s="25">
        <v>0.98</v>
      </c>
    </row>
    <row r="1180" spans="2:3" x14ac:dyDescent="0.35">
      <c r="B1180" s="24">
        <v>44237</v>
      </c>
      <c r="C1180" s="25">
        <v>0.98</v>
      </c>
    </row>
    <row r="1181" spans="2:3" x14ac:dyDescent="0.35">
      <c r="B1181" s="24">
        <v>44238</v>
      </c>
      <c r="C1181" s="25">
        <v>0.98</v>
      </c>
    </row>
    <row r="1182" spans="2:3" x14ac:dyDescent="0.35">
      <c r="B1182" s="24">
        <v>44239</v>
      </c>
      <c r="C1182" s="25">
        <v>0.97</v>
      </c>
    </row>
    <row r="1183" spans="2:3" x14ac:dyDescent="0.35">
      <c r="B1183" s="24">
        <v>44242</v>
      </c>
      <c r="C1183" s="25">
        <v>0.97</v>
      </c>
    </row>
    <row r="1184" spans="2:3" x14ac:dyDescent="0.35">
      <c r="B1184" s="24">
        <v>44243</v>
      </c>
      <c r="C1184" s="25">
        <v>0.95</v>
      </c>
    </row>
    <row r="1185" spans="2:3" x14ac:dyDescent="0.35">
      <c r="B1185" s="24">
        <v>44244</v>
      </c>
      <c r="C1185" s="25">
        <v>0.94</v>
      </c>
    </row>
    <row r="1186" spans="2:3" x14ac:dyDescent="0.35">
      <c r="B1186" s="24">
        <v>44245</v>
      </c>
      <c r="C1186" s="25">
        <v>0.94</v>
      </c>
    </row>
    <row r="1187" spans="2:3" x14ac:dyDescent="0.35">
      <c r="B1187" s="24">
        <v>44246</v>
      </c>
      <c r="C1187" s="25">
        <v>0.94</v>
      </c>
    </row>
    <row r="1188" spans="2:3" x14ac:dyDescent="0.35">
      <c r="B1188" s="24">
        <v>44249</v>
      </c>
      <c r="C1188" s="25">
        <v>0.95</v>
      </c>
    </row>
    <row r="1189" spans="2:3" x14ac:dyDescent="0.35">
      <c r="B1189" s="24">
        <v>44250</v>
      </c>
      <c r="C1189" s="25">
        <v>0.97</v>
      </c>
    </row>
    <row r="1190" spans="2:3" x14ac:dyDescent="0.35">
      <c r="B1190" s="24">
        <v>44251</v>
      </c>
      <c r="C1190" s="25">
        <v>0.96</v>
      </c>
    </row>
    <row r="1191" spans="2:3" x14ac:dyDescent="0.35">
      <c r="B1191" s="24">
        <v>44252</v>
      </c>
      <c r="C1191" s="25">
        <v>0.95</v>
      </c>
    </row>
    <row r="1192" spans="2:3" x14ac:dyDescent="0.35">
      <c r="B1192" s="24">
        <v>44253</v>
      </c>
      <c r="C1192" s="25">
        <v>0.95</v>
      </c>
    </row>
    <row r="1193" spans="2:3" x14ac:dyDescent="0.35">
      <c r="B1193" s="24">
        <v>44255</v>
      </c>
      <c r="C1193" s="25">
        <v>0.95</v>
      </c>
    </row>
    <row r="1194" spans="2:3" x14ac:dyDescent="0.35">
      <c r="B1194" s="24">
        <v>44256</v>
      </c>
      <c r="C1194" s="25">
        <v>0.96</v>
      </c>
    </row>
    <row r="1195" spans="2:3" x14ac:dyDescent="0.35">
      <c r="B1195" s="24">
        <v>44257</v>
      </c>
      <c r="C1195" s="25">
        <v>0.96</v>
      </c>
    </row>
    <row r="1196" spans="2:3" x14ac:dyDescent="0.35">
      <c r="B1196" s="24">
        <v>44258</v>
      </c>
      <c r="C1196" s="25">
        <v>0.95</v>
      </c>
    </row>
    <row r="1197" spans="2:3" x14ac:dyDescent="0.35">
      <c r="B1197" s="24">
        <v>44259</v>
      </c>
      <c r="C1197" s="25">
        <v>0.97</v>
      </c>
    </row>
    <row r="1198" spans="2:3" x14ac:dyDescent="0.35">
      <c r="B1198" s="24">
        <v>44260</v>
      </c>
      <c r="C1198" s="25">
        <v>1</v>
      </c>
    </row>
    <row r="1199" spans="2:3" x14ac:dyDescent="0.35">
      <c r="B1199" s="24">
        <v>44263</v>
      </c>
      <c r="C1199" s="25">
        <v>1.02</v>
      </c>
    </row>
    <row r="1200" spans="2:3" x14ac:dyDescent="0.35">
      <c r="B1200" s="24">
        <v>44264</v>
      </c>
      <c r="C1200" s="25">
        <v>1.04</v>
      </c>
    </row>
    <row r="1201" spans="2:3" x14ac:dyDescent="0.35">
      <c r="B1201" s="24">
        <v>44265</v>
      </c>
      <c r="C1201" s="25">
        <v>1.04</v>
      </c>
    </row>
    <row r="1202" spans="2:3" x14ac:dyDescent="0.35">
      <c r="B1202" s="24">
        <v>44266</v>
      </c>
      <c r="C1202" s="25">
        <v>1.02</v>
      </c>
    </row>
    <row r="1203" spans="2:3" x14ac:dyDescent="0.35">
      <c r="B1203" s="24">
        <v>44267</v>
      </c>
      <c r="C1203" s="25">
        <v>1.02</v>
      </c>
    </row>
    <row r="1204" spans="2:3" x14ac:dyDescent="0.35">
      <c r="B1204" s="24">
        <v>44270</v>
      </c>
      <c r="C1204" s="25">
        <v>1.02</v>
      </c>
    </row>
    <row r="1205" spans="2:3" x14ac:dyDescent="0.35">
      <c r="B1205" s="24">
        <v>44271</v>
      </c>
      <c r="C1205" s="25">
        <v>1.01</v>
      </c>
    </row>
    <row r="1206" spans="2:3" x14ac:dyDescent="0.35">
      <c r="B1206" s="24">
        <v>44272</v>
      </c>
      <c r="C1206" s="25">
        <v>1.02</v>
      </c>
    </row>
    <row r="1207" spans="2:3" x14ac:dyDescent="0.35">
      <c r="B1207" s="24">
        <v>44273</v>
      </c>
      <c r="C1207" s="25">
        <v>1</v>
      </c>
    </row>
    <row r="1208" spans="2:3" x14ac:dyDescent="0.35">
      <c r="B1208" s="24">
        <v>44274</v>
      </c>
      <c r="C1208" s="25">
        <v>1</v>
      </c>
    </row>
    <row r="1209" spans="2:3" x14ac:dyDescent="0.35">
      <c r="B1209" s="24">
        <v>44277</v>
      </c>
      <c r="C1209" s="25">
        <v>1</v>
      </c>
    </row>
    <row r="1210" spans="2:3" x14ac:dyDescent="0.35">
      <c r="B1210" s="24">
        <v>44278</v>
      </c>
      <c r="C1210" s="25">
        <v>1.01</v>
      </c>
    </row>
    <row r="1211" spans="2:3" x14ac:dyDescent="0.35">
      <c r="B1211" s="24">
        <v>44279</v>
      </c>
      <c r="C1211" s="25">
        <v>1.01</v>
      </c>
    </row>
    <row r="1212" spans="2:3" x14ac:dyDescent="0.35">
      <c r="B1212" s="24">
        <v>44280</v>
      </c>
      <c r="C1212" s="25">
        <v>1.02</v>
      </c>
    </row>
    <row r="1213" spans="2:3" x14ac:dyDescent="0.35">
      <c r="B1213" s="24">
        <v>44281</v>
      </c>
      <c r="C1213" s="25">
        <v>1.01</v>
      </c>
    </row>
    <row r="1214" spans="2:3" x14ac:dyDescent="0.35">
      <c r="B1214" s="24">
        <v>44284</v>
      </c>
      <c r="C1214" s="25">
        <v>1</v>
      </c>
    </row>
    <row r="1215" spans="2:3" x14ac:dyDescent="0.35">
      <c r="B1215" s="24">
        <v>44285</v>
      </c>
      <c r="C1215" s="25">
        <v>0.99</v>
      </c>
    </row>
    <row r="1216" spans="2:3" x14ac:dyDescent="0.35">
      <c r="B1216" s="24">
        <v>44286</v>
      </c>
      <c r="C1216" s="25">
        <v>0.97</v>
      </c>
    </row>
    <row r="1217" spans="2:3" x14ac:dyDescent="0.35">
      <c r="B1217" s="24">
        <v>44287</v>
      </c>
      <c r="C1217" s="25">
        <v>0.95</v>
      </c>
    </row>
    <row r="1218" spans="2:3" x14ac:dyDescent="0.35">
      <c r="B1218" s="24">
        <v>44288</v>
      </c>
      <c r="C1218" s="26" t="e">
        <f>NA()</f>
        <v>#N/A</v>
      </c>
    </row>
    <row r="1219" spans="2:3" x14ac:dyDescent="0.35">
      <c r="B1219" s="24">
        <v>44291</v>
      </c>
      <c r="C1219" s="25">
        <v>0.94</v>
      </c>
    </row>
    <row r="1220" spans="2:3" x14ac:dyDescent="0.35">
      <c r="B1220" s="24">
        <v>44292</v>
      </c>
      <c r="C1220" s="25">
        <v>0.95</v>
      </c>
    </row>
    <row r="1221" spans="2:3" x14ac:dyDescent="0.35">
      <c r="B1221" s="24">
        <v>44293</v>
      </c>
      <c r="C1221" s="25">
        <v>0.95</v>
      </c>
    </row>
    <row r="1222" spans="2:3" x14ac:dyDescent="0.35">
      <c r="B1222" s="24">
        <v>44294</v>
      </c>
      <c r="C1222" s="25">
        <v>0.95</v>
      </c>
    </row>
    <row r="1223" spans="2:3" x14ac:dyDescent="0.35">
      <c r="B1223" s="24">
        <v>44295</v>
      </c>
      <c r="C1223" s="25">
        <v>0.94</v>
      </c>
    </row>
    <row r="1224" spans="2:3" x14ac:dyDescent="0.35">
      <c r="B1224" s="24">
        <v>44298</v>
      </c>
      <c r="C1224" s="25">
        <v>0.94</v>
      </c>
    </row>
    <row r="1225" spans="2:3" x14ac:dyDescent="0.35">
      <c r="B1225" s="24">
        <v>44299</v>
      </c>
      <c r="C1225" s="25">
        <v>0.94</v>
      </c>
    </row>
    <row r="1226" spans="2:3" x14ac:dyDescent="0.35">
      <c r="B1226" s="24">
        <v>44300</v>
      </c>
      <c r="C1226" s="25">
        <v>0.93</v>
      </c>
    </row>
    <row r="1227" spans="2:3" x14ac:dyDescent="0.35">
      <c r="B1227" s="24">
        <v>44301</v>
      </c>
      <c r="C1227" s="25">
        <v>0.94</v>
      </c>
    </row>
    <row r="1228" spans="2:3" x14ac:dyDescent="0.35">
      <c r="B1228" s="24">
        <v>44302</v>
      </c>
      <c r="C1228" s="25">
        <v>0.94</v>
      </c>
    </row>
    <row r="1229" spans="2:3" x14ac:dyDescent="0.35">
      <c r="B1229" s="24">
        <v>44305</v>
      </c>
      <c r="C1229" s="25">
        <v>0.95</v>
      </c>
    </row>
    <row r="1230" spans="2:3" x14ac:dyDescent="0.35">
      <c r="B1230" s="24">
        <v>44306</v>
      </c>
      <c r="C1230" s="25">
        <v>0.96</v>
      </c>
    </row>
    <row r="1231" spans="2:3" x14ac:dyDescent="0.35">
      <c r="B1231" s="24">
        <v>44307</v>
      </c>
      <c r="C1231" s="25">
        <v>0.96</v>
      </c>
    </row>
    <row r="1232" spans="2:3" x14ac:dyDescent="0.35">
      <c r="B1232" s="24">
        <v>44308</v>
      </c>
      <c r="C1232" s="25">
        <v>0.96</v>
      </c>
    </row>
    <row r="1233" spans="2:3" x14ac:dyDescent="0.35">
      <c r="B1233" s="24">
        <v>44309</v>
      </c>
      <c r="C1233" s="25">
        <v>0.95</v>
      </c>
    </row>
    <row r="1234" spans="2:3" x14ac:dyDescent="0.35">
      <c r="B1234" s="24">
        <v>44312</v>
      </c>
      <c r="C1234" s="25">
        <v>0.95</v>
      </c>
    </row>
    <row r="1235" spans="2:3" x14ac:dyDescent="0.35">
      <c r="B1235" s="24">
        <v>44313</v>
      </c>
      <c r="C1235" s="25">
        <v>0.94</v>
      </c>
    </row>
    <row r="1236" spans="2:3" x14ac:dyDescent="0.35">
      <c r="B1236" s="24">
        <v>44314</v>
      </c>
      <c r="C1236" s="25">
        <v>0.94</v>
      </c>
    </row>
    <row r="1237" spans="2:3" x14ac:dyDescent="0.35">
      <c r="B1237" s="24">
        <v>44315</v>
      </c>
      <c r="C1237" s="25">
        <v>0.94</v>
      </c>
    </row>
    <row r="1238" spans="2:3" x14ac:dyDescent="0.35">
      <c r="B1238" s="24">
        <v>44316</v>
      </c>
      <c r="C1238" s="25">
        <v>0.94</v>
      </c>
    </row>
    <row r="1239" spans="2:3" x14ac:dyDescent="0.35">
      <c r="B1239" s="24">
        <v>44319</v>
      </c>
      <c r="C1239" s="25">
        <v>0.94</v>
      </c>
    </row>
    <row r="1240" spans="2:3" x14ac:dyDescent="0.35">
      <c r="B1240" s="24">
        <v>44320</v>
      </c>
      <c r="C1240" s="25">
        <v>0.94</v>
      </c>
    </row>
    <row r="1241" spans="2:3" x14ac:dyDescent="0.35">
      <c r="B1241" s="24">
        <v>44321</v>
      </c>
      <c r="C1241" s="25">
        <v>0.94</v>
      </c>
    </row>
    <row r="1242" spans="2:3" x14ac:dyDescent="0.35">
      <c r="B1242" s="24">
        <v>44322</v>
      </c>
      <c r="C1242" s="25">
        <v>0.94</v>
      </c>
    </row>
    <row r="1243" spans="2:3" x14ac:dyDescent="0.35">
      <c r="B1243" s="24">
        <v>44323</v>
      </c>
      <c r="C1243" s="25">
        <v>0.93</v>
      </c>
    </row>
    <row r="1244" spans="2:3" x14ac:dyDescent="0.35">
      <c r="B1244" s="24">
        <v>44326</v>
      </c>
      <c r="C1244" s="25">
        <v>0.93</v>
      </c>
    </row>
    <row r="1245" spans="2:3" x14ac:dyDescent="0.35">
      <c r="B1245" s="24">
        <v>44327</v>
      </c>
      <c r="C1245" s="25">
        <v>0.93</v>
      </c>
    </row>
    <row r="1246" spans="2:3" x14ac:dyDescent="0.35">
      <c r="B1246" s="24">
        <v>44328</v>
      </c>
      <c r="C1246" s="25">
        <v>0.93</v>
      </c>
    </row>
    <row r="1247" spans="2:3" x14ac:dyDescent="0.35">
      <c r="B1247" s="24">
        <v>44329</v>
      </c>
      <c r="C1247" s="25">
        <v>0.93</v>
      </c>
    </row>
    <row r="1248" spans="2:3" x14ac:dyDescent="0.35">
      <c r="B1248" s="24">
        <v>44330</v>
      </c>
      <c r="C1248" s="25">
        <v>0.92</v>
      </c>
    </row>
    <row r="1249" spans="2:3" x14ac:dyDescent="0.35">
      <c r="B1249" s="24">
        <v>44333</v>
      </c>
      <c r="C1249" s="25">
        <v>0.91</v>
      </c>
    </row>
    <row r="1250" spans="2:3" x14ac:dyDescent="0.35">
      <c r="B1250" s="24">
        <v>44334</v>
      </c>
      <c r="C1250" s="25">
        <v>0.91</v>
      </c>
    </row>
    <row r="1251" spans="2:3" x14ac:dyDescent="0.35">
      <c r="B1251" s="24">
        <v>44335</v>
      </c>
      <c r="C1251" s="25">
        <v>0.92</v>
      </c>
    </row>
    <row r="1252" spans="2:3" x14ac:dyDescent="0.35">
      <c r="B1252" s="24">
        <v>44336</v>
      </c>
      <c r="C1252" s="25">
        <v>0.92</v>
      </c>
    </row>
    <row r="1253" spans="2:3" x14ac:dyDescent="0.35">
      <c r="B1253" s="24">
        <v>44337</v>
      </c>
      <c r="C1253" s="25">
        <v>0.91</v>
      </c>
    </row>
    <row r="1254" spans="2:3" x14ac:dyDescent="0.35">
      <c r="B1254" s="24">
        <v>44340</v>
      </c>
      <c r="C1254" s="25">
        <v>0.91</v>
      </c>
    </row>
    <row r="1255" spans="2:3" x14ac:dyDescent="0.35">
      <c r="B1255" s="24">
        <v>44341</v>
      </c>
      <c r="C1255" s="25">
        <v>0.9</v>
      </c>
    </row>
    <row r="1256" spans="2:3" x14ac:dyDescent="0.35">
      <c r="B1256" s="24">
        <v>44342</v>
      </c>
      <c r="C1256" s="25">
        <v>0.9</v>
      </c>
    </row>
    <row r="1257" spans="2:3" x14ac:dyDescent="0.35">
      <c r="B1257" s="24">
        <v>44343</v>
      </c>
      <c r="C1257" s="25">
        <v>0.9</v>
      </c>
    </row>
    <row r="1258" spans="2:3" x14ac:dyDescent="0.35">
      <c r="B1258" s="24">
        <v>44344</v>
      </c>
      <c r="C1258" s="25">
        <v>0.9</v>
      </c>
    </row>
    <row r="1259" spans="2:3" x14ac:dyDescent="0.35">
      <c r="B1259" s="24">
        <v>44347</v>
      </c>
      <c r="C1259" s="25">
        <v>0.91</v>
      </c>
    </row>
    <row r="1260" spans="2:3" x14ac:dyDescent="0.35">
      <c r="B1260" s="24">
        <v>44348</v>
      </c>
      <c r="C1260" s="25">
        <v>0.91</v>
      </c>
    </row>
    <row r="1261" spans="2:3" x14ac:dyDescent="0.35">
      <c r="B1261" s="24">
        <v>44349</v>
      </c>
      <c r="C1261" s="25">
        <v>0.9</v>
      </c>
    </row>
    <row r="1262" spans="2:3" x14ac:dyDescent="0.35">
      <c r="B1262" s="24">
        <v>44350</v>
      </c>
      <c r="C1262" s="25">
        <v>0.9</v>
      </c>
    </row>
    <row r="1263" spans="2:3" x14ac:dyDescent="0.35">
      <c r="B1263" s="24">
        <v>44351</v>
      </c>
      <c r="C1263" s="25">
        <v>0.91</v>
      </c>
    </row>
    <row r="1264" spans="2:3" x14ac:dyDescent="0.35">
      <c r="B1264" s="24">
        <v>44354</v>
      </c>
      <c r="C1264" s="25">
        <v>0.91</v>
      </c>
    </row>
    <row r="1265" spans="2:3" x14ac:dyDescent="0.35">
      <c r="B1265" s="24">
        <v>44355</v>
      </c>
      <c r="C1265" s="25">
        <v>0.91</v>
      </c>
    </row>
    <row r="1266" spans="2:3" x14ac:dyDescent="0.35">
      <c r="B1266" s="24">
        <v>44356</v>
      </c>
      <c r="C1266" s="25">
        <v>0.91</v>
      </c>
    </row>
    <row r="1267" spans="2:3" x14ac:dyDescent="0.35">
      <c r="B1267" s="24">
        <v>44357</v>
      </c>
      <c r="C1267" s="25">
        <v>0.91</v>
      </c>
    </row>
    <row r="1268" spans="2:3" x14ac:dyDescent="0.35">
      <c r="B1268" s="24">
        <v>44358</v>
      </c>
      <c r="C1268" s="25">
        <v>0.9</v>
      </c>
    </row>
    <row r="1269" spans="2:3" x14ac:dyDescent="0.35">
      <c r="B1269" s="24">
        <v>44361</v>
      </c>
      <c r="C1269" s="25">
        <v>0.89</v>
      </c>
    </row>
    <row r="1270" spans="2:3" x14ac:dyDescent="0.35">
      <c r="B1270" s="24">
        <v>44362</v>
      </c>
      <c r="C1270" s="25">
        <v>0.89</v>
      </c>
    </row>
    <row r="1271" spans="2:3" x14ac:dyDescent="0.35">
      <c r="B1271" s="24">
        <v>44363</v>
      </c>
      <c r="C1271" s="25">
        <v>0.87</v>
      </c>
    </row>
    <row r="1272" spans="2:3" x14ac:dyDescent="0.35">
      <c r="B1272" s="24">
        <v>44364</v>
      </c>
      <c r="C1272" s="25">
        <v>0.87</v>
      </c>
    </row>
    <row r="1273" spans="2:3" x14ac:dyDescent="0.35">
      <c r="B1273" s="24">
        <v>44365</v>
      </c>
      <c r="C1273" s="25">
        <v>0.87</v>
      </c>
    </row>
    <row r="1274" spans="2:3" x14ac:dyDescent="0.35">
      <c r="B1274" s="24">
        <v>44368</v>
      </c>
      <c r="C1274" s="25">
        <v>0.87</v>
      </c>
    </row>
    <row r="1275" spans="2:3" x14ac:dyDescent="0.35">
      <c r="B1275" s="24">
        <v>44369</v>
      </c>
      <c r="C1275" s="25">
        <v>0.88</v>
      </c>
    </row>
    <row r="1276" spans="2:3" x14ac:dyDescent="0.35">
      <c r="B1276" s="24">
        <v>44370</v>
      </c>
      <c r="C1276" s="25">
        <v>0.88</v>
      </c>
    </row>
    <row r="1277" spans="2:3" x14ac:dyDescent="0.35">
      <c r="B1277" s="24">
        <v>44371</v>
      </c>
      <c r="C1277" s="25">
        <v>0.87</v>
      </c>
    </row>
    <row r="1278" spans="2:3" x14ac:dyDescent="0.35">
      <c r="B1278" s="24">
        <v>44372</v>
      </c>
      <c r="C1278" s="25">
        <v>0.86</v>
      </c>
    </row>
    <row r="1279" spans="2:3" x14ac:dyDescent="0.35">
      <c r="B1279" s="24">
        <v>44375</v>
      </c>
      <c r="C1279" s="25">
        <v>0.86</v>
      </c>
    </row>
    <row r="1280" spans="2:3" x14ac:dyDescent="0.35">
      <c r="B1280" s="24">
        <v>44376</v>
      </c>
      <c r="C1280" s="25">
        <v>0.86</v>
      </c>
    </row>
    <row r="1281" spans="2:3" x14ac:dyDescent="0.35">
      <c r="B1281" s="24">
        <v>44377</v>
      </c>
      <c r="C1281" s="25">
        <v>0.86</v>
      </c>
    </row>
    <row r="1282" spans="2:3" x14ac:dyDescent="0.35">
      <c r="B1282" s="24">
        <v>44378</v>
      </c>
      <c r="C1282" s="25">
        <v>0.87</v>
      </c>
    </row>
    <row r="1283" spans="2:3" x14ac:dyDescent="0.35">
      <c r="B1283" s="24">
        <v>44379</v>
      </c>
      <c r="C1283" s="25">
        <v>0.87</v>
      </c>
    </row>
    <row r="1284" spans="2:3" x14ac:dyDescent="0.35">
      <c r="B1284" s="24">
        <v>44382</v>
      </c>
      <c r="C1284" s="25">
        <v>0.87</v>
      </c>
    </row>
    <row r="1285" spans="2:3" x14ac:dyDescent="0.35">
      <c r="B1285" s="24">
        <v>44383</v>
      </c>
      <c r="C1285" s="25">
        <v>0.87</v>
      </c>
    </row>
    <row r="1286" spans="2:3" x14ac:dyDescent="0.35">
      <c r="B1286" s="24">
        <v>44384</v>
      </c>
      <c r="C1286" s="25">
        <v>0.88</v>
      </c>
    </row>
    <row r="1287" spans="2:3" x14ac:dyDescent="0.35">
      <c r="B1287" s="24">
        <v>44385</v>
      </c>
      <c r="C1287" s="25">
        <v>0.9</v>
      </c>
    </row>
    <row r="1288" spans="2:3" x14ac:dyDescent="0.35">
      <c r="B1288" s="24">
        <v>44386</v>
      </c>
      <c r="C1288" s="25">
        <v>0.9</v>
      </c>
    </row>
    <row r="1289" spans="2:3" x14ac:dyDescent="0.35">
      <c r="B1289" s="24">
        <v>44389</v>
      </c>
      <c r="C1289" s="25">
        <v>0.9</v>
      </c>
    </row>
    <row r="1290" spans="2:3" x14ac:dyDescent="0.35">
      <c r="B1290" s="24">
        <v>44390</v>
      </c>
      <c r="C1290" s="25">
        <v>0.89</v>
      </c>
    </row>
    <row r="1291" spans="2:3" x14ac:dyDescent="0.35">
      <c r="B1291" s="24">
        <v>44391</v>
      </c>
      <c r="C1291" s="25">
        <v>0.89</v>
      </c>
    </row>
    <row r="1292" spans="2:3" x14ac:dyDescent="0.35">
      <c r="B1292" s="24">
        <v>44392</v>
      </c>
      <c r="C1292" s="25">
        <v>0.9</v>
      </c>
    </row>
    <row r="1293" spans="2:3" x14ac:dyDescent="0.35">
      <c r="B1293" s="24">
        <v>44393</v>
      </c>
      <c r="C1293" s="25">
        <v>0.91</v>
      </c>
    </row>
    <row r="1294" spans="2:3" x14ac:dyDescent="0.35">
      <c r="B1294" s="24">
        <v>44396</v>
      </c>
      <c r="C1294" s="25">
        <v>0.93</v>
      </c>
    </row>
    <row r="1295" spans="2:3" x14ac:dyDescent="0.35">
      <c r="B1295" s="24">
        <v>44397</v>
      </c>
      <c r="C1295" s="25">
        <v>0.94</v>
      </c>
    </row>
    <row r="1296" spans="2:3" x14ac:dyDescent="0.35">
      <c r="B1296" s="24">
        <v>44398</v>
      </c>
      <c r="C1296" s="25">
        <v>0.93</v>
      </c>
    </row>
    <row r="1297" spans="2:3" x14ac:dyDescent="0.35">
      <c r="B1297" s="24">
        <v>44399</v>
      </c>
      <c r="C1297" s="25">
        <v>0.93</v>
      </c>
    </row>
    <row r="1298" spans="2:3" x14ac:dyDescent="0.35">
      <c r="B1298" s="24">
        <v>44400</v>
      </c>
      <c r="C1298" s="25">
        <v>0.92</v>
      </c>
    </row>
    <row r="1299" spans="2:3" x14ac:dyDescent="0.35">
      <c r="B1299" s="24">
        <v>44403</v>
      </c>
      <c r="C1299" s="25">
        <v>0.92</v>
      </c>
    </row>
    <row r="1300" spans="2:3" x14ac:dyDescent="0.35">
      <c r="B1300" s="24">
        <v>44404</v>
      </c>
      <c r="C1300" s="25">
        <v>0.92</v>
      </c>
    </row>
    <row r="1301" spans="2:3" x14ac:dyDescent="0.35">
      <c r="B1301" s="24">
        <v>44405</v>
      </c>
      <c r="C1301" s="25">
        <v>0.92</v>
      </c>
    </row>
    <row r="1302" spans="2:3" x14ac:dyDescent="0.35">
      <c r="B1302" s="24">
        <v>44406</v>
      </c>
      <c r="C1302" s="25">
        <v>0.91</v>
      </c>
    </row>
    <row r="1303" spans="2:3" x14ac:dyDescent="0.35">
      <c r="B1303" s="24">
        <v>44407</v>
      </c>
      <c r="C1303" s="25">
        <v>0.91</v>
      </c>
    </row>
    <row r="1304" spans="2:3" x14ac:dyDescent="0.35">
      <c r="B1304" s="24">
        <v>44408</v>
      </c>
      <c r="C1304" s="25">
        <v>0.92</v>
      </c>
    </row>
    <row r="1305" spans="2:3" x14ac:dyDescent="0.35">
      <c r="B1305" s="24">
        <v>44410</v>
      </c>
      <c r="C1305" s="25">
        <v>0.93</v>
      </c>
    </row>
    <row r="1306" spans="2:3" x14ac:dyDescent="0.35">
      <c r="B1306" s="24">
        <v>44411</v>
      </c>
      <c r="C1306" s="25">
        <v>0.93</v>
      </c>
    </row>
    <row r="1307" spans="2:3" x14ac:dyDescent="0.35">
      <c r="B1307" s="24">
        <v>44412</v>
      </c>
      <c r="C1307" s="25">
        <v>0.93</v>
      </c>
    </row>
    <row r="1308" spans="2:3" x14ac:dyDescent="0.35">
      <c r="B1308" s="24">
        <v>44413</v>
      </c>
      <c r="C1308" s="25">
        <v>0.93</v>
      </c>
    </row>
    <row r="1309" spans="2:3" x14ac:dyDescent="0.35">
      <c r="B1309" s="24">
        <v>44414</v>
      </c>
      <c r="C1309" s="25">
        <v>0.93</v>
      </c>
    </row>
    <row r="1310" spans="2:3" x14ac:dyDescent="0.35">
      <c r="B1310" s="24">
        <v>44417</v>
      </c>
      <c r="C1310" s="25">
        <v>0.93</v>
      </c>
    </row>
    <row r="1311" spans="2:3" x14ac:dyDescent="0.35">
      <c r="B1311" s="24">
        <v>44418</v>
      </c>
      <c r="C1311" s="25">
        <v>0.93</v>
      </c>
    </row>
    <row r="1312" spans="2:3" x14ac:dyDescent="0.35">
      <c r="B1312" s="24">
        <v>44419</v>
      </c>
      <c r="C1312" s="25">
        <v>0.93</v>
      </c>
    </row>
    <row r="1313" spans="2:3" x14ac:dyDescent="0.35">
      <c r="B1313" s="24">
        <v>44420</v>
      </c>
      <c r="C1313" s="25">
        <v>0.93</v>
      </c>
    </row>
    <row r="1314" spans="2:3" x14ac:dyDescent="0.35">
      <c r="B1314" s="24">
        <v>44421</v>
      </c>
      <c r="C1314" s="25">
        <v>0.93</v>
      </c>
    </row>
    <row r="1315" spans="2:3" x14ac:dyDescent="0.35">
      <c r="B1315" s="24">
        <v>44424</v>
      </c>
      <c r="C1315" s="25">
        <v>0.93</v>
      </c>
    </row>
    <row r="1316" spans="2:3" x14ac:dyDescent="0.35">
      <c r="B1316" s="24">
        <v>44425</v>
      </c>
      <c r="C1316" s="25">
        <v>0.93</v>
      </c>
    </row>
    <row r="1317" spans="2:3" x14ac:dyDescent="0.35">
      <c r="B1317" s="24">
        <v>44426</v>
      </c>
      <c r="C1317" s="25">
        <v>0.94</v>
      </c>
    </row>
    <row r="1318" spans="2:3" x14ac:dyDescent="0.35">
      <c r="B1318" s="24">
        <v>44427</v>
      </c>
      <c r="C1318" s="25">
        <v>0.95</v>
      </c>
    </row>
    <row r="1319" spans="2:3" x14ac:dyDescent="0.35">
      <c r="B1319" s="24">
        <v>44428</v>
      </c>
      <c r="C1319" s="25">
        <v>0.95</v>
      </c>
    </row>
    <row r="1320" spans="2:3" x14ac:dyDescent="0.35">
      <c r="B1320" s="24">
        <v>44431</v>
      </c>
      <c r="C1320" s="25">
        <v>0.95</v>
      </c>
    </row>
    <row r="1321" spans="2:3" x14ac:dyDescent="0.35">
      <c r="B1321" s="24">
        <v>44432</v>
      </c>
      <c r="C1321" s="25">
        <v>0.94</v>
      </c>
    </row>
    <row r="1322" spans="2:3" x14ac:dyDescent="0.35">
      <c r="B1322" s="24">
        <v>44433</v>
      </c>
      <c r="C1322" s="25">
        <v>0.93</v>
      </c>
    </row>
    <row r="1323" spans="2:3" x14ac:dyDescent="0.35">
      <c r="B1323" s="24">
        <v>44434</v>
      </c>
      <c r="C1323" s="25">
        <v>0.93</v>
      </c>
    </row>
    <row r="1324" spans="2:3" x14ac:dyDescent="0.35">
      <c r="B1324" s="24">
        <v>44435</v>
      </c>
      <c r="C1324" s="25">
        <v>0.92</v>
      </c>
    </row>
    <row r="1325" spans="2:3" x14ac:dyDescent="0.35">
      <c r="B1325" s="24">
        <v>44438</v>
      </c>
      <c r="C1325" s="25">
        <v>0.92</v>
      </c>
    </row>
    <row r="1326" spans="2:3" x14ac:dyDescent="0.35">
      <c r="B1326" s="24">
        <v>44439</v>
      </c>
      <c r="C1326" s="25">
        <v>0.92</v>
      </c>
    </row>
    <row r="1327" spans="2:3" x14ac:dyDescent="0.35">
      <c r="B1327" s="24">
        <v>44440</v>
      </c>
      <c r="C1327" s="25">
        <v>0.92</v>
      </c>
    </row>
    <row r="1328" spans="2:3" x14ac:dyDescent="0.35">
      <c r="B1328" s="24">
        <v>44441</v>
      </c>
      <c r="C1328" s="25">
        <v>0.92</v>
      </c>
    </row>
    <row r="1329" spans="2:3" x14ac:dyDescent="0.35">
      <c r="B1329" s="24">
        <v>44442</v>
      </c>
      <c r="C1329" s="25">
        <v>0.92</v>
      </c>
    </row>
    <row r="1330" spans="2:3" x14ac:dyDescent="0.35">
      <c r="B1330" s="24">
        <v>44445</v>
      </c>
      <c r="C1330" s="25">
        <v>0.92</v>
      </c>
    </row>
    <row r="1331" spans="2:3" x14ac:dyDescent="0.35">
      <c r="B1331" s="24">
        <v>44446</v>
      </c>
      <c r="C1331" s="25">
        <v>0.92</v>
      </c>
    </row>
    <row r="1332" spans="2:3" x14ac:dyDescent="0.35">
      <c r="B1332" s="24">
        <v>44447</v>
      </c>
      <c r="C1332" s="25">
        <v>0.92</v>
      </c>
    </row>
    <row r="1333" spans="2:3" ht="13.15" thickBot="1" x14ac:dyDescent="0.4">
      <c r="B1333" s="27">
        <v>44448</v>
      </c>
      <c r="C1333" s="28">
        <v>0.92</v>
      </c>
    </row>
  </sheetData>
  <mergeCells count="1">
    <mergeCell ref="B7:C10"/>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c3bcb35-9aa9-4dbf-a1c9-a4059b9936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7327CF3CEC9145AC6F5B07EBB94F60" ma:contentTypeVersion="18" ma:contentTypeDescription="Create a new document." ma:contentTypeScope="" ma:versionID="a9dcb6b4534a9103a83e0bfde106f38f">
  <xsd:schema xmlns:xsd="http://www.w3.org/2001/XMLSchema" xmlns:xs="http://www.w3.org/2001/XMLSchema" xmlns:p="http://schemas.microsoft.com/office/2006/metadata/properties" xmlns:ns3="ac3bcb35-9aa9-4dbf-a1c9-a4059b99366b" xmlns:ns4="3c0e9b9a-dc5c-494c-bbac-09f077bb5a57" targetNamespace="http://schemas.microsoft.com/office/2006/metadata/properties" ma:root="true" ma:fieldsID="47a5799ec9c8dff36114ba72e22d6d9b" ns3:_="" ns4:_="">
    <xsd:import namespace="ac3bcb35-9aa9-4dbf-a1c9-a4059b99366b"/>
    <xsd:import namespace="3c0e9b9a-dc5c-494c-bbac-09f077bb5a5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bcb35-9aa9-4dbf-a1c9-a4059b9936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0e9b9a-dc5c-494c-bbac-09f077bb5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B4A24E-AACB-4F4E-8A89-B27C8F9EB431}">
  <ds:schemaRefs>
    <ds:schemaRef ds:uri="http://purl.org/dc/elements/1.1/"/>
    <ds:schemaRef ds:uri="http://schemas.microsoft.com/office/2006/documentManagement/types"/>
    <ds:schemaRef ds:uri="http://www.w3.org/XML/1998/namespace"/>
    <ds:schemaRef ds:uri="http://purl.org/dc/dcmitype/"/>
    <ds:schemaRef ds:uri="http://schemas.microsoft.com/office/2006/metadata/properties"/>
    <ds:schemaRef ds:uri="http://schemas.openxmlformats.org/package/2006/metadata/core-properties"/>
    <ds:schemaRef ds:uri="http://purl.org/dc/terms/"/>
    <ds:schemaRef ds:uri="ac3bcb35-9aa9-4dbf-a1c9-a4059b99366b"/>
    <ds:schemaRef ds:uri="http://schemas.microsoft.com/office/infopath/2007/PartnerControls"/>
    <ds:schemaRef ds:uri="3c0e9b9a-dc5c-494c-bbac-09f077bb5a57"/>
  </ds:schemaRefs>
</ds:datastoreItem>
</file>

<file path=customXml/itemProps2.xml><?xml version="1.0" encoding="utf-8"?>
<ds:datastoreItem xmlns:ds="http://schemas.openxmlformats.org/officeDocument/2006/customXml" ds:itemID="{0AAB670C-DBF7-4A8F-A859-5A0ABF137C71}">
  <ds:schemaRefs>
    <ds:schemaRef ds:uri="http://schemas.microsoft.com/sharepoint/v3/contenttype/forms"/>
  </ds:schemaRefs>
</ds:datastoreItem>
</file>

<file path=customXml/itemProps3.xml><?xml version="1.0" encoding="utf-8"?>
<ds:datastoreItem xmlns:ds="http://schemas.openxmlformats.org/officeDocument/2006/customXml" ds:itemID="{944C8233-5440-4697-8FA8-D04E2CBB94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bcb35-9aa9-4dbf-a1c9-a4059b99366b"/>
    <ds:schemaRef ds:uri="3c0e9b9a-dc5c-494c-bbac-09f077bb5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Instructions</vt:lpstr>
      <vt:lpstr>Colour key</vt:lpstr>
      <vt:lpstr>1. Burford</vt:lpstr>
      <vt:lpstr>2. UK 1.5% Gilt</vt:lpstr>
      <vt:lpstr>3. Credit spreads</vt:lpstr>
      <vt:lpstr>'2. UK 1.5% Gilt'!coupon</vt:lpstr>
      <vt:lpstr>coupon</vt:lpstr>
      <vt:lpstr>'2. UK 1.5% Gilt'!intRate</vt:lpstr>
      <vt:lpstr>intRate</vt:lpstr>
      <vt:lpstr>'2. UK 1.5% Gilt'!price</vt:lpstr>
      <vt:lpstr>price</vt:lpstr>
      <vt:lpstr>'2. UK 1.5% Gilt'!redemption</vt:lpstr>
      <vt:lpstr>redemption</vt:lpstr>
    </vt:vector>
  </TitlesOfParts>
  <Company>Heriot-Watt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angus</dc:creator>
  <cp:lastModifiedBy>Marcus Gwee Wen Hong</cp:lastModifiedBy>
  <dcterms:created xsi:type="dcterms:W3CDTF">2008-08-18T12:12:27Z</dcterms:created>
  <dcterms:modified xsi:type="dcterms:W3CDTF">2026-01-15T05:12:18Z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0x0101001D7327CF3CEC9145AC6F5B07EBB94F60</vt:lpwstr>
  </property>
</Properties>
</file>